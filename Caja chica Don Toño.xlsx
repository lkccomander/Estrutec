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hb9\Dropbox\Espacio familiar\1-CONSTRUCCION\Hermosa - Arnoldo Andre\1-construccion\00 caja chica\"/>
    </mc:Choice>
  </mc:AlternateContent>
  <xr:revisionPtr revIDLastSave="0" documentId="13_ncr:1_{05B0259C-2469-42EC-A4D3-3D83C325F7BC}" xr6:coauthVersionLast="47" xr6:coauthVersionMax="47" xr10:uidLastSave="{00000000-0000-0000-0000-000000000000}"/>
  <bookViews>
    <workbookView xWindow="28680" yWindow="-120" windowWidth="29040" windowHeight="15720" xr2:uid="{E436C19A-114E-4012-A3E1-88C196F01EB8}"/>
  </bookViews>
  <sheets>
    <sheet name="Sheet1" sheetId="2" r:id="rId1"/>
    <sheet name="gaby" sheetId="1" r:id="rId2"/>
  </sheets>
  <definedNames>
    <definedName name="_xlnm._FilterDatabase" localSheetId="0" hidden="1">Sheet1!$A$1:$G$18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2" l="1"/>
  <c r="H36" i="2" s="1"/>
  <c r="G18" i="2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6" i="2"/>
  <c r="H10" i="1"/>
  <c r="D26" i="1"/>
  <c r="K25" i="1" s="1"/>
  <c r="E8" i="1"/>
  <c r="E9" i="1" s="1"/>
  <c r="H37" i="2" l="1"/>
  <c r="H38" i="2" s="1"/>
  <c r="H39" i="2" s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</calcChain>
</file>

<file path=xl/sharedStrings.xml><?xml version="1.0" encoding="utf-8"?>
<sst xmlns="http://schemas.openxmlformats.org/spreadsheetml/2006/main" count="74" uniqueCount="25">
  <si>
    <t>CASA ARNOLDO ANDRE SANCHEZ</t>
  </si>
  <si>
    <t xml:space="preserve">Articulos varios </t>
  </si>
  <si>
    <t>FECHA</t>
  </si>
  <si>
    <t>FACTURA</t>
  </si>
  <si>
    <t>NEGOCIO</t>
  </si>
  <si>
    <t>DESCRIPCION</t>
  </si>
  <si>
    <t>la sabrosita</t>
  </si>
  <si>
    <t>materiales</t>
  </si>
  <si>
    <t>abarrotes</t>
  </si>
  <si>
    <t>inversiones cajiao</t>
  </si>
  <si>
    <t>varios campamento</t>
  </si>
  <si>
    <t>buscar</t>
  </si>
  <si>
    <t>cocina gas</t>
  </si>
  <si>
    <t>GASTO</t>
  </si>
  <si>
    <t>CCHICA</t>
  </si>
  <si>
    <t>BALANCE</t>
  </si>
  <si>
    <t>taxi</t>
  </si>
  <si>
    <t>CEDULA</t>
  </si>
  <si>
    <t>bolsas basura</t>
  </si>
  <si>
    <t>gas</t>
  </si>
  <si>
    <t>maxi pali jaco</t>
  </si>
  <si>
    <t xml:space="preserve">maxi jaco </t>
  </si>
  <si>
    <t>sabrosita</t>
  </si>
  <si>
    <t xml:space="preserve">central plastica </t>
  </si>
  <si>
    <t>simpe movil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</si>
</sst>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₡-140A]* #,##0.00_-;\-[$₡-140A]* #,##0.00_-;_-[$₡-140A]* &quot;-&quot;??_-;_-@_-"/>
    <numFmt numFmtId="165" formatCode="&quot;₡&quot;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CC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1" fillId="0" borderId="1" xfId="1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0" fontId="4" fillId="0" borderId="2" xfId="0" applyFont="1" applyBorder="1"/>
    <xf numFmtId="165" fontId="2" fillId="0" borderId="2" xfId="0" applyNumberFormat="1" applyFont="1" applyBorder="1"/>
    <xf numFmtId="164" fontId="1" fillId="0" borderId="1" xfId="1" applyNumberFormat="1"/>
    <xf numFmtId="164" fontId="0" fillId="0" borderId="0" xfId="0" applyNumberFormat="1"/>
    <xf numFmtId="164" fontId="5" fillId="0" borderId="2" xfId="0" applyNumberFormat="1" applyFont="1" applyBorder="1"/>
    <xf numFmtId="164" fontId="3" fillId="0" borderId="2" xfId="0" applyNumberFormat="1" applyFont="1" applyBorder="1"/>
    <xf numFmtId="164" fontId="4" fillId="0" borderId="2" xfId="0" applyNumberFormat="1" applyFont="1" applyBorder="1"/>
    <xf numFmtId="164" fontId="5" fillId="0" borderId="0" xfId="0" applyNumberFormat="1" applyFont="1"/>
    <xf numFmtId="16" fontId="0" fillId="0" borderId="2" xfId="0" applyNumberFormat="1" applyBorder="1"/>
    <xf numFmtId="164" fontId="6" fillId="0" borderId="2" xfId="0" applyNumberFormat="1" applyFont="1" applyBorder="1"/>
    <xf numFmtId="164" fontId="3" fillId="2" borderId="2" xfId="0" applyNumberFormat="1" applyFon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" fontId="0" fillId="0" borderId="0" xfId="0" applyNumberFormat="1"/>
  </cellXfs>
  <cellStyles count="2">
    <cellStyle name="Encabezado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2D16-F0CA-44D5-AA7D-10F14F89C776}">
  <dimension ref="A1:H39"/>
  <sheetViews>
    <sheetView tabSelected="1" zoomScale="85" zoomScaleNormal="85" workbookViewId="0">
      <selection activeCell="O32" sqref="O32"/>
    </sheetView>
  </sheetViews>
  <sheetFormatPr baseColWidth="10" defaultColWidth="8.7265625" defaultRowHeight="14.5" x14ac:dyDescent="0.35"/>
  <cols>
    <col min="1" max="1" width="9" customWidth="1"/>
    <col min="2" max="2" width="11" customWidth="1"/>
    <col min="3" max="3" width="20" customWidth="1"/>
    <col min="4" max="4" width="12.54296875" customWidth="1"/>
    <col min="5" max="5" width="30" customWidth="1"/>
    <col min="6" max="6" width="19.453125" style="8" customWidth="1"/>
    <col min="7" max="7" width="15.54296875" style="8" customWidth="1"/>
    <col min="8" max="8" width="15.7265625" style="8" customWidth="1"/>
  </cols>
  <sheetData>
    <row r="1" spans="1:8" x14ac:dyDescent="0.35">
      <c r="A1" t="s">
        <v>2</v>
      </c>
      <c r="B1" t="s">
        <v>3</v>
      </c>
      <c r="C1" t="s">
        <v>4</v>
      </c>
      <c r="D1" t="s">
        <v>17</v>
      </c>
      <c r="E1" t="s">
        <v>5</v>
      </c>
      <c r="F1" s="8" t="s">
        <v>13</v>
      </c>
      <c r="G1" s="8" t="s">
        <v>14</v>
      </c>
      <c r="H1" s="8" t="s">
        <v>15</v>
      </c>
    </row>
    <row r="2" spans="1:8" x14ac:dyDescent="0.35">
      <c r="A2" s="18">
        <v>27</v>
      </c>
      <c r="G2" s="8">
        <v>200000</v>
      </c>
      <c r="H2" s="8">
        <f>++G2</f>
        <v>200000</v>
      </c>
    </row>
    <row r="3" spans="1:8" x14ac:dyDescent="0.35">
      <c r="A3" s="18">
        <v>46050</v>
      </c>
      <c r="B3">
        <v>7723</v>
      </c>
      <c r="C3" t="s">
        <v>9</v>
      </c>
      <c r="D3">
        <v>109860887</v>
      </c>
      <c r="E3" t="s">
        <v>10</v>
      </c>
      <c r="F3" s="8">
        <v>55700</v>
      </c>
      <c r="H3" s="8">
        <f t="shared" ref="H3:H38" si="0">++H2+G3-F3</f>
        <v>144300</v>
      </c>
    </row>
    <row r="4" spans="1:8" x14ac:dyDescent="0.35">
      <c r="A4" s="18">
        <v>46050</v>
      </c>
      <c r="B4" t="s">
        <v>11</v>
      </c>
      <c r="E4" t="s">
        <v>12</v>
      </c>
      <c r="F4" s="8">
        <v>22487</v>
      </c>
      <c r="H4" s="8">
        <f t="shared" si="0"/>
        <v>121813</v>
      </c>
    </row>
    <row r="5" spans="1:8" x14ac:dyDescent="0.35">
      <c r="A5" s="18">
        <v>46052</v>
      </c>
      <c r="E5" t="s">
        <v>16</v>
      </c>
      <c r="F5" s="8">
        <v>13000</v>
      </c>
      <c r="H5" s="8">
        <f t="shared" si="0"/>
        <v>108813</v>
      </c>
    </row>
    <row r="6" spans="1:8" x14ac:dyDescent="0.35">
      <c r="A6" s="18">
        <v>46054</v>
      </c>
      <c r="C6" t="s">
        <v>6</v>
      </c>
      <c r="E6" t="s">
        <v>8</v>
      </c>
      <c r="F6" s="8">
        <f>17940-4800</f>
        <v>13140</v>
      </c>
      <c r="H6" s="8">
        <f t="shared" si="0"/>
        <v>95673</v>
      </c>
    </row>
    <row r="7" spans="1:8" x14ac:dyDescent="0.35">
      <c r="A7" s="18">
        <v>46055</v>
      </c>
      <c r="C7" t="s">
        <v>6</v>
      </c>
      <c r="E7" t="s">
        <v>8</v>
      </c>
      <c r="F7" s="8">
        <v>10050</v>
      </c>
      <c r="H7" s="8">
        <f t="shared" si="0"/>
        <v>85623</v>
      </c>
    </row>
    <row r="8" spans="1:8" x14ac:dyDescent="0.35">
      <c r="A8" s="18">
        <v>46056</v>
      </c>
      <c r="B8">
        <v>1481</v>
      </c>
      <c r="C8" t="s">
        <v>6</v>
      </c>
      <c r="D8">
        <v>109860887</v>
      </c>
      <c r="E8" t="s">
        <v>7</v>
      </c>
      <c r="F8" s="8">
        <v>1800</v>
      </c>
      <c r="H8" s="8">
        <f t="shared" si="0"/>
        <v>83823</v>
      </c>
    </row>
    <row r="9" spans="1:8" x14ac:dyDescent="0.35">
      <c r="A9" s="18">
        <v>46058</v>
      </c>
      <c r="B9">
        <v>1489</v>
      </c>
      <c r="C9" t="s">
        <v>6</v>
      </c>
      <c r="D9">
        <v>109860887</v>
      </c>
      <c r="E9" t="s">
        <v>8</v>
      </c>
      <c r="F9" s="8">
        <v>9695</v>
      </c>
      <c r="H9" s="8">
        <f t="shared" si="0"/>
        <v>74128</v>
      </c>
    </row>
    <row r="10" spans="1:8" x14ac:dyDescent="0.35">
      <c r="A10" s="18">
        <v>46059</v>
      </c>
      <c r="B10">
        <v>1492</v>
      </c>
      <c r="C10" t="s">
        <v>6</v>
      </c>
      <c r="D10">
        <v>109860887</v>
      </c>
      <c r="E10" t="s">
        <v>7</v>
      </c>
      <c r="F10" s="8">
        <v>900</v>
      </c>
      <c r="H10" s="8">
        <f t="shared" si="0"/>
        <v>73228</v>
      </c>
    </row>
    <row r="11" spans="1:8" x14ac:dyDescent="0.35">
      <c r="A11" s="18">
        <v>46060</v>
      </c>
      <c r="B11">
        <v>1494</v>
      </c>
      <c r="C11" t="s">
        <v>6</v>
      </c>
      <c r="D11">
        <v>109860887</v>
      </c>
      <c r="E11" t="s">
        <v>8</v>
      </c>
      <c r="F11" s="8">
        <v>4245</v>
      </c>
      <c r="H11" s="8">
        <f t="shared" si="0"/>
        <v>68983</v>
      </c>
    </row>
    <row r="12" spans="1:8" x14ac:dyDescent="0.35">
      <c r="A12" s="18">
        <v>46060</v>
      </c>
      <c r="C12" t="s">
        <v>6</v>
      </c>
      <c r="E12" t="s">
        <v>8</v>
      </c>
      <c r="F12" s="8">
        <v>8995</v>
      </c>
      <c r="H12" s="8">
        <f t="shared" si="0"/>
        <v>59988</v>
      </c>
    </row>
    <row r="13" spans="1:8" x14ac:dyDescent="0.35">
      <c r="A13" s="18">
        <v>46061</v>
      </c>
      <c r="C13" t="s">
        <v>6</v>
      </c>
      <c r="E13" t="s">
        <v>7</v>
      </c>
      <c r="F13" s="8">
        <v>1050</v>
      </c>
      <c r="H13" s="8">
        <f t="shared" si="0"/>
        <v>58938</v>
      </c>
    </row>
    <row r="14" spans="1:8" x14ac:dyDescent="0.35">
      <c r="A14" s="18">
        <v>46061</v>
      </c>
      <c r="C14" t="s">
        <v>6</v>
      </c>
      <c r="E14" t="s">
        <v>8</v>
      </c>
      <c r="F14" s="8">
        <v>1445</v>
      </c>
      <c r="H14" s="8">
        <f t="shared" si="0"/>
        <v>57493</v>
      </c>
    </row>
    <row r="15" spans="1:8" x14ac:dyDescent="0.35">
      <c r="A15" s="18">
        <v>46062</v>
      </c>
      <c r="C15" t="s">
        <v>6</v>
      </c>
      <c r="E15" t="s">
        <v>8</v>
      </c>
      <c r="F15" s="8">
        <v>16375</v>
      </c>
      <c r="H15" s="8">
        <f t="shared" si="0"/>
        <v>41118</v>
      </c>
    </row>
    <row r="16" spans="1:8" x14ac:dyDescent="0.35">
      <c r="A16" s="18">
        <v>46065</v>
      </c>
      <c r="C16" t="s">
        <v>6</v>
      </c>
      <c r="E16" t="s">
        <v>8</v>
      </c>
      <c r="F16" s="8">
        <v>23070</v>
      </c>
      <c r="H16" s="8">
        <f t="shared" si="0"/>
        <v>18048</v>
      </c>
    </row>
    <row r="17" spans="1:8" x14ac:dyDescent="0.35">
      <c r="A17" s="18">
        <v>46066</v>
      </c>
      <c r="C17" t="s">
        <v>6</v>
      </c>
      <c r="E17" t="s">
        <v>8</v>
      </c>
      <c r="F17" s="8">
        <v>6300</v>
      </c>
      <c r="H17" s="8">
        <f t="shared" si="0"/>
        <v>11748</v>
      </c>
    </row>
    <row r="18" spans="1:8" x14ac:dyDescent="0.35">
      <c r="A18" s="18">
        <v>46066</v>
      </c>
      <c r="G18" s="8">
        <f>700000-535600</f>
        <v>164400</v>
      </c>
      <c r="H18" s="8">
        <f t="shared" si="0"/>
        <v>176148</v>
      </c>
    </row>
    <row r="19" spans="1:8" x14ac:dyDescent="0.35">
      <c r="A19" s="18">
        <v>46068</v>
      </c>
      <c r="C19" t="s">
        <v>6</v>
      </c>
      <c r="E19" t="s">
        <v>8</v>
      </c>
      <c r="F19" s="8">
        <v>52675</v>
      </c>
      <c r="H19" s="8">
        <f t="shared" si="0"/>
        <v>123473</v>
      </c>
    </row>
    <row r="20" spans="1:8" x14ac:dyDescent="0.35">
      <c r="A20" s="18">
        <v>46070</v>
      </c>
      <c r="C20" t="s">
        <v>6</v>
      </c>
      <c r="E20" t="s">
        <v>8</v>
      </c>
      <c r="F20" s="8">
        <v>12500</v>
      </c>
      <c r="H20" s="8">
        <f t="shared" si="0"/>
        <v>110973</v>
      </c>
    </row>
    <row r="21" spans="1:8" x14ac:dyDescent="0.35">
      <c r="A21" s="18">
        <v>46071</v>
      </c>
      <c r="C21" t="s">
        <v>6</v>
      </c>
      <c r="E21" t="s">
        <v>18</v>
      </c>
      <c r="F21" s="8">
        <v>7980</v>
      </c>
      <c r="H21" s="8">
        <f t="shared" si="0"/>
        <v>102993</v>
      </c>
    </row>
    <row r="22" spans="1:8" x14ac:dyDescent="0.35">
      <c r="A22" s="18">
        <v>46071</v>
      </c>
      <c r="C22" t="s">
        <v>6</v>
      </c>
      <c r="E22" t="s">
        <v>18</v>
      </c>
      <c r="F22" s="8">
        <v>1955</v>
      </c>
      <c r="H22" s="8">
        <f t="shared" si="0"/>
        <v>101038</v>
      </c>
    </row>
    <row r="23" spans="1:8" x14ac:dyDescent="0.35">
      <c r="A23" s="18">
        <v>46072</v>
      </c>
      <c r="C23" t="s">
        <v>6</v>
      </c>
      <c r="E23" t="s">
        <v>8</v>
      </c>
      <c r="F23" s="8">
        <v>17915</v>
      </c>
      <c r="H23" s="8">
        <f t="shared" si="0"/>
        <v>83123</v>
      </c>
    </row>
    <row r="24" spans="1:8" x14ac:dyDescent="0.35">
      <c r="A24" s="18">
        <v>46073</v>
      </c>
      <c r="C24" t="s">
        <v>20</v>
      </c>
      <c r="D24">
        <v>109860887</v>
      </c>
      <c r="E24" t="s">
        <v>8</v>
      </c>
      <c r="F24" s="8">
        <v>73456</v>
      </c>
      <c r="H24" s="8">
        <f t="shared" si="0"/>
        <v>9667</v>
      </c>
    </row>
    <row r="25" spans="1:8" x14ac:dyDescent="0.35">
      <c r="A25" s="18">
        <v>46075</v>
      </c>
      <c r="E25" t="s">
        <v>19</v>
      </c>
      <c r="F25" s="8">
        <v>10000</v>
      </c>
      <c r="H25" s="8">
        <f t="shared" si="0"/>
        <v>-333</v>
      </c>
    </row>
    <row r="26" spans="1:8" x14ac:dyDescent="0.35">
      <c r="G26" s="8">
        <v>200000</v>
      </c>
      <c r="H26" s="8">
        <f t="shared" si="0"/>
        <v>199667</v>
      </c>
    </row>
    <row r="27" spans="1:8" x14ac:dyDescent="0.35">
      <c r="A27" s="18">
        <v>46078</v>
      </c>
      <c r="C27" t="s">
        <v>22</v>
      </c>
      <c r="E27" t="s">
        <v>22</v>
      </c>
      <c r="F27" s="8">
        <v>8195</v>
      </c>
      <c r="H27" s="8">
        <f t="shared" si="0"/>
        <v>191472</v>
      </c>
    </row>
    <row r="28" spans="1:8" x14ac:dyDescent="0.35">
      <c r="A28" s="18">
        <v>46079</v>
      </c>
      <c r="C28" t="s">
        <v>21</v>
      </c>
      <c r="E28" t="s">
        <v>21</v>
      </c>
      <c r="F28" s="8">
        <v>35230</v>
      </c>
      <c r="H28" s="8">
        <f t="shared" si="0"/>
        <v>156242</v>
      </c>
    </row>
    <row r="29" spans="1:8" x14ac:dyDescent="0.35">
      <c r="A29" s="18">
        <v>46081</v>
      </c>
      <c r="C29" t="s">
        <v>23</v>
      </c>
      <c r="E29" t="s">
        <v>23</v>
      </c>
      <c r="F29" s="8">
        <v>7561</v>
      </c>
      <c r="H29" s="8">
        <f t="shared" si="0"/>
        <v>148681</v>
      </c>
    </row>
    <row r="30" spans="1:8" x14ac:dyDescent="0.35">
      <c r="A30" s="18">
        <v>46081</v>
      </c>
      <c r="C30" t="s">
        <v>22</v>
      </c>
      <c r="E30" t="s">
        <v>22</v>
      </c>
      <c r="F30" s="8">
        <v>1600</v>
      </c>
      <c r="H30" s="8">
        <f t="shared" si="0"/>
        <v>147081</v>
      </c>
    </row>
    <row r="31" spans="1:8" x14ac:dyDescent="0.35">
      <c r="A31" s="18">
        <v>46083</v>
      </c>
      <c r="C31" t="s">
        <v>22</v>
      </c>
      <c r="E31" t="s">
        <v>22</v>
      </c>
      <c r="F31" s="8">
        <v>1695</v>
      </c>
      <c r="H31" s="8">
        <f t="shared" si="0"/>
        <v>145386</v>
      </c>
    </row>
    <row r="32" spans="1:8" x14ac:dyDescent="0.35">
      <c r="A32" s="18">
        <v>46083</v>
      </c>
      <c r="C32" t="s">
        <v>21</v>
      </c>
      <c r="E32" t="s">
        <v>21</v>
      </c>
      <c r="F32" s="8">
        <v>58331</v>
      </c>
      <c r="H32" s="8">
        <f t="shared" si="0"/>
        <v>87055</v>
      </c>
    </row>
    <row r="33" spans="1:8" x14ac:dyDescent="0.35">
      <c r="A33" s="18">
        <v>46086</v>
      </c>
      <c r="C33" t="s">
        <v>22</v>
      </c>
      <c r="E33" t="s">
        <v>22</v>
      </c>
      <c r="F33" s="8">
        <v>4200</v>
      </c>
      <c r="H33" s="8">
        <f t="shared" si="0"/>
        <v>82855</v>
      </c>
    </row>
    <row r="34" spans="1:8" x14ac:dyDescent="0.35">
      <c r="A34" s="18">
        <v>46087</v>
      </c>
      <c r="C34" t="s">
        <v>21</v>
      </c>
      <c r="E34" t="s">
        <v>21</v>
      </c>
      <c r="F34" s="8">
        <v>41695</v>
      </c>
      <c r="H34" s="8">
        <f t="shared" si="0"/>
        <v>41160</v>
      </c>
    </row>
    <row r="35" spans="1:8" x14ac:dyDescent="0.35">
      <c r="A35" s="18">
        <v>46090</v>
      </c>
      <c r="C35" t="s">
        <v>24</v>
      </c>
      <c r="E35" t="s">
        <v>24</v>
      </c>
      <c r="F35" s="8">
        <v>12000</v>
      </c>
      <c r="H35" s="8">
        <f t="shared" si="0"/>
        <v>29160</v>
      </c>
    </row>
    <row r="36" spans="1:8" x14ac:dyDescent="0.35">
      <c r="A36" s="18">
        <v>46090</v>
      </c>
      <c r="G36" s="8">
        <v>50000</v>
      </c>
      <c r="H36" s="8">
        <f t="shared" si="0"/>
        <v>79160</v>
      </c>
    </row>
    <row r="37" spans="1:8" x14ac:dyDescent="0.35">
      <c r="A37" s="18">
        <v>46091</v>
      </c>
      <c r="C37" t="s">
        <v>22</v>
      </c>
      <c r="E37" t="s">
        <v>22</v>
      </c>
      <c r="F37" s="8">
        <v>1600</v>
      </c>
      <c r="H37" s="8">
        <f>++H35+G37-F37</f>
        <v>27560</v>
      </c>
    </row>
    <row r="38" spans="1:8" x14ac:dyDescent="0.35">
      <c r="A38" s="18">
        <v>46091</v>
      </c>
      <c r="C38" t="s">
        <v>21</v>
      </c>
      <c r="E38" t="s">
        <v>21</v>
      </c>
      <c r="F38" s="8">
        <v>94014</v>
      </c>
      <c r="H38" s="8">
        <f>++H37+G38-F38</f>
        <v>-66454</v>
      </c>
    </row>
    <row r="39" spans="1:8" x14ac:dyDescent="0.35">
      <c r="H39" s="8">
        <f>++H38+G39-F39</f>
        <v>-66454</v>
      </c>
    </row>
  </sheetData>
  <autoFilter ref="A1:G18" xr:uid="{DEBF2D16-F0CA-44D5-AA7D-10F14F89C776}">
    <sortState xmlns:xlrd2="http://schemas.microsoft.com/office/spreadsheetml/2017/richdata2" ref="A2:G25">
      <sortCondition ref="A1:A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0013-D89C-4CE9-80EE-8F13773CC836}">
  <dimension ref="B4:K27"/>
  <sheetViews>
    <sheetView topLeftCell="A15" zoomScale="145" zoomScaleNormal="145" workbookViewId="0">
      <selection activeCell="D17" sqref="D17"/>
    </sheetView>
  </sheetViews>
  <sheetFormatPr baseColWidth="10" defaultColWidth="11.453125" defaultRowHeight="14.5" x14ac:dyDescent="0.35"/>
  <cols>
    <col min="3" max="3" width="13.54296875" bestFit="1" customWidth="1"/>
    <col min="4" max="4" width="13.81640625" style="8" customWidth="1"/>
    <col min="5" max="5" width="12.7265625" style="8" bestFit="1" customWidth="1"/>
    <col min="11" max="11" width="12" bestFit="1" customWidth="1"/>
  </cols>
  <sheetData>
    <row r="4" spans="2:11" ht="20" thickBot="1" x14ac:dyDescent="0.5">
      <c r="B4" s="1" t="s">
        <v>0</v>
      </c>
      <c r="C4" s="1"/>
      <c r="D4" s="7"/>
      <c r="E4" s="7"/>
      <c r="F4" s="1"/>
      <c r="G4" s="1"/>
      <c r="H4" s="1"/>
      <c r="I4" s="1"/>
      <c r="J4" s="1"/>
      <c r="K4" s="1"/>
    </row>
    <row r="5" spans="2:11" ht="15" thickTop="1" x14ac:dyDescent="0.35"/>
    <row r="6" spans="2:11" x14ac:dyDescent="0.35">
      <c r="B6" s="13">
        <v>46050</v>
      </c>
      <c r="C6" s="2"/>
      <c r="D6" s="4"/>
      <c r="E6" s="9">
        <v>200000</v>
      </c>
      <c r="F6" s="2"/>
      <c r="G6" s="2"/>
      <c r="H6" s="2"/>
      <c r="I6" s="2"/>
      <c r="J6" s="2"/>
      <c r="K6" s="2"/>
    </row>
    <row r="7" spans="2:11" x14ac:dyDescent="0.35">
      <c r="B7" s="13">
        <v>46066</v>
      </c>
      <c r="C7" s="2"/>
      <c r="D7" s="4"/>
      <c r="E7" s="9">
        <v>164400</v>
      </c>
      <c r="F7" s="2"/>
      <c r="G7" s="2"/>
      <c r="H7" s="2"/>
      <c r="I7" s="2"/>
      <c r="J7" s="2"/>
      <c r="K7" s="2"/>
    </row>
    <row r="8" spans="2:11" x14ac:dyDescent="0.35">
      <c r="B8" s="2"/>
      <c r="C8" s="2"/>
      <c r="D8" s="4"/>
      <c r="E8" s="9">
        <f>SUM(E6:E7)</f>
        <v>364400</v>
      </c>
      <c r="F8" s="2"/>
      <c r="G8" s="2"/>
      <c r="H8" s="2"/>
      <c r="I8" s="2"/>
      <c r="J8" s="2"/>
      <c r="K8" s="2"/>
    </row>
    <row r="9" spans="2:11" x14ac:dyDescent="0.35">
      <c r="B9" s="2"/>
      <c r="C9" s="2"/>
      <c r="D9" s="10">
        <v>0</v>
      </c>
      <c r="E9" s="14">
        <f>E8</f>
        <v>364400</v>
      </c>
      <c r="F9" s="5"/>
      <c r="G9" s="2"/>
      <c r="H9" s="2"/>
      <c r="I9" s="2"/>
      <c r="J9" s="2"/>
      <c r="K9" s="2"/>
    </row>
    <row r="10" spans="2:11" x14ac:dyDescent="0.35">
      <c r="B10" s="2"/>
      <c r="C10" s="2"/>
      <c r="D10" s="15">
        <v>55700</v>
      </c>
      <c r="E10" s="11"/>
      <c r="F10" s="5"/>
      <c r="G10" s="2"/>
      <c r="H10" s="6">
        <f t="shared" ref="H10:H21" si="0">+H9+E9-D10</f>
        <v>308700</v>
      </c>
      <c r="I10" s="2"/>
      <c r="J10" s="2"/>
      <c r="K10" s="2"/>
    </row>
    <row r="11" spans="2:11" x14ac:dyDescent="0.35">
      <c r="B11" s="3">
        <v>46050</v>
      </c>
      <c r="C11" s="2" t="s">
        <v>1</v>
      </c>
      <c r="D11" s="15">
        <v>22487</v>
      </c>
      <c r="E11" s="11">
        <v>0</v>
      </c>
      <c r="F11" s="5"/>
      <c r="G11" s="2"/>
      <c r="H11" s="6">
        <f t="shared" si="0"/>
        <v>286213</v>
      </c>
      <c r="I11" s="2"/>
      <c r="J11" s="2"/>
      <c r="K11" s="2"/>
    </row>
    <row r="12" spans="2:11" x14ac:dyDescent="0.35">
      <c r="B12" s="2"/>
      <c r="C12" s="2"/>
      <c r="D12" s="16">
        <v>13140</v>
      </c>
      <c r="E12" s="4"/>
      <c r="F12" s="2"/>
      <c r="G12" s="2"/>
      <c r="H12" s="6">
        <f t="shared" si="0"/>
        <v>273073</v>
      </c>
      <c r="I12" s="2"/>
      <c r="J12" s="2"/>
      <c r="K12" s="2"/>
    </row>
    <row r="13" spans="2:11" x14ac:dyDescent="0.35">
      <c r="B13" s="2"/>
      <c r="C13" s="2"/>
      <c r="D13" s="17">
        <v>20200</v>
      </c>
      <c r="E13" s="4"/>
      <c r="F13" s="2"/>
      <c r="G13" s="2"/>
      <c r="H13" s="6">
        <f t="shared" si="0"/>
        <v>252873</v>
      </c>
      <c r="I13" s="2"/>
      <c r="J13" s="2"/>
      <c r="K13" s="2"/>
    </row>
    <row r="14" spans="2:11" x14ac:dyDescent="0.35">
      <c r="B14" s="2"/>
      <c r="C14" s="2"/>
      <c r="D14" s="16">
        <v>1800.06</v>
      </c>
      <c r="E14" s="4"/>
      <c r="F14" s="2"/>
      <c r="G14" s="2"/>
      <c r="H14" s="6">
        <f t="shared" si="0"/>
        <v>251072.94</v>
      </c>
      <c r="I14" s="2"/>
      <c r="J14" s="2"/>
      <c r="K14" s="2"/>
    </row>
    <row r="15" spans="2:11" x14ac:dyDescent="0.35">
      <c r="B15" s="2"/>
      <c r="C15" s="2"/>
      <c r="D15" s="16">
        <v>9695.48</v>
      </c>
      <c r="E15" s="4"/>
      <c r="F15" s="2"/>
      <c r="G15" s="2"/>
      <c r="H15" s="6">
        <f t="shared" si="0"/>
        <v>241377.46</v>
      </c>
      <c r="I15" s="2"/>
      <c r="J15" s="2"/>
      <c r="K15" s="2"/>
    </row>
    <row r="16" spans="2:11" x14ac:dyDescent="0.35">
      <c r="B16" s="2"/>
      <c r="C16" s="2"/>
      <c r="D16" s="16">
        <v>8995</v>
      </c>
      <c r="E16" s="4"/>
      <c r="F16" s="2"/>
      <c r="G16" s="2"/>
      <c r="H16" s="6">
        <f t="shared" si="0"/>
        <v>232382.46</v>
      </c>
      <c r="I16" s="2"/>
      <c r="J16" s="2"/>
      <c r="K16" s="2"/>
    </row>
    <row r="17" spans="2:11" x14ac:dyDescent="0.35">
      <c r="B17" s="2"/>
      <c r="C17" s="2"/>
      <c r="D17" s="16">
        <v>10050</v>
      </c>
      <c r="E17" s="4"/>
      <c r="F17" s="2"/>
      <c r="G17" s="2"/>
      <c r="H17" s="6">
        <f t="shared" si="0"/>
        <v>222332.46</v>
      </c>
      <c r="I17" s="2"/>
      <c r="J17" s="2"/>
      <c r="K17" s="2"/>
    </row>
    <row r="18" spans="2:11" x14ac:dyDescent="0.35">
      <c r="B18" s="2"/>
      <c r="C18" s="2"/>
      <c r="D18" s="16">
        <v>4245</v>
      </c>
      <c r="E18" s="4"/>
      <c r="F18" s="2"/>
      <c r="G18" s="2"/>
      <c r="H18" s="6">
        <f t="shared" si="0"/>
        <v>218087.46</v>
      </c>
      <c r="I18" s="2"/>
      <c r="J18" s="2"/>
      <c r="K18" s="2"/>
    </row>
    <row r="19" spans="2:11" x14ac:dyDescent="0.35">
      <c r="B19" s="2"/>
      <c r="C19" s="2"/>
      <c r="D19" s="16">
        <v>16375</v>
      </c>
      <c r="E19" s="4"/>
      <c r="F19" s="2"/>
      <c r="G19" s="2"/>
      <c r="H19" s="6">
        <f t="shared" si="0"/>
        <v>201712.46</v>
      </c>
      <c r="I19" s="2"/>
      <c r="J19" s="2"/>
      <c r="K19" s="2"/>
    </row>
    <row r="20" spans="2:11" x14ac:dyDescent="0.35">
      <c r="B20" s="2"/>
      <c r="C20" s="2"/>
      <c r="D20" s="16">
        <v>1445</v>
      </c>
      <c r="E20" s="4"/>
      <c r="F20" s="2"/>
      <c r="G20" s="2"/>
      <c r="H20" s="6">
        <f t="shared" si="0"/>
        <v>200267.46</v>
      </c>
      <c r="I20" s="2"/>
      <c r="J20" s="2"/>
      <c r="K20" s="2"/>
    </row>
    <row r="21" spans="2:11" x14ac:dyDescent="0.35">
      <c r="B21" s="2"/>
      <c r="C21" s="2"/>
      <c r="D21" s="16">
        <v>23070</v>
      </c>
      <c r="E21" s="4"/>
      <c r="F21" s="2"/>
      <c r="G21" s="2"/>
      <c r="H21" s="6">
        <f t="shared" si="0"/>
        <v>177197.46</v>
      </c>
      <c r="I21" s="2"/>
      <c r="J21" s="2"/>
      <c r="K21" s="2"/>
    </row>
    <row r="22" spans="2:11" x14ac:dyDescent="0.35">
      <c r="B22" s="2"/>
      <c r="C22" s="2"/>
      <c r="D22" s="16">
        <v>6300</v>
      </c>
      <c r="E22" s="4"/>
      <c r="F22" s="2"/>
      <c r="G22" s="2"/>
      <c r="H22" s="6">
        <f t="shared" ref="H22:H27" si="1">+H21+E21-D22</f>
        <v>170897.46</v>
      </c>
      <c r="I22" s="2"/>
      <c r="J22" s="2"/>
      <c r="K22" s="2"/>
    </row>
    <row r="23" spans="2:11" x14ac:dyDescent="0.35">
      <c r="B23" s="2"/>
      <c r="C23" s="2"/>
      <c r="D23" s="16">
        <v>1050</v>
      </c>
      <c r="E23" s="4"/>
      <c r="F23" s="2"/>
      <c r="G23" s="2"/>
      <c r="H23" s="6">
        <f t="shared" si="1"/>
        <v>169847.46</v>
      </c>
      <c r="I23" s="2"/>
      <c r="J23" s="2"/>
      <c r="K23" s="2"/>
    </row>
    <row r="24" spans="2:11" x14ac:dyDescent="0.35">
      <c r="H24" s="6">
        <f t="shared" si="1"/>
        <v>169847.46</v>
      </c>
    </row>
    <row r="25" spans="2:11" x14ac:dyDescent="0.35">
      <c r="H25" s="6">
        <f t="shared" si="1"/>
        <v>169847.46</v>
      </c>
      <c r="K25" s="12">
        <f>E9-D26</f>
        <v>169847.46000000002</v>
      </c>
    </row>
    <row r="26" spans="2:11" x14ac:dyDescent="0.35">
      <c r="D26" s="8">
        <f>SUM(D10:D25)</f>
        <v>194552.53999999998</v>
      </c>
      <c r="H26" s="6">
        <f t="shared" si="1"/>
        <v>-24705.079999999987</v>
      </c>
    </row>
    <row r="27" spans="2:11" x14ac:dyDescent="0.35">
      <c r="H27" s="6">
        <f t="shared" si="1"/>
        <v>-24705.079999999987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gaby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Maria Chacon Benavides</dc:creator>
  <cp:lastModifiedBy>Gabriela Maria Chacon Benavides</cp:lastModifiedBy>
  <dcterms:created xsi:type="dcterms:W3CDTF">2026-02-04T14:08:10Z</dcterms:created>
  <dcterms:modified xsi:type="dcterms:W3CDTF">2026-03-13T21:13:36Z</dcterms:modified>
</cp:coreProperties>
</file>