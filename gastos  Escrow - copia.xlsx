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edwin\Dropbox\Espacio familiar\1-CONSTRUCCION\PGE B31 - Dave Corredor\CONSTRUCCIÓN\0-contabilidad\contabilidad revisada para DAve\250818 para dave\"/>
    </mc:Choice>
  </mc:AlternateContent>
  <xr:revisionPtr revIDLastSave="0" documentId="13_ncr:1_{567FD2EB-F019-42EA-B4BC-572A30695E4D}" xr6:coauthVersionLast="47" xr6:coauthVersionMax="47" xr10:uidLastSave="{00000000-0000-0000-0000-000000000000}"/>
  <bookViews>
    <workbookView minimized="1" xWindow="2295" yWindow="2295" windowWidth="21600" windowHeight="11295" firstSheet="1" activeTab="1" xr2:uid="{33D2D073-C8E1-4CCB-965D-F484118B822E}"/>
  </bookViews>
  <sheets>
    <sheet name="RESUMEN" sheetId="7" r:id="rId1"/>
    <sheet name="CIERRE de b31" sheetId="8" r:id="rId2"/>
    <sheet name="2024 c30" sheetId="1" r:id="rId3"/>
    <sheet name="2024 b31" sheetId="4" r:id="rId4"/>
    <sheet name="2025 b31" sheetId="6" r:id="rId5"/>
  </sheets>
  <definedNames>
    <definedName name="_xlnm._FilterDatabase" localSheetId="3" hidden="1">'2024 b31'!$A$7:$W$2987</definedName>
    <definedName name="_xlnm._FilterDatabase" localSheetId="2" hidden="1">'2024 c30'!$A$7:$W$2992</definedName>
    <definedName name="_xlnm._FilterDatabase" localSheetId="4" hidden="1">'2025 b31'!$A$7:$Y$9</definedName>
    <definedName name="_xlnm._FilterDatabase" localSheetId="1" hidden="1">'CIERRE de b31'!$B$1:$E$25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8" l="1"/>
  <c r="B32" i="8"/>
  <c r="B34" i="8" s="1"/>
  <c r="C8" i="8" l="1"/>
  <c r="C16" i="8"/>
  <c r="C21" i="8"/>
  <c r="C15" i="8"/>
  <c r="C4" i="8"/>
  <c r="C18" i="8"/>
  <c r="C6" i="8"/>
  <c r="C17" i="8"/>
  <c r="C9" i="8"/>
  <c r="C2" i="8"/>
  <c r="C3" i="8"/>
  <c r="C13" i="8" l="1"/>
  <c r="C23" i="8"/>
  <c r="C27" i="8" l="1"/>
  <c r="F10" i="7" s="1"/>
  <c r="F12" i="7" s="1"/>
  <c r="F8" i="7"/>
  <c r="E5" i="7"/>
  <c r="F5" i="7"/>
  <c r="F4" i="7"/>
  <c r="E4" i="7"/>
  <c r="F3" i="7"/>
  <c r="E3" i="7"/>
  <c r="D3" i="7"/>
  <c r="D5" i="7" s="1"/>
  <c r="C3" i="7"/>
  <c r="C5" i="7" s="1"/>
  <c r="D8" i="7" s="1"/>
  <c r="Q1399" i="6" l="1"/>
  <c r="R1399" i="6"/>
  <c r="S1399" i="6"/>
  <c r="P1399" i="6"/>
  <c r="M1398" i="6"/>
  <c r="O1398" i="6" s="1"/>
  <c r="L1398" i="6"/>
  <c r="N1398" i="6" s="1"/>
  <c r="K1398" i="6"/>
  <c r="J1398" i="6"/>
  <c r="G1398" i="6"/>
  <c r="F1398" i="6"/>
  <c r="E1398" i="6"/>
  <c r="D1398" i="6"/>
  <c r="C1398" i="6"/>
  <c r="B1398" i="6"/>
  <c r="N1397" i="6"/>
  <c r="M1397" i="6"/>
  <c r="O1397" i="6" s="1"/>
  <c r="L1397" i="6"/>
  <c r="K1397" i="6"/>
  <c r="J1397" i="6"/>
  <c r="G1397" i="6"/>
  <c r="F1397" i="6"/>
  <c r="E1397" i="6"/>
  <c r="D1397" i="6"/>
  <c r="C1397" i="6"/>
  <c r="B1397" i="6"/>
  <c r="M1396" i="6"/>
  <c r="O1396" i="6" s="1"/>
  <c r="L1396" i="6"/>
  <c r="N1396" i="6" s="1"/>
  <c r="K1396" i="6"/>
  <c r="J1396" i="6"/>
  <c r="G1396" i="6"/>
  <c r="C1396" i="6" s="1"/>
  <c r="F1396" i="6"/>
  <c r="E1396" i="6"/>
  <c r="D1396" i="6"/>
  <c r="B1396" i="6"/>
  <c r="M1395" i="6"/>
  <c r="O1395" i="6" s="1"/>
  <c r="L1395" i="6"/>
  <c r="N1395" i="6" s="1"/>
  <c r="K1395" i="6"/>
  <c r="J1395" i="6"/>
  <c r="G1395" i="6"/>
  <c r="C1395" i="6" s="1"/>
  <c r="F1395" i="6"/>
  <c r="E1395" i="6"/>
  <c r="D1395" i="6"/>
  <c r="M1394" i="6"/>
  <c r="O1394" i="6" s="1"/>
  <c r="L1394" i="6"/>
  <c r="N1394" i="6" s="1"/>
  <c r="K1394" i="6"/>
  <c r="J1394" i="6"/>
  <c r="G1394" i="6"/>
  <c r="C1394" i="6" s="1"/>
  <c r="F1394" i="6"/>
  <c r="E1394" i="6"/>
  <c r="D1394" i="6"/>
  <c r="M1393" i="6"/>
  <c r="O1393" i="6" s="1"/>
  <c r="L1393" i="6"/>
  <c r="N1393" i="6" s="1"/>
  <c r="K1393" i="6"/>
  <c r="J1393" i="6"/>
  <c r="G1393" i="6"/>
  <c r="C1393" i="6" s="1"/>
  <c r="F1393" i="6"/>
  <c r="E1393" i="6"/>
  <c r="D1393" i="6"/>
  <c r="M1392" i="6"/>
  <c r="O1392" i="6" s="1"/>
  <c r="L1392" i="6"/>
  <c r="N1392" i="6" s="1"/>
  <c r="K1392" i="6"/>
  <c r="J1392" i="6"/>
  <c r="G1392" i="6"/>
  <c r="F1392" i="6"/>
  <c r="E1392" i="6"/>
  <c r="D1392" i="6"/>
  <c r="M1391" i="6"/>
  <c r="O1391" i="6" s="1"/>
  <c r="L1391" i="6"/>
  <c r="N1391" i="6" s="1"/>
  <c r="K1391" i="6"/>
  <c r="J1391" i="6"/>
  <c r="G1391" i="6"/>
  <c r="C1391" i="6" s="1"/>
  <c r="F1391" i="6"/>
  <c r="E1391" i="6"/>
  <c r="D1391" i="6"/>
  <c r="M1390" i="6"/>
  <c r="O1390" i="6" s="1"/>
  <c r="L1390" i="6"/>
  <c r="N1390" i="6" s="1"/>
  <c r="K1390" i="6"/>
  <c r="J1390" i="6"/>
  <c r="G1390" i="6"/>
  <c r="C1390" i="6" s="1"/>
  <c r="F1390" i="6"/>
  <c r="E1390" i="6"/>
  <c r="D1390" i="6"/>
  <c r="M1389" i="6"/>
  <c r="O1389" i="6" s="1"/>
  <c r="L1389" i="6"/>
  <c r="N1389" i="6" s="1"/>
  <c r="K1389" i="6"/>
  <c r="J1389" i="6"/>
  <c r="G1389" i="6"/>
  <c r="C1389" i="6" s="1"/>
  <c r="F1389" i="6"/>
  <c r="E1389" i="6"/>
  <c r="D1389" i="6"/>
  <c r="M1388" i="6"/>
  <c r="O1388" i="6" s="1"/>
  <c r="L1388" i="6"/>
  <c r="N1388" i="6" s="1"/>
  <c r="K1388" i="6"/>
  <c r="J1388" i="6"/>
  <c r="G1388" i="6"/>
  <c r="B1388" i="6" s="1"/>
  <c r="F1388" i="6"/>
  <c r="E1388" i="6"/>
  <c r="D1388" i="6"/>
  <c r="M1387" i="6"/>
  <c r="O1387" i="6" s="1"/>
  <c r="L1387" i="6"/>
  <c r="N1387" i="6" s="1"/>
  <c r="K1387" i="6"/>
  <c r="J1387" i="6"/>
  <c r="G1387" i="6"/>
  <c r="C1387" i="6" s="1"/>
  <c r="F1387" i="6"/>
  <c r="E1387" i="6"/>
  <c r="D1387" i="6"/>
  <c r="B1387" i="6"/>
  <c r="M1386" i="6"/>
  <c r="O1386" i="6" s="1"/>
  <c r="L1386" i="6"/>
  <c r="N1386" i="6" s="1"/>
  <c r="K1386" i="6"/>
  <c r="J1386" i="6"/>
  <c r="G1386" i="6"/>
  <c r="B1386" i="6" s="1"/>
  <c r="F1386" i="6"/>
  <c r="E1386" i="6"/>
  <c r="D1386" i="6"/>
  <c r="C1386" i="6"/>
  <c r="N1385" i="6"/>
  <c r="M1385" i="6"/>
  <c r="O1385" i="6" s="1"/>
  <c r="L1385" i="6"/>
  <c r="K1385" i="6"/>
  <c r="J1385" i="6"/>
  <c r="G1385" i="6"/>
  <c r="F1385" i="6"/>
  <c r="E1385" i="6"/>
  <c r="D1385" i="6"/>
  <c r="C1385" i="6"/>
  <c r="B1385" i="6"/>
  <c r="M1384" i="6"/>
  <c r="O1384" i="6" s="1"/>
  <c r="L1384" i="6"/>
  <c r="N1384" i="6" s="1"/>
  <c r="K1384" i="6"/>
  <c r="J1384" i="6"/>
  <c r="G1384" i="6"/>
  <c r="F1384" i="6"/>
  <c r="E1384" i="6"/>
  <c r="D1384" i="6"/>
  <c r="C1384" i="6"/>
  <c r="B1384" i="6"/>
  <c r="M1383" i="6"/>
  <c r="O1383" i="6" s="1"/>
  <c r="L1383" i="6"/>
  <c r="N1383" i="6" s="1"/>
  <c r="K1383" i="6"/>
  <c r="J1383" i="6"/>
  <c r="G1383" i="6"/>
  <c r="F1383" i="6"/>
  <c r="E1383" i="6"/>
  <c r="D1383" i="6"/>
  <c r="C1383" i="6"/>
  <c r="B1383" i="6"/>
  <c r="M1382" i="6"/>
  <c r="O1382" i="6" s="1"/>
  <c r="L1382" i="6"/>
  <c r="N1382" i="6" s="1"/>
  <c r="K1382" i="6"/>
  <c r="J1382" i="6"/>
  <c r="G1382" i="6"/>
  <c r="C1382" i="6" s="1"/>
  <c r="F1382" i="6"/>
  <c r="E1382" i="6"/>
  <c r="D1382" i="6"/>
  <c r="M1381" i="6"/>
  <c r="O1381" i="6" s="1"/>
  <c r="L1381" i="6"/>
  <c r="N1381" i="6" s="1"/>
  <c r="K1381" i="6"/>
  <c r="J1381" i="6"/>
  <c r="G1381" i="6"/>
  <c r="C1381" i="6" s="1"/>
  <c r="F1381" i="6"/>
  <c r="E1381" i="6"/>
  <c r="D1381" i="6"/>
  <c r="M1380" i="6"/>
  <c r="O1380" i="6" s="1"/>
  <c r="L1380" i="6"/>
  <c r="N1380" i="6" s="1"/>
  <c r="K1380" i="6"/>
  <c r="J1380" i="6"/>
  <c r="G1380" i="6"/>
  <c r="F1380" i="6"/>
  <c r="E1380" i="6"/>
  <c r="D1380" i="6"/>
  <c r="M1379" i="6"/>
  <c r="O1379" i="6" s="1"/>
  <c r="L1379" i="6"/>
  <c r="N1379" i="6" s="1"/>
  <c r="K1379" i="6"/>
  <c r="J1379" i="6"/>
  <c r="G1379" i="6"/>
  <c r="C1379" i="6" s="1"/>
  <c r="F1379" i="6"/>
  <c r="E1379" i="6"/>
  <c r="D1379" i="6"/>
  <c r="M1378" i="6"/>
  <c r="O1378" i="6" s="1"/>
  <c r="L1378" i="6"/>
  <c r="N1378" i="6" s="1"/>
  <c r="K1378" i="6"/>
  <c r="J1378" i="6"/>
  <c r="G1378" i="6"/>
  <c r="C1378" i="6" s="1"/>
  <c r="F1378" i="6"/>
  <c r="E1378" i="6"/>
  <c r="D1378" i="6"/>
  <c r="M1377" i="6"/>
  <c r="O1377" i="6" s="1"/>
  <c r="L1377" i="6"/>
  <c r="N1377" i="6" s="1"/>
  <c r="K1377" i="6"/>
  <c r="J1377" i="6"/>
  <c r="G1377" i="6"/>
  <c r="C1377" i="6" s="1"/>
  <c r="F1377" i="6"/>
  <c r="E1377" i="6"/>
  <c r="D1377" i="6"/>
  <c r="M1376" i="6"/>
  <c r="O1376" i="6" s="1"/>
  <c r="L1376" i="6"/>
  <c r="N1376" i="6" s="1"/>
  <c r="K1376" i="6"/>
  <c r="J1376" i="6"/>
  <c r="G1376" i="6"/>
  <c r="B1376" i="6" s="1"/>
  <c r="F1376" i="6"/>
  <c r="E1376" i="6"/>
  <c r="D1376" i="6"/>
  <c r="C1376" i="6"/>
  <c r="M1375" i="6"/>
  <c r="O1375" i="6" s="1"/>
  <c r="L1375" i="6"/>
  <c r="N1375" i="6" s="1"/>
  <c r="K1375" i="6"/>
  <c r="J1375" i="6"/>
  <c r="G1375" i="6"/>
  <c r="F1375" i="6"/>
  <c r="E1375" i="6"/>
  <c r="D1375" i="6"/>
  <c r="C1375" i="6"/>
  <c r="B1375" i="6"/>
  <c r="M1374" i="6"/>
  <c r="O1374" i="6" s="1"/>
  <c r="L1374" i="6"/>
  <c r="N1374" i="6" s="1"/>
  <c r="K1374" i="6"/>
  <c r="J1374" i="6"/>
  <c r="G1374" i="6"/>
  <c r="C1374" i="6" s="1"/>
  <c r="F1374" i="6"/>
  <c r="E1374" i="6"/>
  <c r="D1374" i="6"/>
  <c r="M1373" i="6"/>
  <c r="O1373" i="6" s="1"/>
  <c r="L1373" i="6"/>
  <c r="N1373" i="6" s="1"/>
  <c r="K1373" i="6"/>
  <c r="J1373" i="6"/>
  <c r="G1373" i="6"/>
  <c r="C1373" i="6" s="1"/>
  <c r="F1373" i="6"/>
  <c r="E1373" i="6"/>
  <c r="D1373" i="6"/>
  <c r="N1372" i="6"/>
  <c r="M1372" i="6"/>
  <c r="O1372" i="6" s="1"/>
  <c r="L1372" i="6"/>
  <c r="K1372" i="6"/>
  <c r="J1372" i="6"/>
  <c r="G1372" i="6"/>
  <c r="B1372" i="6" s="1"/>
  <c r="F1372" i="6"/>
  <c r="E1372" i="6"/>
  <c r="D1372" i="6"/>
  <c r="C1372" i="6"/>
  <c r="M1371" i="6"/>
  <c r="O1371" i="6" s="1"/>
  <c r="L1371" i="6"/>
  <c r="N1371" i="6" s="1"/>
  <c r="K1371" i="6"/>
  <c r="J1371" i="6"/>
  <c r="G1371" i="6"/>
  <c r="C1371" i="6" s="1"/>
  <c r="F1371" i="6"/>
  <c r="E1371" i="6"/>
  <c r="D1371" i="6"/>
  <c r="B1371" i="6"/>
  <c r="M1370" i="6"/>
  <c r="O1370" i="6" s="1"/>
  <c r="L1370" i="6"/>
  <c r="N1370" i="6" s="1"/>
  <c r="K1370" i="6"/>
  <c r="J1370" i="6"/>
  <c r="G1370" i="6"/>
  <c r="C1370" i="6" s="1"/>
  <c r="F1370" i="6"/>
  <c r="E1370" i="6"/>
  <c r="D1370" i="6"/>
  <c r="M1369" i="6"/>
  <c r="O1369" i="6" s="1"/>
  <c r="L1369" i="6"/>
  <c r="N1369" i="6" s="1"/>
  <c r="K1369" i="6"/>
  <c r="J1369" i="6"/>
  <c r="G1369" i="6"/>
  <c r="F1369" i="6"/>
  <c r="E1369" i="6"/>
  <c r="D1369" i="6"/>
  <c r="M1368" i="6"/>
  <c r="O1368" i="6" s="1"/>
  <c r="L1368" i="6"/>
  <c r="N1368" i="6" s="1"/>
  <c r="K1368" i="6"/>
  <c r="J1368" i="6"/>
  <c r="G1368" i="6"/>
  <c r="F1368" i="6"/>
  <c r="E1368" i="6"/>
  <c r="D1368" i="6"/>
  <c r="M1367" i="6"/>
  <c r="O1367" i="6" s="1"/>
  <c r="L1367" i="6"/>
  <c r="N1367" i="6" s="1"/>
  <c r="K1367" i="6"/>
  <c r="J1367" i="6"/>
  <c r="G1367" i="6"/>
  <c r="C1367" i="6" s="1"/>
  <c r="F1367" i="6"/>
  <c r="E1367" i="6"/>
  <c r="D1367" i="6"/>
  <c r="M1366" i="6"/>
  <c r="O1366" i="6" s="1"/>
  <c r="L1366" i="6"/>
  <c r="N1366" i="6" s="1"/>
  <c r="K1366" i="6"/>
  <c r="J1366" i="6"/>
  <c r="G1366" i="6"/>
  <c r="F1366" i="6"/>
  <c r="E1366" i="6"/>
  <c r="D1366" i="6"/>
  <c r="M1365" i="6"/>
  <c r="O1365" i="6" s="1"/>
  <c r="L1365" i="6"/>
  <c r="N1365" i="6" s="1"/>
  <c r="K1365" i="6"/>
  <c r="J1365" i="6"/>
  <c r="G1365" i="6"/>
  <c r="F1365" i="6"/>
  <c r="E1365" i="6"/>
  <c r="D1365" i="6"/>
  <c r="M1364" i="6"/>
  <c r="O1364" i="6" s="1"/>
  <c r="L1364" i="6"/>
  <c r="N1364" i="6" s="1"/>
  <c r="K1364" i="6"/>
  <c r="J1364" i="6"/>
  <c r="G1364" i="6"/>
  <c r="B1364" i="6" s="1"/>
  <c r="F1364" i="6"/>
  <c r="E1364" i="6"/>
  <c r="D1364" i="6"/>
  <c r="C1364" i="6"/>
  <c r="M1363" i="6"/>
  <c r="O1363" i="6" s="1"/>
  <c r="L1363" i="6"/>
  <c r="N1363" i="6" s="1"/>
  <c r="K1363" i="6"/>
  <c r="J1363" i="6"/>
  <c r="G1363" i="6"/>
  <c r="C1363" i="6" s="1"/>
  <c r="F1363" i="6"/>
  <c r="E1363" i="6"/>
  <c r="D1363" i="6"/>
  <c r="B1363" i="6"/>
  <c r="M1362" i="6"/>
  <c r="O1362" i="6" s="1"/>
  <c r="L1362" i="6"/>
  <c r="N1362" i="6" s="1"/>
  <c r="K1362" i="6"/>
  <c r="J1362" i="6"/>
  <c r="G1362" i="6"/>
  <c r="F1362" i="6"/>
  <c r="E1362" i="6"/>
  <c r="D1362" i="6"/>
  <c r="C1362" i="6"/>
  <c r="B1362" i="6"/>
  <c r="M1361" i="6"/>
  <c r="O1361" i="6" s="1"/>
  <c r="L1361" i="6"/>
  <c r="N1361" i="6" s="1"/>
  <c r="K1361" i="6"/>
  <c r="J1361" i="6"/>
  <c r="G1361" i="6"/>
  <c r="C1361" i="6" s="1"/>
  <c r="F1361" i="6"/>
  <c r="E1361" i="6"/>
  <c r="D1361" i="6"/>
  <c r="M1360" i="6"/>
  <c r="O1360" i="6" s="1"/>
  <c r="L1360" i="6"/>
  <c r="N1360" i="6" s="1"/>
  <c r="K1360" i="6"/>
  <c r="J1360" i="6"/>
  <c r="G1360" i="6"/>
  <c r="C1360" i="6" s="1"/>
  <c r="F1360" i="6"/>
  <c r="E1360" i="6"/>
  <c r="D1360" i="6"/>
  <c r="M1359" i="6"/>
  <c r="O1359" i="6" s="1"/>
  <c r="L1359" i="6"/>
  <c r="N1359" i="6" s="1"/>
  <c r="K1359" i="6"/>
  <c r="J1359" i="6"/>
  <c r="G1359" i="6"/>
  <c r="C1359" i="6" s="1"/>
  <c r="F1359" i="6"/>
  <c r="E1359" i="6"/>
  <c r="D1359" i="6"/>
  <c r="M1358" i="6"/>
  <c r="O1358" i="6" s="1"/>
  <c r="L1358" i="6"/>
  <c r="N1358" i="6" s="1"/>
  <c r="K1358" i="6"/>
  <c r="J1358" i="6"/>
  <c r="G1358" i="6"/>
  <c r="C1358" i="6" s="1"/>
  <c r="F1358" i="6"/>
  <c r="E1358" i="6"/>
  <c r="D1358" i="6"/>
  <c r="M1357" i="6"/>
  <c r="O1357" i="6" s="1"/>
  <c r="L1357" i="6"/>
  <c r="N1357" i="6" s="1"/>
  <c r="K1357" i="6"/>
  <c r="J1357" i="6"/>
  <c r="G1357" i="6"/>
  <c r="B1357" i="6" s="1"/>
  <c r="F1357" i="6"/>
  <c r="E1357" i="6"/>
  <c r="D1357" i="6"/>
  <c r="C1357" i="6"/>
  <c r="M1356" i="6"/>
  <c r="O1356" i="6" s="1"/>
  <c r="L1356" i="6"/>
  <c r="N1356" i="6" s="1"/>
  <c r="K1356" i="6"/>
  <c r="J1356" i="6"/>
  <c r="G1356" i="6"/>
  <c r="F1356" i="6"/>
  <c r="E1356" i="6"/>
  <c r="D1356" i="6"/>
  <c r="M1355" i="6"/>
  <c r="O1355" i="6" s="1"/>
  <c r="L1355" i="6"/>
  <c r="N1355" i="6" s="1"/>
  <c r="K1355" i="6"/>
  <c r="J1355" i="6"/>
  <c r="G1355" i="6"/>
  <c r="C1355" i="6" s="1"/>
  <c r="F1355" i="6"/>
  <c r="E1355" i="6"/>
  <c r="D1355" i="6"/>
  <c r="M1354" i="6"/>
  <c r="O1354" i="6" s="1"/>
  <c r="L1354" i="6"/>
  <c r="N1354" i="6" s="1"/>
  <c r="K1354" i="6"/>
  <c r="J1354" i="6"/>
  <c r="G1354" i="6"/>
  <c r="F1354" i="6"/>
  <c r="E1354" i="6"/>
  <c r="D1354" i="6"/>
  <c r="M1353" i="6"/>
  <c r="O1353" i="6" s="1"/>
  <c r="L1353" i="6"/>
  <c r="N1353" i="6" s="1"/>
  <c r="K1353" i="6"/>
  <c r="J1353" i="6"/>
  <c r="G1353" i="6"/>
  <c r="F1353" i="6"/>
  <c r="E1353" i="6"/>
  <c r="D1353" i="6"/>
  <c r="M1352" i="6"/>
  <c r="O1352" i="6" s="1"/>
  <c r="L1352" i="6"/>
  <c r="N1352" i="6" s="1"/>
  <c r="K1352" i="6"/>
  <c r="J1352" i="6"/>
  <c r="G1352" i="6"/>
  <c r="B1352" i="6" s="1"/>
  <c r="F1352" i="6"/>
  <c r="E1352" i="6"/>
  <c r="D1352" i="6"/>
  <c r="C1352" i="6"/>
  <c r="M1351" i="6"/>
  <c r="O1351" i="6" s="1"/>
  <c r="L1351" i="6"/>
  <c r="N1351" i="6" s="1"/>
  <c r="K1351" i="6"/>
  <c r="J1351" i="6"/>
  <c r="G1351" i="6"/>
  <c r="F1351" i="6"/>
  <c r="E1351" i="6"/>
  <c r="D1351" i="6"/>
  <c r="M1350" i="6"/>
  <c r="O1350" i="6" s="1"/>
  <c r="L1350" i="6"/>
  <c r="N1350" i="6" s="1"/>
  <c r="K1350" i="6"/>
  <c r="J1350" i="6"/>
  <c r="G1350" i="6"/>
  <c r="C1350" i="6" s="1"/>
  <c r="F1350" i="6"/>
  <c r="E1350" i="6"/>
  <c r="D1350" i="6"/>
  <c r="N1349" i="6"/>
  <c r="M1349" i="6"/>
  <c r="O1349" i="6" s="1"/>
  <c r="L1349" i="6"/>
  <c r="K1349" i="6"/>
  <c r="J1349" i="6"/>
  <c r="G1349" i="6"/>
  <c r="C1349" i="6" s="1"/>
  <c r="F1349" i="6"/>
  <c r="E1349" i="6"/>
  <c r="D1349" i="6"/>
  <c r="M1348" i="6"/>
  <c r="O1348" i="6" s="1"/>
  <c r="L1348" i="6"/>
  <c r="N1348" i="6" s="1"/>
  <c r="K1348" i="6"/>
  <c r="J1348" i="6"/>
  <c r="G1348" i="6"/>
  <c r="B1348" i="6" s="1"/>
  <c r="F1348" i="6"/>
  <c r="E1348" i="6"/>
  <c r="D1348" i="6"/>
  <c r="C1348" i="6"/>
  <c r="M1347" i="6"/>
  <c r="O1347" i="6" s="1"/>
  <c r="L1347" i="6"/>
  <c r="N1347" i="6" s="1"/>
  <c r="K1347" i="6"/>
  <c r="J1347" i="6"/>
  <c r="G1347" i="6"/>
  <c r="C1347" i="6" s="1"/>
  <c r="F1347" i="6"/>
  <c r="E1347" i="6"/>
  <c r="D1347" i="6"/>
  <c r="N1346" i="6"/>
  <c r="M1346" i="6"/>
  <c r="O1346" i="6" s="1"/>
  <c r="L1346" i="6"/>
  <c r="K1346" i="6"/>
  <c r="J1346" i="6"/>
  <c r="G1346" i="6"/>
  <c r="B1346" i="6" s="1"/>
  <c r="F1346" i="6"/>
  <c r="E1346" i="6"/>
  <c r="D1346" i="6"/>
  <c r="C1346" i="6"/>
  <c r="M1345" i="6"/>
  <c r="O1345" i="6" s="1"/>
  <c r="L1345" i="6"/>
  <c r="N1345" i="6" s="1"/>
  <c r="K1345" i="6"/>
  <c r="J1345" i="6"/>
  <c r="G1345" i="6"/>
  <c r="B1345" i="6" s="1"/>
  <c r="F1345" i="6"/>
  <c r="E1345" i="6"/>
  <c r="D1345" i="6"/>
  <c r="C1345" i="6"/>
  <c r="M1344" i="6"/>
  <c r="O1344" i="6" s="1"/>
  <c r="L1344" i="6"/>
  <c r="N1344" i="6" s="1"/>
  <c r="K1344" i="6"/>
  <c r="J1344" i="6"/>
  <c r="G1344" i="6"/>
  <c r="F1344" i="6"/>
  <c r="E1344" i="6"/>
  <c r="D1344" i="6"/>
  <c r="M1343" i="6"/>
  <c r="O1343" i="6" s="1"/>
  <c r="L1343" i="6"/>
  <c r="N1343" i="6" s="1"/>
  <c r="K1343" i="6"/>
  <c r="J1343" i="6"/>
  <c r="G1343" i="6"/>
  <c r="C1343" i="6" s="1"/>
  <c r="F1343" i="6"/>
  <c r="E1343" i="6"/>
  <c r="D1343" i="6"/>
  <c r="M1342" i="6"/>
  <c r="O1342" i="6" s="1"/>
  <c r="L1342" i="6"/>
  <c r="N1342" i="6" s="1"/>
  <c r="K1342" i="6"/>
  <c r="J1342" i="6"/>
  <c r="G1342" i="6"/>
  <c r="F1342" i="6"/>
  <c r="E1342" i="6"/>
  <c r="D1342" i="6"/>
  <c r="M1341" i="6"/>
  <c r="O1341" i="6" s="1"/>
  <c r="L1341" i="6"/>
  <c r="N1341" i="6" s="1"/>
  <c r="K1341" i="6"/>
  <c r="J1341" i="6"/>
  <c r="G1341" i="6"/>
  <c r="F1341" i="6"/>
  <c r="E1341" i="6"/>
  <c r="D1341" i="6"/>
  <c r="M1340" i="6"/>
  <c r="O1340" i="6" s="1"/>
  <c r="L1340" i="6"/>
  <c r="N1340" i="6" s="1"/>
  <c r="K1340" i="6"/>
  <c r="J1340" i="6"/>
  <c r="G1340" i="6"/>
  <c r="B1340" i="6" s="1"/>
  <c r="F1340" i="6"/>
  <c r="E1340" i="6"/>
  <c r="D1340" i="6"/>
  <c r="M1339" i="6"/>
  <c r="O1339" i="6" s="1"/>
  <c r="L1339" i="6"/>
  <c r="N1339" i="6" s="1"/>
  <c r="K1339" i="6"/>
  <c r="J1339" i="6"/>
  <c r="G1339" i="6"/>
  <c r="C1339" i="6" s="1"/>
  <c r="F1339" i="6"/>
  <c r="E1339" i="6"/>
  <c r="D1339" i="6"/>
  <c r="M1338" i="6"/>
  <c r="O1338" i="6" s="1"/>
  <c r="L1338" i="6"/>
  <c r="N1338" i="6" s="1"/>
  <c r="K1338" i="6"/>
  <c r="J1338" i="6"/>
  <c r="M1337" i="6"/>
  <c r="O1337" i="6" s="1"/>
  <c r="L1337" i="6"/>
  <c r="N1337" i="6" s="1"/>
  <c r="K1337" i="6"/>
  <c r="J1337" i="6"/>
  <c r="M1336" i="6"/>
  <c r="O1336" i="6" s="1"/>
  <c r="L1336" i="6"/>
  <c r="N1336" i="6" s="1"/>
  <c r="K1336" i="6"/>
  <c r="J1336" i="6"/>
  <c r="M1335" i="6"/>
  <c r="O1335" i="6" s="1"/>
  <c r="L1335" i="6"/>
  <c r="N1335" i="6" s="1"/>
  <c r="K1335" i="6"/>
  <c r="J1335" i="6"/>
  <c r="F1335" i="6"/>
  <c r="E1335" i="6"/>
  <c r="D1335" i="6"/>
  <c r="M1334" i="6"/>
  <c r="O1334" i="6" s="1"/>
  <c r="L1334" i="6"/>
  <c r="N1334" i="6" s="1"/>
  <c r="K1334" i="6"/>
  <c r="J1334" i="6"/>
  <c r="F1334" i="6"/>
  <c r="E1334" i="6"/>
  <c r="D1334" i="6"/>
  <c r="M1333" i="6"/>
  <c r="O1333" i="6" s="1"/>
  <c r="L1333" i="6"/>
  <c r="N1333" i="6" s="1"/>
  <c r="K1333" i="6"/>
  <c r="J1333" i="6"/>
  <c r="M1332" i="6"/>
  <c r="O1332" i="6" s="1"/>
  <c r="L1332" i="6"/>
  <c r="N1332" i="6" s="1"/>
  <c r="K1332" i="6"/>
  <c r="J1332" i="6"/>
  <c r="F1332" i="6"/>
  <c r="E1332" i="6"/>
  <c r="D1332" i="6"/>
  <c r="M1331" i="6"/>
  <c r="O1331" i="6" s="1"/>
  <c r="L1331" i="6"/>
  <c r="N1331" i="6" s="1"/>
  <c r="K1331" i="6"/>
  <c r="J1331" i="6"/>
  <c r="M1330" i="6"/>
  <c r="O1330" i="6" s="1"/>
  <c r="L1330" i="6"/>
  <c r="N1330" i="6" s="1"/>
  <c r="K1330" i="6"/>
  <c r="J1330" i="6"/>
  <c r="F1330" i="6"/>
  <c r="E1330" i="6"/>
  <c r="D1330" i="6"/>
  <c r="M1329" i="6"/>
  <c r="O1329" i="6" s="1"/>
  <c r="L1329" i="6"/>
  <c r="N1329" i="6" s="1"/>
  <c r="K1329" i="6"/>
  <c r="J1329" i="6"/>
  <c r="M1328" i="6"/>
  <c r="O1328" i="6" s="1"/>
  <c r="L1328" i="6"/>
  <c r="N1328" i="6" s="1"/>
  <c r="K1328" i="6"/>
  <c r="J1328" i="6"/>
  <c r="M1327" i="6"/>
  <c r="O1327" i="6" s="1"/>
  <c r="L1327" i="6"/>
  <c r="N1327" i="6" s="1"/>
  <c r="K1327" i="6"/>
  <c r="J1327" i="6"/>
  <c r="M1326" i="6"/>
  <c r="O1326" i="6" s="1"/>
  <c r="L1326" i="6"/>
  <c r="N1326" i="6" s="1"/>
  <c r="K1326" i="6"/>
  <c r="J1326" i="6"/>
  <c r="F1326" i="6"/>
  <c r="E1326" i="6"/>
  <c r="D1326" i="6"/>
  <c r="N1325" i="6"/>
  <c r="M1325" i="6"/>
  <c r="O1325" i="6" s="1"/>
  <c r="L1325" i="6"/>
  <c r="K1325" i="6"/>
  <c r="J1325" i="6"/>
  <c r="F1325" i="6"/>
  <c r="E1325" i="6"/>
  <c r="D1325" i="6"/>
  <c r="M1324" i="6"/>
  <c r="O1324" i="6" s="1"/>
  <c r="L1324" i="6"/>
  <c r="N1324" i="6" s="1"/>
  <c r="K1324" i="6"/>
  <c r="J1324" i="6"/>
  <c r="F1324" i="6"/>
  <c r="E1324" i="6"/>
  <c r="D1324" i="6"/>
  <c r="M1323" i="6"/>
  <c r="O1323" i="6" s="1"/>
  <c r="L1323" i="6"/>
  <c r="N1323" i="6" s="1"/>
  <c r="K1323" i="6"/>
  <c r="J1323" i="6"/>
  <c r="F1323" i="6"/>
  <c r="E1323" i="6"/>
  <c r="D1323" i="6"/>
  <c r="M1322" i="6"/>
  <c r="O1322" i="6" s="1"/>
  <c r="L1322" i="6"/>
  <c r="N1322" i="6" s="1"/>
  <c r="K1322" i="6"/>
  <c r="J1322" i="6"/>
  <c r="M1321" i="6"/>
  <c r="O1321" i="6" s="1"/>
  <c r="L1321" i="6"/>
  <c r="N1321" i="6" s="1"/>
  <c r="K1321" i="6"/>
  <c r="J1321" i="6"/>
  <c r="F1321" i="6"/>
  <c r="E1321" i="6"/>
  <c r="D1321" i="6"/>
  <c r="M1320" i="6"/>
  <c r="O1320" i="6" s="1"/>
  <c r="L1320" i="6"/>
  <c r="N1320" i="6" s="1"/>
  <c r="K1320" i="6"/>
  <c r="J1320" i="6"/>
  <c r="F1320" i="6"/>
  <c r="E1320" i="6"/>
  <c r="D1320" i="6"/>
  <c r="M1319" i="6"/>
  <c r="O1319" i="6" s="1"/>
  <c r="L1319" i="6"/>
  <c r="N1319" i="6" s="1"/>
  <c r="K1319" i="6"/>
  <c r="J1319" i="6"/>
  <c r="F1319" i="6"/>
  <c r="E1319" i="6"/>
  <c r="D1319" i="6"/>
  <c r="N1318" i="6"/>
  <c r="M1318" i="6"/>
  <c r="O1318" i="6" s="1"/>
  <c r="L1318" i="6"/>
  <c r="K1318" i="6"/>
  <c r="J1318" i="6"/>
  <c r="F1318" i="6"/>
  <c r="E1318" i="6"/>
  <c r="D1318" i="6"/>
  <c r="M1317" i="6"/>
  <c r="O1317" i="6" s="1"/>
  <c r="L1317" i="6"/>
  <c r="N1317" i="6" s="1"/>
  <c r="K1317" i="6"/>
  <c r="J1317" i="6"/>
  <c r="F1317" i="6"/>
  <c r="E1317" i="6"/>
  <c r="D1317" i="6"/>
  <c r="M1316" i="6"/>
  <c r="O1316" i="6" s="1"/>
  <c r="L1316" i="6"/>
  <c r="N1316" i="6" s="1"/>
  <c r="K1316" i="6"/>
  <c r="J1316" i="6"/>
  <c r="M1315" i="6"/>
  <c r="O1315" i="6" s="1"/>
  <c r="L1315" i="6"/>
  <c r="N1315" i="6" s="1"/>
  <c r="K1315" i="6"/>
  <c r="J1315" i="6"/>
  <c r="M1314" i="6"/>
  <c r="O1314" i="6" s="1"/>
  <c r="L1314" i="6"/>
  <c r="N1314" i="6" s="1"/>
  <c r="K1314" i="6"/>
  <c r="J1314" i="6"/>
  <c r="M1313" i="6"/>
  <c r="O1313" i="6" s="1"/>
  <c r="L1313" i="6"/>
  <c r="N1313" i="6" s="1"/>
  <c r="K1313" i="6"/>
  <c r="J1313" i="6"/>
  <c r="F1313" i="6"/>
  <c r="E1313" i="6"/>
  <c r="D1313" i="6"/>
  <c r="M1312" i="6"/>
  <c r="O1312" i="6" s="1"/>
  <c r="L1312" i="6"/>
  <c r="N1312" i="6" s="1"/>
  <c r="K1312" i="6"/>
  <c r="J1312" i="6"/>
  <c r="M1311" i="6"/>
  <c r="O1311" i="6" s="1"/>
  <c r="L1311" i="6"/>
  <c r="N1311" i="6" s="1"/>
  <c r="K1311" i="6"/>
  <c r="J1311" i="6"/>
  <c r="F1311" i="6"/>
  <c r="E1311" i="6"/>
  <c r="D1311" i="6"/>
  <c r="M1310" i="6"/>
  <c r="O1310" i="6" s="1"/>
  <c r="L1310" i="6"/>
  <c r="N1310" i="6" s="1"/>
  <c r="K1310" i="6"/>
  <c r="J1310" i="6"/>
  <c r="F1310" i="6"/>
  <c r="E1310" i="6"/>
  <c r="D1310" i="6"/>
  <c r="M1309" i="6"/>
  <c r="O1309" i="6" s="1"/>
  <c r="L1309" i="6"/>
  <c r="N1309" i="6" s="1"/>
  <c r="K1309" i="6"/>
  <c r="J1309" i="6"/>
  <c r="F1309" i="6"/>
  <c r="E1309" i="6"/>
  <c r="D1309" i="6"/>
  <c r="M1308" i="6"/>
  <c r="O1308" i="6" s="1"/>
  <c r="L1308" i="6"/>
  <c r="N1308" i="6" s="1"/>
  <c r="K1308" i="6"/>
  <c r="J1308" i="6"/>
  <c r="F1308" i="6"/>
  <c r="E1308" i="6"/>
  <c r="D1308" i="6"/>
  <c r="M1307" i="6"/>
  <c r="O1307" i="6" s="1"/>
  <c r="L1307" i="6"/>
  <c r="N1307" i="6" s="1"/>
  <c r="K1307" i="6"/>
  <c r="J1307" i="6"/>
  <c r="M1306" i="6"/>
  <c r="O1306" i="6" s="1"/>
  <c r="L1306" i="6"/>
  <c r="N1306" i="6" s="1"/>
  <c r="K1306" i="6"/>
  <c r="J1306" i="6"/>
  <c r="M1305" i="6"/>
  <c r="O1305" i="6" s="1"/>
  <c r="L1305" i="6"/>
  <c r="N1305" i="6" s="1"/>
  <c r="K1305" i="6"/>
  <c r="J1305" i="6"/>
  <c r="M1304" i="6"/>
  <c r="O1304" i="6" s="1"/>
  <c r="L1304" i="6"/>
  <c r="N1304" i="6" s="1"/>
  <c r="K1304" i="6"/>
  <c r="J1304" i="6"/>
  <c r="F1304" i="6"/>
  <c r="E1304" i="6"/>
  <c r="D1304" i="6"/>
  <c r="O1303" i="6"/>
  <c r="M1303" i="6"/>
  <c r="L1303" i="6"/>
  <c r="N1303" i="6" s="1"/>
  <c r="K1303" i="6"/>
  <c r="J1303" i="6"/>
  <c r="O1302" i="6"/>
  <c r="M1302" i="6"/>
  <c r="L1302" i="6"/>
  <c r="N1302" i="6" s="1"/>
  <c r="K1302" i="6"/>
  <c r="J1302" i="6"/>
  <c r="M1301" i="6"/>
  <c r="O1301" i="6" s="1"/>
  <c r="L1301" i="6"/>
  <c r="N1301" i="6" s="1"/>
  <c r="K1301" i="6"/>
  <c r="J1301" i="6"/>
  <c r="F1301" i="6"/>
  <c r="E1301" i="6"/>
  <c r="D1301" i="6"/>
  <c r="M1300" i="6"/>
  <c r="O1300" i="6" s="1"/>
  <c r="L1300" i="6"/>
  <c r="N1300" i="6" s="1"/>
  <c r="K1300" i="6"/>
  <c r="J1300" i="6"/>
  <c r="F1300" i="6"/>
  <c r="E1300" i="6"/>
  <c r="D1300" i="6"/>
  <c r="M1299" i="6"/>
  <c r="O1299" i="6" s="1"/>
  <c r="L1299" i="6"/>
  <c r="N1299" i="6" s="1"/>
  <c r="K1299" i="6"/>
  <c r="J1299" i="6"/>
  <c r="M1298" i="6"/>
  <c r="O1298" i="6" s="1"/>
  <c r="L1298" i="6"/>
  <c r="N1298" i="6" s="1"/>
  <c r="K1298" i="6"/>
  <c r="J1298" i="6"/>
  <c r="M1297" i="6"/>
  <c r="O1297" i="6" s="1"/>
  <c r="L1297" i="6"/>
  <c r="N1297" i="6" s="1"/>
  <c r="K1297" i="6"/>
  <c r="J1297" i="6"/>
  <c r="F1297" i="6"/>
  <c r="E1297" i="6"/>
  <c r="D1297" i="6"/>
  <c r="M1296" i="6"/>
  <c r="O1296" i="6" s="1"/>
  <c r="L1296" i="6"/>
  <c r="N1296" i="6" s="1"/>
  <c r="K1296" i="6"/>
  <c r="J1296" i="6"/>
  <c r="F1296" i="6"/>
  <c r="E1296" i="6"/>
  <c r="D1296" i="6"/>
  <c r="M1295" i="6"/>
  <c r="O1295" i="6" s="1"/>
  <c r="L1295" i="6"/>
  <c r="N1295" i="6" s="1"/>
  <c r="K1295" i="6"/>
  <c r="J1295" i="6"/>
  <c r="M1294" i="6"/>
  <c r="O1294" i="6" s="1"/>
  <c r="L1294" i="6"/>
  <c r="N1294" i="6" s="1"/>
  <c r="K1294" i="6"/>
  <c r="J1294" i="6"/>
  <c r="F1294" i="6"/>
  <c r="E1294" i="6"/>
  <c r="D1294" i="6"/>
  <c r="M1293" i="6"/>
  <c r="O1293" i="6" s="1"/>
  <c r="L1293" i="6"/>
  <c r="N1293" i="6" s="1"/>
  <c r="K1293" i="6"/>
  <c r="J1293" i="6"/>
  <c r="M1292" i="6"/>
  <c r="O1292" i="6" s="1"/>
  <c r="L1292" i="6"/>
  <c r="N1292" i="6" s="1"/>
  <c r="K1292" i="6"/>
  <c r="J1292" i="6"/>
  <c r="F1292" i="6"/>
  <c r="E1292" i="6"/>
  <c r="D1292" i="6"/>
  <c r="O1291" i="6"/>
  <c r="M1291" i="6"/>
  <c r="L1291" i="6"/>
  <c r="N1291" i="6" s="1"/>
  <c r="K1291" i="6"/>
  <c r="J1291" i="6"/>
  <c r="F1291" i="6"/>
  <c r="E1291" i="6"/>
  <c r="D1291" i="6"/>
  <c r="M1290" i="6"/>
  <c r="O1290" i="6" s="1"/>
  <c r="L1290" i="6"/>
  <c r="N1290" i="6" s="1"/>
  <c r="K1290" i="6"/>
  <c r="J1290" i="6"/>
  <c r="F1290" i="6"/>
  <c r="E1290" i="6"/>
  <c r="D1290" i="6"/>
  <c r="M1289" i="6"/>
  <c r="O1289" i="6" s="1"/>
  <c r="L1289" i="6"/>
  <c r="N1289" i="6" s="1"/>
  <c r="K1289" i="6"/>
  <c r="J1289" i="6"/>
  <c r="M1288" i="6"/>
  <c r="O1288" i="6" s="1"/>
  <c r="L1288" i="6"/>
  <c r="N1288" i="6" s="1"/>
  <c r="K1288" i="6"/>
  <c r="J1288" i="6"/>
  <c r="O1287" i="6"/>
  <c r="M1287" i="6"/>
  <c r="L1287" i="6"/>
  <c r="N1287" i="6" s="1"/>
  <c r="K1287" i="6"/>
  <c r="J1287" i="6"/>
  <c r="F1287" i="6"/>
  <c r="E1287" i="6"/>
  <c r="D1287" i="6"/>
  <c r="M1286" i="6"/>
  <c r="O1286" i="6" s="1"/>
  <c r="L1286" i="6"/>
  <c r="N1286" i="6" s="1"/>
  <c r="K1286" i="6"/>
  <c r="J1286" i="6"/>
  <c r="F1286" i="6"/>
  <c r="E1286" i="6"/>
  <c r="D1286" i="6"/>
  <c r="M1285" i="6"/>
  <c r="O1285" i="6" s="1"/>
  <c r="L1285" i="6"/>
  <c r="N1285" i="6" s="1"/>
  <c r="K1285" i="6"/>
  <c r="J1285" i="6"/>
  <c r="F1285" i="6"/>
  <c r="E1285" i="6"/>
  <c r="D1285" i="6"/>
  <c r="O1284" i="6"/>
  <c r="M1284" i="6"/>
  <c r="L1284" i="6"/>
  <c r="N1284" i="6" s="1"/>
  <c r="K1284" i="6"/>
  <c r="J1284" i="6"/>
  <c r="M1283" i="6"/>
  <c r="O1283" i="6" s="1"/>
  <c r="L1283" i="6"/>
  <c r="N1283" i="6" s="1"/>
  <c r="K1283" i="6"/>
  <c r="J1283" i="6"/>
  <c r="M1282" i="6"/>
  <c r="O1282" i="6" s="1"/>
  <c r="L1282" i="6"/>
  <c r="N1282" i="6" s="1"/>
  <c r="K1282" i="6"/>
  <c r="J1282" i="6"/>
  <c r="M1281" i="6"/>
  <c r="O1281" i="6" s="1"/>
  <c r="L1281" i="6"/>
  <c r="N1281" i="6" s="1"/>
  <c r="K1281" i="6"/>
  <c r="J1281" i="6"/>
  <c r="M1280" i="6"/>
  <c r="O1280" i="6" s="1"/>
  <c r="L1280" i="6"/>
  <c r="N1280" i="6" s="1"/>
  <c r="K1280" i="6"/>
  <c r="J1280" i="6"/>
  <c r="F1280" i="6"/>
  <c r="E1280" i="6"/>
  <c r="D1280" i="6"/>
  <c r="M1279" i="6"/>
  <c r="O1279" i="6" s="1"/>
  <c r="L1279" i="6"/>
  <c r="N1279" i="6" s="1"/>
  <c r="K1279" i="6"/>
  <c r="J1279" i="6"/>
  <c r="F1279" i="6"/>
  <c r="E1279" i="6"/>
  <c r="D1279" i="6"/>
  <c r="M1278" i="6"/>
  <c r="O1278" i="6" s="1"/>
  <c r="L1278" i="6"/>
  <c r="N1278" i="6" s="1"/>
  <c r="K1278" i="6"/>
  <c r="J1278" i="6"/>
  <c r="M1277" i="6"/>
  <c r="O1277" i="6" s="1"/>
  <c r="L1277" i="6"/>
  <c r="N1277" i="6" s="1"/>
  <c r="K1277" i="6"/>
  <c r="J1277" i="6"/>
  <c r="F1277" i="6"/>
  <c r="E1277" i="6"/>
  <c r="D1277" i="6"/>
  <c r="M1276" i="6"/>
  <c r="O1276" i="6" s="1"/>
  <c r="L1276" i="6"/>
  <c r="N1276" i="6" s="1"/>
  <c r="K1276" i="6"/>
  <c r="J1276" i="6"/>
  <c r="F1276" i="6"/>
  <c r="E1276" i="6"/>
  <c r="D1276" i="6"/>
  <c r="M1275" i="6"/>
  <c r="O1275" i="6" s="1"/>
  <c r="L1275" i="6"/>
  <c r="N1275" i="6" s="1"/>
  <c r="K1275" i="6"/>
  <c r="J1275" i="6"/>
  <c r="M1274" i="6"/>
  <c r="O1274" i="6" s="1"/>
  <c r="L1274" i="6"/>
  <c r="N1274" i="6" s="1"/>
  <c r="K1274" i="6"/>
  <c r="J1274" i="6"/>
  <c r="M1273" i="6"/>
  <c r="O1273" i="6" s="1"/>
  <c r="L1273" i="6"/>
  <c r="N1273" i="6" s="1"/>
  <c r="K1273" i="6"/>
  <c r="J1273" i="6"/>
  <c r="F1273" i="6"/>
  <c r="E1273" i="6"/>
  <c r="D1273" i="6"/>
  <c r="M1272" i="6"/>
  <c r="O1272" i="6" s="1"/>
  <c r="L1272" i="6"/>
  <c r="N1272" i="6" s="1"/>
  <c r="K1272" i="6"/>
  <c r="J1272" i="6"/>
  <c r="F1272" i="6"/>
  <c r="E1272" i="6"/>
  <c r="D1272" i="6"/>
  <c r="O1271" i="6"/>
  <c r="M1271" i="6"/>
  <c r="L1271" i="6"/>
  <c r="N1271" i="6" s="1"/>
  <c r="K1271" i="6"/>
  <c r="J1271" i="6"/>
  <c r="F1271" i="6"/>
  <c r="E1271" i="6"/>
  <c r="D1271" i="6"/>
  <c r="M1270" i="6"/>
  <c r="O1270" i="6" s="1"/>
  <c r="L1270" i="6"/>
  <c r="N1270" i="6" s="1"/>
  <c r="K1270" i="6"/>
  <c r="J1270" i="6"/>
  <c r="F1270" i="6"/>
  <c r="E1270" i="6"/>
  <c r="D1270" i="6"/>
  <c r="M1269" i="6"/>
  <c r="O1269" i="6" s="1"/>
  <c r="L1269" i="6"/>
  <c r="N1269" i="6" s="1"/>
  <c r="K1269" i="6"/>
  <c r="J1269" i="6"/>
  <c r="F1269" i="6"/>
  <c r="E1269" i="6"/>
  <c r="D1269" i="6"/>
  <c r="M1268" i="6"/>
  <c r="O1268" i="6" s="1"/>
  <c r="L1268" i="6"/>
  <c r="N1268" i="6" s="1"/>
  <c r="K1268" i="6"/>
  <c r="J1268" i="6"/>
  <c r="F1268" i="6"/>
  <c r="E1268" i="6"/>
  <c r="D1268" i="6"/>
  <c r="M1267" i="6"/>
  <c r="O1267" i="6" s="1"/>
  <c r="L1267" i="6"/>
  <c r="N1267" i="6" s="1"/>
  <c r="K1267" i="6"/>
  <c r="J1267" i="6"/>
  <c r="F1267" i="6"/>
  <c r="E1267" i="6"/>
  <c r="D1267" i="6"/>
  <c r="M1266" i="6"/>
  <c r="O1266" i="6" s="1"/>
  <c r="L1266" i="6"/>
  <c r="N1266" i="6" s="1"/>
  <c r="K1266" i="6"/>
  <c r="J1266" i="6"/>
  <c r="F1266" i="6"/>
  <c r="E1266" i="6"/>
  <c r="D1266" i="6"/>
  <c r="M1265" i="6"/>
  <c r="O1265" i="6" s="1"/>
  <c r="L1265" i="6"/>
  <c r="N1265" i="6" s="1"/>
  <c r="K1265" i="6"/>
  <c r="J1265" i="6"/>
  <c r="F1265" i="6"/>
  <c r="E1265" i="6"/>
  <c r="D1265" i="6"/>
  <c r="M1264" i="6"/>
  <c r="O1264" i="6" s="1"/>
  <c r="L1264" i="6"/>
  <c r="N1264" i="6" s="1"/>
  <c r="K1264" i="6"/>
  <c r="J1264" i="6"/>
  <c r="F1264" i="6"/>
  <c r="E1264" i="6"/>
  <c r="D1264" i="6"/>
  <c r="M1263" i="6"/>
  <c r="O1263" i="6" s="1"/>
  <c r="L1263" i="6"/>
  <c r="N1263" i="6" s="1"/>
  <c r="K1263" i="6"/>
  <c r="J1263" i="6"/>
  <c r="F1263" i="6"/>
  <c r="E1263" i="6"/>
  <c r="D1263" i="6"/>
  <c r="M1262" i="6"/>
  <c r="O1262" i="6" s="1"/>
  <c r="L1262" i="6"/>
  <c r="N1262" i="6" s="1"/>
  <c r="K1262" i="6"/>
  <c r="J1262" i="6"/>
  <c r="F1262" i="6"/>
  <c r="E1262" i="6"/>
  <c r="D1262" i="6"/>
  <c r="M1261" i="6"/>
  <c r="O1261" i="6" s="1"/>
  <c r="L1261" i="6"/>
  <c r="N1261" i="6" s="1"/>
  <c r="K1261" i="6"/>
  <c r="J1261" i="6"/>
  <c r="F1261" i="6"/>
  <c r="E1261" i="6"/>
  <c r="D1261" i="6"/>
  <c r="M1260" i="6"/>
  <c r="O1260" i="6" s="1"/>
  <c r="L1260" i="6"/>
  <c r="N1260" i="6" s="1"/>
  <c r="K1260" i="6"/>
  <c r="J1260" i="6"/>
  <c r="F1260" i="6"/>
  <c r="E1260" i="6"/>
  <c r="D1260" i="6"/>
  <c r="M1259" i="6"/>
  <c r="O1259" i="6" s="1"/>
  <c r="L1259" i="6"/>
  <c r="N1259" i="6" s="1"/>
  <c r="K1259" i="6"/>
  <c r="J1259" i="6"/>
  <c r="F1259" i="6"/>
  <c r="E1259" i="6"/>
  <c r="D1259" i="6"/>
  <c r="M1258" i="6"/>
  <c r="O1258" i="6" s="1"/>
  <c r="L1258" i="6"/>
  <c r="N1258" i="6" s="1"/>
  <c r="K1258" i="6"/>
  <c r="J1258" i="6"/>
  <c r="F1258" i="6"/>
  <c r="E1258" i="6"/>
  <c r="D1258" i="6"/>
  <c r="M1257" i="6"/>
  <c r="O1257" i="6" s="1"/>
  <c r="L1257" i="6"/>
  <c r="N1257" i="6" s="1"/>
  <c r="K1257" i="6"/>
  <c r="J1257" i="6"/>
  <c r="F1257" i="6"/>
  <c r="E1257" i="6"/>
  <c r="D1257" i="6"/>
  <c r="M1256" i="6"/>
  <c r="O1256" i="6" s="1"/>
  <c r="L1256" i="6"/>
  <c r="N1256" i="6" s="1"/>
  <c r="K1256" i="6"/>
  <c r="J1256" i="6"/>
  <c r="F1256" i="6"/>
  <c r="E1256" i="6"/>
  <c r="D1256" i="6"/>
  <c r="M1255" i="6"/>
  <c r="O1255" i="6" s="1"/>
  <c r="L1255" i="6"/>
  <c r="N1255" i="6" s="1"/>
  <c r="K1255" i="6"/>
  <c r="J1255" i="6"/>
  <c r="M1254" i="6"/>
  <c r="O1254" i="6" s="1"/>
  <c r="L1254" i="6"/>
  <c r="N1254" i="6" s="1"/>
  <c r="K1254" i="6"/>
  <c r="J1254" i="6"/>
  <c r="M1253" i="6"/>
  <c r="O1253" i="6" s="1"/>
  <c r="L1253" i="6"/>
  <c r="N1253" i="6" s="1"/>
  <c r="K1253" i="6"/>
  <c r="J1253" i="6"/>
  <c r="F1253" i="6"/>
  <c r="E1253" i="6"/>
  <c r="D1253" i="6"/>
  <c r="M1252" i="6"/>
  <c r="O1252" i="6" s="1"/>
  <c r="L1252" i="6"/>
  <c r="N1252" i="6" s="1"/>
  <c r="K1252" i="6"/>
  <c r="J1252" i="6"/>
  <c r="M1251" i="6"/>
  <c r="O1251" i="6" s="1"/>
  <c r="L1251" i="6"/>
  <c r="N1251" i="6" s="1"/>
  <c r="K1251" i="6"/>
  <c r="J1251" i="6"/>
  <c r="F1251" i="6"/>
  <c r="E1251" i="6"/>
  <c r="D1251" i="6"/>
  <c r="M1250" i="6"/>
  <c r="O1250" i="6" s="1"/>
  <c r="L1250" i="6"/>
  <c r="N1250" i="6" s="1"/>
  <c r="K1250" i="6"/>
  <c r="J1250" i="6"/>
  <c r="F1250" i="6"/>
  <c r="E1250" i="6"/>
  <c r="D1250" i="6"/>
  <c r="M1249" i="6"/>
  <c r="O1249" i="6" s="1"/>
  <c r="L1249" i="6"/>
  <c r="N1249" i="6" s="1"/>
  <c r="K1249" i="6"/>
  <c r="J1249" i="6"/>
  <c r="M1248" i="6"/>
  <c r="O1248" i="6" s="1"/>
  <c r="L1248" i="6"/>
  <c r="N1248" i="6" s="1"/>
  <c r="K1248" i="6"/>
  <c r="J1248" i="6"/>
  <c r="F1248" i="6"/>
  <c r="E1248" i="6"/>
  <c r="D1248" i="6"/>
  <c r="M1247" i="6"/>
  <c r="O1247" i="6" s="1"/>
  <c r="L1247" i="6"/>
  <c r="N1247" i="6" s="1"/>
  <c r="K1247" i="6"/>
  <c r="J1247" i="6"/>
  <c r="M1246" i="6"/>
  <c r="O1246" i="6" s="1"/>
  <c r="L1246" i="6"/>
  <c r="N1246" i="6" s="1"/>
  <c r="K1246" i="6"/>
  <c r="J1246" i="6"/>
  <c r="F1246" i="6"/>
  <c r="E1246" i="6"/>
  <c r="D1246" i="6"/>
  <c r="M1245" i="6"/>
  <c r="O1245" i="6" s="1"/>
  <c r="L1245" i="6"/>
  <c r="N1245" i="6" s="1"/>
  <c r="K1245" i="6"/>
  <c r="J1245" i="6"/>
  <c r="F1245" i="6"/>
  <c r="E1245" i="6"/>
  <c r="D1245" i="6"/>
  <c r="O1244" i="6"/>
  <c r="M1244" i="6"/>
  <c r="L1244" i="6"/>
  <c r="N1244" i="6" s="1"/>
  <c r="K1244" i="6"/>
  <c r="J1244" i="6"/>
  <c r="F1244" i="6"/>
  <c r="E1244" i="6"/>
  <c r="D1244" i="6"/>
  <c r="M1243" i="6"/>
  <c r="O1243" i="6" s="1"/>
  <c r="L1243" i="6"/>
  <c r="N1243" i="6" s="1"/>
  <c r="G1243" i="6" s="1"/>
  <c r="K1243" i="6"/>
  <c r="J1243" i="6"/>
  <c r="F1243" i="6"/>
  <c r="E1243" i="6"/>
  <c r="D1243" i="6"/>
  <c r="M1242" i="6"/>
  <c r="O1242" i="6" s="1"/>
  <c r="L1242" i="6"/>
  <c r="N1242" i="6" s="1"/>
  <c r="K1242" i="6"/>
  <c r="J1242" i="6"/>
  <c r="F1242" i="6"/>
  <c r="E1242" i="6"/>
  <c r="D1242" i="6"/>
  <c r="M1241" i="6"/>
  <c r="O1241" i="6" s="1"/>
  <c r="L1241" i="6"/>
  <c r="N1241" i="6" s="1"/>
  <c r="K1241" i="6"/>
  <c r="J1241" i="6"/>
  <c r="F1241" i="6"/>
  <c r="E1241" i="6"/>
  <c r="D1241" i="6"/>
  <c r="M1240" i="6"/>
  <c r="O1240" i="6" s="1"/>
  <c r="L1240" i="6"/>
  <c r="N1240" i="6" s="1"/>
  <c r="K1240" i="6"/>
  <c r="J1240" i="6"/>
  <c r="M1239" i="6"/>
  <c r="O1239" i="6" s="1"/>
  <c r="L1239" i="6"/>
  <c r="N1239" i="6" s="1"/>
  <c r="K1239" i="6"/>
  <c r="J1239" i="6"/>
  <c r="F1239" i="6"/>
  <c r="E1239" i="6"/>
  <c r="D1239" i="6"/>
  <c r="O1238" i="6"/>
  <c r="M1238" i="6"/>
  <c r="L1238" i="6"/>
  <c r="N1238" i="6" s="1"/>
  <c r="K1238" i="6"/>
  <c r="J1238" i="6"/>
  <c r="F1238" i="6"/>
  <c r="E1238" i="6"/>
  <c r="D1238" i="6"/>
  <c r="M1237" i="6"/>
  <c r="O1237" i="6" s="1"/>
  <c r="L1237" i="6"/>
  <c r="N1237" i="6" s="1"/>
  <c r="K1237" i="6"/>
  <c r="J1237" i="6"/>
  <c r="F1237" i="6"/>
  <c r="E1237" i="6"/>
  <c r="D1237" i="6"/>
  <c r="M1236" i="6"/>
  <c r="O1236" i="6" s="1"/>
  <c r="L1236" i="6"/>
  <c r="N1236" i="6" s="1"/>
  <c r="K1236" i="6"/>
  <c r="J1236" i="6"/>
  <c r="M1235" i="6"/>
  <c r="O1235" i="6" s="1"/>
  <c r="L1235" i="6"/>
  <c r="N1235" i="6" s="1"/>
  <c r="K1235" i="6"/>
  <c r="J1235" i="6"/>
  <c r="M1234" i="6"/>
  <c r="O1234" i="6" s="1"/>
  <c r="L1234" i="6"/>
  <c r="N1234" i="6" s="1"/>
  <c r="K1234" i="6"/>
  <c r="J1234" i="6"/>
  <c r="F1234" i="6"/>
  <c r="E1234" i="6"/>
  <c r="D1234" i="6"/>
  <c r="M1233" i="6"/>
  <c r="O1233" i="6" s="1"/>
  <c r="L1233" i="6"/>
  <c r="N1233" i="6" s="1"/>
  <c r="K1233" i="6"/>
  <c r="J1233" i="6"/>
  <c r="M1232" i="6"/>
  <c r="O1232" i="6" s="1"/>
  <c r="L1232" i="6"/>
  <c r="N1232" i="6" s="1"/>
  <c r="K1232" i="6"/>
  <c r="J1232" i="6"/>
  <c r="M1231" i="6"/>
  <c r="O1231" i="6" s="1"/>
  <c r="L1231" i="6"/>
  <c r="N1231" i="6" s="1"/>
  <c r="K1231" i="6"/>
  <c r="J1231" i="6"/>
  <c r="M1230" i="6"/>
  <c r="O1230" i="6" s="1"/>
  <c r="L1230" i="6"/>
  <c r="N1230" i="6" s="1"/>
  <c r="K1230" i="6"/>
  <c r="J1230" i="6"/>
  <c r="F1230" i="6"/>
  <c r="E1230" i="6"/>
  <c r="D1230" i="6"/>
  <c r="M1229" i="6"/>
  <c r="O1229" i="6" s="1"/>
  <c r="L1229" i="6"/>
  <c r="N1229" i="6" s="1"/>
  <c r="K1229" i="6"/>
  <c r="J1229" i="6"/>
  <c r="M1228" i="6"/>
  <c r="O1228" i="6" s="1"/>
  <c r="L1228" i="6"/>
  <c r="N1228" i="6" s="1"/>
  <c r="K1228" i="6"/>
  <c r="J1228" i="6"/>
  <c r="F1228" i="6"/>
  <c r="E1228" i="6"/>
  <c r="D1228" i="6"/>
  <c r="M1227" i="6"/>
  <c r="O1227" i="6" s="1"/>
  <c r="L1227" i="6"/>
  <c r="N1227" i="6" s="1"/>
  <c r="K1227" i="6"/>
  <c r="J1227" i="6"/>
  <c r="F1227" i="6"/>
  <c r="E1227" i="6"/>
  <c r="D1227" i="6"/>
  <c r="M1226" i="6"/>
  <c r="O1226" i="6" s="1"/>
  <c r="L1226" i="6"/>
  <c r="N1226" i="6" s="1"/>
  <c r="K1226" i="6"/>
  <c r="J1226" i="6"/>
  <c r="M1225" i="6"/>
  <c r="O1225" i="6" s="1"/>
  <c r="L1225" i="6"/>
  <c r="N1225" i="6" s="1"/>
  <c r="K1225" i="6"/>
  <c r="J1225" i="6"/>
  <c r="M1224" i="6"/>
  <c r="O1224" i="6" s="1"/>
  <c r="L1224" i="6"/>
  <c r="N1224" i="6" s="1"/>
  <c r="K1224" i="6"/>
  <c r="J1224" i="6"/>
  <c r="F1224" i="6"/>
  <c r="E1224" i="6"/>
  <c r="D1224" i="6"/>
  <c r="M1223" i="6"/>
  <c r="O1223" i="6" s="1"/>
  <c r="L1223" i="6"/>
  <c r="N1223" i="6" s="1"/>
  <c r="K1223" i="6"/>
  <c r="J1223" i="6"/>
  <c r="F1223" i="6"/>
  <c r="E1223" i="6"/>
  <c r="D1223" i="6"/>
  <c r="M1222" i="6"/>
  <c r="O1222" i="6" s="1"/>
  <c r="L1222" i="6"/>
  <c r="N1222" i="6" s="1"/>
  <c r="K1222" i="6"/>
  <c r="J1222" i="6"/>
  <c r="F1222" i="6"/>
  <c r="E1222" i="6"/>
  <c r="D1222" i="6"/>
  <c r="M1221" i="6"/>
  <c r="O1221" i="6" s="1"/>
  <c r="L1221" i="6"/>
  <c r="N1221" i="6" s="1"/>
  <c r="K1221" i="6"/>
  <c r="J1221" i="6"/>
  <c r="M1220" i="6"/>
  <c r="O1220" i="6" s="1"/>
  <c r="L1220" i="6"/>
  <c r="N1220" i="6" s="1"/>
  <c r="K1220" i="6"/>
  <c r="J1220" i="6"/>
  <c r="M1219" i="6"/>
  <c r="O1219" i="6" s="1"/>
  <c r="L1219" i="6"/>
  <c r="N1219" i="6" s="1"/>
  <c r="K1219" i="6"/>
  <c r="J1219" i="6"/>
  <c r="F1219" i="6"/>
  <c r="E1219" i="6"/>
  <c r="D1219" i="6"/>
  <c r="M1218" i="6"/>
  <c r="O1218" i="6" s="1"/>
  <c r="L1218" i="6"/>
  <c r="N1218" i="6" s="1"/>
  <c r="K1218" i="6"/>
  <c r="J1218" i="6"/>
  <c r="F1218" i="6"/>
  <c r="E1218" i="6"/>
  <c r="D1218" i="6"/>
  <c r="M1217" i="6"/>
  <c r="O1217" i="6" s="1"/>
  <c r="L1217" i="6"/>
  <c r="N1217" i="6" s="1"/>
  <c r="K1217" i="6"/>
  <c r="J1217" i="6"/>
  <c r="F1217" i="6"/>
  <c r="E1217" i="6"/>
  <c r="D1217" i="6"/>
  <c r="M1216" i="6"/>
  <c r="O1216" i="6" s="1"/>
  <c r="L1216" i="6"/>
  <c r="N1216" i="6" s="1"/>
  <c r="K1216" i="6"/>
  <c r="J1216" i="6"/>
  <c r="F1216" i="6"/>
  <c r="E1216" i="6"/>
  <c r="D1216" i="6"/>
  <c r="O1215" i="6"/>
  <c r="M1215" i="6"/>
  <c r="L1215" i="6"/>
  <c r="N1215" i="6" s="1"/>
  <c r="K1215" i="6"/>
  <c r="J1215" i="6"/>
  <c r="F1215" i="6"/>
  <c r="E1215" i="6"/>
  <c r="D1215" i="6"/>
  <c r="O1214" i="6"/>
  <c r="M1214" i="6"/>
  <c r="L1214" i="6"/>
  <c r="N1214" i="6" s="1"/>
  <c r="K1214" i="6"/>
  <c r="J1214" i="6"/>
  <c r="F1214" i="6"/>
  <c r="E1214" i="6"/>
  <c r="D1214" i="6"/>
  <c r="M1213" i="6"/>
  <c r="O1213" i="6" s="1"/>
  <c r="L1213" i="6"/>
  <c r="N1213" i="6" s="1"/>
  <c r="K1213" i="6"/>
  <c r="J1213" i="6"/>
  <c r="F1213" i="6"/>
  <c r="E1213" i="6"/>
  <c r="D1213" i="6"/>
  <c r="M1212" i="6"/>
  <c r="O1212" i="6" s="1"/>
  <c r="L1212" i="6"/>
  <c r="N1212" i="6" s="1"/>
  <c r="K1212" i="6"/>
  <c r="J1212" i="6"/>
  <c r="F1212" i="6"/>
  <c r="E1212" i="6"/>
  <c r="D1212" i="6"/>
  <c r="M1211" i="6"/>
  <c r="O1211" i="6" s="1"/>
  <c r="L1211" i="6"/>
  <c r="N1211" i="6" s="1"/>
  <c r="K1211" i="6"/>
  <c r="J1211" i="6"/>
  <c r="F1211" i="6"/>
  <c r="E1211" i="6"/>
  <c r="D1211" i="6"/>
  <c r="M1210" i="6"/>
  <c r="O1210" i="6" s="1"/>
  <c r="L1210" i="6"/>
  <c r="N1210" i="6" s="1"/>
  <c r="K1210" i="6"/>
  <c r="J1210" i="6"/>
  <c r="F1210" i="6"/>
  <c r="E1210" i="6"/>
  <c r="D1210" i="6"/>
  <c r="M1209" i="6"/>
  <c r="O1209" i="6" s="1"/>
  <c r="L1209" i="6"/>
  <c r="N1209" i="6" s="1"/>
  <c r="K1209" i="6"/>
  <c r="J1209" i="6"/>
  <c r="F1209" i="6"/>
  <c r="E1209" i="6"/>
  <c r="D1209" i="6"/>
  <c r="O1208" i="6"/>
  <c r="M1208" i="6"/>
  <c r="L1208" i="6"/>
  <c r="N1208" i="6" s="1"/>
  <c r="G1208" i="6" s="1"/>
  <c r="K1208" i="6"/>
  <c r="J1208" i="6"/>
  <c r="F1208" i="6"/>
  <c r="E1208" i="6"/>
  <c r="D1208" i="6"/>
  <c r="N1207" i="6"/>
  <c r="M1207" i="6"/>
  <c r="O1207" i="6" s="1"/>
  <c r="G1207" i="6" s="1"/>
  <c r="L1207" i="6"/>
  <c r="K1207" i="6"/>
  <c r="J1207" i="6"/>
  <c r="F1207" i="6"/>
  <c r="E1207" i="6"/>
  <c r="D1207" i="6"/>
  <c r="M1206" i="6"/>
  <c r="O1206" i="6" s="1"/>
  <c r="L1206" i="6"/>
  <c r="N1206" i="6" s="1"/>
  <c r="K1206" i="6"/>
  <c r="J1206" i="6"/>
  <c r="F1206" i="6"/>
  <c r="E1206" i="6"/>
  <c r="D1206" i="6"/>
  <c r="M1205" i="6"/>
  <c r="O1205" i="6" s="1"/>
  <c r="L1205" i="6"/>
  <c r="N1205" i="6" s="1"/>
  <c r="K1205" i="6"/>
  <c r="J1205" i="6"/>
  <c r="F1205" i="6"/>
  <c r="E1205" i="6"/>
  <c r="D1205" i="6"/>
  <c r="M1204" i="6"/>
  <c r="O1204" i="6" s="1"/>
  <c r="L1204" i="6"/>
  <c r="N1204" i="6" s="1"/>
  <c r="K1204" i="6"/>
  <c r="J1204" i="6"/>
  <c r="F1204" i="6"/>
  <c r="E1204" i="6"/>
  <c r="D1204" i="6"/>
  <c r="M1203" i="6"/>
  <c r="O1203" i="6" s="1"/>
  <c r="L1203" i="6"/>
  <c r="N1203" i="6" s="1"/>
  <c r="K1203" i="6"/>
  <c r="J1203" i="6"/>
  <c r="F1203" i="6"/>
  <c r="E1203" i="6"/>
  <c r="D1203" i="6"/>
  <c r="M1202" i="6"/>
  <c r="O1202" i="6" s="1"/>
  <c r="L1202" i="6"/>
  <c r="N1202" i="6" s="1"/>
  <c r="K1202" i="6"/>
  <c r="J1202" i="6"/>
  <c r="M1201" i="6"/>
  <c r="O1201" i="6" s="1"/>
  <c r="L1201" i="6"/>
  <c r="N1201" i="6" s="1"/>
  <c r="K1201" i="6"/>
  <c r="J1201" i="6"/>
  <c r="M1200" i="6"/>
  <c r="O1200" i="6" s="1"/>
  <c r="L1200" i="6"/>
  <c r="N1200" i="6" s="1"/>
  <c r="K1200" i="6"/>
  <c r="J1200" i="6"/>
  <c r="F1200" i="6"/>
  <c r="E1200" i="6"/>
  <c r="D1200" i="6"/>
  <c r="M1199" i="6"/>
  <c r="O1199" i="6" s="1"/>
  <c r="L1199" i="6"/>
  <c r="N1199" i="6" s="1"/>
  <c r="K1199" i="6"/>
  <c r="J1199" i="6"/>
  <c r="F1199" i="6"/>
  <c r="E1199" i="6"/>
  <c r="D1199" i="6"/>
  <c r="M1198" i="6"/>
  <c r="O1198" i="6" s="1"/>
  <c r="L1198" i="6"/>
  <c r="N1198" i="6" s="1"/>
  <c r="K1198" i="6"/>
  <c r="J1198" i="6"/>
  <c r="F1198" i="6"/>
  <c r="E1198" i="6"/>
  <c r="D1198" i="6"/>
  <c r="M1197" i="6"/>
  <c r="O1197" i="6" s="1"/>
  <c r="L1197" i="6"/>
  <c r="N1197" i="6" s="1"/>
  <c r="K1197" i="6"/>
  <c r="J1197" i="6"/>
  <c r="M1196" i="6"/>
  <c r="O1196" i="6" s="1"/>
  <c r="L1196" i="6"/>
  <c r="N1196" i="6" s="1"/>
  <c r="K1196" i="6"/>
  <c r="J1196" i="6"/>
  <c r="M1195" i="6"/>
  <c r="O1195" i="6" s="1"/>
  <c r="L1195" i="6"/>
  <c r="N1195" i="6" s="1"/>
  <c r="K1195" i="6"/>
  <c r="J1195" i="6"/>
  <c r="M1194" i="6"/>
  <c r="O1194" i="6" s="1"/>
  <c r="L1194" i="6"/>
  <c r="N1194" i="6" s="1"/>
  <c r="K1194" i="6"/>
  <c r="J1194" i="6"/>
  <c r="M1193" i="6"/>
  <c r="O1193" i="6" s="1"/>
  <c r="L1193" i="6"/>
  <c r="N1193" i="6" s="1"/>
  <c r="K1193" i="6"/>
  <c r="J1193" i="6"/>
  <c r="F1193" i="6"/>
  <c r="E1193" i="6"/>
  <c r="D1193" i="6"/>
  <c r="M1192" i="6"/>
  <c r="O1192" i="6" s="1"/>
  <c r="L1192" i="6"/>
  <c r="N1192" i="6" s="1"/>
  <c r="K1192" i="6"/>
  <c r="J1192" i="6"/>
  <c r="M1191" i="6"/>
  <c r="O1191" i="6" s="1"/>
  <c r="L1191" i="6"/>
  <c r="N1191" i="6" s="1"/>
  <c r="K1191" i="6"/>
  <c r="J1191" i="6"/>
  <c r="F1191" i="6"/>
  <c r="E1191" i="6"/>
  <c r="D1191" i="6"/>
  <c r="M1190" i="6"/>
  <c r="O1190" i="6" s="1"/>
  <c r="L1190" i="6"/>
  <c r="N1190" i="6" s="1"/>
  <c r="K1190" i="6"/>
  <c r="J1190" i="6"/>
  <c r="M1189" i="6"/>
  <c r="O1189" i="6" s="1"/>
  <c r="L1189" i="6"/>
  <c r="N1189" i="6" s="1"/>
  <c r="K1189" i="6"/>
  <c r="J1189" i="6"/>
  <c r="F1189" i="6"/>
  <c r="E1189" i="6"/>
  <c r="D1189" i="6"/>
  <c r="M1188" i="6"/>
  <c r="O1188" i="6" s="1"/>
  <c r="L1188" i="6"/>
  <c r="N1188" i="6" s="1"/>
  <c r="K1188" i="6"/>
  <c r="J1188" i="6"/>
  <c r="F1188" i="6"/>
  <c r="E1188" i="6"/>
  <c r="D1188" i="6"/>
  <c r="M1187" i="6"/>
  <c r="O1187" i="6" s="1"/>
  <c r="L1187" i="6"/>
  <c r="N1187" i="6" s="1"/>
  <c r="K1187" i="6"/>
  <c r="J1187" i="6"/>
  <c r="F1187" i="6"/>
  <c r="E1187" i="6"/>
  <c r="D1187" i="6"/>
  <c r="M1186" i="6"/>
  <c r="O1186" i="6" s="1"/>
  <c r="L1186" i="6"/>
  <c r="N1186" i="6" s="1"/>
  <c r="K1186" i="6"/>
  <c r="J1186" i="6"/>
  <c r="M1185" i="6"/>
  <c r="O1185" i="6" s="1"/>
  <c r="L1185" i="6"/>
  <c r="N1185" i="6" s="1"/>
  <c r="K1185" i="6"/>
  <c r="J1185" i="6"/>
  <c r="M1184" i="6"/>
  <c r="O1184" i="6" s="1"/>
  <c r="L1184" i="6"/>
  <c r="N1184" i="6" s="1"/>
  <c r="K1184" i="6"/>
  <c r="J1184" i="6"/>
  <c r="M1183" i="6"/>
  <c r="O1183" i="6" s="1"/>
  <c r="L1183" i="6"/>
  <c r="N1183" i="6" s="1"/>
  <c r="K1183" i="6"/>
  <c r="J1183" i="6"/>
  <c r="F1183" i="6"/>
  <c r="E1183" i="6"/>
  <c r="D1183" i="6"/>
  <c r="M1182" i="6"/>
  <c r="O1182" i="6" s="1"/>
  <c r="L1182" i="6"/>
  <c r="N1182" i="6" s="1"/>
  <c r="K1182" i="6"/>
  <c r="J1182" i="6"/>
  <c r="M1181" i="6"/>
  <c r="O1181" i="6" s="1"/>
  <c r="L1181" i="6"/>
  <c r="N1181" i="6" s="1"/>
  <c r="K1181" i="6"/>
  <c r="J1181" i="6"/>
  <c r="M1180" i="6"/>
  <c r="O1180" i="6" s="1"/>
  <c r="L1180" i="6"/>
  <c r="N1180" i="6" s="1"/>
  <c r="K1180" i="6"/>
  <c r="J1180" i="6"/>
  <c r="M1179" i="6"/>
  <c r="O1179" i="6" s="1"/>
  <c r="L1179" i="6"/>
  <c r="N1179" i="6" s="1"/>
  <c r="K1179" i="6"/>
  <c r="J1179" i="6"/>
  <c r="M1178" i="6"/>
  <c r="O1178" i="6" s="1"/>
  <c r="L1178" i="6"/>
  <c r="N1178" i="6" s="1"/>
  <c r="K1178" i="6"/>
  <c r="J1178" i="6"/>
  <c r="M1177" i="6"/>
  <c r="O1177" i="6" s="1"/>
  <c r="L1177" i="6"/>
  <c r="N1177" i="6" s="1"/>
  <c r="K1177" i="6"/>
  <c r="J1177" i="6"/>
  <c r="M1176" i="6"/>
  <c r="O1176" i="6" s="1"/>
  <c r="L1176" i="6"/>
  <c r="N1176" i="6" s="1"/>
  <c r="K1176" i="6"/>
  <c r="J1176" i="6"/>
  <c r="M1175" i="6"/>
  <c r="O1175" i="6" s="1"/>
  <c r="L1175" i="6"/>
  <c r="N1175" i="6" s="1"/>
  <c r="K1175" i="6"/>
  <c r="J1175" i="6"/>
  <c r="F1175" i="6"/>
  <c r="E1175" i="6"/>
  <c r="D1175" i="6"/>
  <c r="M1174" i="6"/>
  <c r="O1174" i="6" s="1"/>
  <c r="L1174" i="6"/>
  <c r="N1174" i="6" s="1"/>
  <c r="K1174" i="6"/>
  <c r="G1174" i="6" s="1"/>
  <c r="J1174" i="6"/>
  <c r="F1174" i="6"/>
  <c r="E1174" i="6"/>
  <c r="D1174" i="6"/>
  <c r="M1173" i="6"/>
  <c r="O1173" i="6" s="1"/>
  <c r="L1173" i="6"/>
  <c r="N1173" i="6" s="1"/>
  <c r="K1173" i="6"/>
  <c r="J1173" i="6"/>
  <c r="F1173" i="6"/>
  <c r="E1173" i="6"/>
  <c r="D1173" i="6"/>
  <c r="M1172" i="6"/>
  <c r="O1172" i="6" s="1"/>
  <c r="L1172" i="6"/>
  <c r="N1172" i="6" s="1"/>
  <c r="K1172" i="6"/>
  <c r="J1172" i="6"/>
  <c r="M1171" i="6"/>
  <c r="O1171" i="6" s="1"/>
  <c r="L1171" i="6"/>
  <c r="N1171" i="6" s="1"/>
  <c r="K1171" i="6"/>
  <c r="J1171" i="6"/>
  <c r="F1171" i="6"/>
  <c r="E1171" i="6"/>
  <c r="D1171" i="6"/>
  <c r="M1170" i="6"/>
  <c r="O1170" i="6" s="1"/>
  <c r="L1170" i="6"/>
  <c r="N1170" i="6" s="1"/>
  <c r="K1170" i="6"/>
  <c r="J1170" i="6"/>
  <c r="F1170" i="6"/>
  <c r="E1170" i="6"/>
  <c r="D1170" i="6"/>
  <c r="M1169" i="6"/>
  <c r="O1169" i="6" s="1"/>
  <c r="L1169" i="6"/>
  <c r="N1169" i="6" s="1"/>
  <c r="K1169" i="6"/>
  <c r="J1169" i="6"/>
  <c r="F1169" i="6"/>
  <c r="E1169" i="6"/>
  <c r="D1169" i="6"/>
  <c r="M1168" i="6"/>
  <c r="O1168" i="6" s="1"/>
  <c r="L1168" i="6"/>
  <c r="N1168" i="6" s="1"/>
  <c r="K1168" i="6"/>
  <c r="J1168" i="6"/>
  <c r="F1168" i="6"/>
  <c r="E1168" i="6"/>
  <c r="D1168" i="6"/>
  <c r="M1167" i="6"/>
  <c r="O1167" i="6" s="1"/>
  <c r="L1167" i="6"/>
  <c r="N1167" i="6" s="1"/>
  <c r="K1167" i="6"/>
  <c r="J1167" i="6"/>
  <c r="M1166" i="6"/>
  <c r="O1166" i="6" s="1"/>
  <c r="L1166" i="6"/>
  <c r="N1166" i="6" s="1"/>
  <c r="K1166" i="6"/>
  <c r="J1166" i="6"/>
  <c r="M1165" i="6"/>
  <c r="O1165" i="6" s="1"/>
  <c r="L1165" i="6"/>
  <c r="N1165" i="6" s="1"/>
  <c r="K1165" i="6"/>
  <c r="J1165" i="6"/>
  <c r="F1165" i="6"/>
  <c r="E1165" i="6"/>
  <c r="D1165" i="6"/>
  <c r="M1164" i="6"/>
  <c r="O1164" i="6" s="1"/>
  <c r="L1164" i="6"/>
  <c r="N1164" i="6" s="1"/>
  <c r="K1164" i="6"/>
  <c r="J1164" i="6"/>
  <c r="F1164" i="6"/>
  <c r="E1164" i="6"/>
  <c r="D1164" i="6"/>
  <c r="N1163" i="6"/>
  <c r="M1163" i="6"/>
  <c r="O1163" i="6" s="1"/>
  <c r="L1163" i="6"/>
  <c r="K1163" i="6"/>
  <c r="J1163" i="6"/>
  <c r="M1162" i="6"/>
  <c r="O1162" i="6" s="1"/>
  <c r="L1162" i="6"/>
  <c r="N1162" i="6" s="1"/>
  <c r="K1162" i="6"/>
  <c r="J1162" i="6"/>
  <c r="M1161" i="6"/>
  <c r="O1161" i="6" s="1"/>
  <c r="L1161" i="6"/>
  <c r="N1161" i="6" s="1"/>
  <c r="K1161" i="6"/>
  <c r="J1161" i="6"/>
  <c r="M1160" i="6"/>
  <c r="O1160" i="6" s="1"/>
  <c r="L1160" i="6"/>
  <c r="N1160" i="6" s="1"/>
  <c r="K1160" i="6"/>
  <c r="J1160" i="6"/>
  <c r="F1160" i="6"/>
  <c r="E1160" i="6"/>
  <c r="D1160" i="6"/>
  <c r="N1159" i="6"/>
  <c r="M1159" i="6"/>
  <c r="O1159" i="6" s="1"/>
  <c r="L1159" i="6"/>
  <c r="K1159" i="6"/>
  <c r="J1159" i="6"/>
  <c r="F1159" i="6"/>
  <c r="E1159" i="6"/>
  <c r="D1159" i="6"/>
  <c r="M1158" i="6"/>
  <c r="O1158" i="6" s="1"/>
  <c r="L1158" i="6"/>
  <c r="N1158" i="6" s="1"/>
  <c r="K1158" i="6"/>
  <c r="J1158" i="6"/>
  <c r="F1158" i="6"/>
  <c r="E1158" i="6"/>
  <c r="D1158" i="6"/>
  <c r="M1157" i="6"/>
  <c r="O1157" i="6" s="1"/>
  <c r="L1157" i="6"/>
  <c r="N1157" i="6" s="1"/>
  <c r="K1157" i="6"/>
  <c r="J1157" i="6"/>
  <c r="F1157" i="6"/>
  <c r="E1157" i="6"/>
  <c r="D1157" i="6"/>
  <c r="M1156" i="6"/>
  <c r="O1156" i="6" s="1"/>
  <c r="L1156" i="6"/>
  <c r="N1156" i="6" s="1"/>
  <c r="G1156" i="6" s="1"/>
  <c r="C1156" i="6" s="1"/>
  <c r="K1156" i="6"/>
  <c r="J1156" i="6"/>
  <c r="F1156" i="6"/>
  <c r="E1156" i="6"/>
  <c r="D1156" i="6"/>
  <c r="M1155" i="6"/>
  <c r="O1155" i="6" s="1"/>
  <c r="L1155" i="6"/>
  <c r="N1155" i="6" s="1"/>
  <c r="K1155" i="6"/>
  <c r="J1155" i="6"/>
  <c r="F1155" i="6"/>
  <c r="E1155" i="6"/>
  <c r="D1155" i="6"/>
  <c r="N1154" i="6"/>
  <c r="M1154" i="6"/>
  <c r="O1154" i="6" s="1"/>
  <c r="L1154" i="6"/>
  <c r="K1154" i="6"/>
  <c r="J1154" i="6"/>
  <c r="F1154" i="6"/>
  <c r="E1154" i="6"/>
  <c r="D1154" i="6"/>
  <c r="M1153" i="6"/>
  <c r="O1153" i="6" s="1"/>
  <c r="L1153" i="6"/>
  <c r="N1153" i="6" s="1"/>
  <c r="G1153" i="6" s="1"/>
  <c r="K1153" i="6"/>
  <c r="J1153" i="6"/>
  <c r="F1153" i="6"/>
  <c r="E1153" i="6"/>
  <c r="D1153" i="6"/>
  <c r="M1152" i="6"/>
  <c r="O1152" i="6" s="1"/>
  <c r="L1152" i="6"/>
  <c r="N1152" i="6" s="1"/>
  <c r="K1152" i="6"/>
  <c r="J1152" i="6"/>
  <c r="F1152" i="6"/>
  <c r="E1152" i="6"/>
  <c r="D1152" i="6"/>
  <c r="O1151" i="6"/>
  <c r="M1151" i="6"/>
  <c r="L1151" i="6"/>
  <c r="N1151" i="6" s="1"/>
  <c r="K1151" i="6"/>
  <c r="J1151" i="6"/>
  <c r="F1151" i="6"/>
  <c r="E1151" i="6"/>
  <c r="D1151" i="6"/>
  <c r="M1150" i="6"/>
  <c r="O1150" i="6" s="1"/>
  <c r="L1150" i="6"/>
  <c r="N1150" i="6" s="1"/>
  <c r="K1150" i="6"/>
  <c r="J1150" i="6"/>
  <c r="F1150" i="6"/>
  <c r="E1150" i="6"/>
  <c r="D1150" i="6"/>
  <c r="N1149" i="6"/>
  <c r="M1149" i="6"/>
  <c r="O1149" i="6" s="1"/>
  <c r="L1149" i="6"/>
  <c r="K1149" i="6"/>
  <c r="J1149" i="6"/>
  <c r="F1149" i="6"/>
  <c r="E1149" i="6"/>
  <c r="D1149" i="6"/>
  <c r="M1148" i="6"/>
  <c r="O1148" i="6" s="1"/>
  <c r="L1148" i="6"/>
  <c r="N1148" i="6" s="1"/>
  <c r="K1148" i="6"/>
  <c r="J1148" i="6"/>
  <c r="F1148" i="6"/>
  <c r="E1148" i="6"/>
  <c r="D1148" i="6"/>
  <c r="M1147" i="6"/>
  <c r="O1147" i="6" s="1"/>
  <c r="L1147" i="6"/>
  <c r="N1147" i="6" s="1"/>
  <c r="K1147" i="6"/>
  <c r="J1147" i="6"/>
  <c r="F1147" i="6"/>
  <c r="E1147" i="6"/>
  <c r="D1147" i="6"/>
  <c r="O1146" i="6"/>
  <c r="M1146" i="6"/>
  <c r="L1146" i="6"/>
  <c r="N1146" i="6" s="1"/>
  <c r="K1146" i="6"/>
  <c r="J1146" i="6"/>
  <c r="F1146" i="6"/>
  <c r="E1146" i="6"/>
  <c r="D1146" i="6"/>
  <c r="N1145" i="6"/>
  <c r="G1145" i="6" s="1"/>
  <c r="M1145" i="6"/>
  <c r="O1145" i="6" s="1"/>
  <c r="L1145" i="6"/>
  <c r="K1145" i="6"/>
  <c r="J1145" i="6"/>
  <c r="F1145" i="6"/>
  <c r="E1145" i="6"/>
  <c r="D1145" i="6"/>
  <c r="M1144" i="6"/>
  <c r="O1144" i="6" s="1"/>
  <c r="L1144" i="6"/>
  <c r="N1144" i="6" s="1"/>
  <c r="K1144" i="6"/>
  <c r="J1144" i="6"/>
  <c r="F1144" i="6"/>
  <c r="E1144" i="6"/>
  <c r="D1144" i="6"/>
  <c r="O1143" i="6"/>
  <c r="M1143" i="6"/>
  <c r="L1143" i="6"/>
  <c r="N1143" i="6" s="1"/>
  <c r="K1143" i="6"/>
  <c r="J1143" i="6"/>
  <c r="F1143" i="6"/>
  <c r="E1143" i="6"/>
  <c r="D1143" i="6"/>
  <c r="M1142" i="6"/>
  <c r="O1142" i="6" s="1"/>
  <c r="L1142" i="6"/>
  <c r="N1142" i="6" s="1"/>
  <c r="K1142" i="6"/>
  <c r="J1142" i="6"/>
  <c r="F1142" i="6"/>
  <c r="E1142" i="6"/>
  <c r="D1142" i="6"/>
  <c r="M1141" i="6"/>
  <c r="O1141" i="6" s="1"/>
  <c r="L1141" i="6"/>
  <c r="N1141" i="6" s="1"/>
  <c r="K1141" i="6"/>
  <c r="J1141" i="6"/>
  <c r="M1140" i="6"/>
  <c r="O1140" i="6" s="1"/>
  <c r="L1140" i="6"/>
  <c r="N1140" i="6" s="1"/>
  <c r="K1140" i="6"/>
  <c r="J1140" i="6"/>
  <c r="F1140" i="6"/>
  <c r="E1140" i="6"/>
  <c r="D1140" i="6"/>
  <c r="O1139" i="6"/>
  <c r="M1139" i="6"/>
  <c r="L1139" i="6"/>
  <c r="N1139" i="6" s="1"/>
  <c r="K1139" i="6"/>
  <c r="J1139" i="6"/>
  <c r="F1139" i="6"/>
  <c r="E1139" i="6"/>
  <c r="D1139" i="6"/>
  <c r="M1138" i="6"/>
  <c r="O1138" i="6" s="1"/>
  <c r="L1138" i="6"/>
  <c r="N1138" i="6" s="1"/>
  <c r="K1138" i="6"/>
  <c r="J1138" i="6"/>
  <c r="F1138" i="6"/>
  <c r="E1138" i="6"/>
  <c r="D1138" i="6"/>
  <c r="N1137" i="6"/>
  <c r="M1137" i="6"/>
  <c r="O1137" i="6" s="1"/>
  <c r="L1137" i="6"/>
  <c r="K1137" i="6"/>
  <c r="J1137" i="6"/>
  <c r="F1137" i="6"/>
  <c r="E1137" i="6"/>
  <c r="D1137" i="6"/>
  <c r="M1136" i="6"/>
  <c r="O1136" i="6" s="1"/>
  <c r="L1136" i="6"/>
  <c r="N1136" i="6" s="1"/>
  <c r="K1136" i="6"/>
  <c r="J1136" i="6"/>
  <c r="F1136" i="6"/>
  <c r="E1136" i="6"/>
  <c r="D1136" i="6"/>
  <c r="M1135" i="6"/>
  <c r="O1135" i="6" s="1"/>
  <c r="L1135" i="6"/>
  <c r="N1135" i="6" s="1"/>
  <c r="K1135" i="6"/>
  <c r="J1135" i="6"/>
  <c r="F1135" i="6"/>
  <c r="E1135" i="6"/>
  <c r="D1135" i="6"/>
  <c r="M1134" i="6"/>
  <c r="O1134" i="6" s="1"/>
  <c r="L1134" i="6"/>
  <c r="N1134" i="6" s="1"/>
  <c r="K1134" i="6"/>
  <c r="J1134" i="6"/>
  <c r="F1134" i="6"/>
  <c r="E1134" i="6"/>
  <c r="D1134" i="6"/>
  <c r="O1133" i="6"/>
  <c r="M1133" i="6"/>
  <c r="L1133" i="6"/>
  <c r="N1133" i="6" s="1"/>
  <c r="K1133" i="6"/>
  <c r="J1133" i="6"/>
  <c r="N1132" i="6"/>
  <c r="M1132" i="6"/>
  <c r="O1132" i="6" s="1"/>
  <c r="G1132" i="6" s="1"/>
  <c r="L1132" i="6"/>
  <c r="K1132" i="6"/>
  <c r="J1132" i="6"/>
  <c r="F1132" i="6"/>
  <c r="E1132" i="6"/>
  <c r="D1132" i="6"/>
  <c r="M1131" i="6"/>
  <c r="O1131" i="6" s="1"/>
  <c r="L1131" i="6"/>
  <c r="N1131" i="6" s="1"/>
  <c r="K1131" i="6"/>
  <c r="J1131" i="6"/>
  <c r="F1131" i="6"/>
  <c r="E1131" i="6"/>
  <c r="D1131" i="6"/>
  <c r="M1130" i="6"/>
  <c r="O1130" i="6" s="1"/>
  <c r="L1130" i="6"/>
  <c r="N1130" i="6" s="1"/>
  <c r="K1130" i="6"/>
  <c r="J1130" i="6"/>
  <c r="F1130" i="6"/>
  <c r="E1130" i="6"/>
  <c r="D1130" i="6"/>
  <c r="M1129" i="6"/>
  <c r="O1129" i="6" s="1"/>
  <c r="L1129" i="6"/>
  <c r="N1129" i="6" s="1"/>
  <c r="K1129" i="6"/>
  <c r="J1129" i="6"/>
  <c r="F1129" i="6"/>
  <c r="E1129" i="6"/>
  <c r="D1129" i="6"/>
  <c r="O1128" i="6"/>
  <c r="M1128" i="6"/>
  <c r="L1128" i="6"/>
  <c r="N1128" i="6" s="1"/>
  <c r="K1128" i="6"/>
  <c r="J1128" i="6"/>
  <c r="F1128" i="6"/>
  <c r="E1128" i="6"/>
  <c r="D1128" i="6"/>
  <c r="N1127" i="6"/>
  <c r="M1127" i="6"/>
  <c r="O1127" i="6" s="1"/>
  <c r="L1127" i="6"/>
  <c r="K1127" i="6"/>
  <c r="J1127" i="6"/>
  <c r="F1127" i="6"/>
  <c r="E1127" i="6"/>
  <c r="D1127" i="6"/>
  <c r="M1126" i="6"/>
  <c r="O1126" i="6" s="1"/>
  <c r="L1126" i="6"/>
  <c r="N1126" i="6" s="1"/>
  <c r="K1126" i="6"/>
  <c r="J1126" i="6"/>
  <c r="F1126" i="6"/>
  <c r="E1126" i="6"/>
  <c r="D1126" i="6"/>
  <c r="M1125" i="6"/>
  <c r="O1125" i="6" s="1"/>
  <c r="L1125" i="6"/>
  <c r="N1125" i="6" s="1"/>
  <c r="K1125" i="6"/>
  <c r="J1125" i="6"/>
  <c r="F1125" i="6"/>
  <c r="E1125" i="6"/>
  <c r="D1125" i="6"/>
  <c r="M1124" i="6"/>
  <c r="O1124" i="6" s="1"/>
  <c r="L1124" i="6"/>
  <c r="N1124" i="6" s="1"/>
  <c r="K1124" i="6"/>
  <c r="J1124" i="6"/>
  <c r="F1124" i="6"/>
  <c r="E1124" i="6"/>
  <c r="D1124" i="6"/>
  <c r="O1123" i="6"/>
  <c r="N1123" i="6"/>
  <c r="M1123" i="6"/>
  <c r="L1123" i="6"/>
  <c r="K1123" i="6"/>
  <c r="J1123" i="6"/>
  <c r="F1123" i="6"/>
  <c r="E1123" i="6"/>
  <c r="D1123" i="6"/>
  <c r="M1122" i="6"/>
  <c r="O1122" i="6" s="1"/>
  <c r="L1122" i="6"/>
  <c r="N1122" i="6" s="1"/>
  <c r="K1122" i="6"/>
  <c r="J1122" i="6"/>
  <c r="F1122" i="6"/>
  <c r="E1122" i="6"/>
  <c r="D1122" i="6"/>
  <c r="M1121" i="6"/>
  <c r="O1121" i="6" s="1"/>
  <c r="L1121" i="6"/>
  <c r="N1121" i="6" s="1"/>
  <c r="K1121" i="6"/>
  <c r="J1121" i="6"/>
  <c r="F1121" i="6"/>
  <c r="E1121" i="6"/>
  <c r="D1121" i="6"/>
  <c r="O1120" i="6"/>
  <c r="M1120" i="6"/>
  <c r="L1120" i="6"/>
  <c r="N1120" i="6" s="1"/>
  <c r="K1120" i="6"/>
  <c r="J1120" i="6"/>
  <c r="F1120" i="6"/>
  <c r="E1120" i="6"/>
  <c r="D1120" i="6"/>
  <c r="M1119" i="6"/>
  <c r="O1119" i="6" s="1"/>
  <c r="L1119" i="6"/>
  <c r="N1119" i="6" s="1"/>
  <c r="K1119" i="6"/>
  <c r="J1119" i="6"/>
  <c r="M1118" i="6"/>
  <c r="O1118" i="6" s="1"/>
  <c r="L1118" i="6"/>
  <c r="N1118" i="6" s="1"/>
  <c r="K1118" i="6"/>
  <c r="J1118" i="6"/>
  <c r="M1117" i="6"/>
  <c r="O1117" i="6" s="1"/>
  <c r="L1117" i="6"/>
  <c r="N1117" i="6" s="1"/>
  <c r="K1117" i="6"/>
  <c r="J1117" i="6"/>
  <c r="M1116" i="6"/>
  <c r="O1116" i="6" s="1"/>
  <c r="L1116" i="6"/>
  <c r="N1116" i="6" s="1"/>
  <c r="K1116" i="6"/>
  <c r="J1116" i="6"/>
  <c r="F1116" i="6"/>
  <c r="E1116" i="6"/>
  <c r="D1116" i="6"/>
  <c r="M1115" i="6"/>
  <c r="O1115" i="6" s="1"/>
  <c r="L1115" i="6"/>
  <c r="N1115" i="6" s="1"/>
  <c r="K1115" i="6"/>
  <c r="J1115" i="6"/>
  <c r="F1115" i="6"/>
  <c r="E1115" i="6"/>
  <c r="D1115" i="6"/>
  <c r="N1114" i="6"/>
  <c r="M1114" i="6"/>
  <c r="O1114" i="6" s="1"/>
  <c r="L1114" i="6"/>
  <c r="K1114" i="6"/>
  <c r="J1114" i="6"/>
  <c r="F1114" i="6"/>
  <c r="E1114" i="6"/>
  <c r="D1114" i="6"/>
  <c r="M1113" i="6"/>
  <c r="O1113" i="6" s="1"/>
  <c r="L1113" i="6"/>
  <c r="N1113" i="6" s="1"/>
  <c r="K1113" i="6"/>
  <c r="J1113" i="6"/>
  <c r="F1113" i="6"/>
  <c r="E1113" i="6"/>
  <c r="D1113" i="6"/>
  <c r="M1112" i="6"/>
  <c r="O1112" i="6" s="1"/>
  <c r="L1112" i="6"/>
  <c r="N1112" i="6" s="1"/>
  <c r="K1112" i="6"/>
  <c r="J1112" i="6"/>
  <c r="G1112" i="6" s="1"/>
  <c r="F1112" i="6"/>
  <c r="E1112" i="6"/>
  <c r="D1112" i="6"/>
  <c r="M1111" i="6"/>
  <c r="O1111" i="6" s="1"/>
  <c r="L1111" i="6"/>
  <c r="N1111" i="6" s="1"/>
  <c r="K1111" i="6"/>
  <c r="J1111" i="6"/>
  <c r="F1111" i="6"/>
  <c r="E1111" i="6"/>
  <c r="D1111" i="6"/>
  <c r="O1110" i="6"/>
  <c r="N1110" i="6"/>
  <c r="M1110" i="6"/>
  <c r="L1110" i="6"/>
  <c r="K1110" i="6"/>
  <c r="J1110" i="6"/>
  <c r="F1110" i="6"/>
  <c r="E1110" i="6"/>
  <c r="D1110" i="6"/>
  <c r="M1109" i="6"/>
  <c r="O1109" i="6" s="1"/>
  <c r="L1109" i="6"/>
  <c r="N1109" i="6" s="1"/>
  <c r="K1109" i="6"/>
  <c r="J1109" i="6"/>
  <c r="M1108" i="6"/>
  <c r="O1108" i="6" s="1"/>
  <c r="L1108" i="6"/>
  <c r="N1108" i="6" s="1"/>
  <c r="K1108" i="6"/>
  <c r="J1108" i="6"/>
  <c r="M1107" i="6"/>
  <c r="O1107" i="6" s="1"/>
  <c r="L1107" i="6"/>
  <c r="N1107" i="6" s="1"/>
  <c r="G1107" i="6" s="1"/>
  <c r="C1107" i="6" s="1"/>
  <c r="K1107" i="6"/>
  <c r="J1107" i="6"/>
  <c r="F1107" i="6"/>
  <c r="E1107" i="6"/>
  <c r="D1107" i="6"/>
  <c r="N1106" i="6"/>
  <c r="M1106" i="6"/>
  <c r="O1106" i="6" s="1"/>
  <c r="L1106" i="6"/>
  <c r="K1106" i="6"/>
  <c r="J1106" i="6"/>
  <c r="F1106" i="6"/>
  <c r="E1106" i="6"/>
  <c r="D1106" i="6"/>
  <c r="M1105" i="6"/>
  <c r="O1105" i="6" s="1"/>
  <c r="L1105" i="6"/>
  <c r="N1105" i="6" s="1"/>
  <c r="K1105" i="6"/>
  <c r="J1105" i="6"/>
  <c r="F1105" i="6"/>
  <c r="E1105" i="6"/>
  <c r="D1105" i="6"/>
  <c r="N1104" i="6"/>
  <c r="M1104" i="6"/>
  <c r="O1104" i="6" s="1"/>
  <c r="L1104" i="6"/>
  <c r="K1104" i="6"/>
  <c r="J1104" i="6"/>
  <c r="F1104" i="6"/>
  <c r="E1104" i="6"/>
  <c r="D1104" i="6"/>
  <c r="M1103" i="6"/>
  <c r="O1103" i="6" s="1"/>
  <c r="L1103" i="6"/>
  <c r="N1103" i="6" s="1"/>
  <c r="K1103" i="6"/>
  <c r="J1103" i="6"/>
  <c r="F1103" i="6"/>
  <c r="E1103" i="6"/>
  <c r="D1103" i="6"/>
  <c r="M1102" i="6"/>
  <c r="O1102" i="6" s="1"/>
  <c r="L1102" i="6"/>
  <c r="N1102" i="6" s="1"/>
  <c r="K1102" i="6"/>
  <c r="J1102" i="6"/>
  <c r="F1102" i="6"/>
  <c r="E1102" i="6"/>
  <c r="D1102" i="6"/>
  <c r="O1101" i="6"/>
  <c r="M1101" i="6"/>
  <c r="L1101" i="6"/>
  <c r="N1101" i="6" s="1"/>
  <c r="K1101" i="6"/>
  <c r="J1101" i="6"/>
  <c r="F1101" i="6"/>
  <c r="E1101" i="6"/>
  <c r="D1101" i="6"/>
  <c r="N1100" i="6"/>
  <c r="M1100" i="6"/>
  <c r="O1100" i="6" s="1"/>
  <c r="L1100" i="6"/>
  <c r="K1100" i="6"/>
  <c r="J1100" i="6"/>
  <c r="F1100" i="6"/>
  <c r="E1100" i="6"/>
  <c r="D1100" i="6"/>
  <c r="M1099" i="6"/>
  <c r="O1099" i="6" s="1"/>
  <c r="L1099" i="6"/>
  <c r="N1099" i="6" s="1"/>
  <c r="K1099" i="6"/>
  <c r="J1099" i="6"/>
  <c r="F1099" i="6"/>
  <c r="E1099" i="6"/>
  <c r="D1099" i="6"/>
  <c r="M1098" i="6"/>
  <c r="O1098" i="6" s="1"/>
  <c r="L1098" i="6"/>
  <c r="N1098" i="6" s="1"/>
  <c r="K1098" i="6"/>
  <c r="J1098" i="6"/>
  <c r="F1098" i="6"/>
  <c r="E1098" i="6"/>
  <c r="D1098" i="6"/>
  <c r="M1097" i="6"/>
  <c r="O1097" i="6" s="1"/>
  <c r="L1097" i="6"/>
  <c r="N1097" i="6" s="1"/>
  <c r="K1097" i="6"/>
  <c r="J1097" i="6"/>
  <c r="F1097" i="6"/>
  <c r="E1097" i="6"/>
  <c r="D1097" i="6"/>
  <c r="O1096" i="6"/>
  <c r="M1096" i="6"/>
  <c r="L1096" i="6"/>
  <c r="N1096" i="6" s="1"/>
  <c r="K1096" i="6"/>
  <c r="J1096" i="6"/>
  <c r="F1096" i="6"/>
  <c r="E1096" i="6"/>
  <c r="D1096" i="6"/>
  <c r="M1095" i="6"/>
  <c r="O1095" i="6" s="1"/>
  <c r="L1095" i="6"/>
  <c r="N1095" i="6" s="1"/>
  <c r="K1095" i="6"/>
  <c r="J1095" i="6"/>
  <c r="F1095" i="6"/>
  <c r="E1095" i="6"/>
  <c r="D1095" i="6"/>
  <c r="M1094" i="6"/>
  <c r="O1094" i="6" s="1"/>
  <c r="L1094" i="6"/>
  <c r="N1094" i="6" s="1"/>
  <c r="K1094" i="6"/>
  <c r="J1094" i="6"/>
  <c r="F1094" i="6"/>
  <c r="E1094" i="6"/>
  <c r="D1094" i="6"/>
  <c r="M1093" i="6"/>
  <c r="O1093" i="6" s="1"/>
  <c r="L1093" i="6"/>
  <c r="N1093" i="6" s="1"/>
  <c r="K1093" i="6"/>
  <c r="J1093" i="6"/>
  <c r="F1093" i="6"/>
  <c r="E1093" i="6"/>
  <c r="D1093" i="6"/>
  <c r="O1092" i="6"/>
  <c r="M1092" i="6"/>
  <c r="L1092" i="6"/>
  <c r="N1092" i="6" s="1"/>
  <c r="K1092" i="6"/>
  <c r="J1092" i="6"/>
  <c r="F1092" i="6"/>
  <c r="E1092" i="6"/>
  <c r="D1092" i="6"/>
  <c r="M1091" i="6"/>
  <c r="O1091" i="6" s="1"/>
  <c r="L1091" i="6"/>
  <c r="N1091" i="6" s="1"/>
  <c r="K1091" i="6"/>
  <c r="J1091" i="6"/>
  <c r="F1091" i="6"/>
  <c r="E1091" i="6"/>
  <c r="D1091" i="6"/>
  <c r="M1090" i="6"/>
  <c r="O1090" i="6" s="1"/>
  <c r="L1090" i="6"/>
  <c r="N1090" i="6" s="1"/>
  <c r="K1090" i="6"/>
  <c r="J1090" i="6"/>
  <c r="F1090" i="6"/>
  <c r="E1090" i="6"/>
  <c r="D1090" i="6"/>
  <c r="M1089" i="6"/>
  <c r="O1089" i="6" s="1"/>
  <c r="L1089" i="6"/>
  <c r="N1089" i="6" s="1"/>
  <c r="K1089" i="6"/>
  <c r="J1089" i="6"/>
  <c r="F1089" i="6"/>
  <c r="E1089" i="6"/>
  <c r="D1089" i="6"/>
  <c r="O1088" i="6"/>
  <c r="M1088" i="6"/>
  <c r="L1088" i="6"/>
  <c r="N1088" i="6" s="1"/>
  <c r="K1088" i="6"/>
  <c r="J1088" i="6"/>
  <c r="F1088" i="6"/>
  <c r="E1088" i="6"/>
  <c r="D1088" i="6"/>
  <c r="M1087" i="6"/>
  <c r="O1087" i="6" s="1"/>
  <c r="L1087" i="6"/>
  <c r="N1087" i="6" s="1"/>
  <c r="K1087" i="6"/>
  <c r="J1087" i="6"/>
  <c r="F1087" i="6"/>
  <c r="E1087" i="6"/>
  <c r="D1087" i="6"/>
  <c r="M1086" i="6"/>
  <c r="O1086" i="6" s="1"/>
  <c r="L1086" i="6"/>
  <c r="N1086" i="6" s="1"/>
  <c r="K1086" i="6"/>
  <c r="J1086" i="6"/>
  <c r="M1085" i="6"/>
  <c r="O1085" i="6" s="1"/>
  <c r="L1085" i="6"/>
  <c r="N1085" i="6" s="1"/>
  <c r="K1085" i="6"/>
  <c r="J1085" i="6"/>
  <c r="O1084" i="6"/>
  <c r="M1084" i="6"/>
  <c r="L1084" i="6"/>
  <c r="N1084" i="6" s="1"/>
  <c r="K1084" i="6"/>
  <c r="J1084" i="6"/>
  <c r="M1083" i="6"/>
  <c r="O1083" i="6" s="1"/>
  <c r="L1083" i="6"/>
  <c r="N1083" i="6" s="1"/>
  <c r="K1083" i="6"/>
  <c r="J1083" i="6"/>
  <c r="F1083" i="6"/>
  <c r="E1083" i="6"/>
  <c r="D1083" i="6"/>
  <c r="M1082" i="6"/>
  <c r="O1082" i="6" s="1"/>
  <c r="L1082" i="6"/>
  <c r="N1082" i="6" s="1"/>
  <c r="K1082" i="6"/>
  <c r="J1082" i="6"/>
  <c r="F1082" i="6"/>
  <c r="E1082" i="6"/>
  <c r="D1082" i="6"/>
  <c r="M1081" i="6"/>
  <c r="O1081" i="6" s="1"/>
  <c r="L1081" i="6"/>
  <c r="N1081" i="6" s="1"/>
  <c r="K1081" i="6"/>
  <c r="J1081" i="6"/>
  <c r="M1080" i="6"/>
  <c r="O1080" i="6" s="1"/>
  <c r="L1080" i="6"/>
  <c r="N1080" i="6" s="1"/>
  <c r="K1080" i="6"/>
  <c r="J1080" i="6"/>
  <c r="M1079" i="6"/>
  <c r="O1079" i="6" s="1"/>
  <c r="L1079" i="6"/>
  <c r="N1079" i="6" s="1"/>
  <c r="K1079" i="6"/>
  <c r="J1079" i="6"/>
  <c r="M1078" i="6"/>
  <c r="O1078" i="6" s="1"/>
  <c r="L1078" i="6"/>
  <c r="N1078" i="6" s="1"/>
  <c r="K1078" i="6"/>
  <c r="J1078" i="6"/>
  <c r="M1077" i="6"/>
  <c r="O1077" i="6" s="1"/>
  <c r="L1077" i="6"/>
  <c r="N1077" i="6" s="1"/>
  <c r="K1077" i="6"/>
  <c r="J1077" i="6"/>
  <c r="F1077" i="6"/>
  <c r="E1077" i="6"/>
  <c r="D1077" i="6"/>
  <c r="M1076" i="6"/>
  <c r="O1076" i="6" s="1"/>
  <c r="L1076" i="6"/>
  <c r="N1076" i="6" s="1"/>
  <c r="K1076" i="6"/>
  <c r="J1076" i="6"/>
  <c r="M1075" i="6"/>
  <c r="O1075" i="6" s="1"/>
  <c r="L1075" i="6"/>
  <c r="N1075" i="6" s="1"/>
  <c r="K1075" i="6"/>
  <c r="J1075" i="6"/>
  <c r="F1075" i="6"/>
  <c r="E1075" i="6"/>
  <c r="D1075" i="6"/>
  <c r="M1074" i="6"/>
  <c r="O1074" i="6" s="1"/>
  <c r="L1074" i="6"/>
  <c r="N1074" i="6" s="1"/>
  <c r="K1074" i="6"/>
  <c r="J1074" i="6"/>
  <c r="M1073" i="6"/>
  <c r="O1073" i="6" s="1"/>
  <c r="L1073" i="6"/>
  <c r="N1073" i="6" s="1"/>
  <c r="K1073" i="6"/>
  <c r="J1073" i="6"/>
  <c r="F1073" i="6"/>
  <c r="E1073" i="6"/>
  <c r="D1073" i="6"/>
  <c r="M1072" i="6"/>
  <c r="O1072" i="6" s="1"/>
  <c r="L1072" i="6"/>
  <c r="N1072" i="6" s="1"/>
  <c r="K1072" i="6"/>
  <c r="J1072" i="6"/>
  <c r="M1071" i="6"/>
  <c r="O1071" i="6" s="1"/>
  <c r="L1071" i="6"/>
  <c r="N1071" i="6" s="1"/>
  <c r="K1071" i="6"/>
  <c r="J1071" i="6"/>
  <c r="M1070" i="6"/>
  <c r="O1070" i="6" s="1"/>
  <c r="L1070" i="6"/>
  <c r="N1070" i="6" s="1"/>
  <c r="K1070" i="6"/>
  <c r="J1070" i="6"/>
  <c r="M1069" i="6"/>
  <c r="O1069" i="6" s="1"/>
  <c r="L1069" i="6"/>
  <c r="N1069" i="6" s="1"/>
  <c r="K1069" i="6"/>
  <c r="J1069" i="6"/>
  <c r="F1069" i="6"/>
  <c r="E1069" i="6"/>
  <c r="D1069" i="6"/>
  <c r="M1068" i="6"/>
  <c r="O1068" i="6" s="1"/>
  <c r="L1068" i="6"/>
  <c r="N1068" i="6" s="1"/>
  <c r="K1068" i="6"/>
  <c r="J1068" i="6"/>
  <c r="M1067" i="6"/>
  <c r="O1067" i="6" s="1"/>
  <c r="L1067" i="6"/>
  <c r="N1067" i="6" s="1"/>
  <c r="K1067" i="6"/>
  <c r="J1067" i="6"/>
  <c r="F1067" i="6"/>
  <c r="E1067" i="6"/>
  <c r="D1067" i="6"/>
  <c r="M1066" i="6"/>
  <c r="O1066" i="6" s="1"/>
  <c r="L1066" i="6"/>
  <c r="N1066" i="6" s="1"/>
  <c r="K1066" i="6"/>
  <c r="J1066" i="6"/>
  <c r="F1066" i="6"/>
  <c r="E1066" i="6"/>
  <c r="D1066" i="6"/>
  <c r="M1065" i="6"/>
  <c r="O1065" i="6" s="1"/>
  <c r="G1065" i="6" s="1"/>
  <c r="C1065" i="6" s="1"/>
  <c r="L1065" i="6"/>
  <c r="N1065" i="6" s="1"/>
  <c r="K1065" i="6"/>
  <c r="J1065" i="6"/>
  <c r="F1065" i="6"/>
  <c r="E1065" i="6"/>
  <c r="D1065" i="6"/>
  <c r="M1064" i="6"/>
  <c r="O1064" i="6" s="1"/>
  <c r="L1064" i="6"/>
  <c r="N1064" i="6" s="1"/>
  <c r="K1064" i="6"/>
  <c r="J1064" i="6"/>
  <c r="M1063" i="6"/>
  <c r="O1063" i="6" s="1"/>
  <c r="L1063" i="6"/>
  <c r="N1063" i="6" s="1"/>
  <c r="K1063" i="6"/>
  <c r="J1063" i="6"/>
  <c r="M1062" i="6"/>
  <c r="O1062" i="6" s="1"/>
  <c r="L1062" i="6"/>
  <c r="N1062" i="6" s="1"/>
  <c r="K1062" i="6"/>
  <c r="J1062" i="6"/>
  <c r="M1061" i="6"/>
  <c r="O1061" i="6" s="1"/>
  <c r="L1061" i="6"/>
  <c r="N1061" i="6" s="1"/>
  <c r="K1061" i="6"/>
  <c r="J1061" i="6"/>
  <c r="M1060" i="6"/>
  <c r="O1060" i="6" s="1"/>
  <c r="L1060" i="6"/>
  <c r="N1060" i="6" s="1"/>
  <c r="K1060" i="6"/>
  <c r="J1060" i="6"/>
  <c r="M1059" i="6"/>
  <c r="O1059" i="6" s="1"/>
  <c r="L1059" i="6"/>
  <c r="N1059" i="6" s="1"/>
  <c r="K1059" i="6"/>
  <c r="J1059" i="6"/>
  <c r="M1058" i="6"/>
  <c r="O1058" i="6" s="1"/>
  <c r="L1058" i="6"/>
  <c r="N1058" i="6" s="1"/>
  <c r="K1058" i="6"/>
  <c r="J1058" i="6"/>
  <c r="F1058" i="6"/>
  <c r="E1058" i="6"/>
  <c r="D1058" i="6"/>
  <c r="M1057" i="6"/>
  <c r="O1057" i="6" s="1"/>
  <c r="L1057" i="6"/>
  <c r="N1057" i="6" s="1"/>
  <c r="K1057" i="6"/>
  <c r="J1057" i="6"/>
  <c r="M1056" i="6"/>
  <c r="O1056" i="6" s="1"/>
  <c r="L1056" i="6"/>
  <c r="N1056" i="6" s="1"/>
  <c r="K1056" i="6"/>
  <c r="J1056" i="6"/>
  <c r="F1056" i="6"/>
  <c r="E1056" i="6"/>
  <c r="D1056" i="6"/>
  <c r="M1055" i="6"/>
  <c r="O1055" i="6" s="1"/>
  <c r="L1055" i="6"/>
  <c r="N1055" i="6" s="1"/>
  <c r="K1055" i="6"/>
  <c r="J1055" i="6"/>
  <c r="M1054" i="6"/>
  <c r="O1054" i="6" s="1"/>
  <c r="L1054" i="6"/>
  <c r="N1054" i="6" s="1"/>
  <c r="K1054" i="6"/>
  <c r="J1054" i="6"/>
  <c r="M1053" i="6"/>
  <c r="O1053" i="6" s="1"/>
  <c r="G1053" i="6" s="1"/>
  <c r="L1053" i="6"/>
  <c r="N1053" i="6" s="1"/>
  <c r="K1053" i="6"/>
  <c r="J1053" i="6"/>
  <c r="F1053" i="6"/>
  <c r="E1053" i="6"/>
  <c r="D1053" i="6"/>
  <c r="M1052" i="6"/>
  <c r="O1052" i="6" s="1"/>
  <c r="L1052" i="6"/>
  <c r="N1052" i="6" s="1"/>
  <c r="K1052" i="6"/>
  <c r="J1052" i="6"/>
  <c r="F1052" i="6"/>
  <c r="E1052" i="6"/>
  <c r="D1052" i="6"/>
  <c r="M1051" i="6"/>
  <c r="O1051" i="6" s="1"/>
  <c r="L1051" i="6"/>
  <c r="N1051" i="6" s="1"/>
  <c r="K1051" i="6"/>
  <c r="J1051" i="6"/>
  <c r="F1051" i="6"/>
  <c r="E1051" i="6"/>
  <c r="D1051" i="6"/>
  <c r="M1050" i="6"/>
  <c r="O1050" i="6" s="1"/>
  <c r="L1050" i="6"/>
  <c r="N1050" i="6" s="1"/>
  <c r="K1050" i="6"/>
  <c r="J1050" i="6"/>
  <c r="F1050" i="6"/>
  <c r="E1050" i="6"/>
  <c r="D1050" i="6"/>
  <c r="M1049" i="6"/>
  <c r="O1049" i="6" s="1"/>
  <c r="L1049" i="6"/>
  <c r="N1049" i="6" s="1"/>
  <c r="K1049" i="6"/>
  <c r="G1049" i="6" s="1"/>
  <c r="J1049" i="6"/>
  <c r="F1049" i="6"/>
  <c r="E1049" i="6"/>
  <c r="D1049" i="6"/>
  <c r="M1048" i="6"/>
  <c r="O1048" i="6" s="1"/>
  <c r="L1048" i="6"/>
  <c r="N1048" i="6" s="1"/>
  <c r="K1048" i="6"/>
  <c r="J1048" i="6"/>
  <c r="M1047" i="6"/>
  <c r="O1047" i="6" s="1"/>
  <c r="L1047" i="6"/>
  <c r="N1047" i="6" s="1"/>
  <c r="K1047" i="6"/>
  <c r="J1047" i="6"/>
  <c r="M1046" i="6"/>
  <c r="O1046" i="6" s="1"/>
  <c r="L1046" i="6"/>
  <c r="N1046" i="6" s="1"/>
  <c r="K1046" i="6"/>
  <c r="J1046" i="6"/>
  <c r="M1045" i="6"/>
  <c r="O1045" i="6" s="1"/>
  <c r="L1045" i="6"/>
  <c r="N1045" i="6" s="1"/>
  <c r="K1045" i="6"/>
  <c r="J1045" i="6"/>
  <c r="F1045" i="6"/>
  <c r="E1045" i="6"/>
  <c r="D1045" i="6"/>
  <c r="O1044" i="6"/>
  <c r="M1044" i="6"/>
  <c r="L1044" i="6"/>
  <c r="N1044" i="6" s="1"/>
  <c r="K1044" i="6"/>
  <c r="J1044" i="6"/>
  <c r="F1044" i="6"/>
  <c r="E1044" i="6"/>
  <c r="D1044" i="6"/>
  <c r="M1043" i="6"/>
  <c r="O1043" i="6" s="1"/>
  <c r="L1043" i="6"/>
  <c r="N1043" i="6" s="1"/>
  <c r="G1043" i="6" s="1"/>
  <c r="K1043" i="6"/>
  <c r="J1043" i="6"/>
  <c r="F1043" i="6"/>
  <c r="E1043" i="6"/>
  <c r="D1043" i="6"/>
  <c r="M1042" i="6"/>
  <c r="O1042" i="6" s="1"/>
  <c r="L1042" i="6"/>
  <c r="N1042" i="6" s="1"/>
  <c r="K1042" i="6"/>
  <c r="J1042" i="6"/>
  <c r="F1042" i="6"/>
  <c r="E1042" i="6"/>
  <c r="D1042" i="6"/>
  <c r="O1041" i="6"/>
  <c r="M1041" i="6"/>
  <c r="L1041" i="6"/>
  <c r="N1041" i="6" s="1"/>
  <c r="K1041" i="6"/>
  <c r="J1041" i="6"/>
  <c r="F1041" i="6"/>
  <c r="E1041" i="6"/>
  <c r="D1041" i="6"/>
  <c r="M1040" i="6"/>
  <c r="O1040" i="6" s="1"/>
  <c r="L1040" i="6"/>
  <c r="N1040" i="6" s="1"/>
  <c r="K1040" i="6"/>
  <c r="G1040" i="6" s="1"/>
  <c r="J1040" i="6"/>
  <c r="F1040" i="6"/>
  <c r="E1040" i="6"/>
  <c r="D1040" i="6"/>
  <c r="M1039" i="6"/>
  <c r="O1039" i="6" s="1"/>
  <c r="L1039" i="6"/>
  <c r="N1039" i="6" s="1"/>
  <c r="K1039" i="6"/>
  <c r="J1039" i="6"/>
  <c r="F1039" i="6"/>
  <c r="E1039" i="6"/>
  <c r="D1039" i="6"/>
  <c r="M1038" i="6"/>
  <c r="O1038" i="6" s="1"/>
  <c r="L1038" i="6"/>
  <c r="N1038" i="6" s="1"/>
  <c r="K1038" i="6"/>
  <c r="J1038" i="6"/>
  <c r="F1038" i="6"/>
  <c r="E1038" i="6"/>
  <c r="D1038" i="6"/>
  <c r="M1037" i="6"/>
  <c r="O1037" i="6" s="1"/>
  <c r="L1037" i="6"/>
  <c r="N1037" i="6" s="1"/>
  <c r="K1037" i="6"/>
  <c r="J1037" i="6"/>
  <c r="F1037" i="6"/>
  <c r="E1037" i="6"/>
  <c r="D1037" i="6"/>
  <c r="O1036" i="6"/>
  <c r="M1036" i="6"/>
  <c r="L1036" i="6"/>
  <c r="N1036" i="6" s="1"/>
  <c r="K1036" i="6"/>
  <c r="J1036" i="6"/>
  <c r="F1036" i="6"/>
  <c r="E1036" i="6"/>
  <c r="D1036" i="6"/>
  <c r="M1035" i="6"/>
  <c r="O1035" i="6" s="1"/>
  <c r="L1035" i="6"/>
  <c r="N1035" i="6" s="1"/>
  <c r="K1035" i="6"/>
  <c r="G1035" i="6" s="1"/>
  <c r="J1035" i="6"/>
  <c r="F1035" i="6"/>
  <c r="E1035" i="6"/>
  <c r="D1035" i="6"/>
  <c r="M1034" i="6"/>
  <c r="O1034" i="6" s="1"/>
  <c r="L1034" i="6"/>
  <c r="N1034" i="6" s="1"/>
  <c r="K1034" i="6"/>
  <c r="J1034" i="6"/>
  <c r="F1034" i="6"/>
  <c r="E1034" i="6"/>
  <c r="D1034" i="6"/>
  <c r="N1033" i="6"/>
  <c r="G1033" i="6" s="1"/>
  <c r="M1033" i="6"/>
  <c r="O1033" i="6" s="1"/>
  <c r="L1033" i="6"/>
  <c r="K1033" i="6"/>
  <c r="J1033" i="6"/>
  <c r="F1033" i="6"/>
  <c r="E1033" i="6"/>
  <c r="D1033" i="6"/>
  <c r="M1032" i="6"/>
  <c r="O1032" i="6" s="1"/>
  <c r="L1032" i="6"/>
  <c r="N1032" i="6" s="1"/>
  <c r="K1032" i="6"/>
  <c r="J1032" i="6"/>
  <c r="F1032" i="6"/>
  <c r="E1032" i="6"/>
  <c r="D1032" i="6"/>
  <c r="M1031" i="6"/>
  <c r="O1031" i="6" s="1"/>
  <c r="L1031" i="6"/>
  <c r="N1031" i="6" s="1"/>
  <c r="K1031" i="6"/>
  <c r="J1031" i="6"/>
  <c r="F1031" i="6"/>
  <c r="E1031" i="6"/>
  <c r="D1031" i="6"/>
  <c r="M1030" i="6"/>
  <c r="O1030" i="6" s="1"/>
  <c r="L1030" i="6"/>
  <c r="N1030" i="6" s="1"/>
  <c r="G1030" i="6" s="1"/>
  <c r="C1030" i="6" s="1"/>
  <c r="K1030" i="6"/>
  <c r="J1030" i="6"/>
  <c r="F1030" i="6"/>
  <c r="E1030" i="6"/>
  <c r="D1030" i="6"/>
  <c r="M1029" i="6"/>
  <c r="O1029" i="6" s="1"/>
  <c r="L1029" i="6"/>
  <c r="N1029" i="6" s="1"/>
  <c r="K1029" i="6"/>
  <c r="J1029" i="6"/>
  <c r="F1029" i="6"/>
  <c r="E1029" i="6"/>
  <c r="D1029" i="6"/>
  <c r="N1028" i="6"/>
  <c r="M1028" i="6"/>
  <c r="O1028" i="6" s="1"/>
  <c r="L1028" i="6"/>
  <c r="K1028" i="6"/>
  <c r="J1028" i="6"/>
  <c r="F1028" i="6"/>
  <c r="E1028" i="6"/>
  <c r="D1028" i="6"/>
  <c r="M1027" i="6"/>
  <c r="O1027" i="6" s="1"/>
  <c r="L1027" i="6"/>
  <c r="N1027" i="6" s="1"/>
  <c r="K1027" i="6"/>
  <c r="J1027" i="6"/>
  <c r="M1026" i="6"/>
  <c r="O1026" i="6" s="1"/>
  <c r="L1026" i="6"/>
  <c r="N1026" i="6" s="1"/>
  <c r="K1026" i="6"/>
  <c r="J1026" i="6"/>
  <c r="M1025" i="6"/>
  <c r="O1025" i="6" s="1"/>
  <c r="L1025" i="6"/>
  <c r="N1025" i="6" s="1"/>
  <c r="K1025" i="6"/>
  <c r="J1025" i="6"/>
  <c r="M1024" i="6"/>
  <c r="O1024" i="6" s="1"/>
  <c r="L1024" i="6"/>
  <c r="N1024" i="6" s="1"/>
  <c r="K1024" i="6"/>
  <c r="J1024" i="6"/>
  <c r="M1023" i="6"/>
  <c r="O1023" i="6" s="1"/>
  <c r="L1023" i="6"/>
  <c r="N1023" i="6" s="1"/>
  <c r="K1023" i="6"/>
  <c r="J1023" i="6"/>
  <c r="F1023" i="6"/>
  <c r="E1023" i="6"/>
  <c r="D1023" i="6"/>
  <c r="M1022" i="6"/>
  <c r="O1022" i="6" s="1"/>
  <c r="L1022" i="6"/>
  <c r="N1022" i="6" s="1"/>
  <c r="K1022" i="6"/>
  <c r="J1022" i="6"/>
  <c r="M1021" i="6"/>
  <c r="O1021" i="6" s="1"/>
  <c r="L1021" i="6"/>
  <c r="N1021" i="6" s="1"/>
  <c r="K1021" i="6"/>
  <c r="J1021" i="6"/>
  <c r="M1020" i="6"/>
  <c r="O1020" i="6" s="1"/>
  <c r="L1020" i="6"/>
  <c r="N1020" i="6" s="1"/>
  <c r="K1020" i="6"/>
  <c r="J1020" i="6"/>
  <c r="F1020" i="6"/>
  <c r="E1020" i="6"/>
  <c r="D1020" i="6"/>
  <c r="M1019" i="6"/>
  <c r="O1019" i="6" s="1"/>
  <c r="L1019" i="6"/>
  <c r="N1019" i="6" s="1"/>
  <c r="K1019" i="6"/>
  <c r="J1019" i="6"/>
  <c r="F1019" i="6"/>
  <c r="E1019" i="6"/>
  <c r="D1019" i="6"/>
  <c r="O1018" i="6"/>
  <c r="M1018" i="6"/>
  <c r="L1018" i="6"/>
  <c r="N1018" i="6" s="1"/>
  <c r="K1018" i="6"/>
  <c r="J1018" i="6"/>
  <c r="F1018" i="6"/>
  <c r="E1018" i="6"/>
  <c r="D1018" i="6"/>
  <c r="M1017" i="6"/>
  <c r="O1017" i="6" s="1"/>
  <c r="L1017" i="6"/>
  <c r="N1017" i="6" s="1"/>
  <c r="K1017" i="6"/>
  <c r="J1017" i="6"/>
  <c r="M1016" i="6"/>
  <c r="O1016" i="6" s="1"/>
  <c r="L1016" i="6"/>
  <c r="N1016" i="6" s="1"/>
  <c r="K1016" i="6"/>
  <c r="J1016" i="6"/>
  <c r="M1015" i="6"/>
  <c r="O1015" i="6" s="1"/>
  <c r="L1015" i="6"/>
  <c r="N1015" i="6" s="1"/>
  <c r="K1015" i="6"/>
  <c r="J1015" i="6"/>
  <c r="M1014" i="6"/>
  <c r="O1014" i="6" s="1"/>
  <c r="L1014" i="6"/>
  <c r="N1014" i="6" s="1"/>
  <c r="K1014" i="6"/>
  <c r="J1014" i="6"/>
  <c r="M1013" i="6"/>
  <c r="O1013" i="6" s="1"/>
  <c r="L1013" i="6"/>
  <c r="N1013" i="6" s="1"/>
  <c r="K1013" i="6"/>
  <c r="J1013" i="6"/>
  <c r="F1013" i="6"/>
  <c r="E1013" i="6"/>
  <c r="D1013" i="6"/>
  <c r="O1012" i="6"/>
  <c r="M1012" i="6"/>
  <c r="L1012" i="6"/>
  <c r="N1012" i="6" s="1"/>
  <c r="K1012" i="6"/>
  <c r="J1012" i="6"/>
  <c r="F1012" i="6"/>
  <c r="E1012" i="6"/>
  <c r="D1012" i="6"/>
  <c r="O1011" i="6"/>
  <c r="M1011" i="6"/>
  <c r="L1011" i="6"/>
  <c r="N1011" i="6" s="1"/>
  <c r="K1011" i="6"/>
  <c r="J1011" i="6"/>
  <c r="F1011" i="6"/>
  <c r="E1011" i="6"/>
  <c r="D1011" i="6"/>
  <c r="M1010" i="6"/>
  <c r="O1010" i="6" s="1"/>
  <c r="L1010" i="6"/>
  <c r="N1010" i="6" s="1"/>
  <c r="K1010" i="6"/>
  <c r="J1010" i="6"/>
  <c r="F1010" i="6"/>
  <c r="E1010" i="6"/>
  <c r="D1010" i="6"/>
  <c r="M1009" i="6"/>
  <c r="O1009" i="6" s="1"/>
  <c r="L1009" i="6"/>
  <c r="N1009" i="6" s="1"/>
  <c r="K1009" i="6"/>
  <c r="J1009" i="6"/>
  <c r="F1009" i="6"/>
  <c r="E1009" i="6"/>
  <c r="D1009" i="6"/>
  <c r="M1008" i="6"/>
  <c r="O1008" i="6" s="1"/>
  <c r="L1008" i="6"/>
  <c r="N1008" i="6" s="1"/>
  <c r="K1008" i="6"/>
  <c r="J1008" i="6"/>
  <c r="M1007" i="6"/>
  <c r="O1007" i="6" s="1"/>
  <c r="L1007" i="6"/>
  <c r="N1007" i="6" s="1"/>
  <c r="K1007" i="6"/>
  <c r="J1007" i="6"/>
  <c r="M1006" i="6"/>
  <c r="O1006" i="6" s="1"/>
  <c r="L1006" i="6"/>
  <c r="N1006" i="6" s="1"/>
  <c r="K1006" i="6"/>
  <c r="J1006" i="6"/>
  <c r="F1006" i="6"/>
  <c r="E1006" i="6"/>
  <c r="D1006" i="6"/>
  <c r="M1005" i="6"/>
  <c r="O1005" i="6" s="1"/>
  <c r="L1005" i="6"/>
  <c r="N1005" i="6" s="1"/>
  <c r="K1005" i="6"/>
  <c r="J1005" i="6"/>
  <c r="O1004" i="6"/>
  <c r="M1004" i="6"/>
  <c r="L1004" i="6"/>
  <c r="N1004" i="6" s="1"/>
  <c r="K1004" i="6"/>
  <c r="J1004" i="6"/>
  <c r="M1003" i="6"/>
  <c r="O1003" i="6" s="1"/>
  <c r="L1003" i="6"/>
  <c r="N1003" i="6" s="1"/>
  <c r="K1003" i="6"/>
  <c r="J1003" i="6"/>
  <c r="F1003" i="6"/>
  <c r="E1003" i="6"/>
  <c r="D1003" i="6"/>
  <c r="M1002" i="6"/>
  <c r="O1002" i="6" s="1"/>
  <c r="L1002" i="6"/>
  <c r="N1002" i="6" s="1"/>
  <c r="K1002" i="6"/>
  <c r="J1002" i="6"/>
  <c r="F1002" i="6"/>
  <c r="E1002" i="6"/>
  <c r="D1002" i="6"/>
  <c r="M1001" i="6"/>
  <c r="O1001" i="6" s="1"/>
  <c r="L1001" i="6"/>
  <c r="N1001" i="6" s="1"/>
  <c r="K1001" i="6"/>
  <c r="J1001" i="6"/>
  <c r="F1001" i="6"/>
  <c r="E1001" i="6"/>
  <c r="D1001" i="6"/>
  <c r="O1000" i="6"/>
  <c r="N1000" i="6"/>
  <c r="M1000" i="6"/>
  <c r="L1000" i="6"/>
  <c r="K1000" i="6"/>
  <c r="J1000" i="6"/>
  <c r="M999" i="6"/>
  <c r="O999" i="6" s="1"/>
  <c r="L999" i="6"/>
  <c r="N999" i="6" s="1"/>
  <c r="K999" i="6"/>
  <c r="J999" i="6"/>
  <c r="M998" i="6"/>
  <c r="O998" i="6" s="1"/>
  <c r="L998" i="6"/>
  <c r="N998" i="6" s="1"/>
  <c r="K998" i="6"/>
  <c r="J998" i="6"/>
  <c r="O997" i="6"/>
  <c r="M997" i="6"/>
  <c r="L997" i="6"/>
  <c r="N997" i="6" s="1"/>
  <c r="K997" i="6"/>
  <c r="J997" i="6"/>
  <c r="F997" i="6"/>
  <c r="E997" i="6"/>
  <c r="D997" i="6"/>
  <c r="M996" i="6"/>
  <c r="O996" i="6" s="1"/>
  <c r="L996" i="6"/>
  <c r="N996" i="6" s="1"/>
  <c r="K996" i="6"/>
  <c r="J996" i="6"/>
  <c r="F996" i="6"/>
  <c r="E996" i="6"/>
  <c r="D996" i="6"/>
  <c r="M995" i="6"/>
  <c r="O995" i="6" s="1"/>
  <c r="L995" i="6"/>
  <c r="N995" i="6" s="1"/>
  <c r="K995" i="6"/>
  <c r="J995" i="6"/>
  <c r="F995" i="6"/>
  <c r="E995" i="6"/>
  <c r="D995" i="6"/>
  <c r="M994" i="6"/>
  <c r="O994" i="6" s="1"/>
  <c r="L994" i="6"/>
  <c r="N994" i="6" s="1"/>
  <c r="K994" i="6"/>
  <c r="J994" i="6"/>
  <c r="F994" i="6"/>
  <c r="E994" i="6"/>
  <c r="D994" i="6"/>
  <c r="M993" i="6"/>
  <c r="O993" i="6" s="1"/>
  <c r="L993" i="6"/>
  <c r="N993" i="6" s="1"/>
  <c r="K993" i="6"/>
  <c r="J993" i="6"/>
  <c r="F993" i="6"/>
  <c r="E993" i="6"/>
  <c r="D993" i="6"/>
  <c r="M992" i="6"/>
  <c r="O992" i="6" s="1"/>
  <c r="L992" i="6"/>
  <c r="N992" i="6" s="1"/>
  <c r="K992" i="6"/>
  <c r="J992" i="6"/>
  <c r="F992" i="6"/>
  <c r="E992" i="6"/>
  <c r="D992" i="6"/>
  <c r="M991" i="6"/>
  <c r="O991" i="6" s="1"/>
  <c r="L991" i="6"/>
  <c r="N991" i="6" s="1"/>
  <c r="K991" i="6"/>
  <c r="J991" i="6"/>
  <c r="M990" i="6"/>
  <c r="O990" i="6" s="1"/>
  <c r="L990" i="6"/>
  <c r="N990" i="6" s="1"/>
  <c r="K990" i="6"/>
  <c r="J990" i="6"/>
  <c r="N989" i="6"/>
  <c r="M989" i="6"/>
  <c r="O989" i="6" s="1"/>
  <c r="L989" i="6"/>
  <c r="K989" i="6"/>
  <c r="J989" i="6"/>
  <c r="O988" i="6"/>
  <c r="M988" i="6"/>
  <c r="L988" i="6"/>
  <c r="N988" i="6" s="1"/>
  <c r="K988" i="6"/>
  <c r="J988" i="6"/>
  <c r="F988" i="6"/>
  <c r="E988" i="6"/>
  <c r="D988" i="6"/>
  <c r="M987" i="6"/>
  <c r="O987" i="6" s="1"/>
  <c r="L987" i="6"/>
  <c r="N987" i="6" s="1"/>
  <c r="K987" i="6"/>
  <c r="J987" i="6"/>
  <c r="M986" i="6"/>
  <c r="O986" i="6" s="1"/>
  <c r="L986" i="6"/>
  <c r="N986" i="6" s="1"/>
  <c r="K986" i="6"/>
  <c r="J986" i="6"/>
  <c r="M985" i="6"/>
  <c r="O985" i="6" s="1"/>
  <c r="L985" i="6"/>
  <c r="N985" i="6" s="1"/>
  <c r="K985" i="6"/>
  <c r="J985" i="6"/>
  <c r="F985" i="6"/>
  <c r="E985" i="6"/>
  <c r="D985" i="6"/>
  <c r="M984" i="6"/>
  <c r="O984" i="6" s="1"/>
  <c r="L984" i="6"/>
  <c r="N984" i="6" s="1"/>
  <c r="K984" i="6"/>
  <c r="J984" i="6"/>
  <c r="F984" i="6"/>
  <c r="E984" i="6"/>
  <c r="D984" i="6"/>
  <c r="M983" i="6"/>
  <c r="O983" i="6" s="1"/>
  <c r="L983" i="6"/>
  <c r="N983" i="6" s="1"/>
  <c r="K983" i="6"/>
  <c r="J983" i="6"/>
  <c r="F983" i="6"/>
  <c r="E983" i="6"/>
  <c r="D983" i="6"/>
  <c r="M982" i="6"/>
  <c r="O982" i="6" s="1"/>
  <c r="L982" i="6"/>
  <c r="N982" i="6" s="1"/>
  <c r="K982" i="6"/>
  <c r="J982" i="6"/>
  <c r="F982" i="6"/>
  <c r="E982" i="6"/>
  <c r="D982" i="6"/>
  <c r="M981" i="6"/>
  <c r="O981" i="6" s="1"/>
  <c r="L981" i="6"/>
  <c r="N981" i="6" s="1"/>
  <c r="K981" i="6"/>
  <c r="J981" i="6"/>
  <c r="F981" i="6"/>
  <c r="E981" i="6"/>
  <c r="D981" i="6"/>
  <c r="M980" i="6"/>
  <c r="O980" i="6" s="1"/>
  <c r="L980" i="6"/>
  <c r="N980" i="6" s="1"/>
  <c r="K980" i="6"/>
  <c r="J980" i="6"/>
  <c r="F980" i="6"/>
  <c r="E980" i="6"/>
  <c r="D980" i="6"/>
  <c r="M979" i="6"/>
  <c r="O979" i="6" s="1"/>
  <c r="L979" i="6"/>
  <c r="N979" i="6" s="1"/>
  <c r="K979" i="6"/>
  <c r="J979" i="6"/>
  <c r="F979" i="6"/>
  <c r="E979" i="6"/>
  <c r="D979" i="6"/>
  <c r="O978" i="6"/>
  <c r="M978" i="6"/>
  <c r="L978" i="6"/>
  <c r="N978" i="6" s="1"/>
  <c r="K978" i="6"/>
  <c r="J978" i="6"/>
  <c r="F978" i="6"/>
  <c r="E978" i="6"/>
  <c r="D978" i="6"/>
  <c r="M977" i="6"/>
  <c r="O977" i="6" s="1"/>
  <c r="L977" i="6"/>
  <c r="N977" i="6" s="1"/>
  <c r="K977" i="6"/>
  <c r="J977" i="6"/>
  <c r="F977" i="6"/>
  <c r="E977" i="6"/>
  <c r="D977" i="6"/>
  <c r="M976" i="6"/>
  <c r="O976" i="6" s="1"/>
  <c r="L976" i="6"/>
  <c r="N976" i="6" s="1"/>
  <c r="K976" i="6"/>
  <c r="J976" i="6"/>
  <c r="F976" i="6"/>
  <c r="E976" i="6"/>
  <c r="D976" i="6"/>
  <c r="M975" i="6"/>
  <c r="O975" i="6" s="1"/>
  <c r="L975" i="6"/>
  <c r="N975" i="6" s="1"/>
  <c r="K975" i="6"/>
  <c r="J975" i="6"/>
  <c r="F975" i="6"/>
  <c r="E975" i="6"/>
  <c r="D975" i="6"/>
  <c r="M974" i="6"/>
  <c r="O974" i="6" s="1"/>
  <c r="L974" i="6"/>
  <c r="N974" i="6" s="1"/>
  <c r="K974" i="6"/>
  <c r="J974" i="6"/>
  <c r="F974" i="6"/>
  <c r="E974" i="6"/>
  <c r="D974" i="6"/>
  <c r="M973" i="6"/>
  <c r="O973" i="6" s="1"/>
  <c r="L973" i="6"/>
  <c r="N973" i="6" s="1"/>
  <c r="K973" i="6"/>
  <c r="J973" i="6"/>
  <c r="F973" i="6"/>
  <c r="E973" i="6"/>
  <c r="D973" i="6"/>
  <c r="M972" i="6"/>
  <c r="O972" i="6" s="1"/>
  <c r="L972" i="6"/>
  <c r="N972" i="6" s="1"/>
  <c r="K972" i="6"/>
  <c r="J972" i="6"/>
  <c r="F972" i="6"/>
  <c r="E972" i="6"/>
  <c r="D972" i="6"/>
  <c r="M971" i="6"/>
  <c r="O971" i="6" s="1"/>
  <c r="L971" i="6"/>
  <c r="N971" i="6" s="1"/>
  <c r="K971" i="6"/>
  <c r="J971" i="6"/>
  <c r="F971" i="6"/>
  <c r="E971" i="6"/>
  <c r="D971" i="6"/>
  <c r="M970" i="6"/>
  <c r="O970" i="6" s="1"/>
  <c r="L970" i="6"/>
  <c r="N970" i="6" s="1"/>
  <c r="K970" i="6"/>
  <c r="J970" i="6"/>
  <c r="F970" i="6"/>
  <c r="E970" i="6"/>
  <c r="D970" i="6"/>
  <c r="N969" i="6"/>
  <c r="M969" i="6"/>
  <c r="O969" i="6" s="1"/>
  <c r="L969" i="6"/>
  <c r="K969" i="6"/>
  <c r="J969" i="6"/>
  <c r="F969" i="6"/>
  <c r="E969" i="6"/>
  <c r="D969" i="6"/>
  <c r="M968" i="6"/>
  <c r="O968" i="6" s="1"/>
  <c r="L968" i="6"/>
  <c r="N968" i="6" s="1"/>
  <c r="K968" i="6"/>
  <c r="J968" i="6"/>
  <c r="M967" i="6"/>
  <c r="O967" i="6" s="1"/>
  <c r="L967" i="6"/>
  <c r="N967" i="6" s="1"/>
  <c r="K967" i="6"/>
  <c r="J967" i="6"/>
  <c r="M966" i="6"/>
  <c r="O966" i="6" s="1"/>
  <c r="L966" i="6"/>
  <c r="N966" i="6" s="1"/>
  <c r="K966" i="6"/>
  <c r="J966" i="6"/>
  <c r="M965" i="6"/>
  <c r="O965" i="6" s="1"/>
  <c r="L965" i="6"/>
  <c r="N965" i="6" s="1"/>
  <c r="K965" i="6"/>
  <c r="J965" i="6"/>
  <c r="M964" i="6"/>
  <c r="O964" i="6" s="1"/>
  <c r="L964" i="6"/>
  <c r="N964" i="6" s="1"/>
  <c r="K964" i="6"/>
  <c r="J964" i="6"/>
  <c r="F964" i="6"/>
  <c r="E964" i="6"/>
  <c r="D964" i="6"/>
  <c r="M963" i="6"/>
  <c r="O963" i="6" s="1"/>
  <c r="L963" i="6"/>
  <c r="N963" i="6" s="1"/>
  <c r="K963" i="6"/>
  <c r="J963" i="6"/>
  <c r="M962" i="6"/>
  <c r="O962" i="6" s="1"/>
  <c r="L962" i="6"/>
  <c r="N962" i="6" s="1"/>
  <c r="K962" i="6"/>
  <c r="J962" i="6"/>
  <c r="M961" i="6"/>
  <c r="O961" i="6" s="1"/>
  <c r="L961" i="6"/>
  <c r="N961" i="6" s="1"/>
  <c r="K961" i="6"/>
  <c r="J961" i="6"/>
  <c r="F961" i="6"/>
  <c r="E961" i="6"/>
  <c r="D961" i="6"/>
  <c r="M960" i="6"/>
  <c r="O960" i="6" s="1"/>
  <c r="L960" i="6"/>
  <c r="N960" i="6" s="1"/>
  <c r="K960" i="6"/>
  <c r="J960" i="6"/>
  <c r="M959" i="6"/>
  <c r="O959" i="6" s="1"/>
  <c r="L959" i="6"/>
  <c r="N959" i="6" s="1"/>
  <c r="K959" i="6"/>
  <c r="J959" i="6"/>
  <c r="M958" i="6"/>
  <c r="O958" i="6" s="1"/>
  <c r="L958" i="6"/>
  <c r="N958" i="6" s="1"/>
  <c r="K958" i="6"/>
  <c r="J958" i="6"/>
  <c r="M957" i="6"/>
  <c r="O957" i="6" s="1"/>
  <c r="L957" i="6"/>
  <c r="N957" i="6" s="1"/>
  <c r="K957" i="6"/>
  <c r="J957" i="6"/>
  <c r="M956" i="6"/>
  <c r="O956" i="6" s="1"/>
  <c r="L956" i="6"/>
  <c r="N956" i="6" s="1"/>
  <c r="K956" i="6"/>
  <c r="J956" i="6"/>
  <c r="M955" i="6"/>
  <c r="O955" i="6" s="1"/>
  <c r="L955" i="6"/>
  <c r="N955" i="6" s="1"/>
  <c r="K955" i="6"/>
  <c r="J955" i="6"/>
  <c r="M954" i="6"/>
  <c r="O954" i="6" s="1"/>
  <c r="L954" i="6"/>
  <c r="N954" i="6" s="1"/>
  <c r="K954" i="6"/>
  <c r="J954" i="6"/>
  <c r="M953" i="6"/>
  <c r="O953" i="6" s="1"/>
  <c r="L953" i="6"/>
  <c r="N953" i="6" s="1"/>
  <c r="K953" i="6"/>
  <c r="J953" i="6"/>
  <c r="M952" i="6"/>
  <c r="O952" i="6" s="1"/>
  <c r="L952" i="6"/>
  <c r="N952" i="6" s="1"/>
  <c r="K952" i="6"/>
  <c r="J952" i="6"/>
  <c r="F952" i="6"/>
  <c r="E952" i="6"/>
  <c r="D952" i="6"/>
  <c r="M951" i="6"/>
  <c r="O951" i="6" s="1"/>
  <c r="L951" i="6"/>
  <c r="N951" i="6" s="1"/>
  <c r="K951" i="6"/>
  <c r="J951" i="6"/>
  <c r="N950" i="6"/>
  <c r="M950" i="6"/>
  <c r="O950" i="6" s="1"/>
  <c r="L950" i="6"/>
  <c r="K950" i="6"/>
  <c r="J950" i="6"/>
  <c r="M949" i="6"/>
  <c r="O949" i="6" s="1"/>
  <c r="L949" i="6"/>
  <c r="N949" i="6" s="1"/>
  <c r="K949" i="6"/>
  <c r="J949" i="6"/>
  <c r="M948" i="6"/>
  <c r="O948" i="6" s="1"/>
  <c r="L948" i="6"/>
  <c r="N948" i="6" s="1"/>
  <c r="G948" i="6" s="1"/>
  <c r="K948" i="6"/>
  <c r="J948" i="6"/>
  <c r="F948" i="6"/>
  <c r="E948" i="6"/>
  <c r="D948" i="6"/>
  <c r="M947" i="6"/>
  <c r="O947" i="6" s="1"/>
  <c r="L947" i="6"/>
  <c r="N947" i="6" s="1"/>
  <c r="K947" i="6"/>
  <c r="J947" i="6"/>
  <c r="F947" i="6"/>
  <c r="E947" i="6"/>
  <c r="D947" i="6"/>
  <c r="M946" i="6"/>
  <c r="O946" i="6" s="1"/>
  <c r="L946" i="6"/>
  <c r="N946" i="6" s="1"/>
  <c r="K946" i="6"/>
  <c r="J946" i="6"/>
  <c r="F946" i="6"/>
  <c r="E946" i="6"/>
  <c r="D946" i="6"/>
  <c r="M945" i="6"/>
  <c r="O945" i="6" s="1"/>
  <c r="L945" i="6"/>
  <c r="N945" i="6" s="1"/>
  <c r="K945" i="6"/>
  <c r="J945" i="6"/>
  <c r="F945" i="6"/>
  <c r="E945" i="6"/>
  <c r="D945" i="6"/>
  <c r="M944" i="6"/>
  <c r="O944" i="6" s="1"/>
  <c r="L944" i="6"/>
  <c r="N944" i="6" s="1"/>
  <c r="K944" i="6"/>
  <c r="J944" i="6"/>
  <c r="F944" i="6"/>
  <c r="E944" i="6"/>
  <c r="D944" i="6"/>
  <c r="M943" i="6"/>
  <c r="O943" i="6" s="1"/>
  <c r="L943" i="6"/>
  <c r="N943" i="6" s="1"/>
  <c r="K943" i="6"/>
  <c r="J943" i="6"/>
  <c r="F943" i="6"/>
  <c r="E943" i="6"/>
  <c r="D943" i="6"/>
  <c r="M942" i="6"/>
  <c r="O942" i="6" s="1"/>
  <c r="L942" i="6"/>
  <c r="N942" i="6" s="1"/>
  <c r="K942" i="6"/>
  <c r="J942" i="6"/>
  <c r="F942" i="6"/>
  <c r="E942" i="6"/>
  <c r="D942" i="6"/>
  <c r="N941" i="6"/>
  <c r="M941" i="6"/>
  <c r="O941" i="6" s="1"/>
  <c r="L941" i="6"/>
  <c r="K941" i="6"/>
  <c r="J941" i="6"/>
  <c r="F941" i="6"/>
  <c r="E941" i="6"/>
  <c r="D941" i="6"/>
  <c r="M940" i="6"/>
  <c r="O940" i="6" s="1"/>
  <c r="L940" i="6"/>
  <c r="N940" i="6" s="1"/>
  <c r="K940" i="6"/>
  <c r="J940" i="6"/>
  <c r="F940" i="6"/>
  <c r="E940" i="6"/>
  <c r="D940" i="6"/>
  <c r="M939" i="6"/>
  <c r="O939" i="6" s="1"/>
  <c r="L939" i="6"/>
  <c r="N939" i="6" s="1"/>
  <c r="K939" i="6"/>
  <c r="J939" i="6"/>
  <c r="F939" i="6"/>
  <c r="E939" i="6"/>
  <c r="D939" i="6"/>
  <c r="N938" i="6"/>
  <c r="M938" i="6"/>
  <c r="O938" i="6" s="1"/>
  <c r="L938" i="6"/>
  <c r="K938" i="6"/>
  <c r="J938" i="6"/>
  <c r="F938" i="6"/>
  <c r="E938" i="6"/>
  <c r="D938" i="6"/>
  <c r="M937" i="6"/>
  <c r="O937" i="6" s="1"/>
  <c r="L937" i="6"/>
  <c r="N937" i="6" s="1"/>
  <c r="G937" i="6" s="1"/>
  <c r="K937" i="6"/>
  <c r="J937" i="6"/>
  <c r="F937" i="6"/>
  <c r="E937" i="6"/>
  <c r="D937" i="6"/>
  <c r="M936" i="6"/>
  <c r="O936" i="6" s="1"/>
  <c r="L936" i="6"/>
  <c r="N936" i="6" s="1"/>
  <c r="K936" i="6"/>
  <c r="J936" i="6"/>
  <c r="F936" i="6"/>
  <c r="E936" i="6"/>
  <c r="D936" i="6"/>
  <c r="M935" i="6"/>
  <c r="O935" i="6" s="1"/>
  <c r="L935" i="6"/>
  <c r="N935" i="6" s="1"/>
  <c r="K935" i="6"/>
  <c r="J935" i="6"/>
  <c r="F935" i="6"/>
  <c r="E935" i="6"/>
  <c r="D935" i="6"/>
  <c r="M934" i="6"/>
  <c r="O934" i="6" s="1"/>
  <c r="L934" i="6"/>
  <c r="N934" i="6" s="1"/>
  <c r="K934" i="6"/>
  <c r="J934" i="6"/>
  <c r="F934" i="6"/>
  <c r="E934" i="6"/>
  <c r="D934" i="6"/>
  <c r="M933" i="6"/>
  <c r="O933" i="6" s="1"/>
  <c r="L933" i="6"/>
  <c r="N933" i="6" s="1"/>
  <c r="K933" i="6"/>
  <c r="J933" i="6"/>
  <c r="F933" i="6"/>
  <c r="E933" i="6"/>
  <c r="D933" i="6"/>
  <c r="M932" i="6"/>
  <c r="O932" i="6" s="1"/>
  <c r="L932" i="6"/>
  <c r="N932" i="6" s="1"/>
  <c r="K932" i="6"/>
  <c r="J932" i="6"/>
  <c r="F932" i="6"/>
  <c r="E932" i="6"/>
  <c r="D932" i="6"/>
  <c r="M931" i="6"/>
  <c r="O931" i="6" s="1"/>
  <c r="L931" i="6"/>
  <c r="N931" i="6" s="1"/>
  <c r="K931" i="6"/>
  <c r="J931" i="6"/>
  <c r="F931" i="6"/>
  <c r="E931" i="6"/>
  <c r="D931" i="6"/>
  <c r="M930" i="6"/>
  <c r="O930" i="6" s="1"/>
  <c r="L930" i="6"/>
  <c r="N930" i="6" s="1"/>
  <c r="K930" i="6"/>
  <c r="J930" i="6"/>
  <c r="F930" i="6"/>
  <c r="E930" i="6"/>
  <c r="D930" i="6"/>
  <c r="M929" i="6"/>
  <c r="O929" i="6" s="1"/>
  <c r="L929" i="6"/>
  <c r="N929" i="6" s="1"/>
  <c r="K929" i="6"/>
  <c r="J929" i="6"/>
  <c r="M928" i="6"/>
  <c r="O928" i="6" s="1"/>
  <c r="L928" i="6"/>
  <c r="N928" i="6" s="1"/>
  <c r="K928" i="6"/>
  <c r="J928" i="6"/>
  <c r="M927" i="6"/>
  <c r="O927" i="6" s="1"/>
  <c r="L927" i="6"/>
  <c r="N927" i="6" s="1"/>
  <c r="K927" i="6"/>
  <c r="J927" i="6"/>
  <c r="M926" i="6"/>
  <c r="O926" i="6" s="1"/>
  <c r="L926" i="6"/>
  <c r="N926" i="6" s="1"/>
  <c r="K926" i="6"/>
  <c r="J926" i="6"/>
  <c r="F926" i="6"/>
  <c r="E926" i="6"/>
  <c r="D926" i="6"/>
  <c r="N925" i="6"/>
  <c r="M925" i="6"/>
  <c r="O925" i="6" s="1"/>
  <c r="L925" i="6"/>
  <c r="K925" i="6"/>
  <c r="J925" i="6"/>
  <c r="F925" i="6"/>
  <c r="E925" i="6"/>
  <c r="D925" i="6"/>
  <c r="M924" i="6"/>
  <c r="O924" i="6" s="1"/>
  <c r="L924" i="6"/>
  <c r="N924" i="6" s="1"/>
  <c r="K924" i="6"/>
  <c r="J924" i="6"/>
  <c r="M923" i="6"/>
  <c r="O923" i="6" s="1"/>
  <c r="L923" i="6"/>
  <c r="N923" i="6" s="1"/>
  <c r="K923" i="6"/>
  <c r="J923" i="6"/>
  <c r="F923" i="6"/>
  <c r="E923" i="6"/>
  <c r="D923" i="6"/>
  <c r="M922" i="6"/>
  <c r="O922" i="6" s="1"/>
  <c r="L922" i="6"/>
  <c r="N922" i="6" s="1"/>
  <c r="K922" i="6"/>
  <c r="J922" i="6"/>
  <c r="M921" i="6"/>
  <c r="O921" i="6" s="1"/>
  <c r="L921" i="6"/>
  <c r="N921" i="6" s="1"/>
  <c r="K921" i="6"/>
  <c r="J921" i="6"/>
  <c r="M920" i="6"/>
  <c r="O920" i="6" s="1"/>
  <c r="L920" i="6"/>
  <c r="N920" i="6" s="1"/>
  <c r="K920" i="6"/>
  <c r="J920" i="6"/>
  <c r="F920" i="6"/>
  <c r="E920" i="6"/>
  <c r="D920" i="6"/>
  <c r="M919" i="6"/>
  <c r="O919" i="6" s="1"/>
  <c r="L919" i="6"/>
  <c r="N919" i="6" s="1"/>
  <c r="K919" i="6"/>
  <c r="J919" i="6"/>
  <c r="M918" i="6"/>
  <c r="O918" i="6" s="1"/>
  <c r="L918" i="6"/>
  <c r="N918" i="6" s="1"/>
  <c r="K918" i="6"/>
  <c r="J918" i="6"/>
  <c r="M917" i="6"/>
  <c r="O917" i="6" s="1"/>
  <c r="L917" i="6"/>
  <c r="N917" i="6" s="1"/>
  <c r="K917" i="6"/>
  <c r="J917" i="6"/>
  <c r="M916" i="6"/>
  <c r="O916" i="6" s="1"/>
  <c r="L916" i="6"/>
  <c r="N916" i="6" s="1"/>
  <c r="K916" i="6"/>
  <c r="J916" i="6"/>
  <c r="M915" i="6"/>
  <c r="O915" i="6" s="1"/>
  <c r="L915" i="6"/>
  <c r="N915" i="6" s="1"/>
  <c r="K915" i="6"/>
  <c r="J915" i="6"/>
  <c r="M914" i="6"/>
  <c r="O914" i="6" s="1"/>
  <c r="L914" i="6"/>
  <c r="N914" i="6" s="1"/>
  <c r="K914" i="6"/>
  <c r="J914" i="6"/>
  <c r="M913" i="6"/>
  <c r="O913" i="6" s="1"/>
  <c r="L913" i="6"/>
  <c r="N913" i="6" s="1"/>
  <c r="K913" i="6"/>
  <c r="J913" i="6"/>
  <c r="M912" i="6"/>
  <c r="O912" i="6" s="1"/>
  <c r="L912" i="6"/>
  <c r="N912" i="6" s="1"/>
  <c r="K912" i="6"/>
  <c r="J912" i="6"/>
  <c r="O911" i="6"/>
  <c r="M911" i="6"/>
  <c r="L911" i="6"/>
  <c r="N911" i="6" s="1"/>
  <c r="K911" i="6"/>
  <c r="J911" i="6"/>
  <c r="F911" i="6"/>
  <c r="E911" i="6"/>
  <c r="D911" i="6"/>
  <c r="M910" i="6"/>
  <c r="O910" i="6" s="1"/>
  <c r="L910" i="6"/>
  <c r="N910" i="6" s="1"/>
  <c r="K910" i="6"/>
  <c r="J910" i="6"/>
  <c r="F910" i="6"/>
  <c r="E910" i="6"/>
  <c r="D910" i="6"/>
  <c r="M909" i="6"/>
  <c r="O909" i="6" s="1"/>
  <c r="L909" i="6"/>
  <c r="N909" i="6" s="1"/>
  <c r="K909" i="6"/>
  <c r="J909" i="6"/>
  <c r="M908" i="6"/>
  <c r="O908" i="6" s="1"/>
  <c r="L908" i="6"/>
  <c r="N908" i="6" s="1"/>
  <c r="K908" i="6"/>
  <c r="J908" i="6"/>
  <c r="O907" i="6"/>
  <c r="M907" i="6"/>
  <c r="L907" i="6"/>
  <c r="N907" i="6" s="1"/>
  <c r="K907" i="6"/>
  <c r="J907" i="6"/>
  <c r="M906" i="6"/>
  <c r="O906" i="6" s="1"/>
  <c r="L906" i="6"/>
  <c r="N906" i="6" s="1"/>
  <c r="K906" i="6"/>
  <c r="J906" i="6"/>
  <c r="F906" i="6"/>
  <c r="E906" i="6"/>
  <c r="D906" i="6"/>
  <c r="O905" i="6"/>
  <c r="M905" i="6"/>
  <c r="L905" i="6"/>
  <c r="N905" i="6" s="1"/>
  <c r="K905" i="6"/>
  <c r="J905" i="6"/>
  <c r="F905" i="6"/>
  <c r="E905" i="6"/>
  <c r="D905" i="6"/>
  <c r="M904" i="6"/>
  <c r="O904" i="6" s="1"/>
  <c r="L904" i="6"/>
  <c r="N904" i="6" s="1"/>
  <c r="K904" i="6"/>
  <c r="J904" i="6"/>
  <c r="F904" i="6"/>
  <c r="E904" i="6"/>
  <c r="D904" i="6"/>
  <c r="M903" i="6"/>
  <c r="O903" i="6" s="1"/>
  <c r="L903" i="6"/>
  <c r="N903" i="6" s="1"/>
  <c r="K903" i="6"/>
  <c r="J903" i="6"/>
  <c r="F903" i="6"/>
  <c r="E903" i="6"/>
  <c r="D903" i="6"/>
  <c r="M902" i="6"/>
  <c r="O902" i="6" s="1"/>
  <c r="L902" i="6"/>
  <c r="N902" i="6" s="1"/>
  <c r="K902" i="6"/>
  <c r="J902" i="6"/>
  <c r="F902" i="6"/>
  <c r="E902" i="6"/>
  <c r="D902" i="6"/>
  <c r="M901" i="6"/>
  <c r="O901" i="6" s="1"/>
  <c r="L901" i="6"/>
  <c r="N901" i="6" s="1"/>
  <c r="K901" i="6"/>
  <c r="J901" i="6"/>
  <c r="F901" i="6"/>
  <c r="E901" i="6"/>
  <c r="D901" i="6"/>
  <c r="M900" i="6"/>
  <c r="O900" i="6" s="1"/>
  <c r="L900" i="6"/>
  <c r="N900" i="6" s="1"/>
  <c r="K900" i="6"/>
  <c r="J900" i="6"/>
  <c r="F900" i="6"/>
  <c r="E900" i="6"/>
  <c r="D900" i="6"/>
  <c r="M899" i="6"/>
  <c r="O899" i="6" s="1"/>
  <c r="L899" i="6"/>
  <c r="N899" i="6" s="1"/>
  <c r="K899" i="6"/>
  <c r="J899" i="6"/>
  <c r="M898" i="6"/>
  <c r="O898" i="6" s="1"/>
  <c r="L898" i="6"/>
  <c r="N898" i="6" s="1"/>
  <c r="K898" i="6"/>
  <c r="J898" i="6"/>
  <c r="F898" i="6"/>
  <c r="E898" i="6"/>
  <c r="D898" i="6"/>
  <c r="M897" i="6"/>
  <c r="O897" i="6" s="1"/>
  <c r="L897" i="6"/>
  <c r="N897" i="6" s="1"/>
  <c r="K897" i="6"/>
  <c r="J897" i="6"/>
  <c r="F897" i="6"/>
  <c r="E897" i="6"/>
  <c r="D897" i="6"/>
  <c r="M896" i="6"/>
  <c r="O896" i="6" s="1"/>
  <c r="L896" i="6"/>
  <c r="N896" i="6" s="1"/>
  <c r="K896" i="6"/>
  <c r="J896" i="6"/>
  <c r="M895" i="6"/>
  <c r="O895" i="6" s="1"/>
  <c r="L895" i="6"/>
  <c r="N895" i="6" s="1"/>
  <c r="K895" i="6"/>
  <c r="J895" i="6"/>
  <c r="F895" i="6"/>
  <c r="E895" i="6"/>
  <c r="D895" i="6"/>
  <c r="M894" i="6"/>
  <c r="O894" i="6" s="1"/>
  <c r="L894" i="6"/>
  <c r="N894" i="6" s="1"/>
  <c r="K894" i="6"/>
  <c r="J894" i="6"/>
  <c r="M893" i="6"/>
  <c r="O893" i="6" s="1"/>
  <c r="L893" i="6"/>
  <c r="N893" i="6" s="1"/>
  <c r="K893" i="6"/>
  <c r="J893" i="6"/>
  <c r="F893" i="6"/>
  <c r="E893" i="6"/>
  <c r="D893" i="6"/>
  <c r="M892" i="6"/>
  <c r="O892" i="6" s="1"/>
  <c r="L892" i="6"/>
  <c r="N892" i="6" s="1"/>
  <c r="K892" i="6"/>
  <c r="J892" i="6"/>
  <c r="F892" i="6"/>
  <c r="E892" i="6"/>
  <c r="D892" i="6"/>
  <c r="O891" i="6"/>
  <c r="M891" i="6"/>
  <c r="L891" i="6"/>
  <c r="N891" i="6" s="1"/>
  <c r="K891" i="6"/>
  <c r="J891" i="6"/>
  <c r="F891" i="6"/>
  <c r="E891" i="6"/>
  <c r="D891" i="6"/>
  <c r="O890" i="6"/>
  <c r="M890" i="6"/>
  <c r="L890" i="6"/>
  <c r="N890" i="6" s="1"/>
  <c r="K890" i="6"/>
  <c r="J890" i="6"/>
  <c r="M889" i="6"/>
  <c r="O889" i="6" s="1"/>
  <c r="L889" i="6"/>
  <c r="N889" i="6" s="1"/>
  <c r="K889" i="6"/>
  <c r="J889" i="6"/>
  <c r="F889" i="6"/>
  <c r="E889" i="6"/>
  <c r="D889" i="6"/>
  <c r="M888" i="6"/>
  <c r="O888" i="6" s="1"/>
  <c r="L888" i="6"/>
  <c r="N888" i="6" s="1"/>
  <c r="G888" i="6" s="1"/>
  <c r="C888" i="6" s="1"/>
  <c r="K888" i="6"/>
  <c r="J888" i="6"/>
  <c r="F888" i="6"/>
  <c r="E888" i="6"/>
  <c r="D888" i="6"/>
  <c r="M887" i="6"/>
  <c r="O887" i="6" s="1"/>
  <c r="L887" i="6"/>
  <c r="N887" i="6" s="1"/>
  <c r="K887" i="6"/>
  <c r="J887" i="6"/>
  <c r="F887" i="6"/>
  <c r="E887" i="6"/>
  <c r="D887" i="6"/>
  <c r="M886" i="6"/>
  <c r="O886" i="6" s="1"/>
  <c r="L886" i="6"/>
  <c r="N886" i="6" s="1"/>
  <c r="K886" i="6"/>
  <c r="J886" i="6"/>
  <c r="F886" i="6"/>
  <c r="E886" i="6"/>
  <c r="D886" i="6"/>
  <c r="N885" i="6"/>
  <c r="M885" i="6"/>
  <c r="O885" i="6" s="1"/>
  <c r="L885" i="6"/>
  <c r="K885" i="6"/>
  <c r="J885" i="6"/>
  <c r="F885" i="6"/>
  <c r="E885" i="6"/>
  <c r="D885" i="6"/>
  <c r="M884" i="6"/>
  <c r="O884" i="6" s="1"/>
  <c r="L884" i="6"/>
  <c r="N884" i="6" s="1"/>
  <c r="K884" i="6"/>
  <c r="J884" i="6"/>
  <c r="M883" i="6"/>
  <c r="O883" i="6" s="1"/>
  <c r="L883" i="6"/>
  <c r="N883" i="6" s="1"/>
  <c r="K883" i="6"/>
  <c r="J883" i="6"/>
  <c r="F883" i="6"/>
  <c r="E883" i="6"/>
  <c r="D883" i="6"/>
  <c r="M882" i="6"/>
  <c r="O882" i="6" s="1"/>
  <c r="L882" i="6"/>
  <c r="N882" i="6" s="1"/>
  <c r="K882" i="6"/>
  <c r="J882" i="6"/>
  <c r="F882" i="6"/>
  <c r="E882" i="6"/>
  <c r="D882" i="6"/>
  <c r="N881" i="6"/>
  <c r="M881" i="6"/>
  <c r="O881" i="6" s="1"/>
  <c r="L881" i="6"/>
  <c r="K881" i="6"/>
  <c r="J881" i="6"/>
  <c r="F881" i="6"/>
  <c r="E881" i="6"/>
  <c r="D881" i="6"/>
  <c r="M880" i="6"/>
  <c r="O880" i="6" s="1"/>
  <c r="L880" i="6"/>
  <c r="N880" i="6" s="1"/>
  <c r="G880" i="6" s="1"/>
  <c r="K880" i="6"/>
  <c r="J880" i="6"/>
  <c r="F880" i="6"/>
  <c r="E880" i="6"/>
  <c r="D880" i="6"/>
  <c r="M879" i="6"/>
  <c r="O879" i="6" s="1"/>
  <c r="L879" i="6"/>
  <c r="N879" i="6" s="1"/>
  <c r="K879" i="6"/>
  <c r="J879" i="6"/>
  <c r="F879" i="6"/>
  <c r="E879" i="6"/>
  <c r="D879" i="6"/>
  <c r="M878" i="6"/>
  <c r="O878" i="6" s="1"/>
  <c r="L878" i="6"/>
  <c r="N878" i="6" s="1"/>
  <c r="K878" i="6"/>
  <c r="J878" i="6"/>
  <c r="F878" i="6"/>
  <c r="E878" i="6"/>
  <c r="D878" i="6"/>
  <c r="N877" i="6"/>
  <c r="M877" i="6"/>
  <c r="O877" i="6" s="1"/>
  <c r="L877" i="6"/>
  <c r="K877" i="6"/>
  <c r="J877" i="6"/>
  <c r="F877" i="6"/>
  <c r="E877" i="6"/>
  <c r="D877" i="6"/>
  <c r="M876" i="6"/>
  <c r="O876" i="6" s="1"/>
  <c r="L876" i="6"/>
  <c r="N876" i="6" s="1"/>
  <c r="K876" i="6"/>
  <c r="J876" i="6"/>
  <c r="F876" i="6"/>
  <c r="E876" i="6"/>
  <c r="D876" i="6"/>
  <c r="M875" i="6"/>
  <c r="O875" i="6" s="1"/>
  <c r="L875" i="6"/>
  <c r="N875" i="6" s="1"/>
  <c r="K875" i="6"/>
  <c r="J875" i="6"/>
  <c r="F875" i="6"/>
  <c r="E875" i="6"/>
  <c r="D875" i="6"/>
  <c r="M874" i="6"/>
  <c r="O874" i="6" s="1"/>
  <c r="L874" i="6"/>
  <c r="N874" i="6" s="1"/>
  <c r="K874" i="6"/>
  <c r="J874" i="6"/>
  <c r="F874" i="6"/>
  <c r="E874" i="6"/>
  <c r="D874" i="6"/>
  <c r="N873" i="6"/>
  <c r="M873" i="6"/>
  <c r="O873" i="6" s="1"/>
  <c r="L873" i="6"/>
  <c r="K873" i="6"/>
  <c r="J873" i="6"/>
  <c r="F873" i="6"/>
  <c r="E873" i="6"/>
  <c r="D873" i="6"/>
  <c r="M872" i="6"/>
  <c r="O872" i="6" s="1"/>
  <c r="L872" i="6"/>
  <c r="N872" i="6" s="1"/>
  <c r="K872" i="6"/>
  <c r="J872" i="6"/>
  <c r="F872" i="6"/>
  <c r="E872" i="6"/>
  <c r="D872" i="6"/>
  <c r="M871" i="6"/>
  <c r="O871" i="6" s="1"/>
  <c r="L871" i="6"/>
  <c r="N871" i="6" s="1"/>
  <c r="K871" i="6"/>
  <c r="G871" i="6" s="1"/>
  <c r="J871" i="6"/>
  <c r="F871" i="6"/>
  <c r="E871" i="6"/>
  <c r="D871" i="6"/>
  <c r="O870" i="6"/>
  <c r="M870" i="6"/>
  <c r="L870" i="6"/>
  <c r="N870" i="6" s="1"/>
  <c r="K870" i="6"/>
  <c r="J870" i="6"/>
  <c r="F870" i="6"/>
  <c r="E870" i="6"/>
  <c r="D870" i="6"/>
  <c r="N869" i="6"/>
  <c r="M869" i="6"/>
  <c r="O869" i="6" s="1"/>
  <c r="L869" i="6"/>
  <c r="K869" i="6"/>
  <c r="J869" i="6"/>
  <c r="F869" i="6"/>
  <c r="E869" i="6"/>
  <c r="D869" i="6"/>
  <c r="M868" i="6"/>
  <c r="O868" i="6" s="1"/>
  <c r="L868" i="6"/>
  <c r="N868" i="6" s="1"/>
  <c r="K868" i="6"/>
  <c r="J868" i="6"/>
  <c r="F868" i="6"/>
  <c r="E868" i="6"/>
  <c r="D868" i="6"/>
  <c r="M867" i="6"/>
  <c r="O867" i="6" s="1"/>
  <c r="L867" i="6"/>
  <c r="N867" i="6" s="1"/>
  <c r="K867" i="6"/>
  <c r="J867" i="6"/>
  <c r="F867" i="6"/>
  <c r="E867" i="6"/>
  <c r="D867" i="6"/>
  <c r="M866" i="6"/>
  <c r="O866" i="6" s="1"/>
  <c r="L866" i="6"/>
  <c r="N866" i="6" s="1"/>
  <c r="K866" i="6"/>
  <c r="J866" i="6"/>
  <c r="F866" i="6"/>
  <c r="E866" i="6"/>
  <c r="D866" i="6"/>
  <c r="O865" i="6"/>
  <c r="M865" i="6"/>
  <c r="L865" i="6"/>
  <c r="N865" i="6" s="1"/>
  <c r="K865" i="6"/>
  <c r="J865" i="6"/>
  <c r="F865" i="6"/>
  <c r="E865" i="6"/>
  <c r="D865" i="6"/>
  <c r="M864" i="6"/>
  <c r="O864" i="6" s="1"/>
  <c r="L864" i="6"/>
  <c r="N864" i="6" s="1"/>
  <c r="K864" i="6"/>
  <c r="J864" i="6"/>
  <c r="F864" i="6"/>
  <c r="E864" i="6"/>
  <c r="D864" i="6"/>
  <c r="M863" i="6"/>
  <c r="O863" i="6" s="1"/>
  <c r="L863" i="6"/>
  <c r="N863" i="6" s="1"/>
  <c r="K863" i="6"/>
  <c r="J863" i="6"/>
  <c r="F863" i="6"/>
  <c r="E863" i="6"/>
  <c r="D863" i="6"/>
  <c r="O862" i="6"/>
  <c r="M862" i="6"/>
  <c r="L862" i="6"/>
  <c r="N862" i="6" s="1"/>
  <c r="K862" i="6"/>
  <c r="J862" i="6"/>
  <c r="O861" i="6"/>
  <c r="M861" i="6"/>
  <c r="L861" i="6"/>
  <c r="N861" i="6" s="1"/>
  <c r="K861" i="6"/>
  <c r="J861" i="6"/>
  <c r="N860" i="6"/>
  <c r="M860" i="6"/>
  <c r="O860" i="6" s="1"/>
  <c r="L860" i="6"/>
  <c r="K860" i="6"/>
  <c r="J860" i="6"/>
  <c r="M859" i="6"/>
  <c r="O859" i="6" s="1"/>
  <c r="L859" i="6"/>
  <c r="N859" i="6" s="1"/>
  <c r="K859" i="6"/>
  <c r="G859" i="6" s="1"/>
  <c r="J859" i="6"/>
  <c r="F859" i="6"/>
  <c r="E859" i="6"/>
  <c r="D859" i="6"/>
  <c r="M858" i="6"/>
  <c r="O858" i="6" s="1"/>
  <c r="L858" i="6"/>
  <c r="N858" i="6" s="1"/>
  <c r="K858" i="6"/>
  <c r="J858" i="6"/>
  <c r="M857" i="6"/>
  <c r="O857" i="6" s="1"/>
  <c r="L857" i="6"/>
  <c r="N857" i="6" s="1"/>
  <c r="K857" i="6"/>
  <c r="J857" i="6"/>
  <c r="M856" i="6"/>
  <c r="O856" i="6" s="1"/>
  <c r="L856" i="6"/>
  <c r="N856" i="6" s="1"/>
  <c r="K856" i="6"/>
  <c r="J856" i="6"/>
  <c r="F856" i="6"/>
  <c r="E856" i="6"/>
  <c r="D856" i="6"/>
  <c r="M855" i="6"/>
  <c r="O855" i="6" s="1"/>
  <c r="L855" i="6"/>
  <c r="N855" i="6" s="1"/>
  <c r="K855" i="6"/>
  <c r="J855" i="6"/>
  <c r="O854" i="6"/>
  <c r="M854" i="6"/>
  <c r="L854" i="6"/>
  <c r="N854" i="6" s="1"/>
  <c r="K854" i="6"/>
  <c r="J854" i="6"/>
  <c r="F854" i="6"/>
  <c r="E854" i="6"/>
  <c r="D854" i="6"/>
  <c r="M853" i="6"/>
  <c r="O853" i="6" s="1"/>
  <c r="L853" i="6"/>
  <c r="N853" i="6" s="1"/>
  <c r="K853" i="6"/>
  <c r="J853" i="6"/>
  <c r="F853" i="6"/>
  <c r="E853" i="6"/>
  <c r="D853" i="6"/>
  <c r="O852" i="6"/>
  <c r="M852" i="6"/>
  <c r="L852" i="6"/>
  <c r="N852" i="6" s="1"/>
  <c r="K852" i="6"/>
  <c r="J852" i="6"/>
  <c r="M851" i="6"/>
  <c r="O851" i="6" s="1"/>
  <c r="L851" i="6"/>
  <c r="N851" i="6" s="1"/>
  <c r="K851" i="6"/>
  <c r="J851" i="6"/>
  <c r="M850" i="6"/>
  <c r="O850" i="6" s="1"/>
  <c r="L850" i="6"/>
  <c r="N850" i="6" s="1"/>
  <c r="K850" i="6"/>
  <c r="J850" i="6"/>
  <c r="M849" i="6"/>
  <c r="O849" i="6" s="1"/>
  <c r="L849" i="6"/>
  <c r="N849" i="6" s="1"/>
  <c r="K849" i="6"/>
  <c r="J849" i="6"/>
  <c r="F849" i="6"/>
  <c r="E849" i="6"/>
  <c r="D849" i="6"/>
  <c r="O848" i="6"/>
  <c r="M848" i="6"/>
  <c r="L848" i="6"/>
  <c r="N848" i="6" s="1"/>
  <c r="K848" i="6"/>
  <c r="J848" i="6"/>
  <c r="F848" i="6"/>
  <c r="E848" i="6"/>
  <c r="D848" i="6"/>
  <c r="M847" i="6"/>
  <c r="O847" i="6" s="1"/>
  <c r="L847" i="6"/>
  <c r="N847" i="6" s="1"/>
  <c r="K847" i="6"/>
  <c r="J847" i="6"/>
  <c r="O846" i="6"/>
  <c r="M846" i="6"/>
  <c r="L846" i="6"/>
  <c r="N846" i="6" s="1"/>
  <c r="K846" i="6"/>
  <c r="J846" i="6"/>
  <c r="F846" i="6"/>
  <c r="E846" i="6"/>
  <c r="D846" i="6"/>
  <c r="N845" i="6"/>
  <c r="M845" i="6"/>
  <c r="O845" i="6" s="1"/>
  <c r="L845" i="6"/>
  <c r="K845" i="6"/>
  <c r="J845" i="6"/>
  <c r="F845" i="6"/>
  <c r="E845" i="6"/>
  <c r="D845" i="6"/>
  <c r="M844" i="6"/>
  <c r="O844" i="6" s="1"/>
  <c r="L844" i="6"/>
  <c r="N844" i="6" s="1"/>
  <c r="K844" i="6"/>
  <c r="J844" i="6"/>
  <c r="F844" i="6"/>
  <c r="E844" i="6"/>
  <c r="D844" i="6"/>
  <c r="O843" i="6"/>
  <c r="M843" i="6"/>
  <c r="L843" i="6"/>
  <c r="N843" i="6" s="1"/>
  <c r="K843" i="6"/>
  <c r="J843" i="6"/>
  <c r="F843" i="6"/>
  <c r="E843" i="6"/>
  <c r="D843" i="6"/>
  <c r="M842" i="6"/>
  <c r="O842" i="6" s="1"/>
  <c r="L842" i="6"/>
  <c r="N842" i="6" s="1"/>
  <c r="K842" i="6"/>
  <c r="J842" i="6"/>
  <c r="F842" i="6"/>
  <c r="E842" i="6"/>
  <c r="D842" i="6"/>
  <c r="M841" i="6"/>
  <c r="O841" i="6" s="1"/>
  <c r="L841" i="6"/>
  <c r="N841" i="6" s="1"/>
  <c r="K841" i="6"/>
  <c r="J841" i="6"/>
  <c r="F841" i="6"/>
  <c r="E841" i="6"/>
  <c r="D841" i="6"/>
  <c r="N840" i="6"/>
  <c r="M840" i="6"/>
  <c r="O840" i="6" s="1"/>
  <c r="L840" i="6"/>
  <c r="K840" i="6"/>
  <c r="J840" i="6"/>
  <c r="F840" i="6"/>
  <c r="E840" i="6"/>
  <c r="D840" i="6"/>
  <c r="M839" i="6"/>
  <c r="O839" i="6" s="1"/>
  <c r="L839" i="6"/>
  <c r="N839" i="6" s="1"/>
  <c r="K839" i="6"/>
  <c r="J839" i="6"/>
  <c r="M838" i="6"/>
  <c r="O838" i="6" s="1"/>
  <c r="L838" i="6"/>
  <c r="N838" i="6" s="1"/>
  <c r="K838" i="6"/>
  <c r="J838" i="6"/>
  <c r="F838" i="6"/>
  <c r="E838" i="6"/>
  <c r="D838" i="6"/>
  <c r="M837" i="6"/>
  <c r="O837" i="6" s="1"/>
  <c r="L837" i="6"/>
  <c r="N837" i="6" s="1"/>
  <c r="K837" i="6"/>
  <c r="J837" i="6"/>
  <c r="F837" i="6"/>
  <c r="E837" i="6"/>
  <c r="D837" i="6"/>
  <c r="M836" i="6"/>
  <c r="O836" i="6" s="1"/>
  <c r="L836" i="6"/>
  <c r="N836" i="6" s="1"/>
  <c r="K836" i="6"/>
  <c r="J836" i="6"/>
  <c r="F836" i="6"/>
  <c r="E836" i="6"/>
  <c r="D836" i="6"/>
  <c r="N835" i="6"/>
  <c r="M835" i="6"/>
  <c r="O835" i="6" s="1"/>
  <c r="L835" i="6"/>
  <c r="K835" i="6"/>
  <c r="J835" i="6"/>
  <c r="F835" i="6"/>
  <c r="E835" i="6"/>
  <c r="D835" i="6"/>
  <c r="O834" i="6"/>
  <c r="M834" i="6"/>
  <c r="L834" i="6"/>
  <c r="N834" i="6" s="1"/>
  <c r="K834" i="6"/>
  <c r="J834" i="6"/>
  <c r="M833" i="6"/>
  <c r="O833" i="6" s="1"/>
  <c r="L833" i="6"/>
  <c r="N833" i="6" s="1"/>
  <c r="K833" i="6"/>
  <c r="J833" i="6"/>
  <c r="F833" i="6"/>
  <c r="E833" i="6"/>
  <c r="D833" i="6"/>
  <c r="M832" i="6"/>
  <c r="O832" i="6" s="1"/>
  <c r="L832" i="6"/>
  <c r="N832" i="6" s="1"/>
  <c r="K832" i="6"/>
  <c r="J832" i="6"/>
  <c r="F832" i="6"/>
  <c r="E832" i="6"/>
  <c r="D832" i="6"/>
  <c r="M831" i="6"/>
  <c r="O831" i="6" s="1"/>
  <c r="L831" i="6"/>
  <c r="N831" i="6" s="1"/>
  <c r="K831" i="6"/>
  <c r="J831" i="6"/>
  <c r="N830" i="6"/>
  <c r="M830" i="6"/>
  <c r="O830" i="6" s="1"/>
  <c r="G830" i="6" s="1"/>
  <c r="L830" i="6"/>
  <c r="K830" i="6"/>
  <c r="J830" i="6"/>
  <c r="F830" i="6"/>
  <c r="E830" i="6"/>
  <c r="D830" i="6"/>
  <c r="M829" i="6"/>
  <c r="O829" i="6" s="1"/>
  <c r="L829" i="6"/>
  <c r="N829" i="6" s="1"/>
  <c r="K829" i="6"/>
  <c r="J829" i="6"/>
  <c r="F829" i="6"/>
  <c r="E829" i="6"/>
  <c r="D829" i="6"/>
  <c r="M828" i="6"/>
  <c r="O828" i="6" s="1"/>
  <c r="L828" i="6"/>
  <c r="N828" i="6" s="1"/>
  <c r="K828" i="6"/>
  <c r="J828" i="6"/>
  <c r="F828" i="6"/>
  <c r="E828" i="6"/>
  <c r="D828" i="6"/>
  <c r="O827" i="6"/>
  <c r="M827" i="6"/>
  <c r="L827" i="6"/>
  <c r="N827" i="6" s="1"/>
  <c r="K827" i="6"/>
  <c r="J827" i="6"/>
  <c r="F827" i="6"/>
  <c r="E827" i="6"/>
  <c r="D827" i="6"/>
  <c r="M826" i="6"/>
  <c r="O826" i="6" s="1"/>
  <c r="L826" i="6"/>
  <c r="N826" i="6" s="1"/>
  <c r="K826" i="6"/>
  <c r="J826" i="6"/>
  <c r="F826" i="6"/>
  <c r="E826" i="6"/>
  <c r="D826" i="6"/>
  <c r="M825" i="6"/>
  <c r="O825" i="6" s="1"/>
  <c r="L825" i="6"/>
  <c r="N825" i="6" s="1"/>
  <c r="K825" i="6"/>
  <c r="J825" i="6"/>
  <c r="F825" i="6"/>
  <c r="E825" i="6"/>
  <c r="D825" i="6"/>
  <c r="M824" i="6"/>
  <c r="O824" i="6" s="1"/>
  <c r="G824" i="6" s="1"/>
  <c r="L824" i="6"/>
  <c r="N824" i="6" s="1"/>
  <c r="K824" i="6"/>
  <c r="J824" i="6"/>
  <c r="F824" i="6"/>
  <c r="E824" i="6"/>
  <c r="D824" i="6"/>
  <c r="M823" i="6"/>
  <c r="O823" i="6" s="1"/>
  <c r="L823" i="6"/>
  <c r="N823" i="6" s="1"/>
  <c r="K823" i="6"/>
  <c r="J823" i="6"/>
  <c r="F823" i="6"/>
  <c r="E823" i="6"/>
  <c r="D823" i="6"/>
  <c r="M822" i="6"/>
  <c r="O822" i="6" s="1"/>
  <c r="L822" i="6"/>
  <c r="N822" i="6" s="1"/>
  <c r="K822" i="6"/>
  <c r="J822" i="6"/>
  <c r="F822" i="6"/>
  <c r="E822" i="6"/>
  <c r="D822" i="6"/>
  <c r="O821" i="6"/>
  <c r="M821" i="6"/>
  <c r="L821" i="6"/>
  <c r="N821" i="6" s="1"/>
  <c r="K821" i="6"/>
  <c r="J821" i="6"/>
  <c r="F821" i="6"/>
  <c r="E821" i="6"/>
  <c r="D821" i="6"/>
  <c r="M820" i="6"/>
  <c r="O820" i="6" s="1"/>
  <c r="L820" i="6"/>
  <c r="N820" i="6" s="1"/>
  <c r="K820" i="6"/>
  <c r="J820" i="6"/>
  <c r="F820" i="6"/>
  <c r="E820" i="6"/>
  <c r="D820" i="6"/>
  <c r="M819" i="6"/>
  <c r="O819" i="6" s="1"/>
  <c r="L819" i="6"/>
  <c r="N819" i="6" s="1"/>
  <c r="K819" i="6"/>
  <c r="J819" i="6"/>
  <c r="F819" i="6"/>
  <c r="E819" i="6"/>
  <c r="D819" i="6"/>
  <c r="M818" i="6"/>
  <c r="O818" i="6" s="1"/>
  <c r="L818" i="6"/>
  <c r="N818" i="6" s="1"/>
  <c r="K818" i="6"/>
  <c r="J818" i="6"/>
  <c r="F818" i="6"/>
  <c r="E818" i="6"/>
  <c r="D818" i="6"/>
  <c r="M817" i="6"/>
  <c r="O817" i="6" s="1"/>
  <c r="L817" i="6"/>
  <c r="N817" i="6" s="1"/>
  <c r="K817" i="6"/>
  <c r="J817" i="6"/>
  <c r="F817" i="6"/>
  <c r="E817" i="6"/>
  <c r="D817" i="6"/>
  <c r="M816" i="6"/>
  <c r="O816" i="6" s="1"/>
  <c r="L816" i="6"/>
  <c r="N816" i="6" s="1"/>
  <c r="K816" i="6"/>
  <c r="J816" i="6"/>
  <c r="N815" i="6"/>
  <c r="M815" i="6"/>
  <c r="O815" i="6" s="1"/>
  <c r="L815" i="6"/>
  <c r="K815" i="6"/>
  <c r="J815" i="6"/>
  <c r="M814" i="6"/>
  <c r="O814" i="6" s="1"/>
  <c r="L814" i="6"/>
  <c r="N814" i="6" s="1"/>
  <c r="K814" i="6"/>
  <c r="J814" i="6"/>
  <c r="M813" i="6"/>
  <c r="O813" i="6" s="1"/>
  <c r="L813" i="6"/>
  <c r="N813" i="6" s="1"/>
  <c r="K813" i="6"/>
  <c r="J813" i="6"/>
  <c r="M812" i="6"/>
  <c r="O812" i="6" s="1"/>
  <c r="L812" i="6"/>
  <c r="N812" i="6" s="1"/>
  <c r="K812" i="6"/>
  <c r="J812" i="6"/>
  <c r="M811" i="6"/>
  <c r="O811" i="6" s="1"/>
  <c r="L811" i="6"/>
  <c r="N811" i="6" s="1"/>
  <c r="K811" i="6"/>
  <c r="J811" i="6"/>
  <c r="F811" i="6"/>
  <c r="E811" i="6"/>
  <c r="D811" i="6"/>
  <c r="M810" i="6"/>
  <c r="O810" i="6" s="1"/>
  <c r="L810" i="6"/>
  <c r="N810" i="6" s="1"/>
  <c r="K810" i="6"/>
  <c r="J810" i="6"/>
  <c r="M809" i="6"/>
  <c r="O809" i="6" s="1"/>
  <c r="L809" i="6"/>
  <c r="N809" i="6" s="1"/>
  <c r="K809" i="6"/>
  <c r="J809" i="6"/>
  <c r="M808" i="6"/>
  <c r="O808" i="6" s="1"/>
  <c r="L808" i="6"/>
  <c r="N808" i="6" s="1"/>
  <c r="K808" i="6"/>
  <c r="J808" i="6"/>
  <c r="O807" i="6"/>
  <c r="M807" i="6"/>
  <c r="L807" i="6"/>
  <c r="N807" i="6" s="1"/>
  <c r="K807" i="6"/>
  <c r="J807" i="6"/>
  <c r="N806" i="6"/>
  <c r="M806" i="6"/>
  <c r="O806" i="6" s="1"/>
  <c r="L806" i="6"/>
  <c r="K806" i="6"/>
  <c r="J806" i="6"/>
  <c r="F806" i="6"/>
  <c r="E806" i="6"/>
  <c r="D806" i="6"/>
  <c r="M805" i="6"/>
  <c r="O805" i="6" s="1"/>
  <c r="L805" i="6"/>
  <c r="N805" i="6" s="1"/>
  <c r="K805" i="6"/>
  <c r="J805" i="6"/>
  <c r="F805" i="6"/>
  <c r="E805" i="6"/>
  <c r="D805" i="6"/>
  <c r="M804" i="6"/>
  <c r="O804" i="6" s="1"/>
  <c r="L804" i="6"/>
  <c r="N804" i="6" s="1"/>
  <c r="K804" i="6"/>
  <c r="J804" i="6"/>
  <c r="M803" i="6"/>
  <c r="O803" i="6" s="1"/>
  <c r="L803" i="6"/>
  <c r="N803" i="6" s="1"/>
  <c r="K803" i="6"/>
  <c r="J803" i="6"/>
  <c r="M802" i="6"/>
  <c r="O802" i="6" s="1"/>
  <c r="L802" i="6"/>
  <c r="N802" i="6" s="1"/>
  <c r="K802" i="6"/>
  <c r="J802" i="6"/>
  <c r="F802" i="6"/>
  <c r="E802" i="6"/>
  <c r="D802" i="6"/>
  <c r="M801" i="6"/>
  <c r="O801" i="6" s="1"/>
  <c r="L801" i="6"/>
  <c r="N801" i="6" s="1"/>
  <c r="K801" i="6"/>
  <c r="J801" i="6"/>
  <c r="O800" i="6"/>
  <c r="M800" i="6"/>
  <c r="L800" i="6"/>
  <c r="N800" i="6" s="1"/>
  <c r="K800" i="6"/>
  <c r="J800" i="6"/>
  <c r="N799" i="6"/>
  <c r="M799" i="6"/>
  <c r="O799" i="6" s="1"/>
  <c r="L799" i="6"/>
  <c r="K799" i="6"/>
  <c r="J799" i="6"/>
  <c r="F799" i="6"/>
  <c r="E799" i="6"/>
  <c r="D799" i="6"/>
  <c r="M798" i="6"/>
  <c r="O798" i="6" s="1"/>
  <c r="L798" i="6"/>
  <c r="N798" i="6" s="1"/>
  <c r="K798" i="6"/>
  <c r="J798" i="6"/>
  <c r="F798" i="6"/>
  <c r="E798" i="6"/>
  <c r="D798" i="6"/>
  <c r="M797" i="6"/>
  <c r="O797" i="6" s="1"/>
  <c r="L797" i="6"/>
  <c r="N797" i="6" s="1"/>
  <c r="K797" i="6"/>
  <c r="J797" i="6"/>
  <c r="M796" i="6"/>
  <c r="O796" i="6" s="1"/>
  <c r="L796" i="6"/>
  <c r="N796" i="6" s="1"/>
  <c r="K796" i="6"/>
  <c r="J796" i="6"/>
  <c r="O795" i="6"/>
  <c r="M795" i="6"/>
  <c r="L795" i="6"/>
  <c r="N795" i="6" s="1"/>
  <c r="K795" i="6"/>
  <c r="J795" i="6"/>
  <c r="M794" i="6"/>
  <c r="O794" i="6" s="1"/>
  <c r="L794" i="6"/>
  <c r="N794" i="6" s="1"/>
  <c r="K794" i="6"/>
  <c r="J794" i="6"/>
  <c r="M793" i="6"/>
  <c r="O793" i="6" s="1"/>
  <c r="L793" i="6"/>
  <c r="N793" i="6" s="1"/>
  <c r="K793" i="6"/>
  <c r="J793" i="6"/>
  <c r="M792" i="6"/>
  <c r="O792" i="6" s="1"/>
  <c r="L792" i="6"/>
  <c r="N792" i="6" s="1"/>
  <c r="K792" i="6"/>
  <c r="J792" i="6"/>
  <c r="O791" i="6"/>
  <c r="N791" i="6"/>
  <c r="M791" i="6"/>
  <c r="L791" i="6"/>
  <c r="K791" i="6"/>
  <c r="J791" i="6"/>
  <c r="M790" i="6"/>
  <c r="O790" i="6" s="1"/>
  <c r="L790" i="6"/>
  <c r="N790" i="6" s="1"/>
  <c r="K790" i="6"/>
  <c r="J790" i="6"/>
  <c r="M789" i="6"/>
  <c r="O789" i="6" s="1"/>
  <c r="L789" i="6"/>
  <c r="N789" i="6" s="1"/>
  <c r="K789" i="6"/>
  <c r="J789" i="6"/>
  <c r="N788" i="6"/>
  <c r="M788" i="6"/>
  <c r="O788" i="6" s="1"/>
  <c r="L788" i="6"/>
  <c r="K788" i="6"/>
  <c r="J788" i="6"/>
  <c r="N787" i="6"/>
  <c r="M787" i="6"/>
  <c r="O787" i="6" s="1"/>
  <c r="L787" i="6"/>
  <c r="K787" i="6"/>
  <c r="J787" i="6"/>
  <c r="F787" i="6"/>
  <c r="E787" i="6"/>
  <c r="D787" i="6"/>
  <c r="M786" i="6"/>
  <c r="O786" i="6" s="1"/>
  <c r="L786" i="6"/>
  <c r="N786" i="6" s="1"/>
  <c r="K786" i="6"/>
  <c r="J786" i="6"/>
  <c r="O785" i="6"/>
  <c r="M785" i="6"/>
  <c r="L785" i="6"/>
  <c r="N785" i="6" s="1"/>
  <c r="K785" i="6"/>
  <c r="J785" i="6"/>
  <c r="M784" i="6"/>
  <c r="O784" i="6" s="1"/>
  <c r="L784" i="6"/>
  <c r="N784" i="6" s="1"/>
  <c r="K784" i="6"/>
  <c r="J784" i="6"/>
  <c r="F784" i="6"/>
  <c r="E784" i="6"/>
  <c r="D784" i="6"/>
  <c r="O783" i="6"/>
  <c r="M783" i="6"/>
  <c r="L783" i="6"/>
  <c r="N783" i="6" s="1"/>
  <c r="K783" i="6"/>
  <c r="J783" i="6"/>
  <c r="F783" i="6"/>
  <c r="E783" i="6"/>
  <c r="D783" i="6"/>
  <c r="M782" i="6"/>
  <c r="O782" i="6" s="1"/>
  <c r="L782" i="6"/>
  <c r="N782" i="6" s="1"/>
  <c r="K782" i="6"/>
  <c r="J782" i="6"/>
  <c r="F782" i="6"/>
  <c r="E782" i="6"/>
  <c r="D782" i="6"/>
  <c r="M781" i="6"/>
  <c r="O781" i="6" s="1"/>
  <c r="L781" i="6"/>
  <c r="N781" i="6" s="1"/>
  <c r="K781" i="6"/>
  <c r="J781" i="6"/>
  <c r="F781" i="6"/>
  <c r="E781" i="6"/>
  <c r="D781" i="6"/>
  <c r="M780" i="6"/>
  <c r="O780" i="6" s="1"/>
  <c r="L780" i="6"/>
  <c r="N780" i="6" s="1"/>
  <c r="K780" i="6"/>
  <c r="J780" i="6"/>
  <c r="M779" i="6"/>
  <c r="O779" i="6" s="1"/>
  <c r="L779" i="6"/>
  <c r="N779" i="6" s="1"/>
  <c r="K779" i="6"/>
  <c r="J779" i="6"/>
  <c r="F779" i="6"/>
  <c r="E779" i="6"/>
  <c r="D779" i="6"/>
  <c r="M778" i="6"/>
  <c r="O778" i="6" s="1"/>
  <c r="L778" i="6"/>
  <c r="N778" i="6" s="1"/>
  <c r="K778" i="6"/>
  <c r="J778" i="6"/>
  <c r="F778" i="6"/>
  <c r="E778" i="6"/>
  <c r="D778" i="6"/>
  <c r="O777" i="6"/>
  <c r="M777" i="6"/>
  <c r="L777" i="6"/>
  <c r="N777" i="6" s="1"/>
  <c r="K777" i="6"/>
  <c r="J777" i="6"/>
  <c r="O776" i="6"/>
  <c r="M776" i="6"/>
  <c r="L776" i="6"/>
  <c r="N776" i="6" s="1"/>
  <c r="K776" i="6"/>
  <c r="J776" i="6"/>
  <c r="M775" i="6"/>
  <c r="O775" i="6" s="1"/>
  <c r="L775" i="6"/>
  <c r="N775" i="6" s="1"/>
  <c r="K775" i="6"/>
  <c r="J775" i="6"/>
  <c r="M774" i="6"/>
  <c r="O774" i="6" s="1"/>
  <c r="L774" i="6"/>
  <c r="N774" i="6" s="1"/>
  <c r="K774" i="6"/>
  <c r="J774" i="6"/>
  <c r="M773" i="6"/>
  <c r="O773" i="6" s="1"/>
  <c r="L773" i="6"/>
  <c r="N773" i="6" s="1"/>
  <c r="K773" i="6"/>
  <c r="J773" i="6"/>
  <c r="M772" i="6"/>
  <c r="O772" i="6" s="1"/>
  <c r="L772" i="6"/>
  <c r="N772" i="6" s="1"/>
  <c r="K772" i="6"/>
  <c r="J772" i="6"/>
  <c r="M771" i="6"/>
  <c r="O771" i="6" s="1"/>
  <c r="L771" i="6"/>
  <c r="N771" i="6" s="1"/>
  <c r="K771" i="6"/>
  <c r="J771" i="6"/>
  <c r="M770" i="6"/>
  <c r="O770" i="6" s="1"/>
  <c r="L770" i="6"/>
  <c r="N770" i="6" s="1"/>
  <c r="K770" i="6"/>
  <c r="J770" i="6"/>
  <c r="M769" i="6"/>
  <c r="O769" i="6" s="1"/>
  <c r="L769" i="6"/>
  <c r="N769" i="6" s="1"/>
  <c r="K769" i="6"/>
  <c r="J769" i="6"/>
  <c r="M768" i="6"/>
  <c r="O768" i="6" s="1"/>
  <c r="L768" i="6"/>
  <c r="N768" i="6" s="1"/>
  <c r="K768" i="6"/>
  <c r="J768" i="6"/>
  <c r="M767" i="6"/>
  <c r="O767" i="6" s="1"/>
  <c r="L767" i="6"/>
  <c r="N767" i="6" s="1"/>
  <c r="K767" i="6"/>
  <c r="J767" i="6"/>
  <c r="M766" i="6"/>
  <c r="O766" i="6" s="1"/>
  <c r="L766" i="6"/>
  <c r="N766" i="6" s="1"/>
  <c r="K766" i="6"/>
  <c r="J766" i="6"/>
  <c r="O765" i="6"/>
  <c r="M765" i="6"/>
  <c r="L765" i="6"/>
  <c r="N765" i="6" s="1"/>
  <c r="K765" i="6"/>
  <c r="J765" i="6"/>
  <c r="M764" i="6"/>
  <c r="O764" i="6" s="1"/>
  <c r="L764" i="6"/>
  <c r="N764" i="6" s="1"/>
  <c r="K764" i="6"/>
  <c r="J764" i="6"/>
  <c r="F764" i="6"/>
  <c r="E764" i="6"/>
  <c r="D764" i="6"/>
  <c r="M763" i="6"/>
  <c r="O763" i="6" s="1"/>
  <c r="L763" i="6"/>
  <c r="N763" i="6" s="1"/>
  <c r="K763" i="6"/>
  <c r="J763" i="6"/>
  <c r="F763" i="6"/>
  <c r="E763" i="6"/>
  <c r="D763" i="6"/>
  <c r="N762" i="6"/>
  <c r="M762" i="6"/>
  <c r="O762" i="6" s="1"/>
  <c r="L762" i="6"/>
  <c r="K762" i="6"/>
  <c r="J762" i="6"/>
  <c r="F762" i="6"/>
  <c r="E762" i="6"/>
  <c r="D762" i="6"/>
  <c r="N761" i="6"/>
  <c r="M761" i="6"/>
  <c r="O761" i="6" s="1"/>
  <c r="L761" i="6"/>
  <c r="K761" i="6"/>
  <c r="J761" i="6"/>
  <c r="F761" i="6"/>
  <c r="E761" i="6"/>
  <c r="D761" i="6"/>
  <c r="M760" i="6"/>
  <c r="O760" i="6" s="1"/>
  <c r="L760" i="6"/>
  <c r="N760" i="6" s="1"/>
  <c r="K760" i="6"/>
  <c r="J760" i="6"/>
  <c r="F760" i="6"/>
  <c r="E760" i="6"/>
  <c r="D760" i="6"/>
  <c r="N759" i="6"/>
  <c r="M759" i="6"/>
  <c r="O759" i="6" s="1"/>
  <c r="L759" i="6"/>
  <c r="K759" i="6"/>
  <c r="J759" i="6"/>
  <c r="F759" i="6"/>
  <c r="E759" i="6"/>
  <c r="D759" i="6"/>
  <c r="O758" i="6"/>
  <c r="N758" i="6"/>
  <c r="M758" i="6"/>
  <c r="L758" i="6"/>
  <c r="K758" i="6"/>
  <c r="J758" i="6"/>
  <c r="F758" i="6"/>
  <c r="E758" i="6"/>
  <c r="D758" i="6"/>
  <c r="M757" i="6"/>
  <c r="O757" i="6" s="1"/>
  <c r="L757" i="6"/>
  <c r="N757" i="6" s="1"/>
  <c r="K757" i="6"/>
  <c r="J757" i="6"/>
  <c r="F757" i="6"/>
  <c r="E757" i="6"/>
  <c r="D757" i="6"/>
  <c r="M756" i="6"/>
  <c r="O756" i="6" s="1"/>
  <c r="L756" i="6"/>
  <c r="N756" i="6" s="1"/>
  <c r="K756" i="6"/>
  <c r="J756" i="6"/>
  <c r="F756" i="6"/>
  <c r="E756" i="6"/>
  <c r="D756" i="6"/>
  <c r="O755" i="6"/>
  <c r="N755" i="6"/>
  <c r="M755" i="6"/>
  <c r="L755" i="6"/>
  <c r="K755" i="6"/>
  <c r="J755" i="6"/>
  <c r="F755" i="6"/>
  <c r="E755" i="6"/>
  <c r="D755" i="6"/>
  <c r="M754" i="6"/>
  <c r="O754" i="6" s="1"/>
  <c r="L754" i="6"/>
  <c r="N754" i="6" s="1"/>
  <c r="K754" i="6"/>
  <c r="J754" i="6"/>
  <c r="F754" i="6"/>
  <c r="E754" i="6"/>
  <c r="D754" i="6"/>
  <c r="N753" i="6"/>
  <c r="M753" i="6"/>
  <c r="O753" i="6" s="1"/>
  <c r="L753" i="6"/>
  <c r="K753" i="6"/>
  <c r="J753" i="6"/>
  <c r="F753" i="6"/>
  <c r="E753" i="6"/>
  <c r="D753" i="6"/>
  <c r="N752" i="6"/>
  <c r="M752" i="6"/>
  <c r="O752" i="6" s="1"/>
  <c r="L752" i="6"/>
  <c r="K752" i="6"/>
  <c r="J752" i="6"/>
  <c r="F752" i="6"/>
  <c r="E752" i="6"/>
  <c r="D752" i="6"/>
  <c r="M751" i="6"/>
  <c r="O751" i="6" s="1"/>
  <c r="L751" i="6"/>
  <c r="N751" i="6" s="1"/>
  <c r="K751" i="6"/>
  <c r="J751" i="6"/>
  <c r="F751" i="6"/>
  <c r="E751" i="6"/>
  <c r="D751" i="6"/>
  <c r="M750" i="6"/>
  <c r="O750" i="6" s="1"/>
  <c r="L750" i="6"/>
  <c r="N750" i="6" s="1"/>
  <c r="K750" i="6"/>
  <c r="J750" i="6"/>
  <c r="F750" i="6"/>
  <c r="E750" i="6"/>
  <c r="D750" i="6"/>
  <c r="M749" i="6"/>
  <c r="O749" i="6" s="1"/>
  <c r="L749" i="6"/>
  <c r="N749" i="6" s="1"/>
  <c r="K749" i="6"/>
  <c r="J749" i="6"/>
  <c r="M748" i="6"/>
  <c r="O748" i="6" s="1"/>
  <c r="L748" i="6"/>
  <c r="N748" i="6" s="1"/>
  <c r="K748" i="6"/>
  <c r="J748" i="6"/>
  <c r="F748" i="6"/>
  <c r="E748" i="6"/>
  <c r="D748" i="6"/>
  <c r="M747" i="6"/>
  <c r="O747" i="6" s="1"/>
  <c r="L747" i="6"/>
  <c r="N747" i="6" s="1"/>
  <c r="K747" i="6"/>
  <c r="J747" i="6"/>
  <c r="F747" i="6"/>
  <c r="E747" i="6"/>
  <c r="D747" i="6"/>
  <c r="M746" i="6"/>
  <c r="O746" i="6" s="1"/>
  <c r="L746" i="6"/>
  <c r="N746" i="6" s="1"/>
  <c r="K746" i="6"/>
  <c r="J746" i="6"/>
  <c r="F746" i="6"/>
  <c r="E746" i="6"/>
  <c r="D746" i="6"/>
  <c r="N745" i="6"/>
  <c r="M745" i="6"/>
  <c r="O745" i="6" s="1"/>
  <c r="L745" i="6"/>
  <c r="K745" i="6"/>
  <c r="J745" i="6"/>
  <c r="F745" i="6"/>
  <c r="E745" i="6"/>
  <c r="D745" i="6"/>
  <c r="M744" i="6"/>
  <c r="O744" i="6" s="1"/>
  <c r="L744" i="6"/>
  <c r="N744" i="6" s="1"/>
  <c r="K744" i="6"/>
  <c r="G744" i="6" s="1"/>
  <c r="J744" i="6"/>
  <c r="F744" i="6"/>
  <c r="E744" i="6"/>
  <c r="D744" i="6"/>
  <c r="N743" i="6"/>
  <c r="M743" i="6"/>
  <c r="O743" i="6" s="1"/>
  <c r="L743" i="6"/>
  <c r="K743" i="6"/>
  <c r="J743" i="6"/>
  <c r="F743" i="6"/>
  <c r="E743" i="6"/>
  <c r="D743" i="6"/>
  <c r="O742" i="6"/>
  <c r="M742" i="6"/>
  <c r="L742" i="6"/>
  <c r="N742" i="6" s="1"/>
  <c r="K742" i="6"/>
  <c r="J742" i="6"/>
  <c r="M741" i="6"/>
  <c r="O741" i="6" s="1"/>
  <c r="L741" i="6"/>
  <c r="N741" i="6" s="1"/>
  <c r="K741" i="6"/>
  <c r="J741" i="6"/>
  <c r="F741" i="6"/>
  <c r="E741" i="6"/>
  <c r="D741" i="6"/>
  <c r="N740" i="6"/>
  <c r="M740" i="6"/>
  <c r="O740" i="6" s="1"/>
  <c r="L740" i="6"/>
  <c r="K740" i="6"/>
  <c r="J740" i="6"/>
  <c r="F740" i="6"/>
  <c r="E740" i="6"/>
  <c r="D740" i="6"/>
  <c r="M739" i="6"/>
  <c r="O739" i="6" s="1"/>
  <c r="L739" i="6"/>
  <c r="N739" i="6" s="1"/>
  <c r="K739" i="6"/>
  <c r="J739" i="6"/>
  <c r="F739" i="6"/>
  <c r="E739" i="6"/>
  <c r="D739" i="6"/>
  <c r="M738" i="6"/>
  <c r="O738" i="6" s="1"/>
  <c r="L738" i="6"/>
  <c r="N738" i="6" s="1"/>
  <c r="K738" i="6"/>
  <c r="J738" i="6"/>
  <c r="O737" i="6"/>
  <c r="N737" i="6"/>
  <c r="M737" i="6"/>
  <c r="L737" i="6"/>
  <c r="K737" i="6"/>
  <c r="J737" i="6"/>
  <c r="M736" i="6"/>
  <c r="O736" i="6" s="1"/>
  <c r="L736" i="6"/>
  <c r="N736" i="6" s="1"/>
  <c r="K736" i="6"/>
  <c r="J736" i="6"/>
  <c r="N735" i="6"/>
  <c r="M735" i="6"/>
  <c r="O735" i="6" s="1"/>
  <c r="L735" i="6"/>
  <c r="K735" i="6"/>
  <c r="J735" i="6"/>
  <c r="N734" i="6"/>
  <c r="M734" i="6"/>
  <c r="O734" i="6" s="1"/>
  <c r="L734" i="6"/>
  <c r="K734" i="6"/>
  <c r="J734" i="6"/>
  <c r="F734" i="6"/>
  <c r="E734" i="6"/>
  <c r="D734" i="6"/>
  <c r="M733" i="6"/>
  <c r="O733" i="6" s="1"/>
  <c r="L733" i="6"/>
  <c r="N733" i="6" s="1"/>
  <c r="K733" i="6"/>
  <c r="J733" i="6"/>
  <c r="O732" i="6"/>
  <c r="M732" i="6"/>
  <c r="L732" i="6"/>
  <c r="N732" i="6" s="1"/>
  <c r="K732" i="6"/>
  <c r="J732" i="6"/>
  <c r="F732" i="6"/>
  <c r="E732" i="6"/>
  <c r="D732" i="6"/>
  <c r="O731" i="6"/>
  <c r="N731" i="6"/>
  <c r="M731" i="6"/>
  <c r="L731" i="6"/>
  <c r="K731" i="6"/>
  <c r="J731" i="6"/>
  <c r="F731" i="6"/>
  <c r="E731" i="6"/>
  <c r="D731" i="6"/>
  <c r="M730" i="6"/>
  <c r="O730" i="6" s="1"/>
  <c r="L730" i="6"/>
  <c r="N730" i="6" s="1"/>
  <c r="K730" i="6"/>
  <c r="J730" i="6"/>
  <c r="N729" i="6"/>
  <c r="M729" i="6"/>
  <c r="O729" i="6" s="1"/>
  <c r="L729" i="6"/>
  <c r="K729" i="6"/>
  <c r="J729" i="6"/>
  <c r="F729" i="6"/>
  <c r="E729" i="6"/>
  <c r="D729" i="6"/>
  <c r="M728" i="6"/>
  <c r="O728" i="6" s="1"/>
  <c r="L728" i="6"/>
  <c r="N728" i="6" s="1"/>
  <c r="K728" i="6"/>
  <c r="J728" i="6"/>
  <c r="M727" i="6"/>
  <c r="O727" i="6" s="1"/>
  <c r="L727" i="6"/>
  <c r="N727" i="6" s="1"/>
  <c r="K727" i="6"/>
  <c r="J727" i="6"/>
  <c r="M726" i="6"/>
  <c r="O726" i="6" s="1"/>
  <c r="L726" i="6"/>
  <c r="N726" i="6" s="1"/>
  <c r="K726" i="6"/>
  <c r="J726" i="6"/>
  <c r="F726" i="6"/>
  <c r="E726" i="6"/>
  <c r="D726" i="6"/>
  <c r="N725" i="6"/>
  <c r="M725" i="6"/>
  <c r="O725" i="6" s="1"/>
  <c r="L725" i="6"/>
  <c r="K725" i="6"/>
  <c r="J725" i="6"/>
  <c r="M724" i="6"/>
  <c r="O724" i="6" s="1"/>
  <c r="L724" i="6"/>
  <c r="N724" i="6" s="1"/>
  <c r="K724" i="6"/>
  <c r="J724" i="6"/>
  <c r="M723" i="6"/>
  <c r="O723" i="6" s="1"/>
  <c r="L723" i="6"/>
  <c r="N723" i="6" s="1"/>
  <c r="K723" i="6"/>
  <c r="J723" i="6"/>
  <c r="M722" i="6"/>
  <c r="O722" i="6" s="1"/>
  <c r="L722" i="6"/>
  <c r="N722" i="6" s="1"/>
  <c r="K722" i="6"/>
  <c r="J722" i="6"/>
  <c r="F722" i="6"/>
  <c r="E722" i="6"/>
  <c r="D722" i="6"/>
  <c r="M721" i="6"/>
  <c r="O721" i="6" s="1"/>
  <c r="L721" i="6"/>
  <c r="N721" i="6" s="1"/>
  <c r="K721" i="6"/>
  <c r="J721" i="6"/>
  <c r="F721" i="6"/>
  <c r="E721" i="6"/>
  <c r="D721" i="6"/>
  <c r="M720" i="6"/>
  <c r="O720" i="6" s="1"/>
  <c r="L720" i="6"/>
  <c r="N720" i="6" s="1"/>
  <c r="K720" i="6"/>
  <c r="J720" i="6"/>
  <c r="M719" i="6"/>
  <c r="O719" i="6" s="1"/>
  <c r="L719" i="6"/>
  <c r="N719" i="6" s="1"/>
  <c r="K719" i="6"/>
  <c r="J719" i="6"/>
  <c r="O718" i="6"/>
  <c r="M718" i="6"/>
  <c r="L718" i="6"/>
  <c r="N718" i="6" s="1"/>
  <c r="K718" i="6"/>
  <c r="J718" i="6"/>
  <c r="F718" i="6"/>
  <c r="E718" i="6"/>
  <c r="D718" i="6"/>
  <c r="N717" i="6"/>
  <c r="M717" i="6"/>
  <c r="O717" i="6" s="1"/>
  <c r="L717" i="6"/>
  <c r="K717" i="6"/>
  <c r="J717" i="6"/>
  <c r="F717" i="6"/>
  <c r="E717" i="6"/>
  <c r="D717" i="6"/>
  <c r="M716" i="6"/>
  <c r="O716" i="6" s="1"/>
  <c r="L716" i="6"/>
  <c r="N716" i="6" s="1"/>
  <c r="K716" i="6"/>
  <c r="J716" i="6"/>
  <c r="F716" i="6"/>
  <c r="E716" i="6"/>
  <c r="D716" i="6"/>
  <c r="M715" i="6"/>
  <c r="O715" i="6" s="1"/>
  <c r="L715" i="6"/>
  <c r="N715" i="6" s="1"/>
  <c r="K715" i="6"/>
  <c r="J715" i="6"/>
  <c r="F715" i="6"/>
  <c r="E715" i="6"/>
  <c r="D715" i="6"/>
  <c r="M714" i="6"/>
  <c r="O714" i="6" s="1"/>
  <c r="L714" i="6"/>
  <c r="N714" i="6" s="1"/>
  <c r="K714" i="6"/>
  <c r="J714" i="6"/>
  <c r="F714" i="6"/>
  <c r="E714" i="6"/>
  <c r="D714" i="6"/>
  <c r="M713" i="6"/>
  <c r="O713" i="6" s="1"/>
  <c r="L713" i="6"/>
  <c r="N713" i="6" s="1"/>
  <c r="K713" i="6"/>
  <c r="J713" i="6"/>
  <c r="M712" i="6"/>
  <c r="O712" i="6" s="1"/>
  <c r="L712" i="6"/>
  <c r="N712" i="6" s="1"/>
  <c r="K712" i="6"/>
  <c r="J712" i="6"/>
  <c r="M711" i="6"/>
  <c r="O711" i="6" s="1"/>
  <c r="L711" i="6"/>
  <c r="N711" i="6" s="1"/>
  <c r="K711" i="6"/>
  <c r="J711" i="6"/>
  <c r="N710" i="6"/>
  <c r="M710" i="6"/>
  <c r="O710" i="6" s="1"/>
  <c r="L710" i="6"/>
  <c r="K710" i="6"/>
  <c r="J710" i="6"/>
  <c r="M709" i="6"/>
  <c r="O709" i="6" s="1"/>
  <c r="L709" i="6"/>
  <c r="N709" i="6" s="1"/>
  <c r="K709" i="6"/>
  <c r="J709" i="6"/>
  <c r="F709" i="6"/>
  <c r="E709" i="6"/>
  <c r="D709" i="6"/>
  <c r="M708" i="6"/>
  <c r="O708" i="6" s="1"/>
  <c r="L708" i="6"/>
  <c r="N708" i="6" s="1"/>
  <c r="K708" i="6"/>
  <c r="J708" i="6"/>
  <c r="F708" i="6"/>
  <c r="E708" i="6"/>
  <c r="D708" i="6"/>
  <c r="M707" i="6"/>
  <c r="O707" i="6" s="1"/>
  <c r="L707" i="6"/>
  <c r="N707" i="6" s="1"/>
  <c r="K707" i="6"/>
  <c r="J707" i="6"/>
  <c r="M706" i="6"/>
  <c r="O706" i="6" s="1"/>
  <c r="L706" i="6"/>
  <c r="N706" i="6" s="1"/>
  <c r="K706" i="6"/>
  <c r="J706" i="6"/>
  <c r="M705" i="6"/>
  <c r="O705" i="6" s="1"/>
  <c r="L705" i="6"/>
  <c r="N705" i="6" s="1"/>
  <c r="K705" i="6"/>
  <c r="J705" i="6"/>
  <c r="M704" i="6"/>
  <c r="O704" i="6" s="1"/>
  <c r="L704" i="6"/>
  <c r="N704" i="6" s="1"/>
  <c r="K704" i="6"/>
  <c r="J704" i="6"/>
  <c r="M703" i="6"/>
  <c r="O703" i="6" s="1"/>
  <c r="L703" i="6"/>
  <c r="N703" i="6" s="1"/>
  <c r="K703" i="6"/>
  <c r="J703" i="6"/>
  <c r="F703" i="6"/>
  <c r="E703" i="6"/>
  <c r="D703" i="6"/>
  <c r="M702" i="6"/>
  <c r="O702" i="6" s="1"/>
  <c r="L702" i="6"/>
  <c r="N702" i="6" s="1"/>
  <c r="K702" i="6"/>
  <c r="J702" i="6"/>
  <c r="F702" i="6"/>
  <c r="E702" i="6"/>
  <c r="D702" i="6"/>
  <c r="M701" i="6"/>
  <c r="O701" i="6" s="1"/>
  <c r="L701" i="6"/>
  <c r="N701" i="6" s="1"/>
  <c r="K701" i="6"/>
  <c r="J701" i="6"/>
  <c r="M700" i="6"/>
  <c r="O700" i="6" s="1"/>
  <c r="L700" i="6"/>
  <c r="N700" i="6" s="1"/>
  <c r="K700" i="6"/>
  <c r="J700" i="6"/>
  <c r="M699" i="6"/>
  <c r="O699" i="6" s="1"/>
  <c r="L699" i="6"/>
  <c r="N699" i="6" s="1"/>
  <c r="K699" i="6"/>
  <c r="J699" i="6"/>
  <c r="M698" i="6"/>
  <c r="O698" i="6" s="1"/>
  <c r="L698" i="6"/>
  <c r="N698" i="6" s="1"/>
  <c r="K698" i="6"/>
  <c r="J698" i="6"/>
  <c r="M697" i="6"/>
  <c r="O697" i="6" s="1"/>
  <c r="L697" i="6"/>
  <c r="N697" i="6" s="1"/>
  <c r="K697" i="6"/>
  <c r="J697" i="6"/>
  <c r="M696" i="6"/>
  <c r="O696" i="6" s="1"/>
  <c r="L696" i="6"/>
  <c r="N696" i="6" s="1"/>
  <c r="K696" i="6"/>
  <c r="J696" i="6"/>
  <c r="F696" i="6"/>
  <c r="E696" i="6"/>
  <c r="D696" i="6"/>
  <c r="M695" i="6"/>
  <c r="O695" i="6" s="1"/>
  <c r="L695" i="6"/>
  <c r="N695" i="6" s="1"/>
  <c r="K695" i="6"/>
  <c r="J695" i="6"/>
  <c r="F695" i="6"/>
  <c r="E695" i="6"/>
  <c r="D695" i="6"/>
  <c r="M694" i="6"/>
  <c r="O694" i="6" s="1"/>
  <c r="L694" i="6"/>
  <c r="N694" i="6" s="1"/>
  <c r="K694" i="6"/>
  <c r="J694" i="6"/>
  <c r="F694" i="6"/>
  <c r="E694" i="6"/>
  <c r="D694" i="6"/>
  <c r="M693" i="6"/>
  <c r="O693" i="6" s="1"/>
  <c r="L693" i="6"/>
  <c r="N693" i="6" s="1"/>
  <c r="K693" i="6"/>
  <c r="J693" i="6"/>
  <c r="F693" i="6"/>
  <c r="E693" i="6"/>
  <c r="D693" i="6"/>
  <c r="M692" i="6"/>
  <c r="O692" i="6" s="1"/>
  <c r="L692" i="6"/>
  <c r="N692" i="6" s="1"/>
  <c r="K692" i="6"/>
  <c r="J692" i="6"/>
  <c r="F692" i="6"/>
  <c r="E692" i="6"/>
  <c r="D692" i="6"/>
  <c r="M691" i="6"/>
  <c r="O691" i="6" s="1"/>
  <c r="L691" i="6"/>
  <c r="N691" i="6" s="1"/>
  <c r="K691" i="6"/>
  <c r="J691" i="6"/>
  <c r="F691" i="6"/>
  <c r="E691" i="6"/>
  <c r="D691" i="6"/>
  <c r="M690" i="6"/>
  <c r="O690" i="6" s="1"/>
  <c r="L690" i="6"/>
  <c r="N690" i="6" s="1"/>
  <c r="K690" i="6"/>
  <c r="J690" i="6"/>
  <c r="F690" i="6"/>
  <c r="E690" i="6"/>
  <c r="D690" i="6"/>
  <c r="M689" i="6"/>
  <c r="O689" i="6" s="1"/>
  <c r="L689" i="6"/>
  <c r="N689" i="6" s="1"/>
  <c r="K689" i="6"/>
  <c r="J689" i="6"/>
  <c r="F689" i="6"/>
  <c r="E689" i="6"/>
  <c r="D689" i="6"/>
  <c r="M688" i="6"/>
  <c r="O688" i="6" s="1"/>
  <c r="L688" i="6"/>
  <c r="N688" i="6" s="1"/>
  <c r="K688" i="6"/>
  <c r="J688" i="6"/>
  <c r="F688" i="6"/>
  <c r="E688" i="6"/>
  <c r="D688" i="6"/>
  <c r="N687" i="6"/>
  <c r="M687" i="6"/>
  <c r="O687" i="6" s="1"/>
  <c r="L687" i="6"/>
  <c r="K687" i="6"/>
  <c r="J687" i="6"/>
  <c r="F687" i="6"/>
  <c r="E687" i="6"/>
  <c r="D687" i="6"/>
  <c r="M686" i="6"/>
  <c r="O686" i="6" s="1"/>
  <c r="L686" i="6"/>
  <c r="N686" i="6" s="1"/>
  <c r="K686" i="6"/>
  <c r="J686" i="6"/>
  <c r="F686" i="6"/>
  <c r="E686" i="6"/>
  <c r="D686" i="6"/>
  <c r="M685" i="6"/>
  <c r="O685" i="6" s="1"/>
  <c r="L685" i="6"/>
  <c r="N685" i="6" s="1"/>
  <c r="K685" i="6"/>
  <c r="J685" i="6"/>
  <c r="F685" i="6"/>
  <c r="E685" i="6"/>
  <c r="D685" i="6"/>
  <c r="M684" i="6"/>
  <c r="O684" i="6" s="1"/>
  <c r="L684" i="6"/>
  <c r="N684" i="6" s="1"/>
  <c r="K684" i="6"/>
  <c r="J684" i="6"/>
  <c r="F684" i="6"/>
  <c r="E684" i="6"/>
  <c r="D684" i="6"/>
  <c r="M683" i="6"/>
  <c r="O683" i="6" s="1"/>
  <c r="L683" i="6"/>
  <c r="N683" i="6" s="1"/>
  <c r="K683" i="6"/>
  <c r="J683" i="6"/>
  <c r="F683" i="6"/>
  <c r="E683" i="6"/>
  <c r="D683" i="6"/>
  <c r="M682" i="6"/>
  <c r="O682" i="6" s="1"/>
  <c r="L682" i="6"/>
  <c r="N682" i="6" s="1"/>
  <c r="K682" i="6"/>
  <c r="J682" i="6"/>
  <c r="F682" i="6"/>
  <c r="E682" i="6"/>
  <c r="D682" i="6"/>
  <c r="M681" i="6"/>
  <c r="O681" i="6" s="1"/>
  <c r="L681" i="6"/>
  <c r="N681" i="6" s="1"/>
  <c r="K681" i="6"/>
  <c r="J681" i="6"/>
  <c r="F681" i="6"/>
  <c r="E681" i="6"/>
  <c r="D681" i="6"/>
  <c r="M680" i="6"/>
  <c r="O680" i="6" s="1"/>
  <c r="L680" i="6"/>
  <c r="N680" i="6" s="1"/>
  <c r="K680" i="6"/>
  <c r="J680" i="6"/>
  <c r="M679" i="6"/>
  <c r="O679" i="6" s="1"/>
  <c r="L679" i="6"/>
  <c r="N679" i="6" s="1"/>
  <c r="K679" i="6"/>
  <c r="J679" i="6"/>
  <c r="M678" i="6"/>
  <c r="O678" i="6" s="1"/>
  <c r="L678" i="6"/>
  <c r="N678" i="6" s="1"/>
  <c r="K678" i="6"/>
  <c r="J678" i="6"/>
  <c r="M677" i="6"/>
  <c r="O677" i="6" s="1"/>
  <c r="L677" i="6"/>
  <c r="N677" i="6" s="1"/>
  <c r="K677" i="6"/>
  <c r="J677" i="6"/>
  <c r="F677" i="6"/>
  <c r="E677" i="6"/>
  <c r="D677" i="6"/>
  <c r="M676" i="6"/>
  <c r="O676" i="6" s="1"/>
  <c r="L676" i="6"/>
  <c r="N676" i="6" s="1"/>
  <c r="K676" i="6"/>
  <c r="J676" i="6"/>
  <c r="M675" i="6"/>
  <c r="O675" i="6" s="1"/>
  <c r="L675" i="6"/>
  <c r="N675" i="6" s="1"/>
  <c r="K675" i="6"/>
  <c r="J675" i="6"/>
  <c r="M674" i="6"/>
  <c r="O674" i="6" s="1"/>
  <c r="L674" i="6"/>
  <c r="N674" i="6" s="1"/>
  <c r="K674" i="6"/>
  <c r="J674" i="6"/>
  <c r="M673" i="6"/>
  <c r="O673" i="6" s="1"/>
  <c r="L673" i="6"/>
  <c r="N673" i="6" s="1"/>
  <c r="K673" i="6"/>
  <c r="J673" i="6"/>
  <c r="F673" i="6"/>
  <c r="E673" i="6"/>
  <c r="D673" i="6"/>
  <c r="M672" i="6"/>
  <c r="O672" i="6" s="1"/>
  <c r="L672" i="6"/>
  <c r="N672" i="6" s="1"/>
  <c r="K672" i="6"/>
  <c r="J672" i="6"/>
  <c r="F672" i="6"/>
  <c r="E672" i="6"/>
  <c r="D672" i="6"/>
  <c r="M671" i="6"/>
  <c r="O671" i="6" s="1"/>
  <c r="L671" i="6"/>
  <c r="N671" i="6" s="1"/>
  <c r="K671" i="6"/>
  <c r="J671" i="6"/>
  <c r="M670" i="6"/>
  <c r="O670" i="6" s="1"/>
  <c r="L670" i="6"/>
  <c r="N670" i="6" s="1"/>
  <c r="K670" i="6"/>
  <c r="J670" i="6"/>
  <c r="M669" i="6"/>
  <c r="O669" i="6" s="1"/>
  <c r="L669" i="6"/>
  <c r="N669" i="6" s="1"/>
  <c r="K669" i="6"/>
  <c r="J669" i="6"/>
  <c r="M668" i="6"/>
  <c r="O668" i="6" s="1"/>
  <c r="L668" i="6"/>
  <c r="N668" i="6" s="1"/>
  <c r="K668" i="6"/>
  <c r="J668" i="6"/>
  <c r="M667" i="6"/>
  <c r="O667" i="6" s="1"/>
  <c r="L667" i="6"/>
  <c r="N667" i="6" s="1"/>
  <c r="K667" i="6"/>
  <c r="J667" i="6"/>
  <c r="M666" i="6"/>
  <c r="O666" i="6" s="1"/>
  <c r="L666" i="6"/>
  <c r="N666" i="6" s="1"/>
  <c r="K666" i="6"/>
  <c r="J666" i="6"/>
  <c r="F666" i="6"/>
  <c r="E666" i="6"/>
  <c r="D666" i="6"/>
  <c r="O665" i="6"/>
  <c r="N665" i="6"/>
  <c r="M665" i="6"/>
  <c r="L665" i="6"/>
  <c r="K665" i="6"/>
  <c r="J665" i="6"/>
  <c r="F665" i="6"/>
  <c r="E665" i="6"/>
  <c r="D665" i="6"/>
  <c r="M664" i="6"/>
  <c r="O664" i="6" s="1"/>
  <c r="L664" i="6"/>
  <c r="N664" i="6" s="1"/>
  <c r="K664" i="6"/>
  <c r="J664" i="6"/>
  <c r="F664" i="6"/>
  <c r="E664" i="6"/>
  <c r="D664" i="6"/>
  <c r="M663" i="6"/>
  <c r="O663" i="6" s="1"/>
  <c r="L663" i="6"/>
  <c r="N663" i="6" s="1"/>
  <c r="K663" i="6"/>
  <c r="J663" i="6"/>
  <c r="M662" i="6"/>
  <c r="O662" i="6" s="1"/>
  <c r="L662" i="6"/>
  <c r="N662" i="6" s="1"/>
  <c r="K662" i="6"/>
  <c r="J662" i="6"/>
  <c r="N661" i="6"/>
  <c r="M661" i="6"/>
  <c r="O661" i="6" s="1"/>
  <c r="L661" i="6"/>
  <c r="K661" i="6"/>
  <c r="J661" i="6"/>
  <c r="F661" i="6"/>
  <c r="E661" i="6"/>
  <c r="D661" i="6"/>
  <c r="N660" i="6"/>
  <c r="M660" i="6"/>
  <c r="O660" i="6" s="1"/>
  <c r="L660" i="6"/>
  <c r="K660" i="6"/>
  <c r="J660" i="6"/>
  <c r="F660" i="6"/>
  <c r="E660" i="6"/>
  <c r="D660" i="6"/>
  <c r="M659" i="6"/>
  <c r="O659" i="6" s="1"/>
  <c r="L659" i="6"/>
  <c r="N659" i="6" s="1"/>
  <c r="K659" i="6"/>
  <c r="J659" i="6"/>
  <c r="O658" i="6"/>
  <c r="M658" i="6"/>
  <c r="L658" i="6"/>
  <c r="N658" i="6" s="1"/>
  <c r="K658" i="6"/>
  <c r="J658" i="6"/>
  <c r="F658" i="6"/>
  <c r="E658" i="6"/>
  <c r="D658" i="6"/>
  <c r="O657" i="6"/>
  <c r="M657" i="6"/>
  <c r="L657" i="6"/>
  <c r="N657" i="6" s="1"/>
  <c r="K657" i="6"/>
  <c r="J657" i="6"/>
  <c r="F657" i="6"/>
  <c r="E657" i="6"/>
  <c r="D657" i="6"/>
  <c r="O656" i="6"/>
  <c r="N656" i="6"/>
  <c r="M656" i="6"/>
  <c r="L656" i="6"/>
  <c r="K656" i="6"/>
  <c r="J656" i="6"/>
  <c r="F656" i="6"/>
  <c r="E656" i="6"/>
  <c r="D656" i="6"/>
  <c r="M655" i="6"/>
  <c r="O655" i="6" s="1"/>
  <c r="L655" i="6"/>
  <c r="N655" i="6" s="1"/>
  <c r="K655" i="6"/>
  <c r="J655" i="6"/>
  <c r="F655" i="6"/>
  <c r="E655" i="6"/>
  <c r="D655" i="6"/>
  <c r="M654" i="6"/>
  <c r="O654" i="6" s="1"/>
  <c r="L654" i="6"/>
  <c r="N654" i="6" s="1"/>
  <c r="K654" i="6"/>
  <c r="J654" i="6"/>
  <c r="F654" i="6"/>
  <c r="E654" i="6"/>
  <c r="D654" i="6"/>
  <c r="O653" i="6"/>
  <c r="M653" i="6"/>
  <c r="L653" i="6"/>
  <c r="N653" i="6" s="1"/>
  <c r="K653" i="6"/>
  <c r="J653" i="6"/>
  <c r="F653" i="6"/>
  <c r="E653" i="6"/>
  <c r="D653" i="6"/>
  <c r="N652" i="6"/>
  <c r="M652" i="6"/>
  <c r="O652" i="6" s="1"/>
  <c r="L652" i="6"/>
  <c r="K652" i="6"/>
  <c r="J652" i="6"/>
  <c r="F652" i="6"/>
  <c r="E652" i="6"/>
  <c r="D652" i="6"/>
  <c r="O651" i="6"/>
  <c r="N651" i="6"/>
  <c r="M651" i="6"/>
  <c r="L651" i="6"/>
  <c r="K651" i="6"/>
  <c r="J651" i="6"/>
  <c r="F651" i="6"/>
  <c r="E651" i="6"/>
  <c r="D651" i="6"/>
  <c r="M650" i="6"/>
  <c r="O650" i="6" s="1"/>
  <c r="L650" i="6"/>
  <c r="N650" i="6" s="1"/>
  <c r="K650" i="6"/>
  <c r="J650" i="6"/>
  <c r="F650" i="6"/>
  <c r="E650" i="6"/>
  <c r="D650" i="6"/>
  <c r="O649" i="6"/>
  <c r="M649" i="6"/>
  <c r="L649" i="6"/>
  <c r="N649" i="6" s="1"/>
  <c r="K649" i="6"/>
  <c r="J649" i="6"/>
  <c r="F649" i="6"/>
  <c r="E649" i="6"/>
  <c r="D649" i="6"/>
  <c r="O648" i="6"/>
  <c r="M648" i="6"/>
  <c r="L648" i="6"/>
  <c r="N648" i="6" s="1"/>
  <c r="K648" i="6"/>
  <c r="J648" i="6"/>
  <c r="F648" i="6"/>
  <c r="E648" i="6"/>
  <c r="D648" i="6"/>
  <c r="N647" i="6"/>
  <c r="M647" i="6"/>
  <c r="O647" i="6" s="1"/>
  <c r="L647" i="6"/>
  <c r="K647" i="6"/>
  <c r="J647" i="6"/>
  <c r="F647" i="6"/>
  <c r="E647" i="6"/>
  <c r="D647" i="6"/>
  <c r="M646" i="6"/>
  <c r="O646" i="6" s="1"/>
  <c r="L646" i="6"/>
  <c r="N646" i="6" s="1"/>
  <c r="K646" i="6"/>
  <c r="J646" i="6"/>
  <c r="F646" i="6"/>
  <c r="E646" i="6"/>
  <c r="D646" i="6"/>
  <c r="O645" i="6"/>
  <c r="N645" i="6"/>
  <c r="M645" i="6"/>
  <c r="L645" i="6"/>
  <c r="K645" i="6"/>
  <c r="J645" i="6"/>
  <c r="F645" i="6"/>
  <c r="E645" i="6"/>
  <c r="D645" i="6"/>
  <c r="O644" i="6"/>
  <c r="N644" i="6"/>
  <c r="M644" i="6"/>
  <c r="L644" i="6"/>
  <c r="K644" i="6"/>
  <c r="J644" i="6"/>
  <c r="F644" i="6"/>
  <c r="E644" i="6"/>
  <c r="D644" i="6"/>
  <c r="O643" i="6"/>
  <c r="N643" i="6"/>
  <c r="M643" i="6"/>
  <c r="L643" i="6"/>
  <c r="K643" i="6"/>
  <c r="J643" i="6"/>
  <c r="F643" i="6"/>
  <c r="E643" i="6"/>
  <c r="D643" i="6"/>
  <c r="M642" i="6"/>
  <c r="O642" i="6" s="1"/>
  <c r="L642" i="6"/>
  <c r="N642" i="6" s="1"/>
  <c r="K642" i="6"/>
  <c r="J642" i="6"/>
  <c r="F642" i="6"/>
  <c r="E642" i="6"/>
  <c r="D642" i="6"/>
  <c r="N641" i="6"/>
  <c r="M641" i="6"/>
  <c r="O641" i="6" s="1"/>
  <c r="L641" i="6"/>
  <c r="K641" i="6"/>
  <c r="J641" i="6"/>
  <c r="F641" i="6"/>
  <c r="E641" i="6"/>
  <c r="D641" i="6"/>
  <c r="M640" i="6"/>
  <c r="O640" i="6" s="1"/>
  <c r="L640" i="6"/>
  <c r="N640" i="6" s="1"/>
  <c r="K640" i="6"/>
  <c r="J640" i="6"/>
  <c r="F640" i="6"/>
  <c r="E640" i="6"/>
  <c r="D640" i="6"/>
  <c r="O639" i="6"/>
  <c r="N639" i="6"/>
  <c r="M639" i="6"/>
  <c r="L639" i="6"/>
  <c r="K639" i="6"/>
  <c r="J639" i="6"/>
  <c r="F639" i="6"/>
  <c r="E639" i="6"/>
  <c r="D639" i="6"/>
  <c r="M638" i="6"/>
  <c r="O638" i="6" s="1"/>
  <c r="L638" i="6"/>
  <c r="N638" i="6" s="1"/>
  <c r="K638" i="6"/>
  <c r="J638" i="6"/>
  <c r="F638" i="6"/>
  <c r="E638" i="6"/>
  <c r="D638" i="6"/>
  <c r="M637" i="6"/>
  <c r="O637" i="6" s="1"/>
  <c r="L637" i="6"/>
  <c r="N637" i="6" s="1"/>
  <c r="K637" i="6"/>
  <c r="J637" i="6"/>
  <c r="F637" i="6"/>
  <c r="E637" i="6"/>
  <c r="D637" i="6"/>
  <c r="O636" i="6"/>
  <c r="N636" i="6"/>
  <c r="M636" i="6"/>
  <c r="L636" i="6"/>
  <c r="K636" i="6"/>
  <c r="J636" i="6"/>
  <c r="F636" i="6"/>
  <c r="E636" i="6"/>
  <c r="D636" i="6"/>
  <c r="M635" i="6"/>
  <c r="O635" i="6" s="1"/>
  <c r="L635" i="6"/>
  <c r="N635" i="6" s="1"/>
  <c r="K635" i="6"/>
  <c r="J635" i="6"/>
  <c r="F635" i="6"/>
  <c r="E635" i="6"/>
  <c r="D635" i="6"/>
  <c r="M634" i="6"/>
  <c r="O634" i="6" s="1"/>
  <c r="L634" i="6"/>
  <c r="N634" i="6" s="1"/>
  <c r="K634" i="6"/>
  <c r="J634" i="6"/>
  <c r="O633" i="6"/>
  <c r="M633" i="6"/>
  <c r="L633" i="6"/>
  <c r="N633" i="6" s="1"/>
  <c r="K633" i="6"/>
  <c r="J633" i="6"/>
  <c r="F633" i="6"/>
  <c r="E633" i="6"/>
  <c r="D633" i="6"/>
  <c r="M632" i="6"/>
  <c r="O632" i="6" s="1"/>
  <c r="L632" i="6"/>
  <c r="N632" i="6" s="1"/>
  <c r="K632" i="6"/>
  <c r="J632" i="6"/>
  <c r="F632" i="6"/>
  <c r="E632" i="6"/>
  <c r="D632" i="6"/>
  <c r="O631" i="6"/>
  <c r="M631" i="6"/>
  <c r="L631" i="6"/>
  <c r="N631" i="6" s="1"/>
  <c r="K631" i="6"/>
  <c r="J631" i="6"/>
  <c r="F631" i="6"/>
  <c r="E631" i="6"/>
  <c r="D631" i="6"/>
  <c r="O630" i="6"/>
  <c r="N630" i="6"/>
  <c r="M630" i="6"/>
  <c r="L630" i="6"/>
  <c r="K630" i="6"/>
  <c r="J630" i="6"/>
  <c r="F630" i="6"/>
  <c r="E630" i="6"/>
  <c r="D630" i="6"/>
  <c r="O629" i="6"/>
  <c r="M629" i="6"/>
  <c r="L629" i="6"/>
  <c r="N629" i="6" s="1"/>
  <c r="K629" i="6"/>
  <c r="J629" i="6"/>
  <c r="F629" i="6"/>
  <c r="E629" i="6"/>
  <c r="D629" i="6"/>
  <c r="M628" i="6"/>
  <c r="O628" i="6" s="1"/>
  <c r="L628" i="6"/>
  <c r="N628" i="6" s="1"/>
  <c r="K628" i="6"/>
  <c r="J628" i="6"/>
  <c r="F628" i="6"/>
  <c r="E628" i="6"/>
  <c r="D628" i="6"/>
  <c r="O627" i="6"/>
  <c r="M627" i="6"/>
  <c r="L627" i="6"/>
  <c r="N627" i="6" s="1"/>
  <c r="K627" i="6"/>
  <c r="J627" i="6"/>
  <c r="F627" i="6"/>
  <c r="E627" i="6"/>
  <c r="D627" i="6"/>
  <c r="M626" i="6"/>
  <c r="O626" i="6" s="1"/>
  <c r="L626" i="6"/>
  <c r="N626" i="6" s="1"/>
  <c r="K626" i="6"/>
  <c r="J626" i="6"/>
  <c r="F626" i="6"/>
  <c r="E626" i="6"/>
  <c r="D626" i="6"/>
  <c r="O625" i="6"/>
  <c r="M625" i="6"/>
  <c r="L625" i="6"/>
  <c r="N625" i="6" s="1"/>
  <c r="K625" i="6"/>
  <c r="J625" i="6"/>
  <c r="F625" i="6"/>
  <c r="E625" i="6"/>
  <c r="D625" i="6"/>
  <c r="M624" i="6"/>
  <c r="O624" i="6" s="1"/>
  <c r="L624" i="6"/>
  <c r="N624" i="6" s="1"/>
  <c r="K624" i="6"/>
  <c r="J624" i="6"/>
  <c r="F624" i="6"/>
  <c r="E624" i="6"/>
  <c r="D624" i="6"/>
  <c r="O623" i="6"/>
  <c r="M623" i="6"/>
  <c r="L623" i="6"/>
  <c r="N623" i="6" s="1"/>
  <c r="K623" i="6"/>
  <c r="J623" i="6"/>
  <c r="F623" i="6"/>
  <c r="E623" i="6"/>
  <c r="D623" i="6"/>
  <c r="O622" i="6"/>
  <c r="N622" i="6"/>
  <c r="M622" i="6"/>
  <c r="L622" i="6"/>
  <c r="K622" i="6"/>
  <c r="J622" i="6"/>
  <c r="F622" i="6"/>
  <c r="E622" i="6"/>
  <c r="D622" i="6"/>
  <c r="M621" i="6"/>
  <c r="O621" i="6" s="1"/>
  <c r="L621" i="6"/>
  <c r="N621" i="6" s="1"/>
  <c r="K621" i="6"/>
  <c r="J621" i="6"/>
  <c r="F621" i="6"/>
  <c r="E621" i="6"/>
  <c r="D621" i="6"/>
  <c r="M620" i="6"/>
  <c r="O620" i="6" s="1"/>
  <c r="L620" i="6"/>
  <c r="N620" i="6" s="1"/>
  <c r="K620" i="6"/>
  <c r="J620" i="6"/>
  <c r="F620" i="6"/>
  <c r="E620" i="6"/>
  <c r="D620" i="6"/>
  <c r="N619" i="6"/>
  <c r="M619" i="6"/>
  <c r="O619" i="6" s="1"/>
  <c r="L619" i="6"/>
  <c r="K619" i="6"/>
  <c r="J619" i="6"/>
  <c r="F619" i="6"/>
  <c r="E619" i="6"/>
  <c r="D619" i="6"/>
  <c r="M618" i="6"/>
  <c r="O618" i="6" s="1"/>
  <c r="L618" i="6"/>
  <c r="N618" i="6" s="1"/>
  <c r="K618" i="6"/>
  <c r="J618" i="6"/>
  <c r="M617" i="6"/>
  <c r="O617" i="6" s="1"/>
  <c r="L617" i="6"/>
  <c r="N617" i="6" s="1"/>
  <c r="K617" i="6"/>
  <c r="J617" i="6"/>
  <c r="M616" i="6"/>
  <c r="O616" i="6" s="1"/>
  <c r="L616" i="6"/>
  <c r="N616" i="6" s="1"/>
  <c r="K616" i="6"/>
  <c r="J616" i="6"/>
  <c r="F616" i="6"/>
  <c r="E616" i="6"/>
  <c r="D616" i="6"/>
  <c r="M615" i="6"/>
  <c r="O615" i="6" s="1"/>
  <c r="L615" i="6"/>
  <c r="N615" i="6" s="1"/>
  <c r="K615" i="6"/>
  <c r="J615" i="6"/>
  <c r="M614" i="6"/>
  <c r="O614" i="6" s="1"/>
  <c r="L614" i="6"/>
  <c r="N614" i="6" s="1"/>
  <c r="K614" i="6"/>
  <c r="J614" i="6"/>
  <c r="M613" i="6"/>
  <c r="O613" i="6" s="1"/>
  <c r="L613" i="6"/>
  <c r="N613" i="6" s="1"/>
  <c r="K613" i="6"/>
  <c r="J613" i="6"/>
  <c r="F613" i="6"/>
  <c r="E613" i="6"/>
  <c r="D613" i="6"/>
  <c r="M612" i="6"/>
  <c r="O612" i="6" s="1"/>
  <c r="L612" i="6"/>
  <c r="N612" i="6" s="1"/>
  <c r="K612" i="6"/>
  <c r="J612" i="6"/>
  <c r="F612" i="6"/>
  <c r="E612" i="6"/>
  <c r="D612" i="6"/>
  <c r="O611" i="6"/>
  <c r="M611" i="6"/>
  <c r="L611" i="6"/>
  <c r="N611" i="6" s="1"/>
  <c r="K611" i="6"/>
  <c r="J611" i="6"/>
  <c r="F611" i="6"/>
  <c r="E611" i="6"/>
  <c r="D611" i="6"/>
  <c r="M610" i="6"/>
  <c r="O610" i="6" s="1"/>
  <c r="L610" i="6"/>
  <c r="N610" i="6" s="1"/>
  <c r="K610" i="6"/>
  <c r="J610" i="6"/>
  <c r="F610" i="6"/>
  <c r="E610" i="6"/>
  <c r="D610" i="6"/>
  <c r="N609" i="6"/>
  <c r="M609" i="6"/>
  <c r="O609" i="6" s="1"/>
  <c r="L609" i="6"/>
  <c r="K609" i="6"/>
  <c r="J609" i="6"/>
  <c r="F609" i="6"/>
  <c r="E609" i="6"/>
  <c r="D609" i="6"/>
  <c r="M608" i="6"/>
  <c r="O608" i="6" s="1"/>
  <c r="L608" i="6"/>
  <c r="N608" i="6" s="1"/>
  <c r="K608" i="6"/>
  <c r="J608" i="6"/>
  <c r="F608" i="6"/>
  <c r="E608" i="6"/>
  <c r="D608" i="6"/>
  <c r="N607" i="6"/>
  <c r="M607" i="6"/>
  <c r="O607" i="6" s="1"/>
  <c r="L607" i="6"/>
  <c r="K607" i="6"/>
  <c r="J607" i="6"/>
  <c r="F607" i="6"/>
  <c r="E607" i="6"/>
  <c r="D607" i="6"/>
  <c r="N606" i="6"/>
  <c r="M606" i="6"/>
  <c r="O606" i="6" s="1"/>
  <c r="L606" i="6"/>
  <c r="K606" i="6"/>
  <c r="J606" i="6"/>
  <c r="F606" i="6"/>
  <c r="E606" i="6"/>
  <c r="D606" i="6"/>
  <c r="N605" i="6"/>
  <c r="M605" i="6"/>
  <c r="O605" i="6" s="1"/>
  <c r="L605" i="6"/>
  <c r="K605" i="6"/>
  <c r="J605" i="6"/>
  <c r="M604" i="6"/>
  <c r="O604" i="6" s="1"/>
  <c r="L604" i="6"/>
  <c r="N604" i="6" s="1"/>
  <c r="K604" i="6"/>
  <c r="J604" i="6"/>
  <c r="M603" i="6"/>
  <c r="O603" i="6" s="1"/>
  <c r="L603" i="6"/>
  <c r="N603" i="6" s="1"/>
  <c r="K603" i="6"/>
  <c r="J603" i="6"/>
  <c r="F603" i="6"/>
  <c r="E603" i="6"/>
  <c r="D603" i="6"/>
  <c r="M602" i="6"/>
  <c r="O602" i="6" s="1"/>
  <c r="L602" i="6"/>
  <c r="N602" i="6" s="1"/>
  <c r="K602" i="6"/>
  <c r="J602" i="6"/>
  <c r="F602" i="6"/>
  <c r="E602" i="6"/>
  <c r="D602" i="6"/>
  <c r="M601" i="6"/>
  <c r="O601" i="6" s="1"/>
  <c r="L601" i="6"/>
  <c r="N601" i="6" s="1"/>
  <c r="K601" i="6"/>
  <c r="J601" i="6"/>
  <c r="M600" i="6"/>
  <c r="O600" i="6" s="1"/>
  <c r="L600" i="6"/>
  <c r="N600" i="6" s="1"/>
  <c r="K600" i="6"/>
  <c r="J600" i="6"/>
  <c r="M599" i="6"/>
  <c r="O599" i="6" s="1"/>
  <c r="L599" i="6"/>
  <c r="N599" i="6" s="1"/>
  <c r="K599" i="6"/>
  <c r="J599" i="6"/>
  <c r="F599" i="6"/>
  <c r="E599" i="6"/>
  <c r="D599" i="6"/>
  <c r="M598" i="6"/>
  <c r="O598" i="6" s="1"/>
  <c r="L598" i="6"/>
  <c r="N598" i="6" s="1"/>
  <c r="K598" i="6"/>
  <c r="J598" i="6"/>
  <c r="F598" i="6"/>
  <c r="E598" i="6"/>
  <c r="D598" i="6"/>
  <c r="N597" i="6"/>
  <c r="M597" i="6"/>
  <c r="O597" i="6" s="1"/>
  <c r="L597" i="6"/>
  <c r="K597" i="6"/>
  <c r="J597" i="6"/>
  <c r="F597" i="6"/>
  <c r="E597" i="6"/>
  <c r="D597" i="6"/>
  <c r="M596" i="6"/>
  <c r="O596" i="6" s="1"/>
  <c r="L596" i="6"/>
  <c r="N596" i="6" s="1"/>
  <c r="K596" i="6"/>
  <c r="J596" i="6"/>
  <c r="F596" i="6"/>
  <c r="E596" i="6"/>
  <c r="D596" i="6"/>
  <c r="M595" i="6"/>
  <c r="O595" i="6" s="1"/>
  <c r="L595" i="6"/>
  <c r="N595" i="6" s="1"/>
  <c r="K595" i="6"/>
  <c r="J595" i="6"/>
  <c r="F595" i="6"/>
  <c r="E595" i="6"/>
  <c r="D595" i="6"/>
  <c r="N594" i="6"/>
  <c r="M594" i="6"/>
  <c r="O594" i="6" s="1"/>
  <c r="L594" i="6"/>
  <c r="K594" i="6"/>
  <c r="J594" i="6"/>
  <c r="F594" i="6"/>
  <c r="E594" i="6"/>
  <c r="D594" i="6"/>
  <c r="O593" i="6"/>
  <c r="N593" i="6"/>
  <c r="M593" i="6"/>
  <c r="L593" i="6"/>
  <c r="K593" i="6"/>
  <c r="J593" i="6"/>
  <c r="F593" i="6"/>
  <c r="E593" i="6"/>
  <c r="D593" i="6"/>
  <c r="M592" i="6"/>
  <c r="O592" i="6" s="1"/>
  <c r="L592" i="6"/>
  <c r="N592" i="6" s="1"/>
  <c r="K592" i="6"/>
  <c r="J592" i="6"/>
  <c r="F592" i="6"/>
  <c r="E592" i="6"/>
  <c r="D592" i="6"/>
  <c r="M591" i="6"/>
  <c r="O591" i="6" s="1"/>
  <c r="L591" i="6"/>
  <c r="N591" i="6" s="1"/>
  <c r="K591" i="6"/>
  <c r="J591" i="6"/>
  <c r="M590" i="6"/>
  <c r="O590" i="6" s="1"/>
  <c r="L590" i="6"/>
  <c r="N590" i="6" s="1"/>
  <c r="K590" i="6"/>
  <c r="J590" i="6"/>
  <c r="N589" i="6"/>
  <c r="M589" i="6"/>
  <c r="O589" i="6" s="1"/>
  <c r="L589" i="6"/>
  <c r="K589" i="6"/>
  <c r="J589" i="6"/>
  <c r="F589" i="6"/>
  <c r="E589" i="6"/>
  <c r="D589" i="6"/>
  <c r="M588" i="6"/>
  <c r="O588" i="6" s="1"/>
  <c r="L588" i="6"/>
  <c r="N588" i="6" s="1"/>
  <c r="K588" i="6"/>
  <c r="J588" i="6"/>
  <c r="F588" i="6"/>
  <c r="E588" i="6"/>
  <c r="D588" i="6"/>
  <c r="N587" i="6"/>
  <c r="M587" i="6"/>
  <c r="O587" i="6" s="1"/>
  <c r="L587" i="6"/>
  <c r="K587" i="6"/>
  <c r="J587" i="6"/>
  <c r="F587" i="6"/>
  <c r="E587" i="6"/>
  <c r="D587" i="6"/>
  <c r="O586" i="6"/>
  <c r="M586" i="6"/>
  <c r="L586" i="6"/>
  <c r="N586" i="6" s="1"/>
  <c r="K586" i="6"/>
  <c r="J586" i="6"/>
  <c r="O585" i="6"/>
  <c r="M585" i="6"/>
  <c r="L585" i="6"/>
  <c r="N585" i="6" s="1"/>
  <c r="K585" i="6"/>
  <c r="J585" i="6"/>
  <c r="O584" i="6"/>
  <c r="M584" i="6"/>
  <c r="L584" i="6"/>
  <c r="N584" i="6" s="1"/>
  <c r="K584" i="6"/>
  <c r="J584" i="6"/>
  <c r="M583" i="6"/>
  <c r="O583" i="6" s="1"/>
  <c r="L583" i="6"/>
  <c r="N583" i="6" s="1"/>
  <c r="K583" i="6"/>
  <c r="J583" i="6"/>
  <c r="F583" i="6"/>
  <c r="E583" i="6"/>
  <c r="D583" i="6"/>
  <c r="M582" i="6"/>
  <c r="O582" i="6" s="1"/>
  <c r="L582" i="6"/>
  <c r="N582" i="6" s="1"/>
  <c r="K582" i="6"/>
  <c r="J582" i="6"/>
  <c r="F582" i="6"/>
  <c r="E582" i="6"/>
  <c r="D582" i="6"/>
  <c r="O581" i="6"/>
  <c r="N581" i="6"/>
  <c r="M581" i="6"/>
  <c r="L581" i="6"/>
  <c r="K581" i="6"/>
  <c r="J581" i="6"/>
  <c r="F581" i="6"/>
  <c r="E581" i="6"/>
  <c r="D581" i="6"/>
  <c r="N580" i="6"/>
  <c r="M580" i="6"/>
  <c r="O580" i="6" s="1"/>
  <c r="L580" i="6"/>
  <c r="K580" i="6"/>
  <c r="J580" i="6"/>
  <c r="M579" i="6"/>
  <c r="O579" i="6" s="1"/>
  <c r="L579" i="6"/>
  <c r="N579" i="6" s="1"/>
  <c r="K579" i="6"/>
  <c r="J579" i="6"/>
  <c r="F579" i="6"/>
  <c r="E579" i="6"/>
  <c r="D579" i="6"/>
  <c r="M578" i="6"/>
  <c r="O578" i="6" s="1"/>
  <c r="L578" i="6"/>
  <c r="N578" i="6" s="1"/>
  <c r="K578" i="6"/>
  <c r="J578" i="6"/>
  <c r="F578" i="6"/>
  <c r="E578" i="6"/>
  <c r="D578" i="6"/>
  <c r="M577" i="6"/>
  <c r="O577" i="6" s="1"/>
  <c r="L577" i="6"/>
  <c r="N577" i="6" s="1"/>
  <c r="K577" i="6"/>
  <c r="J577" i="6"/>
  <c r="F577" i="6"/>
  <c r="E577" i="6"/>
  <c r="D577" i="6"/>
  <c r="O576" i="6"/>
  <c r="N576" i="6"/>
  <c r="M576" i="6"/>
  <c r="L576" i="6"/>
  <c r="K576" i="6"/>
  <c r="J576" i="6"/>
  <c r="F576" i="6"/>
  <c r="E576" i="6"/>
  <c r="D576" i="6"/>
  <c r="M575" i="6"/>
  <c r="O575" i="6" s="1"/>
  <c r="L575" i="6"/>
  <c r="N575" i="6" s="1"/>
  <c r="K575" i="6"/>
  <c r="J575" i="6"/>
  <c r="F575" i="6"/>
  <c r="E575" i="6"/>
  <c r="D575" i="6"/>
  <c r="M574" i="6"/>
  <c r="O574" i="6" s="1"/>
  <c r="L574" i="6"/>
  <c r="N574" i="6" s="1"/>
  <c r="K574" i="6"/>
  <c r="J574" i="6"/>
  <c r="F574" i="6"/>
  <c r="E574" i="6"/>
  <c r="D574" i="6"/>
  <c r="N573" i="6"/>
  <c r="M573" i="6"/>
  <c r="O573" i="6" s="1"/>
  <c r="L573" i="6"/>
  <c r="K573" i="6"/>
  <c r="J573" i="6"/>
  <c r="F573" i="6"/>
  <c r="E573" i="6"/>
  <c r="D573" i="6"/>
  <c r="M572" i="6"/>
  <c r="O572" i="6" s="1"/>
  <c r="L572" i="6"/>
  <c r="N572" i="6" s="1"/>
  <c r="K572" i="6"/>
  <c r="J572" i="6"/>
  <c r="F572" i="6"/>
  <c r="E572" i="6"/>
  <c r="D572" i="6"/>
  <c r="M571" i="6"/>
  <c r="O571" i="6" s="1"/>
  <c r="L571" i="6"/>
  <c r="N571" i="6" s="1"/>
  <c r="K571" i="6"/>
  <c r="J571" i="6"/>
  <c r="F571" i="6"/>
  <c r="E571" i="6"/>
  <c r="D571" i="6"/>
  <c r="M570" i="6"/>
  <c r="O570" i="6" s="1"/>
  <c r="L570" i="6"/>
  <c r="N570" i="6" s="1"/>
  <c r="K570" i="6"/>
  <c r="J570" i="6"/>
  <c r="F570" i="6"/>
  <c r="E570" i="6"/>
  <c r="D570" i="6"/>
  <c r="O569" i="6"/>
  <c r="M569" i="6"/>
  <c r="L569" i="6"/>
  <c r="N569" i="6" s="1"/>
  <c r="K569" i="6"/>
  <c r="J569" i="6"/>
  <c r="F569" i="6"/>
  <c r="E569" i="6"/>
  <c r="D569" i="6"/>
  <c r="O568" i="6"/>
  <c r="N568" i="6"/>
  <c r="M568" i="6"/>
  <c r="L568" i="6"/>
  <c r="K568" i="6"/>
  <c r="J568" i="6"/>
  <c r="F568" i="6"/>
  <c r="E568" i="6"/>
  <c r="D568" i="6"/>
  <c r="O567" i="6"/>
  <c r="M567" i="6"/>
  <c r="L567" i="6"/>
  <c r="N567" i="6" s="1"/>
  <c r="K567" i="6"/>
  <c r="J567" i="6"/>
  <c r="F567" i="6"/>
  <c r="E567" i="6"/>
  <c r="D567" i="6"/>
  <c r="O566" i="6"/>
  <c r="M566" i="6"/>
  <c r="L566" i="6"/>
  <c r="N566" i="6" s="1"/>
  <c r="K566" i="6"/>
  <c r="J566" i="6"/>
  <c r="F566" i="6"/>
  <c r="E566" i="6"/>
  <c r="D566" i="6"/>
  <c r="M565" i="6"/>
  <c r="O565" i="6" s="1"/>
  <c r="L565" i="6"/>
  <c r="N565" i="6" s="1"/>
  <c r="K565" i="6"/>
  <c r="J565" i="6"/>
  <c r="F565" i="6"/>
  <c r="E565" i="6"/>
  <c r="D565" i="6"/>
  <c r="M564" i="6"/>
  <c r="O564" i="6" s="1"/>
  <c r="L564" i="6"/>
  <c r="N564" i="6" s="1"/>
  <c r="K564" i="6"/>
  <c r="J564" i="6"/>
  <c r="F564" i="6"/>
  <c r="E564" i="6"/>
  <c r="D564" i="6"/>
  <c r="M563" i="6"/>
  <c r="O563" i="6" s="1"/>
  <c r="L563" i="6"/>
  <c r="N563" i="6" s="1"/>
  <c r="K563" i="6"/>
  <c r="J563" i="6"/>
  <c r="F563" i="6"/>
  <c r="E563" i="6"/>
  <c r="D563" i="6"/>
  <c r="O562" i="6"/>
  <c r="M562" i="6"/>
  <c r="L562" i="6"/>
  <c r="N562" i="6" s="1"/>
  <c r="K562" i="6"/>
  <c r="J562" i="6"/>
  <c r="F562" i="6"/>
  <c r="E562" i="6"/>
  <c r="D562" i="6"/>
  <c r="M561" i="6"/>
  <c r="O561" i="6" s="1"/>
  <c r="L561" i="6"/>
  <c r="N561" i="6" s="1"/>
  <c r="K561" i="6"/>
  <c r="J561" i="6"/>
  <c r="F561" i="6"/>
  <c r="E561" i="6"/>
  <c r="D561" i="6"/>
  <c r="M560" i="6"/>
  <c r="O560" i="6" s="1"/>
  <c r="L560" i="6"/>
  <c r="N560" i="6" s="1"/>
  <c r="K560" i="6"/>
  <c r="J560" i="6"/>
  <c r="F560" i="6"/>
  <c r="E560" i="6"/>
  <c r="D560" i="6"/>
  <c r="O559" i="6"/>
  <c r="N559" i="6"/>
  <c r="M559" i="6"/>
  <c r="L559" i="6"/>
  <c r="K559" i="6"/>
  <c r="J559" i="6"/>
  <c r="F559" i="6"/>
  <c r="E559" i="6"/>
  <c r="D559" i="6"/>
  <c r="M558" i="6"/>
  <c r="O558" i="6" s="1"/>
  <c r="L558" i="6"/>
  <c r="N558" i="6" s="1"/>
  <c r="K558" i="6"/>
  <c r="J558" i="6"/>
  <c r="F558" i="6"/>
  <c r="E558" i="6"/>
  <c r="D558" i="6"/>
  <c r="M557" i="6"/>
  <c r="O557" i="6" s="1"/>
  <c r="L557" i="6"/>
  <c r="N557" i="6" s="1"/>
  <c r="K557" i="6"/>
  <c r="J557" i="6"/>
  <c r="F557" i="6"/>
  <c r="E557" i="6"/>
  <c r="D557" i="6"/>
  <c r="M556" i="6"/>
  <c r="O556" i="6" s="1"/>
  <c r="L556" i="6"/>
  <c r="N556" i="6" s="1"/>
  <c r="K556" i="6"/>
  <c r="J556" i="6"/>
  <c r="O555" i="6"/>
  <c r="M555" i="6"/>
  <c r="L555" i="6"/>
  <c r="N555" i="6" s="1"/>
  <c r="K555" i="6"/>
  <c r="J555" i="6"/>
  <c r="F555" i="6"/>
  <c r="E555" i="6"/>
  <c r="D555" i="6"/>
  <c r="M554" i="6"/>
  <c r="O554" i="6" s="1"/>
  <c r="L554" i="6"/>
  <c r="N554" i="6" s="1"/>
  <c r="K554" i="6"/>
  <c r="J554" i="6"/>
  <c r="F554" i="6"/>
  <c r="E554" i="6"/>
  <c r="D554" i="6"/>
  <c r="M553" i="6"/>
  <c r="O553" i="6" s="1"/>
  <c r="L553" i="6"/>
  <c r="N553" i="6" s="1"/>
  <c r="K553" i="6"/>
  <c r="J553" i="6"/>
  <c r="F553" i="6"/>
  <c r="E553" i="6"/>
  <c r="D553" i="6"/>
  <c r="O552" i="6"/>
  <c r="N552" i="6"/>
  <c r="M552" i="6"/>
  <c r="L552" i="6"/>
  <c r="K552" i="6"/>
  <c r="J552" i="6"/>
  <c r="F552" i="6"/>
  <c r="E552" i="6"/>
  <c r="D552" i="6"/>
  <c r="M551" i="6"/>
  <c r="O551" i="6" s="1"/>
  <c r="L551" i="6"/>
  <c r="N551" i="6" s="1"/>
  <c r="K551" i="6"/>
  <c r="J551" i="6"/>
  <c r="N550" i="6"/>
  <c r="M550" i="6"/>
  <c r="O550" i="6" s="1"/>
  <c r="L550" i="6"/>
  <c r="K550" i="6"/>
  <c r="J550" i="6"/>
  <c r="M549" i="6"/>
  <c r="O549" i="6" s="1"/>
  <c r="L549" i="6"/>
  <c r="N549" i="6" s="1"/>
  <c r="K549" i="6"/>
  <c r="J549" i="6"/>
  <c r="M548" i="6"/>
  <c r="O548" i="6" s="1"/>
  <c r="L548" i="6"/>
  <c r="N548" i="6" s="1"/>
  <c r="K548" i="6"/>
  <c r="J548" i="6"/>
  <c r="M547" i="6"/>
  <c r="O547" i="6" s="1"/>
  <c r="L547" i="6"/>
  <c r="N547" i="6" s="1"/>
  <c r="K547" i="6"/>
  <c r="J547" i="6"/>
  <c r="N546" i="6"/>
  <c r="M546" i="6"/>
  <c r="O546" i="6" s="1"/>
  <c r="L546" i="6"/>
  <c r="K546" i="6"/>
  <c r="J546" i="6"/>
  <c r="M545" i="6"/>
  <c r="O545" i="6" s="1"/>
  <c r="L545" i="6"/>
  <c r="N545" i="6" s="1"/>
  <c r="K545" i="6"/>
  <c r="J545" i="6"/>
  <c r="M544" i="6"/>
  <c r="O544" i="6" s="1"/>
  <c r="L544" i="6"/>
  <c r="N544" i="6" s="1"/>
  <c r="K544" i="6"/>
  <c r="J544" i="6"/>
  <c r="O543" i="6"/>
  <c r="M543" i="6"/>
  <c r="L543" i="6"/>
  <c r="N543" i="6" s="1"/>
  <c r="K543" i="6"/>
  <c r="J543" i="6"/>
  <c r="F543" i="6"/>
  <c r="E543" i="6"/>
  <c r="D543" i="6"/>
  <c r="M542" i="6"/>
  <c r="O542" i="6" s="1"/>
  <c r="L542" i="6"/>
  <c r="N542" i="6" s="1"/>
  <c r="K542" i="6"/>
  <c r="J542" i="6"/>
  <c r="F542" i="6"/>
  <c r="E542" i="6"/>
  <c r="D542" i="6"/>
  <c r="O541" i="6"/>
  <c r="M541" i="6"/>
  <c r="L541" i="6"/>
  <c r="N541" i="6" s="1"/>
  <c r="K541" i="6"/>
  <c r="J541" i="6"/>
  <c r="F541" i="6"/>
  <c r="E541" i="6"/>
  <c r="D541" i="6"/>
  <c r="M540" i="6"/>
  <c r="O540" i="6" s="1"/>
  <c r="L540" i="6"/>
  <c r="N540" i="6" s="1"/>
  <c r="K540" i="6"/>
  <c r="J540" i="6"/>
  <c r="M539" i="6"/>
  <c r="O539" i="6" s="1"/>
  <c r="L539" i="6"/>
  <c r="N539" i="6" s="1"/>
  <c r="K539" i="6"/>
  <c r="J539" i="6"/>
  <c r="N538" i="6"/>
  <c r="M538" i="6"/>
  <c r="O538" i="6" s="1"/>
  <c r="L538" i="6"/>
  <c r="K538" i="6"/>
  <c r="J538" i="6"/>
  <c r="M537" i="6"/>
  <c r="O537" i="6" s="1"/>
  <c r="L537" i="6"/>
  <c r="N537" i="6" s="1"/>
  <c r="K537" i="6"/>
  <c r="J537" i="6"/>
  <c r="M536" i="6"/>
  <c r="O536" i="6" s="1"/>
  <c r="L536" i="6"/>
  <c r="N536" i="6" s="1"/>
  <c r="K536" i="6"/>
  <c r="J536" i="6"/>
  <c r="F536" i="6"/>
  <c r="E536" i="6"/>
  <c r="D536" i="6"/>
  <c r="M535" i="6"/>
  <c r="O535" i="6" s="1"/>
  <c r="L535" i="6"/>
  <c r="N535" i="6" s="1"/>
  <c r="K535" i="6"/>
  <c r="J535" i="6"/>
  <c r="F535" i="6"/>
  <c r="E535" i="6"/>
  <c r="D535" i="6"/>
  <c r="M534" i="6"/>
  <c r="O534" i="6" s="1"/>
  <c r="L534" i="6"/>
  <c r="N534" i="6" s="1"/>
  <c r="G534" i="6" s="1"/>
  <c r="K534" i="6"/>
  <c r="J534" i="6"/>
  <c r="F534" i="6"/>
  <c r="E534" i="6"/>
  <c r="D534" i="6"/>
  <c r="N533" i="6"/>
  <c r="M533" i="6"/>
  <c r="O533" i="6" s="1"/>
  <c r="L533" i="6"/>
  <c r="K533" i="6"/>
  <c r="J533" i="6"/>
  <c r="F533" i="6"/>
  <c r="E533" i="6"/>
  <c r="D533" i="6"/>
  <c r="N532" i="6"/>
  <c r="M532" i="6"/>
  <c r="O532" i="6" s="1"/>
  <c r="L532" i="6"/>
  <c r="K532" i="6"/>
  <c r="J532" i="6"/>
  <c r="F532" i="6"/>
  <c r="E532" i="6"/>
  <c r="D532" i="6"/>
  <c r="N531" i="6"/>
  <c r="M531" i="6"/>
  <c r="O531" i="6" s="1"/>
  <c r="L531" i="6"/>
  <c r="K531" i="6"/>
  <c r="J531" i="6"/>
  <c r="F531" i="6"/>
  <c r="E531" i="6"/>
  <c r="D531" i="6"/>
  <c r="M530" i="6"/>
  <c r="O530" i="6" s="1"/>
  <c r="L530" i="6"/>
  <c r="N530" i="6" s="1"/>
  <c r="K530" i="6"/>
  <c r="J530" i="6"/>
  <c r="F530" i="6"/>
  <c r="E530" i="6"/>
  <c r="D530" i="6"/>
  <c r="M529" i="6"/>
  <c r="O529" i="6" s="1"/>
  <c r="L529" i="6"/>
  <c r="N529" i="6" s="1"/>
  <c r="K529" i="6"/>
  <c r="J529" i="6"/>
  <c r="F529" i="6"/>
  <c r="E529" i="6"/>
  <c r="D529" i="6"/>
  <c r="N528" i="6"/>
  <c r="M528" i="6"/>
  <c r="O528" i="6" s="1"/>
  <c r="L528" i="6"/>
  <c r="K528" i="6"/>
  <c r="J528" i="6"/>
  <c r="F528" i="6"/>
  <c r="E528" i="6"/>
  <c r="D528" i="6"/>
  <c r="M527" i="6"/>
  <c r="O527" i="6" s="1"/>
  <c r="L527" i="6"/>
  <c r="N527" i="6" s="1"/>
  <c r="K527" i="6"/>
  <c r="J527" i="6"/>
  <c r="N526" i="6"/>
  <c r="M526" i="6"/>
  <c r="O526" i="6" s="1"/>
  <c r="L526" i="6"/>
  <c r="K526" i="6"/>
  <c r="J526" i="6"/>
  <c r="F526" i="6"/>
  <c r="E526" i="6"/>
  <c r="D526" i="6"/>
  <c r="M525" i="6"/>
  <c r="O525" i="6" s="1"/>
  <c r="L525" i="6"/>
  <c r="N525" i="6" s="1"/>
  <c r="K525" i="6"/>
  <c r="J525" i="6"/>
  <c r="F525" i="6"/>
  <c r="E525" i="6"/>
  <c r="D525" i="6"/>
  <c r="M524" i="6"/>
  <c r="O524" i="6" s="1"/>
  <c r="L524" i="6"/>
  <c r="N524" i="6" s="1"/>
  <c r="K524" i="6"/>
  <c r="J524" i="6"/>
  <c r="M523" i="6"/>
  <c r="O523" i="6" s="1"/>
  <c r="L523" i="6"/>
  <c r="N523" i="6" s="1"/>
  <c r="K523" i="6"/>
  <c r="J523" i="6"/>
  <c r="N522" i="6"/>
  <c r="M522" i="6"/>
  <c r="O522" i="6" s="1"/>
  <c r="L522" i="6"/>
  <c r="K522" i="6"/>
  <c r="J522" i="6"/>
  <c r="M521" i="6"/>
  <c r="O521" i="6" s="1"/>
  <c r="L521" i="6"/>
  <c r="N521" i="6" s="1"/>
  <c r="K521" i="6"/>
  <c r="J521" i="6"/>
  <c r="M520" i="6"/>
  <c r="O520" i="6" s="1"/>
  <c r="L520" i="6"/>
  <c r="N520" i="6" s="1"/>
  <c r="K520" i="6"/>
  <c r="J520" i="6"/>
  <c r="M519" i="6"/>
  <c r="O519" i="6" s="1"/>
  <c r="L519" i="6"/>
  <c r="N519" i="6" s="1"/>
  <c r="K519" i="6"/>
  <c r="J519" i="6"/>
  <c r="M518" i="6"/>
  <c r="O518" i="6" s="1"/>
  <c r="L518" i="6"/>
  <c r="N518" i="6" s="1"/>
  <c r="K518" i="6"/>
  <c r="J518" i="6"/>
  <c r="M517" i="6"/>
  <c r="O517" i="6" s="1"/>
  <c r="L517" i="6"/>
  <c r="N517" i="6" s="1"/>
  <c r="K517" i="6"/>
  <c r="J517" i="6"/>
  <c r="F517" i="6"/>
  <c r="E517" i="6"/>
  <c r="D517" i="6"/>
  <c r="M516" i="6"/>
  <c r="O516" i="6" s="1"/>
  <c r="L516" i="6"/>
  <c r="N516" i="6" s="1"/>
  <c r="K516" i="6"/>
  <c r="J516" i="6"/>
  <c r="F516" i="6"/>
  <c r="E516" i="6"/>
  <c r="D516" i="6"/>
  <c r="M515" i="6"/>
  <c r="O515" i="6" s="1"/>
  <c r="L515" i="6"/>
  <c r="N515" i="6" s="1"/>
  <c r="K515" i="6"/>
  <c r="J515" i="6"/>
  <c r="F515" i="6"/>
  <c r="E515" i="6"/>
  <c r="D515" i="6"/>
  <c r="O514" i="6"/>
  <c r="N514" i="6"/>
  <c r="M514" i="6"/>
  <c r="L514" i="6"/>
  <c r="K514" i="6"/>
  <c r="J514" i="6"/>
  <c r="F514" i="6"/>
  <c r="E514" i="6"/>
  <c r="D514" i="6"/>
  <c r="M513" i="6"/>
  <c r="O513" i="6" s="1"/>
  <c r="L513" i="6"/>
  <c r="N513" i="6" s="1"/>
  <c r="K513" i="6"/>
  <c r="J513" i="6"/>
  <c r="F513" i="6"/>
  <c r="E513" i="6"/>
  <c r="D513" i="6"/>
  <c r="M512" i="6"/>
  <c r="O512" i="6" s="1"/>
  <c r="L512" i="6"/>
  <c r="N512" i="6" s="1"/>
  <c r="K512" i="6"/>
  <c r="J512" i="6"/>
  <c r="M511" i="6"/>
  <c r="O511" i="6" s="1"/>
  <c r="L511" i="6"/>
  <c r="N511" i="6" s="1"/>
  <c r="K511" i="6"/>
  <c r="J511" i="6"/>
  <c r="M510" i="6"/>
  <c r="O510" i="6" s="1"/>
  <c r="L510" i="6"/>
  <c r="N510" i="6" s="1"/>
  <c r="K510" i="6"/>
  <c r="J510" i="6"/>
  <c r="M509" i="6"/>
  <c r="O509" i="6" s="1"/>
  <c r="L509" i="6"/>
  <c r="N509" i="6" s="1"/>
  <c r="K509" i="6"/>
  <c r="J509" i="6"/>
  <c r="N508" i="6"/>
  <c r="M508" i="6"/>
  <c r="O508" i="6" s="1"/>
  <c r="L508" i="6"/>
  <c r="K508" i="6"/>
  <c r="J508" i="6"/>
  <c r="M507" i="6"/>
  <c r="O507" i="6" s="1"/>
  <c r="L507" i="6"/>
  <c r="N507" i="6" s="1"/>
  <c r="K507" i="6"/>
  <c r="J507" i="6"/>
  <c r="M506" i="6"/>
  <c r="O506" i="6" s="1"/>
  <c r="L506" i="6"/>
  <c r="N506" i="6" s="1"/>
  <c r="K506" i="6"/>
  <c r="J506" i="6"/>
  <c r="F506" i="6"/>
  <c r="E506" i="6"/>
  <c r="D506" i="6"/>
  <c r="M505" i="6"/>
  <c r="O505" i="6" s="1"/>
  <c r="L505" i="6"/>
  <c r="N505" i="6" s="1"/>
  <c r="K505" i="6"/>
  <c r="J505" i="6"/>
  <c r="F505" i="6"/>
  <c r="E505" i="6"/>
  <c r="D505" i="6"/>
  <c r="N504" i="6"/>
  <c r="M504" i="6"/>
  <c r="O504" i="6" s="1"/>
  <c r="L504" i="6"/>
  <c r="K504" i="6"/>
  <c r="J504" i="6"/>
  <c r="F504" i="6"/>
  <c r="E504" i="6"/>
  <c r="D504" i="6"/>
  <c r="N503" i="6"/>
  <c r="M503" i="6"/>
  <c r="O503" i="6" s="1"/>
  <c r="L503" i="6"/>
  <c r="K503" i="6"/>
  <c r="J503" i="6"/>
  <c r="M502" i="6"/>
  <c r="O502" i="6" s="1"/>
  <c r="L502" i="6"/>
  <c r="N502" i="6" s="1"/>
  <c r="K502" i="6"/>
  <c r="J502" i="6"/>
  <c r="F502" i="6"/>
  <c r="E502" i="6"/>
  <c r="D502" i="6"/>
  <c r="M501" i="6"/>
  <c r="O501" i="6" s="1"/>
  <c r="L501" i="6"/>
  <c r="N501" i="6" s="1"/>
  <c r="K501" i="6"/>
  <c r="J501" i="6"/>
  <c r="F501" i="6"/>
  <c r="E501" i="6"/>
  <c r="D501" i="6"/>
  <c r="M500" i="6"/>
  <c r="O500" i="6" s="1"/>
  <c r="L500" i="6"/>
  <c r="N500" i="6" s="1"/>
  <c r="K500" i="6"/>
  <c r="J500" i="6"/>
  <c r="F500" i="6"/>
  <c r="E500" i="6"/>
  <c r="D500" i="6"/>
  <c r="N499" i="6"/>
  <c r="M499" i="6"/>
  <c r="O499" i="6" s="1"/>
  <c r="L499" i="6"/>
  <c r="K499" i="6"/>
  <c r="J499" i="6"/>
  <c r="F499" i="6"/>
  <c r="E499" i="6"/>
  <c r="D499" i="6"/>
  <c r="O498" i="6"/>
  <c r="N498" i="6"/>
  <c r="G498" i="6" s="1"/>
  <c r="M498" i="6"/>
  <c r="L498" i="6"/>
  <c r="K498" i="6"/>
  <c r="J498" i="6"/>
  <c r="F498" i="6"/>
  <c r="E498" i="6"/>
  <c r="D498" i="6"/>
  <c r="M497" i="6"/>
  <c r="O497" i="6" s="1"/>
  <c r="L497" i="6"/>
  <c r="N497" i="6" s="1"/>
  <c r="K497" i="6"/>
  <c r="J497" i="6"/>
  <c r="F497" i="6"/>
  <c r="E497" i="6"/>
  <c r="D497" i="6"/>
  <c r="N496" i="6"/>
  <c r="M496" i="6"/>
  <c r="O496" i="6" s="1"/>
  <c r="L496" i="6"/>
  <c r="K496" i="6"/>
  <c r="J496" i="6"/>
  <c r="F496" i="6"/>
  <c r="E496" i="6"/>
  <c r="D496" i="6"/>
  <c r="M495" i="6"/>
  <c r="O495" i="6" s="1"/>
  <c r="L495" i="6"/>
  <c r="N495" i="6" s="1"/>
  <c r="K495" i="6"/>
  <c r="J495" i="6"/>
  <c r="F495" i="6"/>
  <c r="E495" i="6"/>
  <c r="D495" i="6"/>
  <c r="M494" i="6"/>
  <c r="O494" i="6" s="1"/>
  <c r="L494" i="6"/>
  <c r="N494" i="6" s="1"/>
  <c r="K494" i="6"/>
  <c r="J494" i="6"/>
  <c r="F494" i="6"/>
  <c r="E494" i="6"/>
  <c r="D494" i="6"/>
  <c r="M493" i="6"/>
  <c r="O493" i="6" s="1"/>
  <c r="L493" i="6"/>
  <c r="N493" i="6" s="1"/>
  <c r="K493" i="6"/>
  <c r="J493" i="6"/>
  <c r="F493" i="6"/>
  <c r="E493" i="6"/>
  <c r="D493" i="6"/>
  <c r="M492" i="6"/>
  <c r="O492" i="6" s="1"/>
  <c r="L492" i="6"/>
  <c r="N492" i="6" s="1"/>
  <c r="K492" i="6"/>
  <c r="J492" i="6"/>
  <c r="F492" i="6"/>
  <c r="E492" i="6"/>
  <c r="D492" i="6"/>
  <c r="M491" i="6"/>
  <c r="O491" i="6" s="1"/>
  <c r="L491" i="6"/>
  <c r="N491" i="6" s="1"/>
  <c r="K491" i="6"/>
  <c r="J491" i="6"/>
  <c r="F491" i="6"/>
  <c r="E491" i="6"/>
  <c r="D491" i="6"/>
  <c r="M490" i="6"/>
  <c r="O490" i="6" s="1"/>
  <c r="L490" i="6"/>
  <c r="N490" i="6" s="1"/>
  <c r="K490" i="6"/>
  <c r="J490" i="6"/>
  <c r="F490" i="6"/>
  <c r="E490" i="6"/>
  <c r="D490" i="6"/>
  <c r="N489" i="6"/>
  <c r="M489" i="6"/>
  <c r="O489" i="6" s="1"/>
  <c r="L489" i="6"/>
  <c r="K489" i="6"/>
  <c r="J489" i="6"/>
  <c r="F489" i="6"/>
  <c r="E489" i="6"/>
  <c r="D489" i="6"/>
  <c r="M488" i="6"/>
  <c r="O488" i="6" s="1"/>
  <c r="L488" i="6"/>
  <c r="N488" i="6" s="1"/>
  <c r="G488" i="6" s="1"/>
  <c r="C488" i="6" s="1"/>
  <c r="K488" i="6"/>
  <c r="J488" i="6"/>
  <c r="F488" i="6"/>
  <c r="E488" i="6"/>
  <c r="D488" i="6"/>
  <c r="M487" i="6"/>
  <c r="O487" i="6" s="1"/>
  <c r="L487" i="6"/>
  <c r="N487" i="6" s="1"/>
  <c r="K487" i="6"/>
  <c r="J487" i="6"/>
  <c r="M486" i="6"/>
  <c r="O486" i="6" s="1"/>
  <c r="L486" i="6"/>
  <c r="N486" i="6" s="1"/>
  <c r="K486" i="6"/>
  <c r="J486" i="6"/>
  <c r="F486" i="6"/>
  <c r="E486" i="6"/>
  <c r="D486" i="6"/>
  <c r="M485" i="6"/>
  <c r="O485" i="6" s="1"/>
  <c r="L485" i="6"/>
  <c r="N485" i="6" s="1"/>
  <c r="K485" i="6"/>
  <c r="J485" i="6"/>
  <c r="M484" i="6"/>
  <c r="O484" i="6" s="1"/>
  <c r="L484" i="6"/>
  <c r="N484" i="6" s="1"/>
  <c r="K484" i="6"/>
  <c r="J484" i="6"/>
  <c r="M483" i="6"/>
  <c r="O483" i="6" s="1"/>
  <c r="L483" i="6"/>
  <c r="N483" i="6" s="1"/>
  <c r="K483" i="6"/>
  <c r="J483" i="6"/>
  <c r="F483" i="6"/>
  <c r="E483" i="6"/>
  <c r="D483" i="6"/>
  <c r="M482" i="6"/>
  <c r="O482" i="6" s="1"/>
  <c r="L482" i="6"/>
  <c r="N482" i="6" s="1"/>
  <c r="K482" i="6"/>
  <c r="J482" i="6"/>
  <c r="F482" i="6"/>
  <c r="E482" i="6"/>
  <c r="D482" i="6"/>
  <c r="M481" i="6"/>
  <c r="O481" i="6" s="1"/>
  <c r="L481" i="6"/>
  <c r="N481" i="6" s="1"/>
  <c r="K481" i="6"/>
  <c r="J481" i="6"/>
  <c r="F481" i="6"/>
  <c r="E481" i="6"/>
  <c r="D481" i="6"/>
  <c r="M480" i="6"/>
  <c r="O480" i="6" s="1"/>
  <c r="L480" i="6"/>
  <c r="N480" i="6" s="1"/>
  <c r="K480" i="6"/>
  <c r="J480" i="6"/>
  <c r="F480" i="6"/>
  <c r="E480" i="6"/>
  <c r="D480" i="6"/>
  <c r="M479" i="6"/>
  <c r="O479" i="6" s="1"/>
  <c r="L479" i="6"/>
  <c r="N479" i="6" s="1"/>
  <c r="K479" i="6"/>
  <c r="J479" i="6"/>
  <c r="F479" i="6"/>
  <c r="E479" i="6"/>
  <c r="D479" i="6"/>
  <c r="M478" i="6"/>
  <c r="O478" i="6" s="1"/>
  <c r="L478" i="6"/>
  <c r="N478" i="6" s="1"/>
  <c r="K478" i="6"/>
  <c r="J478" i="6"/>
  <c r="F478" i="6"/>
  <c r="E478" i="6"/>
  <c r="D478" i="6"/>
  <c r="M477" i="6"/>
  <c r="O477" i="6" s="1"/>
  <c r="L477" i="6"/>
  <c r="N477" i="6" s="1"/>
  <c r="K477" i="6"/>
  <c r="J477" i="6"/>
  <c r="F477" i="6"/>
  <c r="E477" i="6"/>
  <c r="D477" i="6"/>
  <c r="M476" i="6"/>
  <c r="O476" i="6" s="1"/>
  <c r="L476" i="6"/>
  <c r="N476" i="6" s="1"/>
  <c r="K476" i="6"/>
  <c r="J476" i="6"/>
  <c r="F476" i="6"/>
  <c r="E476" i="6"/>
  <c r="D476" i="6"/>
  <c r="N475" i="6"/>
  <c r="M475" i="6"/>
  <c r="O475" i="6" s="1"/>
  <c r="L475" i="6"/>
  <c r="K475" i="6"/>
  <c r="J475" i="6"/>
  <c r="F475" i="6"/>
  <c r="E475" i="6"/>
  <c r="D475" i="6"/>
  <c r="N474" i="6"/>
  <c r="M474" i="6"/>
  <c r="O474" i="6" s="1"/>
  <c r="L474" i="6"/>
  <c r="K474" i="6"/>
  <c r="J474" i="6"/>
  <c r="F474" i="6"/>
  <c r="E474" i="6"/>
  <c r="D474" i="6"/>
  <c r="N473" i="6"/>
  <c r="M473" i="6"/>
  <c r="O473" i="6" s="1"/>
  <c r="L473" i="6"/>
  <c r="K473" i="6"/>
  <c r="J473" i="6"/>
  <c r="F473" i="6"/>
  <c r="E473" i="6"/>
  <c r="D473" i="6"/>
  <c r="N472" i="6"/>
  <c r="M472" i="6"/>
  <c r="O472" i="6" s="1"/>
  <c r="L472" i="6"/>
  <c r="K472" i="6"/>
  <c r="J472" i="6"/>
  <c r="F472" i="6"/>
  <c r="E472" i="6"/>
  <c r="D472" i="6"/>
  <c r="M471" i="6"/>
  <c r="O471" i="6" s="1"/>
  <c r="L471" i="6"/>
  <c r="N471" i="6" s="1"/>
  <c r="K471" i="6"/>
  <c r="J471" i="6"/>
  <c r="M470" i="6"/>
  <c r="O470" i="6" s="1"/>
  <c r="L470" i="6"/>
  <c r="N470" i="6" s="1"/>
  <c r="K470" i="6"/>
  <c r="J470" i="6"/>
  <c r="M469" i="6"/>
  <c r="O469" i="6" s="1"/>
  <c r="L469" i="6"/>
  <c r="N469" i="6" s="1"/>
  <c r="K469" i="6"/>
  <c r="J469" i="6"/>
  <c r="N468" i="6"/>
  <c r="M468" i="6"/>
  <c r="O468" i="6" s="1"/>
  <c r="L468" i="6"/>
  <c r="K468" i="6"/>
  <c r="J468" i="6"/>
  <c r="F468" i="6"/>
  <c r="E468" i="6"/>
  <c r="D468" i="6"/>
  <c r="M467" i="6"/>
  <c r="O467" i="6" s="1"/>
  <c r="L467" i="6"/>
  <c r="N467" i="6" s="1"/>
  <c r="K467" i="6"/>
  <c r="J467" i="6"/>
  <c r="F467" i="6"/>
  <c r="E467" i="6"/>
  <c r="D467" i="6"/>
  <c r="M466" i="6"/>
  <c r="O466" i="6" s="1"/>
  <c r="L466" i="6"/>
  <c r="N466" i="6" s="1"/>
  <c r="K466" i="6"/>
  <c r="J466" i="6"/>
  <c r="F466" i="6"/>
  <c r="E466" i="6"/>
  <c r="D466" i="6"/>
  <c r="O465" i="6"/>
  <c r="N465" i="6"/>
  <c r="M465" i="6"/>
  <c r="L465" i="6"/>
  <c r="K465" i="6"/>
  <c r="J465" i="6"/>
  <c r="F465" i="6"/>
  <c r="E465" i="6"/>
  <c r="D465" i="6"/>
  <c r="N464" i="6"/>
  <c r="M464" i="6"/>
  <c r="O464" i="6" s="1"/>
  <c r="L464" i="6"/>
  <c r="K464" i="6"/>
  <c r="J464" i="6"/>
  <c r="M463" i="6"/>
  <c r="O463" i="6" s="1"/>
  <c r="L463" i="6"/>
  <c r="N463" i="6" s="1"/>
  <c r="K463" i="6"/>
  <c r="J463" i="6"/>
  <c r="N462" i="6"/>
  <c r="M462" i="6"/>
  <c r="O462" i="6" s="1"/>
  <c r="L462" i="6"/>
  <c r="K462" i="6"/>
  <c r="J462" i="6"/>
  <c r="F462" i="6"/>
  <c r="E462" i="6"/>
  <c r="D462" i="6"/>
  <c r="M461" i="6"/>
  <c r="O461" i="6" s="1"/>
  <c r="L461" i="6"/>
  <c r="N461" i="6" s="1"/>
  <c r="K461" i="6"/>
  <c r="J461" i="6"/>
  <c r="F461" i="6"/>
  <c r="E461" i="6"/>
  <c r="D461" i="6"/>
  <c r="N460" i="6"/>
  <c r="M460" i="6"/>
  <c r="O460" i="6" s="1"/>
  <c r="L460" i="6"/>
  <c r="K460" i="6"/>
  <c r="J460" i="6"/>
  <c r="F460" i="6"/>
  <c r="E460" i="6"/>
  <c r="D460" i="6"/>
  <c r="M459" i="6"/>
  <c r="O459" i="6" s="1"/>
  <c r="L459" i="6"/>
  <c r="N459" i="6" s="1"/>
  <c r="K459" i="6"/>
  <c r="J459" i="6"/>
  <c r="M458" i="6"/>
  <c r="O458" i="6" s="1"/>
  <c r="L458" i="6"/>
  <c r="N458" i="6" s="1"/>
  <c r="K458" i="6"/>
  <c r="J458" i="6"/>
  <c r="F458" i="6"/>
  <c r="E458" i="6"/>
  <c r="D458" i="6"/>
  <c r="N457" i="6"/>
  <c r="M457" i="6"/>
  <c r="O457" i="6" s="1"/>
  <c r="L457" i="6"/>
  <c r="K457" i="6"/>
  <c r="J457" i="6"/>
  <c r="M456" i="6"/>
  <c r="O456" i="6" s="1"/>
  <c r="L456" i="6"/>
  <c r="N456" i="6" s="1"/>
  <c r="K456" i="6"/>
  <c r="J456" i="6"/>
  <c r="M455" i="6"/>
  <c r="O455" i="6" s="1"/>
  <c r="L455" i="6"/>
  <c r="N455" i="6" s="1"/>
  <c r="K455" i="6"/>
  <c r="J455" i="6"/>
  <c r="M454" i="6"/>
  <c r="O454" i="6" s="1"/>
  <c r="L454" i="6"/>
  <c r="N454" i="6" s="1"/>
  <c r="K454" i="6"/>
  <c r="J454" i="6"/>
  <c r="N453" i="6"/>
  <c r="M453" i="6"/>
  <c r="O453" i="6" s="1"/>
  <c r="L453" i="6"/>
  <c r="K453" i="6"/>
  <c r="J453" i="6"/>
  <c r="M452" i="6"/>
  <c r="O452" i="6" s="1"/>
  <c r="L452" i="6"/>
  <c r="N452" i="6" s="1"/>
  <c r="K452" i="6"/>
  <c r="J452" i="6"/>
  <c r="F452" i="6"/>
  <c r="E452" i="6"/>
  <c r="D452" i="6"/>
  <c r="O451" i="6"/>
  <c r="M451" i="6"/>
  <c r="L451" i="6"/>
  <c r="N451" i="6" s="1"/>
  <c r="K451" i="6"/>
  <c r="J451" i="6"/>
  <c r="F451" i="6"/>
  <c r="E451" i="6"/>
  <c r="D451" i="6"/>
  <c r="M450" i="6"/>
  <c r="O450" i="6" s="1"/>
  <c r="L450" i="6"/>
  <c r="N450" i="6" s="1"/>
  <c r="K450" i="6"/>
  <c r="J450" i="6"/>
  <c r="O449" i="6"/>
  <c r="M449" i="6"/>
  <c r="L449" i="6"/>
  <c r="N449" i="6" s="1"/>
  <c r="K449" i="6"/>
  <c r="J449" i="6"/>
  <c r="M448" i="6"/>
  <c r="O448" i="6" s="1"/>
  <c r="L448" i="6"/>
  <c r="N448" i="6" s="1"/>
  <c r="K448" i="6"/>
  <c r="J448" i="6"/>
  <c r="M447" i="6"/>
  <c r="O447" i="6" s="1"/>
  <c r="L447" i="6"/>
  <c r="N447" i="6" s="1"/>
  <c r="K447" i="6"/>
  <c r="J447" i="6"/>
  <c r="M446" i="6"/>
  <c r="O446" i="6" s="1"/>
  <c r="L446" i="6"/>
  <c r="N446" i="6" s="1"/>
  <c r="K446" i="6"/>
  <c r="J446" i="6"/>
  <c r="O445" i="6"/>
  <c r="M445" i="6"/>
  <c r="L445" i="6"/>
  <c r="N445" i="6" s="1"/>
  <c r="K445" i="6"/>
  <c r="J445" i="6"/>
  <c r="F445" i="6"/>
  <c r="E445" i="6"/>
  <c r="D445" i="6"/>
  <c r="M444" i="6"/>
  <c r="O444" i="6" s="1"/>
  <c r="L444" i="6"/>
  <c r="N444" i="6" s="1"/>
  <c r="K444" i="6"/>
  <c r="J444" i="6"/>
  <c r="F444" i="6"/>
  <c r="E444" i="6"/>
  <c r="D444" i="6"/>
  <c r="M443" i="6"/>
  <c r="O443" i="6" s="1"/>
  <c r="L443" i="6"/>
  <c r="N443" i="6" s="1"/>
  <c r="K443" i="6"/>
  <c r="J443" i="6"/>
  <c r="F443" i="6"/>
  <c r="E443" i="6"/>
  <c r="D443" i="6"/>
  <c r="M442" i="6"/>
  <c r="O442" i="6" s="1"/>
  <c r="L442" i="6"/>
  <c r="N442" i="6" s="1"/>
  <c r="K442" i="6"/>
  <c r="J442" i="6"/>
  <c r="F442" i="6"/>
  <c r="E442" i="6"/>
  <c r="D442" i="6"/>
  <c r="O441" i="6"/>
  <c r="M441" i="6"/>
  <c r="L441" i="6"/>
  <c r="N441" i="6" s="1"/>
  <c r="K441" i="6"/>
  <c r="J441" i="6"/>
  <c r="F441" i="6"/>
  <c r="E441" i="6"/>
  <c r="D441" i="6"/>
  <c r="N440" i="6"/>
  <c r="M440" i="6"/>
  <c r="O440" i="6" s="1"/>
  <c r="L440" i="6"/>
  <c r="K440" i="6"/>
  <c r="J440" i="6"/>
  <c r="F440" i="6"/>
  <c r="E440" i="6"/>
  <c r="D440" i="6"/>
  <c r="M439" i="6"/>
  <c r="O439" i="6" s="1"/>
  <c r="L439" i="6"/>
  <c r="N439" i="6" s="1"/>
  <c r="K439" i="6"/>
  <c r="J439" i="6"/>
  <c r="M438" i="6"/>
  <c r="O438" i="6" s="1"/>
  <c r="L438" i="6"/>
  <c r="N438" i="6" s="1"/>
  <c r="K438" i="6"/>
  <c r="J438" i="6"/>
  <c r="F438" i="6"/>
  <c r="E438" i="6"/>
  <c r="D438" i="6"/>
  <c r="M437" i="6"/>
  <c r="O437" i="6" s="1"/>
  <c r="L437" i="6"/>
  <c r="N437" i="6" s="1"/>
  <c r="K437" i="6"/>
  <c r="J437" i="6"/>
  <c r="F437" i="6"/>
  <c r="E437" i="6"/>
  <c r="D437" i="6"/>
  <c r="M436" i="6"/>
  <c r="O436" i="6" s="1"/>
  <c r="L436" i="6"/>
  <c r="N436" i="6" s="1"/>
  <c r="K436" i="6"/>
  <c r="J436" i="6"/>
  <c r="F436" i="6"/>
  <c r="E436" i="6"/>
  <c r="D436" i="6"/>
  <c r="M435" i="6"/>
  <c r="O435" i="6" s="1"/>
  <c r="L435" i="6"/>
  <c r="N435" i="6" s="1"/>
  <c r="K435" i="6"/>
  <c r="J435" i="6"/>
  <c r="M434" i="6"/>
  <c r="O434" i="6" s="1"/>
  <c r="L434" i="6"/>
  <c r="N434" i="6" s="1"/>
  <c r="K434" i="6"/>
  <c r="J434" i="6"/>
  <c r="M433" i="6"/>
  <c r="O433" i="6" s="1"/>
  <c r="L433" i="6"/>
  <c r="N433" i="6" s="1"/>
  <c r="K433" i="6"/>
  <c r="J433" i="6"/>
  <c r="M432" i="6"/>
  <c r="O432" i="6" s="1"/>
  <c r="L432" i="6"/>
  <c r="N432" i="6" s="1"/>
  <c r="K432" i="6"/>
  <c r="J432" i="6"/>
  <c r="M431" i="6"/>
  <c r="O431" i="6" s="1"/>
  <c r="L431" i="6"/>
  <c r="N431" i="6" s="1"/>
  <c r="K431" i="6"/>
  <c r="J431" i="6"/>
  <c r="M430" i="6"/>
  <c r="O430" i="6" s="1"/>
  <c r="L430" i="6"/>
  <c r="N430" i="6" s="1"/>
  <c r="K430" i="6"/>
  <c r="J430" i="6"/>
  <c r="O429" i="6"/>
  <c r="M429" i="6"/>
  <c r="L429" i="6"/>
  <c r="N429" i="6" s="1"/>
  <c r="K429" i="6"/>
  <c r="J429" i="6"/>
  <c r="F429" i="6"/>
  <c r="E429" i="6"/>
  <c r="D429" i="6"/>
  <c r="M428" i="6"/>
  <c r="O428" i="6" s="1"/>
  <c r="L428" i="6"/>
  <c r="N428" i="6" s="1"/>
  <c r="K428" i="6"/>
  <c r="J428" i="6"/>
  <c r="F428" i="6"/>
  <c r="E428" i="6"/>
  <c r="D428" i="6"/>
  <c r="M427" i="6"/>
  <c r="O427" i="6" s="1"/>
  <c r="L427" i="6"/>
  <c r="N427" i="6" s="1"/>
  <c r="K427" i="6"/>
  <c r="J427" i="6"/>
  <c r="F427" i="6"/>
  <c r="E427" i="6"/>
  <c r="D427" i="6"/>
  <c r="O426" i="6"/>
  <c r="M426" i="6"/>
  <c r="L426" i="6"/>
  <c r="N426" i="6" s="1"/>
  <c r="K426" i="6"/>
  <c r="J426" i="6"/>
  <c r="F426" i="6"/>
  <c r="E426" i="6"/>
  <c r="D426" i="6"/>
  <c r="M425" i="6"/>
  <c r="O425" i="6" s="1"/>
  <c r="L425" i="6"/>
  <c r="N425" i="6" s="1"/>
  <c r="K425" i="6"/>
  <c r="J425" i="6"/>
  <c r="O424" i="6"/>
  <c r="M424" i="6"/>
  <c r="L424" i="6"/>
  <c r="N424" i="6" s="1"/>
  <c r="K424" i="6"/>
  <c r="J424" i="6"/>
  <c r="M423" i="6"/>
  <c r="O423" i="6" s="1"/>
  <c r="L423" i="6"/>
  <c r="N423" i="6" s="1"/>
  <c r="K423" i="6"/>
  <c r="J423" i="6"/>
  <c r="F423" i="6"/>
  <c r="E423" i="6"/>
  <c r="D423" i="6"/>
  <c r="M422" i="6"/>
  <c r="O422" i="6" s="1"/>
  <c r="L422" i="6"/>
  <c r="N422" i="6" s="1"/>
  <c r="K422" i="6"/>
  <c r="J422" i="6"/>
  <c r="F422" i="6"/>
  <c r="E422" i="6"/>
  <c r="D422" i="6"/>
  <c r="M421" i="6"/>
  <c r="O421" i="6" s="1"/>
  <c r="L421" i="6"/>
  <c r="N421" i="6" s="1"/>
  <c r="K421" i="6"/>
  <c r="J421" i="6"/>
  <c r="F421" i="6"/>
  <c r="E421" i="6"/>
  <c r="D421" i="6"/>
  <c r="M420" i="6"/>
  <c r="O420" i="6" s="1"/>
  <c r="L420" i="6"/>
  <c r="N420" i="6" s="1"/>
  <c r="K420" i="6"/>
  <c r="J420" i="6"/>
  <c r="F420" i="6"/>
  <c r="E420" i="6"/>
  <c r="D420" i="6"/>
  <c r="M419" i="6"/>
  <c r="O419" i="6" s="1"/>
  <c r="L419" i="6"/>
  <c r="N419" i="6" s="1"/>
  <c r="K419" i="6"/>
  <c r="J419" i="6"/>
  <c r="F419" i="6"/>
  <c r="E419" i="6"/>
  <c r="D419" i="6"/>
  <c r="M418" i="6"/>
  <c r="O418" i="6" s="1"/>
  <c r="L418" i="6"/>
  <c r="N418" i="6" s="1"/>
  <c r="K418" i="6"/>
  <c r="J418" i="6"/>
  <c r="F418" i="6"/>
  <c r="E418" i="6"/>
  <c r="D418" i="6"/>
  <c r="M417" i="6"/>
  <c r="O417" i="6" s="1"/>
  <c r="L417" i="6"/>
  <c r="N417" i="6" s="1"/>
  <c r="K417" i="6"/>
  <c r="J417" i="6"/>
  <c r="F417" i="6"/>
  <c r="E417" i="6"/>
  <c r="D417" i="6"/>
  <c r="M416" i="6"/>
  <c r="O416" i="6" s="1"/>
  <c r="L416" i="6"/>
  <c r="N416" i="6" s="1"/>
  <c r="K416" i="6"/>
  <c r="J416" i="6"/>
  <c r="F416" i="6"/>
  <c r="E416" i="6"/>
  <c r="D416" i="6"/>
  <c r="M415" i="6"/>
  <c r="O415" i="6" s="1"/>
  <c r="L415" i="6"/>
  <c r="N415" i="6" s="1"/>
  <c r="K415" i="6"/>
  <c r="J415" i="6"/>
  <c r="F415" i="6"/>
  <c r="E415" i="6"/>
  <c r="D415" i="6"/>
  <c r="M414" i="6"/>
  <c r="O414" i="6" s="1"/>
  <c r="L414" i="6"/>
  <c r="N414" i="6" s="1"/>
  <c r="K414" i="6"/>
  <c r="J414" i="6"/>
  <c r="F414" i="6"/>
  <c r="E414" i="6"/>
  <c r="D414" i="6"/>
  <c r="N413" i="6"/>
  <c r="M413" i="6"/>
  <c r="O413" i="6" s="1"/>
  <c r="L413" i="6"/>
  <c r="K413" i="6"/>
  <c r="J413" i="6"/>
  <c r="F413" i="6"/>
  <c r="E413" i="6"/>
  <c r="D413" i="6"/>
  <c r="M412" i="6"/>
  <c r="O412" i="6" s="1"/>
  <c r="L412" i="6"/>
  <c r="N412" i="6" s="1"/>
  <c r="K412" i="6"/>
  <c r="J412" i="6"/>
  <c r="F412" i="6"/>
  <c r="E412" i="6"/>
  <c r="D412" i="6"/>
  <c r="O411" i="6"/>
  <c r="M411" i="6"/>
  <c r="L411" i="6"/>
  <c r="N411" i="6" s="1"/>
  <c r="K411" i="6"/>
  <c r="J411" i="6"/>
  <c r="F411" i="6"/>
  <c r="E411" i="6"/>
  <c r="D411" i="6"/>
  <c r="O410" i="6"/>
  <c r="N410" i="6"/>
  <c r="M410" i="6"/>
  <c r="L410" i="6"/>
  <c r="K410" i="6"/>
  <c r="J410" i="6"/>
  <c r="F410" i="6"/>
  <c r="E410" i="6"/>
  <c r="D410" i="6"/>
  <c r="M409" i="6"/>
  <c r="O409" i="6" s="1"/>
  <c r="L409" i="6"/>
  <c r="N409" i="6" s="1"/>
  <c r="K409" i="6"/>
  <c r="J409" i="6"/>
  <c r="F409" i="6"/>
  <c r="E409" i="6"/>
  <c r="D409" i="6"/>
  <c r="M408" i="6"/>
  <c r="O408" i="6" s="1"/>
  <c r="L408" i="6"/>
  <c r="N408" i="6" s="1"/>
  <c r="K408" i="6"/>
  <c r="J408" i="6"/>
  <c r="M407" i="6"/>
  <c r="O407" i="6" s="1"/>
  <c r="L407" i="6"/>
  <c r="N407" i="6" s="1"/>
  <c r="K407" i="6"/>
  <c r="J407" i="6"/>
  <c r="M406" i="6"/>
  <c r="O406" i="6" s="1"/>
  <c r="L406" i="6"/>
  <c r="N406" i="6" s="1"/>
  <c r="K406" i="6"/>
  <c r="J406" i="6"/>
  <c r="M405" i="6"/>
  <c r="O405" i="6" s="1"/>
  <c r="L405" i="6"/>
  <c r="N405" i="6" s="1"/>
  <c r="K405" i="6"/>
  <c r="J405" i="6"/>
  <c r="M404" i="6"/>
  <c r="O404" i="6" s="1"/>
  <c r="L404" i="6"/>
  <c r="N404" i="6" s="1"/>
  <c r="K404" i="6"/>
  <c r="J404" i="6"/>
  <c r="O403" i="6"/>
  <c r="M403" i="6"/>
  <c r="L403" i="6"/>
  <c r="N403" i="6" s="1"/>
  <c r="K403" i="6"/>
  <c r="J403" i="6"/>
  <c r="F403" i="6"/>
  <c r="E403" i="6"/>
  <c r="D403" i="6"/>
  <c r="M402" i="6"/>
  <c r="O402" i="6" s="1"/>
  <c r="L402" i="6"/>
  <c r="N402" i="6" s="1"/>
  <c r="K402" i="6"/>
  <c r="J402" i="6"/>
  <c r="F402" i="6"/>
  <c r="E402" i="6"/>
  <c r="D402" i="6"/>
  <c r="M401" i="6"/>
  <c r="O401" i="6" s="1"/>
  <c r="L401" i="6"/>
  <c r="N401" i="6" s="1"/>
  <c r="K401" i="6"/>
  <c r="J401" i="6"/>
  <c r="M400" i="6"/>
  <c r="O400" i="6" s="1"/>
  <c r="L400" i="6"/>
  <c r="N400" i="6" s="1"/>
  <c r="K400" i="6"/>
  <c r="J400" i="6"/>
  <c r="M399" i="6"/>
  <c r="O399" i="6" s="1"/>
  <c r="L399" i="6"/>
  <c r="N399" i="6" s="1"/>
  <c r="K399" i="6"/>
  <c r="J399" i="6"/>
  <c r="N398" i="6"/>
  <c r="M398" i="6"/>
  <c r="O398" i="6" s="1"/>
  <c r="L398" i="6"/>
  <c r="K398" i="6"/>
  <c r="J398" i="6"/>
  <c r="M397" i="6"/>
  <c r="O397" i="6" s="1"/>
  <c r="L397" i="6"/>
  <c r="N397" i="6" s="1"/>
  <c r="K397" i="6"/>
  <c r="J397" i="6"/>
  <c r="M396" i="6"/>
  <c r="O396" i="6" s="1"/>
  <c r="L396" i="6"/>
  <c r="N396" i="6" s="1"/>
  <c r="K396" i="6"/>
  <c r="J396" i="6"/>
  <c r="M395" i="6"/>
  <c r="O395" i="6" s="1"/>
  <c r="L395" i="6"/>
  <c r="N395" i="6" s="1"/>
  <c r="K395" i="6"/>
  <c r="J395" i="6"/>
  <c r="F395" i="6"/>
  <c r="E395" i="6"/>
  <c r="D395" i="6"/>
  <c r="M394" i="6"/>
  <c r="O394" i="6" s="1"/>
  <c r="L394" i="6"/>
  <c r="N394" i="6" s="1"/>
  <c r="K394" i="6"/>
  <c r="J394" i="6"/>
  <c r="F394" i="6"/>
  <c r="E394" i="6"/>
  <c r="D394" i="6"/>
  <c r="M393" i="6"/>
  <c r="O393" i="6" s="1"/>
  <c r="L393" i="6"/>
  <c r="N393" i="6" s="1"/>
  <c r="K393" i="6"/>
  <c r="J393" i="6"/>
  <c r="F393" i="6"/>
  <c r="E393" i="6"/>
  <c r="D393" i="6"/>
  <c r="M392" i="6"/>
  <c r="O392" i="6" s="1"/>
  <c r="L392" i="6"/>
  <c r="N392" i="6" s="1"/>
  <c r="K392" i="6"/>
  <c r="J392" i="6"/>
  <c r="F392" i="6"/>
  <c r="E392" i="6"/>
  <c r="D392" i="6"/>
  <c r="M391" i="6"/>
  <c r="O391" i="6" s="1"/>
  <c r="L391" i="6"/>
  <c r="N391" i="6" s="1"/>
  <c r="K391" i="6"/>
  <c r="J391" i="6"/>
  <c r="F391" i="6"/>
  <c r="E391" i="6"/>
  <c r="D391" i="6"/>
  <c r="M390" i="6"/>
  <c r="O390" i="6" s="1"/>
  <c r="L390" i="6"/>
  <c r="N390" i="6" s="1"/>
  <c r="K390" i="6"/>
  <c r="J390" i="6"/>
  <c r="F390" i="6"/>
  <c r="E390" i="6"/>
  <c r="D390" i="6"/>
  <c r="M389" i="6"/>
  <c r="O389" i="6" s="1"/>
  <c r="L389" i="6"/>
  <c r="N389" i="6" s="1"/>
  <c r="K389" i="6"/>
  <c r="J389" i="6"/>
  <c r="M388" i="6"/>
  <c r="O388" i="6" s="1"/>
  <c r="L388" i="6"/>
  <c r="N388" i="6" s="1"/>
  <c r="K388" i="6"/>
  <c r="J388" i="6"/>
  <c r="M387" i="6"/>
  <c r="O387" i="6" s="1"/>
  <c r="L387" i="6"/>
  <c r="N387" i="6" s="1"/>
  <c r="K387" i="6"/>
  <c r="J387" i="6"/>
  <c r="M386" i="6"/>
  <c r="O386" i="6" s="1"/>
  <c r="L386" i="6"/>
  <c r="N386" i="6" s="1"/>
  <c r="K386" i="6"/>
  <c r="J386" i="6"/>
  <c r="F386" i="6"/>
  <c r="E386" i="6"/>
  <c r="D386" i="6"/>
  <c r="M385" i="6"/>
  <c r="O385" i="6" s="1"/>
  <c r="L385" i="6"/>
  <c r="N385" i="6" s="1"/>
  <c r="K385" i="6"/>
  <c r="J385" i="6"/>
  <c r="F385" i="6"/>
  <c r="E385" i="6"/>
  <c r="D385" i="6"/>
  <c r="M384" i="6"/>
  <c r="O384" i="6" s="1"/>
  <c r="L384" i="6"/>
  <c r="N384" i="6" s="1"/>
  <c r="K384" i="6"/>
  <c r="J384" i="6"/>
  <c r="M383" i="6"/>
  <c r="O383" i="6" s="1"/>
  <c r="L383" i="6"/>
  <c r="N383" i="6" s="1"/>
  <c r="K383" i="6"/>
  <c r="J383" i="6"/>
  <c r="M382" i="6"/>
  <c r="O382" i="6" s="1"/>
  <c r="L382" i="6"/>
  <c r="N382" i="6" s="1"/>
  <c r="K382" i="6"/>
  <c r="J382" i="6"/>
  <c r="N381" i="6"/>
  <c r="M381" i="6"/>
  <c r="O381" i="6" s="1"/>
  <c r="L381" i="6"/>
  <c r="K381" i="6"/>
  <c r="J381" i="6"/>
  <c r="F381" i="6"/>
  <c r="E381" i="6"/>
  <c r="D381" i="6"/>
  <c r="M380" i="6"/>
  <c r="O380" i="6" s="1"/>
  <c r="L380" i="6"/>
  <c r="N380" i="6" s="1"/>
  <c r="K380" i="6"/>
  <c r="J380" i="6"/>
  <c r="N379" i="6"/>
  <c r="M379" i="6"/>
  <c r="O379" i="6" s="1"/>
  <c r="L379" i="6"/>
  <c r="K379" i="6"/>
  <c r="J379" i="6"/>
  <c r="F379" i="6"/>
  <c r="E379" i="6"/>
  <c r="D379" i="6"/>
  <c r="M378" i="6"/>
  <c r="O378" i="6" s="1"/>
  <c r="L378" i="6"/>
  <c r="N378" i="6" s="1"/>
  <c r="K378" i="6"/>
  <c r="J378" i="6"/>
  <c r="F378" i="6"/>
  <c r="E378" i="6"/>
  <c r="D378" i="6"/>
  <c r="M377" i="6"/>
  <c r="O377" i="6" s="1"/>
  <c r="L377" i="6"/>
  <c r="N377" i="6" s="1"/>
  <c r="K377" i="6"/>
  <c r="J377" i="6"/>
  <c r="F377" i="6"/>
  <c r="E377" i="6"/>
  <c r="D377" i="6"/>
  <c r="M376" i="6"/>
  <c r="O376" i="6" s="1"/>
  <c r="L376" i="6"/>
  <c r="N376" i="6" s="1"/>
  <c r="K376" i="6"/>
  <c r="J376" i="6"/>
  <c r="F376" i="6"/>
  <c r="E376" i="6"/>
  <c r="D376" i="6"/>
  <c r="M375" i="6"/>
  <c r="O375" i="6" s="1"/>
  <c r="L375" i="6"/>
  <c r="N375" i="6" s="1"/>
  <c r="K375" i="6"/>
  <c r="J375" i="6"/>
  <c r="F375" i="6"/>
  <c r="E375" i="6"/>
  <c r="D375" i="6"/>
  <c r="M374" i="6"/>
  <c r="O374" i="6" s="1"/>
  <c r="L374" i="6"/>
  <c r="N374" i="6" s="1"/>
  <c r="K374" i="6"/>
  <c r="J374" i="6"/>
  <c r="F374" i="6"/>
  <c r="E374" i="6"/>
  <c r="D374" i="6"/>
  <c r="M373" i="6"/>
  <c r="O373" i="6" s="1"/>
  <c r="L373" i="6"/>
  <c r="N373" i="6" s="1"/>
  <c r="K373" i="6"/>
  <c r="J373" i="6"/>
  <c r="F373" i="6"/>
  <c r="E373" i="6"/>
  <c r="D373" i="6"/>
  <c r="M372" i="6"/>
  <c r="O372" i="6" s="1"/>
  <c r="L372" i="6"/>
  <c r="N372" i="6" s="1"/>
  <c r="K372" i="6"/>
  <c r="J372" i="6"/>
  <c r="F372" i="6"/>
  <c r="E372" i="6"/>
  <c r="D372" i="6"/>
  <c r="M371" i="6"/>
  <c r="O371" i="6" s="1"/>
  <c r="L371" i="6"/>
  <c r="N371" i="6" s="1"/>
  <c r="K371" i="6"/>
  <c r="J371" i="6"/>
  <c r="F371" i="6"/>
  <c r="E371" i="6"/>
  <c r="D371" i="6"/>
  <c r="M370" i="6"/>
  <c r="O370" i="6" s="1"/>
  <c r="L370" i="6"/>
  <c r="N370" i="6" s="1"/>
  <c r="K370" i="6"/>
  <c r="J370" i="6"/>
  <c r="M369" i="6"/>
  <c r="O369" i="6" s="1"/>
  <c r="L369" i="6"/>
  <c r="N369" i="6" s="1"/>
  <c r="K369" i="6"/>
  <c r="J369" i="6"/>
  <c r="F369" i="6"/>
  <c r="E369" i="6"/>
  <c r="D369" i="6"/>
  <c r="O368" i="6"/>
  <c r="M368" i="6"/>
  <c r="L368" i="6"/>
  <c r="N368" i="6" s="1"/>
  <c r="K368" i="6"/>
  <c r="J368" i="6"/>
  <c r="F368" i="6"/>
  <c r="E368" i="6"/>
  <c r="D368" i="6"/>
  <c r="O367" i="6"/>
  <c r="N367" i="6"/>
  <c r="M367" i="6"/>
  <c r="L367" i="6"/>
  <c r="K367" i="6"/>
  <c r="J367" i="6"/>
  <c r="M366" i="6"/>
  <c r="O366" i="6" s="1"/>
  <c r="L366" i="6"/>
  <c r="N366" i="6" s="1"/>
  <c r="K366" i="6"/>
  <c r="J366" i="6"/>
  <c r="F366" i="6"/>
  <c r="E366" i="6"/>
  <c r="D366" i="6"/>
  <c r="M365" i="6"/>
  <c r="O365" i="6" s="1"/>
  <c r="L365" i="6"/>
  <c r="N365" i="6" s="1"/>
  <c r="K365" i="6"/>
  <c r="J365" i="6"/>
  <c r="F365" i="6"/>
  <c r="E365" i="6"/>
  <c r="D365" i="6"/>
  <c r="M364" i="6"/>
  <c r="O364" i="6" s="1"/>
  <c r="L364" i="6"/>
  <c r="N364" i="6" s="1"/>
  <c r="K364" i="6"/>
  <c r="J364" i="6"/>
  <c r="M363" i="6"/>
  <c r="O363" i="6" s="1"/>
  <c r="L363" i="6"/>
  <c r="N363" i="6" s="1"/>
  <c r="K363" i="6"/>
  <c r="J363" i="6"/>
  <c r="N362" i="6"/>
  <c r="M362" i="6"/>
  <c r="O362" i="6" s="1"/>
  <c r="L362" i="6"/>
  <c r="K362" i="6"/>
  <c r="J362" i="6"/>
  <c r="F362" i="6"/>
  <c r="E362" i="6"/>
  <c r="D362" i="6"/>
  <c r="M361" i="6"/>
  <c r="O361" i="6" s="1"/>
  <c r="L361" i="6"/>
  <c r="N361" i="6" s="1"/>
  <c r="K361" i="6"/>
  <c r="J361" i="6"/>
  <c r="F361" i="6"/>
  <c r="E361" i="6"/>
  <c r="D361" i="6"/>
  <c r="M360" i="6"/>
  <c r="O360" i="6" s="1"/>
  <c r="L360" i="6"/>
  <c r="N360" i="6" s="1"/>
  <c r="K360" i="6"/>
  <c r="J360" i="6"/>
  <c r="F360" i="6"/>
  <c r="E360" i="6"/>
  <c r="D360" i="6"/>
  <c r="M359" i="6"/>
  <c r="O359" i="6" s="1"/>
  <c r="L359" i="6"/>
  <c r="N359" i="6" s="1"/>
  <c r="K359" i="6"/>
  <c r="J359" i="6"/>
  <c r="M358" i="6"/>
  <c r="O358" i="6" s="1"/>
  <c r="L358" i="6"/>
  <c r="N358" i="6" s="1"/>
  <c r="K358" i="6"/>
  <c r="J358" i="6"/>
  <c r="M357" i="6"/>
  <c r="O357" i="6" s="1"/>
  <c r="L357" i="6"/>
  <c r="N357" i="6" s="1"/>
  <c r="K357" i="6"/>
  <c r="J357" i="6"/>
  <c r="F357" i="6"/>
  <c r="E357" i="6"/>
  <c r="D357" i="6"/>
  <c r="M356" i="6"/>
  <c r="O356" i="6" s="1"/>
  <c r="L356" i="6"/>
  <c r="N356" i="6" s="1"/>
  <c r="K356" i="6"/>
  <c r="J356" i="6"/>
  <c r="M355" i="6"/>
  <c r="O355" i="6" s="1"/>
  <c r="L355" i="6"/>
  <c r="N355" i="6" s="1"/>
  <c r="K355" i="6"/>
  <c r="J355" i="6"/>
  <c r="M354" i="6"/>
  <c r="O354" i="6" s="1"/>
  <c r="L354" i="6"/>
  <c r="N354" i="6" s="1"/>
  <c r="K354" i="6"/>
  <c r="J354" i="6"/>
  <c r="F354" i="6"/>
  <c r="E354" i="6"/>
  <c r="D354" i="6"/>
  <c r="M353" i="6"/>
  <c r="O353" i="6" s="1"/>
  <c r="L353" i="6"/>
  <c r="N353" i="6" s="1"/>
  <c r="K353" i="6"/>
  <c r="J353" i="6"/>
  <c r="F353" i="6"/>
  <c r="E353" i="6"/>
  <c r="D353" i="6"/>
  <c r="M352" i="6"/>
  <c r="O352" i="6" s="1"/>
  <c r="L352" i="6"/>
  <c r="N352" i="6" s="1"/>
  <c r="K352" i="6"/>
  <c r="J352" i="6"/>
  <c r="F352" i="6"/>
  <c r="E352" i="6"/>
  <c r="D352" i="6"/>
  <c r="M351" i="6"/>
  <c r="O351" i="6" s="1"/>
  <c r="G351" i="6" s="1"/>
  <c r="L351" i="6"/>
  <c r="N351" i="6" s="1"/>
  <c r="K351" i="6"/>
  <c r="J351" i="6"/>
  <c r="F351" i="6"/>
  <c r="E351" i="6"/>
  <c r="D351" i="6"/>
  <c r="M350" i="6"/>
  <c r="O350" i="6" s="1"/>
  <c r="L350" i="6"/>
  <c r="N350" i="6" s="1"/>
  <c r="K350" i="6"/>
  <c r="J350" i="6"/>
  <c r="M349" i="6"/>
  <c r="O349" i="6" s="1"/>
  <c r="L349" i="6"/>
  <c r="N349" i="6" s="1"/>
  <c r="K349" i="6"/>
  <c r="J349" i="6"/>
  <c r="F349" i="6"/>
  <c r="E349" i="6"/>
  <c r="D349" i="6"/>
  <c r="M348" i="6"/>
  <c r="O348" i="6" s="1"/>
  <c r="L348" i="6"/>
  <c r="N348" i="6" s="1"/>
  <c r="K348" i="6"/>
  <c r="J348" i="6"/>
  <c r="F348" i="6"/>
  <c r="E348" i="6"/>
  <c r="D348" i="6"/>
  <c r="M347" i="6"/>
  <c r="O347" i="6" s="1"/>
  <c r="L347" i="6"/>
  <c r="N347" i="6" s="1"/>
  <c r="K347" i="6"/>
  <c r="J347" i="6"/>
  <c r="F347" i="6"/>
  <c r="E347" i="6"/>
  <c r="D347" i="6"/>
  <c r="N346" i="6"/>
  <c r="M346" i="6"/>
  <c r="O346" i="6" s="1"/>
  <c r="L346" i="6"/>
  <c r="K346" i="6"/>
  <c r="J346" i="6"/>
  <c r="F346" i="6"/>
  <c r="E346" i="6"/>
  <c r="D346" i="6"/>
  <c r="N345" i="6"/>
  <c r="M345" i="6"/>
  <c r="O345" i="6" s="1"/>
  <c r="L345" i="6"/>
  <c r="K345" i="6"/>
  <c r="J345" i="6"/>
  <c r="F345" i="6"/>
  <c r="E345" i="6"/>
  <c r="D345" i="6"/>
  <c r="M344" i="6"/>
  <c r="O344" i="6" s="1"/>
  <c r="L344" i="6"/>
  <c r="N344" i="6" s="1"/>
  <c r="K344" i="6"/>
  <c r="J344" i="6"/>
  <c r="F344" i="6"/>
  <c r="E344" i="6"/>
  <c r="D344" i="6"/>
  <c r="M343" i="6"/>
  <c r="O343" i="6" s="1"/>
  <c r="L343" i="6"/>
  <c r="N343" i="6" s="1"/>
  <c r="K343" i="6"/>
  <c r="J343" i="6"/>
  <c r="F343" i="6"/>
  <c r="E343" i="6"/>
  <c r="D343" i="6"/>
  <c r="M342" i="6"/>
  <c r="O342" i="6" s="1"/>
  <c r="L342" i="6"/>
  <c r="N342" i="6" s="1"/>
  <c r="K342" i="6"/>
  <c r="J342" i="6"/>
  <c r="F342" i="6"/>
  <c r="E342" i="6"/>
  <c r="D342" i="6"/>
  <c r="M341" i="6"/>
  <c r="O341" i="6" s="1"/>
  <c r="L341" i="6"/>
  <c r="N341" i="6" s="1"/>
  <c r="K341" i="6"/>
  <c r="J341" i="6"/>
  <c r="F341" i="6"/>
  <c r="E341" i="6"/>
  <c r="D341" i="6"/>
  <c r="M340" i="6"/>
  <c r="O340" i="6" s="1"/>
  <c r="L340" i="6"/>
  <c r="N340" i="6" s="1"/>
  <c r="K340" i="6"/>
  <c r="J340" i="6"/>
  <c r="F340" i="6"/>
  <c r="E340" i="6"/>
  <c r="D340" i="6"/>
  <c r="M339" i="6"/>
  <c r="O339" i="6" s="1"/>
  <c r="L339" i="6"/>
  <c r="N339" i="6" s="1"/>
  <c r="K339" i="6"/>
  <c r="J339" i="6"/>
  <c r="F339" i="6"/>
  <c r="E339" i="6"/>
  <c r="D339" i="6"/>
  <c r="M338" i="6"/>
  <c r="O338" i="6" s="1"/>
  <c r="L338" i="6"/>
  <c r="N338" i="6" s="1"/>
  <c r="K338" i="6"/>
  <c r="J338" i="6"/>
  <c r="F338" i="6"/>
  <c r="E338" i="6"/>
  <c r="D338" i="6"/>
  <c r="M337" i="6"/>
  <c r="O337" i="6" s="1"/>
  <c r="L337" i="6"/>
  <c r="N337" i="6" s="1"/>
  <c r="K337" i="6"/>
  <c r="J337" i="6"/>
  <c r="F337" i="6"/>
  <c r="E337" i="6"/>
  <c r="D337" i="6"/>
  <c r="O336" i="6"/>
  <c r="M336" i="6"/>
  <c r="L336" i="6"/>
  <c r="N336" i="6" s="1"/>
  <c r="K336" i="6"/>
  <c r="J336" i="6"/>
  <c r="F336" i="6"/>
  <c r="E336" i="6"/>
  <c r="D336" i="6"/>
  <c r="M335" i="6"/>
  <c r="O335" i="6" s="1"/>
  <c r="L335" i="6"/>
  <c r="N335" i="6" s="1"/>
  <c r="K335" i="6"/>
  <c r="J335" i="6"/>
  <c r="F335" i="6"/>
  <c r="E335" i="6"/>
  <c r="D335" i="6"/>
  <c r="O334" i="6"/>
  <c r="M334" i="6"/>
  <c r="L334" i="6"/>
  <c r="N334" i="6" s="1"/>
  <c r="K334" i="6"/>
  <c r="J334" i="6"/>
  <c r="F334" i="6"/>
  <c r="E334" i="6"/>
  <c r="D334" i="6"/>
  <c r="M333" i="6"/>
  <c r="O333" i="6" s="1"/>
  <c r="L333" i="6"/>
  <c r="N333" i="6" s="1"/>
  <c r="K333" i="6"/>
  <c r="J333" i="6"/>
  <c r="F333" i="6"/>
  <c r="E333" i="6"/>
  <c r="D333" i="6"/>
  <c r="M332" i="6"/>
  <c r="O332" i="6" s="1"/>
  <c r="L332" i="6"/>
  <c r="N332" i="6" s="1"/>
  <c r="K332" i="6"/>
  <c r="J332" i="6"/>
  <c r="F332" i="6"/>
  <c r="E332" i="6"/>
  <c r="D332" i="6"/>
  <c r="M331" i="6"/>
  <c r="O331" i="6" s="1"/>
  <c r="L331" i="6"/>
  <c r="N331" i="6" s="1"/>
  <c r="K331" i="6"/>
  <c r="J331" i="6"/>
  <c r="F331" i="6"/>
  <c r="E331" i="6"/>
  <c r="D331" i="6"/>
  <c r="M330" i="6"/>
  <c r="O330" i="6" s="1"/>
  <c r="L330" i="6"/>
  <c r="N330" i="6" s="1"/>
  <c r="K330" i="6"/>
  <c r="J330" i="6"/>
  <c r="M329" i="6"/>
  <c r="O329" i="6" s="1"/>
  <c r="L329" i="6"/>
  <c r="N329" i="6" s="1"/>
  <c r="K329" i="6"/>
  <c r="J329" i="6"/>
  <c r="F329" i="6"/>
  <c r="E329" i="6"/>
  <c r="D329" i="6"/>
  <c r="M328" i="6"/>
  <c r="O328" i="6" s="1"/>
  <c r="L328" i="6"/>
  <c r="N328" i="6" s="1"/>
  <c r="K328" i="6"/>
  <c r="J328" i="6"/>
  <c r="F328" i="6"/>
  <c r="E328" i="6"/>
  <c r="D328" i="6"/>
  <c r="M327" i="6"/>
  <c r="O327" i="6" s="1"/>
  <c r="L327" i="6"/>
  <c r="N327" i="6" s="1"/>
  <c r="K327" i="6"/>
  <c r="J327" i="6"/>
  <c r="F327" i="6"/>
  <c r="E327" i="6"/>
  <c r="D327" i="6"/>
  <c r="M326" i="6"/>
  <c r="O326" i="6" s="1"/>
  <c r="L326" i="6"/>
  <c r="N326" i="6" s="1"/>
  <c r="K326" i="6"/>
  <c r="J326" i="6"/>
  <c r="F326" i="6"/>
  <c r="E326" i="6"/>
  <c r="D326" i="6"/>
  <c r="M325" i="6"/>
  <c r="O325" i="6" s="1"/>
  <c r="L325" i="6"/>
  <c r="N325" i="6" s="1"/>
  <c r="K325" i="6"/>
  <c r="J325" i="6"/>
  <c r="F325" i="6"/>
  <c r="E325" i="6"/>
  <c r="D325" i="6"/>
  <c r="O324" i="6"/>
  <c r="M324" i="6"/>
  <c r="L324" i="6"/>
  <c r="N324" i="6" s="1"/>
  <c r="K324" i="6"/>
  <c r="J324" i="6"/>
  <c r="M323" i="6"/>
  <c r="O323" i="6" s="1"/>
  <c r="L323" i="6"/>
  <c r="N323" i="6" s="1"/>
  <c r="K323" i="6"/>
  <c r="J323" i="6"/>
  <c r="M322" i="6"/>
  <c r="O322" i="6" s="1"/>
  <c r="L322" i="6"/>
  <c r="N322" i="6" s="1"/>
  <c r="K322" i="6"/>
  <c r="J322" i="6"/>
  <c r="N321" i="6"/>
  <c r="M321" i="6"/>
  <c r="O321" i="6" s="1"/>
  <c r="L321" i="6"/>
  <c r="K321" i="6"/>
  <c r="J321" i="6"/>
  <c r="F321" i="6"/>
  <c r="E321" i="6"/>
  <c r="D321" i="6"/>
  <c r="M320" i="6"/>
  <c r="O320" i="6" s="1"/>
  <c r="L320" i="6"/>
  <c r="N320" i="6" s="1"/>
  <c r="K320" i="6"/>
  <c r="J320" i="6"/>
  <c r="M319" i="6"/>
  <c r="O319" i="6" s="1"/>
  <c r="L319" i="6"/>
  <c r="N319" i="6" s="1"/>
  <c r="K319" i="6"/>
  <c r="J319" i="6"/>
  <c r="F319" i="6"/>
  <c r="E319" i="6"/>
  <c r="D319" i="6"/>
  <c r="M318" i="6"/>
  <c r="O318" i="6" s="1"/>
  <c r="L318" i="6"/>
  <c r="N318" i="6" s="1"/>
  <c r="K318" i="6"/>
  <c r="J318" i="6"/>
  <c r="M317" i="6"/>
  <c r="O317" i="6" s="1"/>
  <c r="L317" i="6"/>
  <c r="N317" i="6" s="1"/>
  <c r="K317" i="6"/>
  <c r="J317" i="6"/>
  <c r="F317" i="6"/>
  <c r="E317" i="6"/>
  <c r="D317" i="6"/>
  <c r="M316" i="6"/>
  <c r="O316" i="6" s="1"/>
  <c r="L316" i="6"/>
  <c r="N316" i="6" s="1"/>
  <c r="K316" i="6"/>
  <c r="J316" i="6"/>
  <c r="F316" i="6"/>
  <c r="E316" i="6"/>
  <c r="D316" i="6"/>
  <c r="M315" i="6"/>
  <c r="O315" i="6" s="1"/>
  <c r="L315" i="6"/>
  <c r="N315" i="6" s="1"/>
  <c r="K315" i="6"/>
  <c r="J315" i="6"/>
  <c r="F315" i="6"/>
  <c r="E315" i="6"/>
  <c r="D315" i="6"/>
  <c r="M314" i="6"/>
  <c r="O314" i="6" s="1"/>
  <c r="L314" i="6"/>
  <c r="N314" i="6" s="1"/>
  <c r="K314" i="6"/>
  <c r="J314" i="6"/>
  <c r="F314" i="6"/>
  <c r="E314" i="6"/>
  <c r="D314" i="6"/>
  <c r="M313" i="6"/>
  <c r="O313" i="6" s="1"/>
  <c r="L313" i="6"/>
  <c r="N313" i="6" s="1"/>
  <c r="K313" i="6"/>
  <c r="J313" i="6"/>
  <c r="F313" i="6"/>
  <c r="E313" i="6"/>
  <c r="D313" i="6"/>
  <c r="M312" i="6"/>
  <c r="O312" i="6" s="1"/>
  <c r="L312" i="6"/>
  <c r="N312" i="6" s="1"/>
  <c r="K312" i="6"/>
  <c r="J312" i="6"/>
  <c r="M311" i="6"/>
  <c r="O311" i="6" s="1"/>
  <c r="L311" i="6"/>
  <c r="N311" i="6" s="1"/>
  <c r="K311" i="6"/>
  <c r="J311" i="6"/>
  <c r="F311" i="6"/>
  <c r="E311" i="6"/>
  <c r="D311" i="6"/>
  <c r="M310" i="6"/>
  <c r="O310" i="6" s="1"/>
  <c r="L310" i="6"/>
  <c r="N310" i="6" s="1"/>
  <c r="K310" i="6"/>
  <c r="J310" i="6"/>
  <c r="F310" i="6"/>
  <c r="E310" i="6"/>
  <c r="D310" i="6"/>
  <c r="M309" i="6"/>
  <c r="O309" i="6" s="1"/>
  <c r="L309" i="6"/>
  <c r="N309" i="6" s="1"/>
  <c r="K309" i="6"/>
  <c r="J309" i="6"/>
  <c r="F309" i="6"/>
  <c r="E309" i="6"/>
  <c r="D309" i="6"/>
  <c r="M308" i="6"/>
  <c r="O308" i="6" s="1"/>
  <c r="L308" i="6"/>
  <c r="N308" i="6" s="1"/>
  <c r="K308" i="6"/>
  <c r="J308" i="6"/>
  <c r="M307" i="6"/>
  <c r="O307" i="6" s="1"/>
  <c r="L307" i="6"/>
  <c r="N307" i="6" s="1"/>
  <c r="K307" i="6"/>
  <c r="J307" i="6"/>
  <c r="M306" i="6"/>
  <c r="O306" i="6" s="1"/>
  <c r="L306" i="6"/>
  <c r="N306" i="6" s="1"/>
  <c r="K306" i="6"/>
  <c r="J306" i="6"/>
  <c r="F306" i="6"/>
  <c r="E306" i="6"/>
  <c r="D306" i="6"/>
  <c r="M305" i="6"/>
  <c r="O305" i="6" s="1"/>
  <c r="L305" i="6"/>
  <c r="N305" i="6" s="1"/>
  <c r="K305" i="6"/>
  <c r="J305" i="6"/>
  <c r="F305" i="6"/>
  <c r="E305" i="6"/>
  <c r="D305" i="6"/>
  <c r="M304" i="6"/>
  <c r="O304" i="6" s="1"/>
  <c r="L304" i="6"/>
  <c r="N304" i="6" s="1"/>
  <c r="K304" i="6"/>
  <c r="J304" i="6"/>
  <c r="M303" i="6"/>
  <c r="O303" i="6" s="1"/>
  <c r="L303" i="6"/>
  <c r="N303" i="6" s="1"/>
  <c r="K303" i="6"/>
  <c r="J303" i="6"/>
  <c r="M302" i="6"/>
  <c r="O302" i="6" s="1"/>
  <c r="L302" i="6"/>
  <c r="N302" i="6" s="1"/>
  <c r="K302" i="6"/>
  <c r="J302" i="6"/>
  <c r="F302" i="6"/>
  <c r="E302" i="6"/>
  <c r="D302" i="6"/>
  <c r="M301" i="6"/>
  <c r="O301" i="6" s="1"/>
  <c r="L301" i="6"/>
  <c r="N301" i="6" s="1"/>
  <c r="K301" i="6"/>
  <c r="J301" i="6"/>
  <c r="F301" i="6"/>
  <c r="E301" i="6"/>
  <c r="D301" i="6"/>
  <c r="M300" i="6"/>
  <c r="O300" i="6" s="1"/>
  <c r="L300" i="6"/>
  <c r="N300" i="6" s="1"/>
  <c r="K300" i="6"/>
  <c r="J300" i="6"/>
  <c r="F300" i="6"/>
  <c r="E300" i="6"/>
  <c r="D300" i="6"/>
  <c r="M299" i="6"/>
  <c r="O299" i="6" s="1"/>
  <c r="L299" i="6"/>
  <c r="N299" i="6" s="1"/>
  <c r="K299" i="6"/>
  <c r="J299" i="6"/>
  <c r="F299" i="6"/>
  <c r="E299" i="6"/>
  <c r="D299" i="6"/>
  <c r="M298" i="6"/>
  <c r="O298" i="6" s="1"/>
  <c r="L298" i="6"/>
  <c r="N298" i="6" s="1"/>
  <c r="K298" i="6"/>
  <c r="J298" i="6"/>
  <c r="F298" i="6"/>
  <c r="E298" i="6"/>
  <c r="D298" i="6"/>
  <c r="M297" i="6"/>
  <c r="O297" i="6" s="1"/>
  <c r="L297" i="6"/>
  <c r="N297" i="6" s="1"/>
  <c r="K297" i="6"/>
  <c r="J297" i="6"/>
  <c r="F297" i="6"/>
  <c r="E297" i="6"/>
  <c r="D297" i="6"/>
  <c r="M296" i="6"/>
  <c r="O296" i="6" s="1"/>
  <c r="L296" i="6"/>
  <c r="N296" i="6" s="1"/>
  <c r="K296" i="6"/>
  <c r="J296" i="6"/>
  <c r="F296" i="6"/>
  <c r="E296" i="6"/>
  <c r="D296" i="6"/>
  <c r="M295" i="6"/>
  <c r="O295" i="6" s="1"/>
  <c r="L295" i="6"/>
  <c r="N295" i="6" s="1"/>
  <c r="K295" i="6"/>
  <c r="J295" i="6"/>
  <c r="F295" i="6"/>
  <c r="E295" i="6"/>
  <c r="D295" i="6"/>
  <c r="M294" i="6"/>
  <c r="O294" i="6" s="1"/>
  <c r="L294" i="6"/>
  <c r="N294" i="6" s="1"/>
  <c r="K294" i="6"/>
  <c r="J294" i="6"/>
  <c r="F294" i="6"/>
  <c r="E294" i="6"/>
  <c r="D294" i="6"/>
  <c r="M293" i="6"/>
  <c r="O293" i="6" s="1"/>
  <c r="L293" i="6"/>
  <c r="N293" i="6" s="1"/>
  <c r="K293" i="6"/>
  <c r="J293" i="6"/>
  <c r="F293" i="6"/>
  <c r="E293" i="6"/>
  <c r="D293" i="6"/>
  <c r="M292" i="6"/>
  <c r="O292" i="6" s="1"/>
  <c r="L292" i="6"/>
  <c r="N292" i="6" s="1"/>
  <c r="K292" i="6"/>
  <c r="J292" i="6"/>
  <c r="F292" i="6"/>
  <c r="E292" i="6"/>
  <c r="D292" i="6"/>
  <c r="M291" i="6"/>
  <c r="O291" i="6" s="1"/>
  <c r="L291" i="6"/>
  <c r="N291" i="6" s="1"/>
  <c r="K291" i="6"/>
  <c r="G291" i="6" s="1"/>
  <c r="J291" i="6"/>
  <c r="F291" i="6"/>
  <c r="E291" i="6"/>
  <c r="D291" i="6"/>
  <c r="M290" i="6"/>
  <c r="O290" i="6" s="1"/>
  <c r="L290" i="6"/>
  <c r="N290" i="6" s="1"/>
  <c r="K290" i="6"/>
  <c r="J290" i="6"/>
  <c r="F290" i="6"/>
  <c r="E290" i="6"/>
  <c r="D290" i="6"/>
  <c r="M289" i="6"/>
  <c r="O289" i="6" s="1"/>
  <c r="L289" i="6"/>
  <c r="N289" i="6" s="1"/>
  <c r="K289" i="6"/>
  <c r="J289" i="6"/>
  <c r="F289" i="6"/>
  <c r="E289" i="6"/>
  <c r="D289" i="6"/>
  <c r="M288" i="6"/>
  <c r="O288" i="6" s="1"/>
  <c r="L288" i="6"/>
  <c r="N288" i="6" s="1"/>
  <c r="K288" i="6"/>
  <c r="G288" i="6" s="1"/>
  <c r="J288" i="6"/>
  <c r="F288" i="6"/>
  <c r="E288" i="6"/>
  <c r="D288" i="6"/>
  <c r="M287" i="6"/>
  <c r="O287" i="6" s="1"/>
  <c r="L287" i="6"/>
  <c r="N287" i="6" s="1"/>
  <c r="K287" i="6"/>
  <c r="J287" i="6"/>
  <c r="F287" i="6"/>
  <c r="E287" i="6"/>
  <c r="D287" i="6"/>
  <c r="M286" i="6"/>
  <c r="O286" i="6" s="1"/>
  <c r="L286" i="6"/>
  <c r="N286" i="6" s="1"/>
  <c r="K286" i="6"/>
  <c r="J286" i="6"/>
  <c r="M285" i="6"/>
  <c r="O285" i="6" s="1"/>
  <c r="G285" i="6" s="1"/>
  <c r="L285" i="6"/>
  <c r="N285" i="6" s="1"/>
  <c r="K285" i="6"/>
  <c r="J285" i="6"/>
  <c r="F285" i="6"/>
  <c r="E285" i="6"/>
  <c r="D285" i="6"/>
  <c r="M284" i="6"/>
  <c r="O284" i="6" s="1"/>
  <c r="L284" i="6"/>
  <c r="N284" i="6" s="1"/>
  <c r="K284" i="6"/>
  <c r="J284" i="6"/>
  <c r="F284" i="6"/>
  <c r="E284" i="6"/>
  <c r="D284" i="6"/>
  <c r="M283" i="6"/>
  <c r="O283" i="6" s="1"/>
  <c r="L283" i="6"/>
  <c r="N283" i="6" s="1"/>
  <c r="K283" i="6"/>
  <c r="J283" i="6"/>
  <c r="M282" i="6"/>
  <c r="O282" i="6" s="1"/>
  <c r="L282" i="6"/>
  <c r="N282" i="6" s="1"/>
  <c r="K282" i="6"/>
  <c r="J282" i="6"/>
  <c r="F282" i="6"/>
  <c r="E282" i="6"/>
  <c r="D282" i="6"/>
  <c r="M281" i="6"/>
  <c r="O281" i="6" s="1"/>
  <c r="L281" i="6"/>
  <c r="N281" i="6" s="1"/>
  <c r="K281" i="6"/>
  <c r="J281" i="6"/>
  <c r="F281" i="6"/>
  <c r="E281" i="6"/>
  <c r="D281" i="6"/>
  <c r="M280" i="6"/>
  <c r="O280" i="6" s="1"/>
  <c r="L280" i="6"/>
  <c r="N280" i="6" s="1"/>
  <c r="K280" i="6"/>
  <c r="J280" i="6"/>
  <c r="M279" i="6"/>
  <c r="O279" i="6" s="1"/>
  <c r="L279" i="6"/>
  <c r="N279" i="6" s="1"/>
  <c r="K279" i="6"/>
  <c r="J279" i="6"/>
  <c r="M278" i="6"/>
  <c r="O278" i="6" s="1"/>
  <c r="L278" i="6"/>
  <c r="N278" i="6" s="1"/>
  <c r="K278" i="6"/>
  <c r="J278" i="6"/>
  <c r="F278" i="6"/>
  <c r="E278" i="6"/>
  <c r="D278" i="6"/>
  <c r="M277" i="6"/>
  <c r="O277" i="6" s="1"/>
  <c r="L277" i="6"/>
  <c r="N277" i="6" s="1"/>
  <c r="K277" i="6"/>
  <c r="J277" i="6"/>
  <c r="F277" i="6"/>
  <c r="E277" i="6"/>
  <c r="D277" i="6"/>
  <c r="M276" i="6"/>
  <c r="O276" i="6" s="1"/>
  <c r="L276" i="6"/>
  <c r="N276" i="6" s="1"/>
  <c r="K276" i="6"/>
  <c r="J276" i="6"/>
  <c r="F276" i="6"/>
  <c r="E276" i="6"/>
  <c r="D276" i="6"/>
  <c r="M275" i="6"/>
  <c r="O275" i="6" s="1"/>
  <c r="L275" i="6"/>
  <c r="N275" i="6" s="1"/>
  <c r="K275" i="6"/>
  <c r="G275" i="6" s="1"/>
  <c r="J275" i="6"/>
  <c r="F275" i="6"/>
  <c r="E275" i="6"/>
  <c r="D275" i="6"/>
  <c r="M274" i="6"/>
  <c r="O274" i="6" s="1"/>
  <c r="L274" i="6"/>
  <c r="N274" i="6" s="1"/>
  <c r="K274" i="6"/>
  <c r="J274" i="6"/>
  <c r="F274" i="6"/>
  <c r="E274" i="6"/>
  <c r="D274" i="6"/>
  <c r="M273" i="6"/>
  <c r="O273" i="6" s="1"/>
  <c r="L273" i="6"/>
  <c r="N273" i="6" s="1"/>
  <c r="K273" i="6"/>
  <c r="J273" i="6"/>
  <c r="M272" i="6"/>
  <c r="O272" i="6" s="1"/>
  <c r="L272" i="6"/>
  <c r="N272" i="6" s="1"/>
  <c r="K272" i="6"/>
  <c r="J272" i="6"/>
  <c r="M271" i="6"/>
  <c r="O271" i="6" s="1"/>
  <c r="L271" i="6"/>
  <c r="N271" i="6" s="1"/>
  <c r="K271" i="6"/>
  <c r="J271" i="6"/>
  <c r="M270" i="6"/>
  <c r="O270" i="6" s="1"/>
  <c r="L270" i="6"/>
  <c r="N270" i="6" s="1"/>
  <c r="K270" i="6"/>
  <c r="J270" i="6"/>
  <c r="M269" i="6"/>
  <c r="O269" i="6" s="1"/>
  <c r="L269" i="6"/>
  <c r="N269" i="6" s="1"/>
  <c r="K269" i="6"/>
  <c r="J269" i="6"/>
  <c r="M268" i="6"/>
  <c r="O268" i="6" s="1"/>
  <c r="L268" i="6"/>
  <c r="N268" i="6" s="1"/>
  <c r="K268" i="6"/>
  <c r="J268" i="6"/>
  <c r="M267" i="6"/>
  <c r="O267" i="6" s="1"/>
  <c r="L267" i="6"/>
  <c r="N267" i="6" s="1"/>
  <c r="K267" i="6"/>
  <c r="J267" i="6"/>
  <c r="M266" i="6"/>
  <c r="O266" i="6" s="1"/>
  <c r="L266" i="6"/>
  <c r="N266" i="6" s="1"/>
  <c r="K266" i="6"/>
  <c r="J266" i="6"/>
  <c r="M265" i="6"/>
  <c r="O265" i="6" s="1"/>
  <c r="L265" i="6"/>
  <c r="N265" i="6" s="1"/>
  <c r="K265" i="6"/>
  <c r="J265" i="6"/>
  <c r="M264" i="6"/>
  <c r="O264" i="6" s="1"/>
  <c r="L264" i="6"/>
  <c r="N264" i="6" s="1"/>
  <c r="K264" i="6"/>
  <c r="J264" i="6"/>
  <c r="M263" i="6"/>
  <c r="O263" i="6" s="1"/>
  <c r="L263" i="6"/>
  <c r="N263" i="6" s="1"/>
  <c r="K263" i="6"/>
  <c r="J263" i="6"/>
  <c r="M262" i="6"/>
  <c r="O262" i="6" s="1"/>
  <c r="L262" i="6"/>
  <c r="N262" i="6" s="1"/>
  <c r="G262" i="6" s="1"/>
  <c r="K262" i="6"/>
  <c r="J262" i="6"/>
  <c r="F262" i="6"/>
  <c r="E262" i="6"/>
  <c r="D262" i="6"/>
  <c r="M261" i="6"/>
  <c r="O261" i="6" s="1"/>
  <c r="L261" i="6"/>
  <c r="N261" i="6" s="1"/>
  <c r="K261" i="6"/>
  <c r="J261" i="6"/>
  <c r="M260" i="6"/>
  <c r="O260" i="6" s="1"/>
  <c r="L260" i="6"/>
  <c r="N260" i="6" s="1"/>
  <c r="K260" i="6"/>
  <c r="J260" i="6"/>
  <c r="F260" i="6"/>
  <c r="E260" i="6"/>
  <c r="D260" i="6"/>
  <c r="M259" i="6"/>
  <c r="O259" i="6" s="1"/>
  <c r="L259" i="6"/>
  <c r="N259" i="6" s="1"/>
  <c r="K259" i="6"/>
  <c r="J259" i="6"/>
  <c r="F259" i="6"/>
  <c r="E259" i="6"/>
  <c r="D259" i="6"/>
  <c r="M258" i="6"/>
  <c r="O258" i="6" s="1"/>
  <c r="L258" i="6"/>
  <c r="N258" i="6" s="1"/>
  <c r="K258" i="6"/>
  <c r="J258" i="6"/>
  <c r="M257" i="6"/>
  <c r="O257" i="6" s="1"/>
  <c r="L257" i="6"/>
  <c r="N257" i="6" s="1"/>
  <c r="K257" i="6"/>
  <c r="J257" i="6"/>
  <c r="M256" i="6"/>
  <c r="O256" i="6" s="1"/>
  <c r="L256" i="6"/>
  <c r="N256" i="6" s="1"/>
  <c r="K256" i="6"/>
  <c r="J256" i="6"/>
  <c r="M255" i="6"/>
  <c r="O255" i="6" s="1"/>
  <c r="L255" i="6"/>
  <c r="N255" i="6" s="1"/>
  <c r="K255" i="6"/>
  <c r="J255" i="6"/>
  <c r="M254" i="6"/>
  <c r="O254" i="6" s="1"/>
  <c r="L254" i="6"/>
  <c r="N254" i="6" s="1"/>
  <c r="K254" i="6"/>
  <c r="J254" i="6"/>
  <c r="M253" i="6"/>
  <c r="O253" i="6" s="1"/>
  <c r="L253" i="6"/>
  <c r="N253" i="6" s="1"/>
  <c r="K253" i="6"/>
  <c r="J253" i="6"/>
  <c r="M252" i="6"/>
  <c r="O252" i="6" s="1"/>
  <c r="L252" i="6"/>
  <c r="N252" i="6" s="1"/>
  <c r="K252" i="6"/>
  <c r="J252" i="6"/>
  <c r="M251" i="6"/>
  <c r="O251" i="6" s="1"/>
  <c r="L251" i="6"/>
  <c r="N251" i="6" s="1"/>
  <c r="K251" i="6"/>
  <c r="J251" i="6"/>
  <c r="F251" i="6"/>
  <c r="E251" i="6"/>
  <c r="D251" i="6"/>
  <c r="M250" i="6"/>
  <c r="O250" i="6" s="1"/>
  <c r="L250" i="6"/>
  <c r="N250" i="6" s="1"/>
  <c r="K250" i="6"/>
  <c r="J250" i="6"/>
  <c r="F250" i="6"/>
  <c r="E250" i="6"/>
  <c r="D250" i="6"/>
  <c r="M249" i="6"/>
  <c r="O249" i="6" s="1"/>
  <c r="L249" i="6"/>
  <c r="N249" i="6" s="1"/>
  <c r="K249" i="6"/>
  <c r="J249" i="6"/>
  <c r="F249" i="6"/>
  <c r="E249" i="6"/>
  <c r="D249" i="6"/>
  <c r="M248" i="6"/>
  <c r="O248" i="6" s="1"/>
  <c r="L248" i="6"/>
  <c r="N248" i="6" s="1"/>
  <c r="K248" i="6"/>
  <c r="J248" i="6"/>
  <c r="M247" i="6"/>
  <c r="O247" i="6" s="1"/>
  <c r="L247" i="6"/>
  <c r="N247" i="6" s="1"/>
  <c r="K247" i="6"/>
  <c r="J247" i="6"/>
  <c r="M246" i="6"/>
  <c r="O246" i="6" s="1"/>
  <c r="L246" i="6"/>
  <c r="N246" i="6" s="1"/>
  <c r="K246" i="6"/>
  <c r="J246" i="6"/>
  <c r="F246" i="6"/>
  <c r="E246" i="6"/>
  <c r="D246" i="6"/>
  <c r="M245" i="6"/>
  <c r="O245" i="6" s="1"/>
  <c r="L245" i="6"/>
  <c r="N245" i="6" s="1"/>
  <c r="K245" i="6"/>
  <c r="J245" i="6"/>
  <c r="M244" i="6"/>
  <c r="O244" i="6" s="1"/>
  <c r="L244" i="6"/>
  <c r="N244" i="6" s="1"/>
  <c r="K244" i="6"/>
  <c r="J244" i="6"/>
  <c r="M243" i="6"/>
  <c r="O243" i="6" s="1"/>
  <c r="L243" i="6"/>
  <c r="N243" i="6" s="1"/>
  <c r="K243" i="6"/>
  <c r="J243" i="6"/>
  <c r="M242" i="6"/>
  <c r="O242" i="6" s="1"/>
  <c r="L242" i="6"/>
  <c r="N242" i="6" s="1"/>
  <c r="K242" i="6"/>
  <c r="J242" i="6"/>
  <c r="F242" i="6"/>
  <c r="E242" i="6"/>
  <c r="D242" i="6"/>
  <c r="M241" i="6"/>
  <c r="O241" i="6" s="1"/>
  <c r="L241" i="6"/>
  <c r="N241" i="6" s="1"/>
  <c r="K241" i="6"/>
  <c r="J241" i="6"/>
  <c r="M240" i="6"/>
  <c r="O240" i="6" s="1"/>
  <c r="L240" i="6"/>
  <c r="N240" i="6" s="1"/>
  <c r="K240" i="6"/>
  <c r="J240" i="6"/>
  <c r="M239" i="6"/>
  <c r="O239" i="6" s="1"/>
  <c r="L239" i="6"/>
  <c r="N239" i="6" s="1"/>
  <c r="K239" i="6"/>
  <c r="J239" i="6"/>
  <c r="M238" i="6"/>
  <c r="O238" i="6" s="1"/>
  <c r="L238" i="6"/>
  <c r="N238" i="6" s="1"/>
  <c r="K238" i="6"/>
  <c r="J238" i="6"/>
  <c r="F238" i="6"/>
  <c r="E238" i="6"/>
  <c r="D238" i="6"/>
  <c r="M237" i="6"/>
  <c r="O237" i="6" s="1"/>
  <c r="L237" i="6"/>
  <c r="N237" i="6" s="1"/>
  <c r="K237" i="6"/>
  <c r="J237" i="6"/>
  <c r="M236" i="6"/>
  <c r="O236" i="6" s="1"/>
  <c r="L236" i="6"/>
  <c r="N236" i="6" s="1"/>
  <c r="K236" i="6"/>
  <c r="J236" i="6"/>
  <c r="F236" i="6"/>
  <c r="E236" i="6"/>
  <c r="D236" i="6"/>
  <c r="M235" i="6"/>
  <c r="O235" i="6" s="1"/>
  <c r="L235" i="6"/>
  <c r="N235" i="6" s="1"/>
  <c r="K235" i="6"/>
  <c r="J235" i="6"/>
  <c r="F235" i="6"/>
  <c r="E235" i="6"/>
  <c r="D235" i="6"/>
  <c r="N234" i="6"/>
  <c r="M234" i="6"/>
  <c r="O234" i="6" s="1"/>
  <c r="L234" i="6"/>
  <c r="K234" i="6"/>
  <c r="J234" i="6"/>
  <c r="M233" i="6"/>
  <c r="O233" i="6" s="1"/>
  <c r="L233" i="6"/>
  <c r="N233" i="6" s="1"/>
  <c r="K233" i="6"/>
  <c r="J233" i="6"/>
  <c r="M232" i="6"/>
  <c r="O232" i="6" s="1"/>
  <c r="L232" i="6"/>
  <c r="N232" i="6" s="1"/>
  <c r="K232" i="6"/>
  <c r="J232" i="6"/>
  <c r="M231" i="6"/>
  <c r="O231" i="6" s="1"/>
  <c r="L231" i="6"/>
  <c r="N231" i="6" s="1"/>
  <c r="K231" i="6"/>
  <c r="J231" i="6"/>
  <c r="M230" i="6"/>
  <c r="O230" i="6" s="1"/>
  <c r="L230" i="6"/>
  <c r="N230" i="6" s="1"/>
  <c r="K230" i="6"/>
  <c r="J230" i="6"/>
  <c r="F230" i="6"/>
  <c r="E230" i="6"/>
  <c r="D230" i="6"/>
  <c r="M229" i="6"/>
  <c r="O229" i="6" s="1"/>
  <c r="L229" i="6"/>
  <c r="N229" i="6" s="1"/>
  <c r="K229" i="6"/>
  <c r="J229" i="6"/>
  <c r="F229" i="6"/>
  <c r="E229" i="6"/>
  <c r="D229" i="6"/>
  <c r="M228" i="6"/>
  <c r="O228" i="6" s="1"/>
  <c r="L228" i="6"/>
  <c r="N228" i="6" s="1"/>
  <c r="K228" i="6"/>
  <c r="J228" i="6"/>
  <c r="F228" i="6"/>
  <c r="E228" i="6"/>
  <c r="D228" i="6"/>
  <c r="M227" i="6"/>
  <c r="O227" i="6" s="1"/>
  <c r="L227" i="6"/>
  <c r="N227" i="6" s="1"/>
  <c r="K227" i="6"/>
  <c r="J227" i="6"/>
  <c r="F227" i="6"/>
  <c r="E227" i="6"/>
  <c r="D227" i="6"/>
  <c r="M226" i="6"/>
  <c r="O226" i="6" s="1"/>
  <c r="L226" i="6"/>
  <c r="N226" i="6" s="1"/>
  <c r="K226" i="6"/>
  <c r="J226" i="6"/>
  <c r="F226" i="6"/>
  <c r="E226" i="6"/>
  <c r="D226" i="6"/>
  <c r="M225" i="6"/>
  <c r="O225" i="6" s="1"/>
  <c r="L225" i="6"/>
  <c r="N225" i="6" s="1"/>
  <c r="K225" i="6"/>
  <c r="J225" i="6"/>
  <c r="M224" i="6"/>
  <c r="O224" i="6" s="1"/>
  <c r="L224" i="6"/>
  <c r="N224" i="6" s="1"/>
  <c r="G224" i="6" s="1"/>
  <c r="K224" i="6"/>
  <c r="J224" i="6"/>
  <c r="F224" i="6"/>
  <c r="E224" i="6"/>
  <c r="D224" i="6"/>
  <c r="M223" i="6"/>
  <c r="O223" i="6" s="1"/>
  <c r="L223" i="6"/>
  <c r="N223" i="6" s="1"/>
  <c r="K223" i="6"/>
  <c r="J223" i="6"/>
  <c r="F223" i="6"/>
  <c r="E223" i="6"/>
  <c r="D223" i="6"/>
  <c r="M222" i="6"/>
  <c r="O222" i="6" s="1"/>
  <c r="L222" i="6"/>
  <c r="N222" i="6" s="1"/>
  <c r="K222" i="6"/>
  <c r="J222" i="6"/>
  <c r="F222" i="6"/>
  <c r="E222" i="6"/>
  <c r="D222" i="6"/>
  <c r="M221" i="6"/>
  <c r="O221" i="6" s="1"/>
  <c r="L221" i="6"/>
  <c r="N221" i="6" s="1"/>
  <c r="K221" i="6"/>
  <c r="J221" i="6"/>
  <c r="F221" i="6"/>
  <c r="E221" i="6"/>
  <c r="D221" i="6"/>
  <c r="M220" i="6"/>
  <c r="O220" i="6" s="1"/>
  <c r="L220" i="6"/>
  <c r="N220" i="6" s="1"/>
  <c r="K220" i="6"/>
  <c r="J220" i="6"/>
  <c r="F220" i="6"/>
  <c r="E220" i="6"/>
  <c r="D220" i="6"/>
  <c r="M219" i="6"/>
  <c r="O219" i="6" s="1"/>
  <c r="L219" i="6"/>
  <c r="N219" i="6" s="1"/>
  <c r="K219" i="6"/>
  <c r="J219" i="6"/>
  <c r="F219" i="6"/>
  <c r="E219" i="6"/>
  <c r="D219" i="6"/>
  <c r="M218" i="6"/>
  <c r="O218" i="6" s="1"/>
  <c r="L218" i="6"/>
  <c r="N218" i="6" s="1"/>
  <c r="K218" i="6"/>
  <c r="J218" i="6"/>
  <c r="F218" i="6"/>
  <c r="E218" i="6"/>
  <c r="D218" i="6"/>
  <c r="M217" i="6"/>
  <c r="O217" i="6" s="1"/>
  <c r="L217" i="6"/>
  <c r="N217" i="6" s="1"/>
  <c r="K217" i="6"/>
  <c r="J217" i="6"/>
  <c r="F217" i="6"/>
  <c r="E217" i="6"/>
  <c r="D217" i="6"/>
  <c r="M216" i="6"/>
  <c r="O216" i="6" s="1"/>
  <c r="L216" i="6"/>
  <c r="N216" i="6" s="1"/>
  <c r="K216" i="6"/>
  <c r="J216" i="6"/>
  <c r="F216" i="6"/>
  <c r="E216" i="6"/>
  <c r="D216" i="6"/>
  <c r="M215" i="6"/>
  <c r="O215" i="6" s="1"/>
  <c r="L215" i="6"/>
  <c r="N215" i="6" s="1"/>
  <c r="K215" i="6"/>
  <c r="J215" i="6"/>
  <c r="F215" i="6"/>
  <c r="E215" i="6"/>
  <c r="D215" i="6"/>
  <c r="M214" i="6"/>
  <c r="O214" i="6" s="1"/>
  <c r="L214" i="6"/>
  <c r="N214" i="6" s="1"/>
  <c r="K214" i="6"/>
  <c r="J214" i="6"/>
  <c r="F214" i="6"/>
  <c r="E214" i="6"/>
  <c r="D214" i="6"/>
  <c r="N213" i="6"/>
  <c r="M213" i="6"/>
  <c r="O213" i="6" s="1"/>
  <c r="G213" i="6" s="1"/>
  <c r="L213" i="6"/>
  <c r="K213" i="6"/>
  <c r="J213" i="6"/>
  <c r="F213" i="6"/>
  <c r="E213" i="6"/>
  <c r="D213" i="6"/>
  <c r="M212" i="6"/>
  <c r="O212" i="6" s="1"/>
  <c r="L212" i="6"/>
  <c r="N212" i="6" s="1"/>
  <c r="K212" i="6"/>
  <c r="J212" i="6"/>
  <c r="F212" i="6"/>
  <c r="E212" i="6"/>
  <c r="D212" i="6"/>
  <c r="M211" i="6"/>
  <c r="O211" i="6" s="1"/>
  <c r="L211" i="6"/>
  <c r="N211" i="6" s="1"/>
  <c r="K211" i="6"/>
  <c r="J211" i="6"/>
  <c r="F211" i="6"/>
  <c r="E211" i="6"/>
  <c r="D211" i="6"/>
  <c r="M210" i="6"/>
  <c r="O210" i="6" s="1"/>
  <c r="L210" i="6"/>
  <c r="N210" i="6" s="1"/>
  <c r="K210" i="6"/>
  <c r="J210" i="6"/>
  <c r="F210" i="6"/>
  <c r="E210" i="6"/>
  <c r="D210" i="6"/>
  <c r="M209" i="6"/>
  <c r="O209" i="6" s="1"/>
  <c r="L209" i="6"/>
  <c r="N209" i="6" s="1"/>
  <c r="G209" i="6" s="1"/>
  <c r="K209" i="6"/>
  <c r="J209" i="6"/>
  <c r="F209" i="6"/>
  <c r="E209" i="6"/>
  <c r="D209" i="6"/>
  <c r="M208" i="6"/>
  <c r="O208" i="6" s="1"/>
  <c r="L208" i="6"/>
  <c r="N208" i="6" s="1"/>
  <c r="K208" i="6"/>
  <c r="J208" i="6"/>
  <c r="M207" i="6"/>
  <c r="O207" i="6" s="1"/>
  <c r="L207" i="6"/>
  <c r="N207" i="6" s="1"/>
  <c r="K207" i="6"/>
  <c r="J207" i="6"/>
  <c r="F207" i="6"/>
  <c r="E207" i="6"/>
  <c r="D207" i="6"/>
  <c r="M206" i="6"/>
  <c r="O206" i="6" s="1"/>
  <c r="L206" i="6"/>
  <c r="N206" i="6" s="1"/>
  <c r="K206" i="6"/>
  <c r="J206" i="6"/>
  <c r="M205" i="6"/>
  <c r="O205" i="6" s="1"/>
  <c r="L205" i="6"/>
  <c r="N205" i="6" s="1"/>
  <c r="K205" i="6"/>
  <c r="J205" i="6"/>
  <c r="F205" i="6"/>
  <c r="E205" i="6"/>
  <c r="D205" i="6"/>
  <c r="N204" i="6"/>
  <c r="M204" i="6"/>
  <c r="O204" i="6" s="1"/>
  <c r="L204" i="6"/>
  <c r="K204" i="6"/>
  <c r="J204" i="6"/>
  <c r="N203" i="6"/>
  <c r="M203" i="6"/>
  <c r="O203" i="6" s="1"/>
  <c r="L203" i="6"/>
  <c r="K203" i="6"/>
  <c r="J203" i="6"/>
  <c r="M202" i="6"/>
  <c r="O202" i="6" s="1"/>
  <c r="L202" i="6"/>
  <c r="N202" i="6" s="1"/>
  <c r="K202" i="6"/>
  <c r="J202" i="6"/>
  <c r="F202" i="6"/>
  <c r="E202" i="6"/>
  <c r="D202" i="6"/>
  <c r="M201" i="6"/>
  <c r="O201" i="6" s="1"/>
  <c r="L201" i="6"/>
  <c r="N201" i="6" s="1"/>
  <c r="K201" i="6"/>
  <c r="J201" i="6"/>
  <c r="F201" i="6"/>
  <c r="E201" i="6"/>
  <c r="D201" i="6"/>
  <c r="M200" i="6"/>
  <c r="O200" i="6" s="1"/>
  <c r="L200" i="6"/>
  <c r="N200" i="6" s="1"/>
  <c r="K200" i="6"/>
  <c r="J200" i="6"/>
  <c r="F200" i="6"/>
  <c r="E200" i="6"/>
  <c r="D200" i="6"/>
  <c r="M199" i="6"/>
  <c r="O199" i="6" s="1"/>
  <c r="L199" i="6"/>
  <c r="N199" i="6" s="1"/>
  <c r="K199" i="6"/>
  <c r="J199" i="6"/>
  <c r="F199" i="6"/>
  <c r="E199" i="6"/>
  <c r="D199" i="6"/>
  <c r="M198" i="6"/>
  <c r="O198" i="6" s="1"/>
  <c r="L198" i="6"/>
  <c r="N198" i="6" s="1"/>
  <c r="K198" i="6"/>
  <c r="J198" i="6"/>
  <c r="O197" i="6"/>
  <c r="M197" i="6"/>
  <c r="L197" i="6"/>
  <c r="N197" i="6" s="1"/>
  <c r="K197" i="6"/>
  <c r="J197" i="6"/>
  <c r="M196" i="6"/>
  <c r="O196" i="6" s="1"/>
  <c r="L196" i="6"/>
  <c r="N196" i="6" s="1"/>
  <c r="K196" i="6"/>
  <c r="J196" i="6"/>
  <c r="M195" i="6"/>
  <c r="O195" i="6" s="1"/>
  <c r="L195" i="6"/>
  <c r="N195" i="6" s="1"/>
  <c r="K195" i="6"/>
  <c r="J195" i="6"/>
  <c r="M194" i="6"/>
  <c r="O194" i="6" s="1"/>
  <c r="L194" i="6"/>
  <c r="N194" i="6" s="1"/>
  <c r="K194" i="6"/>
  <c r="J194" i="6"/>
  <c r="O193" i="6"/>
  <c r="M193" i="6"/>
  <c r="L193" i="6"/>
  <c r="N193" i="6" s="1"/>
  <c r="K193" i="6"/>
  <c r="J193" i="6"/>
  <c r="F193" i="6"/>
  <c r="E193" i="6"/>
  <c r="D193" i="6"/>
  <c r="P192" i="6"/>
  <c r="D192" i="6" s="1"/>
  <c r="M192" i="6"/>
  <c r="O192" i="6" s="1"/>
  <c r="L192" i="6"/>
  <c r="N192" i="6" s="1"/>
  <c r="K192" i="6"/>
  <c r="J192" i="6"/>
  <c r="F192" i="6"/>
  <c r="E192" i="6"/>
  <c r="M191" i="6"/>
  <c r="O191" i="6" s="1"/>
  <c r="L191" i="6"/>
  <c r="N191" i="6" s="1"/>
  <c r="K191" i="6"/>
  <c r="J191" i="6"/>
  <c r="F191" i="6"/>
  <c r="E191" i="6"/>
  <c r="D191" i="6"/>
  <c r="M190" i="6"/>
  <c r="O190" i="6" s="1"/>
  <c r="L190" i="6"/>
  <c r="N190" i="6" s="1"/>
  <c r="K190" i="6"/>
  <c r="J190" i="6"/>
  <c r="M189" i="6"/>
  <c r="O189" i="6" s="1"/>
  <c r="L189" i="6"/>
  <c r="N189" i="6" s="1"/>
  <c r="K189" i="6"/>
  <c r="J189" i="6"/>
  <c r="F189" i="6"/>
  <c r="E189" i="6"/>
  <c r="D189" i="6"/>
  <c r="M188" i="6"/>
  <c r="O188" i="6" s="1"/>
  <c r="L188" i="6"/>
  <c r="N188" i="6" s="1"/>
  <c r="K188" i="6"/>
  <c r="J188" i="6"/>
  <c r="F188" i="6"/>
  <c r="E188" i="6"/>
  <c r="D188" i="6"/>
  <c r="O187" i="6"/>
  <c r="M187" i="6"/>
  <c r="L187" i="6"/>
  <c r="N187" i="6" s="1"/>
  <c r="K187" i="6"/>
  <c r="J187" i="6"/>
  <c r="F187" i="6"/>
  <c r="E187" i="6"/>
  <c r="D187" i="6"/>
  <c r="O186" i="6"/>
  <c r="M186" i="6"/>
  <c r="L186" i="6"/>
  <c r="N186" i="6" s="1"/>
  <c r="K186" i="6"/>
  <c r="J186" i="6"/>
  <c r="F186" i="6"/>
  <c r="E186" i="6"/>
  <c r="D186" i="6"/>
  <c r="M185" i="6"/>
  <c r="O185" i="6" s="1"/>
  <c r="L185" i="6"/>
  <c r="N185" i="6" s="1"/>
  <c r="K185" i="6"/>
  <c r="J185" i="6"/>
  <c r="M184" i="6"/>
  <c r="O184" i="6" s="1"/>
  <c r="L184" i="6"/>
  <c r="N184" i="6" s="1"/>
  <c r="K184" i="6"/>
  <c r="J184" i="6"/>
  <c r="M183" i="6"/>
  <c r="O183" i="6" s="1"/>
  <c r="L183" i="6"/>
  <c r="N183" i="6" s="1"/>
  <c r="K183" i="6"/>
  <c r="J183" i="6"/>
  <c r="M182" i="6"/>
  <c r="O182" i="6" s="1"/>
  <c r="L182" i="6"/>
  <c r="N182" i="6" s="1"/>
  <c r="K182" i="6"/>
  <c r="J182" i="6"/>
  <c r="O181" i="6"/>
  <c r="M181" i="6"/>
  <c r="L181" i="6"/>
  <c r="N181" i="6" s="1"/>
  <c r="K181" i="6"/>
  <c r="J181" i="6"/>
  <c r="M180" i="6"/>
  <c r="O180" i="6" s="1"/>
  <c r="L180" i="6"/>
  <c r="N180" i="6" s="1"/>
  <c r="K180" i="6"/>
  <c r="J180" i="6"/>
  <c r="M179" i="6"/>
  <c r="O179" i="6" s="1"/>
  <c r="L179" i="6"/>
  <c r="N179" i="6" s="1"/>
  <c r="K179" i="6"/>
  <c r="J179" i="6"/>
  <c r="M178" i="6"/>
  <c r="O178" i="6" s="1"/>
  <c r="L178" i="6"/>
  <c r="N178" i="6" s="1"/>
  <c r="K178" i="6"/>
  <c r="J178" i="6"/>
  <c r="F178" i="6"/>
  <c r="E178" i="6"/>
  <c r="D178" i="6"/>
  <c r="M177" i="6"/>
  <c r="O177" i="6" s="1"/>
  <c r="L177" i="6"/>
  <c r="N177" i="6" s="1"/>
  <c r="K177" i="6"/>
  <c r="J177" i="6"/>
  <c r="M176" i="6"/>
  <c r="O176" i="6" s="1"/>
  <c r="L176" i="6"/>
  <c r="N176" i="6" s="1"/>
  <c r="G176" i="6" s="1"/>
  <c r="K176" i="6"/>
  <c r="J176" i="6"/>
  <c r="F176" i="6"/>
  <c r="E176" i="6"/>
  <c r="D176" i="6"/>
  <c r="M175" i="6"/>
  <c r="O175" i="6" s="1"/>
  <c r="L175" i="6"/>
  <c r="N175" i="6" s="1"/>
  <c r="K175" i="6"/>
  <c r="J175" i="6"/>
  <c r="F175" i="6"/>
  <c r="E175" i="6"/>
  <c r="D175" i="6"/>
  <c r="M174" i="6"/>
  <c r="O174" i="6" s="1"/>
  <c r="L174" i="6"/>
  <c r="N174" i="6" s="1"/>
  <c r="K174" i="6"/>
  <c r="J174" i="6"/>
  <c r="F174" i="6"/>
  <c r="E174" i="6"/>
  <c r="D174" i="6"/>
  <c r="M173" i="6"/>
  <c r="O173" i="6" s="1"/>
  <c r="L173" i="6"/>
  <c r="N173" i="6" s="1"/>
  <c r="K173" i="6"/>
  <c r="J173" i="6"/>
  <c r="F173" i="6"/>
  <c r="E173" i="6"/>
  <c r="D173" i="6"/>
  <c r="M172" i="6"/>
  <c r="O172" i="6" s="1"/>
  <c r="L172" i="6"/>
  <c r="N172" i="6" s="1"/>
  <c r="K172" i="6"/>
  <c r="J172" i="6"/>
  <c r="F172" i="6"/>
  <c r="E172" i="6"/>
  <c r="D172" i="6"/>
  <c r="M171" i="6"/>
  <c r="O171" i="6" s="1"/>
  <c r="L171" i="6"/>
  <c r="N171" i="6" s="1"/>
  <c r="K171" i="6"/>
  <c r="G171" i="6" s="1"/>
  <c r="J171" i="6"/>
  <c r="F171" i="6"/>
  <c r="E171" i="6"/>
  <c r="D171" i="6"/>
  <c r="M170" i="6"/>
  <c r="O170" i="6" s="1"/>
  <c r="L170" i="6"/>
  <c r="N170" i="6" s="1"/>
  <c r="K170" i="6"/>
  <c r="J170" i="6"/>
  <c r="F170" i="6"/>
  <c r="E170" i="6"/>
  <c r="D170" i="6"/>
  <c r="M169" i="6"/>
  <c r="O169" i="6" s="1"/>
  <c r="L169" i="6"/>
  <c r="N169" i="6" s="1"/>
  <c r="K169" i="6"/>
  <c r="J169" i="6"/>
  <c r="M168" i="6"/>
  <c r="O168" i="6" s="1"/>
  <c r="L168" i="6"/>
  <c r="N168" i="6" s="1"/>
  <c r="K168" i="6"/>
  <c r="J168" i="6"/>
  <c r="M167" i="6"/>
  <c r="O167" i="6" s="1"/>
  <c r="L167" i="6"/>
  <c r="N167" i="6" s="1"/>
  <c r="K167" i="6"/>
  <c r="J167" i="6"/>
  <c r="M166" i="6"/>
  <c r="O166" i="6" s="1"/>
  <c r="L166" i="6"/>
  <c r="N166" i="6" s="1"/>
  <c r="K166" i="6"/>
  <c r="J166" i="6"/>
  <c r="M165" i="6"/>
  <c r="O165" i="6" s="1"/>
  <c r="L165" i="6"/>
  <c r="N165" i="6" s="1"/>
  <c r="K165" i="6"/>
  <c r="J165" i="6"/>
  <c r="M164" i="6"/>
  <c r="O164" i="6" s="1"/>
  <c r="L164" i="6"/>
  <c r="N164" i="6" s="1"/>
  <c r="K164" i="6"/>
  <c r="J164" i="6"/>
  <c r="M163" i="6"/>
  <c r="O163" i="6" s="1"/>
  <c r="L163" i="6"/>
  <c r="N163" i="6" s="1"/>
  <c r="K163" i="6"/>
  <c r="J163" i="6"/>
  <c r="M162" i="6"/>
  <c r="O162" i="6" s="1"/>
  <c r="L162" i="6"/>
  <c r="N162" i="6" s="1"/>
  <c r="K162" i="6"/>
  <c r="J162" i="6"/>
  <c r="M161" i="6"/>
  <c r="O161" i="6" s="1"/>
  <c r="L161" i="6"/>
  <c r="N161" i="6" s="1"/>
  <c r="K161" i="6"/>
  <c r="J161" i="6"/>
  <c r="M160" i="6"/>
  <c r="O160" i="6" s="1"/>
  <c r="L160" i="6"/>
  <c r="N160" i="6" s="1"/>
  <c r="K160" i="6"/>
  <c r="J160" i="6"/>
  <c r="M159" i="6"/>
  <c r="O159" i="6" s="1"/>
  <c r="L159" i="6"/>
  <c r="N159" i="6" s="1"/>
  <c r="K159" i="6"/>
  <c r="J159" i="6"/>
  <c r="M158" i="6"/>
  <c r="O158" i="6" s="1"/>
  <c r="L158" i="6"/>
  <c r="N158" i="6" s="1"/>
  <c r="K158" i="6"/>
  <c r="J158" i="6"/>
  <c r="O157" i="6"/>
  <c r="M157" i="6"/>
  <c r="L157" i="6"/>
  <c r="N157" i="6" s="1"/>
  <c r="K157" i="6"/>
  <c r="J157" i="6"/>
  <c r="F157" i="6"/>
  <c r="E157" i="6"/>
  <c r="D157" i="6"/>
  <c r="M156" i="6"/>
  <c r="O156" i="6" s="1"/>
  <c r="L156" i="6"/>
  <c r="N156" i="6" s="1"/>
  <c r="K156" i="6"/>
  <c r="J156" i="6"/>
  <c r="F156" i="6"/>
  <c r="E156" i="6"/>
  <c r="D156" i="6"/>
  <c r="M155" i="6"/>
  <c r="O155" i="6" s="1"/>
  <c r="L155" i="6"/>
  <c r="N155" i="6" s="1"/>
  <c r="K155" i="6"/>
  <c r="J155" i="6"/>
  <c r="F155" i="6"/>
  <c r="E155" i="6"/>
  <c r="D155" i="6"/>
  <c r="M154" i="6"/>
  <c r="O154" i="6" s="1"/>
  <c r="L154" i="6"/>
  <c r="N154" i="6" s="1"/>
  <c r="K154" i="6"/>
  <c r="J154" i="6"/>
  <c r="M153" i="6"/>
  <c r="O153" i="6" s="1"/>
  <c r="L153" i="6"/>
  <c r="N153" i="6" s="1"/>
  <c r="K153" i="6"/>
  <c r="J153" i="6"/>
  <c r="F153" i="6"/>
  <c r="E153" i="6"/>
  <c r="D153" i="6"/>
  <c r="M152" i="6"/>
  <c r="O152" i="6" s="1"/>
  <c r="L152" i="6"/>
  <c r="N152" i="6" s="1"/>
  <c r="K152" i="6"/>
  <c r="J152" i="6"/>
  <c r="M151" i="6"/>
  <c r="O151" i="6" s="1"/>
  <c r="L151" i="6"/>
  <c r="N151" i="6" s="1"/>
  <c r="K151" i="6"/>
  <c r="J151" i="6"/>
  <c r="M150" i="6"/>
  <c r="O150" i="6" s="1"/>
  <c r="L150" i="6"/>
  <c r="N150" i="6" s="1"/>
  <c r="K150" i="6"/>
  <c r="J150" i="6"/>
  <c r="M149" i="6"/>
  <c r="O149" i="6" s="1"/>
  <c r="L149" i="6"/>
  <c r="N149" i="6" s="1"/>
  <c r="K149" i="6"/>
  <c r="J149" i="6"/>
  <c r="F149" i="6"/>
  <c r="E149" i="6"/>
  <c r="D149" i="6"/>
  <c r="M148" i="6"/>
  <c r="O148" i="6" s="1"/>
  <c r="L148" i="6"/>
  <c r="N148" i="6" s="1"/>
  <c r="K148" i="6"/>
  <c r="J148" i="6"/>
  <c r="M147" i="6"/>
  <c r="O147" i="6" s="1"/>
  <c r="L147" i="6"/>
  <c r="N147" i="6" s="1"/>
  <c r="K147" i="6"/>
  <c r="J147" i="6"/>
  <c r="F147" i="6"/>
  <c r="E147" i="6"/>
  <c r="D147" i="6"/>
  <c r="M146" i="6"/>
  <c r="O146" i="6" s="1"/>
  <c r="G146" i="6" s="1"/>
  <c r="L146" i="6"/>
  <c r="N146" i="6" s="1"/>
  <c r="K146" i="6"/>
  <c r="J146" i="6"/>
  <c r="F146" i="6"/>
  <c r="E146" i="6"/>
  <c r="D146" i="6"/>
  <c r="O145" i="6"/>
  <c r="M145" i="6"/>
  <c r="L145" i="6"/>
  <c r="N145" i="6" s="1"/>
  <c r="K145" i="6"/>
  <c r="J145" i="6"/>
  <c r="F145" i="6"/>
  <c r="E145" i="6"/>
  <c r="D145" i="6"/>
  <c r="M144" i="6"/>
  <c r="O144" i="6" s="1"/>
  <c r="L144" i="6"/>
  <c r="N144" i="6" s="1"/>
  <c r="K144" i="6"/>
  <c r="J144" i="6"/>
  <c r="F144" i="6"/>
  <c r="E144" i="6"/>
  <c r="D144" i="6"/>
  <c r="M143" i="6"/>
  <c r="O143" i="6" s="1"/>
  <c r="L143" i="6"/>
  <c r="N143" i="6" s="1"/>
  <c r="K143" i="6"/>
  <c r="J143" i="6"/>
  <c r="F143" i="6"/>
  <c r="E143" i="6"/>
  <c r="D143" i="6"/>
  <c r="M142" i="6"/>
  <c r="O142" i="6" s="1"/>
  <c r="L142" i="6"/>
  <c r="N142" i="6" s="1"/>
  <c r="K142" i="6"/>
  <c r="J142" i="6"/>
  <c r="F142" i="6"/>
  <c r="E142" i="6"/>
  <c r="D142" i="6"/>
  <c r="M141" i="6"/>
  <c r="O141" i="6" s="1"/>
  <c r="L141" i="6"/>
  <c r="N141" i="6" s="1"/>
  <c r="K141" i="6"/>
  <c r="J141" i="6"/>
  <c r="F141" i="6"/>
  <c r="E141" i="6"/>
  <c r="D141" i="6"/>
  <c r="M140" i="6"/>
  <c r="O140" i="6" s="1"/>
  <c r="L140" i="6"/>
  <c r="N140" i="6" s="1"/>
  <c r="K140" i="6"/>
  <c r="J140" i="6"/>
  <c r="F140" i="6"/>
  <c r="E140" i="6"/>
  <c r="D140" i="6"/>
  <c r="M139" i="6"/>
  <c r="O139" i="6" s="1"/>
  <c r="L139" i="6"/>
  <c r="N139" i="6" s="1"/>
  <c r="K139" i="6"/>
  <c r="J139" i="6"/>
  <c r="F139" i="6"/>
  <c r="E139" i="6"/>
  <c r="D139" i="6"/>
  <c r="M138" i="6"/>
  <c r="O138" i="6" s="1"/>
  <c r="L138" i="6"/>
  <c r="N138" i="6" s="1"/>
  <c r="K138" i="6"/>
  <c r="J138" i="6"/>
  <c r="F138" i="6"/>
  <c r="E138" i="6"/>
  <c r="D138" i="6"/>
  <c r="M137" i="6"/>
  <c r="O137" i="6" s="1"/>
  <c r="L137" i="6"/>
  <c r="N137" i="6" s="1"/>
  <c r="K137" i="6"/>
  <c r="J137" i="6"/>
  <c r="F137" i="6"/>
  <c r="E137" i="6"/>
  <c r="D137" i="6"/>
  <c r="M136" i="6"/>
  <c r="O136" i="6" s="1"/>
  <c r="L136" i="6"/>
  <c r="N136" i="6" s="1"/>
  <c r="K136" i="6"/>
  <c r="J136" i="6"/>
  <c r="F136" i="6"/>
  <c r="E136" i="6"/>
  <c r="D136" i="6"/>
  <c r="M135" i="6"/>
  <c r="O135" i="6" s="1"/>
  <c r="L135" i="6"/>
  <c r="N135" i="6" s="1"/>
  <c r="K135" i="6"/>
  <c r="J135" i="6"/>
  <c r="F135" i="6"/>
  <c r="E135" i="6"/>
  <c r="D135" i="6"/>
  <c r="M134" i="6"/>
  <c r="O134" i="6" s="1"/>
  <c r="L134" i="6"/>
  <c r="N134" i="6" s="1"/>
  <c r="K134" i="6"/>
  <c r="J134" i="6"/>
  <c r="F134" i="6"/>
  <c r="E134" i="6"/>
  <c r="D134" i="6"/>
  <c r="M133" i="6"/>
  <c r="O133" i="6" s="1"/>
  <c r="L133" i="6"/>
  <c r="N133" i="6" s="1"/>
  <c r="K133" i="6"/>
  <c r="J133" i="6"/>
  <c r="F133" i="6"/>
  <c r="E133" i="6"/>
  <c r="D133" i="6"/>
  <c r="M132" i="6"/>
  <c r="O132" i="6" s="1"/>
  <c r="L132" i="6"/>
  <c r="N132" i="6" s="1"/>
  <c r="K132" i="6"/>
  <c r="J132" i="6"/>
  <c r="M131" i="6"/>
  <c r="O131" i="6" s="1"/>
  <c r="L131" i="6"/>
  <c r="N131" i="6" s="1"/>
  <c r="K131" i="6"/>
  <c r="J131" i="6"/>
  <c r="M130" i="6"/>
  <c r="O130" i="6" s="1"/>
  <c r="L130" i="6"/>
  <c r="N130" i="6" s="1"/>
  <c r="K130" i="6"/>
  <c r="J130" i="6"/>
  <c r="M129" i="6"/>
  <c r="O129" i="6" s="1"/>
  <c r="L129" i="6"/>
  <c r="N129" i="6" s="1"/>
  <c r="K129" i="6"/>
  <c r="J129" i="6"/>
  <c r="F129" i="6"/>
  <c r="E129" i="6"/>
  <c r="D129" i="6"/>
  <c r="M128" i="6"/>
  <c r="O128" i="6" s="1"/>
  <c r="L128" i="6"/>
  <c r="N128" i="6" s="1"/>
  <c r="K128" i="6"/>
  <c r="J128" i="6"/>
  <c r="F128" i="6"/>
  <c r="E128" i="6"/>
  <c r="D128" i="6"/>
  <c r="M127" i="6"/>
  <c r="O127" i="6" s="1"/>
  <c r="L127" i="6"/>
  <c r="N127" i="6" s="1"/>
  <c r="K127" i="6"/>
  <c r="J127" i="6"/>
  <c r="M126" i="6"/>
  <c r="O126" i="6" s="1"/>
  <c r="L126" i="6"/>
  <c r="N126" i="6" s="1"/>
  <c r="K126" i="6"/>
  <c r="J126" i="6"/>
  <c r="M125" i="6"/>
  <c r="O125" i="6" s="1"/>
  <c r="L125" i="6"/>
  <c r="N125" i="6" s="1"/>
  <c r="K125" i="6"/>
  <c r="J125" i="6"/>
  <c r="M124" i="6"/>
  <c r="O124" i="6" s="1"/>
  <c r="L124" i="6"/>
  <c r="N124" i="6" s="1"/>
  <c r="K124" i="6"/>
  <c r="J124" i="6"/>
  <c r="M123" i="6"/>
  <c r="O123" i="6" s="1"/>
  <c r="L123" i="6"/>
  <c r="N123" i="6" s="1"/>
  <c r="K123" i="6"/>
  <c r="J123" i="6"/>
  <c r="F123" i="6"/>
  <c r="E123" i="6"/>
  <c r="D123" i="6"/>
  <c r="M122" i="6"/>
  <c r="O122" i="6" s="1"/>
  <c r="L122" i="6"/>
  <c r="N122" i="6" s="1"/>
  <c r="K122" i="6"/>
  <c r="J122" i="6"/>
  <c r="F122" i="6"/>
  <c r="E122" i="6"/>
  <c r="D122" i="6"/>
  <c r="M121" i="6"/>
  <c r="O121" i="6" s="1"/>
  <c r="L121" i="6"/>
  <c r="N121" i="6" s="1"/>
  <c r="K121" i="6"/>
  <c r="J121" i="6"/>
  <c r="F121" i="6"/>
  <c r="E121" i="6"/>
  <c r="D121" i="6"/>
  <c r="M120" i="6"/>
  <c r="O120" i="6" s="1"/>
  <c r="L120" i="6"/>
  <c r="N120" i="6" s="1"/>
  <c r="K120" i="6"/>
  <c r="J120" i="6"/>
  <c r="F120" i="6"/>
  <c r="E120" i="6"/>
  <c r="D120" i="6"/>
  <c r="M119" i="6"/>
  <c r="O119" i="6" s="1"/>
  <c r="L119" i="6"/>
  <c r="N119" i="6" s="1"/>
  <c r="K119" i="6"/>
  <c r="J119" i="6"/>
  <c r="M118" i="6"/>
  <c r="O118" i="6" s="1"/>
  <c r="L118" i="6"/>
  <c r="N118" i="6" s="1"/>
  <c r="K118" i="6"/>
  <c r="G118" i="6" s="1"/>
  <c r="J118" i="6"/>
  <c r="F118" i="6"/>
  <c r="E118" i="6"/>
  <c r="D118" i="6"/>
  <c r="M117" i="6"/>
  <c r="O117" i="6" s="1"/>
  <c r="L117" i="6"/>
  <c r="N117" i="6" s="1"/>
  <c r="K117" i="6"/>
  <c r="J117" i="6"/>
  <c r="F117" i="6"/>
  <c r="E117" i="6"/>
  <c r="D117" i="6"/>
  <c r="M116" i="6"/>
  <c r="O116" i="6" s="1"/>
  <c r="L116" i="6"/>
  <c r="N116" i="6" s="1"/>
  <c r="K116" i="6"/>
  <c r="J116" i="6"/>
  <c r="F116" i="6"/>
  <c r="E116" i="6"/>
  <c r="D116" i="6"/>
  <c r="M115" i="6"/>
  <c r="O115" i="6" s="1"/>
  <c r="L115" i="6"/>
  <c r="N115" i="6" s="1"/>
  <c r="K115" i="6"/>
  <c r="J115" i="6"/>
  <c r="F115" i="6"/>
  <c r="E115" i="6"/>
  <c r="D115" i="6"/>
  <c r="M114" i="6"/>
  <c r="O114" i="6" s="1"/>
  <c r="L114" i="6"/>
  <c r="N114" i="6" s="1"/>
  <c r="K114" i="6"/>
  <c r="J114" i="6"/>
  <c r="M113" i="6"/>
  <c r="O113" i="6" s="1"/>
  <c r="L113" i="6"/>
  <c r="N113" i="6" s="1"/>
  <c r="K113" i="6"/>
  <c r="J113" i="6"/>
  <c r="M112" i="6"/>
  <c r="O112" i="6" s="1"/>
  <c r="L112" i="6"/>
  <c r="N112" i="6" s="1"/>
  <c r="K112" i="6"/>
  <c r="J112" i="6"/>
  <c r="M111" i="6"/>
  <c r="O111" i="6" s="1"/>
  <c r="L111" i="6"/>
  <c r="N111" i="6" s="1"/>
  <c r="K111" i="6"/>
  <c r="J111" i="6"/>
  <c r="M110" i="6"/>
  <c r="O110" i="6" s="1"/>
  <c r="L110" i="6"/>
  <c r="N110" i="6" s="1"/>
  <c r="K110" i="6"/>
  <c r="J110" i="6"/>
  <c r="F110" i="6"/>
  <c r="E110" i="6"/>
  <c r="D110" i="6"/>
  <c r="M109" i="6"/>
  <c r="O109" i="6" s="1"/>
  <c r="L109" i="6"/>
  <c r="N109" i="6" s="1"/>
  <c r="K109" i="6"/>
  <c r="J109" i="6"/>
  <c r="F109" i="6"/>
  <c r="E109" i="6"/>
  <c r="D109" i="6"/>
  <c r="M108" i="6"/>
  <c r="O108" i="6" s="1"/>
  <c r="L108" i="6"/>
  <c r="N108" i="6" s="1"/>
  <c r="K108" i="6"/>
  <c r="J108" i="6"/>
  <c r="M107" i="6"/>
  <c r="O107" i="6" s="1"/>
  <c r="L107" i="6"/>
  <c r="N107" i="6" s="1"/>
  <c r="K107" i="6"/>
  <c r="J107" i="6"/>
  <c r="M106" i="6"/>
  <c r="O106" i="6" s="1"/>
  <c r="L106" i="6"/>
  <c r="N106" i="6" s="1"/>
  <c r="K106" i="6"/>
  <c r="J106" i="6"/>
  <c r="F106" i="6"/>
  <c r="E106" i="6"/>
  <c r="D106" i="6"/>
  <c r="M105" i="6"/>
  <c r="O105" i="6" s="1"/>
  <c r="L105" i="6"/>
  <c r="N105" i="6" s="1"/>
  <c r="K105" i="6"/>
  <c r="J105" i="6"/>
  <c r="F105" i="6"/>
  <c r="E105" i="6"/>
  <c r="D105" i="6"/>
  <c r="M104" i="6"/>
  <c r="O104" i="6" s="1"/>
  <c r="L104" i="6"/>
  <c r="N104" i="6" s="1"/>
  <c r="K104" i="6"/>
  <c r="J104" i="6"/>
  <c r="F104" i="6"/>
  <c r="E104" i="6"/>
  <c r="D104" i="6"/>
  <c r="M103" i="6"/>
  <c r="O103" i="6" s="1"/>
  <c r="L103" i="6"/>
  <c r="N103" i="6" s="1"/>
  <c r="K103" i="6"/>
  <c r="J103" i="6"/>
  <c r="M102" i="6"/>
  <c r="O102" i="6" s="1"/>
  <c r="L102" i="6"/>
  <c r="N102" i="6" s="1"/>
  <c r="K102" i="6"/>
  <c r="J102" i="6"/>
  <c r="M101" i="6"/>
  <c r="O101" i="6" s="1"/>
  <c r="L101" i="6"/>
  <c r="N101" i="6" s="1"/>
  <c r="K101" i="6"/>
  <c r="J101" i="6"/>
  <c r="M100" i="6"/>
  <c r="O100" i="6" s="1"/>
  <c r="L100" i="6"/>
  <c r="N100" i="6" s="1"/>
  <c r="K100" i="6"/>
  <c r="J100" i="6"/>
  <c r="M99" i="6"/>
  <c r="O99" i="6" s="1"/>
  <c r="L99" i="6"/>
  <c r="N99" i="6" s="1"/>
  <c r="K99" i="6"/>
  <c r="J99" i="6"/>
  <c r="F99" i="6"/>
  <c r="E99" i="6"/>
  <c r="D99" i="6"/>
  <c r="M98" i="6"/>
  <c r="O98" i="6" s="1"/>
  <c r="L98" i="6"/>
  <c r="N98" i="6" s="1"/>
  <c r="K98" i="6"/>
  <c r="J98" i="6"/>
  <c r="F98" i="6"/>
  <c r="E98" i="6"/>
  <c r="D98" i="6"/>
  <c r="M97" i="6"/>
  <c r="O97" i="6" s="1"/>
  <c r="L97" i="6"/>
  <c r="N97" i="6" s="1"/>
  <c r="K97" i="6"/>
  <c r="J97" i="6"/>
  <c r="F97" i="6"/>
  <c r="E97" i="6"/>
  <c r="D97" i="6"/>
  <c r="M96" i="6"/>
  <c r="O96" i="6" s="1"/>
  <c r="L96" i="6"/>
  <c r="N96" i="6" s="1"/>
  <c r="K96" i="6"/>
  <c r="J96" i="6"/>
  <c r="M95" i="6"/>
  <c r="O95" i="6" s="1"/>
  <c r="L95" i="6"/>
  <c r="N95" i="6" s="1"/>
  <c r="K95" i="6"/>
  <c r="J95" i="6"/>
  <c r="O94" i="6"/>
  <c r="M94" i="6"/>
  <c r="L94" i="6"/>
  <c r="N94" i="6" s="1"/>
  <c r="K94" i="6"/>
  <c r="J94" i="6"/>
  <c r="M93" i="6"/>
  <c r="O93" i="6" s="1"/>
  <c r="L93" i="6"/>
  <c r="N93" i="6" s="1"/>
  <c r="K93" i="6"/>
  <c r="J93" i="6"/>
  <c r="M92" i="6"/>
  <c r="O92" i="6" s="1"/>
  <c r="L92" i="6"/>
  <c r="N92" i="6" s="1"/>
  <c r="K92" i="6"/>
  <c r="J92" i="6"/>
  <c r="M91" i="6"/>
  <c r="O91" i="6" s="1"/>
  <c r="L91" i="6"/>
  <c r="N91" i="6" s="1"/>
  <c r="K91" i="6"/>
  <c r="J91" i="6"/>
  <c r="F91" i="6"/>
  <c r="E91" i="6"/>
  <c r="D91" i="6"/>
  <c r="M90" i="6"/>
  <c r="O90" i="6" s="1"/>
  <c r="L90" i="6"/>
  <c r="N90" i="6" s="1"/>
  <c r="K90" i="6"/>
  <c r="J90" i="6"/>
  <c r="M89" i="6"/>
  <c r="O89" i="6" s="1"/>
  <c r="L89" i="6"/>
  <c r="N89" i="6" s="1"/>
  <c r="K89" i="6"/>
  <c r="J89" i="6"/>
  <c r="F89" i="6"/>
  <c r="E89" i="6"/>
  <c r="D89" i="6"/>
  <c r="M88" i="6"/>
  <c r="O88" i="6" s="1"/>
  <c r="L88" i="6"/>
  <c r="N88" i="6" s="1"/>
  <c r="K88" i="6"/>
  <c r="J88" i="6"/>
  <c r="F88" i="6"/>
  <c r="E88" i="6"/>
  <c r="D88" i="6"/>
  <c r="M87" i="6"/>
  <c r="O87" i="6" s="1"/>
  <c r="L87" i="6"/>
  <c r="N87" i="6" s="1"/>
  <c r="K87" i="6"/>
  <c r="J87" i="6"/>
  <c r="F87" i="6"/>
  <c r="E87" i="6"/>
  <c r="D87" i="6"/>
  <c r="N86" i="6"/>
  <c r="M86" i="6"/>
  <c r="O86" i="6" s="1"/>
  <c r="L86" i="6"/>
  <c r="K86" i="6"/>
  <c r="J86" i="6"/>
  <c r="F86" i="6"/>
  <c r="E86" i="6"/>
  <c r="D86" i="6"/>
  <c r="M85" i="6"/>
  <c r="O85" i="6" s="1"/>
  <c r="L85" i="6"/>
  <c r="N85" i="6" s="1"/>
  <c r="K85" i="6"/>
  <c r="J85" i="6"/>
  <c r="F85" i="6"/>
  <c r="E85" i="6"/>
  <c r="D85" i="6"/>
  <c r="M84" i="6"/>
  <c r="O84" i="6" s="1"/>
  <c r="L84" i="6"/>
  <c r="N84" i="6" s="1"/>
  <c r="K84" i="6"/>
  <c r="J84" i="6"/>
  <c r="F84" i="6"/>
  <c r="E84" i="6"/>
  <c r="D84" i="6"/>
  <c r="N83" i="6"/>
  <c r="M83" i="6"/>
  <c r="O83" i="6" s="1"/>
  <c r="L83" i="6"/>
  <c r="K83" i="6"/>
  <c r="J83" i="6"/>
  <c r="F83" i="6"/>
  <c r="E83" i="6"/>
  <c r="D83" i="6"/>
  <c r="M82" i="6"/>
  <c r="O82" i="6" s="1"/>
  <c r="L82" i="6"/>
  <c r="N82" i="6" s="1"/>
  <c r="K82" i="6"/>
  <c r="J82" i="6"/>
  <c r="F82" i="6"/>
  <c r="E82" i="6"/>
  <c r="D82" i="6"/>
  <c r="M81" i="6"/>
  <c r="O81" i="6" s="1"/>
  <c r="L81" i="6"/>
  <c r="N81" i="6" s="1"/>
  <c r="K81" i="6"/>
  <c r="J81" i="6"/>
  <c r="F81" i="6"/>
  <c r="E81" i="6"/>
  <c r="D81" i="6"/>
  <c r="M80" i="6"/>
  <c r="O80" i="6" s="1"/>
  <c r="L80" i="6"/>
  <c r="N80" i="6" s="1"/>
  <c r="K80" i="6"/>
  <c r="J80" i="6"/>
  <c r="F80" i="6"/>
  <c r="E80" i="6"/>
  <c r="D80" i="6"/>
  <c r="M79" i="6"/>
  <c r="O79" i="6" s="1"/>
  <c r="L79" i="6"/>
  <c r="N79" i="6" s="1"/>
  <c r="K79" i="6"/>
  <c r="J79" i="6"/>
  <c r="F79" i="6"/>
  <c r="E79" i="6"/>
  <c r="D79" i="6"/>
  <c r="M78" i="6"/>
  <c r="O78" i="6" s="1"/>
  <c r="L78" i="6"/>
  <c r="N78" i="6" s="1"/>
  <c r="K78" i="6"/>
  <c r="J78" i="6"/>
  <c r="F78" i="6"/>
  <c r="E78" i="6"/>
  <c r="D78" i="6"/>
  <c r="M77" i="6"/>
  <c r="O77" i="6" s="1"/>
  <c r="L77" i="6"/>
  <c r="N77" i="6" s="1"/>
  <c r="K77" i="6"/>
  <c r="J77" i="6"/>
  <c r="F77" i="6"/>
  <c r="E77" i="6"/>
  <c r="D77" i="6"/>
  <c r="M76" i="6"/>
  <c r="O76" i="6" s="1"/>
  <c r="L76" i="6"/>
  <c r="N76" i="6" s="1"/>
  <c r="K76" i="6"/>
  <c r="J76" i="6"/>
  <c r="F76" i="6"/>
  <c r="E76" i="6"/>
  <c r="D76" i="6"/>
  <c r="M75" i="6"/>
  <c r="O75" i="6" s="1"/>
  <c r="L75" i="6"/>
  <c r="N75" i="6" s="1"/>
  <c r="K75" i="6"/>
  <c r="J75" i="6"/>
  <c r="F75" i="6"/>
  <c r="E75" i="6"/>
  <c r="D75" i="6"/>
  <c r="M74" i="6"/>
  <c r="O74" i="6" s="1"/>
  <c r="L74" i="6"/>
  <c r="N74" i="6" s="1"/>
  <c r="K74" i="6"/>
  <c r="J74" i="6"/>
  <c r="F74" i="6"/>
  <c r="E74" i="6"/>
  <c r="D74" i="6"/>
  <c r="M73" i="6"/>
  <c r="O73" i="6" s="1"/>
  <c r="L73" i="6"/>
  <c r="N73" i="6" s="1"/>
  <c r="K73" i="6"/>
  <c r="J73" i="6"/>
  <c r="M72" i="6"/>
  <c r="O72" i="6" s="1"/>
  <c r="L72" i="6"/>
  <c r="N72" i="6" s="1"/>
  <c r="K72" i="6"/>
  <c r="J72" i="6"/>
  <c r="M71" i="6"/>
  <c r="O71" i="6" s="1"/>
  <c r="L71" i="6"/>
  <c r="N71" i="6" s="1"/>
  <c r="K71" i="6"/>
  <c r="J71" i="6"/>
  <c r="M70" i="6"/>
  <c r="O70" i="6" s="1"/>
  <c r="L70" i="6"/>
  <c r="N70" i="6" s="1"/>
  <c r="K70" i="6"/>
  <c r="J70" i="6"/>
  <c r="F70" i="6"/>
  <c r="E70" i="6"/>
  <c r="D70" i="6"/>
  <c r="M69" i="6"/>
  <c r="O69" i="6" s="1"/>
  <c r="L69" i="6"/>
  <c r="N69" i="6" s="1"/>
  <c r="K69" i="6"/>
  <c r="J69" i="6"/>
  <c r="M68" i="6"/>
  <c r="O68" i="6" s="1"/>
  <c r="L68" i="6"/>
  <c r="N68" i="6" s="1"/>
  <c r="K68" i="6"/>
  <c r="J68" i="6"/>
  <c r="F68" i="6"/>
  <c r="E68" i="6"/>
  <c r="D68" i="6"/>
  <c r="M67" i="6"/>
  <c r="O67" i="6" s="1"/>
  <c r="L67" i="6"/>
  <c r="N67" i="6" s="1"/>
  <c r="K67" i="6"/>
  <c r="J67" i="6"/>
  <c r="M66" i="6"/>
  <c r="O66" i="6" s="1"/>
  <c r="L66" i="6"/>
  <c r="N66" i="6" s="1"/>
  <c r="K66" i="6"/>
  <c r="J66" i="6"/>
  <c r="F66" i="6"/>
  <c r="E66" i="6"/>
  <c r="D66" i="6"/>
  <c r="M65" i="6"/>
  <c r="O65" i="6" s="1"/>
  <c r="L65" i="6"/>
  <c r="N65" i="6" s="1"/>
  <c r="G65" i="6" s="1"/>
  <c r="K65" i="6"/>
  <c r="J65" i="6"/>
  <c r="F65" i="6"/>
  <c r="E65" i="6"/>
  <c r="D65" i="6"/>
  <c r="M64" i="6"/>
  <c r="O64" i="6" s="1"/>
  <c r="L64" i="6"/>
  <c r="N64" i="6" s="1"/>
  <c r="K64" i="6"/>
  <c r="J64" i="6"/>
  <c r="M63" i="6"/>
  <c r="O63" i="6" s="1"/>
  <c r="L63" i="6"/>
  <c r="N63" i="6" s="1"/>
  <c r="K63" i="6"/>
  <c r="J63" i="6"/>
  <c r="M62" i="6"/>
  <c r="O62" i="6" s="1"/>
  <c r="L62" i="6"/>
  <c r="N62" i="6" s="1"/>
  <c r="K62" i="6"/>
  <c r="J62" i="6"/>
  <c r="M61" i="6"/>
  <c r="O61" i="6" s="1"/>
  <c r="L61" i="6"/>
  <c r="N61" i="6" s="1"/>
  <c r="K61" i="6"/>
  <c r="J61" i="6"/>
  <c r="F61" i="6"/>
  <c r="E61" i="6"/>
  <c r="D61" i="6"/>
  <c r="N60" i="6"/>
  <c r="M60" i="6"/>
  <c r="O60" i="6" s="1"/>
  <c r="L60" i="6"/>
  <c r="K60" i="6"/>
  <c r="J60" i="6"/>
  <c r="F60" i="6"/>
  <c r="E60" i="6"/>
  <c r="D60" i="6"/>
  <c r="M59" i="6"/>
  <c r="O59" i="6" s="1"/>
  <c r="L59" i="6"/>
  <c r="N59" i="6" s="1"/>
  <c r="K59" i="6"/>
  <c r="J59" i="6"/>
  <c r="F59" i="6"/>
  <c r="E59" i="6"/>
  <c r="D59" i="6"/>
  <c r="M58" i="6"/>
  <c r="O58" i="6" s="1"/>
  <c r="L58" i="6"/>
  <c r="N58" i="6" s="1"/>
  <c r="K58" i="6"/>
  <c r="J58" i="6"/>
  <c r="M57" i="6"/>
  <c r="O57" i="6" s="1"/>
  <c r="L57" i="6"/>
  <c r="N57" i="6" s="1"/>
  <c r="K57" i="6"/>
  <c r="J57" i="6"/>
  <c r="M56" i="6"/>
  <c r="O56" i="6" s="1"/>
  <c r="L56" i="6"/>
  <c r="N56" i="6" s="1"/>
  <c r="K56" i="6"/>
  <c r="G56" i="6" s="1"/>
  <c r="J56" i="6"/>
  <c r="F56" i="6"/>
  <c r="E56" i="6"/>
  <c r="D56" i="6"/>
  <c r="M55" i="6"/>
  <c r="O55" i="6" s="1"/>
  <c r="L55" i="6"/>
  <c r="N55" i="6" s="1"/>
  <c r="K55" i="6"/>
  <c r="J55" i="6"/>
  <c r="F55" i="6"/>
  <c r="E55" i="6"/>
  <c r="D55" i="6"/>
  <c r="M54" i="6"/>
  <c r="O54" i="6" s="1"/>
  <c r="L54" i="6"/>
  <c r="N54" i="6" s="1"/>
  <c r="K54" i="6"/>
  <c r="J54" i="6"/>
  <c r="F54" i="6"/>
  <c r="E54" i="6"/>
  <c r="D54" i="6"/>
  <c r="M53" i="6"/>
  <c r="O53" i="6" s="1"/>
  <c r="L53" i="6"/>
  <c r="N53" i="6" s="1"/>
  <c r="K53" i="6"/>
  <c r="J53" i="6"/>
  <c r="M52" i="6"/>
  <c r="O52" i="6" s="1"/>
  <c r="L52" i="6"/>
  <c r="N52" i="6" s="1"/>
  <c r="K52" i="6"/>
  <c r="J52" i="6"/>
  <c r="M51" i="6"/>
  <c r="O51" i="6" s="1"/>
  <c r="L51" i="6"/>
  <c r="N51" i="6" s="1"/>
  <c r="K51" i="6"/>
  <c r="J51" i="6"/>
  <c r="M50" i="6"/>
  <c r="O50" i="6" s="1"/>
  <c r="L50" i="6"/>
  <c r="N50" i="6" s="1"/>
  <c r="K50" i="6"/>
  <c r="J50" i="6"/>
  <c r="F50" i="6"/>
  <c r="E50" i="6"/>
  <c r="D50" i="6"/>
  <c r="N49" i="6"/>
  <c r="M49" i="6"/>
  <c r="O49" i="6" s="1"/>
  <c r="L49" i="6"/>
  <c r="K49" i="6"/>
  <c r="G49" i="6" s="1"/>
  <c r="J49" i="6"/>
  <c r="F49" i="6"/>
  <c r="E49" i="6"/>
  <c r="D49" i="6"/>
  <c r="N48" i="6"/>
  <c r="M48" i="6"/>
  <c r="O48" i="6" s="1"/>
  <c r="L48" i="6"/>
  <c r="K48" i="6"/>
  <c r="G48" i="6" s="1"/>
  <c r="J48" i="6"/>
  <c r="F48" i="6"/>
  <c r="E48" i="6"/>
  <c r="D48" i="6"/>
  <c r="M47" i="6"/>
  <c r="O47" i="6" s="1"/>
  <c r="L47" i="6"/>
  <c r="N47" i="6" s="1"/>
  <c r="K47" i="6"/>
  <c r="J47" i="6"/>
  <c r="M46" i="6"/>
  <c r="O46" i="6" s="1"/>
  <c r="L46" i="6"/>
  <c r="N46" i="6" s="1"/>
  <c r="K46" i="6"/>
  <c r="J46" i="6"/>
  <c r="F46" i="6"/>
  <c r="E46" i="6"/>
  <c r="D46" i="6"/>
  <c r="M45" i="6"/>
  <c r="O45" i="6" s="1"/>
  <c r="L45" i="6"/>
  <c r="N45" i="6" s="1"/>
  <c r="K45" i="6"/>
  <c r="J45" i="6"/>
  <c r="M44" i="6"/>
  <c r="O44" i="6" s="1"/>
  <c r="L44" i="6"/>
  <c r="N44" i="6" s="1"/>
  <c r="K44" i="6"/>
  <c r="J44" i="6"/>
  <c r="M43" i="6"/>
  <c r="O43" i="6" s="1"/>
  <c r="L43" i="6"/>
  <c r="N43" i="6" s="1"/>
  <c r="K43" i="6"/>
  <c r="J43" i="6"/>
  <c r="N42" i="6"/>
  <c r="M42" i="6"/>
  <c r="O42" i="6" s="1"/>
  <c r="L42" i="6"/>
  <c r="K42" i="6"/>
  <c r="J42" i="6"/>
  <c r="F42" i="6"/>
  <c r="E42" i="6"/>
  <c r="D42" i="6"/>
  <c r="M41" i="6"/>
  <c r="O41" i="6" s="1"/>
  <c r="L41" i="6"/>
  <c r="N41" i="6" s="1"/>
  <c r="K41" i="6"/>
  <c r="J41" i="6"/>
  <c r="N40" i="6"/>
  <c r="M40" i="6"/>
  <c r="O40" i="6" s="1"/>
  <c r="L40" i="6"/>
  <c r="K40" i="6"/>
  <c r="J40" i="6"/>
  <c r="F40" i="6"/>
  <c r="E40" i="6"/>
  <c r="D40" i="6"/>
  <c r="M39" i="6"/>
  <c r="O39" i="6" s="1"/>
  <c r="L39" i="6"/>
  <c r="N39" i="6" s="1"/>
  <c r="K39" i="6"/>
  <c r="J39" i="6"/>
  <c r="F39" i="6"/>
  <c r="E39" i="6"/>
  <c r="D39" i="6"/>
  <c r="M38" i="6"/>
  <c r="O38" i="6" s="1"/>
  <c r="L38" i="6"/>
  <c r="N38" i="6" s="1"/>
  <c r="K38" i="6"/>
  <c r="J38" i="6"/>
  <c r="F38" i="6"/>
  <c r="E38" i="6"/>
  <c r="D38" i="6"/>
  <c r="N37" i="6"/>
  <c r="M37" i="6"/>
  <c r="O37" i="6" s="1"/>
  <c r="L37" i="6"/>
  <c r="K37" i="6"/>
  <c r="J37" i="6"/>
  <c r="F37" i="6"/>
  <c r="E37" i="6"/>
  <c r="D37" i="6"/>
  <c r="M36" i="6"/>
  <c r="O36" i="6" s="1"/>
  <c r="L36" i="6"/>
  <c r="N36" i="6" s="1"/>
  <c r="K36" i="6"/>
  <c r="J36" i="6"/>
  <c r="F36" i="6"/>
  <c r="E36" i="6"/>
  <c r="D36" i="6"/>
  <c r="M35" i="6"/>
  <c r="O35" i="6" s="1"/>
  <c r="L35" i="6"/>
  <c r="N35" i="6" s="1"/>
  <c r="K35" i="6"/>
  <c r="J35" i="6"/>
  <c r="F35" i="6"/>
  <c r="E35" i="6"/>
  <c r="D35" i="6"/>
  <c r="M34" i="6"/>
  <c r="O34" i="6" s="1"/>
  <c r="L34" i="6"/>
  <c r="N34" i="6" s="1"/>
  <c r="K34" i="6"/>
  <c r="J34" i="6"/>
  <c r="F34" i="6"/>
  <c r="E34" i="6"/>
  <c r="D34" i="6"/>
  <c r="M33" i="6"/>
  <c r="O33" i="6" s="1"/>
  <c r="L33" i="6"/>
  <c r="N33" i="6" s="1"/>
  <c r="K33" i="6"/>
  <c r="J33" i="6"/>
  <c r="F33" i="6"/>
  <c r="E33" i="6"/>
  <c r="D33" i="6"/>
  <c r="M32" i="6"/>
  <c r="O32" i="6" s="1"/>
  <c r="L32" i="6"/>
  <c r="N32" i="6" s="1"/>
  <c r="K32" i="6"/>
  <c r="J32" i="6"/>
  <c r="G32" i="6"/>
  <c r="F32" i="6"/>
  <c r="E32" i="6"/>
  <c r="D32" i="6"/>
  <c r="M31" i="6"/>
  <c r="O31" i="6" s="1"/>
  <c r="L31" i="6"/>
  <c r="N31" i="6" s="1"/>
  <c r="K31" i="6"/>
  <c r="J31" i="6"/>
  <c r="F31" i="6"/>
  <c r="E31" i="6"/>
  <c r="D31" i="6"/>
  <c r="N30" i="6"/>
  <c r="M30" i="6"/>
  <c r="O30" i="6" s="1"/>
  <c r="L30" i="6"/>
  <c r="K30" i="6"/>
  <c r="J30" i="6"/>
  <c r="F30" i="6"/>
  <c r="E30" i="6"/>
  <c r="D30" i="6"/>
  <c r="M29" i="6"/>
  <c r="O29" i="6" s="1"/>
  <c r="L29" i="6"/>
  <c r="N29" i="6" s="1"/>
  <c r="K29" i="6"/>
  <c r="J29" i="6"/>
  <c r="F29" i="6"/>
  <c r="E29" i="6"/>
  <c r="D29" i="6"/>
  <c r="M28" i="6"/>
  <c r="O28" i="6" s="1"/>
  <c r="L28" i="6"/>
  <c r="N28" i="6" s="1"/>
  <c r="K28" i="6"/>
  <c r="J28" i="6"/>
  <c r="F28" i="6"/>
  <c r="E28" i="6"/>
  <c r="D28" i="6"/>
  <c r="M27" i="6"/>
  <c r="O27" i="6" s="1"/>
  <c r="L27" i="6"/>
  <c r="N27" i="6" s="1"/>
  <c r="K27" i="6"/>
  <c r="J27" i="6"/>
  <c r="F27" i="6"/>
  <c r="E27" i="6"/>
  <c r="D27" i="6"/>
  <c r="M26" i="6"/>
  <c r="O26" i="6" s="1"/>
  <c r="L26" i="6"/>
  <c r="N26" i="6" s="1"/>
  <c r="K26" i="6"/>
  <c r="J26" i="6"/>
  <c r="F26" i="6"/>
  <c r="E26" i="6"/>
  <c r="D26" i="6"/>
  <c r="M25" i="6"/>
  <c r="O25" i="6" s="1"/>
  <c r="L25" i="6"/>
  <c r="N25" i="6" s="1"/>
  <c r="K25" i="6"/>
  <c r="J25" i="6"/>
  <c r="F25" i="6"/>
  <c r="E25" i="6"/>
  <c r="D25" i="6"/>
  <c r="N24" i="6"/>
  <c r="M24" i="6"/>
  <c r="O24" i="6" s="1"/>
  <c r="L24" i="6"/>
  <c r="K24" i="6"/>
  <c r="J24" i="6"/>
  <c r="F24" i="6"/>
  <c r="E24" i="6"/>
  <c r="D24" i="6"/>
  <c r="M23" i="6"/>
  <c r="O23" i="6" s="1"/>
  <c r="L23" i="6"/>
  <c r="N23" i="6" s="1"/>
  <c r="G23" i="6" s="1"/>
  <c r="K23" i="6"/>
  <c r="J23" i="6"/>
  <c r="F23" i="6"/>
  <c r="E23" i="6"/>
  <c r="D23" i="6"/>
  <c r="M22" i="6"/>
  <c r="O22" i="6" s="1"/>
  <c r="L22" i="6"/>
  <c r="N22" i="6" s="1"/>
  <c r="K22" i="6"/>
  <c r="J22" i="6"/>
  <c r="F22" i="6"/>
  <c r="E22" i="6"/>
  <c r="D22" i="6"/>
  <c r="N21" i="6"/>
  <c r="M21" i="6"/>
  <c r="O21" i="6" s="1"/>
  <c r="L21" i="6"/>
  <c r="K21" i="6"/>
  <c r="J21" i="6"/>
  <c r="M20" i="6"/>
  <c r="O20" i="6" s="1"/>
  <c r="L20" i="6"/>
  <c r="N20" i="6" s="1"/>
  <c r="K20" i="6"/>
  <c r="J20" i="6"/>
  <c r="M19" i="6"/>
  <c r="O19" i="6" s="1"/>
  <c r="L19" i="6"/>
  <c r="N19" i="6" s="1"/>
  <c r="K19" i="6"/>
  <c r="J19" i="6"/>
  <c r="F19" i="6"/>
  <c r="E19" i="6"/>
  <c r="D19" i="6"/>
  <c r="N18" i="6"/>
  <c r="M18" i="6"/>
  <c r="O18" i="6" s="1"/>
  <c r="L18" i="6"/>
  <c r="K18" i="6"/>
  <c r="G18" i="6" s="1"/>
  <c r="C18" i="6" s="1"/>
  <c r="J18" i="6"/>
  <c r="F18" i="6"/>
  <c r="E18" i="6"/>
  <c r="D18" i="6"/>
  <c r="M17" i="6"/>
  <c r="O17" i="6" s="1"/>
  <c r="L17" i="6"/>
  <c r="N17" i="6" s="1"/>
  <c r="K17" i="6"/>
  <c r="J17" i="6"/>
  <c r="M16" i="6"/>
  <c r="O16" i="6" s="1"/>
  <c r="L16" i="6"/>
  <c r="N16" i="6" s="1"/>
  <c r="K16" i="6"/>
  <c r="J16" i="6"/>
  <c r="F16" i="6"/>
  <c r="E16" i="6"/>
  <c r="D16" i="6"/>
  <c r="N15" i="6"/>
  <c r="M15" i="6"/>
  <c r="O15" i="6" s="1"/>
  <c r="L15" i="6"/>
  <c r="K15" i="6"/>
  <c r="G15" i="6" s="1"/>
  <c r="C15" i="6" s="1"/>
  <c r="J15" i="6"/>
  <c r="F15" i="6"/>
  <c r="E15" i="6"/>
  <c r="D15" i="6"/>
  <c r="N14" i="6"/>
  <c r="M14" i="6"/>
  <c r="O14" i="6" s="1"/>
  <c r="L14" i="6"/>
  <c r="K14" i="6"/>
  <c r="J14" i="6"/>
  <c r="M13" i="6"/>
  <c r="O13" i="6" s="1"/>
  <c r="L13" i="6"/>
  <c r="N13" i="6" s="1"/>
  <c r="K13" i="6"/>
  <c r="J13" i="6"/>
  <c r="M12" i="6"/>
  <c r="O12" i="6" s="1"/>
  <c r="L12" i="6"/>
  <c r="N12" i="6" s="1"/>
  <c r="K12" i="6"/>
  <c r="J12" i="6"/>
  <c r="F12" i="6"/>
  <c r="E12" i="6"/>
  <c r="D12" i="6"/>
  <c r="M11" i="6"/>
  <c r="O11" i="6" s="1"/>
  <c r="L11" i="6"/>
  <c r="N11" i="6" s="1"/>
  <c r="K11" i="6"/>
  <c r="J11" i="6"/>
  <c r="M10" i="6"/>
  <c r="O10" i="6" s="1"/>
  <c r="L10" i="6"/>
  <c r="N10" i="6" s="1"/>
  <c r="K10" i="6"/>
  <c r="J10" i="6"/>
  <c r="F10" i="6"/>
  <c r="E10" i="6"/>
  <c r="D10" i="6"/>
  <c r="M9" i="6"/>
  <c r="O9" i="6" s="1"/>
  <c r="L9" i="6"/>
  <c r="N9" i="6" s="1"/>
  <c r="K9" i="6"/>
  <c r="J9" i="6"/>
  <c r="F9" i="6"/>
  <c r="E9" i="6"/>
  <c r="D9" i="6"/>
  <c r="M8" i="6"/>
  <c r="O8" i="6" s="1"/>
  <c r="L8" i="6"/>
  <c r="N8" i="6" s="1"/>
  <c r="K8" i="6"/>
  <c r="J8" i="6"/>
  <c r="F8" i="6"/>
  <c r="E8" i="6"/>
  <c r="D8" i="6"/>
  <c r="Q2987" i="4"/>
  <c r="P2987" i="4"/>
  <c r="Q10" i="1"/>
  <c r="R10" i="1"/>
  <c r="M2986" i="4"/>
  <c r="O2986" i="4" s="1"/>
  <c r="L2986" i="4"/>
  <c r="N2986" i="4" s="1"/>
  <c r="K2986" i="4"/>
  <c r="J2986" i="4"/>
  <c r="F2986" i="4"/>
  <c r="E2986" i="4"/>
  <c r="D2986" i="4"/>
  <c r="M2985" i="4"/>
  <c r="O2985" i="4" s="1"/>
  <c r="L2985" i="4"/>
  <c r="N2985" i="4" s="1"/>
  <c r="K2985" i="4"/>
  <c r="J2985" i="4"/>
  <c r="F2985" i="4"/>
  <c r="E2985" i="4"/>
  <c r="D2985" i="4"/>
  <c r="M2984" i="4"/>
  <c r="O2984" i="4" s="1"/>
  <c r="L2984" i="4"/>
  <c r="N2984" i="4" s="1"/>
  <c r="K2984" i="4"/>
  <c r="J2984" i="4"/>
  <c r="F2984" i="4"/>
  <c r="E2984" i="4"/>
  <c r="D2984" i="4"/>
  <c r="M2983" i="4"/>
  <c r="O2983" i="4" s="1"/>
  <c r="L2983" i="4"/>
  <c r="N2983" i="4" s="1"/>
  <c r="K2983" i="4"/>
  <c r="J2983" i="4"/>
  <c r="F2983" i="4"/>
  <c r="E2983" i="4"/>
  <c r="D2983" i="4"/>
  <c r="M2982" i="4"/>
  <c r="O2982" i="4" s="1"/>
  <c r="L2982" i="4"/>
  <c r="N2982" i="4" s="1"/>
  <c r="K2982" i="4"/>
  <c r="J2982" i="4"/>
  <c r="F2982" i="4"/>
  <c r="E2982" i="4"/>
  <c r="D2982" i="4"/>
  <c r="M2981" i="4"/>
  <c r="O2981" i="4" s="1"/>
  <c r="L2981" i="4"/>
  <c r="N2981" i="4" s="1"/>
  <c r="K2981" i="4"/>
  <c r="J2981" i="4"/>
  <c r="F2981" i="4"/>
  <c r="E2981" i="4"/>
  <c r="D2981" i="4"/>
  <c r="M2980" i="4"/>
  <c r="O2980" i="4" s="1"/>
  <c r="L2980" i="4"/>
  <c r="N2980" i="4" s="1"/>
  <c r="K2980" i="4"/>
  <c r="J2980" i="4"/>
  <c r="F2980" i="4"/>
  <c r="E2980" i="4"/>
  <c r="D2980" i="4"/>
  <c r="M2979" i="4"/>
  <c r="O2979" i="4" s="1"/>
  <c r="L2979" i="4"/>
  <c r="N2979" i="4" s="1"/>
  <c r="K2979" i="4"/>
  <c r="J2979" i="4"/>
  <c r="F2979" i="4"/>
  <c r="E2979" i="4"/>
  <c r="D2979" i="4"/>
  <c r="M2978" i="4"/>
  <c r="O2978" i="4" s="1"/>
  <c r="L2978" i="4"/>
  <c r="N2978" i="4" s="1"/>
  <c r="K2978" i="4"/>
  <c r="J2978" i="4"/>
  <c r="M2977" i="4"/>
  <c r="O2977" i="4" s="1"/>
  <c r="L2977" i="4"/>
  <c r="N2977" i="4" s="1"/>
  <c r="K2977" i="4"/>
  <c r="J2977" i="4"/>
  <c r="M2976" i="4"/>
  <c r="O2976" i="4" s="1"/>
  <c r="L2976" i="4"/>
  <c r="N2976" i="4" s="1"/>
  <c r="K2976" i="4"/>
  <c r="J2976" i="4"/>
  <c r="M2975" i="4"/>
  <c r="O2975" i="4" s="1"/>
  <c r="L2975" i="4"/>
  <c r="N2975" i="4" s="1"/>
  <c r="K2975" i="4"/>
  <c r="J2975" i="4"/>
  <c r="F2975" i="4"/>
  <c r="E2975" i="4"/>
  <c r="D2975" i="4"/>
  <c r="M2974" i="4"/>
  <c r="O2974" i="4" s="1"/>
  <c r="L2974" i="4"/>
  <c r="N2974" i="4" s="1"/>
  <c r="K2974" i="4"/>
  <c r="J2974" i="4"/>
  <c r="M2973" i="4"/>
  <c r="O2973" i="4" s="1"/>
  <c r="L2973" i="4"/>
  <c r="N2973" i="4" s="1"/>
  <c r="K2973" i="4"/>
  <c r="J2973" i="4"/>
  <c r="M2972" i="4"/>
  <c r="O2972" i="4" s="1"/>
  <c r="L2972" i="4"/>
  <c r="N2972" i="4" s="1"/>
  <c r="K2972" i="4"/>
  <c r="J2972" i="4"/>
  <c r="M2971" i="4"/>
  <c r="O2971" i="4" s="1"/>
  <c r="L2971" i="4"/>
  <c r="N2971" i="4" s="1"/>
  <c r="K2971" i="4"/>
  <c r="J2971" i="4"/>
  <c r="M2970" i="4"/>
  <c r="O2970" i="4" s="1"/>
  <c r="L2970" i="4"/>
  <c r="N2970" i="4" s="1"/>
  <c r="K2970" i="4"/>
  <c r="J2970" i="4"/>
  <c r="M2969" i="4"/>
  <c r="O2969" i="4" s="1"/>
  <c r="L2969" i="4"/>
  <c r="N2969" i="4" s="1"/>
  <c r="K2969" i="4"/>
  <c r="J2969" i="4"/>
  <c r="M2968" i="4"/>
  <c r="O2968" i="4" s="1"/>
  <c r="L2968" i="4"/>
  <c r="N2968" i="4" s="1"/>
  <c r="K2968" i="4"/>
  <c r="J2968" i="4"/>
  <c r="F2968" i="4"/>
  <c r="E2968" i="4"/>
  <c r="D2968" i="4"/>
  <c r="M2967" i="4"/>
  <c r="O2967" i="4" s="1"/>
  <c r="L2967" i="4"/>
  <c r="N2967" i="4" s="1"/>
  <c r="K2967" i="4"/>
  <c r="J2967" i="4"/>
  <c r="F2967" i="4"/>
  <c r="E2967" i="4"/>
  <c r="D2967" i="4"/>
  <c r="M2966" i="4"/>
  <c r="O2966" i="4" s="1"/>
  <c r="L2966" i="4"/>
  <c r="N2966" i="4" s="1"/>
  <c r="K2966" i="4"/>
  <c r="J2966" i="4"/>
  <c r="M2965" i="4"/>
  <c r="O2965" i="4" s="1"/>
  <c r="L2965" i="4"/>
  <c r="N2965" i="4" s="1"/>
  <c r="K2965" i="4"/>
  <c r="J2965" i="4"/>
  <c r="M2964" i="4"/>
  <c r="O2964" i="4" s="1"/>
  <c r="L2964" i="4"/>
  <c r="N2964" i="4" s="1"/>
  <c r="K2964" i="4"/>
  <c r="J2964" i="4"/>
  <c r="M2963" i="4"/>
  <c r="O2963" i="4" s="1"/>
  <c r="L2963" i="4"/>
  <c r="N2963" i="4" s="1"/>
  <c r="K2963" i="4"/>
  <c r="J2963" i="4"/>
  <c r="M2962" i="4"/>
  <c r="O2962" i="4" s="1"/>
  <c r="L2962" i="4"/>
  <c r="N2962" i="4" s="1"/>
  <c r="K2962" i="4"/>
  <c r="J2962" i="4"/>
  <c r="F2962" i="4"/>
  <c r="E2962" i="4"/>
  <c r="D2962" i="4"/>
  <c r="M2961" i="4"/>
  <c r="O2961" i="4" s="1"/>
  <c r="L2961" i="4"/>
  <c r="N2961" i="4" s="1"/>
  <c r="K2961" i="4"/>
  <c r="J2961" i="4"/>
  <c r="M2960" i="4"/>
  <c r="O2960" i="4" s="1"/>
  <c r="L2960" i="4"/>
  <c r="N2960" i="4" s="1"/>
  <c r="K2960" i="4"/>
  <c r="J2960" i="4"/>
  <c r="M2959" i="4"/>
  <c r="O2959" i="4" s="1"/>
  <c r="L2959" i="4"/>
  <c r="N2959" i="4" s="1"/>
  <c r="K2959" i="4"/>
  <c r="J2959" i="4"/>
  <c r="M2958" i="4"/>
  <c r="O2958" i="4" s="1"/>
  <c r="L2958" i="4"/>
  <c r="N2958" i="4" s="1"/>
  <c r="K2958" i="4"/>
  <c r="J2958" i="4"/>
  <c r="M2957" i="4"/>
  <c r="O2957" i="4" s="1"/>
  <c r="L2957" i="4"/>
  <c r="N2957" i="4" s="1"/>
  <c r="K2957" i="4"/>
  <c r="J2957" i="4"/>
  <c r="M2956" i="4"/>
  <c r="O2956" i="4" s="1"/>
  <c r="L2956" i="4"/>
  <c r="N2956" i="4" s="1"/>
  <c r="K2956" i="4"/>
  <c r="J2956" i="4"/>
  <c r="M2955" i="4"/>
  <c r="O2955" i="4" s="1"/>
  <c r="L2955" i="4"/>
  <c r="N2955" i="4" s="1"/>
  <c r="K2955" i="4"/>
  <c r="J2955" i="4"/>
  <c r="M2954" i="4"/>
  <c r="O2954" i="4" s="1"/>
  <c r="L2954" i="4"/>
  <c r="N2954" i="4" s="1"/>
  <c r="K2954" i="4"/>
  <c r="J2954" i="4"/>
  <c r="M2953" i="4"/>
  <c r="O2953" i="4" s="1"/>
  <c r="L2953" i="4"/>
  <c r="N2953" i="4" s="1"/>
  <c r="K2953" i="4"/>
  <c r="J2953" i="4"/>
  <c r="F2953" i="4"/>
  <c r="E2953" i="4"/>
  <c r="D2953" i="4"/>
  <c r="M2952" i="4"/>
  <c r="O2952" i="4" s="1"/>
  <c r="L2952" i="4"/>
  <c r="N2952" i="4" s="1"/>
  <c r="K2952" i="4"/>
  <c r="J2952" i="4"/>
  <c r="M2951" i="4"/>
  <c r="O2951" i="4" s="1"/>
  <c r="L2951" i="4"/>
  <c r="N2951" i="4" s="1"/>
  <c r="K2951" i="4"/>
  <c r="J2951" i="4"/>
  <c r="M2950" i="4"/>
  <c r="O2950" i="4" s="1"/>
  <c r="L2950" i="4"/>
  <c r="N2950" i="4" s="1"/>
  <c r="K2950" i="4"/>
  <c r="J2950" i="4"/>
  <c r="F2950" i="4"/>
  <c r="E2950" i="4"/>
  <c r="D2950" i="4"/>
  <c r="M2949" i="4"/>
  <c r="O2949" i="4" s="1"/>
  <c r="L2949" i="4"/>
  <c r="N2949" i="4" s="1"/>
  <c r="K2949" i="4"/>
  <c r="J2949" i="4"/>
  <c r="M2948" i="4"/>
  <c r="O2948" i="4" s="1"/>
  <c r="L2948" i="4"/>
  <c r="N2948" i="4" s="1"/>
  <c r="K2948" i="4"/>
  <c r="J2948" i="4"/>
  <c r="M2947" i="4"/>
  <c r="O2947" i="4" s="1"/>
  <c r="L2947" i="4"/>
  <c r="N2947" i="4" s="1"/>
  <c r="K2947" i="4"/>
  <c r="J2947" i="4"/>
  <c r="M2946" i="4"/>
  <c r="O2946" i="4" s="1"/>
  <c r="L2946" i="4"/>
  <c r="N2946" i="4" s="1"/>
  <c r="K2946" i="4"/>
  <c r="J2946" i="4"/>
  <c r="F2946" i="4"/>
  <c r="E2946" i="4"/>
  <c r="D2946" i="4"/>
  <c r="M2945" i="4"/>
  <c r="O2945" i="4" s="1"/>
  <c r="L2945" i="4"/>
  <c r="N2945" i="4" s="1"/>
  <c r="K2945" i="4"/>
  <c r="J2945" i="4"/>
  <c r="M2944" i="4"/>
  <c r="O2944" i="4" s="1"/>
  <c r="L2944" i="4"/>
  <c r="N2944" i="4" s="1"/>
  <c r="K2944" i="4"/>
  <c r="J2944" i="4"/>
  <c r="F2944" i="4"/>
  <c r="E2944" i="4"/>
  <c r="D2944" i="4"/>
  <c r="M2943" i="4"/>
  <c r="O2943" i="4" s="1"/>
  <c r="L2943" i="4"/>
  <c r="N2943" i="4" s="1"/>
  <c r="K2943" i="4"/>
  <c r="J2943" i="4"/>
  <c r="F2943" i="4"/>
  <c r="E2943" i="4"/>
  <c r="D2943" i="4"/>
  <c r="M2942" i="4"/>
  <c r="O2942" i="4" s="1"/>
  <c r="L2942" i="4"/>
  <c r="N2942" i="4" s="1"/>
  <c r="K2942" i="4"/>
  <c r="J2942" i="4"/>
  <c r="F2942" i="4"/>
  <c r="E2942" i="4"/>
  <c r="D2942" i="4"/>
  <c r="M2941" i="4"/>
  <c r="O2941" i="4" s="1"/>
  <c r="L2941" i="4"/>
  <c r="N2941" i="4" s="1"/>
  <c r="K2941" i="4"/>
  <c r="J2941" i="4"/>
  <c r="F2941" i="4"/>
  <c r="E2941" i="4"/>
  <c r="D2941" i="4"/>
  <c r="M2940" i="4"/>
  <c r="O2940" i="4" s="1"/>
  <c r="L2940" i="4"/>
  <c r="N2940" i="4" s="1"/>
  <c r="K2940" i="4"/>
  <c r="J2940" i="4"/>
  <c r="M2939" i="4"/>
  <c r="O2939" i="4" s="1"/>
  <c r="L2939" i="4"/>
  <c r="N2939" i="4" s="1"/>
  <c r="K2939" i="4"/>
  <c r="J2939" i="4"/>
  <c r="F2939" i="4"/>
  <c r="E2939" i="4"/>
  <c r="D2939" i="4"/>
  <c r="M2938" i="4"/>
  <c r="O2938" i="4" s="1"/>
  <c r="L2938" i="4"/>
  <c r="N2938" i="4" s="1"/>
  <c r="K2938" i="4"/>
  <c r="J2938" i="4"/>
  <c r="F2938" i="4"/>
  <c r="E2938" i="4"/>
  <c r="D2938" i="4"/>
  <c r="M2937" i="4"/>
  <c r="O2937" i="4" s="1"/>
  <c r="L2937" i="4"/>
  <c r="N2937" i="4" s="1"/>
  <c r="K2937" i="4"/>
  <c r="J2937" i="4"/>
  <c r="M2936" i="4"/>
  <c r="O2936" i="4" s="1"/>
  <c r="L2936" i="4"/>
  <c r="N2936" i="4" s="1"/>
  <c r="K2936" i="4"/>
  <c r="J2936" i="4"/>
  <c r="F2936" i="4"/>
  <c r="E2936" i="4"/>
  <c r="D2936" i="4"/>
  <c r="M2935" i="4"/>
  <c r="O2935" i="4" s="1"/>
  <c r="L2935" i="4"/>
  <c r="N2935" i="4" s="1"/>
  <c r="K2935" i="4"/>
  <c r="J2935" i="4"/>
  <c r="F2935" i="4"/>
  <c r="E2935" i="4"/>
  <c r="D2935" i="4"/>
  <c r="M2934" i="4"/>
  <c r="O2934" i="4" s="1"/>
  <c r="L2934" i="4"/>
  <c r="N2934" i="4" s="1"/>
  <c r="K2934" i="4"/>
  <c r="J2934" i="4"/>
  <c r="F2934" i="4"/>
  <c r="E2934" i="4"/>
  <c r="D2934" i="4"/>
  <c r="M2933" i="4"/>
  <c r="O2933" i="4" s="1"/>
  <c r="L2933" i="4"/>
  <c r="N2933" i="4" s="1"/>
  <c r="K2933" i="4"/>
  <c r="J2933" i="4"/>
  <c r="F2933" i="4"/>
  <c r="E2933" i="4"/>
  <c r="D2933" i="4"/>
  <c r="M2932" i="4"/>
  <c r="O2932" i="4" s="1"/>
  <c r="L2932" i="4"/>
  <c r="N2932" i="4" s="1"/>
  <c r="K2932" i="4"/>
  <c r="J2932" i="4"/>
  <c r="F2932" i="4"/>
  <c r="E2932" i="4"/>
  <c r="D2932" i="4"/>
  <c r="M2931" i="4"/>
  <c r="O2931" i="4" s="1"/>
  <c r="L2931" i="4"/>
  <c r="N2931" i="4" s="1"/>
  <c r="K2931" i="4"/>
  <c r="J2931" i="4"/>
  <c r="F2931" i="4"/>
  <c r="E2931" i="4"/>
  <c r="D2931" i="4"/>
  <c r="M2930" i="4"/>
  <c r="O2930" i="4" s="1"/>
  <c r="L2930" i="4"/>
  <c r="N2930" i="4" s="1"/>
  <c r="K2930" i="4"/>
  <c r="J2930" i="4"/>
  <c r="M2929" i="4"/>
  <c r="O2929" i="4" s="1"/>
  <c r="L2929" i="4"/>
  <c r="N2929" i="4" s="1"/>
  <c r="K2929" i="4"/>
  <c r="J2929" i="4"/>
  <c r="M2928" i="4"/>
  <c r="O2928" i="4" s="1"/>
  <c r="L2928" i="4"/>
  <c r="N2928" i="4" s="1"/>
  <c r="K2928" i="4"/>
  <c r="J2928" i="4"/>
  <c r="M2927" i="4"/>
  <c r="O2927" i="4" s="1"/>
  <c r="L2927" i="4"/>
  <c r="N2927" i="4" s="1"/>
  <c r="K2927" i="4"/>
  <c r="J2927" i="4"/>
  <c r="M2926" i="4"/>
  <c r="O2926" i="4" s="1"/>
  <c r="L2926" i="4"/>
  <c r="N2926" i="4" s="1"/>
  <c r="K2926" i="4"/>
  <c r="J2926" i="4"/>
  <c r="M2925" i="4"/>
  <c r="O2925" i="4" s="1"/>
  <c r="L2925" i="4"/>
  <c r="N2925" i="4" s="1"/>
  <c r="K2925" i="4"/>
  <c r="J2925" i="4"/>
  <c r="M2924" i="4"/>
  <c r="O2924" i="4" s="1"/>
  <c r="L2924" i="4"/>
  <c r="N2924" i="4" s="1"/>
  <c r="K2924" i="4"/>
  <c r="J2924" i="4"/>
  <c r="M2923" i="4"/>
  <c r="O2923" i="4" s="1"/>
  <c r="L2923" i="4"/>
  <c r="N2923" i="4" s="1"/>
  <c r="K2923" i="4"/>
  <c r="J2923" i="4"/>
  <c r="M2922" i="4"/>
  <c r="O2922" i="4" s="1"/>
  <c r="L2922" i="4"/>
  <c r="N2922" i="4" s="1"/>
  <c r="K2922" i="4"/>
  <c r="J2922" i="4"/>
  <c r="M2921" i="4"/>
  <c r="O2921" i="4" s="1"/>
  <c r="L2921" i="4"/>
  <c r="N2921" i="4" s="1"/>
  <c r="K2921" i="4"/>
  <c r="J2921" i="4"/>
  <c r="M2920" i="4"/>
  <c r="O2920" i="4" s="1"/>
  <c r="L2920" i="4"/>
  <c r="N2920" i="4" s="1"/>
  <c r="K2920" i="4"/>
  <c r="J2920" i="4"/>
  <c r="M2919" i="4"/>
  <c r="O2919" i="4" s="1"/>
  <c r="L2919" i="4"/>
  <c r="N2919" i="4" s="1"/>
  <c r="K2919" i="4"/>
  <c r="J2919" i="4"/>
  <c r="M2918" i="4"/>
  <c r="O2918" i="4" s="1"/>
  <c r="L2918" i="4"/>
  <c r="N2918" i="4" s="1"/>
  <c r="K2918" i="4"/>
  <c r="J2918" i="4"/>
  <c r="M2917" i="4"/>
  <c r="O2917" i="4" s="1"/>
  <c r="L2917" i="4"/>
  <c r="N2917" i="4" s="1"/>
  <c r="K2917" i="4"/>
  <c r="J2917" i="4"/>
  <c r="M2916" i="4"/>
  <c r="O2916" i="4" s="1"/>
  <c r="L2916" i="4"/>
  <c r="N2916" i="4" s="1"/>
  <c r="K2916" i="4"/>
  <c r="J2916" i="4"/>
  <c r="M2915" i="4"/>
  <c r="O2915" i="4" s="1"/>
  <c r="L2915" i="4"/>
  <c r="N2915" i="4" s="1"/>
  <c r="K2915" i="4"/>
  <c r="J2915" i="4"/>
  <c r="N2914" i="4"/>
  <c r="M2914" i="4"/>
  <c r="O2914" i="4" s="1"/>
  <c r="L2914" i="4"/>
  <c r="K2914" i="4"/>
  <c r="J2914" i="4"/>
  <c r="M2913" i="4"/>
  <c r="O2913" i="4" s="1"/>
  <c r="L2913" i="4"/>
  <c r="N2913" i="4" s="1"/>
  <c r="K2913" i="4"/>
  <c r="J2913" i="4"/>
  <c r="M2912" i="4"/>
  <c r="O2912" i="4" s="1"/>
  <c r="L2912" i="4"/>
  <c r="N2912" i="4" s="1"/>
  <c r="K2912" i="4"/>
  <c r="J2912" i="4"/>
  <c r="M2911" i="4"/>
  <c r="O2911" i="4" s="1"/>
  <c r="L2911" i="4"/>
  <c r="N2911" i="4" s="1"/>
  <c r="K2911" i="4"/>
  <c r="J2911" i="4"/>
  <c r="F2911" i="4"/>
  <c r="E2911" i="4"/>
  <c r="D2911" i="4"/>
  <c r="M2910" i="4"/>
  <c r="O2910" i="4" s="1"/>
  <c r="L2910" i="4"/>
  <c r="N2910" i="4" s="1"/>
  <c r="K2910" i="4"/>
  <c r="J2910" i="4"/>
  <c r="M2909" i="4"/>
  <c r="O2909" i="4" s="1"/>
  <c r="L2909" i="4"/>
  <c r="N2909" i="4" s="1"/>
  <c r="K2909" i="4"/>
  <c r="J2909" i="4"/>
  <c r="M2908" i="4"/>
  <c r="O2908" i="4" s="1"/>
  <c r="L2908" i="4"/>
  <c r="N2908" i="4" s="1"/>
  <c r="K2908" i="4"/>
  <c r="J2908" i="4"/>
  <c r="M2907" i="4"/>
  <c r="O2907" i="4" s="1"/>
  <c r="L2907" i="4"/>
  <c r="N2907" i="4" s="1"/>
  <c r="K2907" i="4"/>
  <c r="J2907" i="4"/>
  <c r="M2906" i="4"/>
  <c r="O2906" i="4" s="1"/>
  <c r="L2906" i="4"/>
  <c r="N2906" i="4" s="1"/>
  <c r="K2906" i="4"/>
  <c r="J2906" i="4"/>
  <c r="M2905" i="4"/>
  <c r="O2905" i="4" s="1"/>
  <c r="L2905" i="4"/>
  <c r="N2905" i="4" s="1"/>
  <c r="K2905" i="4"/>
  <c r="J2905" i="4"/>
  <c r="F2905" i="4"/>
  <c r="E2905" i="4"/>
  <c r="D2905" i="4"/>
  <c r="O2904" i="4"/>
  <c r="M2904" i="4"/>
  <c r="L2904" i="4"/>
  <c r="N2904" i="4" s="1"/>
  <c r="K2904" i="4"/>
  <c r="J2904" i="4"/>
  <c r="F2904" i="4"/>
  <c r="E2904" i="4"/>
  <c r="D2904" i="4"/>
  <c r="M2903" i="4"/>
  <c r="O2903" i="4" s="1"/>
  <c r="L2903" i="4"/>
  <c r="N2903" i="4" s="1"/>
  <c r="K2903" i="4"/>
  <c r="J2903" i="4"/>
  <c r="F2903" i="4"/>
  <c r="E2903" i="4"/>
  <c r="D2903" i="4"/>
  <c r="M2902" i="4"/>
  <c r="O2902" i="4" s="1"/>
  <c r="L2902" i="4"/>
  <c r="N2902" i="4" s="1"/>
  <c r="K2902" i="4"/>
  <c r="J2902" i="4"/>
  <c r="M2901" i="4"/>
  <c r="O2901" i="4" s="1"/>
  <c r="L2901" i="4"/>
  <c r="N2901" i="4" s="1"/>
  <c r="K2901" i="4"/>
  <c r="J2901" i="4"/>
  <c r="M2900" i="4"/>
  <c r="O2900" i="4" s="1"/>
  <c r="L2900" i="4"/>
  <c r="N2900" i="4" s="1"/>
  <c r="K2900" i="4"/>
  <c r="J2900" i="4"/>
  <c r="M2899" i="4"/>
  <c r="O2899" i="4" s="1"/>
  <c r="L2899" i="4"/>
  <c r="N2899" i="4" s="1"/>
  <c r="K2899" i="4"/>
  <c r="J2899" i="4"/>
  <c r="M2898" i="4"/>
  <c r="O2898" i="4" s="1"/>
  <c r="L2898" i="4"/>
  <c r="N2898" i="4" s="1"/>
  <c r="K2898" i="4"/>
  <c r="J2898" i="4"/>
  <c r="M2897" i="4"/>
  <c r="O2897" i="4" s="1"/>
  <c r="L2897" i="4"/>
  <c r="N2897" i="4" s="1"/>
  <c r="K2897" i="4"/>
  <c r="J2897" i="4"/>
  <c r="M2896" i="4"/>
  <c r="O2896" i="4" s="1"/>
  <c r="L2896" i="4"/>
  <c r="N2896" i="4" s="1"/>
  <c r="K2896" i="4"/>
  <c r="J2896" i="4"/>
  <c r="M2895" i="4"/>
  <c r="O2895" i="4" s="1"/>
  <c r="L2895" i="4"/>
  <c r="N2895" i="4" s="1"/>
  <c r="K2895" i="4"/>
  <c r="J2895" i="4"/>
  <c r="M2894" i="4"/>
  <c r="O2894" i="4" s="1"/>
  <c r="L2894" i="4"/>
  <c r="N2894" i="4" s="1"/>
  <c r="K2894" i="4"/>
  <c r="J2894" i="4"/>
  <c r="F2894" i="4"/>
  <c r="E2894" i="4"/>
  <c r="D2894" i="4"/>
  <c r="M2893" i="4"/>
  <c r="O2893" i="4" s="1"/>
  <c r="L2893" i="4"/>
  <c r="N2893" i="4" s="1"/>
  <c r="K2893" i="4"/>
  <c r="J2893" i="4"/>
  <c r="F2893" i="4"/>
  <c r="E2893" i="4"/>
  <c r="D2893" i="4"/>
  <c r="M2892" i="4"/>
  <c r="O2892" i="4" s="1"/>
  <c r="L2892" i="4"/>
  <c r="N2892" i="4" s="1"/>
  <c r="K2892" i="4"/>
  <c r="J2892" i="4"/>
  <c r="M2891" i="4"/>
  <c r="O2891" i="4" s="1"/>
  <c r="L2891" i="4"/>
  <c r="N2891" i="4" s="1"/>
  <c r="K2891" i="4"/>
  <c r="J2891" i="4"/>
  <c r="F2891" i="4"/>
  <c r="E2891" i="4"/>
  <c r="D2891" i="4"/>
  <c r="M2890" i="4"/>
  <c r="O2890" i="4" s="1"/>
  <c r="L2890" i="4"/>
  <c r="N2890" i="4" s="1"/>
  <c r="K2890" i="4"/>
  <c r="J2890" i="4"/>
  <c r="M2889" i="4"/>
  <c r="O2889" i="4" s="1"/>
  <c r="L2889" i="4"/>
  <c r="N2889" i="4" s="1"/>
  <c r="K2889" i="4"/>
  <c r="J2889" i="4"/>
  <c r="M2888" i="4"/>
  <c r="O2888" i="4" s="1"/>
  <c r="L2888" i="4"/>
  <c r="N2888" i="4" s="1"/>
  <c r="K2888" i="4"/>
  <c r="J2888" i="4"/>
  <c r="M2887" i="4"/>
  <c r="O2887" i="4" s="1"/>
  <c r="L2887" i="4"/>
  <c r="N2887" i="4" s="1"/>
  <c r="K2887" i="4"/>
  <c r="J2887" i="4"/>
  <c r="F2887" i="4"/>
  <c r="E2887" i="4"/>
  <c r="D2887" i="4"/>
  <c r="M2886" i="4"/>
  <c r="O2886" i="4" s="1"/>
  <c r="L2886" i="4"/>
  <c r="N2886" i="4" s="1"/>
  <c r="K2886" i="4"/>
  <c r="J2886" i="4"/>
  <c r="F2886" i="4"/>
  <c r="E2886" i="4"/>
  <c r="D2886" i="4"/>
  <c r="M2885" i="4"/>
  <c r="O2885" i="4" s="1"/>
  <c r="L2885" i="4"/>
  <c r="N2885" i="4" s="1"/>
  <c r="K2885" i="4"/>
  <c r="J2885" i="4"/>
  <c r="F2885" i="4"/>
  <c r="E2885" i="4"/>
  <c r="D2885" i="4"/>
  <c r="M2884" i="4"/>
  <c r="O2884" i="4" s="1"/>
  <c r="L2884" i="4"/>
  <c r="N2884" i="4" s="1"/>
  <c r="K2884" i="4"/>
  <c r="J2884" i="4"/>
  <c r="F2884" i="4"/>
  <c r="E2884" i="4"/>
  <c r="D2884" i="4"/>
  <c r="M2883" i="4"/>
  <c r="O2883" i="4" s="1"/>
  <c r="L2883" i="4"/>
  <c r="N2883" i="4" s="1"/>
  <c r="K2883" i="4"/>
  <c r="J2883" i="4"/>
  <c r="M2882" i="4"/>
  <c r="O2882" i="4" s="1"/>
  <c r="L2882" i="4"/>
  <c r="N2882" i="4" s="1"/>
  <c r="K2882" i="4"/>
  <c r="J2882" i="4"/>
  <c r="M2881" i="4"/>
  <c r="O2881" i="4" s="1"/>
  <c r="L2881" i="4"/>
  <c r="N2881" i="4" s="1"/>
  <c r="K2881" i="4"/>
  <c r="J2881" i="4"/>
  <c r="M2880" i="4"/>
  <c r="O2880" i="4" s="1"/>
  <c r="L2880" i="4"/>
  <c r="N2880" i="4" s="1"/>
  <c r="K2880" i="4"/>
  <c r="J2880" i="4"/>
  <c r="M2879" i="4"/>
  <c r="O2879" i="4" s="1"/>
  <c r="L2879" i="4"/>
  <c r="N2879" i="4" s="1"/>
  <c r="K2879" i="4"/>
  <c r="J2879" i="4"/>
  <c r="M2878" i="4"/>
  <c r="O2878" i="4" s="1"/>
  <c r="L2878" i="4"/>
  <c r="N2878" i="4" s="1"/>
  <c r="K2878" i="4"/>
  <c r="J2878" i="4"/>
  <c r="M2877" i="4"/>
  <c r="O2877" i="4" s="1"/>
  <c r="L2877" i="4"/>
  <c r="N2877" i="4" s="1"/>
  <c r="K2877" i="4"/>
  <c r="J2877" i="4"/>
  <c r="M2876" i="4"/>
  <c r="O2876" i="4" s="1"/>
  <c r="L2876" i="4"/>
  <c r="N2876" i="4" s="1"/>
  <c r="K2876" i="4"/>
  <c r="J2876" i="4"/>
  <c r="M2875" i="4"/>
  <c r="O2875" i="4" s="1"/>
  <c r="L2875" i="4"/>
  <c r="N2875" i="4" s="1"/>
  <c r="K2875" i="4"/>
  <c r="J2875" i="4"/>
  <c r="M2874" i="4"/>
  <c r="O2874" i="4" s="1"/>
  <c r="L2874" i="4"/>
  <c r="N2874" i="4" s="1"/>
  <c r="K2874" i="4"/>
  <c r="J2874" i="4"/>
  <c r="F2874" i="4"/>
  <c r="E2874" i="4"/>
  <c r="D2874" i="4"/>
  <c r="M2873" i="4"/>
  <c r="O2873" i="4" s="1"/>
  <c r="L2873" i="4"/>
  <c r="N2873" i="4" s="1"/>
  <c r="K2873" i="4"/>
  <c r="J2873" i="4"/>
  <c r="F2873" i="4"/>
  <c r="E2873" i="4"/>
  <c r="D2873" i="4"/>
  <c r="M2872" i="4"/>
  <c r="O2872" i="4" s="1"/>
  <c r="L2872" i="4"/>
  <c r="N2872" i="4" s="1"/>
  <c r="K2872" i="4"/>
  <c r="J2872" i="4"/>
  <c r="M2871" i="4"/>
  <c r="O2871" i="4" s="1"/>
  <c r="L2871" i="4"/>
  <c r="N2871" i="4" s="1"/>
  <c r="K2871" i="4"/>
  <c r="J2871" i="4"/>
  <c r="M2870" i="4"/>
  <c r="O2870" i="4" s="1"/>
  <c r="L2870" i="4"/>
  <c r="N2870" i="4" s="1"/>
  <c r="K2870" i="4"/>
  <c r="J2870" i="4"/>
  <c r="M2869" i="4"/>
  <c r="O2869" i="4" s="1"/>
  <c r="L2869" i="4"/>
  <c r="N2869" i="4" s="1"/>
  <c r="K2869" i="4"/>
  <c r="J2869" i="4"/>
  <c r="F2869" i="4"/>
  <c r="E2869" i="4"/>
  <c r="D2869" i="4"/>
  <c r="M2868" i="4"/>
  <c r="O2868" i="4" s="1"/>
  <c r="L2868" i="4"/>
  <c r="N2868" i="4" s="1"/>
  <c r="K2868" i="4"/>
  <c r="J2868" i="4"/>
  <c r="M2867" i="4"/>
  <c r="O2867" i="4" s="1"/>
  <c r="L2867" i="4"/>
  <c r="N2867" i="4" s="1"/>
  <c r="K2867" i="4"/>
  <c r="J2867" i="4"/>
  <c r="M2866" i="4"/>
  <c r="O2866" i="4" s="1"/>
  <c r="L2866" i="4"/>
  <c r="N2866" i="4" s="1"/>
  <c r="K2866" i="4"/>
  <c r="J2866" i="4"/>
  <c r="F2866" i="4"/>
  <c r="E2866" i="4"/>
  <c r="D2866" i="4"/>
  <c r="M2865" i="4"/>
  <c r="O2865" i="4" s="1"/>
  <c r="L2865" i="4"/>
  <c r="N2865" i="4" s="1"/>
  <c r="K2865" i="4"/>
  <c r="J2865" i="4"/>
  <c r="F2865" i="4"/>
  <c r="E2865" i="4"/>
  <c r="D2865" i="4"/>
  <c r="M2864" i="4"/>
  <c r="O2864" i="4" s="1"/>
  <c r="L2864" i="4"/>
  <c r="N2864" i="4" s="1"/>
  <c r="K2864" i="4"/>
  <c r="J2864" i="4"/>
  <c r="F2864" i="4"/>
  <c r="E2864" i="4"/>
  <c r="D2864" i="4"/>
  <c r="M2863" i="4"/>
  <c r="O2863" i="4" s="1"/>
  <c r="L2863" i="4"/>
  <c r="N2863" i="4" s="1"/>
  <c r="K2863" i="4"/>
  <c r="J2863" i="4"/>
  <c r="F2863" i="4"/>
  <c r="E2863" i="4"/>
  <c r="D2863" i="4"/>
  <c r="M2862" i="4"/>
  <c r="O2862" i="4" s="1"/>
  <c r="L2862" i="4"/>
  <c r="N2862" i="4" s="1"/>
  <c r="K2862" i="4"/>
  <c r="J2862" i="4"/>
  <c r="F2862" i="4"/>
  <c r="E2862" i="4"/>
  <c r="D2862" i="4"/>
  <c r="M2861" i="4"/>
  <c r="O2861" i="4" s="1"/>
  <c r="L2861" i="4"/>
  <c r="N2861" i="4" s="1"/>
  <c r="K2861" i="4"/>
  <c r="J2861" i="4"/>
  <c r="F2861" i="4"/>
  <c r="E2861" i="4"/>
  <c r="D2861" i="4"/>
  <c r="M2860" i="4"/>
  <c r="O2860" i="4" s="1"/>
  <c r="L2860" i="4"/>
  <c r="N2860" i="4" s="1"/>
  <c r="K2860" i="4"/>
  <c r="J2860" i="4"/>
  <c r="F2860" i="4"/>
  <c r="E2860" i="4"/>
  <c r="D2860" i="4"/>
  <c r="M2859" i="4"/>
  <c r="O2859" i="4" s="1"/>
  <c r="L2859" i="4"/>
  <c r="N2859" i="4" s="1"/>
  <c r="K2859" i="4"/>
  <c r="J2859" i="4"/>
  <c r="F2859" i="4"/>
  <c r="E2859" i="4"/>
  <c r="D2859" i="4"/>
  <c r="M2858" i="4"/>
  <c r="O2858" i="4" s="1"/>
  <c r="L2858" i="4"/>
  <c r="N2858" i="4" s="1"/>
  <c r="K2858" i="4"/>
  <c r="J2858" i="4"/>
  <c r="F2858" i="4"/>
  <c r="E2858" i="4"/>
  <c r="D2858" i="4"/>
  <c r="M2857" i="4"/>
  <c r="O2857" i="4" s="1"/>
  <c r="L2857" i="4"/>
  <c r="N2857" i="4" s="1"/>
  <c r="K2857" i="4"/>
  <c r="J2857" i="4"/>
  <c r="F2857" i="4"/>
  <c r="E2857" i="4"/>
  <c r="D2857" i="4"/>
  <c r="M2856" i="4"/>
  <c r="O2856" i="4" s="1"/>
  <c r="L2856" i="4"/>
  <c r="N2856" i="4" s="1"/>
  <c r="K2856" i="4"/>
  <c r="J2856" i="4"/>
  <c r="F2856" i="4"/>
  <c r="E2856" i="4"/>
  <c r="D2856" i="4"/>
  <c r="M2855" i="4"/>
  <c r="O2855" i="4" s="1"/>
  <c r="L2855" i="4"/>
  <c r="N2855" i="4" s="1"/>
  <c r="K2855" i="4"/>
  <c r="J2855" i="4"/>
  <c r="F2855" i="4"/>
  <c r="E2855" i="4"/>
  <c r="D2855" i="4"/>
  <c r="M2854" i="4"/>
  <c r="O2854" i="4" s="1"/>
  <c r="L2854" i="4"/>
  <c r="N2854" i="4" s="1"/>
  <c r="K2854" i="4"/>
  <c r="J2854" i="4"/>
  <c r="F2854" i="4"/>
  <c r="E2854" i="4"/>
  <c r="D2854" i="4"/>
  <c r="M2853" i="4"/>
  <c r="O2853" i="4" s="1"/>
  <c r="L2853" i="4"/>
  <c r="N2853" i="4" s="1"/>
  <c r="K2853" i="4"/>
  <c r="J2853" i="4"/>
  <c r="F2853" i="4"/>
  <c r="E2853" i="4"/>
  <c r="D2853" i="4"/>
  <c r="P2852" i="4"/>
  <c r="M2852" i="4"/>
  <c r="O2852" i="4" s="1"/>
  <c r="L2852" i="4"/>
  <c r="N2852" i="4" s="1"/>
  <c r="K2852" i="4"/>
  <c r="J2852" i="4"/>
  <c r="F2852" i="4"/>
  <c r="E2852" i="4"/>
  <c r="D2852" i="4"/>
  <c r="M2851" i="4"/>
  <c r="O2851" i="4" s="1"/>
  <c r="L2851" i="4"/>
  <c r="N2851" i="4" s="1"/>
  <c r="K2851" i="4"/>
  <c r="J2851" i="4"/>
  <c r="M2850" i="4"/>
  <c r="O2850" i="4" s="1"/>
  <c r="L2850" i="4"/>
  <c r="N2850" i="4" s="1"/>
  <c r="K2850" i="4"/>
  <c r="J2850" i="4"/>
  <c r="F2850" i="4"/>
  <c r="E2850" i="4"/>
  <c r="D2850" i="4"/>
  <c r="M2849" i="4"/>
  <c r="O2849" i="4" s="1"/>
  <c r="L2849" i="4"/>
  <c r="N2849" i="4" s="1"/>
  <c r="K2849" i="4"/>
  <c r="J2849" i="4"/>
  <c r="F2849" i="4"/>
  <c r="E2849" i="4"/>
  <c r="D2849" i="4"/>
  <c r="M2848" i="4"/>
  <c r="O2848" i="4" s="1"/>
  <c r="L2848" i="4"/>
  <c r="N2848" i="4" s="1"/>
  <c r="K2848" i="4"/>
  <c r="J2848" i="4"/>
  <c r="M2847" i="4"/>
  <c r="O2847" i="4" s="1"/>
  <c r="L2847" i="4"/>
  <c r="N2847" i="4" s="1"/>
  <c r="K2847" i="4"/>
  <c r="J2847" i="4"/>
  <c r="M2846" i="4"/>
  <c r="O2846" i="4" s="1"/>
  <c r="L2846" i="4"/>
  <c r="N2846" i="4" s="1"/>
  <c r="K2846" i="4"/>
  <c r="J2846" i="4"/>
  <c r="M2845" i="4"/>
  <c r="O2845" i="4" s="1"/>
  <c r="L2845" i="4"/>
  <c r="N2845" i="4" s="1"/>
  <c r="K2845" i="4"/>
  <c r="J2845" i="4"/>
  <c r="M2844" i="4"/>
  <c r="O2844" i="4" s="1"/>
  <c r="L2844" i="4"/>
  <c r="N2844" i="4" s="1"/>
  <c r="K2844" i="4"/>
  <c r="J2844" i="4"/>
  <c r="F2844" i="4"/>
  <c r="E2844" i="4"/>
  <c r="D2844" i="4"/>
  <c r="M2843" i="4"/>
  <c r="O2843" i="4" s="1"/>
  <c r="L2843" i="4"/>
  <c r="N2843" i="4" s="1"/>
  <c r="K2843" i="4"/>
  <c r="J2843" i="4"/>
  <c r="M2842" i="4"/>
  <c r="O2842" i="4" s="1"/>
  <c r="L2842" i="4"/>
  <c r="N2842" i="4" s="1"/>
  <c r="K2842" i="4"/>
  <c r="J2842" i="4"/>
  <c r="F2842" i="4"/>
  <c r="E2842" i="4"/>
  <c r="D2842" i="4"/>
  <c r="M2841" i="4"/>
  <c r="O2841" i="4" s="1"/>
  <c r="L2841" i="4"/>
  <c r="N2841" i="4" s="1"/>
  <c r="K2841" i="4"/>
  <c r="J2841" i="4"/>
  <c r="F2841" i="4"/>
  <c r="E2841" i="4"/>
  <c r="D2841" i="4"/>
  <c r="M2840" i="4"/>
  <c r="O2840" i="4" s="1"/>
  <c r="L2840" i="4"/>
  <c r="N2840" i="4" s="1"/>
  <c r="K2840" i="4"/>
  <c r="J2840" i="4"/>
  <c r="F2840" i="4"/>
  <c r="E2840" i="4"/>
  <c r="D2840" i="4"/>
  <c r="M2839" i="4"/>
  <c r="O2839" i="4" s="1"/>
  <c r="L2839" i="4"/>
  <c r="N2839" i="4" s="1"/>
  <c r="K2839" i="4"/>
  <c r="J2839" i="4"/>
  <c r="F2839" i="4"/>
  <c r="E2839" i="4"/>
  <c r="D2839" i="4"/>
  <c r="M2838" i="4"/>
  <c r="O2838" i="4" s="1"/>
  <c r="L2838" i="4"/>
  <c r="N2838" i="4" s="1"/>
  <c r="K2838" i="4"/>
  <c r="J2838" i="4"/>
  <c r="F2838" i="4"/>
  <c r="E2838" i="4"/>
  <c r="D2838" i="4"/>
  <c r="M2837" i="4"/>
  <c r="O2837" i="4" s="1"/>
  <c r="L2837" i="4"/>
  <c r="N2837" i="4" s="1"/>
  <c r="K2837" i="4"/>
  <c r="J2837" i="4"/>
  <c r="F2837" i="4"/>
  <c r="E2837" i="4"/>
  <c r="D2837" i="4"/>
  <c r="M2836" i="4"/>
  <c r="O2836" i="4" s="1"/>
  <c r="L2836" i="4"/>
  <c r="N2836" i="4" s="1"/>
  <c r="K2836" i="4"/>
  <c r="J2836" i="4"/>
  <c r="F2836" i="4"/>
  <c r="E2836" i="4"/>
  <c r="D2836" i="4"/>
  <c r="M2835" i="4"/>
  <c r="O2835" i="4" s="1"/>
  <c r="L2835" i="4"/>
  <c r="N2835" i="4" s="1"/>
  <c r="K2835" i="4"/>
  <c r="J2835" i="4"/>
  <c r="F2835" i="4"/>
  <c r="E2835" i="4"/>
  <c r="D2835" i="4"/>
  <c r="M2834" i="4"/>
  <c r="O2834" i="4" s="1"/>
  <c r="L2834" i="4"/>
  <c r="N2834" i="4" s="1"/>
  <c r="K2834" i="4"/>
  <c r="J2834" i="4"/>
  <c r="F2834" i="4"/>
  <c r="E2834" i="4"/>
  <c r="D2834" i="4"/>
  <c r="M2833" i="4"/>
  <c r="O2833" i="4" s="1"/>
  <c r="L2833" i="4"/>
  <c r="N2833" i="4" s="1"/>
  <c r="K2833" i="4"/>
  <c r="J2833" i="4"/>
  <c r="F2833" i="4"/>
  <c r="E2833" i="4"/>
  <c r="D2833" i="4"/>
  <c r="M2832" i="4"/>
  <c r="O2832" i="4" s="1"/>
  <c r="L2832" i="4"/>
  <c r="N2832" i="4" s="1"/>
  <c r="K2832" i="4"/>
  <c r="J2832" i="4"/>
  <c r="F2832" i="4"/>
  <c r="E2832" i="4"/>
  <c r="D2832" i="4"/>
  <c r="M2831" i="4"/>
  <c r="O2831" i="4" s="1"/>
  <c r="L2831" i="4"/>
  <c r="N2831" i="4" s="1"/>
  <c r="K2831" i="4"/>
  <c r="J2831" i="4"/>
  <c r="F2831" i="4"/>
  <c r="E2831" i="4"/>
  <c r="D2831" i="4"/>
  <c r="M2830" i="4"/>
  <c r="O2830" i="4" s="1"/>
  <c r="L2830" i="4"/>
  <c r="N2830" i="4" s="1"/>
  <c r="K2830" i="4"/>
  <c r="J2830" i="4"/>
  <c r="F2830" i="4"/>
  <c r="E2830" i="4"/>
  <c r="D2830" i="4"/>
  <c r="M2829" i="4"/>
  <c r="O2829" i="4" s="1"/>
  <c r="L2829" i="4"/>
  <c r="N2829" i="4" s="1"/>
  <c r="K2829" i="4"/>
  <c r="J2829" i="4"/>
  <c r="F2829" i="4"/>
  <c r="E2829" i="4"/>
  <c r="D2829" i="4"/>
  <c r="M2828" i="4"/>
  <c r="O2828" i="4" s="1"/>
  <c r="L2828" i="4"/>
  <c r="N2828" i="4" s="1"/>
  <c r="K2828" i="4"/>
  <c r="J2828" i="4"/>
  <c r="F2828" i="4"/>
  <c r="E2828" i="4"/>
  <c r="D2828" i="4"/>
  <c r="M2827" i="4"/>
  <c r="O2827" i="4" s="1"/>
  <c r="L2827" i="4"/>
  <c r="N2827" i="4" s="1"/>
  <c r="K2827" i="4"/>
  <c r="J2827" i="4"/>
  <c r="F2827" i="4"/>
  <c r="E2827" i="4"/>
  <c r="D2827" i="4"/>
  <c r="M2826" i="4"/>
  <c r="O2826" i="4" s="1"/>
  <c r="L2826" i="4"/>
  <c r="N2826" i="4" s="1"/>
  <c r="K2826" i="4"/>
  <c r="J2826" i="4"/>
  <c r="F2826" i="4"/>
  <c r="E2826" i="4"/>
  <c r="D2826" i="4"/>
  <c r="M2825" i="4"/>
  <c r="O2825" i="4" s="1"/>
  <c r="L2825" i="4"/>
  <c r="N2825" i="4" s="1"/>
  <c r="K2825" i="4"/>
  <c r="J2825" i="4"/>
  <c r="F2825" i="4"/>
  <c r="E2825" i="4"/>
  <c r="D2825" i="4"/>
  <c r="M2824" i="4"/>
  <c r="O2824" i="4" s="1"/>
  <c r="L2824" i="4"/>
  <c r="N2824" i="4" s="1"/>
  <c r="K2824" i="4"/>
  <c r="J2824" i="4"/>
  <c r="M2823" i="4"/>
  <c r="O2823" i="4" s="1"/>
  <c r="L2823" i="4"/>
  <c r="N2823" i="4" s="1"/>
  <c r="K2823" i="4"/>
  <c r="J2823" i="4"/>
  <c r="M2822" i="4"/>
  <c r="O2822" i="4" s="1"/>
  <c r="L2822" i="4"/>
  <c r="N2822" i="4" s="1"/>
  <c r="K2822" i="4"/>
  <c r="J2822" i="4"/>
  <c r="M2821" i="4"/>
  <c r="O2821" i="4" s="1"/>
  <c r="L2821" i="4"/>
  <c r="N2821" i="4" s="1"/>
  <c r="K2821" i="4"/>
  <c r="J2821" i="4"/>
  <c r="M2820" i="4"/>
  <c r="O2820" i="4" s="1"/>
  <c r="L2820" i="4"/>
  <c r="N2820" i="4" s="1"/>
  <c r="K2820" i="4"/>
  <c r="J2820" i="4"/>
  <c r="M2819" i="4"/>
  <c r="O2819" i="4" s="1"/>
  <c r="L2819" i="4"/>
  <c r="N2819" i="4" s="1"/>
  <c r="K2819" i="4"/>
  <c r="J2819" i="4"/>
  <c r="M2818" i="4"/>
  <c r="O2818" i="4" s="1"/>
  <c r="L2818" i="4"/>
  <c r="N2818" i="4" s="1"/>
  <c r="K2818" i="4"/>
  <c r="J2818" i="4"/>
  <c r="M2817" i="4"/>
  <c r="O2817" i="4" s="1"/>
  <c r="L2817" i="4"/>
  <c r="N2817" i="4" s="1"/>
  <c r="K2817" i="4"/>
  <c r="J2817" i="4"/>
  <c r="M2816" i="4"/>
  <c r="O2816" i="4" s="1"/>
  <c r="L2816" i="4"/>
  <c r="N2816" i="4" s="1"/>
  <c r="K2816" i="4"/>
  <c r="J2816" i="4"/>
  <c r="F2816" i="4"/>
  <c r="E2816" i="4"/>
  <c r="D2816" i="4"/>
  <c r="M2815" i="4"/>
  <c r="O2815" i="4" s="1"/>
  <c r="L2815" i="4"/>
  <c r="N2815" i="4" s="1"/>
  <c r="K2815" i="4"/>
  <c r="J2815" i="4"/>
  <c r="M2814" i="4"/>
  <c r="O2814" i="4" s="1"/>
  <c r="L2814" i="4"/>
  <c r="N2814" i="4" s="1"/>
  <c r="K2814" i="4"/>
  <c r="J2814" i="4"/>
  <c r="F2814" i="4"/>
  <c r="E2814" i="4"/>
  <c r="D2814" i="4"/>
  <c r="M2813" i="4"/>
  <c r="O2813" i="4" s="1"/>
  <c r="L2813" i="4"/>
  <c r="N2813" i="4" s="1"/>
  <c r="K2813" i="4"/>
  <c r="J2813" i="4"/>
  <c r="M2812" i="4"/>
  <c r="O2812" i="4" s="1"/>
  <c r="L2812" i="4"/>
  <c r="N2812" i="4" s="1"/>
  <c r="K2812" i="4"/>
  <c r="J2812" i="4"/>
  <c r="M2811" i="4"/>
  <c r="O2811" i="4" s="1"/>
  <c r="L2811" i="4"/>
  <c r="N2811" i="4" s="1"/>
  <c r="K2811" i="4"/>
  <c r="J2811" i="4"/>
  <c r="M2810" i="4"/>
  <c r="O2810" i="4" s="1"/>
  <c r="L2810" i="4"/>
  <c r="N2810" i="4" s="1"/>
  <c r="K2810" i="4"/>
  <c r="J2810" i="4"/>
  <c r="M2809" i="4"/>
  <c r="O2809" i="4" s="1"/>
  <c r="L2809" i="4"/>
  <c r="N2809" i="4" s="1"/>
  <c r="K2809" i="4"/>
  <c r="J2809" i="4"/>
  <c r="F2809" i="4"/>
  <c r="E2809" i="4"/>
  <c r="D2809" i="4"/>
  <c r="M2808" i="4"/>
  <c r="O2808" i="4" s="1"/>
  <c r="L2808" i="4"/>
  <c r="N2808" i="4" s="1"/>
  <c r="K2808" i="4"/>
  <c r="J2808" i="4"/>
  <c r="M2807" i="4"/>
  <c r="O2807" i="4" s="1"/>
  <c r="L2807" i="4"/>
  <c r="N2807" i="4" s="1"/>
  <c r="K2807" i="4"/>
  <c r="J2807" i="4"/>
  <c r="M2806" i="4"/>
  <c r="O2806" i="4" s="1"/>
  <c r="L2806" i="4"/>
  <c r="N2806" i="4" s="1"/>
  <c r="K2806" i="4"/>
  <c r="J2806" i="4"/>
  <c r="M2805" i="4"/>
  <c r="O2805" i="4" s="1"/>
  <c r="L2805" i="4"/>
  <c r="N2805" i="4" s="1"/>
  <c r="K2805" i="4"/>
  <c r="J2805" i="4"/>
  <c r="M2804" i="4"/>
  <c r="O2804" i="4" s="1"/>
  <c r="L2804" i="4"/>
  <c r="N2804" i="4" s="1"/>
  <c r="K2804" i="4"/>
  <c r="J2804" i="4"/>
  <c r="F2804" i="4"/>
  <c r="E2804" i="4"/>
  <c r="D2804" i="4"/>
  <c r="M2803" i="4"/>
  <c r="O2803" i="4" s="1"/>
  <c r="L2803" i="4"/>
  <c r="N2803" i="4" s="1"/>
  <c r="K2803" i="4"/>
  <c r="J2803" i="4"/>
  <c r="M2802" i="4"/>
  <c r="O2802" i="4" s="1"/>
  <c r="L2802" i="4"/>
  <c r="N2802" i="4" s="1"/>
  <c r="K2802" i="4"/>
  <c r="J2802" i="4"/>
  <c r="M2801" i="4"/>
  <c r="O2801" i="4" s="1"/>
  <c r="L2801" i="4"/>
  <c r="N2801" i="4" s="1"/>
  <c r="K2801" i="4"/>
  <c r="J2801" i="4"/>
  <c r="M2800" i="4"/>
  <c r="O2800" i="4" s="1"/>
  <c r="L2800" i="4"/>
  <c r="N2800" i="4" s="1"/>
  <c r="K2800" i="4"/>
  <c r="J2800" i="4"/>
  <c r="M2799" i="4"/>
  <c r="O2799" i="4" s="1"/>
  <c r="L2799" i="4"/>
  <c r="N2799" i="4" s="1"/>
  <c r="K2799" i="4"/>
  <c r="J2799" i="4"/>
  <c r="M2798" i="4"/>
  <c r="O2798" i="4" s="1"/>
  <c r="L2798" i="4"/>
  <c r="N2798" i="4" s="1"/>
  <c r="K2798" i="4"/>
  <c r="J2798" i="4"/>
  <c r="M2797" i="4"/>
  <c r="O2797" i="4" s="1"/>
  <c r="L2797" i="4"/>
  <c r="N2797" i="4" s="1"/>
  <c r="K2797" i="4"/>
  <c r="J2797" i="4"/>
  <c r="F2797" i="4"/>
  <c r="E2797" i="4"/>
  <c r="D2797" i="4"/>
  <c r="M2796" i="4"/>
  <c r="O2796" i="4" s="1"/>
  <c r="L2796" i="4"/>
  <c r="N2796" i="4" s="1"/>
  <c r="K2796" i="4"/>
  <c r="J2796" i="4"/>
  <c r="M2795" i="4"/>
  <c r="O2795" i="4" s="1"/>
  <c r="L2795" i="4"/>
  <c r="N2795" i="4" s="1"/>
  <c r="K2795" i="4"/>
  <c r="J2795" i="4"/>
  <c r="F2795" i="4"/>
  <c r="E2795" i="4"/>
  <c r="D2795" i="4"/>
  <c r="M2794" i="4"/>
  <c r="O2794" i="4" s="1"/>
  <c r="L2794" i="4"/>
  <c r="N2794" i="4" s="1"/>
  <c r="K2794" i="4"/>
  <c r="J2794" i="4"/>
  <c r="M2793" i="4"/>
  <c r="O2793" i="4" s="1"/>
  <c r="L2793" i="4"/>
  <c r="N2793" i="4" s="1"/>
  <c r="K2793" i="4"/>
  <c r="J2793" i="4"/>
  <c r="M2792" i="4"/>
  <c r="O2792" i="4" s="1"/>
  <c r="L2792" i="4"/>
  <c r="N2792" i="4" s="1"/>
  <c r="K2792" i="4"/>
  <c r="J2792" i="4"/>
  <c r="M2791" i="4"/>
  <c r="O2791" i="4" s="1"/>
  <c r="L2791" i="4"/>
  <c r="N2791" i="4" s="1"/>
  <c r="K2791" i="4"/>
  <c r="J2791" i="4"/>
  <c r="M2790" i="4"/>
  <c r="O2790" i="4" s="1"/>
  <c r="L2790" i="4"/>
  <c r="N2790" i="4" s="1"/>
  <c r="K2790" i="4"/>
  <c r="J2790" i="4"/>
  <c r="M2789" i="4"/>
  <c r="O2789" i="4" s="1"/>
  <c r="L2789" i="4"/>
  <c r="N2789" i="4" s="1"/>
  <c r="K2789" i="4"/>
  <c r="J2789" i="4"/>
  <c r="M2788" i="4"/>
  <c r="O2788" i="4" s="1"/>
  <c r="L2788" i="4"/>
  <c r="N2788" i="4" s="1"/>
  <c r="K2788" i="4"/>
  <c r="J2788" i="4"/>
  <c r="M2787" i="4"/>
  <c r="O2787" i="4" s="1"/>
  <c r="L2787" i="4"/>
  <c r="N2787" i="4" s="1"/>
  <c r="K2787" i="4"/>
  <c r="J2787" i="4"/>
  <c r="F2787" i="4"/>
  <c r="E2787" i="4"/>
  <c r="D2787" i="4"/>
  <c r="M2786" i="4"/>
  <c r="O2786" i="4" s="1"/>
  <c r="L2786" i="4"/>
  <c r="N2786" i="4" s="1"/>
  <c r="K2786" i="4"/>
  <c r="J2786" i="4"/>
  <c r="M2785" i="4"/>
  <c r="O2785" i="4" s="1"/>
  <c r="L2785" i="4"/>
  <c r="N2785" i="4" s="1"/>
  <c r="K2785" i="4"/>
  <c r="J2785" i="4"/>
  <c r="M2784" i="4"/>
  <c r="O2784" i="4" s="1"/>
  <c r="L2784" i="4"/>
  <c r="N2784" i="4" s="1"/>
  <c r="K2784" i="4"/>
  <c r="J2784" i="4"/>
  <c r="M2783" i="4"/>
  <c r="O2783" i="4" s="1"/>
  <c r="L2783" i="4"/>
  <c r="N2783" i="4" s="1"/>
  <c r="K2783" i="4"/>
  <c r="J2783" i="4"/>
  <c r="M2782" i="4"/>
  <c r="O2782" i="4" s="1"/>
  <c r="L2782" i="4"/>
  <c r="N2782" i="4" s="1"/>
  <c r="K2782" i="4"/>
  <c r="J2782" i="4"/>
  <c r="M2781" i="4"/>
  <c r="O2781" i="4" s="1"/>
  <c r="L2781" i="4"/>
  <c r="N2781" i="4" s="1"/>
  <c r="K2781" i="4"/>
  <c r="J2781" i="4"/>
  <c r="M2780" i="4"/>
  <c r="O2780" i="4" s="1"/>
  <c r="L2780" i="4"/>
  <c r="N2780" i="4" s="1"/>
  <c r="K2780" i="4"/>
  <c r="J2780" i="4"/>
  <c r="M2779" i="4"/>
  <c r="O2779" i="4" s="1"/>
  <c r="L2779" i="4"/>
  <c r="N2779" i="4" s="1"/>
  <c r="K2779" i="4"/>
  <c r="J2779" i="4"/>
  <c r="M2778" i="4"/>
  <c r="O2778" i="4" s="1"/>
  <c r="L2778" i="4"/>
  <c r="N2778" i="4" s="1"/>
  <c r="K2778" i="4"/>
  <c r="J2778" i="4"/>
  <c r="M2777" i="4"/>
  <c r="O2777" i="4" s="1"/>
  <c r="L2777" i="4"/>
  <c r="N2777" i="4" s="1"/>
  <c r="K2777" i="4"/>
  <c r="J2777" i="4"/>
  <c r="M2776" i="4"/>
  <c r="O2776" i="4" s="1"/>
  <c r="L2776" i="4"/>
  <c r="N2776" i="4" s="1"/>
  <c r="K2776" i="4"/>
  <c r="J2776" i="4"/>
  <c r="F2776" i="4"/>
  <c r="E2776" i="4"/>
  <c r="D2776" i="4"/>
  <c r="M2775" i="4"/>
  <c r="O2775" i="4" s="1"/>
  <c r="L2775" i="4"/>
  <c r="N2775" i="4" s="1"/>
  <c r="K2775" i="4"/>
  <c r="J2775" i="4"/>
  <c r="F2775" i="4"/>
  <c r="E2775" i="4"/>
  <c r="D2775" i="4"/>
  <c r="M2774" i="4"/>
  <c r="O2774" i="4" s="1"/>
  <c r="L2774" i="4"/>
  <c r="N2774" i="4" s="1"/>
  <c r="K2774" i="4"/>
  <c r="J2774" i="4"/>
  <c r="F2774" i="4"/>
  <c r="E2774" i="4"/>
  <c r="D2774" i="4"/>
  <c r="M2773" i="4"/>
  <c r="O2773" i="4" s="1"/>
  <c r="L2773" i="4"/>
  <c r="N2773" i="4" s="1"/>
  <c r="K2773" i="4"/>
  <c r="J2773" i="4"/>
  <c r="F2773" i="4"/>
  <c r="E2773" i="4"/>
  <c r="D2773" i="4"/>
  <c r="M2772" i="4"/>
  <c r="O2772" i="4" s="1"/>
  <c r="L2772" i="4"/>
  <c r="N2772" i="4" s="1"/>
  <c r="K2772" i="4"/>
  <c r="J2772" i="4"/>
  <c r="F2772" i="4"/>
  <c r="E2772" i="4"/>
  <c r="D2772" i="4"/>
  <c r="M2771" i="4"/>
  <c r="O2771" i="4" s="1"/>
  <c r="L2771" i="4"/>
  <c r="N2771" i="4" s="1"/>
  <c r="K2771" i="4"/>
  <c r="J2771" i="4"/>
  <c r="F2771" i="4"/>
  <c r="E2771" i="4"/>
  <c r="D2771" i="4"/>
  <c r="M2770" i="4"/>
  <c r="O2770" i="4" s="1"/>
  <c r="L2770" i="4"/>
  <c r="N2770" i="4" s="1"/>
  <c r="K2770" i="4"/>
  <c r="J2770" i="4"/>
  <c r="F2770" i="4"/>
  <c r="E2770" i="4"/>
  <c r="D2770" i="4"/>
  <c r="M2769" i="4"/>
  <c r="O2769" i="4" s="1"/>
  <c r="L2769" i="4"/>
  <c r="N2769" i="4" s="1"/>
  <c r="K2769" i="4"/>
  <c r="J2769" i="4"/>
  <c r="M2768" i="4"/>
  <c r="O2768" i="4" s="1"/>
  <c r="L2768" i="4"/>
  <c r="N2768" i="4" s="1"/>
  <c r="K2768" i="4"/>
  <c r="J2768" i="4"/>
  <c r="M2767" i="4"/>
  <c r="O2767" i="4" s="1"/>
  <c r="L2767" i="4"/>
  <c r="N2767" i="4" s="1"/>
  <c r="K2767" i="4"/>
  <c r="J2767" i="4"/>
  <c r="M2766" i="4"/>
  <c r="O2766" i="4" s="1"/>
  <c r="L2766" i="4"/>
  <c r="N2766" i="4" s="1"/>
  <c r="K2766" i="4"/>
  <c r="J2766" i="4"/>
  <c r="M2765" i="4"/>
  <c r="O2765" i="4" s="1"/>
  <c r="L2765" i="4"/>
  <c r="N2765" i="4" s="1"/>
  <c r="K2765" i="4"/>
  <c r="J2765" i="4"/>
  <c r="M2764" i="4"/>
  <c r="O2764" i="4" s="1"/>
  <c r="L2764" i="4"/>
  <c r="N2764" i="4" s="1"/>
  <c r="K2764" i="4"/>
  <c r="J2764" i="4"/>
  <c r="M2763" i="4"/>
  <c r="O2763" i="4" s="1"/>
  <c r="L2763" i="4"/>
  <c r="N2763" i="4" s="1"/>
  <c r="K2763" i="4"/>
  <c r="J2763" i="4"/>
  <c r="M2762" i="4"/>
  <c r="O2762" i="4" s="1"/>
  <c r="L2762" i="4"/>
  <c r="N2762" i="4" s="1"/>
  <c r="K2762" i="4"/>
  <c r="J2762" i="4"/>
  <c r="M2761" i="4"/>
  <c r="O2761" i="4" s="1"/>
  <c r="L2761" i="4"/>
  <c r="N2761" i="4" s="1"/>
  <c r="K2761" i="4"/>
  <c r="J2761" i="4"/>
  <c r="M2760" i="4"/>
  <c r="O2760" i="4" s="1"/>
  <c r="L2760" i="4"/>
  <c r="N2760" i="4" s="1"/>
  <c r="K2760" i="4"/>
  <c r="J2760" i="4"/>
  <c r="M2759" i="4"/>
  <c r="O2759" i="4" s="1"/>
  <c r="L2759" i="4"/>
  <c r="N2759" i="4" s="1"/>
  <c r="K2759" i="4"/>
  <c r="J2759" i="4"/>
  <c r="M2758" i="4"/>
  <c r="O2758" i="4" s="1"/>
  <c r="L2758" i="4"/>
  <c r="N2758" i="4" s="1"/>
  <c r="K2758" i="4"/>
  <c r="J2758" i="4"/>
  <c r="M2757" i="4"/>
  <c r="O2757" i="4" s="1"/>
  <c r="L2757" i="4"/>
  <c r="N2757" i="4" s="1"/>
  <c r="K2757" i="4"/>
  <c r="J2757" i="4"/>
  <c r="M2756" i="4"/>
  <c r="O2756" i="4" s="1"/>
  <c r="L2756" i="4"/>
  <c r="N2756" i="4" s="1"/>
  <c r="K2756" i="4"/>
  <c r="J2756" i="4"/>
  <c r="M2755" i="4"/>
  <c r="O2755" i="4" s="1"/>
  <c r="L2755" i="4"/>
  <c r="N2755" i="4" s="1"/>
  <c r="K2755" i="4"/>
  <c r="J2755" i="4"/>
  <c r="M2754" i="4"/>
  <c r="O2754" i="4" s="1"/>
  <c r="L2754" i="4"/>
  <c r="N2754" i="4" s="1"/>
  <c r="K2754" i="4"/>
  <c r="J2754" i="4"/>
  <c r="M2753" i="4"/>
  <c r="O2753" i="4" s="1"/>
  <c r="L2753" i="4"/>
  <c r="N2753" i="4" s="1"/>
  <c r="K2753" i="4"/>
  <c r="J2753" i="4"/>
  <c r="M2752" i="4"/>
  <c r="O2752" i="4" s="1"/>
  <c r="L2752" i="4"/>
  <c r="N2752" i="4" s="1"/>
  <c r="K2752" i="4"/>
  <c r="J2752" i="4"/>
  <c r="M2751" i="4"/>
  <c r="O2751" i="4" s="1"/>
  <c r="L2751" i="4"/>
  <c r="N2751" i="4" s="1"/>
  <c r="K2751" i="4"/>
  <c r="J2751" i="4"/>
  <c r="F2751" i="4"/>
  <c r="E2751" i="4"/>
  <c r="D2751" i="4"/>
  <c r="M2750" i="4"/>
  <c r="O2750" i="4" s="1"/>
  <c r="L2750" i="4"/>
  <c r="N2750" i="4" s="1"/>
  <c r="K2750" i="4"/>
  <c r="J2750" i="4"/>
  <c r="M2749" i="4"/>
  <c r="O2749" i="4" s="1"/>
  <c r="L2749" i="4"/>
  <c r="N2749" i="4" s="1"/>
  <c r="K2749" i="4"/>
  <c r="J2749" i="4"/>
  <c r="M2748" i="4"/>
  <c r="O2748" i="4" s="1"/>
  <c r="L2748" i="4"/>
  <c r="N2748" i="4" s="1"/>
  <c r="K2748" i="4"/>
  <c r="J2748" i="4"/>
  <c r="M2747" i="4"/>
  <c r="O2747" i="4" s="1"/>
  <c r="L2747" i="4"/>
  <c r="N2747" i="4" s="1"/>
  <c r="K2747" i="4"/>
  <c r="J2747" i="4"/>
  <c r="M2746" i="4"/>
  <c r="O2746" i="4" s="1"/>
  <c r="L2746" i="4"/>
  <c r="N2746" i="4" s="1"/>
  <c r="K2746" i="4"/>
  <c r="J2746" i="4"/>
  <c r="M2745" i="4"/>
  <c r="O2745" i="4" s="1"/>
  <c r="L2745" i="4"/>
  <c r="N2745" i="4" s="1"/>
  <c r="K2745" i="4"/>
  <c r="J2745" i="4"/>
  <c r="M2744" i="4"/>
  <c r="O2744" i="4" s="1"/>
  <c r="L2744" i="4"/>
  <c r="N2744" i="4" s="1"/>
  <c r="K2744" i="4"/>
  <c r="J2744" i="4"/>
  <c r="M2743" i="4"/>
  <c r="O2743" i="4" s="1"/>
  <c r="L2743" i="4"/>
  <c r="N2743" i="4" s="1"/>
  <c r="K2743" i="4"/>
  <c r="J2743" i="4"/>
  <c r="M2742" i="4"/>
  <c r="O2742" i="4" s="1"/>
  <c r="L2742" i="4"/>
  <c r="N2742" i="4" s="1"/>
  <c r="K2742" i="4"/>
  <c r="J2742" i="4"/>
  <c r="M2741" i="4"/>
  <c r="O2741" i="4" s="1"/>
  <c r="L2741" i="4"/>
  <c r="N2741" i="4" s="1"/>
  <c r="K2741" i="4"/>
  <c r="J2741" i="4"/>
  <c r="M2740" i="4"/>
  <c r="O2740" i="4" s="1"/>
  <c r="L2740" i="4"/>
  <c r="N2740" i="4" s="1"/>
  <c r="K2740" i="4"/>
  <c r="J2740" i="4"/>
  <c r="M2739" i="4"/>
  <c r="O2739" i="4" s="1"/>
  <c r="L2739" i="4"/>
  <c r="N2739" i="4" s="1"/>
  <c r="K2739" i="4"/>
  <c r="J2739" i="4"/>
  <c r="F2739" i="4"/>
  <c r="E2739" i="4"/>
  <c r="D2739" i="4"/>
  <c r="M2738" i="4"/>
  <c r="O2738" i="4" s="1"/>
  <c r="L2738" i="4"/>
  <c r="N2738" i="4" s="1"/>
  <c r="K2738" i="4"/>
  <c r="J2738" i="4"/>
  <c r="F2738" i="4"/>
  <c r="E2738" i="4"/>
  <c r="D2738" i="4"/>
  <c r="M2737" i="4"/>
  <c r="O2737" i="4" s="1"/>
  <c r="L2737" i="4"/>
  <c r="N2737" i="4" s="1"/>
  <c r="K2737" i="4"/>
  <c r="J2737" i="4"/>
  <c r="M2736" i="4"/>
  <c r="O2736" i="4" s="1"/>
  <c r="L2736" i="4"/>
  <c r="N2736" i="4" s="1"/>
  <c r="K2736" i="4"/>
  <c r="J2736" i="4"/>
  <c r="F2736" i="4"/>
  <c r="E2736" i="4"/>
  <c r="D2736" i="4"/>
  <c r="M2735" i="4"/>
  <c r="O2735" i="4" s="1"/>
  <c r="L2735" i="4"/>
  <c r="N2735" i="4" s="1"/>
  <c r="K2735" i="4"/>
  <c r="J2735" i="4"/>
  <c r="M2734" i="4"/>
  <c r="O2734" i="4" s="1"/>
  <c r="L2734" i="4"/>
  <c r="N2734" i="4" s="1"/>
  <c r="K2734" i="4"/>
  <c r="J2734" i="4"/>
  <c r="M2733" i="4"/>
  <c r="O2733" i="4" s="1"/>
  <c r="L2733" i="4"/>
  <c r="N2733" i="4" s="1"/>
  <c r="K2733" i="4"/>
  <c r="J2733" i="4"/>
  <c r="M2732" i="4"/>
  <c r="O2732" i="4" s="1"/>
  <c r="L2732" i="4"/>
  <c r="N2732" i="4" s="1"/>
  <c r="K2732" i="4"/>
  <c r="J2732" i="4"/>
  <c r="M2731" i="4"/>
  <c r="O2731" i="4" s="1"/>
  <c r="L2731" i="4"/>
  <c r="N2731" i="4" s="1"/>
  <c r="K2731" i="4"/>
  <c r="J2731" i="4"/>
  <c r="M2730" i="4"/>
  <c r="O2730" i="4" s="1"/>
  <c r="L2730" i="4"/>
  <c r="N2730" i="4" s="1"/>
  <c r="K2730" i="4"/>
  <c r="J2730" i="4"/>
  <c r="F2730" i="4"/>
  <c r="E2730" i="4"/>
  <c r="D2730" i="4"/>
  <c r="M2729" i="4"/>
  <c r="O2729" i="4" s="1"/>
  <c r="L2729" i="4"/>
  <c r="N2729" i="4" s="1"/>
  <c r="K2729" i="4"/>
  <c r="J2729" i="4"/>
  <c r="F2729" i="4"/>
  <c r="E2729" i="4"/>
  <c r="D2729" i="4"/>
  <c r="M2728" i="4"/>
  <c r="O2728" i="4" s="1"/>
  <c r="L2728" i="4"/>
  <c r="N2728" i="4" s="1"/>
  <c r="K2728" i="4"/>
  <c r="J2728" i="4"/>
  <c r="M2727" i="4"/>
  <c r="O2727" i="4" s="1"/>
  <c r="L2727" i="4"/>
  <c r="N2727" i="4" s="1"/>
  <c r="K2727" i="4"/>
  <c r="J2727" i="4"/>
  <c r="M2726" i="4"/>
  <c r="O2726" i="4" s="1"/>
  <c r="L2726" i="4"/>
  <c r="N2726" i="4" s="1"/>
  <c r="K2726" i="4"/>
  <c r="J2726" i="4"/>
  <c r="M2725" i="4"/>
  <c r="O2725" i="4" s="1"/>
  <c r="L2725" i="4"/>
  <c r="N2725" i="4" s="1"/>
  <c r="K2725" i="4"/>
  <c r="J2725" i="4"/>
  <c r="M2724" i="4"/>
  <c r="O2724" i="4" s="1"/>
  <c r="L2724" i="4"/>
  <c r="N2724" i="4" s="1"/>
  <c r="K2724" i="4"/>
  <c r="J2724" i="4"/>
  <c r="M2723" i="4"/>
  <c r="O2723" i="4" s="1"/>
  <c r="L2723" i="4"/>
  <c r="N2723" i="4" s="1"/>
  <c r="K2723" i="4"/>
  <c r="J2723" i="4"/>
  <c r="M2722" i="4"/>
  <c r="O2722" i="4" s="1"/>
  <c r="L2722" i="4"/>
  <c r="N2722" i="4" s="1"/>
  <c r="K2722" i="4"/>
  <c r="J2722" i="4"/>
  <c r="M2721" i="4"/>
  <c r="O2721" i="4" s="1"/>
  <c r="L2721" i="4"/>
  <c r="N2721" i="4" s="1"/>
  <c r="K2721" i="4"/>
  <c r="J2721" i="4"/>
  <c r="F2721" i="4"/>
  <c r="E2721" i="4"/>
  <c r="D2721" i="4"/>
  <c r="M2720" i="4"/>
  <c r="O2720" i="4" s="1"/>
  <c r="L2720" i="4"/>
  <c r="N2720" i="4" s="1"/>
  <c r="K2720" i="4"/>
  <c r="J2720" i="4"/>
  <c r="F2720" i="4"/>
  <c r="E2720" i="4"/>
  <c r="D2720" i="4"/>
  <c r="M2719" i="4"/>
  <c r="O2719" i="4" s="1"/>
  <c r="L2719" i="4"/>
  <c r="N2719" i="4" s="1"/>
  <c r="K2719" i="4"/>
  <c r="J2719" i="4"/>
  <c r="F2719" i="4"/>
  <c r="E2719" i="4"/>
  <c r="D2719" i="4"/>
  <c r="M2718" i="4"/>
  <c r="O2718" i="4" s="1"/>
  <c r="L2718" i="4"/>
  <c r="N2718" i="4" s="1"/>
  <c r="K2718" i="4"/>
  <c r="J2718" i="4"/>
  <c r="F2718" i="4"/>
  <c r="E2718" i="4"/>
  <c r="D2718" i="4"/>
  <c r="M2717" i="4"/>
  <c r="O2717" i="4" s="1"/>
  <c r="L2717" i="4"/>
  <c r="N2717" i="4" s="1"/>
  <c r="K2717" i="4"/>
  <c r="J2717" i="4"/>
  <c r="F2717" i="4"/>
  <c r="E2717" i="4"/>
  <c r="D2717" i="4"/>
  <c r="M2716" i="4"/>
  <c r="O2716" i="4" s="1"/>
  <c r="L2716" i="4"/>
  <c r="N2716" i="4" s="1"/>
  <c r="K2716" i="4"/>
  <c r="J2716" i="4"/>
  <c r="F2716" i="4"/>
  <c r="E2716" i="4"/>
  <c r="D2716" i="4"/>
  <c r="M2715" i="4"/>
  <c r="O2715" i="4" s="1"/>
  <c r="L2715" i="4"/>
  <c r="N2715" i="4" s="1"/>
  <c r="K2715" i="4"/>
  <c r="J2715" i="4"/>
  <c r="F2715" i="4"/>
  <c r="E2715" i="4"/>
  <c r="D2715" i="4"/>
  <c r="M2714" i="4"/>
  <c r="O2714" i="4" s="1"/>
  <c r="L2714" i="4"/>
  <c r="N2714" i="4" s="1"/>
  <c r="K2714" i="4"/>
  <c r="J2714" i="4"/>
  <c r="F2714" i="4"/>
  <c r="E2714" i="4"/>
  <c r="D2714" i="4"/>
  <c r="M2713" i="4"/>
  <c r="O2713" i="4" s="1"/>
  <c r="L2713" i="4"/>
  <c r="N2713" i="4" s="1"/>
  <c r="K2713" i="4"/>
  <c r="J2713" i="4"/>
  <c r="F2713" i="4"/>
  <c r="E2713" i="4"/>
  <c r="D2713" i="4"/>
  <c r="M2712" i="4"/>
  <c r="O2712" i="4" s="1"/>
  <c r="L2712" i="4"/>
  <c r="N2712" i="4" s="1"/>
  <c r="K2712" i="4"/>
  <c r="J2712" i="4"/>
  <c r="F2712" i="4"/>
  <c r="E2712" i="4"/>
  <c r="D2712" i="4"/>
  <c r="M2711" i="4"/>
  <c r="O2711" i="4" s="1"/>
  <c r="L2711" i="4"/>
  <c r="N2711" i="4" s="1"/>
  <c r="K2711" i="4"/>
  <c r="J2711" i="4"/>
  <c r="F2711" i="4"/>
  <c r="E2711" i="4"/>
  <c r="D2711" i="4"/>
  <c r="M2710" i="4"/>
  <c r="O2710" i="4" s="1"/>
  <c r="L2710" i="4"/>
  <c r="N2710" i="4" s="1"/>
  <c r="K2710" i="4"/>
  <c r="J2710" i="4"/>
  <c r="F2710" i="4"/>
  <c r="E2710" i="4"/>
  <c r="D2710" i="4"/>
  <c r="M2709" i="4"/>
  <c r="O2709" i="4" s="1"/>
  <c r="L2709" i="4"/>
  <c r="N2709" i="4" s="1"/>
  <c r="K2709" i="4"/>
  <c r="J2709" i="4"/>
  <c r="F2709" i="4"/>
  <c r="E2709" i="4"/>
  <c r="D2709" i="4"/>
  <c r="M2708" i="4"/>
  <c r="O2708" i="4" s="1"/>
  <c r="L2708" i="4"/>
  <c r="N2708" i="4" s="1"/>
  <c r="K2708" i="4"/>
  <c r="J2708" i="4"/>
  <c r="F2708" i="4"/>
  <c r="E2708" i="4"/>
  <c r="D2708" i="4"/>
  <c r="M2707" i="4"/>
  <c r="O2707" i="4" s="1"/>
  <c r="L2707" i="4"/>
  <c r="N2707" i="4" s="1"/>
  <c r="K2707" i="4"/>
  <c r="J2707" i="4"/>
  <c r="F2707" i="4"/>
  <c r="E2707" i="4"/>
  <c r="D2707" i="4"/>
  <c r="M2706" i="4"/>
  <c r="O2706" i="4" s="1"/>
  <c r="L2706" i="4"/>
  <c r="N2706" i="4" s="1"/>
  <c r="K2706" i="4"/>
  <c r="J2706" i="4"/>
  <c r="F2706" i="4"/>
  <c r="E2706" i="4"/>
  <c r="D2706" i="4"/>
  <c r="M2705" i="4"/>
  <c r="O2705" i="4" s="1"/>
  <c r="L2705" i="4"/>
  <c r="N2705" i="4" s="1"/>
  <c r="K2705" i="4"/>
  <c r="J2705" i="4"/>
  <c r="F2705" i="4"/>
  <c r="E2705" i="4"/>
  <c r="D2705" i="4"/>
  <c r="M2704" i="4"/>
  <c r="O2704" i="4" s="1"/>
  <c r="L2704" i="4"/>
  <c r="N2704" i="4" s="1"/>
  <c r="K2704" i="4"/>
  <c r="J2704" i="4"/>
  <c r="F2704" i="4"/>
  <c r="E2704" i="4"/>
  <c r="D2704" i="4"/>
  <c r="M2703" i="4"/>
  <c r="O2703" i="4" s="1"/>
  <c r="L2703" i="4"/>
  <c r="N2703" i="4" s="1"/>
  <c r="K2703" i="4"/>
  <c r="J2703" i="4"/>
  <c r="F2703" i="4"/>
  <c r="E2703" i="4"/>
  <c r="D2703" i="4"/>
  <c r="M2702" i="4"/>
  <c r="O2702" i="4" s="1"/>
  <c r="L2702" i="4"/>
  <c r="N2702" i="4" s="1"/>
  <c r="K2702" i="4"/>
  <c r="J2702" i="4"/>
  <c r="F2702" i="4"/>
  <c r="E2702" i="4"/>
  <c r="D2702" i="4"/>
  <c r="M2701" i="4"/>
  <c r="O2701" i="4" s="1"/>
  <c r="L2701" i="4"/>
  <c r="N2701" i="4" s="1"/>
  <c r="K2701" i="4"/>
  <c r="J2701" i="4"/>
  <c r="M2700" i="4"/>
  <c r="O2700" i="4" s="1"/>
  <c r="L2700" i="4"/>
  <c r="N2700" i="4" s="1"/>
  <c r="K2700" i="4"/>
  <c r="J2700" i="4"/>
  <c r="M2699" i="4"/>
  <c r="O2699" i="4" s="1"/>
  <c r="L2699" i="4"/>
  <c r="N2699" i="4" s="1"/>
  <c r="K2699" i="4"/>
  <c r="J2699" i="4"/>
  <c r="F2699" i="4"/>
  <c r="E2699" i="4"/>
  <c r="D2699" i="4"/>
  <c r="M2698" i="4"/>
  <c r="O2698" i="4" s="1"/>
  <c r="L2698" i="4"/>
  <c r="N2698" i="4" s="1"/>
  <c r="K2698" i="4"/>
  <c r="J2698" i="4"/>
  <c r="M2697" i="4"/>
  <c r="O2697" i="4" s="1"/>
  <c r="L2697" i="4"/>
  <c r="N2697" i="4" s="1"/>
  <c r="K2697" i="4"/>
  <c r="J2697" i="4"/>
  <c r="M2696" i="4"/>
  <c r="O2696" i="4" s="1"/>
  <c r="L2696" i="4"/>
  <c r="N2696" i="4" s="1"/>
  <c r="K2696" i="4"/>
  <c r="J2696" i="4"/>
  <c r="M2695" i="4"/>
  <c r="O2695" i="4" s="1"/>
  <c r="L2695" i="4"/>
  <c r="N2695" i="4" s="1"/>
  <c r="K2695" i="4"/>
  <c r="J2695" i="4"/>
  <c r="M2694" i="4"/>
  <c r="O2694" i="4" s="1"/>
  <c r="L2694" i="4"/>
  <c r="N2694" i="4" s="1"/>
  <c r="K2694" i="4"/>
  <c r="J2694" i="4"/>
  <c r="M2693" i="4"/>
  <c r="O2693" i="4" s="1"/>
  <c r="L2693" i="4"/>
  <c r="N2693" i="4" s="1"/>
  <c r="K2693" i="4"/>
  <c r="J2693" i="4"/>
  <c r="M2692" i="4"/>
  <c r="O2692" i="4" s="1"/>
  <c r="L2692" i="4"/>
  <c r="N2692" i="4" s="1"/>
  <c r="K2692" i="4"/>
  <c r="J2692" i="4"/>
  <c r="M2691" i="4"/>
  <c r="O2691" i="4" s="1"/>
  <c r="L2691" i="4"/>
  <c r="N2691" i="4" s="1"/>
  <c r="K2691" i="4"/>
  <c r="J2691" i="4"/>
  <c r="M2690" i="4"/>
  <c r="O2690" i="4" s="1"/>
  <c r="L2690" i="4"/>
  <c r="N2690" i="4" s="1"/>
  <c r="K2690" i="4"/>
  <c r="J2690" i="4"/>
  <c r="M2689" i="4"/>
  <c r="O2689" i="4" s="1"/>
  <c r="L2689" i="4"/>
  <c r="N2689" i="4" s="1"/>
  <c r="K2689" i="4"/>
  <c r="J2689" i="4"/>
  <c r="M2688" i="4"/>
  <c r="O2688" i="4" s="1"/>
  <c r="L2688" i="4"/>
  <c r="N2688" i="4" s="1"/>
  <c r="K2688" i="4"/>
  <c r="J2688" i="4"/>
  <c r="M2687" i="4"/>
  <c r="O2687" i="4" s="1"/>
  <c r="L2687" i="4"/>
  <c r="N2687" i="4" s="1"/>
  <c r="K2687" i="4"/>
  <c r="J2687" i="4"/>
  <c r="F2687" i="4"/>
  <c r="E2687" i="4"/>
  <c r="D2687" i="4"/>
  <c r="M2686" i="4"/>
  <c r="O2686" i="4" s="1"/>
  <c r="L2686" i="4"/>
  <c r="N2686" i="4" s="1"/>
  <c r="K2686" i="4"/>
  <c r="J2686" i="4"/>
  <c r="M2685" i="4"/>
  <c r="O2685" i="4" s="1"/>
  <c r="L2685" i="4"/>
  <c r="N2685" i="4" s="1"/>
  <c r="K2685" i="4"/>
  <c r="J2685" i="4"/>
  <c r="M2684" i="4"/>
  <c r="O2684" i="4" s="1"/>
  <c r="L2684" i="4"/>
  <c r="N2684" i="4" s="1"/>
  <c r="K2684" i="4"/>
  <c r="J2684" i="4"/>
  <c r="M2683" i="4"/>
  <c r="O2683" i="4" s="1"/>
  <c r="L2683" i="4"/>
  <c r="N2683" i="4" s="1"/>
  <c r="K2683" i="4"/>
  <c r="J2683" i="4"/>
  <c r="M2682" i="4"/>
  <c r="O2682" i="4" s="1"/>
  <c r="L2682" i="4"/>
  <c r="N2682" i="4" s="1"/>
  <c r="K2682" i="4"/>
  <c r="J2682" i="4"/>
  <c r="F2682" i="4"/>
  <c r="E2682" i="4"/>
  <c r="D2682" i="4"/>
  <c r="M2681" i="4"/>
  <c r="O2681" i="4" s="1"/>
  <c r="L2681" i="4"/>
  <c r="N2681" i="4" s="1"/>
  <c r="K2681" i="4"/>
  <c r="J2681" i="4"/>
  <c r="M2680" i="4"/>
  <c r="O2680" i="4" s="1"/>
  <c r="L2680" i="4"/>
  <c r="N2680" i="4" s="1"/>
  <c r="K2680" i="4"/>
  <c r="J2680" i="4"/>
  <c r="M2679" i="4"/>
  <c r="O2679" i="4" s="1"/>
  <c r="L2679" i="4"/>
  <c r="N2679" i="4" s="1"/>
  <c r="K2679" i="4"/>
  <c r="J2679" i="4"/>
  <c r="M2678" i="4"/>
  <c r="O2678" i="4" s="1"/>
  <c r="L2678" i="4"/>
  <c r="N2678" i="4" s="1"/>
  <c r="K2678" i="4"/>
  <c r="J2678" i="4"/>
  <c r="M2677" i="4"/>
  <c r="O2677" i="4" s="1"/>
  <c r="L2677" i="4"/>
  <c r="N2677" i="4" s="1"/>
  <c r="K2677" i="4"/>
  <c r="J2677" i="4"/>
  <c r="M2676" i="4"/>
  <c r="O2676" i="4" s="1"/>
  <c r="L2676" i="4"/>
  <c r="N2676" i="4" s="1"/>
  <c r="K2676" i="4"/>
  <c r="J2676" i="4"/>
  <c r="M2675" i="4"/>
  <c r="O2675" i="4" s="1"/>
  <c r="L2675" i="4"/>
  <c r="N2675" i="4" s="1"/>
  <c r="K2675" i="4"/>
  <c r="J2675" i="4"/>
  <c r="M2674" i="4"/>
  <c r="O2674" i="4" s="1"/>
  <c r="L2674" i="4"/>
  <c r="N2674" i="4" s="1"/>
  <c r="K2674" i="4"/>
  <c r="J2674" i="4"/>
  <c r="M2673" i="4"/>
  <c r="O2673" i="4" s="1"/>
  <c r="L2673" i="4"/>
  <c r="N2673" i="4" s="1"/>
  <c r="K2673" i="4"/>
  <c r="J2673" i="4"/>
  <c r="M2672" i="4"/>
  <c r="O2672" i="4" s="1"/>
  <c r="L2672" i="4"/>
  <c r="N2672" i="4" s="1"/>
  <c r="K2672" i="4"/>
  <c r="J2672" i="4"/>
  <c r="F2672" i="4"/>
  <c r="E2672" i="4"/>
  <c r="D2672" i="4"/>
  <c r="M2671" i="4"/>
  <c r="O2671" i="4" s="1"/>
  <c r="L2671" i="4"/>
  <c r="N2671" i="4" s="1"/>
  <c r="K2671" i="4"/>
  <c r="J2671" i="4"/>
  <c r="M2670" i="4"/>
  <c r="O2670" i="4" s="1"/>
  <c r="L2670" i="4"/>
  <c r="N2670" i="4" s="1"/>
  <c r="K2670" i="4"/>
  <c r="J2670" i="4"/>
  <c r="M2669" i="4"/>
  <c r="O2669" i="4" s="1"/>
  <c r="L2669" i="4"/>
  <c r="N2669" i="4" s="1"/>
  <c r="K2669" i="4"/>
  <c r="J2669" i="4"/>
  <c r="M2668" i="4"/>
  <c r="O2668" i="4" s="1"/>
  <c r="L2668" i="4"/>
  <c r="N2668" i="4" s="1"/>
  <c r="K2668" i="4"/>
  <c r="J2668" i="4"/>
  <c r="M2667" i="4"/>
  <c r="O2667" i="4" s="1"/>
  <c r="L2667" i="4"/>
  <c r="N2667" i="4" s="1"/>
  <c r="K2667" i="4"/>
  <c r="J2667" i="4"/>
  <c r="M2666" i="4"/>
  <c r="O2666" i="4" s="1"/>
  <c r="L2666" i="4"/>
  <c r="N2666" i="4" s="1"/>
  <c r="K2666" i="4"/>
  <c r="J2666" i="4"/>
  <c r="M2665" i="4"/>
  <c r="O2665" i="4" s="1"/>
  <c r="L2665" i="4"/>
  <c r="N2665" i="4" s="1"/>
  <c r="K2665" i="4"/>
  <c r="J2665" i="4"/>
  <c r="F2665" i="4"/>
  <c r="E2665" i="4"/>
  <c r="D2665" i="4"/>
  <c r="M2664" i="4"/>
  <c r="O2664" i="4" s="1"/>
  <c r="L2664" i="4"/>
  <c r="N2664" i="4" s="1"/>
  <c r="K2664" i="4"/>
  <c r="J2664" i="4"/>
  <c r="M2663" i="4"/>
  <c r="O2663" i="4" s="1"/>
  <c r="L2663" i="4"/>
  <c r="N2663" i="4" s="1"/>
  <c r="K2663" i="4"/>
  <c r="J2663" i="4"/>
  <c r="M2662" i="4"/>
  <c r="O2662" i="4" s="1"/>
  <c r="L2662" i="4"/>
  <c r="N2662" i="4" s="1"/>
  <c r="K2662" i="4"/>
  <c r="J2662" i="4"/>
  <c r="M2661" i="4"/>
  <c r="O2661" i="4" s="1"/>
  <c r="L2661" i="4"/>
  <c r="N2661" i="4" s="1"/>
  <c r="K2661" i="4"/>
  <c r="J2661" i="4"/>
  <c r="M2660" i="4"/>
  <c r="O2660" i="4" s="1"/>
  <c r="L2660" i="4"/>
  <c r="N2660" i="4" s="1"/>
  <c r="K2660" i="4"/>
  <c r="J2660" i="4"/>
  <c r="M2659" i="4"/>
  <c r="O2659" i="4" s="1"/>
  <c r="L2659" i="4"/>
  <c r="N2659" i="4" s="1"/>
  <c r="K2659" i="4"/>
  <c r="J2659" i="4"/>
  <c r="P2658" i="4"/>
  <c r="D2658" i="4" s="1"/>
  <c r="M2658" i="4"/>
  <c r="O2658" i="4" s="1"/>
  <c r="L2658" i="4"/>
  <c r="N2658" i="4" s="1"/>
  <c r="K2658" i="4"/>
  <c r="J2658" i="4"/>
  <c r="F2658" i="4"/>
  <c r="E2658" i="4"/>
  <c r="M2657" i="4"/>
  <c r="O2657" i="4" s="1"/>
  <c r="L2657" i="4"/>
  <c r="N2657" i="4" s="1"/>
  <c r="K2657" i="4"/>
  <c r="J2657" i="4"/>
  <c r="F2657" i="4"/>
  <c r="E2657" i="4"/>
  <c r="D2657" i="4"/>
  <c r="M2656" i="4"/>
  <c r="O2656" i="4" s="1"/>
  <c r="L2656" i="4"/>
  <c r="N2656" i="4" s="1"/>
  <c r="K2656" i="4"/>
  <c r="J2656" i="4"/>
  <c r="F2656" i="4"/>
  <c r="E2656" i="4"/>
  <c r="D2656" i="4"/>
  <c r="M2655" i="4"/>
  <c r="O2655" i="4" s="1"/>
  <c r="L2655" i="4"/>
  <c r="N2655" i="4" s="1"/>
  <c r="K2655" i="4"/>
  <c r="J2655" i="4"/>
  <c r="F2655" i="4"/>
  <c r="E2655" i="4"/>
  <c r="D2655" i="4"/>
  <c r="M2654" i="4"/>
  <c r="O2654" i="4" s="1"/>
  <c r="L2654" i="4"/>
  <c r="N2654" i="4" s="1"/>
  <c r="K2654" i="4"/>
  <c r="J2654" i="4"/>
  <c r="F2654" i="4"/>
  <c r="E2654" i="4"/>
  <c r="D2654" i="4"/>
  <c r="M2653" i="4"/>
  <c r="O2653" i="4" s="1"/>
  <c r="L2653" i="4"/>
  <c r="N2653" i="4" s="1"/>
  <c r="K2653" i="4"/>
  <c r="J2653" i="4"/>
  <c r="F2653" i="4"/>
  <c r="E2653" i="4"/>
  <c r="D2653" i="4"/>
  <c r="M2652" i="4"/>
  <c r="O2652" i="4" s="1"/>
  <c r="L2652" i="4"/>
  <c r="N2652" i="4" s="1"/>
  <c r="K2652" i="4"/>
  <c r="J2652" i="4"/>
  <c r="F2652" i="4"/>
  <c r="E2652" i="4"/>
  <c r="D2652" i="4"/>
  <c r="M2651" i="4"/>
  <c r="O2651" i="4" s="1"/>
  <c r="L2651" i="4"/>
  <c r="N2651" i="4" s="1"/>
  <c r="K2651" i="4"/>
  <c r="J2651" i="4"/>
  <c r="F2651" i="4"/>
  <c r="E2651" i="4"/>
  <c r="D2651" i="4"/>
  <c r="M2650" i="4"/>
  <c r="O2650" i="4" s="1"/>
  <c r="L2650" i="4"/>
  <c r="N2650" i="4" s="1"/>
  <c r="K2650" i="4"/>
  <c r="J2650" i="4"/>
  <c r="F2650" i="4"/>
  <c r="E2650" i="4"/>
  <c r="D2650" i="4"/>
  <c r="M2649" i="4"/>
  <c r="O2649" i="4" s="1"/>
  <c r="L2649" i="4"/>
  <c r="N2649" i="4" s="1"/>
  <c r="K2649" i="4"/>
  <c r="J2649" i="4"/>
  <c r="F2649" i="4"/>
  <c r="E2649" i="4"/>
  <c r="D2649" i="4"/>
  <c r="M2648" i="4"/>
  <c r="O2648" i="4" s="1"/>
  <c r="L2648" i="4"/>
  <c r="N2648" i="4" s="1"/>
  <c r="K2648" i="4"/>
  <c r="J2648" i="4"/>
  <c r="F2648" i="4"/>
  <c r="E2648" i="4"/>
  <c r="D2648" i="4"/>
  <c r="M2647" i="4"/>
  <c r="O2647" i="4" s="1"/>
  <c r="L2647" i="4"/>
  <c r="N2647" i="4" s="1"/>
  <c r="K2647" i="4"/>
  <c r="J2647" i="4"/>
  <c r="F2647" i="4"/>
  <c r="E2647" i="4"/>
  <c r="D2647" i="4"/>
  <c r="M2646" i="4"/>
  <c r="O2646" i="4" s="1"/>
  <c r="L2646" i="4"/>
  <c r="N2646" i="4" s="1"/>
  <c r="K2646" i="4"/>
  <c r="J2646" i="4"/>
  <c r="F2646" i="4"/>
  <c r="E2646" i="4"/>
  <c r="D2646" i="4"/>
  <c r="M2645" i="4"/>
  <c r="O2645" i="4" s="1"/>
  <c r="L2645" i="4"/>
  <c r="N2645" i="4" s="1"/>
  <c r="K2645" i="4"/>
  <c r="J2645" i="4"/>
  <c r="F2645" i="4"/>
  <c r="E2645" i="4"/>
  <c r="D2645" i="4"/>
  <c r="M2644" i="4"/>
  <c r="O2644" i="4" s="1"/>
  <c r="L2644" i="4"/>
  <c r="N2644" i="4" s="1"/>
  <c r="K2644" i="4"/>
  <c r="J2644" i="4"/>
  <c r="F2644" i="4"/>
  <c r="E2644" i="4"/>
  <c r="D2644" i="4"/>
  <c r="M2643" i="4"/>
  <c r="O2643" i="4" s="1"/>
  <c r="L2643" i="4"/>
  <c r="N2643" i="4" s="1"/>
  <c r="K2643" i="4"/>
  <c r="J2643" i="4"/>
  <c r="F2643" i="4"/>
  <c r="E2643" i="4"/>
  <c r="D2643" i="4"/>
  <c r="M2642" i="4"/>
  <c r="O2642" i="4" s="1"/>
  <c r="L2642" i="4"/>
  <c r="N2642" i="4" s="1"/>
  <c r="K2642" i="4"/>
  <c r="J2642" i="4"/>
  <c r="F2642" i="4"/>
  <c r="E2642" i="4"/>
  <c r="D2642" i="4"/>
  <c r="M2641" i="4"/>
  <c r="O2641" i="4" s="1"/>
  <c r="L2641" i="4"/>
  <c r="N2641" i="4" s="1"/>
  <c r="K2641" i="4"/>
  <c r="J2641" i="4"/>
  <c r="F2641" i="4"/>
  <c r="E2641" i="4"/>
  <c r="D2641" i="4"/>
  <c r="M2640" i="4"/>
  <c r="O2640" i="4" s="1"/>
  <c r="L2640" i="4"/>
  <c r="N2640" i="4" s="1"/>
  <c r="K2640" i="4"/>
  <c r="J2640" i="4"/>
  <c r="F2640" i="4"/>
  <c r="E2640" i="4"/>
  <c r="D2640" i="4"/>
  <c r="M2639" i="4"/>
  <c r="O2639" i="4" s="1"/>
  <c r="L2639" i="4"/>
  <c r="N2639" i="4" s="1"/>
  <c r="K2639" i="4"/>
  <c r="J2639" i="4"/>
  <c r="F2639" i="4"/>
  <c r="E2639" i="4"/>
  <c r="D2639" i="4"/>
  <c r="M2638" i="4"/>
  <c r="O2638" i="4" s="1"/>
  <c r="L2638" i="4"/>
  <c r="N2638" i="4" s="1"/>
  <c r="K2638" i="4"/>
  <c r="J2638" i="4"/>
  <c r="M2637" i="4"/>
  <c r="O2637" i="4" s="1"/>
  <c r="L2637" i="4"/>
  <c r="N2637" i="4" s="1"/>
  <c r="K2637" i="4"/>
  <c r="J2637" i="4"/>
  <c r="M2636" i="4"/>
  <c r="O2636" i="4" s="1"/>
  <c r="L2636" i="4"/>
  <c r="N2636" i="4" s="1"/>
  <c r="K2636" i="4"/>
  <c r="J2636" i="4"/>
  <c r="M2635" i="4"/>
  <c r="O2635" i="4" s="1"/>
  <c r="L2635" i="4"/>
  <c r="N2635" i="4" s="1"/>
  <c r="K2635" i="4"/>
  <c r="J2635" i="4"/>
  <c r="M2634" i="4"/>
  <c r="O2634" i="4" s="1"/>
  <c r="L2634" i="4"/>
  <c r="N2634" i="4" s="1"/>
  <c r="K2634" i="4"/>
  <c r="J2634" i="4"/>
  <c r="M2633" i="4"/>
  <c r="O2633" i="4" s="1"/>
  <c r="L2633" i="4"/>
  <c r="N2633" i="4" s="1"/>
  <c r="K2633" i="4"/>
  <c r="J2633" i="4"/>
  <c r="M2632" i="4"/>
  <c r="O2632" i="4" s="1"/>
  <c r="L2632" i="4"/>
  <c r="N2632" i="4" s="1"/>
  <c r="K2632" i="4"/>
  <c r="J2632" i="4"/>
  <c r="F2632" i="4"/>
  <c r="E2632" i="4"/>
  <c r="D2632" i="4"/>
  <c r="M2631" i="4"/>
  <c r="O2631" i="4" s="1"/>
  <c r="L2631" i="4"/>
  <c r="N2631" i="4" s="1"/>
  <c r="K2631" i="4"/>
  <c r="J2631" i="4"/>
  <c r="M2630" i="4"/>
  <c r="O2630" i="4" s="1"/>
  <c r="L2630" i="4"/>
  <c r="N2630" i="4" s="1"/>
  <c r="K2630" i="4"/>
  <c r="J2630" i="4"/>
  <c r="M2629" i="4"/>
  <c r="O2629" i="4" s="1"/>
  <c r="L2629" i="4"/>
  <c r="N2629" i="4" s="1"/>
  <c r="K2629" i="4"/>
  <c r="J2629" i="4"/>
  <c r="M2628" i="4"/>
  <c r="O2628" i="4" s="1"/>
  <c r="L2628" i="4"/>
  <c r="N2628" i="4" s="1"/>
  <c r="K2628" i="4"/>
  <c r="J2628" i="4"/>
  <c r="M2627" i="4"/>
  <c r="O2627" i="4" s="1"/>
  <c r="L2627" i="4"/>
  <c r="N2627" i="4" s="1"/>
  <c r="K2627" i="4"/>
  <c r="J2627" i="4"/>
  <c r="M2626" i="4"/>
  <c r="O2626" i="4" s="1"/>
  <c r="L2626" i="4"/>
  <c r="N2626" i="4" s="1"/>
  <c r="K2626" i="4"/>
  <c r="J2626" i="4"/>
  <c r="M2625" i="4"/>
  <c r="O2625" i="4" s="1"/>
  <c r="L2625" i="4"/>
  <c r="N2625" i="4" s="1"/>
  <c r="K2625" i="4"/>
  <c r="J2625" i="4"/>
  <c r="F2625" i="4"/>
  <c r="E2625" i="4"/>
  <c r="D2625" i="4"/>
  <c r="M2624" i="4"/>
  <c r="O2624" i="4" s="1"/>
  <c r="L2624" i="4"/>
  <c r="N2624" i="4" s="1"/>
  <c r="K2624" i="4"/>
  <c r="J2624" i="4"/>
  <c r="M2623" i="4"/>
  <c r="O2623" i="4" s="1"/>
  <c r="L2623" i="4"/>
  <c r="N2623" i="4" s="1"/>
  <c r="K2623" i="4"/>
  <c r="J2623" i="4"/>
  <c r="M2622" i="4"/>
  <c r="O2622" i="4" s="1"/>
  <c r="L2622" i="4"/>
  <c r="N2622" i="4" s="1"/>
  <c r="K2622" i="4"/>
  <c r="J2622" i="4"/>
  <c r="M2621" i="4"/>
  <c r="O2621" i="4" s="1"/>
  <c r="L2621" i="4"/>
  <c r="N2621" i="4" s="1"/>
  <c r="K2621" i="4"/>
  <c r="J2621" i="4"/>
  <c r="M2620" i="4"/>
  <c r="O2620" i="4" s="1"/>
  <c r="L2620" i="4"/>
  <c r="N2620" i="4" s="1"/>
  <c r="K2620" i="4"/>
  <c r="J2620" i="4"/>
  <c r="M2619" i="4"/>
  <c r="O2619" i="4" s="1"/>
  <c r="L2619" i="4"/>
  <c r="N2619" i="4" s="1"/>
  <c r="K2619" i="4"/>
  <c r="J2619" i="4"/>
  <c r="M2618" i="4"/>
  <c r="O2618" i="4" s="1"/>
  <c r="L2618" i="4"/>
  <c r="N2618" i="4" s="1"/>
  <c r="K2618" i="4"/>
  <c r="J2618" i="4"/>
  <c r="M2617" i="4"/>
  <c r="O2617" i="4" s="1"/>
  <c r="L2617" i="4"/>
  <c r="N2617" i="4" s="1"/>
  <c r="K2617" i="4"/>
  <c r="J2617" i="4"/>
  <c r="M2616" i="4"/>
  <c r="O2616" i="4" s="1"/>
  <c r="L2616" i="4"/>
  <c r="N2616" i="4" s="1"/>
  <c r="K2616" i="4"/>
  <c r="J2616" i="4"/>
  <c r="M2615" i="4"/>
  <c r="O2615" i="4" s="1"/>
  <c r="L2615" i="4"/>
  <c r="N2615" i="4" s="1"/>
  <c r="K2615" i="4"/>
  <c r="J2615" i="4"/>
  <c r="N2614" i="4"/>
  <c r="M2614" i="4"/>
  <c r="O2614" i="4" s="1"/>
  <c r="L2614" i="4"/>
  <c r="K2614" i="4"/>
  <c r="J2614" i="4"/>
  <c r="M2613" i="4"/>
  <c r="O2613" i="4" s="1"/>
  <c r="L2613" i="4"/>
  <c r="N2613" i="4" s="1"/>
  <c r="K2613" i="4"/>
  <c r="J2613" i="4"/>
  <c r="M2612" i="4"/>
  <c r="O2612" i="4" s="1"/>
  <c r="L2612" i="4"/>
  <c r="N2612" i="4" s="1"/>
  <c r="K2612" i="4"/>
  <c r="J2612" i="4"/>
  <c r="M2611" i="4"/>
  <c r="O2611" i="4" s="1"/>
  <c r="L2611" i="4"/>
  <c r="N2611" i="4" s="1"/>
  <c r="K2611" i="4"/>
  <c r="J2611" i="4"/>
  <c r="F2611" i="4"/>
  <c r="E2611" i="4"/>
  <c r="D2611" i="4"/>
  <c r="Q2610" i="4"/>
  <c r="M2610" i="4"/>
  <c r="O2610" i="4" s="1"/>
  <c r="L2610" i="4"/>
  <c r="N2610" i="4" s="1"/>
  <c r="K2610" i="4"/>
  <c r="J2610" i="4"/>
  <c r="F2610" i="4"/>
  <c r="E2610" i="4"/>
  <c r="D2610" i="4"/>
  <c r="M2609" i="4"/>
  <c r="O2609" i="4" s="1"/>
  <c r="L2609" i="4"/>
  <c r="N2609" i="4" s="1"/>
  <c r="K2609" i="4"/>
  <c r="J2609" i="4"/>
  <c r="M2608" i="4"/>
  <c r="O2608" i="4" s="1"/>
  <c r="L2608" i="4"/>
  <c r="N2608" i="4" s="1"/>
  <c r="K2608" i="4"/>
  <c r="J2608" i="4"/>
  <c r="F2608" i="4"/>
  <c r="E2608" i="4"/>
  <c r="D2608" i="4"/>
  <c r="M2607" i="4"/>
  <c r="O2607" i="4" s="1"/>
  <c r="L2607" i="4"/>
  <c r="N2607" i="4" s="1"/>
  <c r="K2607" i="4"/>
  <c r="J2607" i="4"/>
  <c r="M2606" i="4"/>
  <c r="O2606" i="4" s="1"/>
  <c r="L2606" i="4"/>
  <c r="N2606" i="4" s="1"/>
  <c r="K2606" i="4"/>
  <c r="J2606" i="4"/>
  <c r="M2605" i="4"/>
  <c r="O2605" i="4" s="1"/>
  <c r="L2605" i="4"/>
  <c r="N2605" i="4" s="1"/>
  <c r="K2605" i="4"/>
  <c r="J2605" i="4"/>
  <c r="M2604" i="4"/>
  <c r="O2604" i="4" s="1"/>
  <c r="L2604" i="4"/>
  <c r="N2604" i="4" s="1"/>
  <c r="K2604" i="4"/>
  <c r="J2604" i="4"/>
  <c r="M2603" i="4"/>
  <c r="O2603" i="4" s="1"/>
  <c r="L2603" i="4"/>
  <c r="N2603" i="4" s="1"/>
  <c r="K2603" i="4"/>
  <c r="J2603" i="4"/>
  <c r="M2602" i="4"/>
  <c r="O2602" i="4" s="1"/>
  <c r="L2602" i="4"/>
  <c r="N2602" i="4" s="1"/>
  <c r="K2602" i="4"/>
  <c r="J2602" i="4"/>
  <c r="M2601" i="4"/>
  <c r="O2601" i="4" s="1"/>
  <c r="L2601" i="4"/>
  <c r="N2601" i="4" s="1"/>
  <c r="K2601" i="4"/>
  <c r="J2601" i="4"/>
  <c r="M2600" i="4"/>
  <c r="O2600" i="4" s="1"/>
  <c r="L2600" i="4"/>
  <c r="N2600" i="4" s="1"/>
  <c r="K2600" i="4"/>
  <c r="J2600" i="4"/>
  <c r="M2599" i="4"/>
  <c r="O2599" i="4" s="1"/>
  <c r="L2599" i="4"/>
  <c r="N2599" i="4" s="1"/>
  <c r="K2599" i="4"/>
  <c r="J2599" i="4"/>
  <c r="F2599" i="4"/>
  <c r="E2599" i="4"/>
  <c r="D2599" i="4"/>
  <c r="M2598" i="4"/>
  <c r="O2598" i="4" s="1"/>
  <c r="L2598" i="4"/>
  <c r="N2598" i="4" s="1"/>
  <c r="K2598" i="4"/>
  <c r="J2598" i="4"/>
  <c r="F2598" i="4"/>
  <c r="E2598" i="4"/>
  <c r="D2598" i="4"/>
  <c r="M2597" i="4"/>
  <c r="O2597" i="4" s="1"/>
  <c r="L2597" i="4"/>
  <c r="N2597" i="4" s="1"/>
  <c r="K2597" i="4"/>
  <c r="J2597" i="4"/>
  <c r="F2597" i="4"/>
  <c r="E2597" i="4"/>
  <c r="D2597" i="4"/>
  <c r="M2596" i="4"/>
  <c r="O2596" i="4" s="1"/>
  <c r="L2596" i="4"/>
  <c r="N2596" i="4" s="1"/>
  <c r="K2596" i="4"/>
  <c r="J2596" i="4"/>
  <c r="F2596" i="4"/>
  <c r="E2596" i="4"/>
  <c r="D2596" i="4"/>
  <c r="M2595" i="4"/>
  <c r="O2595" i="4" s="1"/>
  <c r="L2595" i="4"/>
  <c r="N2595" i="4" s="1"/>
  <c r="K2595" i="4"/>
  <c r="J2595" i="4"/>
  <c r="F2595" i="4"/>
  <c r="E2595" i="4"/>
  <c r="D2595" i="4"/>
  <c r="M2594" i="4"/>
  <c r="O2594" i="4" s="1"/>
  <c r="L2594" i="4"/>
  <c r="N2594" i="4" s="1"/>
  <c r="K2594" i="4"/>
  <c r="J2594" i="4"/>
  <c r="F2594" i="4"/>
  <c r="E2594" i="4"/>
  <c r="D2594" i="4"/>
  <c r="M2593" i="4"/>
  <c r="O2593" i="4" s="1"/>
  <c r="L2593" i="4"/>
  <c r="N2593" i="4" s="1"/>
  <c r="K2593" i="4"/>
  <c r="J2593" i="4"/>
  <c r="F2593" i="4"/>
  <c r="E2593" i="4"/>
  <c r="D2593" i="4"/>
  <c r="M2592" i="4"/>
  <c r="O2592" i="4" s="1"/>
  <c r="L2592" i="4"/>
  <c r="N2592" i="4" s="1"/>
  <c r="K2592" i="4"/>
  <c r="J2592" i="4"/>
  <c r="F2592" i="4"/>
  <c r="E2592" i="4"/>
  <c r="D2592" i="4"/>
  <c r="M2591" i="4"/>
  <c r="O2591" i="4" s="1"/>
  <c r="L2591" i="4"/>
  <c r="N2591" i="4" s="1"/>
  <c r="K2591" i="4"/>
  <c r="J2591" i="4"/>
  <c r="F2591" i="4"/>
  <c r="E2591" i="4"/>
  <c r="D2591" i="4"/>
  <c r="M2590" i="4"/>
  <c r="O2590" i="4" s="1"/>
  <c r="L2590" i="4"/>
  <c r="N2590" i="4" s="1"/>
  <c r="K2590" i="4"/>
  <c r="J2590" i="4"/>
  <c r="F2590" i="4"/>
  <c r="E2590" i="4"/>
  <c r="D2590" i="4"/>
  <c r="M2589" i="4"/>
  <c r="O2589" i="4" s="1"/>
  <c r="L2589" i="4"/>
  <c r="N2589" i="4" s="1"/>
  <c r="K2589" i="4"/>
  <c r="J2589" i="4"/>
  <c r="F2589" i="4"/>
  <c r="E2589" i="4"/>
  <c r="D2589" i="4"/>
  <c r="M2588" i="4"/>
  <c r="O2588" i="4" s="1"/>
  <c r="L2588" i="4"/>
  <c r="N2588" i="4" s="1"/>
  <c r="K2588" i="4"/>
  <c r="J2588" i="4"/>
  <c r="F2588" i="4"/>
  <c r="E2588" i="4"/>
  <c r="D2588" i="4"/>
  <c r="M2587" i="4"/>
  <c r="O2587" i="4" s="1"/>
  <c r="L2587" i="4"/>
  <c r="N2587" i="4" s="1"/>
  <c r="K2587" i="4"/>
  <c r="J2587" i="4"/>
  <c r="F2587" i="4"/>
  <c r="E2587" i="4"/>
  <c r="D2587" i="4"/>
  <c r="M2586" i="4"/>
  <c r="O2586" i="4" s="1"/>
  <c r="L2586" i="4"/>
  <c r="N2586" i="4" s="1"/>
  <c r="K2586" i="4"/>
  <c r="J2586" i="4"/>
  <c r="F2586" i="4"/>
  <c r="E2586" i="4"/>
  <c r="D2586" i="4"/>
  <c r="M2585" i="4"/>
  <c r="O2585" i="4" s="1"/>
  <c r="L2585" i="4"/>
  <c r="N2585" i="4" s="1"/>
  <c r="K2585" i="4"/>
  <c r="J2585" i="4"/>
  <c r="F2585" i="4"/>
  <c r="E2585" i="4"/>
  <c r="D2585" i="4"/>
  <c r="M2584" i="4"/>
  <c r="O2584" i="4" s="1"/>
  <c r="L2584" i="4"/>
  <c r="N2584" i="4" s="1"/>
  <c r="K2584" i="4"/>
  <c r="J2584" i="4"/>
  <c r="F2584" i="4"/>
  <c r="E2584" i="4"/>
  <c r="D2584" i="4"/>
  <c r="M2583" i="4"/>
  <c r="O2583" i="4" s="1"/>
  <c r="L2583" i="4"/>
  <c r="N2583" i="4" s="1"/>
  <c r="K2583" i="4"/>
  <c r="J2583" i="4"/>
  <c r="F2583" i="4"/>
  <c r="E2583" i="4"/>
  <c r="D2583" i="4"/>
  <c r="M2582" i="4"/>
  <c r="O2582" i="4" s="1"/>
  <c r="L2582" i="4"/>
  <c r="N2582" i="4" s="1"/>
  <c r="K2582" i="4"/>
  <c r="J2582" i="4"/>
  <c r="M2581" i="4"/>
  <c r="O2581" i="4" s="1"/>
  <c r="L2581" i="4"/>
  <c r="N2581" i="4" s="1"/>
  <c r="K2581" i="4"/>
  <c r="J2581" i="4"/>
  <c r="M2580" i="4"/>
  <c r="O2580" i="4" s="1"/>
  <c r="L2580" i="4"/>
  <c r="N2580" i="4" s="1"/>
  <c r="K2580" i="4"/>
  <c r="J2580" i="4"/>
  <c r="F2580" i="4"/>
  <c r="E2580" i="4"/>
  <c r="D2580" i="4"/>
  <c r="M2579" i="4"/>
  <c r="O2579" i="4" s="1"/>
  <c r="L2579" i="4"/>
  <c r="N2579" i="4" s="1"/>
  <c r="K2579" i="4"/>
  <c r="J2579" i="4"/>
  <c r="F2579" i="4"/>
  <c r="E2579" i="4"/>
  <c r="D2579" i="4"/>
  <c r="M2578" i="4"/>
  <c r="O2578" i="4" s="1"/>
  <c r="L2578" i="4"/>
  <c r="N2578" i="4" s="1"/>
  <c r="K2578" i="4"/>
  <c r="J2578" i="4"/>
  <c r="M2577" i="4"/>
  <c r="O2577" i="4" s="1"/>
  <c r="L2577" i="4"/>
  <c r="N2577" i="4" s="1"/>
  <c r="K2577" i="4"/>
  <c r="J2577" i="4"/>
  <c r="O2576" i="4"/>
  <c r="M2576" i="4"/>
  <c r="L2576" i="4"/>
  <c r="N2576" i="4" s="1"/>
  <c r="K2576" i="4"/>
  <c r="J2576" i="4"/>
  <c r="M2575" i="4"/>
  <c r="O2575" i="4" s="1"/>
  <c r="L2575" i="4"/>
  <c r="N2575" i="4" s="1"/>
  <c r="K2575" i="4"/>
  <c r="J2575" i="4"/>
  <c r="M2574" i="4"/>
  <c r="O2574" i="4" s="1"/>
  <c r="L2574" i="4"/>
  <c r="N2574" i="4" s="1"/>
  <c r="K2574" i="4"/>
  <c r="J2574" i="4"/>
  <c r="M2573" i="4"/>
  <c r="O2573" i="4" s="1"/>
  <c r="L2573" i="4"/>
  <c r="N2573" i="4" s="1"/>
  <c r="K2573" i="4"/>
  <c r="J2573" i="4"/>
  <c r="M2572" i="4"/>
  <c r="O2572" i="4" s="1"/>
  <c r="L2572" i="4"/>
  <c r="N2572" i="4" s="1"/>
  <c r="K2572" i="4"/>
  <c r="J2572" i="4"/>
  <c r="M2571" i="4"/>
  <c r="O2571" i="4" s="1"/>
  <c r="L2571" i="4"/>
  <c r="N2571" i="4" s="1"/>
  <c r="K2571" i="4"/>
  <c r="J2571" i="4"/>
  <c r="M2570" i="4"/>
  <c r="O2570" i="4" s="1"/>
  <c r="L2570" i="4"/>
  <c r="N2570" i="4" s="1"/>
  <c r="K2570" i="4"/>
  <c r="J2570" i="4"/>
  <c r="M2569" i="4"/>
  <c r="O2569" i="4" s="1"/>
  <c r="L2569" i="4"/>
  <c r="N2569" i="4" s="1"/>
  <c r="K2569" i="4"/>
  <c r="J2569" i="4"/>
  <c r="M2568" i="4"/>
  <c r="O2568" i="4" s="1"/>
  <c r="L2568" i="4"/>
  <c r="N2568" i="4" s="1"/>
  <c r="K2568" i="4"/>
  <c r="J2568" i="4"/>
  <c r="M2567" i="4"/>
  <c r="O2567" i="4" s="1"/>
  <c r="L2567" i="4"/>
  <c r="N2567" i="4" s="1"/>
  <c r="K2567" i="4"/>
  <c r="J2567" i="4"/>
  <c r="M2566" i="4"/>
  <c r="O2566" i="4" s="1"/>
  <c r="L2566" i="4"/>
  <c r="N2566" i="4" s="1"/>
  <c r="K2566" i="4"/>
  <c r="J2566" i="4"/>
  <c r="M2565" i="4"/>
  <c r="O2565" i="4" s="1"/>
  <c r="L2565" i="4"/>
  <c r="N2565" i="4" s="1"/>
  <c r="K2565" i="4"/>
  <c r="J2565" i="4"/>
  <c r="M2564" i="4"/>
  <c r="O2564" i="4" s="1"/>
  <c r="L2564" i="4"/>
  <c r="N2564" i="4" s="1"/>
  <c r="K2564" i="4"/>
  <c r="J2564" i="4"/>
  <c r="M2563" i="4"/>
  <c r="O2563" i="4" s="1"/>
  <c r="L2563" i="4"/>
  <c r="N2563" i="4" s="1"/>
  <c r="K2563" i="4"/>
  <c r="J2563" i="4"/>
  <c r="M2562" i="4"/>
  <c r="O2562" i="4" s="1"/>
  <c r="L2562" i="4"/>
  <c r="N2562" i="4" s="1"/>
  <c r="K2562" i="4"/>
  <c r="J2562" i="4"/>
  <c r="M2561" i="4"/>
  <c r="O2561" i="4" s="1"/>
  <c r="L2561" i="4"/>
  <c r="N2561" i="4" s="1"/>
  <c r="K2561" i="4"/>
  <c r="J2561" i="4"/>
  <c r="N2560" i="4"/>
  <c r="M2560" i="4"/>
  <c r="O2560" i="4" s="1"/>
  <c r="L2560" i="4"/>
  <c r="K2560" i="4"/>
  <c r="J2560" i="4"/>
  <c r="M2559" i="4"/>
  <c r="O2559" i="4" s="1"/>
  <c r="L2559" i="4"/>
  <c r="N2559" i="4" s="1"/>
  <c r="K2559" i="4"/>
  <c r="J2559" i="4"/>
  <c r="F2559" i="4"/>
  <c r="E2559" i="4"/>
  <c r="D2559" i="4"/>
  <c r="M2558" i="4"/>
  <c r="O2558" i="4" s="1"/>
  <c r="L2558" i="4"/>
  <c r="N2558" i="4" s="1"/>
  <c r="K2558" i="4"/>
  <c r="J2558" i="4"/>
  <c r="M2557" i="4"/>
  <c r="O2557" i="4" s="1"/>
  <c r="L2557" i="4"/>
  <c r="N2557" i="4" s="1"/>
  <c r="K2557" i="4"/>
  <c r="J2557" i="4"/>
  <c r="M2556" i="4"/>
  <c r="O2556" i="4" s="1"/>
  <c r="L2556" i="4"/>
  <c r="N2556" i="4" s="1"/>
  <c r="K2556" i="4"/>
  <c r="J2556" i="4"/>
  <c r="M2555" i="4"/>
  <c r="O2555" i="4" s="1"/>
  <c r="L2555" i="4"/>
  <c r="N2555" i="4" s="1"/>
  <c r="K2555" i="4"/>
  <c r="J2555" i="4"/>
  <c r="M2554" i="4"/>
  <c r="O2554" i="4" s="1"/>
  <c r="L2554" i="4"/>
  <c r="N2554" i="4" s="1"/>
  <c r="K2554" i="4"/>
  <c r="J2554" i="4"/>
  <c r="M2553" i="4"/>
  <c r="O2553" i="4" s="1"/>
  <c r="L2553" i="4"/>
  <c r="N2553" i="4" s="1"/>
  <c r="K2553" i="4"/>
  <c r="J2553" i="4"/>
  <c r="M2552" i="4"/>
  <c r="O2552" i="4" s="1"/>
  <c r="L2552" i="4"/>
  <c r="N2552" i="4" s="1"/>
  <c r="K2552" i="4"/>
  <c r="J2552" i="4"/>
  <c r="M2551" i="4"/>
  <c r="O2551" i="4" s="1"/>
  <c r="L2551" i="4"/>
  <c r="N2551" i="4" s="1"/>
  <c r="K2551" i="4"/>
  <c r="J2551" i="4"/>
  <c r="M2550" i="4"/>
  <c r="O2550" i="4" s="1"/>
  <c r="L2550" i="4"/>
  <c r="N2550" i="4" s="1"/>
  <c r="K2550" i="4"/>
  <c r="J2550" i="4"/>
  <c r="M2549" i="4"/>
  <c r="O2549" i="4" s="1"/>
  <c r="L2549" i="4"/>
  <c r="N2549" i="4" s="1"/>
  <c r="K2549" i="4"/>
  <c r="J2549" i="4"/>
  <c r="M2548" i="4"/>
  <c r="O2548" i="4" s="1"/>
  <c r="L2548" i="4"/>
  <c r="N2548" i="4" s="1"/>
  <c r="K2548" i="4"/>
  <c r="J2548" i="4"/>
  <c r="M2547" i="4"/>
  <c r="O2547" i="4" s="1"/>
  <c r="L2547" i="4"/>
  <c r="N2547" i="4" s="1"/>
  <c r="K2547" i="4"/>
  <c r="J2547" i="4"/>
  <c r="M2546" i="4"/>
  <c r="O2546" i="4" s="1"/>
  <c r="L2546" i="4"/>
  <c r="N2546" i="4" s="1"/>
  <c r="K2546" i="4"/>
  <c r="J2546" i="4"/>
  <c r="M2545" i="4"/>
  <c r="O2545" i="4" s="1"/>
  <c r="L2545" i="4"/>
  <c r="N2545" i="4" s="1"/>
  <c r="K2545" i="4"/>
  <c r="J2545" i="4"/>
  <c r="F2545" i="4"/>
  <c r="E2545" i="4"/>
  <c r="D2545" i="4"/>
  <c r="M2544" i="4"/>
  <c r="O2544" i="4" s="1"/>
  <c r="L2544" i="4"/>
  <c r="N2544" i="4" s="1"/>
  <c r="K2544" i="4"/>
  <c r="J2544" i="4"/>
  <c r="F2544" i="4"/>
  <c r="E2544" i="4"/>
  <c r="D2544" i="4"/>
  <c r="M2543" i="4"/>
  <c r="O2543" i="4" s="1"/>
  <c r="L2543" i="4"/>
  <c r="N2543" i="4" s="1"/>
  <c r="K2543" i="4"/>
  <c r="J2543" i="4"/>
  <c r="M2542" i="4"/>
  <c r="O2542" i="4" s="1"/>
  <c r="L2542" i="4"/>
  <c r="N2542" i="4" s="1"/>
  <c r="K2542" i="4"/>
  <c r="J2542" i="4"/>
  <c r="M2541" i="4"/>
  <c r="O2541" i="4" s="1"/>
  <c r="L2541" i="4"/>
  <c r="N2541" i="4" s="1"/>
  <c r="K2541" i="4"/>
  <c r="J2541" i="4"/>
  <c r="M2540" i="4"/>
  <c r="O2540" i="4" s="1"/>
  <c r="L2540" i="4"/>
  <c r="N2540" i="4" s="1"/>
  <c r="K2540" i="4"/>
  <c r="J2540" i="4"/>
  <c r="M2539" i="4"/>
  <c r="O2539" i="4" s="1"/>
  <c r="L2539" i="4"/>
  <c r="N2539" i="4" s="1"/>
  <c r="K2539" i="4"/>
  <c r="J2539" i="4"/>
  <c r="M2538" i="4"/>
  <c r="O2538" i="4" s="1"/>
  <c r="L2538" i="4"/>
  <c r="N2538" i="4" s="1"/>
  <c r="K2538" i="4"/>
  <c r="J2538" i="4"/>
  <c r="M2537" i="4"/>
  <c r="O2537" i="4" s="1"/>
  <c r="L2537" i="4"/>
  <c r="N2537" i="4" s="1"/>
  <c r="K2537" i="4"/>
  <c r="J2537" i="4"/>
  <c r="M2536" i="4"/>
  <c r="O2536" i="4" s="1"/>
  <c r="L2536" i="4"/>
  <c r="N2536" i="4" s="1"/>
  <c r="K2536" i="4"/>
  <c r="J2536" i="4"/>
  <c r="F2536" i="4"/>
  <c r="E2536" i="4"/>
  <c r="D2536" i="4"/>
  <c r="M2535" i="4"/>
  <c r="O2535" i="4" s="1"/>
  <c r="L2535" i="4"/>
  <c r="N2535" i="4" s="1"/>
  <c r="K2535" i="4"/>
  <c r="J2535" i="4"/>
  <c r="F2535" i="4"/>
  <c r="E2535" i="4"/>
  <c r="D2535" i="4"/>
  <c r="M2534" i="4"/>
  <c r="O2534" i="4" s="1"/>
  <c r="L2534" i="4"/>
  <c r="N2534" i="4" s="1"/>
  <c r="K2534" i="4"/>
  <c r="J2534" i="4"/>
  <c r="F2534" i="4"/>
  <c r="E2534" i="4"/>
  <c r="D2534" i="4"/>
  <c r="M2533" i="4"/>
  <c r="O2533" i="4" s="1"/>
  <c r="L2533" i="4"/>
  <c r="N2533" i="4" s="1"/>
  <c r="K2533" i="4"/>
  <c r="J2533" i="4"/>
  <c r="F2533" i="4"/>
  <c r="E2533" i="4"/>
  <c r="D2533" i="4"/>
  <c r="M2532" i="4"/>
  <c r="O2532" i="4" s="1"/>
  <c r="L2532" i="4"/>
  <c r="N2532" i="4" s="1"/>
  <c r="K2532" i="4"/>
  <c r="J2532" i="4"/>
  <c r="F2532" i="4"/>
  <c r="E2532" i="4"/>
  <c r="D2532" i="4"/>
  <c r="M2531" i="4"/>
  <c r="O2531" i="4" s="1"/>
  <c r="L2531" i="4"/>
  <c r="N2531" i="4" s="1"/>
  <c r="K2531" i="4"/>
  <c r="J2531" i="4"/>
  <c r="F2531" i="4"/>
  <c r="E2531" i="4"/>
  <c r="D2531" i="4"/>
  <c r="M2530" i="4"/>
  <c r="O2530" i="4" s="1"/>
  <c r="L2530" i="4"/>
  <c r="N2530" i="4" s="1"/>
  <c r="K2530" i="4"/>
  <c r="J2530" i="4"/>
  <c r="F2530" i="4"/>
  <c r="E2530" i="4"/>
  <c r="D2530" i="4"/>
  <c r="M2529" i="4"/>
  <c r="O2529" i="4" s="1"/>
  <c r="L2529" i="4"/>
  <c r="N2529" i="4" s="1"/>
  <c r="K2529" i="4"/>
  <c r="J2529" i="4"/>
  <c r="F2529" i="4"/>
  <c r="E2529" i="4"/>
  <c r="D2529" i="4"/>
  <c r="M2528" i="4"/>
  <c r="O2528" i="4" s="1"/>
  <c r="L2528" i="4"/>
  <c r="N2528" i="4" s="1"/>
  <c r="K2528" i="4"/>
  <c r="J2528" i="4"/>
  <c r="F2528" i="4"/>
  <c r="E2528" i="4"/>
  <c r="D2528" i="4"/>
  <c r="M2527" i="4"/>
  <c r="O2527" i="4" s="1"/>
  <c r="L2527" i="4"/>
  <c r="N2527" i="4" s="1"/>
  <c r="K2527" i="4"/>
  <c r="J2527" i="4"/>
  <c r="F2527" i="4"/>
  <c r="E2527" i="4"/>
  <c r="D2527" i="4"/>
  <c r="M2526" i="4"/>
  <c r="O2526" i="4" s="1"/>
  <c r="L2526" i="4"/>
  <c r="N2526" i="4" s="1"/>
  <c r="K2526" i="4"/>
  <c r="J2526" i="4"/>
  <c r="F2526" i="4"/>
  <c r="E2526" i="4"/>
  <c r="D2526" i="4"/>
  <c r="M2525" i="4"/>
  <c r="O2525" i="4" s="1"/>
  <c r="L2525" i="4"/>
  <c r="N2525" i="4" s="1"/>
  <c r="K2525" i="4"/>
  <c r="J2525" i="4"/>
  <c r="F2525" i="4"/>
  <c r="E2525" i="4"/>
  <c r="D2525" i="4"/>
  <c r="M2524" i="4"/>
  <c r="O2524" i="4" s="1"/>
  <c r="L2524" i="4"/>
  <c r="N2524" i="4" s="1"/>
  <c r="K2524" i="4"/>
  <c r="J2524" i="4"/>
  <c r="F2524" i="4"/>
  <c r="E2524" i="4"/>
  <c r="D2524" i="4"/>
  <c r="M2523" i="4"/>
  <c r="O2523" i="4" s="1"/>
  <c r="L2523" i="4"/>
  <c r="N2523" i="4" s="1"/>
  <c r="K2523" i="4"/>
  <c r="J2523" i="4"/>
  <c r="F2523" i="4"/>
  <c r="E2523" i="4"/>
  <c r="D2523" i="4"/>
  <c r="M2522" i="4"/>
  <c r="O2522" i="4" s="1"/>
  <c r="L2522" i="4"/>
  <c r="N2522" i="4" s="1"/>
  <c r="K2522" i="4"/>
  <c r="J2522" i="4"/>
  <c r="F2522" i="4"/>
  <c r="E2522" i="4"/>
  <c r="D2522" i="4"/>
  <c r="M2521" i="4"/>
  <c r="O2521" i="4" s="1"/>
  <c r="L2521" i="4"/>
  <c r="N2521" i="4" s="1"/>
  <c r="K2521" i="4"/>
  <c r="J2521" i="4"/>
  <c r="F2521" i="4"/>
  <c r="E2521" i="4"/>
  <c r="D2521" i="4"/>
  <c r="M2520" i="4"/>
  <c r="O2520" i="4" s="1"/>
  <c r="L2520" i="4"/>
  <c r="N2520" i="4" s="1"/>
  <c r="K2520" i="4"/>
  <c r="J2520" i="4"/>
  <c r="F2520" i="4"/>
  <c r="E2520" i="4"/>
  <c r="D2520" i="4"/>
  <c r="M2519" i="4"/>
  <c r="O2519" i="4" s="1"/>
  <c r="L2519" i="4"/>
  <c r="N2519" i="4" s="1"/>
  <c r="K2519" i="4"/>
  <c r="J2519" i="4"/>
  <c r="F2519" i="4"/>
  <c r="E2519" i="4"/>
  <c r="D2519" i="4"/>
  <c r="M2518" i="4"/>
  <c r="O2518" i="4" s="1"/>
  <c r="L2518" i="4"/>
  <c r="N2518" i="4" s="1"/>
  <c r="K2518" i="4"/>
  <c r="J2518" i="4"/>
  <c r="F2518" i="4"/>
  <c r="E2518" i="4"/>
  <c r="D2518" i="4"/>
  <c r="M2517" i="4"/>
  <c r="O2517" i="4" s="1"/>
  <c r="L2517" i="4"/>
  <c r="N2517" i="4" s="1"/>
  <c r="K2517" i="4"/>
  <c r="J2517" i="4"/>
  <c r="M2516" i="4"/>
  <c r="O2516" i="4" s="1"/>
  <c r="L2516" i="4"/>
  <c r="N2516" i="4" s="1"/>
  <c r="K2516" i="4"/>
  <c r="J2516" i="4"/>
  <c r="M2515" i="4"/>
  <c r="O2515" i="4" s="1"/>
  <c r="L2515" i="4"/>
  <c r="N2515" i="4" s="1"/>
  <c r="K2515" i="4"/>
  <c r="J2515" i="4"/>
  <c r="F2515" i="4"/>
  <c r="E2515" i="4"/>
  <c r="D2515" i="4"/>
  <c r="M2514" i="4"/>
  <c r="O2514" i="4" s="1"/>
  <c r="L2514" i="4"/>
  <c r="N2514" i="4" s="1"/>
  <c r="K2514" i="4"/>
  <c r="J2514" i="4"/>
  <c r="F2514" i="4"/>
  <c r="E2514" i="4"/>
  <c r="D2514" i="4"/>
  <c r="M2513" i="4"/>
  <c r="O2513" i="4" s="1"/>
  <c r="L2513" i="4"/>
  <c r="N2513" i="4" s="1"/>
  <c r="K2513" i="4"/>
  <c r="J2513" i="4"/>
  <c r="M2512" i="4"/>
  <c r="O2512" i="4" s="1"/>
  <c r="L2512" i="4"/>
  <c r="N2512" i="4" s="1"/>
  <c r="K2512" i="4"/>
  <c r="J2512" i="4"/>
  <c r="M2511" i="4"/>
  <c r="O2511" i="4" s="1"/>
  <c r="L2511" i="4"/>
  <c r="N2511" i="4" s="1"/>
  <c r="K2511" i="4"/>
  <c r="J2511" i="4"/>
  <c r="M2510" i="4"/>
  <c r="O2510" i="4" s="1"/>
  <c r="L2510" i="4"/>
  <c r="N2510" i="4" s="1"/>
  <c r="K2510" i="4"/>
  <c r="J2510" i="4"/>
  <c r="M2509" i="4"/>
  <c r="O2509" i="4" s="1"/>
  <c r="L2509" i="4"/>
  <c r="N2509" i="4" s="1"/>
  <c r="K2509" i="4"/>
  <c r="J2509" i="4"/>
  <c r="M2508" i="4"/>
  <c r="O2508" i="4" s="1"/>
  <c r="L2508" i="4"/>
  <c r="N2508" i="4" s="1"/>
  <c r="K2508" i="4"/>
  <c r="J2508" i="4"/>
  <c r="M2507" i="4"/>
  <c r="O2507" i="4" s="1"/>
  <c r="L2507" i="4"/>
  <c r="N2507" i="4" s="1"/>
  <c r="K2507" i="4"/>
  <c r="J2507" i="4"/>
  <c r="M2506" i="4"/>
  <c r="O2506" i="4" s="1"/>
  <c r="L2506" i="4"/>
  <c r="N2506" i="4" s="1"/>
  <c r="K2506" i="4"/>
  <c r="J2506" i="4"/>
  <c r="M2505" i="4"/>
  <c r="O2505" i="4" s="1"/>
  <c r="L2505" i="4"/>
  <c r="N2505" i="4" s="1"/>
  <c r="K2505" i="4"/>
  <c r="J2505" i="4"/>
  <c r="M2504" i="4"/>
  <c r="O2504" i="4" s="1"/>
  <c r="L2504" i="4"/>
  <c r="N2504" i="4" s="1"/>
  <c r="K2504" i="4"/>
  <c r="J2504" i="4"/>
  <c r="M2503" i="4"/>
  <c r="O2503" i="4" s="1"/>
  <c r="L2503" i="4"/>
  <c r="N2503" i="4" s="1"/>
  <c r="K2503" i="4"/>
  <c r="J2503" i="4"/>
  <c r="M2502" i="4"/>
  <c r="O2502" i="4" s="1"/>
  <c r="L2502" i="4"/>
  <c r="N2502" i="4" s="1"/>
  <c r="K2502" i="4"/>
  <c r="J2502" i="4"/>
  <c r="M2501" i="4"/>
  <c r="O2501" i="4" s="1"/>
  <c r="L2501" i="4"/>
  <c r="N2501" i="4" s="1"/>
  <c r="K2501" i="4"/>
  <c r="J2501" i="4"/>
  <c r="M2500" i="4"/>
  <c r="O2500" i="4" s="1"/>
  <c r="L2500" i="4"/>
  <c r="N2500" i="4" s="1"/>
  <c r="K2500" i="4"/>
  <c r="J2500" i="4"/>
  <c r="M2499" i="4"/>
  <c r="O2499" i="4" s="1"/>
  <c r="L2499" i="4"/>
  <c r="N2499" i="4" s="1"/>
  <c r="K2499" i="4"/>
  <c r="J2499" i="4"/>
  <c r="M2498" i="4"/>
  <c r="O2498" i="4" s="1"/>
  <c r="L2498" i="4"/>
  <c r="N2498" i="4" s="1"/>
  <c r="K2498" i="4"/>
  <c r="J2498" i="4"/>
  <c r="M2497" i="4"/>
  <c r="O2497" i="4" s="1"/>
  <c r="L2497" i="4"/>
  <c r="N2497" i="4" s="1"/>
  <c r="K2497" i="4"/>
  <c r="J2497" i="4"/>
  <c r="F2497" i="4"/>
  <c r="E2497" i="4"/>
  <c r="D2497" i="4"/>
  <c r="M2496" i="4"/>
  <c r="O2496" i="4" s="1"/>
  <c r="L2496" i="4"/>
  <c r="N2496" i="4" s="1"/>
  <c r="K2496" i="4"/>
  <c r="J2496" i="4"/>
  <c r="M2495" i="4"/>
  <c r="O2495" i="4" s="1"/>
  <c r="L2495" i="4"/>
  <c r="N2495" i="4" s="1"/>
  <c r="K2495" i="4"/>
  <c r="J2495" i="4"/>
  <c r="M2494" i="4"/>
  <c r="O2494" i="4" s="1"/>
  <c r="L2494" i="4"/>
  <c r="N2494" i="4" s="1"/>
  <c r="K2494" i="4"/>
  <c r="J2494" i="4"/>
  <c r="F2494" i="4"/>
  <c r="E2494" i="4"/>
  <c r="D2494" i="4"/>
  <c r="M2493" i="4"/>
  <c r="O2493" i="4" s="1"/>
  <c r="L2493" i="4"/>
  <c r="N2493" i="4" s="1"/>
  <c r="K2493" i="4"/>
  <c r="J2493" i="4"/>
  <c r="M2492" i="4"/>
  <c r="O2492" i="4" s="1"/>
  <c r="L2492" i="4"/>
  <c r="N2492" i="4" s="1"/>
  <c r="K2492" i="4"/>
  <c r="J2492" i="4"/>
  <c r="M2491" i="4"/>
  <c r="O2491" i="4" s="1"/>
  <c r="L2491" i="4"/>
  <c r="N2491" i="4" s="1"/>
  <c r="K2491" i="4"/>
  <c r="J2491" i="4"/>
  <c r="M2490" i="4"/>
  <c r="O2490" i="4" s="1"/>
  <c r="L2490" i="4"/>
  <c r="N2490" i="4" s="1"/>
  <c r="K2490" i="4"/>
  <c r="J2490" i="4"/>
  <c r="M2489" i="4"/>
  <c r="O2489" i="4" s="1"/>
  <c r="L2489" i="4"/>
  <c r="N2489" i="4" s="1"/>
  <c r="K2489" i="4"/>
  <c r="J2489" i="4"/>
  <c r="M2488" i="4"/>
  <c r="O2488" i="4" s="1"/>
  <c r="L2488" i="4"/>
  <c r="N2488" i="4" s="1"/>
  <c r="K2488" i="4"/>
  <c r="J2488" i="4"/>
  <c r="M2487" i="4"/>
  <c r="O2487" i="4" s="1"/>
  <c r="L2487" i="4"/>
  <c r="N2487" i="4" s="1"/>
  <c r="K2487" i="4"/>
  <c r="J2487" i="4"/>
  <c r="M2486" i="4"/>
  <c r="O2486" i="4" s="1"/>
  <c r="L2486" i="4"/>
  <c r="N2486" i="4" s="1"/>
  <c r="K2486" i="4"/>
  <c r="J2486" i="4"/>
  <c r="F2486" i="4"/>
  <c r="E2486" i="4"/>
  <c r="D2486" i="4"/>
  <c r="M2485" i="4"/>
  <c r="O2485" i="4" s="1"/>
  <c r="L2485" i="4"/>
  <c r="N2485" i="4" s="1"/>
  <c r="K2485" i="4"/>
  <c r="J2485" i="4"/>
  <c r="F2485" i="4"/>
  <c r="E2485" i="4"/>
  <c r="D2485" i="4"/>
  <c r="M2484" i="4"/>
  <c r="O2484" i="4" s="1"/>
  <c r="L2484" i="4"/>
  <c r="N2484" i="4" s="1"/>
  <c r="K2484" i="4"/>
  <c r="J2484" i="4"/>
  <c r="F2484" i="4"/>
  <c r="E2484" i="4"/>
  <c r="D2484" i="4"/>
  <c r="M2483" i="4"/>
  <c r="O2483" i="4" s="1"/>
  <c r="L2483" i="4"/>
  <c r="N2483" i="4" s="1"/>
  <c r="K2483" i="4"/>
  <c r="J2483" i="4"/>
  <c r="F2483" i="4"/>
  <c r="E2483" i="4"/>
  <c r="D2483" i="4"/>
  <c r="M2482" i="4"/>
  <c r="O2482" i="4" s="1"/>
  <c r="L2482" i="4"/>
  <c r="N2482" i="4" s="1"/>
  <c r="K2482" i="4"/>
  <c r="J2482" i="4"/>
  <c r="F2482" i="4"/>
  <c r="E2482" i="4"/>
  <c r="D2482" i="4"/>
  <c r="M2481" i="4"/>
  <c r="O2481" i="4" s="1"/>
  <c r="L2481" i="4"/>
  <c r="N2481" i="4" s="1"/>
  <c r="K2481" i="4"/>
  <c r="J2481" i="4"/>
  <c r="F2481" i="4"/>
  <c r="E2481" i="4"/>
  <c r="D2481" i="4"/>
  <c r="M2480" i="4"/>
  <c r="O2480" i="4" s="1"/>
  <c r="L2480" i="4"/>
  <c r="N2480" i="4" s="1"/>
  <c r="K2480" i="4"/>
  <c r="J2480" i="4"/>
  <c r="F2480" i="4"/>
  <c r="E2480" i="4"/>
  <c r="D2480" i="4"/>
  <c r="M2479" i="4"/>
  <c r="O2479" i="4" s="1"/>
  <c r="L2479" i="4"/>
  <c r="N2479" i="4" s="1"/>
  <c r="K2479" i="4"/>
  <c r="J2479" i="4"/>
  <c r="M2478" i="4"/>
  <c r="O2478" i="4" s="1"/>
  <c r="L2478" i="4"/>
  <c r="N2478" i="4" s="1"/>
  <c r="K2478" i="4"/>
  <c r="J2478" i="4"/>
  <c r="F2478" i="4"/>
  <c r="E2478" i="4"/>
  <c r="D2478" i="4"/>
  <c r="M2477" i="4"/>
  <c r="O2477" i="4" s="1"/>
  <c r="L2477" i="4"/>
  <c r="N2477" i="4" s="1"/>
  <c r="K2477" i="4"/>
  <c r="J2477" i="4"/>
  <c r="F2477" i="4"/>
  <c r="E2477" i="4"/>
  <c r="D2477" i="4"/>
  <c r="M2476" i="4"/>
  <c r="O2476" i="4" s="1"/>
  <c r="L2476" i="4"/>
  <c r="N2476" i="4" s="1"/>
  <c r="K2476" i="4"/>
  <c r="J2476" i="4"/>
  <c r="F2476" i="4"/>
  <c r="E2476" i="4"/>
  <c r="D2476" i="4"/>
  <c r="M2475" i="4"/>
  <c r="O2475" i="4" s="1"/>
  <c r="L2475" i="4"/>
  <c r="N2475" i="4" s="1"/>
  <c r="K2475" i="4"/>
  <c r="J2475" i="4"/>
  <c r="F2475" i="4"/>
  <c r="E2475" i="4"/>
  <c r="D2475" i="4"/>
  <c r="M2474" i="4"/>
  <c r="O2474" i="4" s="1"/>
  <c r="L2474" i="4"/>
  <c r="N2474" i="4" s="1"/>
  <c r="K2474" i="4"/>
  <c r="J2474" i="4"/>
  <c r="F2474" i="4"/>
  <c r="E2474" i="4"/>
  <c r="D2474" i="4"/>
  <c r="M2473" i="4"/>
  <c r="O2473" i="4" s="1"/>
  <c r="L2473" i="4"/>
  <c r="N2473" i="4" s="1"/>
  <c r="K2473" i="4"/>
  <c r="J2473" i="4"/>
  <c r="M2472" i="4"/>
  <c r="O2472" i="4" s="1"/>
  <c r="L2472" i="4"/>
  <c r="N2472" i="4" s="1"/>
  <c r="K2472" i="4"/>
  <c r="J2472" i="4"/>
  <c r="F2472" i="4"/>
  <c r="E2472" i="4"/>
  <c r="D2472" i="4"/>
  <c r="M2471" i="4"/>
  <c r="O2471" i="4" s="1"/>
  <c r="L2471" i="4"/>
  <c r="N2471" i="4" s="1"/>
  <c r="K2471" i="4"/>
  <c r="J2471" i="4"/>
  <c r="F2471" i="4"/>
  <c r="E2471" i="4"/>
  <c r="D2471" i="4"/>
  <c r="M2470" i="4"/>
  <c r="O2470" i="4" s="1"/>
  <c r="L2470" i="4"/>
  <c r="N2470" i="4" s="1"/>
  <c r="K2470" i="4"/>
  <c r="J2470" i="4"/>
  <c r="F2470" i="4"/>
  <c r="E2470" i="4"/>
  <c r="D2470" i="4"/>
  <c r="M2469" i="4"/>
  <c r="O2469" i="4" s="1"/>
  <c r="L2469" i="4"/>
  <c r="N2469" i="4" s="1"/>
  <c r="K2469" i="4"/>
  <c r="J2469" i="4"/>
  <c r="M2468" i="4"/>
  <c r="O2468" i="4" s="1"/>
  <c r="L2468" i="4"/>
  <c r="N2468" i="4" s="1"/>
  <c r="K2468" i="4"/>
  <c r="J2468" i="4"/>
  <c r="M2467" i="4"/>
  <c r="O2467" i="4" s="1"/>
  <c r="L2467" i="4"/>
  <c r="N2467" i="4" s="1"/>
  <c r="K2467" i="4"/>
  <c r="J2467" i="4"/>
  <c r="F2467" i="4"/>
  <c r="E2467" i="4"/>
  <c r="D2467" i="4"/>
  <c r="M2466" i="4"/>
  <c r="O2466" i="4" s="1"/>
  <c r="L2466" i="4"/>
  <c r="N2466" i="4" s="1"/>
  <c r="K2466" i="4"/>
  <c r="J2466" i="4"/>
  <c r="M2465" i="4"/>
  <c r="O2465" i="4" s="1"/>
  <c r="L2465" i="4"/>
  <c r="N2465" i="4" s="1"/>
  <c r="K2465" i="4"/>
  <c r="J2465" i="4"/>
  <c r="M2464" i="4"/>
  <c r="O2464" i="4" s="1"/>
  <c r="L2464" i="4"/>
  <c r="N2464" i="4" s="1"/>
  <c r="K2464" i="4"/>
  <c r="J2464" i="4"/>
  <c r="M2463" i="4"/>
  <c r="O2463" i="4" s="1"/>
  <c r="L2463" i="4"/>
  <c r="N2463" i="4" s="1"/>
  <c r="K2463" i="4"/>
  <c r="J2463" i="4"/>
  <c r="M2462" i="4"/>
  <c r="O2462" i="4" s="1"/>
  <c r="L2462" i="4"/>
  <c r="N2462" i="4" s="1"/>
  <c r="K2462" i="4"/>
  <c r="J2462" i="4"/>
  <c r="M2461" i="4"/>
  <c r="O2461" i="4" s="1"/>
  <c r="L2461" i="4"/>
  <c r="N2461" i="4" s="1"/>
  <c r="K2461" i="4"/>
  <c r="J2461" i="4"/>
  <c r="M2460" i="4"/>
  <c r="O2460" i="4" s="1"/>
  <c r="L2460" i="4"/>
  <c r="N2460" i="4" s="1"/>
  <c r="K2460" i="4"/>
  <c r="J2460" i="4"/>
  <c r="M2459" i="4"/>
  <c r="O2459" i="4" s="1"/>
  <c r="L2459" i="4"/>
  <c r="N2459" i="4" s="1"/>
  <c r="K2459" i="4"/>
  <c r="J2459" i="4"/>
  <c r="M2458" i="4"/>
  <c r="O2458" i="4" s="1"/>
  <c r="L2458" i="4"/>
  <c r="N2458" i="4" s="1"/>
  <c r="K2458" i="4"/>
  <c r="J2458" i="4"/>
  <c r="M2457" i="4"/>
  <c r="O2457" i="4" s="1"/>
  <c r="L2457" i="4"/>
  <c r="N2457" i="4" s="1"/>
  <c r="K2457" i="4"/>
  <c r="J2457" i="4"/>
  <c r="M2456" i="4"/>
  <c r="O2456" i="4" s="1"/>
  <c r="L2456" i="4"/>
  <c r="N2456" i="4" s="1"/>
  <c r="K2456" i="4"/>
  <c r="J2456" i="4"/>
  <c r="M2455" i="4"/>
  <c r="O2455" i="4" s="1"/>
  <c r="L2455" i="4"/>
  <c r="N2455" i="4" s="1"/>
  <c r="K2455" i="4"/>
  <c r="J2455" i="4"/>
  <c r="M2454" i="4"/>
  <c r="O2454" i="4" s="1"/>
  <c r="L2454" i="4"/>
  <c r="N2454" i="4" s="1"/>
  <c r="K2454" i="4"/>
  <c r="J2454" i="4"/>
  <c r="M2453" i="4"/>
  <c r="O2453" i="4" s="1"/>
  <c r="L2453" i="4"/>
  <c r="N2453" i="4" s="1"/>
  <c r="K2453" i="4"/>
  <c r="J2453" i="4"/>
  <c r="M2452" i="4"/>
  <c r="O2452" i="4" s="1"/>
  <c r="L2452" i="4"/>
  <c r="N2452" i="4" s="1"/>
  <c r="K2452" i="4"/>
  <c r="J2452" i="4"/>
  <c r="M2451" i="4"/>
  <c r="O2451" i="4" s="1"/>
  <c r="L2451" i="4"/>
  <c r="N2451" i="4" s="1"/>
  <c r="K2451" i="4"/>
  <c r="J2451" i="4"/>
  <c r="M2450" i="4"/>
  <c r="O2450" i="4" s="1"/>
  <c r="L2450" i="4"/>
  <c r="N2450" i="4" s="1"/>
  <c r="K2450" i="4"/>
  <c r="J2450" i="4"/>
  <c r="M2449" i="4"/>
  <c r="O2449" i="4" s="1"/>
  <c r="L2449" i="4"/>
  <c r="N2449" i="4" s="1"/>
  <c r="K2449" i="4"/>
  <c r="J2449" i="4"/>
  <c r="M2448" i="4"/>
  <c r="O2448" i="4" s="1"/>
  <c r="L2448" i="4"/>
  <c r="N2448" i="4" s="1"/>
  <c r="K2448" i="4"/>
  <c r="J2448" i="4"/>
  <c r="M2447" i="4"/>
  <c r="O2447" i="4" s="1"/>
  <c r="L2447" i="4"/>
  <c r="N2447" i="4" s="1"/>
  <c r="K2447" i="4"/>
  <c r="J2447" i="4"/>
  <c r="M2446" i="4"/>
  <c r="O2446" i="4" s="1"/>
  <c r="L2446" i="4"/>
  <c r="N2446" i="4" s="1"/>
  <c r="K2446" i="4"/>
  <c r="J2446" i="4"/>
  <c r="M2445" i="4"/>
  <c r="O2445" i="4" s="1"/>
  <c r="L2445" i="4"/>
  <c r="N2445" i="4" s="1"/>
  <c r="K2445" i="4"/>
  <c r="J2445" i="4"/>
  <c r="M2444" i="4"/>
  <c r="O2444" i="4" s="1"/>
  <c r="L2444" i="4"/>
  <c r="N2444" i="4" s="1"/>
  <c r="K2444" i="4"/>
  <c r="J2444" i="4"/>
  <c r="M2443" i="4"/>
  <c r="O2443" i="4" s="1"/>
  <c r="L2443" i="4"/>
  <c r="N2443" i="4" s="1"/>
  <c r="K2443" i="4"/>
  <c r="J2443" i="4"/>
  <c r="M2442" i="4"/>
  <c r="O2442" i="4" s="1"/>
  <c r="L2442" i="4"/>
  <c r="N2442" i="4" s="1"/>
  <c r="K2442" i="4"/>
  <c r="J2442" i="4"/>
  <c r="M2441" i="4"/>
  <c r="O2441" i="4" s="1"/>
  <c r="L2441" i="4"/>
  <c r="N2441" i="4" s="1"/>
  <c r="K2441" i="4"/>
  <c r="J2441" i="4"/>
  <c r="M2440" i="4"/>
  <c r="O2440" i="4" s="1"/>
  <c r="L2440" i="4"/>
  <c r="N2440" i="4" s="1"/>
  <c r="K2440" i="4"/>
  <c r="J2440" i="4"/>
  <c r="M2439" i="4"/>
  <c r="O2439" i="4" s="1"/>
  <c r="L2439" i="4"/>
  <c r="N2439" i="4" s="1"/>
  <c r="K2439" i="4"/>
  <c r="J2439" i="4"/>
  <c r="M2438" i="4"/>
  <c r="O2438" i="4" s="1"/>
  <c r="L2438" i="4"/>
  <c r="N2438" i="4" s="1"/>
  <c r="K2438" i="4"/>
  <c r="J2438" i="4"/>
  <c r="M2437" i="4"/>
  <c r="O2437" i="4" s="1"/>
  <c r="L2437" i="4"/>
  <c r="N2437" i="4" s="1"/>
  <c r="K2437" i="4"/>
  <c r="J2437" i="4"/>
  <c r="M2436" i="4"/>
  <c r="O2436" i="4" s="1"/>
  <c r="L2436" i="4"/>
  <c r="N2436" i="4" s="1"/>
  <c r="K2436" i="4"/>
  <c r="J2436" i="4"/>
  <c r="M2435" i="4"/>
  <c r="O2435" i="4" s="1"/>
  <c r="L2435" i="4"/>
  <c r="N2435" i="4" s="1"/>
  <c r="K2435" i="4"/>
  <c r="J2435" i="4"/>
  <c r="M2434" i="4"/>
  <c r="O2434" i="4" s="1"/>
  <c r="L2434" i="4"/>
  <c r="N2434" i="4" s="1"/>
  <c r="K2434" i="4"/>
  <c r="J2434" i="4"/>
  <c r="M2433" i="4"/>
  <c r="O2433" i="4" s="1"/>
  <c r="L2433" i="4"/>
  <c r="N2433" i="4" s="1"/>
  <c r="K2433" i="4"/>
  <c r="J2433" i="4"/>
  <c r="M2432" i="4"/>
  <c r="O2432" i="4" s="1"/>
  <c r="L2432" i="4"/>
  <c r="N2432" i="4" s="1"/>
  <c r="K2432" i="4"/>
  <c r="J2432" i="4"/>
  <c r="M2431" i="4"/>
  <c r="O2431" i="4" s="1"/>
  <c r="L2431" i="4"/>
  <c r="N2431" i="4" s="1"/>
  <c r="K2431" i="4"/>
  <c r="J2431" i="4"/>
  <c r="M2430" i="4"/>
  <c r="O2430" i="4" s="1"/>
  <c r="L2430" i="4"/>
  <c r="N2430" i="4" s="1"/>
  <c r="K2430" i="4"/>
  <c r="J2430" i="4"/>
  <c r="M2429" i="4"/>
  <c r="O2429" i="4" s="1"/>
  <c r="L2429" i="4"/>
  <c r="N2429" i="4" s="1"/>
  <c r="K2429" i="4"/>
  <c r="J2429" i="4"/>
  <c r="M2428" i="4"/>
  <c r="O2428" i="4" s="1"/>
  <c r="L2428" i="4"/>
  <c r="N2428" i="4" s="1"/>
  <c r="K2428" i="4"/>
  <c r="J2428" i="4"/>
  <c r="M2427" i="4"/>
  <c r="O2427" i="4" s="1"/>
  <c r="L2427" i="4"/>
  <c r="N2427" i="4" s="1"/>
  <c r="K2427" i="4"/>
  <c r="J2427" i="4"/>
  <c r="M2426" i="4"/>
  <c r="O2426" i="4" s="1"/>
  <c r="L2426" i="4"/>
  <c r="N2426" i="4" s="1"/>
  <c r="K2426" i="4"/>
  <c r="J2426" i="4"/>
  <c r="M2425" i="4"/>
  <c r="O2425" i="4" s="1"/>
  <c r="L2425" i="4"/>
  <c r="N2425" i="4" s="1"/>
  <c r="K2425" i="4"/>
  <c r="J2425" i="4"/>
  <c r="M2424" i="4"/>
  <c r="O2424" i="4" s="1"/>
  <c r="L2424" i="4"/>
  <c r="N2424" i="4" s="1"/>
  <c r="K2424" i="4"/>
  <c r="J2424" i="4"/>
  <c r="M2423" i="4"/>
  <c r="O2423" i="4" s="1"/>
  <c r="L2423" i="4"/>
  <c r="N2423" i="4" s="1"/>
  <c r="K2423" i="4"/>
  <c r="J2423" i="4"/>
  <c r="M2422" i="4"/>
  <c r="O2422" i="4" s="1"/>
  <c r="L2422" i="4"/>
  <c r="N2422" i="4" s="1"/>
  <c r="K2422" i="4"/>
  <c r="J2422" i="4"/>
  <c r="M2421" i="4"/>
  <c r="O2421" i="4" s="1"/>
  <c r="L2421" i="4"/>
  <c r="N2421" i="4" s="1"/>
  <c r="K2421" i="4"/>
  <c r="J2421" i="4"/>
  <c r="M2420" i="4"/>
  <c r="O2420" i="4" s="1"/>
  <c r="L2420" i="4"/>
  <c r="N2420" i="4" s="1"/>
  <c r="K2420" i="4"/>
  <c r="J2420" i="4"/>
  <c r="M2419" i="4"/>
  <c r="O2419" i="4" s="1"/>
  <c r="L2419" i="4"/>
  <c r="N2419" i="4" s="1"/>
  <c r="K2419" i="4"/>
  <c r="J2419" i="4"/>
  <c r="M2418" i="4"/>
  <c r="O2418" i="4" s="1"/>
  <c r="L2418" i="4"/>
  <c r="N2418" i="4" s="1"/>
  <c r="K2418" i="4"/>
  <c r="J2418" i="4"/>
  <c r="M2417" i="4"/>
  <c r="O2417" i="4" s="1"/>
  <c r="L2417" i="4"/>
  <c r="N2417" i="4" s="1"/>
  <c r="K2417" i="4"/>
  <c r="J2417" i="4"/>
  <c r="M2416" i="4"/>
  <c r="O2416" i="4" s="1"/>
  <c r="L2416" i="4"/>
  <c r="N2416" i="4" s="1"/>
  <c r="K2416" i="4"/>
  <c r="J2416" i="4"/>
  <c r="M2415" i="4"/>
  <c r="O2415" i="4" s="1"/>
  <c r="L2415" i="4"/>
  <c r="N2415" i="4" s="1"/>
  <c r="K2415" i="4"/>
  <c r="J2415" i="4"/>
  <c r="M2414" i="4"/>
  <c r="O2414" i="4" s="1"/>
  <c r="L2414" i="4"/>
  <c r="N2414" i="4" s="1"/>
  <c r="K2414" i="4"/>
  <c r="J2414" i="4"/>
  <c r="F2414" i="4"/>
  <c r="E2414" i="4"/>
  <c r="D2414" i="4"/>
  <c r="M2413" i="4"/>
  <c r="O2413" i="4" s="1"/>
  <c r="L2413" i="4"/>
  <c r="N2413" i="4" s="1"/>
  <c r="K2413" i="4"/>
  <c r="J2413" i="4"/>
  <c r="M2412" i="4"/>
  <c r="O2412" i="4" s="1"/>
  <c r="L2412" i="4"/>
  <c r="N2412" i="4" s="1"/>
  <c r="K2412" i="4"/>
  <c r="J2412" i="4"/>
  <c r="M2411" i="4"/>
  <c r="O2411" i="4" s="1"/>
  <c r="L2411" i="4"/>
  <c r="N2411" i="4" s="1"/>
  <c r="K2411" i="4"/>
  <c r="J2411" i="4"/>
  <c r="M2410" i="4"/>
  <c r="O2410" i="4" s="1"/>
  <c r="L2410" i="4"/>
  <c r="N2410" i="4" s="1"/>
  <c r="K2410" i="4"/>
  <c r="J2410" i="4"/>
  <c r="M2409" i="4"/>
  <c r="O2409" i="4" s="1"/>
  <c r="L2409" i="4"/>
  <c r="N2409" i="4" s="1"/>
  <c r="K2409" i="4"/>
  <c r="J2409" i="4"/>
  <c r="M2408" i="4"/>
  <c r="O2408" i="4" s="1"/>
  <c r="L2408" i="4"/>
  <c r="N2408" i="4" s="1"/>
  <c r="K2408" i="4"/>
  <c r="J2408" i="4"/>
  <c r="F2408" i="4"/>
  <c r="E2408" i="4"/>
  <c r="D2408" i="4"/>
  <c r="M2407" i="4"/>
  <c r="O2407" i="4" s="1"/>
  <c r="L2407" i="4"/>
  <c r="N2407" i="4" s="1"/>
  <c r="K2407" i="4"/>
  <c r="J2407" i="4"/>
  <c r="F2407" i="4"/>
  <c r="E2407" i="4"/>
  <c r="D2407" i="4"/>
  <c r="M2406" i="4"/>
  <c r="O2406" i="4" s="1"/>
  <c r="L2406" i="4"/>
  <c r="N2406" i="4" s="1"/>
  <c r="K2406" i="4"/>
  <c r="J2406" i="4"/>
  <c r="M2405" i="4"/>
  <c r="O2405" i="4" s="1"/>
  <c r="L2405" i="4"/>
  <c r="N2405" i="4" s="1"/>
  <c r="K2405" i="4"/>
  <c r="J2405" i="4"/>
  <c r="M2404" i="4"/>
  <c r="O2404" i="4" s="1"/>
  <c r="L2404" i="4"/>
  <c r="N2404" i="4" s="1"/>
  <c r="K2404" i="4"/>
  <c r="J2404" i="4"/>
  <c r="F2404" i="4"/>
  <c r="E2404" i="4"/>
  <c r="D2404" i="4"/>
  <c r="M2403" i="4"/>
  <c r="O2403" i="4" s="1"/>
  <c r="L2403" i="4"/>
  <c r="N2403" i="4" s="1"/>
  <c r="K2403" i="4"/>
  <c r="J2403" i="4"/>
  <c r="F2403" i="4"/>
  <c r="E2403" i="4"/>
  <c r="D2403" i="4"/>
  <c r="M2402" i="4"/>
  <c r="O2402" i="4" s="1"/>
  <c r="L2402" i="4"/>
  <c r="N2402" i="4" s="1"/>
  <c r="K2402" i="4"/>
  <c r="J2402" i="4"/>
  <c r="F2402" i="4"/>
  <c r="E2402" i="4"/>
  <c r="D2402" i="4"/>
  <c r="M2401" i="4"/>
  <c r="O2401" i="4" s="1"/>
  <c r="L2401" i="4"/>
  <c r="N2401" i="4" s="1"/>
  <c r="K2401" i="4"/>
  <c r="J2401" i="4"/>
  <c r="F2401" i="4"/>
  <c r="E2401" i="4"/>
  <c r="D2401" i="4"/>
  <c r="M2400" i="4"/>
  <c r="O2400" i="4" s="1"/>
  <c r="L2400" i="4"/>
  <c r="N2400" i="4" s="1"/>
  <c r="K2400" i="4"/>
  <c r="J2400" i="4"/>
  <c r="F2400" i="4"/>
  <c r="E2400" i="4"/>
  <c r="D2400" i="4"/>
  <c r="M2399" i="4"/>
  <c r="O2399" i="4" s="1"/>
  <c r="L2399" i="4"/>
  <c r="N2399" i="4" s="1"/>
  <c r="K2399" i="4"/>
  <c r="J2399" i="4"/>
  <c r="F2399" i="4"/>
  <c r="E2399" i="4"/>
  <c r="D2399" i="4"/>
  <c r="M2398" i="4"/>
  <c r="O2398" i="4" s="1"/>
  <c r="L2398" i="4"/>
  <c r="N2398" i="4" s="1"/>
  <c r="K2398" i="4"/>
  <c r="J2398" i="4"/>
  <c r="F2398" i="4"/>
  <c r="E2398" i="4"/>
  <c r="D2398" i="4"/>
  <c r="M2397" i="4"/>
  <c r="O2397" i="4" s="1"/>
  <c r="L2397" i="4"/>
  <c r="N2397" i="4" s="1"/>
  <c r="K2397" i="4"/>
  <c r="J2397" i="4"/>
  <c r="M2396" i="4"/>
  <c r="O2396" i="4" s="1"/>
  <c r="L2396" i="4"/>
  <c r="N2396" i="4" s="1"/>
  <c r="K2396" i="4"/>
  <c r="J2396" i="4"/>
  <c r="M2395" i="4"/>
  <c r="O2395" i="4" s="1"/>
  <c r="L2395" i="4"/>
  <c r="N2395" i="4" s="1"/>
  <c r="K2395" i="4"/>
  <c r="J2395" i="4"/>
  <c r="F2395" i="4"/>
  <c r="E2395" i="4"/>
  <c r="D2395" i="4"/>
  <c r="M2394" i="4"/>
  <c r="O2394" i="4" s="1"/>
  <c r="L2394" i="4"/>
  <c r="N2394" i="4" s="1"/>
  <c r="K2394" i="4"/>
  <c r="J2394" i="4"/>
  <c r="F2394" i="4"/>
  <c r="E2394" i="4"/>
  <c r="D2394" i="4"/>
  <c r="M2393" i="4"/>
  <c r="O2393" i="4" s="1"/>
  <c r="L2393" i="4"/>
  <c r="N2393" i="4" s="1"/>
  <c r="K2393" i="4"/>
  <c r="J2393" i="4"/>
  <c r="F2393" i="4"/>
  <c r="E2393" i="4"/>
  <c r="D2393" i="4"/>
  <c r="M2392" i="4"/>
  <c r="O2392" i="4" s="1"/>
  <c r="L2392" i="4"/>
  <c r="N2392" i="4" s="1"/>
  <c r="K2392" i="4"/>
  <c r="J2392" i="4"/>
  <c r="F2392" i="4"/>
  <c r="E2392" i="4"/>
  <c r="D2392" i="4"/>
  <c r="M2391" i="4"/>
  <c r="O2391" i="4" s="1"/>
  <c r="L2391" i="4"/>
  <c r="N2391" i="4" s="1"/>
  <c r="K2391" i="4"/>
  <c r="J2391" i="4"/>
  <c r="M2390" i="4"/>
  <c r="O2390" i="4" s="1"/>
  <c r="L2390" i="4"/>
  <c r="N2390" i="4" s="1"/>
  <c r="K2390" i="4"/>
  <c r="J2390" i="4"/>
  <c r="F2390" i="4"/>
  <c r="E2390" i="4"/>
  <c r="D2390" i="4"/>
  <c r="M2389" i="4"/>
  <c r="O2389" i="4" s="1"/>
  <c r="L2389" i="4"/>
  <c r="N2389" i="4" s="1"/>
  <c r="K2389" i="4"/>
  <c r="J2389" i="4"/>
  <c r="F2389" i="4"/>
  <c r="E2389" i="4"/>
  <c r="D2389" i="4"/>
  <c r="M2388" i="4"/>
  <c r="O2388" i="4" s="1"/>
  <c r="L2388" i="4"/>
  <c r="N2388" i="4" s="1"/>
  <c r="K2388" i="4"/>
  <c r="J2388" i="4"/>
  <c r="F2388" i="4"/>
  <c r="E2388" i="4"/>
  <c r="D2388" i="4"/>
  <c r="M2387" i="4"/>
  <c r="O2387" i="4" s="1"/>
  <c r="L2387" i="4"/>
  <c r="N2387" i="4" s="1"/>
  <c r="K2387" i="4"/>
  <c r="J2387" i="4"/>
  <c r="M2386" i="4"/>
  <c r="O2386" i="4" s="1"/>
  <c r="L2386" i="4"/>
  <c r="N2386" i="4" s="1"/>
  <c r="K2386" i="4"/>
  <c r="J2386" i="4"/>
  <c r="F2386" i="4"/>
  <c r="E2386" i="4"/>
  <c r="D2386" i="4"/>
  <c r="M2385" i="4"/>
  <c r="O2385" i="4" s="1"/>
  <c r="L2385" i="4"/>
  <c r="N2385" i="4" s="1"/>
  <c r="K2385" i="4"/>
  <c r="J2385" i="4"/>
  <c r="M2384" i="4"/>
  <c r="O2384" i="4" s="1"/>
  <c r="L2384" i="4"/>
  <c r="N2384" i="4" s="1"/>
  <c r="K2384" i="4"/>
  <c r="J2384" i="4"/>
  <c r="M2383" i="4"/>
  <c r="O2383" i="4" s="1"/>
  <c r="L2383" i="4"/>
  <c r="N2383" i="4" s="1"/>
  <c r="K2383" i="4"/>
  <c r="J2383" i="4"/>
  <c r="M2382" i="4"/>
  <c r="O2382" i="4" s="1"/>
  <c r="L2382" i="4"/>
  <c r="N2382" i="4" s="1"/>
  <c r="K2382" i="4"/>
  <c r="J2382" i="4"/>
  <c r="M2381" i="4"/>
  <c r="O2381" i="4" s="1"/>
  <c r="L2381" i="4"/>
  <c r="N2381" i="4" s="1"/>
  <c r="K2381" i="4"/>
  <c r="J2381" i="4"/>
  <c r="M2380" i="4"/>
  <c r="O2380" i="4" s="1"/>
  <c r="L2380" i="4"/>
  <c r="N2380" i="4" s="1"/>
  <c r="K2380" i="4"/>
  <c r="J2380" i="4"/>
  <c r="M2379" i="4"/>
  <c r="O2379" i="4" s="1"/>
  <c r="L2379" i="4"/>
  <c r="N2379" i="4" s="1"/>
  <c r="K2379" i="4"/>
  <c r="J2379" i="4"/>
  <c r="F2379" i="4"/>
  <c r="E2379" i="4"/>
  <c r="D2379" i="4"/>
  <c r="M2378" i="4"/>
  <c r="O2378" i="4" s="1"/>
  <c r="L2378" i="4"/>
  <c r="N2378" i="4" s="1"/>
  <c r="K2378" i="4"/>
  <c r="J2378" i="4"/>
  <c r="M2377" i="4"/>
  <c r="O2377" i="4" s="1"/>
  <c r="L2377" i="4"/>
  <c r="N2377" i="4" s="1"/>
  <c r="K2377" i="4"/>
  <c r="J2377" i="4"/>
  <c r="M2376" i="4"/>
  <c r="O2376" i="4" s="1"/>
  <c r="L2376" i="4"/>
  <c r="N2376" i="4" s="1"/>
  <c r="K2376" i="4"/>
  <c r="J2376" i="4"/>
  <c r="M2375" i="4"/>
  <c r="O2375" i="4" s="1"/>
  <c r="L2375" i="4"/>
  <c r="N2375" i="4" s="1"/>
  <c r="K2375" i="4"/>
  <c r="J2375" i="4"/>
  <c r="M2374" i="4"/>
  <c r="O2374" i="4" s="1"/>
  <c r="L2374" i="4"/>
  <c r="N2374" i="4" s="1"/>
  <c r="K2374" i="4"/>
  <c r="J2374" i="4"/>
  <c r="M2373" i="4"/>
  <c r="O2373" i="4" s="1"/>
  <c r="L2373" i="4"/>
  <c r="N2373" i="4" s="1"/>
  <c r="K2373" i="4"/>
  <c r="J2373" i="4"/>
  <c r="M2372" i="4"/>
  <c r="O2372" i="4" s="1"/>
  <c r="L2372" i="4"/>
  <c r="N2372" i="4" s="1"/>
  <c r="K2372" i="4"/>
  <c r="J2372" i="4"/>
  <c r="M2371" i="4"/>
  <c r="O2371" i="4" s="1"/>
  <c r="L2371" i="4"/>
  <c r="N2371" i="4" s="1"/>
  <c r="K2371" i="4"/>
  <c r="J2371" i="4"/>
  <c r="M2370" i="4"/>
  <c r="O2370" i="4" s="1"/>
  <c r="L2370" i="4"/>
  <c r="N2370" i="4" s="1"/>
  <c r="K2370" i="4"/>
  <c r="J2370" i="4"/>
  <c r="M2369" i="4"/>
  <c r="O2369" i="4" s="1"/>
  <c r="L2369" i="4"/>
  <c r="N2369" i="4" s="1"/>
  <c r="K2369" i="4"/>
  <c r="J2369" i="4"/>
  <c r="F2369" i="4"/>
  <c r="E2369" i="4"/>
  <c r="D2369" i="4"/>
  <c r="M2368" i="4"/>
  <c r="O2368" i="4" s="1"/>
  <c r="L2368" i="4"/>
  <c r="N2368" i="4" s="1"/>
  <c r="K2368" i="4"/>
  <c r="J2368" i="4"/>
  <c r="M2367" i="4"/>
  <c r="O2367" i="4" s="1"/>
  <c r="L2367" i="4"/>
  <c r="N2367" i="4" s="1"/>
  <c r="K2367" i="4"/>
  <c r="J2367" i="4"/>
  <c r="M2366" i="4"/>
  <c r="O2366" i="4" s="1"/>
  <c r="L2366" i="4"/>
  <c r="N2366" i="4" s="1"/>
  <c r="K2366" i="4"/>
  <c r="J2366" i="4"/>
  <c r="M2365" i="4"/>
  <c r="O2365" i="4" s="1"/>
  <c r="L2365" i="4"/>
  <c r="N2365" i="4" s="1"/>
  <c r="K2365" i="4"/>
  <c r="J2365" i="4"/>
  <c r="M2364" i="4"/>
  <c r="O2364" i="4" s="1"/>
  <c r="L2364" i="4"/>
  <c r="N2364" i="4" s="1"/>
  <c r="K2364" i="4"/>
  <c r="J2364" i="4"/>
  <c r="F2364" i="4"/>
  <c r="E2364" i="4"/>
  <c r="D2364" i="4"/>
  <c r="M2363" i="4"/>
  <c r="O2363" i="4" s="1"/>
  <c r="L2363" i="4"/>
  <c r="N2363" i="4" s="1"/>
  <c r="K2363" i="4"/>
  <c r="J2363" i="4"/>
  <c r="F2363" i="4"/>
  <c r="E2363" i="4"/>
  <c r="D2363" i="4"/>
  <c r="M2362" i="4"/>
  <c r="O2362" i="4" s="1"/>
  <c r="L2362" i="4"/>
  <c r="N2362" i="4" s="1"/>
  <c r="K2362" i="4"/>
  <c r="J2362" i="4"/>
  <c r="F2362" i="4"/>
  <c r="E2362" i="4"/>
  <c r="D2362" i="4"/>
  <c r="M2361" i="4"/>
  <c r="O2361" i="4" s="1"/>
  <c r="L2361" i="4"/>
  <c r="N2361" i="4" s="1"/>
  <c r="K2361" i="4"/>
  <c r="J2361" i="4"/>
  <c r="M2360" i="4"/>
  <c r="O2360" i="4" s="1"/>
  <c r="L2360" i="4"/>
  <c r="N2360" i="4" s="1"/>
  <c r="K2360" i="4"/>
  <c r="J2360" i="4"/>
  <c r="M2359" i="4"/>
  <c r="O2359" i="4" s="1"/>
  <c r="L2359" i="4"/>
  <c r="N2359" i="4" s="1"/>
  <c r="K2359" i="4"/>
  <c r="J2359" i="4"/>
  <c r="M2357" i="4"/>
  <c r="O2357" i="4" s="1"/>
  <c r="L2357" i="4"/>
  <c r="N2357" i="4" s="1"/>
  <c r="K2357" i="4"/>
  <c r="J2357" i="4"/>
  <c r="M2356" i="4"/>
  <c r="O2356" i="4" s="1"/>
  <c r="L2356" i="4"/>
  <c r="N2356" i="4" s="1"/>
  <c r="K2356" i="4"/>
  <c r="J2356" i="4"/>
  <c r="M2355" i="4"/>
  <c r="O2355" i="4" s="1"/>
  <c r="L2355" i="4"/>
  <c r="N2355" i="4" s="1"/>
  <c r="K2355" i="4"/>
  <c r="J2355" i="4"/>
  <c r="M2354" i="4"/>
  <c r="O2354" i="4" s="1"/>
  <c r="L2354" i="4"/>
  <c r="N2354" i="4" s="1"/>
  <c r="K2354" i="4"/>
  <c r="J2354" i="4"/>
  <c r="M2353" i="4"/>
  <c r="O2353" i="4" s="1"/>
  <c r="L2353" i="4"/>
  <c r="N2353" i="4" s="1"/>
  <c r="K2353" i="4"/>
  <c r="J2353" i="4"/>
  <c r="M2352" i="4"/>
  <c r="O2352" i="4" s="1"/>
  <c r="L2352" i="4"/>
  <c r="N2352" i="4" s="1"/>
  <c r="K2352" i="4"/>
  <c r="J2352" i="4"/>
  <c r="M2351" i="4"/>
  <c r="O2351" i="4" s="1"/>
  <c r="L2351" i="4"/>
  <c r="N2351" i="4" s="1"/>
  <c r="K2351" i="4"/>
  <c r="J2351" i="4"/>
  <c r="M2350" i="4"/>
  <c r="O2350" i="4" s="1"/>
  <c r="L2350" i="4"/>
  <c r="N2350" i="4" s="1"/>
  <c r="K2350" i="4"/>
  <c r="J2350" i="4"/>
  <c r="M2349" i="4"/>
  <c r="O2349" i="4" s="1"/>
  <c r="L2349" i="4"/>
  <c r="N2349" i="4" s="1"/>
  <c r="K2349" i="4"/>
  <c r="J2349" i="4"/>
  <c r="M2348" i="4"/>
  <c r="O2348" i="4" s="1"/>
  <c r="L2348" i="4"/>
  <c r="N2348" i="4" s="1"/>
  <c r="K2348" i="4"/>
  <c r="J2348" i="4"/>
  <c r="M2347" i="4"/>
  <c r="O2347" i="4" s="1"/>
  <c r="L2347" i="4"/>
  <c r="N2347" i="4" s="1"/>
  <c r="K2347" i="4"/>
  <c r="J2347" i="4"/>
  <c r="M2346" i="4"/>
  <c r="O2346" i="4" s="1"/>
  <c r="L2346" i="4"/>
  <c r="N2346" i="4" s="1"/>
  <c r="K2346" i="4"/>
  <c r="J2346" i="4"/>
  <c r="M2345" i="4"/>
  <c r="O2345" i="4" s="1"/>
  <c r="L2345" i="4"/>
  <c r="N2345" i="4" s="1"/>
  <c r="K2345" i="4"/>
  <c r="J2345" i="4"/>
  <c r="M2344" i="4"/>
  <c r="O2344" i="4" s="1"/>
  <c r="L2344" i="4"/>
  <c r="N2344" i="4" s="1"/>
  <c r="K2344" i="4"/>
  <c r="J2344" i="4"/>
  <c r="M2343" i="4"/>
  <c r="O2343" i="4" s="1"/>
  <c r="L2343" i="4"/>
  <c r="N2343" i="4" s="1"/>
  <c r="K2343" i="4"/>
  <c r="J2343" i="4"/>
  <c r="M2342" i="4"/>
  <c r="O2342" i="4" s="1"/>
  <c r="L2342" i="4"/>
  <c r="N2342" i="4" s="1"/>
  <c r="K2342" i="4"/>
  <c r="J2342" i="4"/>
  <c r="M2341" i="4"/>
  <c r="O2341" i="4" s="1"/>
  <c r="L2341" i="4"/>
  <c r="N2341" i="4" s="1"/>
  <c r="K2341" i="4"/>
  <c r="J2341" i="4"/>
  <c r="M2340" i="4"/>
  <c r="O2340" i="4" s="1"/>
  <c r="L2340" i="4"/>
  <c r="N2340" i="4" s="1"/>
  <c r="K2340" i="4"/>
  <c r="J2340" i="4"/>
  <c r="M2339" i="4"/>
  <c r="O2339" i="4" s="1"/>
  <c r="L2339" i="4"/>
  <c r="N2339" i="4" s="1"/>
  <c r="K2339" i="4"/>
  <c r="J2339" i="4"/>
  <c r="M2338" i="4"/>
  <c r="O2338" i="4" s="1"/>
  <c r="L2338" i="4"/>
  <c r="N2338" i="4" s="1"/>
  <c r="K2338" i="4"/>
  <c r="J2338" i="4"/>
  <c r="M2336" i="4"/>
  <c r="O2336" i="4" s="1"/>
  <c r="L2336" i="4"/>
  <c r="N2336" i="4" s="1"/>
  <c r="K2336" i="4"/>
  <c r="J2336" i="4"/>
  <c r="M2335" i="4"/>
  <c r="O2335" i="4" s="1"/>
  <c r="L2335" i="4"/>
  <c r="N2335" i="4" s="1"/>
  <c r="K2335" i="4"/>
  <c r="J2335" i="4"/>
  <c r="M2334" i="4"/>
  <c r="O2334" i="4" s="1"/>
  <c r="L2334" i="4"/>
  <c r="N2334" i="4" s="1"/>
  <c r="K2334" i="4"/>
  <c r="J2334" i="4"/>
  <c r="M2333" i="4"/>
  <c r="O2333" i="4" s="1"/>
  <c r="L2333" i="4"/>
  <c r="N2333" i="4" s="1"/>
  <c r="K2333" i="4"/>
  <c r="J2333" i="4"/>
  <c r="F2333" i="4"/>
  <c r="E2333" i="4"/>
  <c r="D2333" i="4"/>
  <c r="M2332" i="4"/>
  <c r="O2332" i="4" s="1"/>
  <c r="L2332" i="4"/>
  <c r="N2332" i="4" s="1"/>
  <c r="K2332" i="4"/>
  <c r="J2332" i="4"/>
  <c r="F2332" i="4"/>
  <c r="E2332" i="4"/>
  <c r="D2332" i="4"/>
  <c r="M2331" i="4"/>
  <c r="O2331" i="4" s="1"/>
  <c r="L2331" i="4"/>
  <c r="N2331" i="4" s="1"/>
  <c r="K2331" i="4"/>
  <c r="J2331" i="4"/>
  <c r="F2331" i="4"/>
  <c r="E2331" i="4"/>
  <c r="D2331" i="4"/>
  <c r="M2330" i="4"/>
  <c r="O2330" i="4" s="1"/>
  <c r="L2330" i="4"/>
  <c r="N2330" i="4" s="1"/>
  <c r="K2330" i="4"/>
  <c r="J2330" i="4"/>
  <c r="F2330" i="4"/>
  <c r="E2330" i="4"/>
  <c r="D2330" i="4"/>
  <c r="M2329" i="4"/>
  <c r="O2329" i="4" s="1"/>
  <c r="L2329" i="4"/>
  <c r="N2329" i="4" s="1"/>
  <c r="K2329" i="4"/>
  <c r="J2329" i="4"/>
  <c r="F2329" i="4"/>
  <c r="E2329" i="4"/>
  <c r="D2329" i="4"/>
  <c r="M2328" i="4"/>
  <c r="O2328" i="4" s="1"/>
  <c r="L2328" i="4"/>
  <c r="N2328" i="4" s="1"/>
  <c r="K2328" i="4"/>
  <c r="J2328" i="4"/>
  <c r="F2328" i="4"/>
  <c r="E2328" i="4"/>
  <c r="D2328" i="4"/>
  <c r="M2327" i="4"/>
  <c r="O2327" i="4" s="1"/>
  <c r="L2327" i="4"/>
  <c r="N2327" i="4" s="1"/>
  <c r="K2327" i="4"/>
  <c r="J2327" i="4"/>
  <c r="M2326" i="4"/>
  <c r="O2326" i="4" s="1"/>
  <c r="L2326" i="4"/>
  <c r="N2326" i="4" s="1"/>
  <c r="K2326" i="4"/>
  <c r="J2326" i="4"/>
  <c r="M2325" i="4"/>
  <c r="O2325" i="4" s="1"/>
  <c r="L2325" i="4"/>
  <c r="N2325" i="4" s="1"/>
  <c r="K2325" i="4"/>
  <c r="J2325" i="4"/>
  <c r="M2324" i="4"/>
  <c r="O2324" i="4" s="1"/>
  <c r="L2324" i="4"/>
  <c r="N2324" i="4" s="1"/>
  <c r="K2324" i="4"/>
  <c r="J2324" i="4"/>
  <c r="F2324" i="4"/>
  <c r="E2324" i="4"/>
  <c r="D2324" i="4"/>
  <c r="M2323" i="4"/>
  <c r="O2323" i="4" s="1"/>
  <c r="L2323" i="4"/>
  <c r="N2323" i="4" s="1"/>
  <c r="K2323" i="4"/>
  <c r="J2323" i="4"/>
  <c r="F2323" i="4"/>
  <c r="E2323" i="4"/>
  <c r="D2323" i="4"/>
  <c r="M2322" i="4"/>
  <c r="O2322" i="4" s="1"/>
  <c r="L2322" i="4"/>
  <c r="N2322" i="4" s="1"/>
  <c r="K2322" i="4"/>
  <c r="J2322" i="4"/>
  <c r="F2322" i="4"/>
  <c r="E2322" i="4"/>
  <c r="D2322" i="4"/>
  <c r="M2321" i="4"/>
  <c r="O2321" i="4" s="1"/>
  <c r="L2321" i="4"/>
  <c r="N2321" i="4" s="1"/>
  <c r="K2321" i="4"/>
  <c r="J2321" i="4"/>
  <c r="F2321" i="4"/>
  <c r="E2321" i="4"/>
  <c r="D2321" i="4"/>
  <c r="M2320" i="4"/>
  <c r="O2320" i="4" s="1"/>
  <c r="L2320" i="4"/>
  <c r="N2320" i="4" s="1"/>
  <c r="K2320" i="4"/>
  <c r="J2320" i="4"/>
  <c r="M2319" i="4"/>
  <c r="O2319" i="4" s="1"/>
  <c r="L2319" i="4"/>
  <c r="N2319" i="4" s="1"/>
  <c r="K2319" i="4"/>
  <c r="J2319" i="4"/>
  <c r="F2319" i="4"/>
  <c r="E2319" i="4"/>
  <c r="D2319" i="4"/>
  <c r="M2318" i="4"/>
  <c r="O2318" i="4" s="1"/>
  <c r="L2318" i="4"/>
  <c r="N2318" i="4" s="1"/>
  <c r="K2318" i="4"/>
  <c r="J2318" i="4"/>
  <c r="F2318" i="4"/>
  <c r="E2318" i="4"/>
  <c r="D2318" i="4"/>
  <c r="M2317" i="4"/>
  <c r="O2317" i="4" s="1"/>
  <c r="L2317" i="4"/>
  <c r="N2317" i="4" s="1"/>
  <c r="K2317" i="4"/>
  <c r="J2317" i="4"/>
  <c r="F2317" i="4"/>
  <c r="E2317" i="4"/>
  <c r="D2317" i="4"/>
  <c r="M2316" i="4"/>
  <c r="O2316" i="4" s="1"/>
  <c r="L2316" i="4"/>
  <c r="N2316" i="4" s="1"/>
  <c r="K2316" i="4"/>
  <c r="J2316" i="4"/>
  <c r="F2316" i="4"/>
  <c r="E2316" i="4"/>
  <c r="D2316" i="4"/>
  <c r="M2315" i="4"/>
  <c r="O2315" i="4" s="1"/>
  <c r="L2315" i="4"/>
  <c r="N2315" i="4" s="1"/>
  <c r="K2315" i="4"/>
  <c r="J2315" i="4"/>
  <c r="F2315" i="4"/>
  <c r="E2315" i="4"/>
  <c r="D2315" i="4"/>
  <c r="M2314" i="4"/>
  <c r="O2314" i="4" s="1"/>
  <c r="L2314" i="4"/>
  <c r="N2314" i="4" s="1"/>
  <c r="K2314" i="4"/>
  <c r="J2314" i="4"/>
  <c r="F2314" i="4"/>
  <c r="E2314" i="4"/>
  <c r="D2314" i="4"/>
  <c r="M2313" i="4"/>
  <c r="O2313" i="4" s="1"/>
  <c r="L2313" i="4"/>
  <c r="N2313" i="4" s="1"/>
  <c r="K2313" i="4"/>
  <c r="J2313" i="4"/>
  <c r="M2312" i="4"/>
  <c r="O2312" i="4" s="1"/>
  <c r="L2312" i="4"/>
  <c r="N2312" i="4" s="1"/>
  <c r="K2312" i="4"/>
  <c r="J2312" i="4"/>
  <c r="M2311" i="4"/>
  <c r="O2311" i="4" s="1"/>
  <c r="L2311" i="4"/>
  <c r="N2311" i="4" s="1"/>
  <c r="K2311" i="4"/>
  <c r="J2311" i="4"/>
  <c r="O2310" i="4"/>
  <c r="M2310" i="4"/>
  <c r="L2310" i="4"/>
  <c r="N2310" i="4" s="1"/>
  <c r="K2310" i="4"/>
  <c r="J2310" i="4"/>
  <c r="M2309" i="4"/>
  <c r="O2309" i="4" s="1"/>
  <c r="L2309" i="4"/>
  <c r="N2309" i="4" s="1"/>
  <c r="K2309" i="4"/>
  <c r="J2309" i="4"/>
  <c r="M2308" i="4"/>
  <c r="O2308" i="4" s="1"/>
  <c r="L2308" i="4"/>
  <c r="N2308" i="4" s="1"/>
  <c r="K2308" i="4"/>
  <c r="J2308" i="4"/>
  <c r="M2307" i="4"/>
  <c r="O2307" i="4" s="1"/>
  <c r="L2307" i="4"/>
  <c r="N2307" i="4" s="1"/>
  <c r="K2307" i="4"/>
  <c r="J2307" i="4"/>
  <c r="M2306" i="4"/>
  <c r="O2306" i="4" s="1"/>
  <c r="L2306" i="4"/>
  <c r="N2306" i="4" s="1"/>
  <c r="K2306" i="4"/>
  <c r="J2306" i="4"/>
  <c r="M2305" i="4"/>
  <c r="O2305" i="4" s="1"/>
  <c r="L2305" i="4"/>
  <c r="N2305" i="4" s="1"/>
  <c r="K2305" i="4"/>
  <c r="J2305" i="4"/>
  <c r="F2305" i="4"/>
  <c r="E2305" i="4"/>
  <c r="D2305" i="4"/>
  <c r="M2304" i="4"/>
  <c r="O2304" i="4" s="1"/>
  <c r="L2304" i="4"/>
  <c r="N2304" i="4" s="1"/>
  <c r="K2304" i="4"/>
  <c r="J2304" i="4"/>
  <c r="M2303" i="4"/>
  <c r="O2303" i="4" s="1"/>
  <c r="L2303" i="4"/>
  <c r="N2303" i="4" s="1"/>
  <c r="K2303" i="4"/>
  <c r="J2303" i="4"/>
  <c r="M2302" i="4"/>
  <c r="O2302" i="4" s="1"/>
  <c r="L2302" i="4"/>
  <c r="N2302" i="4" s="1"/>
  <c r="K2302" i="4"/>
  <c r="J2302" i="4"/>
  <c r="M2301" i="4"/>
  <c r="O2301" i="4" s="1"/>
  <c r="L2301" i="4"/>
  <c r="N2301" i="4" s="1"/>
  <c r="K2301" i="4"/>
  <c r="J2301" i="4"/>
  <c r="M2300" i="4"/>
  <c r="O2300" i="4" s="1"/>
  <c r="L2300" i="4"/>
  <c r="N2300" i="4" s="1"/>
  <c r="K2300" i="4"/>
  <c r="J2300" i="4"/>
  <c r="M2299" i="4"/>
  <c r="O2299" i="4" s="1"/>
  <c r="L2299" i="4"/>
  <c r="N2299" i="4" s="1"/>
  <c r="K2299" i="4"/>
  <c r="J2299" i="4"/>
  <c r="M2298" i="4"/>
  <c r="O2298" i="4" s="1"/>
  <c r="L2298" i="4"/>
  <c r="N2298" i="4" s="1"/>
  <c r="K2298" i="4"/>
  <c r="J2298" i="4"/>
  <c r="M2297" i="4"/>
  <c r="O2297" i="4" s="1"/>
  <c r="L2297" i="4"/>
  <c r="N2297" i="4" s="1"/>
  <c r="K2297" i="4"/>
  <c r="J2297" i="4"/>
  <c r="M2296" i="4"/>
  <c r="O2296" i="4" s="1"/>
  <c r="L2296" i="4"/>
  <c r="N2296" i="4" s="1"/>
  <c r="K2296" i="4"/>
  <c r="J2296" i="4"/>
  <c r="M2295" i="4"/>
  <c r="O2295" i="4" s="1"/>
  <c r="L2295" i="4"/>
  <c r="N2295" i="4" s="1"/>
  <c r="K2295" i="4"/>
  <c r="J2295" i="4"/>
  <c r="M2294" i="4"/>
  <c r="O2294" i="4" s="1"/>
  <c r="L2294" i="4"/>
  <c r="N2294" i="4" s="1"/>
  <c r="K2294" i="4"/>
  <c r="J2294" i="4"/>
  <c r="M2293" i="4"/>
  <c r="O2293" i="4" s="1"/>
  <c r="L2293" i="4"/>
  <c r="N2293" i="4" s="1"/>
  <c r="K2293" i="4"/>
  <c r="J2293" i="4"/>
  <c r="M2292" i="4"/>
  <c r="O2292" i="4" s="1"/>
  <c r="L2292" i="4"/>
  <c r="N2292" i="4" s="1"/>
  <c r="K2292" i="4"/>
  <c r="J2292" i="4"/>
  <c r="F2292" i="4"/>
  <c r="E2292" i="4"/>
  <c r="D2292" i="4"/>
  <c r="M2291" i="4"/>
  <c r="O2291" i="4" s="1"/>
  <c r="L2291" i="4"/>
  <c r="N2291" i="4" s="1"/>
  <c r="K2291" i="4"/>
  <c r="J2291" i="4"/>
  <c r="M2290" i="4"/>
  <c r="O2290" i="4" s="1"/>
  <c r="L2290" i="4"/>
  <c r="N2290" i="4" s="1"/>
  <c r="K2290" i="4"/>
  <c r="J2290" i="4"/>
  <c r="M2289" i="4"/>
  <c r="O2289" i="4" s="1"/>
  <c r="L2289" i="4"/>
  <c r="N2289" i="4" s="1"/>
  <c r="K2289" i="4"/>
  <c r="J2289" i="4"/>
  <c r="M2288" i="4"/>
  <c r="O2288" i="4" s="1"/>
  <c r="L2288" i="4"/>
  <c r="N2288" i="4" s="1"/>
  <c r="K2288" i="4"/>
  <c r="J2288" i="4"/>
  <c r="M2287" i="4"/>
  <c r="O2287" i="4" s="1"/>
  <c r="L2287" i="4"/>
  <c r="N2287" i="4" s="1"/>
  <c r="K2287" i="4"/>
  <c r="J2287" i="4"/>
  <c r="M2286" i="4"/>
  <c r="O2286" i="4" s="1"/>
  <c r="L2286" i="4"/>
  <c r="N2286" i="4" s="1"/>
  <c r="K2286" i="4"/>
  <c r="J2286" i="4"/>
  <c r="M2285" i="4"/>
  <c r="O2285" i="4" s="1"/>
  <c r="L2285" i="4"/>
  <c r="N2285" i="4" s="1"/>
  <c r="K2285" i="4"/>
  <c r="J2285" i="4"/>
  <c r="M2284" i="4"/>
  <c r="O2284" i="4" s="1"/>
  <c r="L2284" i="4"/>
  <c r="N2284" i="4" s="1"/>
  <c r="K2284" i="4"/>
  <c r="J2284" i="4"/>
  <c r="F2284" i="4"/>
  <c r="E2284" i="4"/>
  <c r="D2284" i="4"/>
  <c r="M2283" i="4"/>
  <c r="O2283" i="4" s="1"/>
  <c r="L2283" i="4"/>
  <c r="N2283" i="4" s="1"/>
  <c r="K2283" i="4"/>
  <c r="J2283" i="4"/>
  <c r="M2282" i="4"/>
  <c r="O2282" i="4" s="1"/>
  <c r="L2282" i="4"/>
  <c r="N2282" i="4" s="1"/>
  <c r="K2282" i="4"/>
  <c r="J2282" i="4"/>
  <c r="M2281" i="4"/>
  <c r="O2281" i="4" s="1"/>
  <c r="L2281" i="4"/>
  <c r="N2281" i="4" s="1"/>
  <c r="K2281" i="4"/>
  <c r="J2281" i="4"/>
  <c r="M2280" i="4"/>
  <c r="O2280" i="4" s="1"/>
  <c r="L2280" i="4"/>
  <c r="N2280" i="4" s="1"/>
  <c r="K2280" i="4"/>
  <c r="J2280" i="4"/>
  <c r="M2279" i="4"/>
  <c r="O2279" i="4" s="1"/>
  <c r="L2279" i="4"/>
  <c r="N2279" i="4" s="1"/>
  <c r="K2279" i="4"/>
  <c r="J2279" i="4"/>
  <c r="M2278" i="4"/>
  <c r="O2278" i="4" s="1"/>
  <c r="L2278" i="4"/>
  <c r="N2278" i="4" s="1"/>
  <c r="K2278" i="4"/>
  <c r="J2278" i="4"/>
  <c r="M2277" i="4"/>
  <c r="O2277" i="4" s="1"/>
  <c r="L2277" i="4"/>
  <c r="N2277" i="4" s="1"/>
  <c r="K2277" i="4"/>
  <c r="J2277" i="4"/>
  <c r="M2276" i="4"/>
  <c r="O2276" i="4" s="1"/>
  <c r="L2276" i="4"/>
  <c r="N2276" i="4" s="1"/>
  <c r="K2276" i="4"/>
  <c r="J2276" i="4"/>
  <c r="M2275" i="4"/>
  <c r="O2275" i="4" s="1"/>
  <c r="L2275" i="4"/>
  <c r="N2275" i="4" s="1"/>
  <c r="K2275" i="4"/>
  <c r="J2275" i="4"/>
  <c r="M2274" i="4"/>
  <c r="O2274" i="4" s="1"/>
  <c r="L2274" i="4"/>
  <c r="N2274" i="4" s="1"/>
  <c r="K2274" i="4"/>
  <c r="J2274" i="4"/>
  <c r="M2273" i="4"/>
  <c r="O2273" i="4" s="1"/>
  <c r="L2273" i="4"/>
  <c r="N2273" i="4" s="1"/>
  <c r="K2273" i="4"/>
  <c r="J2273" i="4"/>
  <c r="M2272" i="4"/>
  <c r="O2272" i="4" s="1"/>
  <c r="L2272" i="4"/>
  <c r="N2272" i="4" s="1"/>
  <c r="K2272" i="4"/>
  <c r="J2272" i="4"/>
  <c r="M2271" i="4"/>
  <c r="O2271" i="4" s="1"/>
  <c r="L2271" i="4"/>
  <c r="N2271" i="4" s="1"/>
  <c r="K2271" i="4"/>
  <c r="J2271" i="4"/>
  <c r="M2270" i="4"/>
  <c r="O2270" i="4" s="1"/>
  <c r="L2270" i="4"/>
  <c r="N2270" i="4" s="1"/>
  <c r="K2270" i="4"/>
  <c r="J2270" i="4"/>
  <c r="F2270" i="4"/>
  <c r="E2270" i="4"/>
  <c r="D2270" i="4"/>
  <c r="M2269" i="4"/>
  <c r="O2269" i="4" s="1"/>
  <c r="L2269" i="4"/>
  <c r="N2269" i="4" s="1"/>
  <c r="K2269" i="4"/>
  <c r="J2269" i="4"/>
  <c r="F2269" i="4"/>
  <c r="E2269" i="4"/>
  <c r="D2269" i="4"/>
  <c r="M2268" i="4"/>
  <c r="O2268" i="4" s="1"/>
  <c r="L2268" i="4"/>
  <c r="N2268" i="4" s="1"/>
  <c r="K2268" i="4"/>
  <c r="J2268" i="4"/>
  <c r="F2268" i="4"/>
  <c r="E2268" i="4"/>
  <c r="D2268" i="4"/>
  <c r="M2267" i="4"/>
  <c r="O2267" i="4" s="1"/>
  <c r="L2267" i="4"/>
  <c r="N2267" i="4" s="1"/>
  <c r="K2267" i="4"/>
  <c r="J2267" i="4"/>
  <c r="F2267" i="4"/>
  <c r="E2267" i="4"/>
  <c r="D2267" i="4"/>
  <c r="M2266" i="4"/>
  <c r="O2266" i="4" s="1"/>
  <c r="L2266" i="4"/>
  <c r="N2266" i="4" s="1"/>
  <c r="K2266" i="4"/>
  <c r="J2266" i="4"/>
  <c r="F2266" i="4"/>
  <c r="E2266" i="4"/>
  <c r="D2266" i="4"/>
  <c r="M2265" i="4"/>
  <c r="O2265" i="4" s="1"/>
  <c r="L2265" i="4"/>
  <c r="N2265" i="4" s="1"/>
  <c r="K2265" i="4"/>
  <c r="J2265" i="4"/>
  <c r="F2265" i="4"/>
  <c r="E2265" i="4"/>
  <c r="D2265" i="4"/>
  <c r="M2264" i="4"/>
  <c r="O2264" i="4" s="1"/>
  <c r="L2264" i="4"/>
  <c r="N2264" i="4" s="1"/>
  <c r="K2264" i="4"/>
  <c r="J2264" i="4"/>
  <c r="F2264" i="4"/>
  <c r="E2264" i="4"/>
  <c r="D2264" i="4"/>
  <c r="M2263" i="4"/>
  <c r="O2263" i="4" s="1"/>
  <c r="L2263" i="4"/>
  <c r="N2263" i="4" s="1"/>
  <c r="K2263" i="4"/>
  <c r="J2263" i="4"/>
  <c r="M2262" i="4"/>
  <c r="O2262" i="4" s="1"/>
  <c r="L2262" i="4"/>
  <c r="N2262" i="4" s="1"/>
  <c r="K2262" i="4"/>
  <c r="J2262" i="4"/>
  <c r="M2261" i="4"/>
  <c r="O2261" i="4" s="1"/>
  <c r="L2261" i="4"/>
  <c r="N2261" i="4" s="1"/>
  <c r="K2261" i="4"/>
  <c r="J2261" i="4"/>
  <c r="M2260" i="4"/>
  <c r="O2260" i="4" s="1"/>
  <c r="L2260" i="4"/>
  <c r="N2260" i="4" s="1"/>
  <c r="K2260" i="4"/>
  <c r="J2260" i="4"/>
  <c r="M2259" i="4"/>
  <c r="O2259" i="4" s="1"/>
  <c r="L2259" i="4"/>
  <c r="N2259" i="4" s="1"/>
  <c r="K2259" i="4"/>
  <c r="J2259" i="4"/>
  <c r="M2258" i="4"/>
  <c r="O2258" i="4" s="1"/>
  <c r="L2258" i="4"/>
  <c r="N2258" i="4" s="1"/>
  <c r="K2258" i="4"/>
  <c r="J2258" i="4"/>
  <c r="F2258" i="4"/>
  <c r="E2258" i="4"/>
  <c r="D2258" i="4"/>
  <c r="M2257" i="4"/>
  <c r="O2257" i="4" s="1"/>
  <c r="L2257" i="4"/>
  <c r="N2257" i="4" s="1"/>
  <c r="K2257" i="4"/>
  <c r="J2257" i="4"/>
  <c r="F2257" i="4"/>
  <c r="E2257" i="4"/>
  <c r="D2257" i="4"/>
  <c r="M2256" i="4"/>
  <c r="O2256" i="4" s="1"/>
  <c r="L2256" i="4"/>
  <c r="N2256" i="4" s="1"/>
  <c r="K2256" i="4"/>
  <c r="J2256" i="4"/>
  <c r="F2256" i="4"/>
  <c r="E2256" i="4"/>
  <c r="D2256" i="4"/>
  <c r="M2255" i="4"/>
  <c r="O2255" i="4" s="1"/>
  <c r="L2255" i="4"/>
  <c r="N2255" i="4" s="1"/>
  <c r="K2255" i="4"/>
  <c r="J2255" i="4"/>
  <c r="F2255" i="4"/>
  <c r="E2255" i="4"/>
  <c r="D2255" i="4"/>
  <c r="M2254" i="4"/>
  <c r="O2254" i="4" s="1"/>
  <c r="L2254" i="4"/>
  <c r="N2254" i="4" s="1"/>
  <c r="K2254" i="4"/>
  <c r="J2254" i="4"/>
  <c r="M2253" i="4"/>
  <c r="O2253" i="4" s="1"/>
  <c r="L2253" i="4"/>
  <c r="N2253" i="4" s="1"/>
  <c r="K2253" i="4"/>
  <c r="J2253" i="4"/>
  <c r="F2253" i="4"/>
  <c r="E2253" i="4"/>
  <c r="D2253" i="4"/>
  <c r="M2252" i="4"/>
  <c r="O2252" i="4" s="1"/>
  <c r="L2252" i="4"/>
  <c r="N2252" i="4" s="1"/>
  <c r="K2252" i="4"/>
  <c r="J2252" i="4"/>
  <c r="F2252" i="4"/>
  <c r="E2252" i="4"/>
  <c r="D2252" i="4"/>
  <c r="M2251" i="4"/>
  <c r="O2251" i="4" s="1"/>
  <c r="L2251" i="4"/>
  <c r="N2251" i="4" s="1"/>
  <c r="K2251" i="4"/>
  <c r="J2251" i="4"/>
  <c r="F2251" i="4"/>
  <c r="E2251" i="4"/>
  <c r="D2251" i="4"/>
  <c r="M2250" i="4"/>
  <c r="O2250" i="4" s="1"/>
  <c r="L2250" i="4"/>
  <c r="N2250" i="4" s="1"/>
  <c r="K2250" i="4"/>
  <c r="J2250" i="4"/>
  <c r="F2250" i="4"/>
  <c r="E2250" i="4"/>
  <c r="D2250" i="4"/>
  <c r="M2249" i="4"/>
  <c r="O2249" i="4" s="1"/>
  <c r="L2249" i="4"/>
  <c r="N2249" i="4" s="1"/>
  <c r="K2249" i="4"/>
  <c r="J2249" i="4"/>
  <c r="M2248" i="4"/>
  <c r="O2248" i="4" s="1"/>
  <c r="L2248" i="4"/>
  <c r="N2248" i="4" s="1"/>
  <c r="K2248" i="4"/>
  <c r="J2248" i="4"/>
  <c r="M2247" i="4"/>
  <c r="O2247" i="4" s="1"/>
  <c r="L2247" i="4"/>
  <c r="N2247" i="4" s="1"/>
  <c r="K2247" i="4"/>
  <c r="J2247" i="4"/>
  <c r="M2246" i="4"/>
  <c r="O2246" i="4" s="1"/>
  <c r="L2246" i="4"/>
  <c r="N2246" i="4" s="1"/>
  <c r="K2246" i="4"/>
  <c r="J2246" i="4"/>
  <c r="M2245" i="4"/>
  <c r="O2245" i="4" s="1"/>
  <c r="L2245" i="4"/>
  <c r="N2245" i="4" s="1"/>
  <c r="K2245" i="4"/>
  <c r="J2245" i="4"/>
  <c r="M2244" i="4"/>
  <c r="O2244" i="4" s="1"/>
  <c r="L2244" i="4"/>
  <c r="N2244" i="4" s="1"/>
  <c r="K2244" i="4"/>
  <c r="J2244" i="4"/>
  <c r="M2243" i="4"/>
  <c r="O2243" i="4" s="1"/>
  <c r="L2243" i="4"/>
  <c r="N2243" i="4" s="1"/>
  <c r="K2243" i="4"/>
  <c r="J2243" i="4"/>
  <c r="M2242" i="4"/>
  <c r="O2242" i="4" s="1"/>
  <c r="L2242" i="4"/>
  <c r="N2242" i="4" s="1"/>
  <c r="K2242" i="4"/>
  <c r="J2242" i="4"/>
  <c r="M2241" i="4"/>
  <c r="O2241" i="4" s="1"/>
  <c r="L2241" i="4"/>
  <c r="N2241" i="4" s="1"/>
  <c r="K2241" i="4"/>
  <c r="J2241" i="4"/>
  <c r="M2240" i="4"/>
  <c r="O2240" i="4" s="1"/>
  <c r="L2240" i="4"/>
  <c r="N2240" i="4" s="1"/>
  <c r="K2240" i="4"/>
  <c r="J2240" i="4"/>
  <c r="F2240" i="4"/>
  <c r="E2240" i="4"/>
  <c r="D2240" i="4"/>
  <c r="M2239" i="4"/>
  <c r="O2239" i="4" s="1"/>
  <c r="L2239" i="4"/>
  <c r="N2239" i="4" s="1"/>
  <c r="K2239" i="4"/>
  <c r="J2239" i="4"/>
  <c r="M2238" i="4"/>
  <c r="O2238" i="4" s="1"/>
  <c r="L2238" i="4"/>
  <c r="N2238" i="4" s="1"/>
  <c r="K2238" i="4"/>
  <c r="J2238" i="4"/>
  <c r="M2237" i="4"/>
  <c r="O2237" i="4" s="1"/>
  <c r="L2237" i="4"/>
  <c r="N2237" i="4" s="1"/>
  <c r="K2237" i="4"/>
  <c r="J2237" i="4"/>
  <c r="M2236" i="4"/>
  <c r="O2236" i="4" s="1"/>
  <c r="L2236" i="4"/>
  <c r="N2236" i="4" s="1"/>
  <c r="K2236" i="4"/>
  <c r="J2236" i="4"/>
  <c r="M2235" i="4"/>
  <c r="O2235" i="4" s="1"/>
  <c r="L2235" i="4"/>
  <c r="N2235" i="4" s="1"/>
  <c r="K2235" i="4"/>
  <c r="J2235" i="4"/>
  <c r="M2234" i="4"/>
  <c r="O2234" i="4" s="1"/>
  <c r="L2234" i="4"/>
  <c r="N2234" i="4" s="1"/>
  <c r="K2234" i="4"/>
  <c r="J2234" i="4"/>
  <c r="M2233" i="4"/>
  <c r="O2233" i="4" s="1"/>
  <c r="L2233" i="4"/>
  <c r="N2233" i="4" s="1"/>
  <c r="K2233" i="4"/>
  <c r="J2233" i="4"/>
  <c r="M2232" i="4"/>
  <c r="O2232" i="4" s="1"/>
  <c r="L2232" i="4"/>
  <c r="N2232" i="4" s="1"/>
  <c r="K2232" i="4"/>
  <c r="J2232" i="4"/>
  <c r="M2231" i="4"/>
  <c r="O2231" i="4" s="1"/>
  <c r="L2231" i="4"/>
  <c r="N2231" i="4" s="1"/>
  <c r="K2231" i="4"/>
  <c r="J2231" i="4"/>
  <c r="M2230" i="4"/>
  <c r="O2230" i="4" s="1"/>
  <c r="L2230" i="4"/>
  <c r="N2230" i="4" s="1"/>
  <c r="K2230" i="4"/>
  <c r="J2230" i="4"/>
  <c r="M2229" i="4"/>
  <c r="O2229" i="4" s="1"/>
  <c r="L2229" i="4"/>
  <c r="N2229" i="4" s="1"/>
  <c r="K2229" i="4"/>
  <c r="J2229" i="4"/>
  <c r="F2229" i="4"/>
  <c r="E2229" i="4"/>
  <c r="D2229" i="4"/>
  <c r="M2228" i="4"/>
  <c r="O2228" i="4" s="1"/>
  <c r="L2228" i="4"/>
  <c r="N2228" i="4" s="1"/>
  <c r="K2228" i="4"/>
  <c r="J2228" i="4"/>
  <c r="M2227" i="4"/>
  <c r="O2227" i="4" s="1"/>
  <c r="L2227" i="4"/>
  <c r="N2227" i="4" s="1"/>
  <c r="K2227" i="4"/>
  <c r="J2227" i="4"/>
  <c r="M2226" i="4"/>
  <c r="O2226" i="4" s="1"/>
  <c r="L2226" i="4"/>
  <c r="N2226" i="4" s="1"/>
  <c r="K2226" i="4"/>
  <c r="J2226" i="4"/>
  <c r="F2226" i="4"/>
  <c r="E2226" i="4"/>
  <c r="D2226" i="4"/>
  <c r="M2225" i="4"/>
  <c r="O2225" i="4" s="1"/>
  <c r="L2225" i="4"/>
  <c r="N2225" i="4" s="1"/>
  <c r="K2225" i="4"/>
  <c r="J2225" i="4"/>
  <c r="M2224" i="4"/>
  <c r="O2224" i="4" s="1"/>
  <c r="L2224" i="4"/>
  <c r="N2224" i="4" s="1"/>
  <c r="K2224" i="4"/>
  <c r="J2224" i="4"/>
  <c r="M2223" i="4"/>
  <c r="O2223" i="4" s="1"/>
  <c r="L2223" i="4"/>
  <c r="N2223" i="4" s="1"/>
  <c r="K2223" i="4"/>
  <c r="J2223" i="4"/>
  <c r="M2222" i="4"/>
  <c r="O2222" i="4" s="1"/>
  <c r="L2222" i="4"/>
  <c r="N2222" i="4" s="1"/>
  <c r="K2222" i="4"/>
  <c r="J2222" i="4"/>
  <c r="M2221" i="4"/>
  <c r="O2221" i="4" s="1"/>
  <c r="L2221" i="4"/>
  <c r="N2221" i="4" s="1"/>
  <c r="K2221" i="4"/>
  <c r="J2221" i="4"/>
  <c r="S2220" i="4"/>
  <c r="M2220" i="4"/>
  <c r="O2220" i="4" s="1"/>
  <c r="L2220" i="4"/>
  <c r="N2220" i="4" s="1"/>
  <c r="K2220" i="4"/>
  <c r="J2220" i="4"/>
  <c r="M2219" i="4"/>
  <c r="O2219" i="4" s="1"/>
  <c r="L2219" i="4"/>
  <c r="N2219" i="4" s="1"/>
  <c r="K2219" i="4"/>
  <c r="J2219" i="4"/>
  <c r="M2218" i="4"/>
  <c r="O2218" i="4" s="1"/>
  <c r="L2218" i="4"/>
  <c r="N2218" i="4" s="1"/>
  <c r="K2218" i="4"/>
  <c r="J2218" i="4"/>
  <c r="F2218" i="4"/>
  <c r="E2218" i="4"/>
  <c r="D2218" i="4"/>
  <c r="S2217" i="4"/>
  <c r="M2217" i="4"/>
  <c r="O2217" i="4" s="1"/>
  <c r="L2217" i="4"/>
  <c r="N2217" i="4" s="1"/>
  <c r="K2217" i="4"/>
  <c r="J2217" i="4"/>
  <c r="S2216" i="4"/>
  <c r="M2216" i="4"/>
  <c r="O2216" i="4" s="1"/>
  <c r="L2216" i="4"/>
  <c r="N2216" i="4" s="1"/>
  <c r="K2216" i="4"/>
  <c r="J2216" i="4"/>
  <c r="S2215" i="4"/>
  <c r="M2215" i="4"/>
  <c r="O2215" i="4" s="1"/>
  <c r="L2215" i="4"/>
  <c r="N2215" i="4" s="1"/>
  <c r="K2215" i="4"/>
  <c r="J2215" i="4"/>
  <c r="S2214" i="4"/>
  <c r="M2214" i="4"/>
  <c r="O2214" i="4" s="1"/>
  <c r="L2214" i="4"/>
  <c r="N2214" i="4" s="1"/>
  <c r="K2214" i="4"/>
  <c r="J2214" i="4"/>
  <c r="S2213" i="4"/>
  <c r="M2213" i="4"/>
  <c r="O2213" i="4" s="1"/>
  <c r="L2213" i="4"/>
  <c r="N2213" i="4" s="1"/>
  <c r="K2213" i="4"/>
  <c r="J2213" i="4"/>
  <c r="S2212" i="4"/>
  <c r="M2212" i="4"/>
  <c r="O2212" i="4" s="1"/>
  <c r="L2212" i="4"/>
  <c r="N2212" i="4" s="1"/>
  <c r="K2212" i="4"/>
  <c r="J2212" i="4"/>
  <c r="S2211" i="4"/>
  <c r="M2211" i="4"/>
  <c r="O2211" i="4" s="1"/>
  <c r="L2211" i="4"/>
  <c r="N2211" i="4" s="1"/>
  <c r="K2211" i="4"/>
  <c r="J2211" i="4"/>
  <c r="S2210" i="4"/>
  <c r="M2210" i="4"/>
  <c r="O2210" i="4" s="1"/>
  <c r="L2210" i="4"/>
  <c r="N2210" i="4" s="1"/>
  <c r="K2210" i="4"/>
  <c r="J2210" i="4"/>
  <c r="S2208" i="4"/>
  <c r="M2208" i="4"/>
  <c r="O2208" i="4" s="1"/>
  <c r="L2208" i="4"/>
  <c r="N2208" i="4" s="1"/>
  <c r="K2208" i="4"/>
  <c r="J2208" i="4"/>
  <c r="S2207" i="4"/>
  <c r="M2207" i="4"/>
  <c r="O2207" i="4" s="1"/>
  <c r="L2207" i="4"/>
  <c r="N2207" i="4" s="1"/>
  <c r="K2207" i="4"/>
  <c r="J2207" i="4"/>
  <c r="S2206" i="4"/>
  <c r="M2206" i="4"/>
  <c r="O2206" i="4" s="1"/>
  <c r="L2206" i="4"/>
  <c r="N2206" i="4" s="1"/>
  <c r="K2206" i="4"/>
  <c r="J2206" i="4"/>
  <c r="S2205" i="4"/>
  <c r="M2205" i="4"/>
  <c r="O2205" i="4" s="1"/>
  <c r="L2205" i="4"/>
  <c r="N2205" i="4" s="1"/>
  <c r="K2205" i="4"/>
  <c r="J2205" i="4"/>
  <c r="S2204" i="4"/>
  <c r="M2204" i="4"/>
  <c r="O2204" i="4" s="1"/>
  <c r="L2204" i="4"/>
  <c r="N2204" i="4" s="1"/>
  <c r="K2204" i="4"/>
  <c r="J2204" i="4"/>
  <c r="S2203" i="4"/>
  <c r="M2203" i="4"/>
  <c r="O2203" i="4" s="1"/>
  <c r="L2203" i="4"/>
  <c r="N2203" i="4" s="1"/>
  <c r="K2203" i="4"/>
  <c r="J2203" i="4"/>
  <c r="F2203" i="4"/>
  <c r="E2203" i="4"/>
  <c r="D2203" i="4"/>
  <c r="S2202" i="4"/>
  <c r="M2202" i="4"/>
  <c r="O2202" i="4" s="1"/>
  <c r="L2202" i="4"/>
  <c r="N2202" i="4" s="1"/>
  <c r="K2202" i="4"/>
  <c r="J2202" i="4"/>
  <c r="S2201" i="4"/>
  <c r="M2201" i="4"/>
  <c r="O2201" i="4" s="1"/>
  <c r="L2201" i="4"/>
  <c r="N2201" i="4" s="1"/>
  <c r="K2201" i="4"/>
  <c r="J2201" i="4"/>
  <c r="F2201" i="4"/>
  <c r="E2201" i="4"/>
  <c r="D2201" i="4"/>
  <c r="S2200" i="4"/>
  <c r="M2200" i="4"/>
  <c r="O2200" i="4" s="1"/>
  <c r="L2200" i="4"/>
  <c r="N2200" i="4" s="1"/>
  <c r="K2200" i="4"/>
  <c r="J2200" i="4"/>
  <c r="F2200" i="4"/>
  <c r="E2200" i="4"/>
  <c r="D2200" i="4"/>
  <c r="S2199" i="4"/>
  <c r="M2199" i="4"/>
  <c r="O2199" i="4" s="1"/>
  <c r="L2199" i="4"/>
  <c r="N2199" i="4" s="1"/>
  <c r="K2199" i="4"/>
  <c r="J2199" i="4"/>
  <c r="F2199" i="4"/>
  <c r="E2199" i="4"/>
  <c r="D2199" i="4"/>
  <c r="S2198" i="4"/>
  <c r="M2198" i="4"/>
  <c r="O2198" i="4" s="1"/>
  <c r="L2198" i="4"/>
  <c r="N2198" i="4" s="1"/>
  <c r="K2198" i="4"/>
  <c r="J2198" i="4"/>
  <c r="F2198" i="4"/>
  <c r="E2198" i="4"/>
  <c r="D2198" i="4"/>
  <c r="S2197" i="4"/>
  <c r="M2197" i="4"/>
  <c r="O2197" i="4" s="1"/>
  <c r="L2197" i="4"/>
  <c r="N2197" i="4" s="1"/>
  <c r="K2197" i="4"/>
  <c r="J2197" i="4"/>
  <c r="F2197" i="4"/>
  <c r="E2197" i="4"/>
  <c r="D2197" i="4"/>
  <c r="S2196" i="4"/>
  <c r="M2196" i="4"/>
  <c r="O2196" i="4" s="1"/>
  <c r="L2196" i="4"/>
  <c r="N2196" i="4" s="1"/>
  <c r="K2196" i="4"/>
  <c r="J2196" i="4"/>
  <c r="F2196" i="4"/>
  <c r="E2196" i="4"/>
  <c r="D2196" i="4"/>
  <c r="S2195" i="4"/>
  <c r="M2195" i="4"/>
  <c r="O2195" i="4" s="1"/>
  <c r="L2195" i="4"/>
  <c r="N2195" i="4" s="1"/>
  <c r="K2195" i="4"/>
  <c r="J2195" i="4"/>
  <c r="S2194" i="4"/>
  <c r="M2194" i="4"/>
  <c r="O2194" i="4" s="1"/>
  <c r="L2194" i="4"/>
  <c r="N2194" i="4" s="1"/>
  <c r="K2194" i="4"/>
  <c r="J2194" i="4"/>
  <c r="S2193" i="4"/>
  <c r="M2193" i="4"/>
  <c r="O2193" i="4" s="1"/>
  <c r="L2193" i="4"/>
  <c r="N2193" i="4" s="1"/>
  <c r="K2193" i="4"/>
  <c r="J2193" i="4"/>
  <c r="S2192" i="4"/>
  <c r="M2192" i="4"/>
  <c r="O2192" i="4" s="1"/>
  <c r="L2192" i="4"/>
  <c r="N2192" i="4" s="1"/>
  <c r="K2192" i="4"/>
  <c r="J2192" i="4"/>
  <c r="S2191" i="4"/>
  <c r="M2191" i="4"/>
  <c r="O2191" i="4" s="1"/>
  <c r="L2191" i="4"/>
  <c r="N2191" i="4" s="1"/>
  <c r="K2191" i="4"/>
  <c r="J2191" i="4"/>
  <c r="F2191" i="4"/>
  <c r="E2191" i="4"/>
  <c r="D2191" i="4"/>
  <c r="S2190" i="4"/>
  <c r="M2190" i="4"/>
  <c r="O2190" i="4" s="1"/>
  <c r="L2190" i="4"/>
  <c r="N2190" i="4" s="1"/>
  <c r="K2190" i="4"/>
  <c r="J2190" i="4"/>
  <c r="F2190" i="4"/>
  <c r="E2190" i="4"/>
  <c r="D2190" i="4"/>
  <c r="M2189" i="4"/>
  <c r="O2189" i="4" s="1"/>
  <c r="L2189" i="4"/>
  <c r="N2189" i="4" s="1"/>
  <c r="K2189" i="4"/>
  <c r="J2189" i="4"/>
  <c r="S2188" i="4"/>
  <c r="N2188" i="4"/>
  <c r="M2188" i="4"/>
  <c r="O2188" i="4" s="1"/>
  <c r="L2188" i="4"/>
  <c r="K2188" i="4"/>
  <c r="J2188" i="4"/>
  <c r="F2188" i="4"/>
  <c r="E2188" i="4"/>
  <c r="D2188" i="4"/>
  <c r="M2187" i="4"/>
  <c r="O2187" i="4" s="1"/>
  <c r="L2187" i="4"/>
  <c r="N2187" i="4" s="1"/>
  <c r="K2187" i="4"/>
  <c r="J2187" i="4"/>
  <c r="S2186" i="4"/>
  <c r="M2186" i="4"/>
  <c r="O2186" i="4" s="1"/>
  <c r="L2186" i="4"/>
  <c r="N2186" i="4" s="1"/>
  <c r="K2186" i="4"/>
  <c r="J2186" i="4"/>
  <c r="F2186" i="4"/>
  <c r="E2186" i="4"/>
  <c r="D2186" i="4"/>
  <c r="M2185" i="4"/>
  <c r="O2185" i="4" s="1"/>
  <c r="L2185" i="4"/>
  <c r="N2185" i="4" s="1"/>
  <c r="K2185" i="4"/>
  <c r="J2185" i="4"/>
  <c r="S2184" i="4"/>
  <c r="M2184" i="4"/>
  <c r="O2184" i="4" s="1"/>
  <c r="L2184" i="4"/>
  <c r="N2184" i="4" s="1"/>
  <c r="K2184" i="4"/>
  <c r="J2184" i="4"/>
  <c r="M2183" i="4"/>
  <c r="O2183" i="4" s="1"/>
  <c r="L2183" i="4"/>
  <c r="N2183" i="4" s="1"/>
  <c r="K2183" i="4"/>
  <c r="J2183" i="4"/>
  <c r="S2182" i="4"/>
  <c r="M2182" i="4"/>
  <c r="O2182" i="4" s="1"/>
  <c r="L2182" i="4"/>
  <c r="N2182" i="4" s="1"/>
  <c r="K2182" i="4"/>
  <c r="J2182" i="4"/>
  <c r="F2182" i="4"/>
  <c r="E2182" i="4"/>
  <c r="D2182" i="4"/>
  <c r="M2181" i="4"/>
  <c r="O2181" i="4" s="1"/>
  <c r="L2181" i="4"/>
  <c r="N2181" i="4" s="1"/>
  <c r="K2181" i="4"/>
  <c r="J2181" i="4"/>
  <c r="S2180" i="4"/>
  <c r="M2180" i="4"/>
  <c r="O2180" i="4" s="1"/>
  <c r="L2180" i="4"/>
  <c r="N2180" i="4" s="1"/>
  <c r="K2180" i="4"/>
  <c r="J2180" i="4"/>
  <c r="F2180" i="4"/>
  <c r="E2180" i="4"/>
  <c r="D2180" i="4"/>
  <c r="S2179" i="4"/>
  <c r="M2179" i="4"/>
  <c r="O2179" i="4" s="1"/>
  <c r="L2179" i="4"/>
  <c r="N2179" i="4" s="1"/>
  <c r="K2179" i="4"/>
  <c r="J2179" i="4"/>
  <c r="F2179" i="4"/>
  <c r="E2179" i="4"/>
  <c r="D2179" i="4"/>
  <c r="S2178" i="4"/>
  <c r="M2178" i="4"/>
  <c r="O2178" i="4" s="1"/>
  <c r="L2178" i="4"/>
  <c r="N2178" i="4" s="1"/>
  <c r="K2178" i="4"/>
  <c r="J2178" i="4"/>
  <c r="F2178" i="4"/>
  <c r="E2178" i="4"/>
  <c r="D2178" i="4"/>
  <c r="M2177" i="4"/>
  <c r="O2177" i="4" s="1"/>
  <c r="L2177" i="4"/>
  <c r="N2177" i="4" s="1"/>
  <c r="K2177" i="4"/>
  <c r="J2177" i="4"/>
  <c r="M2176" i="4"/>
  <c r="O2176" i="4" s="1"/>
  <c r="L2176" i="4"/>
  <c r="N2176" i="4" s="1"/>
  <c r="K2176" i="4"/>
  <c r="J2176" i="4"/>
  <c r="S2175" i="4"/>
  <c r="M2175" i="4"/>
  <c r="O2175" i="4" s="1"/>
  <c r="L2175" i="4"/>
  <c r="N2175" i="4" s="1"/>
  <c r="K2175" i="4"/>
  <c r="J2175" i="4"/>
  <c r="S2174" i="4"/>
  <c r="M2174" i="4"/>
  <c r="O2174" i="4" s="1"/>
  <c r="L2174" i="4"/>
  <c r="N2174" i="4" s="1"/>
  <c r="K2174" i="4"/>
  <c r="J2174" i="4"/>
  <c r="S2173" i="4"/>
  <c r="M2173" i="4"/>
  <c r="O2173" i="4" s="1"/>
  <c r="L2173" i="4"/>
  <c r="N2173" i="4" s="1"/>
  <c r="K2173" i="4"/>
  <c r="J2173" i="4"/>
  <c r="S2172" i="4"/>
  <c r="M2172" i="4"/>
  <c r="O2172" i="4" s="1"/>
  <c r="L2172" i="4"/>
  <c r="N2172" i="4" s="1"/>
  <c r="K2172" i="4"/>
  <c r="J2172" i="4"/>
  <c r="M2171" i="4"/>
  <c r="O2171" i="4" s="1"/>
  <c r="L2171" i="4"/>
  <c r="N2171" i="4" s="1"/>
  <c r="K2171" i="4"/>
  <c r="J2171" i="4"/>
  <c r="S2170" i="4"/>
  <c r="M2170" i="4"/>
  <c r="O2170" i="4" s="1"/>
  <c r="L2170" i="4"/>
  <c r="N2170" i="4" s="1"/>
  <c r="K2170" i="4"/>
  <c r="J2170" i="4"/>
  <c r="S2169" i="4"/>
  <c r="M2169" i="4"/>
  <c r="O2169" i="4" s="1"/>
  <c r="L2169" i="4"/>
  <c r="N2169" i="4" s="1"/>
  <c r="K2169" i="4"/>
  <c r="J2169" i="4"/>
  <c r="S2168" i="4"/>
  <c r="M2168" i="4"/>
  <c r="O2168" i="4" s="1"/>
  <c r="L2168" i="4"/>
  <c r="N2168" i="4" s="1"/>
  <c r="K2168" i="4"/>
  <c r="J2168" i="4"/>
  <c r="S2167" i="4"/>
  <c r="M2167" i="4"/>
  <c r="O2167" i="4" s="1"/>
  <c r="L2167" i="4"/>
  <c r="N2167" i="4" s="1"/>
  <c r="K2167" i="4"/>
  <c r="J2167" i="4"/>
  <c r="S2166" i="4"/>
  <c r="M2166" i="4"/>
  <c r="O2166" i="4" s="1"/>
  <c r="L2166" i="4"/>
  <c r="N2166" i="4" s="1"/>
  <c r="K2166" i="4"/>
  <c r="J2166" i="4"/>
  <c r="S2165" i="4"/>
  <c r="M2165" i="4"/>
  <c r="O2165" i="4" s="1"/>
  <c r="L2165" i="4"/>
  <c r="N2165" i="4" s="1"/>
  <c r="K2165" i="4"/>
  <c r="J2165" i="4"/>
  <c r="S2164" i="4"/>
  <c r="M2164" i="4"/>
  <c r="O2164" i="4" s="1"/>
  <c r="L2164" i="4"/>
  <c r="N2164" i="4" s="1"/>
  <c r="K2164" i="4"/>
  <c r="J2164" i="4"/>
  <c r="S2163" i="4"/>
  <c r="M2163" i="4"/>
  <c r="O2163" i="4" s="1"/>
  <c r="L2163" i="4"/>
  <c r="N2163" i="4" s="1"/>
  <c r="K2163" i="4"/>
  <c r="J2163" i="4"/>
  <c r="S2162" i="4"/>
  <c r="M2162" i="4"/>
  <c r="O2162" i="4" s="1"/>
  <c r="L2162" i="4"/>
  <c r="N2162" i="4" s="1"/>
  <c r="K2162" i="4"/>
  <c r="J2162" i="4"/>
  <c r="F2162" i="4"/>
  <c r="E2162" i="4"/>
  <c r="D2162" i="4"/>
  <c r="S2161" i="4"/>
  <c r="M2161" i="4"/>
  <c r="O2161" i="4" s="1"/>
  <c r="L2161" i="4"/>
  <c r="N2161" i="4" s="1"/>
  <c r="K2161" i="4"/>
  <c r="J2161" i="4"/>
  <c r="F2161" i="4"/>
  <c r="E2161" i="4"/>
  <c r="D2161" i="4"/>
  <c r="S2160" i="4"/>
  <c r="M2160" i="4"/>
  <c r="O2160" i="4" s="1"/>
  <c r="L2160" i="4"/>
  <c r="N2160" i="4" s="1"/>
  <c r="K2160" i="4"/>
  <c r="J2160" i="4"/>
  <c r="S2159" i="4"/>
  <c r="M2159" i="4"/>
  <c r="O2159" i="4" s="1"/>
  <c r="L2159" i="4"/>
  <c r="N2159" i="4" s="1"/>
  <c r="K2159" i="4"/>
  <c r="J2159" i="4"/>
  <c r="S2158" i="4"/>
  <c r="M2158" i="4"/>
  <c r="O2158" i="4" s="1"/>
  <c r="L2158" i="4"/>
  <c r="N2158" i="4" s="1"/>
  <c r="K2158" i="4"/>
  <c r="J2158" i="4"/>
  <c r="S2157" i="4"/>
  <c r="M2157" i="4"/>
  <c r="O2157" i="4" s="1"/>
  <c r="L2157" i="4"/>
  <c r="N2157" i="4" s="1"/>
  <c r="K2157" i="4"/>
  <c r="J2157" i="4"/>
  <c r="S2156" i="4"/>
  <c r="M2156" i="4"/>
  <c r="O2156" i="4" s="1"/>
  <c r="L2156" i="4"/>
  <c r="N2156" i="4" s="1"/>
  <c r="K2156" i="4"/>
  <c r="J2156" i="4"/>
  <c r="S2155" i="4"/>
  <c r="M2155" i="4"/>
  <c r="O2155" i="4" s="1"/>
  <c r="L2155" i="4"/>
  <c r="N2155" i="4" s="1"/>
  <c r="K2155" i="4"/>
  <c r="J2155" i="4"/>
  <c r="S2154" i="4"/>
  <c r="M2154" i="4"/>
  <c r="O2154" i="4" s="1"/>
  <c r="L2154" i="4"/>
  <c r="N2154" i="4" s="1"/>
  <c r="K2154" i="4"/>
  <c r="J2154" i="4"/>
  <c r="F2154" i="4"/>
  <c r="E2154" i="4"/>
  <c r="D2154" i="4"/>
  <c r="S2153" i="4"/>
  <c r="M2153" i="4"/>
  <c r="O2153" i="4" s="1"/>
  <c r="L2153" i="4"/>
  <c r="N2153" i="4" s="1"/>
  <c r="K2153" i="4"/>
  <c r="J2153" i="4"/>
  <c r="S2152" i="4"/>
  <c r="M2152" i="4"/>
  <c r="O2152" i="4" s="1"/>
  <c r="L2152" i="4"/>
  <c r="N2152" i="4" s="1"/>
  <c r="K2152" i="4"/>
  <c r="J2152" i="4"/>
  <c r="S2151" i="4"/>
  <c r="M2151" i="4"/>
  <c r="O2151" i="4" s="1"/>
  <c r="L2151" i="4"/>
  <c r="N2151" i="4" s="1"/>
  <c r="K2151" i="4"/>
  <c r="J2151" i="4"/>
  <c r="F2151" i="4"/>
  <c r="E2151" i="4"/>
  <c r="D2151" i="4"/>
  <c r="S2150" i="4"/>
  <c r="M2150" i="4"/>
  <c r="O2150" i="4" s="1"/>
  <c r="L2150" i="4"/>
  <c r="N2150" i="4" s="1"/>
  <c r="K2150" i="4"/>
  <c r="J2150" i="4"/>
  <c r="M2149" i="4"/>
  <c r="O2149" i="4" s="1"/>
  <c r="L2149" i="4"/>
  <c r="N2149" i="4" s="1"/>
  <c r="K2149" i="4"/>
  <c r="J2149" i="4"/>
  <c r="S2148" i="4"/>
  <c r="M2148" i="4"/>
  <c r="O2148" i="4" s="1"/>
  <c r="L2148" i="4"/>
  <c r="N2148" i="4" s="1"/>
  <c r="K2148" i="4"/>
  <c r="J2148" i="4"/>
  <c r="S2147" i="4"/>
  <c r="M2147" i="4"/>
  <c r="O2147" i="4" s="1"/>
  <c r="L2147" i="4"/>
  <c r="N2147" i="4" s="1"/>
  <c r="K2147" i="4"/>
  <c r="J2147" i="4"/>
  <c r="F2147" i="4"/>
  <c r="E2147" i="4"/>
  <c r="D2147" i="4"/>
  <c r="M2146" i="4"/>
  <c r="O2146" i="4" s="1"/>
  <c r="L2146" i="4"/>
  <c r="N2146" i="4" s="1"/>
  <c r="K2146" i="4"/>
  <c r="J2146" i="4"/>
  <c r="S2145" i="4"/>
  <c r="M2145" i="4"/>
  <c r="O2145" i="4" s="1"/>
  <c r="L2145" i="4"/>
  <c r="N2145" i="4" s="1"/>
  <c r="K2145" i="4"/>
  <c r="J2145" i="4"/>
  <c r="S2144" i="4"/>
  <c r="M2144" i="4"/>
  <c r="O2144" i="4" s="1"/>
  <c r="L2144" i="4"/>
  <c r="N2144" i="4" s="1"/>
  <c r="K2144" i="4"/>
  <c r="J2144" i="4"/>
  <c r="S2143" i="4"/>
  <c r="M2143" i="4"/>
  <c r="O2143" i="4" s="1"/>
  <c r="L2143" i="4"/>
  <c r="N2143" i="4" s="1"/>
  <c r="K2143" i="4"/>
  <c r="J2143" i="4"/>
  <c r="S2142" i="4"/>
  <c r="M2142" i="4"/>
  <c r="O2142" i="4" s="1"/>
  <c r="L2142" i="4"/>
  <c r="N2142" i="4" s="1"/>
  <c r="K2142" i="4"/>
  <c r="J2142" i="4"/>
  <c r="S2141" i="4"/>
  <c r="M2141" i="4"/>
  <c r="O2141" i="4" s="1"/>
  <c r="L2141" i="4"/>
  <c r="N2141" i="4" s="1"/>
  <c r="K2141" i="4"/>
  <c r="J2141" i="4"/>
  <c r="S2140" i="4"/>
  <c r="M2140" i="4"/>
  <c r="O2140" i="4" s="1"/>
  <c r="L2140" i="4"/>
  <c r="N2140" i="4" s="1"/>
  <c r="K2140" i="4"/>
  <c r="J2140" i="4"/>
  <c r="S2139" i="4"/>
  <c r="M2139" i="4"/>
  <c r="O2139" i="4" s="1"/>
  <c r="L2139" i="4"/>
  <c r="N2139" i="4" s="1"/>
  <c r="K2139" i="4"/>
  <c r="J2139" i="4"/>
  <c r="S2138" i="4"/>
  <c r="M2138" i="4"/>
  <c r="O2138" i="4" s="1"/>
  <c r="L2138" i="4"/>
  <c r="N2138" i="4" s="1"/>
  <c r="K2138" i="4"/>
  <c r="J2138" i="4"/>
  <c r="M2137" i="4"/>
  <c r="O2137" i="4" s="1"/>
  <c r="L2137" i="4"/>
  <c r="N2137" i="4" s="1"/>
  <c r="K2137" i="4"/>
  <c r="J2137" i="4"/>
  <c r="S2136" i="4"/>
  <c r="M2136" i="4"/>
  <c r="O2136" i="4" s="1"/>
  <c r="L2136" i="4"/>
  <c r="N2136" i="4" s="1"/>
  <c r="K2136" i="4"/>
  <c r="J2136" i="4"/>
  <c r="F2136" i="4"/>
  <c r="E2136" i="4"/>
  <c r="D2136" i="4"/>
  <c r="S2135" i="4"/>
  <c r="M2135" i="4"/>
  <c r="O2135" i="4" s="1"/>
  <c r="L2135" i="4"/>
  <c r="N2135" i="4" s="1"/>
  <c r="K2135" i="4"/>
  <c r="J2135" i="4"/>
  <c r="F2135" i="4"/>
  <c r="E2135" i="4"/>
  <c r="D2135" i="4"/>
  <c r="S2134" i="4"/>
  <c r="M2134" i="4"/>
  <c r="O2134" i="4" s="1"/>
  <c r="L2134" i="4"/>
  <c r="N2134" i="4" s="1"/>
  <c r="K2134" i="4"/>
  <c r="J2134" i="4"/>
  <c r="F2134" i="4"/>
  <c r="E2134" i="4"/>
  <c r="D2134" i="4"/>
  <c r="S2133" i="4"/>
  <c r="M2133" i="4"/>
  <c r="O2133" i="4" s="1"/>
  <c r="L2133" i="4"/>
  <c r="N2133" i="4" s="1"/>
  <c r="K2133" i="4"/>
  <c r="J2133" i="4"/>
  <c r="F2133" i="4"/>
  <c r="E2133" i="4"/>
  <c r="D2133" i="4"/>
  <c r="S2132" i="4"/>
  <c r="M2132" i="4"/>
  <c r="O2132" i="4" s="1"/>
  <c r="L2132" i="4"/>
  <c r="N2132" i="4" s="1"/>
  <c r="K2132" i="4"/>
  <c r="J2132" i="4"/>
  <c r="F2132" i="4"/>
  <c r="E2132" i="4"/>
  <c r="D2132" i="4"/>
  <c r="S2131" i="4"/>
  <c r="M2131" i="4"/>
  <c r="O2131" i="4" s="1"/>
  <c r="L2131" i="4"/>
  <c r="N2131" i="4" s="1"/>
  <c r="K2131" i="4"/>
  <c r="J2131" i="4"/>
  <c r="F2131" i="4"/>
  <c r="E2131" i="4"/>
  <c r="D2131" i="4"/>
  <c r="S2130" i="4"/>
  <c r="M2130" i="4"/>
  <c r="O2130" i="4" s="1"/>
  <c r="L2130" i="4"/>
  <c r="N2130" i="4" s="1"/>
  <c r="K2130" i="4"/>
  <c r="J2130" i="4"/>
  <c r="F2130" i="4"/>
  <c r="E2130" i="4"/>
  <c r="D2130" i="4"/>
  <c r="S2129" i="4"/>
  <c r="M2129" i="4"/>
  <c r="O2129" i="4" s="1"/>
  <c r="L2129" i="4"/>
  <c r="N2129" i="4" s="1"/>
  <c r="K2129" i="4"/>
  <c r="J2129" i="4"/>
  <c r="F2129" i="4"/>
  <c r="E2129" i="4"/>
  <c r="D2129" i="4"/>
  <c r="S2128" i="4"/>
  <c r="M2128" i="4"/>
  <c r="O2128" i="4" s="1"/>
  <c r="L2128" i="4"/>
  <c r="N2128" i="4" s="1"/>
  <c r="K2128" i="4"/>
  <c r="J2128" i="4"/>
  <c r="F2128" i="4"/>
  <c r="E2128" i="4"/>
  <c r="D2128" i="4"/>
  <c r="S2127" i="4"/>
  <c r="M2127" i="4"/>
  <c r="O2127" i="4" s="1"/>
  <c r="L2127" i="4"/>
  <c r="N2127" i="4" s="1"/>
  <c r="K2127" i="4"/>
  <c r="J2127" i="4"/>
  <c r="F2127" i="4"/>
  <c r="E2127" i="4"/>
  <c r="D2127" i="4"/>
  <c r="S2126" i="4"/>
  <c r="M2126" i="4"/>
  <c r="O2126" i="4" s="1"/>
  <c r="L2126" i="4"/>
  <c r="N2126" i="4" s="1"/>
  <c r="K2126" i="4"/>
  <c r="J2126" i="4"/>
  <c r="F2126" i="4"/>
  <c r="E2126" i="4"/>
  <c r="D2126" i="4"/>
  <c r="S2125" i="4"/>
  <c r="M2125" i="4"/>
  <c r="O2125" i="4" s="1"/>
  <c r="L2125" i="4"/>
  <c r="N2125" i="4" s="1"/>
  <c r="K2125" i="4"/>
  <c r="J2125" i="4"/>
  <c r="S2124" i="4"/>
  <c r="M2124" i="4"/>
  <c r="O2124" i="4" s="1"/>
  <c r="L2124" i="4"/>
  <c r="N2124" i="4" s="1"/>
  <c r="K2124" i="4"/>
  <c r="J2124" i="4"/>
  <c r="S2123" i="4"/>
  <c r="M2123" i="4"/>
  <c r="O2123" i="4" s="1"/>
  <c r="L2123" i="4"/>
  <c r="N2123" i="4" s="1"/>
  <c r="K2123" i="4"/>
  <c r="J2123" i="4"/>
  <c r="S2122" i="4"/>
  <c r="M2122" i="4"/>
  <c r="O2122" i="4" s="1"/>
  <c r="L2122" i="4"/>
  <c r="N2122" i="4" s="1"/>
  <c r="K2122" i="4"/>
  <c r="J2122" i="4"/>
  <c r="S2121" i="4"/>
  <c r="M2121" i="4"/>
  <c r="O2121" i="4" s="1"/>
  <c r="L2121" i="4"/>
  <c r="N2121" i="4" s="1"/>
  <c r="K2121" i="4"/>
  <c r="J2121" i="4"/>
  <c r="S2120" i="4"/>
  <c r="M2120" i="4"/>
  <c r="O2120" i="4" s="1"/>
  <c r="L2120" i="4"/>
  <c r="N2120" i="4" s="1"/>
  <c r="K2120" i="4"/>
  <c r="J2120" i="4"/>
  <c r="F2120" i="4"/>
  <c r="E2120" i="4"/>
  <c r="D2120" i="4"/>
  <c r="S2119" i="4"/>
  <c r="M2119" i="4"/>
  <c r="O2119" i="4" s="1"/>
  <c r="L2119" i="4"/>
  <c r="N2119" i="4" s="1"/>
  <c r="K2119" i="4"/>
  <c r="J2119" i="4"/>
  <c r="F2119" i="4"/>
  <c r="E2119" i="4"/>
  <c r="D2119" i="4"/>
  <c r="S2118" i="4"/>
  <c r="M2118" i="4"/>
  <c r="O2118" i="4" s="1"/>
  <c r="L2118" i="4"/>
  <c r="N2118" i="4" s="1"/>
  <c r="K2118" i="4"/>
  <c r="J2118" i="4"/>
  <c r="F2118" i="4"/>
  <c r="E2118" i="4"/>
  <c r="D2118" i="4"/>
  <c r="S2117" i="4"/>
  <c r="M2117" i="4"/>
  <c r="O2117" i="4" s="1"/>
  <c r="L2117" i="4"/>
  <c r="N2117" i="4" s="1"/>
  <c r="K2117" i="4"/>
  <c r="J2117" i="4"/>
  <c r="S2116" i="4"/>
  <c r="M2116" i="4"/>
  <c r="O2116" i="4" s="1"/>
  <c r="L2116" i="4"/>
  <c r="N2116" i="4" s="1"/>
  <c r="K2116" i="4"/>
  <c r="J2116" i="4"/>
  <c r="S2115" i="4"/>
  <c r="M2115" i="4"/>
  <c r="O2115" i="4" s="1"/>
  <c r="L2115" i="4"/>
  <c r="N2115" i="4" s="1"/>
  <c r="K2115" i="4"/>
  <c r="J2115" i="4"/>
  <c r="F2115" i="4"/>
  <c r="E2115" i="4"/>
  <c r="D2115" i="4"/>
  <c r="S2114" i="4"/>
  <c r="M2114" i="4"/>
  <c r="O2114" i="4" s="1"/>
  <c r="L2114" i="4"/>
  <c r="N2114" i="4" s="1"/>
  <c r="K2114" i="4"/>
  <c r="J2114" i="4"/>
  <c r="F2114" i="4"/>
  <c r="E2114" i="4"/>
  <c r="D2114" i="4"/>
  <c r="S2113" i="4"/>
  <c r="M2113" i="4"/>
  <c r="O2113" i="4" s="1"/>
  <c r="L2113" i="4"/>
  <c r="N2113" i="4" s="1"/>
  <c r="K2113" i="4"/>
  <c r="J2113" i="4"/>
  <c r="F2113" i="4"/>
  <c r="E2113" i="4"/>
  <c r="D2113" i="4"/>
  <c r="S2112" i="4"/>
  <c r="M2112" i="4"/>
  <c r="O2112" i="4" s="1"/>
  <c r="L2112" i="4"/>
  <c r="N2112" i="4" s="1"/>
  <c r="K2112" i="4"/>
  <c r="J2112" i="4"/>
  <c r="F2112" i="4"/>
  <c r="E2112" i="4"/>
  <c r="D2112" i="4"/>
  <c r="S2111" i="4"/>
  <c r="M2111" i="4"/>
  <c r="O2111" i="4" s="1"/>
  <c r="L2111" i="4"/>
  <c r="N2111" i="4" s="1"/>
  <c r="K2111" i="4"/>
  <c r="J2111" i="4"/>
  <c r="F2111" i="4"/>
  <c r="E2111" i="4"/>
  <c r="D2111" i="4"/>
  <c r="S2110" i="4"/>
  <c r="M2110" i="4"/>
  <c r="O2110" i="4" s="1"/>
  <c r="L2110" i="4"/>
  <c r="N2110" i="4" s="1"/>
  <c r="K2110" i="4"/>
  <c r="J2110" i="4"/>
  <c r="F2110" i="4"/>
  <c r="E2110" i="4"/>
  <c r="D2110" i="4"/>
  <c r="S2109" i="4"/>
  <c r="M2109" i="4"/>
  <c r="O2109" i="4" s="1"/>
  <c r="L2109" i="4"/>
  <c r="N2109" i="4" s="1"/>
  <c r="K2109" i="4"/>
  <c r="J2109" i="4"/>
  <c r="S2108" i="4"/>
  <c r="M2108" i="4"/>
  <c r="O2108" i="4" s="1"/>
  <c r="L2108" i="4"/>
  <c r="N2108" i="4" s="1"/>
  <c r="K2108" i="4"/>
  <c r="J2108" i="4"/>
  <c r="S2107" i="4"/>
  <c r="M2107" i="4"/>
  <c r="O2107" i="4" s="1"/>
  <c r="L2107" i="4"/>
  <c r="N2107" i="4" s="1"/>
  <c r="K2107" i="4"/>
  <c r="J2107" i="4"/>
  <c r="S2106" i="4"/>
  <c r="M2106" i="4"/>
  <c r="O2106" i="4" s="1"/>
  <c r="L2106" i="4"/>
  <c r="N2106" i="4" s="1"/>
  <c r="K2106" i="4"/>
  <c r="J2106" i="4"/>
  <c r="S2105" i="4"/>
  <c r="M2105" i="4"/>
  <c r="O2105" i="4" s="1"/>
  <c r="L2105" i="4"/>
  <c r="N2105" i="4" s="1"/>
  <c r="K2105" i="4"/>
  <c r="J2105" i="4"/>
  <c r="S2104" i="4"/>
  <c r="M2104" i="4"/>
  <c r="O2104" i="4" s="1"/>
  <c r="L2104" i="4"/>
  <c r="N2104" i="4" s="1"/>
  <c r="K2104" i="4"/>
  <c r="J2104" i="4"/>
  <c r="S2103" i="4"/>
  <c r="M2103" i="4"/>
  <c r="O2103" i="4" s="1"/>
  <c r="L2103" i="4"/>
  <c r="N2103" i="4" s="1"/>
  <c r="K2103" i="4"/>
  <c r="J2103" i="4"/>
  <c r="S2102" i="4"/>
  <c r="M2102" i="4"/>
  <c r="O2102" i="4" s="1"/>
  <c r="L2102" i="4"/>
  <c r="N2102" i="4" s="1"/>
  <c r="K2102" i="4"/>
  <c r="J2102" i="4"/>
  <c r="S2101" i="4"/>
  <c r="M2101" i="4"/>
  <c r="O2101" i="4" s="1"/>
  <c r="L2101" i="4"/>
  <c r="N2101" i="4" s="1"/>
  <c r="K2101" i="4"/>
  <c r="J2101" i="4"/>
  <c r="S2100" i="4"/>
  <c r="M2100" i="4"/>
  <c r="O2100" i="4" s="1"/>
  <c r="L2100" i="4"/>
  <c r="N2100" i="4" s="1"/>
  <c r="K2100" i="4"/>
  <c r="J2100" i="4"/>
  <c r="S2099" i="4"/>
  <c r="M2099" i="4"/>
  <c r="O2099" i="4" s="1"/>
  <c r="L2099" i="4"/>
  <c r="N2099" i="4" s="1"/>
  <c r="K2099" i="4"/>
  <c r="J2099" i="4"/>
  <c r="S2098" i="4"/>
  <c r="M2098" i="4"/>
  <c r="O2098" i="4" s="1"/>
  <c r="L2098" i="4"/>
  <c r="N2098" i="4" s="1"/>
  <c r="K2098" i="4"/>
  <c r="J2098" i="4"/>
  <c r="F2098" i="4"/>
  <c r="E2098" i="4"/>
  <c r="D2098" i="4"/>
  <c r="S2097" i="4"/>
  <c r="M2097" i="4"/>
  <c r="O2097" i="4" s="1"/>
  <c r="L2097" i="4"/>
  <c r="N2097" i="4" s="1"/>
  <c r="K2097" i="4"/>
  <c r="J2097" i="4"/>
  <c r="S2096" i="4"/>
  <c r="M2096" i="4"/>
  <c r="O2096" i="4" s="1"/>
  <c r="L2096" i="4"/>
  <c r="N2096" i="4" s="1"/>
  <c r="K2096" i="4"/>
  <c r="J2096" i="4"/>
  <c r="S2095" i="4"/>
  <c r="M2095" i="4"/>
  <c r="O2095" i="4" s="1"/>
  <c r="L2095" i="4"/>
  <c r="N2095" i="4" s="1"/>
  <c r="K2095" i="4"/>
  <c r="J2095" i="4"/>
  <c r="S2094" i="4"/>
  <c r="M2094" i="4"/>
  <c r="O2094" i="4" s="1"/>
  <c r="L2094" i="4"/>
  <c r="N2094" i="4" s="1"/>
  <c r="K2094" i="4"/>
  <c r="J2094" i="4"/>
  <c r="F2094" i="4"/>
  <c r="E2094" i="4"/>
  <c r="D2094" i="4"/>
  <c r="M2093" i="4"/>
  <c r="O2093" i="4" s="1"/>
  <c r="L2093" i="4"/>
  <c r="N2093" i="4" s="1"/>
  <c r="K2093" i="4"/>
  <c r="J2093" i="4"/>
  <c r="M2092" i="4"/>
  <c r="O2092" i="4" s="1"/>
  <c r="L2092" i="4"/>
  <c r="N2092" i="4" s="1"/>
  <c r="K2092" i="4"/>
  <c r="J2092" i="4"/>
  <c r="M2091" i="4"/>
  <c r="O2091" i="4" s="1"/>
  <c r="L2091" i="4"/>
  <c r="N2091" i="4" s="1"/>
  <c r="K2091" i="4"/>
  <c r="J2091" i="4"/>
  <c r="S2090" i="4"/>
  <c r="M2090" i="4"/>
  <c r="O2090" i="4" s="1"/>
  <c r="L2090" i="4"/>
  <c r="N2090" i="4" s="1"/>
  <c r="K2090" i="4"/>
  <c r="J2090" i="4"/>
  <c r="S2089" i="4"/>
  <c r="M2089" i="4"/>
  <c r="O2089" i="4" s="1"/>
  <c r="L2089" i="4"/>
  <c r="N2089" i="4" s="1"/>
  <c r="K2089" i="4"/>
  <c r="J2089" i="4"/>
  <c r="F2089" i="4"/>
  <c r="E2089" i="4"/>
  <c r="D2089" i="4"/>
  <c r="S2088" i="4"/>
  <c r="M2088" i="4"/>
  <c r="O2088" i="4" s="1"/>
  <c r="L2088" i="4"/>
  <c r="N2088" i="4" s="1"/>
  <c r="K2088" i="4"/>
  <c r="J2088" i="4"/>
  <c r="F2088" i="4"/>
  <c r="E2088" i="4"/>
  <c r="D2088" i="4"/>
  <c r="S2087" i="4"/>
  <c r="M2087" i="4"/>
  <c r="O2087" i="4" s="1"/>
  <c r="L2087" i="4"/>
  <c r="N2087" i="4" s="1"/>
  <c r="K2087" i="4"/>
  <c r="J2087" i="4"/>
  <c r="S2086" i="4"/>
  <c r="M2086" i="4"/>
  <c r="O2086" i="4" s="1"/>
  <c r="L2086" i="4"/>
  <c r="N2086" i="4" s="1"/>
  <c r="K2086" i="4"/>
  <c r="J2086" i="4"/>
  <c r="S2085" i="4"/>
  <c r="M2085" i="4"/>
  <c r="O2085" i="4" s="1"/>
  <c r="L2085" i="4"/>
  <c r="N2085" i="4" s="1"/>
  <c r="K2085" i="4"/>
  <c r="J2085" i="4"/>
  <c r="S2084" i="4"/>
  <c r="M2084" i="4"/>
  <c r="O2084" i="4" s="1"/>
  <c r="L2084" i="4"/>
  <c r="N2084" i="4" s="1"/>
  <c r="K2084" i="4"/>
  <c r="J2084" i="4"/>
  <c r="M2083" i="4"/>
  <c r="O2083" i="4" s="1"/>
  <c r="L2083" i="4"/>
  <c r="N2083" i="4" s="1"/>
  <c r="K2083" i="4"/>
  <c r="J2083" i="4"/>
  <c r="S2082" i="4"/>
  <c r="M2082" i="4"/>
  <c r="O2082" i="4" s="1"/>
  <c r="L2082" i="4"/>
  <c r="N2082" i="4" s="1"/>
  <c r="K2082" i="4"/>
  <c r="J2082" i="4"/>
  <c r="S2081" i="4"/>
  <c r="M2081" i="4"/>
  <c r="O2081" i="4" s="1"/>
  <c r="L2081" i="4"/>
  <c r="N2081" i="4" s="1"/>
  <c r="K2081" i="4"/>
  <c r="J2081" i="4"/>
  <c r="S2080" i="4"/>
  <c r="M2080" i="4"/>
  <c r="O2080" i="4" s="1"/>
  <c r="L2080" i="4"/>
  <c r="N2080" i="4" s="1"/>
  <c r="K2080" i="4"/>
  <c r="J2080" i="4"/>
  <c r="S2079" i="4"/>
  <c r="M2079" i="4"/>
  <c r="O2079" i="4" s="1"/>
  <c r="L2079" i="4"/>
  <c r="N2079" i="4" s="1"/>
  <c r="K2079" i="4"/>
  <c r="J2079" i="4"/>
  <c r="S2078" i="4"/>
  <c r="M2078" i="4"/>
  <c r="O2078" i="4" s="1"/>
  <c r="L2078" i="4"/>
  <c r="N2078" i="4" s="1"/>
  <c r="K2078" i="4"/>
  <c r="J2078" i="4"/>
  <c r="F2078" i="4"/>
  <c r="E2078" i="4"/>
  <c r="D2078" i="4"/>
  <c r="S2077" i="4"/>
  <c r="M2077" i="4"/>
  <c r="O2077" i="4" s="1"/>
  <c r="L2077" i="4"/>
  <c r="N2077" i="4" s="1"/>
  <c r="K2077" i="4"/>
  <c r="J2077" i="4"/>
  <c r="S2076" i="4"/>
  <c r="M2076" i="4"/>
  <c r="O2076" i="4" s="1"/>
  <c r="L2076" i="4"/>
  <c r="N2076" i="4" s="1"/>
  <c r="K2076" i="4"/>
  <c r="J2076" i="4"/>
  <c r="F2076" i="4"/>
  <c r="E2076" i="4"/>
  <c r="D2076" i="4"/>
  <c r="S2075" i="4"/>
  <c r="M2075" i="4"/>
  <c r="O2075" i="4" s="1"/>
  <c r="L2075" i="4"/>
  <c r="N2075" i="4" s="1"/>
  <c r="K2075" i="4"/>
  <c r="J2075" i="4"/>
  <c r="F2075" i="4"/>
  <c r="E2075" i="4"/>
  <c r="D2075" i="4"/>
  <c r="S2074" i="4"/>
  <c r="M2074" i="4"/>
  <c r="O2074" i="4" s="1"/>
  <c r="L2074" i="4"/>
  <c r="N2074" i="4" s="1"/>
  <c r="K2074" i="4"/>
  <c r="J2074" i="4"/>
  <c r="F2074" i="4"/>
  <c r="E2074" i="4"/>
  <c r="D2074" i="4"/>
  <c r="S2073" i="4"/>
  <c r="M2073" i="4"/>
  <c r="O2073" i="4" s="1"/>
  <c r="L2073" i="4"/>
  <c r="N2073" i="4" s="1"/>
  <c r="K2073" i="4"/>
  <c r="J2073" i="4"/>
  <c r="S2072" i="4"/>
  <c r="M2072" i="4"/>
  <c r="O2072" i="4" s="1"/>
  <c r="L2072" i="4"/>
  <c r="N2072" i="4" s="1"/>
  <c r="K2072" i="4"/>
  <c r="J2072" i="4"/>
  <c r="S2071" i="4"/>
  <c r="M2071" i="4"/>
  <c r="O2071" i="4" s="1"/>
  <c r="L2071" i="4"/>
  <c r="N2071" i="4" s="1"/>
  <c r="K2071" i="4"/>
  <c r="J2071" i="4"/>
  <c r="S2070" i="4"/>
  <c r="M2070" i="4"/>
  <c r="O2070" i="4" s="1"/>
  <c r="L2070" i="4"/>
  <c r="N2070" i="4" s="1"/>
  <c r="K2070" i="4"/>
  <c r="J2070" i="4"/>
  <c r="S2069" i="4"/>
  <c r="M2069" i="4"/>
  <c r="O2069" i="4" s="1"/>
  <c r="L2069" i="4"/>
  <c r="N2069" i="4" s="1"/>
  <c r="K2069" i="4"/>
  <c r="J2069" i="4"/>
  <c r="S2068" i="4"/>
  <c r="M2068" i="4"/>
  <c r="O2068" i="4" s="1"/>
  <c r="L2068" i="4"/>
  <c r="N2068" i="4" s="1"/>
  <c r="K2068" i="4"/>
  <c r="J2068" i="4"/>
  <c r="S2067" i="4"/>
  <c r="M2067" i="4"/>
  <c r="O2067" i="4" s="1"/>
  <c r="L2067" i="4"/>
  <c r="N2067" i="4" s="1"/>
  <c r="K2067" i="4"/>
  <c r="J2067" i="4"/>
  <c r="S2066" i="4"/>
  <c r="M2066" i="4"/>
  <c r="O2066" i="4" s="1"/>
  <c r="L2066" i="4"/>
  <c r="N2066" i="4" s="1"/>
  <c r="K2066" i="4"/>
  <c r="J2066" i="4"/>
  <c r="F2066" i="4"/>
  <c r="E2066" i="4"/>
  <c r="D2066" i="4"/>
  <c r="S2065" i="4"/>
  <c r="M2065" i="4"/>
  <c r="O2065" i="4" s="1"/>
  <c r="L2065" i="4"/>
  <c r="N2065" i="4" s="1"/>
  <c r="K2065" i="4"/>
  <c r="J2065" i="4"/>
  <c r="S2064" i="4"/>
  <c r="M2064" i="4"/>
  <c r="O2064" i="4" s="1"/>
  <c r="L2064" i="4"/>
  <c r="N2064" i="4" s="1"/>
  <c r="K2064" i="4"/>
  <c r="J2064" i="4"/>
  <c r="S2063" i="4"/>
  <c r="M2063" i="4"/>
  <c r="O2063" i="4" s="1"/>
  <c r="L2063" i="4"/>
  <c r="N2063" i="4" s="1"/>
  <c r="K2063" i="4"/>
  <c r="J2063" i="4"/>
  <c r="M2062" i="4"/>
  <c r="O2062" i="4" s="1"/>
  <c r="L2062" i="4"/>
  <c r="N2062" i="4" s="1"/>
  <c r="K2062" i="4"/>
  <c r="J2062" i="4"/>
  <c r="F2062" i="4"/>
  <c r="E2062" i="4"/>
  <c r="D2062" i="4"/>
  <c r="S2061" i="4"/>
  <c r="N2061" i="4"/>
  <c r="M2061" i="4"/>
  <c r="O2061" i="4" s="1"/>
  <c r="L2061" i="4"/>
  <c r="K2061" i="4"/>
  <c r="J2061" i="4"/>
  <c r="F2061" i="4"/>
  <c r="E2061" i="4"/>
  <c r="D2061" i="4"/>
  <c r="S2060" i="4"/>
  <c r="M2060" i="4"/>
  <c r="O2060" i="4" s="1"/>
  <c r="L2060" i="4"/>
  <c r="N2060" i="4" s="1"/>
  <c r="K2060" i="4"/>
  <c r="J2060" i="4"/>
  <c r="S2059" i="4"/>
  <c r="M2059" i="4"/>
  <c r="O2059" i="4" s="1"/>
  <c r="L2059" i="4"/>
  <c r="N2059" i="4" s="1"/>
  <c r="K2059" i="4"/>
  <c r="J2059" i="4"/>
  <c r="S2058" i="4"/>
  <c r="M2058" i="4"/>
  <c r="O2058" i="4" s="1"/>
  <c r="L2058" i="4"/>
  <c r="N2058" i="4" s="1"/>
  <c r="K2058" i="4"/>
  <c r="J2058" i="4"/>
  <c r="S2057" i="4"/>
  <c r="M2057" i="4"/>
  <c r="O2057" i="4" s="1"/>
  <c r="L2057" i="4"/>
  <c r="N2057" i="4" s="1"/>
  <c r="K2057" i="4"/>
  <c r="J2057" i="4"/>
  <c r="S2056" i="4"/>
  <c r="M2056" i="4"/>
  <c r="O2056" i="4" s="1"/>
  <c r="L2056" i="4"/>
  <c r="N2056" i="4" s="1"/>
  <c r="K2056" i="4"/>
  <c r="J2056" i="4"/>
  <c r="S2055" i="4"/>
  <c r="M2055" i="4"/>
  <c r="O2055" i="4" s="1"/>
  <c r="L2055" i="4"/>
  <c r="N2055" i="4" s="1"/>
  <c r="K2055" i="4"/>
  <c r="J2055" i="4"/>
  <c r="S2054" i="4"/>
  <c r="M2054" i="4"/>
  <c r="O2054" i="4" s="1"/>
  <c r="L2054" i="4"/>
  <c r="N2054" i="4" s="1"/>
  <c r="K2054" i="4"/>
  <c r="J2054" i="4"/>
  <c r="F2054" i="4"/>
  <c r="E2054" i="4"/>
  <c r="D2054" i="4"/>
  <c r="S2053" i="4"/>
  <c r="M2053" i="4"/>
  <c r="O2053" i="4" s="1"/>
  <c r="L2053" i="4"/>
  <c r="N2053" i="4" s="1"/>
  <c r="K2053" i="4"/>
  <c r="J2053" i="4"/>
  <c r="S2052" i="4"/>
  <c r="M2052" i="4"/>
  <c r="O2052" i="4" s="1"/>
  <c r="L2052" i="4"/>
  <c r="N2052" i="4" s="1"/>
  <c r="K2052" i="4"/>
  <c r="J2052" i="4"/>
  <c r="S2051" i="4"/>
  <c r="M2051" i="4"/>
  <c r="O2051" i="4" s="1"/>
  <c r="L2051" i="4"/>
  <c r="N2051" i="4" s="1"/>
  <c r="K2051" i="4"/>
  <c r="J2051" i="4"/>
  <c r="P2050" i="4"/>
  <c r="D2050" i="4" s="1"/>
  <c r="M2050" i="4"/>
  <c r="O2050" i="4" s="1"/>
  <c r="L2050" i="4"/>
  <c r="N2050" i="4" s="1"/>
  <c r="K2050" i="4"/>
  <c r="J2050" i="4"/>
  <c r="F2050" i="4"/>
  <c r="E2050" i="4"/>
  <c r="S2049" i="4"/>
  <c r="M2049" i="4"/>
  <c r="O2049" i="4" s="1"/>
  <c r="L2049" i="4"/>
  <c r="N2049" i="4" s="1"/>
  <c r="K2049" i="4"/>
  <c r="J2049" i="4"/>
  <c r="S2048" i="4"/>
  <c r="M2048" i="4"/>
  <c r="O2048" i="4" s="1"/>
  <c r="L2048" i="4"/>
  <c r="N2048" i="4" s="1"/>
  <c r="K2048" i="4"/>
  <c r="J2048" i="4"/>
  <c r="S2047" i="4"/>
  <c r="M2047" i="4"/>
  <c r="O2047" i="4" s="1"/>
  <c r="L2047" i="4"/>
  <c r="N2047" i="4" s="1"/>
  <c r="K2047" i="4"/>
  <c r="J2047" i="4"/>
  <c r="F2047" i="4"/>
  <c r="E2047" i="4"/>
  <c r="D2047" i="4"/>
  <c r="S2046" i="4"/>
  <c r="M2046" i="4"/>
  <c r="O2046" i="4" s="1"/>
  <c r="L2046" i="4"/>
  <c r="N2046" i="4" s="1"/>
  <c r="K2046" i="4"/>
  <c r="J2046" i="4"/>
  <c r="F2046" i="4"/>
  <c r="E2046" i="4"/>
  <c r="D2046" i="4"/>
  <c r="S2045" i="4"/>
  <c r="M2045" i="4"/>
  <c r="O2045" i="4" s="1"/>
  <c r="L2045" i="4"/>
  <c r="N2045" i="4" s="1"/>
  <c r="K2045" i="4"/>
  <c r="J2045" i="4"/>
  <c r="F2045" i="4"/>
  <c r="E2045" i="4"/>
  <c r="D2045" i="4"/>
  <c r="S2044" i="4"/>
  <c r="M2044" i="4"/>
  <c r="O2044" i="4" s="1"/>
  <c r="L2044" i="4"/>
  <c r="N2044" i="4" s="1"/>
  <c r="K2044" i="4"/>
  <c r="J2044" i="4"/>
  <c r="F2044" i="4"/>
  <c r="E2044" i="4"/>
  <c r="D2044" i="4"/>
  <c r="S2043" i="4"/>
  <c r="M2043" i="4"/>
  <c r="O2043" i="4" s="1"/>
  <c r="L2043" i="4"/>
  <c r="N2043" i="4" s="1"/>
  <c r="K2043" i="4"/>
  <c r="J2043" i="4"/>
  <c r="F2043" i="4"/>
  <c r="E2043" i="4"/>
  <c r="D2043" i="4"/>
  <c r="S2042" i="4"/>
  <c r="M2042" i="4"/>
  <c r="O2042" i="4" s="1"/>
  <c r="L2042" i="4"/>
  <c r="N2042" i="4" s="1"/>
  <c r="K2042" i="4"/>
  <c r="J2042" i="4"/>
  <c r="F2042" i="4"/>
  <c r="E2042" i="4"/>
  <c r="D2042" i="4"/>
  <c r="S2041" i="4"/>
  <c r="M2041" i="4"/>
  <c r="O2041" i="4" s="1"/>
  <c r="L2041" i="4"/>
  <c r="N2041" i="4" s="1"/>
  <c r="K2041" i="4"/>
  <c r="J2041" i="4"/>
  <c r="F2041" i="4"/>
  <c r="E2041" i="4"/>
  <c r="D2041" i="4"/>
  <c r="S2040" i="4"/>
  <c r="M2040" i="4"/>
  <c r="O2040" i="4" s="1"/>
  <c r="L2040" i="4"/>
  <c r="N2040" i="4" s="1"/>
  <c r="K2040" i="4"/>
  <c r="J2040" i="4"/>
  <c r="S2039" i="4"/>
  <c r="M2039" i="4"/>
  <c r="O2039" i="4" s="1"/>
  <c r="L2039" i="4"/>
  <c r="N2039" i="4" s="1"/>
  <c r="K2039" i="4"/>
  <c r="J2039" i="4"/>
  <c r="S2038" i="4"/>
  <c r="M2038" i="4"/>
  <c r="O2038" i="4" s="1"/>
  <c r="L2038" i="4"/>
  <c r="N2038" i="4" s="1"/>
  <c r="K2038" i="4"/>
  <c r="J2038" i="4"/>
  <c r="S2037" i="4"/>
  <c r="M2037" i="4"/>
  <c r="O2037" i="4" s="1"/>
  <c r="L2037" i="4"/>
  <c r="N2037" i="4" s="1"/>
  <c r="K2037" i="4"/>
  <c r="J2037" i="4"/>
  <c r="S2036" i="4"/>
  <c r="M2036" i="4"/>
  <c r="O2036" i="4" s="1"/>
  <c r="L2036" i="4"/>
  <c r="N2036" i="4" s="1"/>
  <c r="K2036" i="4"/>
  <c r="J2036" i="4"/>
  <c r="S2035" i="4"/>
  <c r="M2035" i="4"/>
  <c r="O2035" i="4" s="1"/>
  <c r="L2035" i="4"/>
  <c r="N2035" i="4" s="1"/>
  <c r="K2035" i="4"/>
  <c r="J2035" i="4"/>
  <c r="F2035" i="4"/>
  <c r="E2035" i="4"/>
  <c r="D2035" i="4"/>
  <c r="S2034" i="4"/>
  <c r="M2034" i="4"/>
  <c r="O2034" i="4" s="1"/>
  <c r="L2034" i="4"/>
  <c r="N2034" i="4" s="1"/>
  <c r="K2034" i="4"/>
  <c r="J2034" i="4"/>
  <c r="F2034" i="4"/>
  <c r="E2034" i="4"/>
  <c r="D2034" i="4"/>
  <c r="S2033" i="4"/>
  <c r="M2033" i="4"/>
  <c r="O2033" i="4" s="1"/>
  <c r="L2033" i="4"/>
  <c r="N2033" i="4" s="1"/>
  <c r="K2033" i="4"/>
  <c r="J2033" i="4"/>
  <c r="S2032" i="4"/>
  <c r="M2032" i="4"/>
  <c r="O2032" i="4" s="1"/>
  <c r="L2032" i="4"/>
  <c r="N2032" i="4" s="1"/>
  <c r="K2032" i="4"/>
  <c r="J2032" i="4"/>
  <c r="S2031" i="4"/>
  <c r="M2031" i="4"/>
  <c r="O2031" i="4" s="1"/>
  <c r="L2031" i="4"/>
  <c r="N2031" i="4" s="1"/>
  <c r="K2031" i="4"/>
  <c r="J2031" i="4"/>
  <c r="S2030" i="4"/>
  <c r="M2030" i="4"/>
  <c r="O2030" i="4" s="1"/>
  <c r="L2030" i="4"/>
  <c r="N2030" i="4" s="1"/>
  <c r="K2030" i="4"/>
  <c r="J2030" i="4"/>
  <c r="F2030" i="4"/>
  <c r="E2030" i="4"/>
  <c r="D2030" i="4"/>
  <c r="S2029" i="4"/>
  <c r="M2029" i="4"/>
  <c r="O2029" i="4" s="1"/>
  <c r="L2029" i="4"/>
  <c r="N2029" i="4" s="1"/>
  <c r="K2029" i="4"/>
  <c r="J2029" i="4"/>
  <c r="F2029" i="4"/>
  <c r="E2029" i="4"/>
  <c r="D2029" i="4"/>
  <c r="S2028" i="4"/>
  <c r="M2028" i="4"/>
  <c r="O2028" i="4" s="1"/>
  <c r="L2028" i="4"/>
  <c r="N2028" i="4" s="1"/>
  <c r="K2028" i="4"/>
  <c r="J2028" i="4"/>
  <c r="F2028" i="4"/>
  <c r="E2028" i="4"/>
  <c r="D2028" i="4"/>
  <c r="S2027" i="4"/>
  <c r="M2027" i="4"/>
  <c r="O2027" i="4" s="1"/>
  <c r="L2027" i="4"/>
  <c r="N2027" i="4" s="1"/>
  <c r="K2027" i="4"/>
  <c r="J2027" i="4"/>
  <c r="F2027" i="4"/>
  <c r="E2027" i="4"/>
  <c r="D2027" i="4"/>
  <c r="S2026" i="4"/>
  <c r="M2026" i="4"/>
  <c r="O2026" i="4" s="1"/>
  <c r="L2026" i="4"/>
  <c r="N2026" i="4" s="1"/>
  <c r="K2026" i="4"/>
  <c r="J2026" i="4"/>
  <c r="F2026" i="4"/>
  <c r="E2026" i="4"/>
  <c r="D2026" i="4"/>
  <c r="S2025" i="4"/>
  <c r="M2025" i="4"/>
  <c r="O2025" i="4" s="1"/>
  <c r="L2025" i="4"/>
  <c r="N2025" i="4" s="1"/>
  <c r="K2025" i="4"/>
  <c r="J2025" i="4"/>
  <c r="F2025" i="4"/>
  <c r="E2025" i="4"/>
  <c r="D2025" i="4"/>
  <c r="M2024" i="4"/>
  <c r="O2024" i="4" s="1"/>
  <c r="L2024" i="4"/>
  <c r="N2024" i="4" s="1"/>
  <c r="K2024" i="4"/>
  <c r="J2024" i="4"/>
  <c r="F2024" i="4"/>
  <c r="E2024" i="4"/>
  <c r="D2024" i="4"/>
  <c r="M2023" i="4"/>
  <c r="O2023" i="4" s="1"/>
  <c r="L2023" i="4"/>
  <c r="N2023" i="4" s="1"/>
  <c r="K2023" i="4"/>
  <c r="J2023" i="4"/>
  <c r="S2022" i="4"/>
  <c r="M2022" i="4"/>
  <c r="O2022" i="4" s="1"/>
  <c r="L2022" i="4"/>
  <c r="N2022" i="4" s="1"/>
  <c r="K2022" i="4"/>
  <c r="J2022" i="4"/>
  <c r="F2022" i="4"/>
  <c r="E2022" i="4"/>
  <c r="D2022" i="4"/>
  <c r="S2021" i="4"/>
  <c r="M2021" i="4"/>
  <c r="O2021" i="4" s="1"/>
  <c r="L2021" i="4"/>
  <c r="N2021" i="4" s="1"/>
  <c r="K2021" i="4"/>
  <c r="J2021" i="4"/>
  <c r="S2020" i="4"/>
  <c r="M2020" i="4"/>
  <c r="O2020" i="4" s="1"/>
  <c r="L2020" i="4"/>
  <c r="N2020" i="4" s="1"/>
  <c r="K2020" i="4"/>
  <c r="J2020" i="4"/>
  <c r="S2019" i="4"/>
  <c r="M2019" i="4"/>
  <c r="O2019" i="4" s="1"/>
  <c r="L2019" i="4"/>
  <c r="N2019" i="4" s="1"/>
  <c r="K2019" i="4"/>
  <c r="J2019" i="4"/>
  <c r="S2018" i="4"/>
  <c r="M2018" i="4"/>
  <c r="O2018" i="4" s="1"/>
  <c r="L2018" i="4"/>
  <c r="N2018" i="4" s="1"/>
  <c r="K2018" i="4"/>
  <c r="J2018" i="4"/>
  <c r="M2017" i="4"/>
  <c r="O2017" i="4" s="1"/>
  <c r="L2017" i="4"/>
  <c r="N2017" i="4" s="1"/>
  <c r="K2017" i="4"/>
  <c r="J2017" i="4"/>
  <c r="S2016" i="4"/>
  <c r="Q2016" i="4"/>
  <c r="D2016" i="4" s="1"/>
  <c r="M2016" i="4"/>
  <c r="O2016" i="4" s="1"/>
  <c r="L2016" i="4"/>
  <c r="N2016" i="4" s="1"/>
  <c r="K2016" i="4"/>
  <c r="J2016" i="4"/>
  <c r="F2016" i="4"/>
  <c r="E2016" i="4"/>
  <c r="S2015" i="4"/>
  <c r="M2015" i="4"/>
  <c r="O2015" i="4" s="1"/>
  <c r="L2015" i="4"/>
  <c r="N2015" i="4" s="1"/>
  <c r="K2015" i="4"/>
  <c r="J2015" i="4"/>
  <c r="S2014" i="4"/>
  <c r="N2014" i="4"/>
  <c r="M2014" i="4"/>
  <c r="O2014" i="4" s="1"/>
  <c r="L2014" i="4"/>
  <c r="K2014" i="4"/>
  <c r="J2014" i="4"/>
  <c r="S2013" i="4"/>
  <c r="M2013" i="4"/>
  <c r="O2013" i="4" s="1"/>
  <c r="L2013" i="4"/>
  <c r="N2013" i="4" s="1"/>
  <c r="K2013" i="4"/>
  <c r="J2013" i="4"/>
  <c r="S2012" i="4"/>
  <c r="M2012" i="4"/>
  <c r="O2012" i="4" s="1"/>
  <c r="L2012" i="4"/>
  <c r="N2012" i="4" s="1"/>
  <c r="K2012" i="4"/>
  <c r="J2012" i="4"/>
  <c r="M2011" i="4"/>
  <c r="O2011" i="4" s="1"/>
  <c r="L2011" i="4"/>
  <c r="N2011" i="4" s="1"/>
  <c r="K2011" i="4"/>
  <c r="J2011" i="4"/>
  <c r="F2011" i="4"/>
  <c r="E2011" i="4"/>
  <c r="D2011" i="4"/>
  <c r="M2010" i="4"/>
  <c r="O2010" i="4" s="1"/>
  <c r="L2010" i="4"/>
  <c r="N2010" i="4" s="1"/>
  <c r="K2010" i="4"/>
  <c r="J2010" i="4"/>
  <c r="S2009" i="4"/>
  <c r="M2009" i="4"/>
  <c r="O2009" i="4" s="1"/>
  <c r="L2009" i="4"/>
  <c r="N2009" i="4" s="1"/>
  <c r="K2009" i="4"/>
  <c r="J2009" i="4"/>
  <c r="S2008" i="4"/>
  <c r="M2008" i="4"/>
  <c r="O2008" i="4" s="1"/>
  <c r="L2008" i="4"/>
  <c r="N2008" i="4" s="1"/>
  <c r="K2008" i="4"/>
  <c r="J2008" i="4"/>
  <c r="S2007" i="4"/>
  <c r="M2007" i="4"/>
  <c r="O2007" i="4" s="1"/>
  <c r="L2007" i="4"/>
  <c r="N2007" i="4" s="1"/>
  <c r="K2007" i="4"/>
  <c r="J2007" i="4"/>
  <c r="F2007" i="4"/>
  <c r="E2007" i="4"/>
  <c r="D2007" i="4"/>
  <c r="S2006" i="4"/>
  <c r="M2006" i="4"/>
  <c r="O2006" i="4" s="1"/>
  <c r="L2006" i="4"/>
  <c r="N2006" i="4" s="1"/>
  <c r="K2006" i="4"/>
  <c r="J2006" i="4"/>
  <c r="S2005" i="4"/>
  <c r="M2005" i="4"/>
  <c r="O2005" i="4" s="1"/>
  <c r="L2005" i="4"/>
  <c r="N2005" i="4" s="1"/>
  <c r="K2005" i="4"/>
  <c r="J2005" i="4"/>
  <c r="S2004" i="4"/>
  <c r="M2004" i="4"/>
  <c r="O2004" i="4" s="1"/>
  <c r="L2004" i="4"/>
  <c r="N2004" i="4" s="1"/>
  <c r="K2004" i="4"/>
  <c r="J2004" i="4"/>
  <c r="S2003" i="4"/>
  <c r="M2003" i="4"/>
  <c r="O2003" i="4" s="1"/>
  <c r="L2003" i="4"/>
  <c r="N2003" i="4" s="1"/>
  <c r="K2003" i="4"/>
  <c r="J2003" i="4"/>
  <c r="S2002" i="4"/>
  <c r="M2002" i="4"/>
  <c r="O2002" i="4" s="1"/>
  <c r="L2002" i="4"/>
  <c r="N2002" i="4" s="1"/>
  <c r="K2002" i="4"/>
  <c r="J2002" i="4"/>
  <c r="S2001" i="4"/>
  <c r="M2001" i="4"/>
  <c r="O2001" i="4" s="1"/>
  <c r="L2001" i="4"/>
  <c r="N2001" i="4" s="1"/>
  <c r="K2001" i="4"/>
  <c r="J2001" i="4"/>
  <c r="M2000" i="4"/>
  <c r="O2000" i="4" s="1"/>
  <c r="L2000" i="4"/>
  <c r="N2000" i="4" s="1"/>
  <c r="K2000" i="4"/>
  <c r="J2000" i="4"/>
  <c r="F2000" i="4"/>
  <c r="E2000" i="4"/>
  <c r="D2000" i="4"/>
  <c r="M1999" i="4"/>
  <c r="O1999" i="4" s="1"/>
  <c r="L1999" i="4"/>
  <c r="N1999" i="4" s="1"/>
  <c r="K1999" i="4"/>
  <c r="J1999" i="4"/>
  <c r="S1998" i="4"/>
  <c r="M1998" i="4"/>
  <c r="O1998" i="4" s="1"/>
  <c r="L1998" i="4"/>
  <c r="N1998" i="4" s="1"/>
  <c r="K1998" i="4"/>
  <c r="J1998" i="4"/>
  <c r="S1997" i="4"/>
  <c r="M1997" i="4"/>
  <c r="O1997" i="4" s="1"/>
  <c r="L1997" i="4"/>
  <c r="N1997" i="4" s="1"/>
  <c r="K1997" i="4"/>
  <c r="J1997" i="4"/>
  <c r="S1996" i="4"/>
  <c r="M1996" i="4"/>
  <c r="O1996" i="4" s="1"/>
  <c r="L1996" i="4"/>
  <c r="N1996" i="4" s="1"/>
  <c r="K1996" i="4"/>
  <c r="J1996" i="4"/>
  <c r="S1995" i="4"/>
  <c r="M1995" i="4"/>
  <c r="O1995" i="4" s="1"/>
  <c r="L1995" i="4"/>
  <c r="N1995" i="4" s="1"/>
  <c r="K1995" i="4"/>
  <c r="J1995" i="4"/>
  <c r="S1994" i="4"/>
  <c r="M1994" i="4"/>
  <c r="O1994" i="4" s="1"/>
  <c r="L1994" i="4"/>
  <c r="N1994" i="4" s="1"/>
  <c r="K1994" i="4"/>
  <c r="J1994" i="4"/>
  <c r="S1993" i="4"/>
  <c r="M1993" i="4"/>
  <c r="O1993" i="4" s="1"/>
  <c r="L1993" i="4"/>
  <c r="N1993" i="4" s="1"/>
  <c r="K1993" i="4"/>
  <c r="J1993" i="4"/>
  <c r="S1992" i="4"/>
  <c r="M1992" i="4"/>
  <c r="O1992" i="4" s="1"/>
  <c r="L1992" i="4"/>
  <c r="N1992" i="4" s="1"/>
  <c r="K1992" i="4"/>
  <c r="J1992" i="4"/>
  <c r="S1991" i="4"/>
  <c r="N1991" i="4"/>
  <c r="M1991" i="4"/>
  <c r="O1991" i="4" s="1"/>
  <c r="L1991" i="4"/>
  <c r="K1991" i="4"/>
  <c r="J1991" i="4"/>
  <c r="S1990" i="4"/>
  <c r="M1990" i="4"/>
  <c r="O1990" i="4" s="1"/>
  <c r="L1990" i="4"/>
  <c r="N1990" i="4" s="1"/>
  <c r="K1990" i="4"/>
  <c r="J1990" i="4"/>
  <c r="M1989" i="4"/>
  <c r="O1989" i="4" s="1"/>
  <c r="L1989" i="4"/>
  <c r="N1989" i="4" s="1"/>
  <c r="K1989" i="4"/>
  <c r="J1989" i="4"/>
  <c r="F1989" i="4"/>
  <c r="E1989" i="4"/>
  <c r="D1989" i="4"/>
  <c r="M1988" i="4"/>
  <c r="O1988" i="4" s="1"/>
  <c r="L1988" i="4"/>
  <c r="N1988" i="4" s="1"/>
  <c r="K1988" i="4"/>
  <c r="J1988" i="4"/>
  <c r="F1988" i="4"/>
  <c r="E1988" i="4"/>
  <c r="D1988" i="4"/>
  <c r="S1987" i="4"/>
  <c r="M1987" i="4"/>
  <c r="O1987" i="4" s="1"/>
  <c r="L1987" i="4"/>
  <c r="N1987" i="4" s="1"/>
  <c r="K1987" i="4"/>
  <c r="J1987" i="4"/>
  <c r="S1986" i="4"/>
  <c r="M1986" i="4"/>
  <c r="O1986" i="4" s="1"/>
  <c r="L1986" i="4"/>
  <c r="N1986" i="4" s="1"/>
  <c r="K1986" i="4"/>
  <c r="J1986" i="4"/>
  <c r="S1985" i="4"/>
  <c r="M1985" i="4"/>
  <c r="O1985" i="4" s="1"/>
  <c r="L1985" i="4"/>
  <c r="N1985" i="4" s="1"/>
  <c r="K1985" i="4"/>
  <c r="J1985" i="4"/>
  <c r="S1984" i="4"/>
  <c r="M1984" i="4"/>
  <c r="O1984" i="4" s="1"/>
  <c r="L1984" i="4"/>
  <c r="N1984" i="4" s="1"/>
  <c r="K1984" i="4"/>
  <c r="J1984" i="4"/>
  <c r="S1983" i="4"/>
  <c r="M1983" i="4"/>
  <c r="O1983" i="4" s="1"/>
  <c r="L1983" i="4"/>
  <c r="N1983" i="4" s="1"/>
  <c r="K1983" i="4"/>
  <c r="J1983" i="4"/>
  <c r="S1982" i="4"/>
  <c r="M1982" i="4"/>
  <c r="O1982" i="4" s="1"/>
  <c r="L1982" i="4"/>
  <c r="N1982" i="4" s="1"/>
  <c r="K1982" i="4"/>
  <c r="J1982" i="4"/>
  <c r="S1981" i="4"/>
  <c r="M1981" i="4"/>
  <c r="O1981" i="4" s="1"/>
  <c r="L1981" i="4"/>
  <c r="N1981" i="4" s="1"/>
  <c r="K1981" i="4"/>
  <c r="J1981" i="4"/>
  <c r="S1980" i="4"/>
  <c r="M1980" i="4"/>
  <c r="O1980" i="4" s="1"/>
  <c r="L1980" i="4"/>
  <c r="N1980" i="4" s="1"/>
  <c r="K1980" i="4"/>
  <c r="J1980" i="4"/>
  <c r="S1979" i="4"/>
  <c r="M1979" i="4"/>
  <c r="O1979" i="4" s="1"/>
  <c r="L1979" i="4"/>
  <c r="N1979" i="4" s="1"/>
  <c r="K1979" i="4"/>
  <c r="J1979" i="4"/>
  <c r="S1978" i="4"/>
  <c r="M1978" i="4"/>
  <c r="O1978" i="4" s="1"/>
  <c r="L1978" i="4"/>
  <c r="N1978" i="4" s="1"/>
  <c r="K1978" i="4"/>
  <c r="J1978" i="4"/>
  <c r="F1978" i="4"/>
  <c r="E1978" i="4"/>
  <c r="D1978" i="4"/>
  <c r="S1977" i="4"/>
  <c r="M1977" i="4"/>
  <c r="O1977" i="4" s="1"/>
  <c r="L1977" i="4"/>
  <c r="N1977" i="4" s="1"/>
  <c r="K1977" i="4"/>
  <c r="J1977" i="4"/>
  <c r="S1976" i="4"/>
  <c r="M1976" i="4"/>
  <c r="O1976" i="4" s="1"/>
  <c r="L1976" i="4"/>
  <c r="N1976" i="4" s="1"/>
  <c r="K1976" i="4"/>
  <c r="J1976" i="4"/>
  <c r="S1975" i="4"/>
  <c r="M1975" i="4"/>
  <c r="O1975" i="4" s="1"/>
  <c r="L1975" i="4"/>
  <c r="N1975" i="4" s="1"/>
  <c r="K1975" i="4"/>
  <c r="J1975" i="4"/>
  <c r="S1974" i="4"/>
  <c r="M1974" i="4"/>
  <c r="O1974" i="4" s="1"/>
  <c r="L1974" i="4"/>
  <c r="N1974" i="4" s="1"/>
  <c r="K1974" i="4"/>
  <c r="J1974" i="4"/>
  <c r="S1973" i="4"/>
  <c r="M1973" i="4"/>
  <c r="O1973" i="4" s="1"/>
  <c r="L1973" i="4"/>
  <c r="N1973" i="4" s="1"/>
  <c r="K1973" i="4"/>
  <c r="J1973" i="4"/>
  <c r="F1973" i="4"/>
  <c r="E1973" i="4"/>
  <c r="D1973" i="4"/>
  <c r="S1972" i="4"/>
  <c r="M1972" i="4"/>
  <c r="O1972" i="4" s="1"/>
  <c r="L1972" i="4"/>
  <c r="N1972" i="4" s="1"/>
  <c r="K1972" i="4"/>
  <c r="J1972" i="4"/>
  <c r="S1971" i="4"/>
  <c r="M1971" i="4"/>
  <c r="O1971" i="4" s="1"/>
  <c r="L1971" i="4"/>
  <c r="N1971" i="4" s="1"/>
  <c r="K1971" i="4"/>
  <c r="J1971" i="4"/>
  <c r="S1970" i="4"/>
  <c r="M1970" i="4"/>
  <c r="O1970" i="4" s="1"/>
  <c r="L1970" i="4"/>
  <c r="N1970" i="4" s="1"/>
  <c r="K1970" i="4"/>
  <c r="J1970" i="4"/>
  <c r="M1968" i="4"/>
  <c r="O1968" i="4" s="1"/>
  <c r="L1968" i="4"/>
  <c r="N1968" i="4" s="1"/>
  <c r="K1968" i="4"/>
  <c r="J1968" i="4"/>
  <c r="F1968" i="4"/>
  <c r="E1968" i="4"/>
  <c r="D1968" i="4"/>
  <c r="M1967" i="4"/>
  <c r="O1967" i="4" s="1"/>
  <c r="L1967" i="4"/>
  <c r="N1967" i="4" s="1"/>
  <c r="K1967" i="4"/>
  <c r="J1967" i="4"/>
  <c r="S1966" i="4"/>
  <c r="M1966" i="4"/>
  <c r="O1966" i="4" s="1"/>
  <c r="L1966" i="4"/>
  <c r="N1966" i="4" s="1"/>
  <c r="K1966" i="4"/>
  <c r="J1966" i="4"/>
  <c r="F1966" i="4"/>
  <c r="E1966" i="4"/>
  <c r="D1966" i="4"/>
  <c r="S1965" i="4"/>
  <c r="M1965" i="4"/>
  <c r="O1965" i="4" s="1"/>
  <c r="L1965" i="4"/>
  <c r="N1965" i="4" s="1"/>
  <c r="K1965" i="4"/>
  <c r="J1965" i="4"/>
  <c r="F1965" i="4"/>
  <c r="E1965" i="4"/>
  <c r="D1965" i="4"/>
  <c r="S1964" i="4"/>
  <c r="M1964" i="4"/>
  <c r="O1964" i="4" s="1"/>
  <c r="L1964" i="4"/>
  <c r="N1964" i="4" s="1"/>
  <c r="K1964" i="4"/>
  <c r="J1964" i="4"/>
  <c r="F1964" i="4"/>
  <c r="E1964" i="4"/>
  <c r="D1964" i="4"/>
  <c r="S1963" i="4"/>
  <c r="M1963" i="4"/>
  <c r="O1963" i="4" s="1"/>
  <c r="L1963" i="4"/>
  <c r="N1963" i="4" s="1"/>
  <c r="K1963" i="4"/>
  <c r="J1963" i="4"/>
  <c r="F1963" i="4"/>
  <c r="E1963" i="4"/>
  <c r="D1963" i="4"/>
  <c r="S1962" i="4"/>
  <c r="M1962" i="4"/>
  <c r="O1962" i="4" s="1"/>
  <c r="L1962" i="4"/>
  <c r="N1962" i="4" s="1"/>
  <c r="K1962" i="4"/>
  <c r="J1962" i="4"/>
  <c r="F1962" i="4"/>
  <c r="E1962" i="4"/>
  <c r="D1962" i="4"/>
  <c r="S1961" i="4"/>
  <c r="M1961" i="4"/>
  <c r="O1961" i="4" s="1"/>
  <c r="L1961" i="4"/>
  <c r="N1961" i="4" s="1"/>
  <c r="K1961" i="4"/>
  <c r="J1961" i="4"/>
  <c r="F1961" i="4"/>
  <c r="E1961" i="4"/>
  <c r="D1961" i="4"/>
  <c r="S1960" i="4"/>
  <c r="M1960" i="4"/>
  <c r="O1960" i="4" s="1"/>
  <c r="L1960" i="4"/>
  <c r="N1960" i="4" s="1"/>
  <c r="K1960" i="4"/>
  <c r="J1960" i="4"/>
  <c r="S1959" i="4"/>
  <c r="M1959" i="4"/>
  <c r="O1959" i="4" s="1"/>
  <c r="L1959" i="4"/>
  <c r="N1959" i="4" s="1"/>
  <c r="K1959" i="4"/>
  <c r="J1959" i="4"/>
  <c r="S1958" i="4"/>
  <c r="M1958" i="4"/>
  <c r="O1958" i="4" s="1"/>
  <c r="L1958" i="4"/>
  <c r="N1958" i="4" s="1"/>
  <c r="K1958" i="4"/>
  <c r="J1958" i="4"/>
  <c r="S1957" i="4"/>
  <c r="M1957" i="4"/>
  <c r="O1957" i="4" s="1"/>
  <c r="L1957" i="4"/>
  <c r="N1957" i="4" s="1"/>
  <c r="K1957" i="4"/>
  <c r="J1957" i="4"/>
  <c r="S1956" i="4"/>
  <c r="M1956" i="4"/>
  <c r="O1956" i="4" s="1"/>
  <c r="L1956" i="4"/>
  <c r="N1956" i="4" s="1"/>
  <c r="K1956" i="4"/>
  <c r="J1956" i="4"/>
  <c r="S1955" i="4"/>
  <c r="M1955" i="4"/>
  <c r="O1955" i="4" s="1"/>
  <c r="L1955" i="4"/>
  <c r="N1955" i="4" s="1"/>
  <c r="K1955" i="4"/>
  <c r="J1955" i="4"/>
  <c r="S1954" i="4"/>
  <c r="M1954" i="4"/>
  <c r="O1954" i="4" s="1"/>
  <c r="L1954" i="4"/>
  <c r="N1954" i="4" s="1"/>
  <c r="K1954" i="4"/>
  <c r="J1954" i="4"/>
  <c r="F1954" i="4"/>
  <c r="E1954" i="4"/>
  <c r="D1954" i="4"/>
  <c r="S1953" i="4"/>
  <c r="M1953" i="4"/>
  <c r="O1953" i="4" s="1"/>
  <c r="L1953" i="4"/>
  <c r="N1953" i="4" s="1"/>
  <c r="K1953" i="4"/>
  <c r="J1953" i="4"/>
  <c r="S1952" i="4"/>
  <c r="M1952" i="4"/>
  <c r="O1952" i="4" s="1"/>
  <c r="L1952" i="4"/>
  <c r="N1952" i="4" s="1"/>
  <c r="K1952" i="4"/>
  <c r="J1952" i="4"/>
  <c r="S1951" i="4"/>
  <c r="M1951" i="4"/>
  <c r="O1951" i="4" s="1"/>
  <c r="L1951" i="4"/>
  <c r="N1951" i="4" s="1"/>
  <c r="K1951" i="4"/>
  <c r="J1951" i="4"/>
  <c r="S1950" i="4"/>
  <c r="M1950" i="4"/>
  <c r="O1950" i="4" s="1"/>
  <c r="L1950" i="4"/>
  <c r="N1950" i="4" s="1"/>
  <c r="K1950" i="4"/>
  <c r="J1950" i="4"/>
  <c r="F1950" i="4"/>
  <c r="E1950" i="4"/>
  <c r="D1950" i="4"/>
  <c r="S1949" i="4"/>
  <c r="M1949" i="4"/>
  <c r="O1949" i="4" s="1"/>
  <c r="L1949" i="4"/>
  <c r="N1949" i="4" s="1"/>
  <c r="K1949" i="4"/>
  <c r="J1949" i="4"/>
  <c r="F1949" i="4"/>
  <c r="E1949" i="4"/>
  <c r="D1949" i="4"/>
  <c r="S1948" i="4"/>
  <c r="M1948" i="4"/>
  <c r="O1948" i="4" s="1"/>
  <c r="L1948" i="4"/>
  <c r="N1948" i="4" s="1"/>
  <c r="K1948" i="4"/>
  <c r="J1948" i="4"/>
  <c r="F1948" i="4"/>
  <c r="E1948" i="4"/>
  <c r="D1948" i="4"/>
  <c r="S1947" i="4"/>
  <c r="M1947" i="4"/>
  <c r="O1947" i="4" s="1"/>
  <c r="L1947" i="4"/>
  <c r="N1947" i="4" s="1"/>
  <c r="K1947" i="4"/>
  <c r="J1947" i="4"/>
  <c r="F1947" i="4"/>
  <c r="E1947" i="4"/>
  <c r="D1947" i="4"/>
  <c r="S1946" i="4"/>
  <c r="M1946" i="4"/>
  <c r="O1946" i="4" s="1"/>
  <c r="L1946" i="4"/>
  <c r="N1946" i="4" s="1"/>
  <c r="K1946" i="4"/>
  <c r="J1946" i="4"/>
  <c r="F1946" i="4"/>
  <c r="E1946" i="4"/>
  <c r="D1946" i="4"/>
  <c r="S1945" i="4"/>
  <c r="M1945" i="4"/>
  <c r="O1945" i="4" s="1"/>
  <c r="L1945" i="4"/>
  <c r="N1945" i="4" s="1"/>
  <c r="K1945" i="4"/>
  <c r="J1945" i="4"/>
  <c r="F1945" i="4"/>
  <c r="E1945" i="4"/>
  <c r="D1945" i="4"/>
  <c r="S1944" i="4"/>
  <c r="M1944" i="4"/>
  <c r="O1944" i="4" s="1"/>
  <c r="L1944" i="4"/>
  <c r="N1944" i="4" s="1"/>
  <c r="K1944" i="4"/>
  <c r="J1944" i="4"/>
  <c r="S1943" i="4"/>
  <c r="M1943" i="4"/>
  <c r="O1943" i="4" s="1"/>
  <c r="L1943" i="4"/>
  <c r="N1943" i="4" s="1"/>
  <c r="K1943" i="4"/>
  <c r="J1943" i="4"/>
  <c r="S1942" i="4"/>
  <c r="M1942" i="4"/>
  <c r="O1942" i="4" s="1"/>
  <c r="L1942" i="4"/>
  <c r="N1942" i="4" s="1"/>
  <c r="K1942" i="4"/>
  <c r="J1942" i="4"/>
  <c r="S1941" i="4"/>
  <c r="M1941" i="4"/>
  <c r="O1941" i="4" s="1"/>
  <c r="L1941" i="4"/>
  <c r="N1941" i="4" s="1"/>
  <c r="K1941" i="4"/>
  <c r="J1941" i="4"/>
  <c r="S1940" i="4"/>
  <c r="M1940" i="4"/>
  <c r="O1940" i="4" s="1"/>
  <c r="L1940" i="4"/>
  <c r="N1940" i="4" s="1"/>
  <c r="K1940" i="4"/>
  <c r="J1940" i="4"/>
  <c r="S1939" i="4"/>
  <c r="M1939" i="4"/>
  <c r="O1939" i="4" s="1"/>
  <c r="L1939" i="4"/>
  <c r="N1939" i="4" s="1"/>
  <c r="K1939" i="4"/>
  <c r="J1939" i="4"/>
  <c r="M1938" i="4"/>
  <c r="O1938" i="4" s="1"/>
  <c r="L1938" i="4"/>
  <c r="N1938" i="4" s="1"/>
  <c r="K1938" i="4"/>
  <c r="J1938" i="4"/>
  <c r="S1937" i="4"/>
  <c r="M1937" i="4"/>
  <c r="O1937" i="4" s="1"/>
  <c r="L1937" i="4"/>
  <c r="N1937" i="4" s="1"/>
  <c r="K1937" i="4"/>
  <c r="J1937" i="4"/>
  <c r="S1936" i="4"/>
  <c r="M1936" i="4"/>
  <c r="O1936" i="4" s="1"/>
  <c r="L1936" i="4"/>
  <c r="N1936" i="4" s="1"/>
  <c r="K1936" i="4"/>
  <c r="J1936" i="4"/>
  <c r="S1935" i="4"/>
  <c r="M1935" i="4"/>
  <c r="O1935" i="4" s="1"/>
  <c r="L1935" i="4"/>
  <c r="N1935" i="4" s="1"/>
  <c r="K1935" i="4"/>
  <c r="J1935" i="4"/>
  <c r="S1934" i="4"/>
  <c r="M1934" i="4"/>
  <c r="O1934" i="4" s="1"/>
  <c r="L1934" i="4"/>
  <c r="N1934" i="4" s="1"/>
  <c r="K1934" i="4"/>
  <c r="J1934" i="4"/>
  <c r="S1933" i="4"/>
  <c r="M1933" i="4"/>
  <c r="O1933" i="4" s="1"/>
  <c r="L1933" i="4"/>
  <c r="N1933" i="4" s="1"/>
  <c r="K1933" i="4"/>
  <c r="J1933" i="4"/>
  <c r="S1932" i="4"/>
  <c r="M1932" i="4"/>
  <c r="O1932" i="4" s="1"/>
  <c r="L1932" i="4"/>
  <c r="N1932" i="4" s="1"/>
  <c r="K1932" i="4"/>
  <c r="J1932" i="4"/>
  <c r="F1932" i="4"/>
  <c r="E1932" i="4"/>
  <c r="D1932" i="4"/>
  <c r="S1931" i="4"/>
  <c r="M1931" i="4"/>
  <c r="O1931" i="4" s="1"/>
  <c r="L1931" i="4"/>
  <c r="N1931" i="4" s="1"/>
  <c r="K1931" i="4"/>
  <c r="J1931" i="4"/>
  <c r="F1931" i="4"/>
  <c r="E1931" i="4"/>
  <c r="D1931" i="4"/>
  <c r="S1930" i="4"/>
  <c r="M1930" i="4"/>
  <c r="O1930" i="4" s="1"/>
  <c r="L1930" i="4"/>
  <c r="N1930" i="4" s="1"/>
  <c r="K1930" i="4"/>
  <c r="J1930" i="4"/>
  <c r="F1930" i="4"/>
  <c r="E1930" i="4"/>
  <c r="D1930" i="4"/>
  <c r="S1929" i="4"/>
  <c r="M1929" i="4"/>
  <c r="O1929" i="4" s="1"/>
  <c r="L1929" i="4"/>
  <c r="N1929" i="4" s="1"/>
  <c r="K1929" i="4"/>
  <c r="J1929" i="4"/>
  <c r="F1929" i="4"/>
  <c r="E1929" i="4"/>
  <c r="D1929" i="4"/>
  <c r="S1928" i="4"/>
  <c r="M1928" i="4"/>
  <c r="O1928" i="4" s="1"/>
  <c r="L1928" i="4"/>
  <c r="N1928" i="4" s="1"/>
  <c r="K1928" i="4"/>
  <c r="J1928" i="4"/>
  <c r="M1927" i="4"/>
  <c r="O1927" i="4" s="1"/>
  <c r="L1927" i="4"/>
  <c r="N1927" i="4" s="1"/>
  <c r="K1927" i="4"/>
  <c r="J1927" i="4"/>
  <c r="S1926" i="4"/>
  <c r="M1926" i="4"/>
  <c r="O1926" i="4" s="1"/>
  <c r="L1926" i="4"/>
  <c r="N1926" i="4" s="1"/>
  <c r="K1926" i="4"/>
  <c r="J1926" i="4"/>
  <c r="S1925" i="4"/>
  <c r="M1925" i="4"/>
  <c r="O1925" i="4" s="1"/>
  <c r="L1925" i="4"/>
  <c r="N1925" i="4" s="1"/>
  <c r="K1925" i="4"/>
  <c r="J1925" i="4"/>
  <c r="S1924" i="4"/>
  <c r="M1924" i="4"/>
  <c r="O1924" i="4" s="1"/>
  <c r="L1924" i="4"/>
  <c r="N1924" i="4" s="1"/>
  <c r="K1924" i="4"/>
  <c r="J1924" i="4"/>
  <c r="S1923" i="4"/>
  <c r="M1923" i="4"/>
  <c r="O1923" i="4" s="1"/>
  <c r="L1923" i="4"/>
  <c r="N1923" i="4" s="1"/>
  <c r="K1923" i="4"/>
  <c r="J1923" i="4"/>
  <c r="S1922" i="4"/>
  <c r="M1922" i="4"/>
  <c r="O1922" i="4" s="1"/>
  <c r="L1922" i="4"/>
  <c r="N1922" i="4" s="1"/>
  <c r="K1922" i="4"/>
  <c r="J1922" i="4"/>
  <c r="S1921" i="4"/>
  <c r="M1921" i="4"/>
  <c r="O1921" i="4" s="1"/>
  <c r="L1921" i="4"/>
  <c r="N1921" i="4" s="1"/>
  <c r="K1921" i="4"/>
  <c r="J1921" i="4"/>
  <c r="S1920" i="4"/>
  <c r="M1920" i="4"/>
  <c r="O1920" i="4" s="1"/>
  <c r="L1920" i="4"/>
  <c r="N1920" i="4" s="1"/>
  <c r="K1920" i="4"/>
  <c r="J1920" i="4"/>
  <c r="F1920" i="4"/>
  <c r="E1920" i="4"/>
  <c r="D1920" i="4"/>
  <c r="S1919" i="4"/>
  <c r="M1919" i="4"/>
  <c r="O1919" i="4" s="1"/>
  <c r="L1919" i="4"/>
  <c r="N1919" i="4" s="1"/>
  <c r="K1919" i="4"/>
  <c r="J1919" i="4"/>
  <c r="S1918" i="4"/>
  <c r="M1918" i="4"/>
  <c r="O1918" i="4" s="1"/>
  <c r="L1918" i="4"/>
  <c r="N1918" i="4" s="1"/>
  <c r="K1918" i="4"/>
  <c r="J1918" i="4"/>
  <c r="S1917" i="4"/>
  <c r="M1917" i="4"/>
  <c r="O1917" i="4" s="1"/>
  <c r="L1917" i="4"/>
  <c r="N1917" i="4" s="1"/>
  <c r="K1917" i="4"/>
  <c r="J1917" i="4"/>
  <c r="S1916" i="4"/>
  <c r="M1916" i="4"/>
  <c r="O1916" i="4" s="1"/>
  <c r="L1916" i="4"/>
  <c r="N1916" i="4" s="1"/>
  <c r="K1916" i="4"/>
  <c r="J1916" i="4"/>
  <c r="S1915" i="4"/>
  <c r="M1915" i="4"/>
  <c r="O1915" i="4" s="1"/>
  <c r="L1915" i="4"/>
  <c r="N1915" i="4" s="1"/>
  <c r="K1915" i="4"/>
  <c r="J1915" i="4"/>
  <c r="S1914" i="4"/>
  <c r="M1914" i="4"/>
  <c r="O1914" i="4" s="1"/>
  <c r="L1914" i="4"/>
  <c r="N1914" i="4" s="1"/>
  <c r="K1914" i="4"/>
  <c r="J1914" i="4"/>
  <c r="S1913" i="4"/>
  <c r="M1913" i="4"/>
  <c r="O1913" i="4" s="1"/>
  <c r="L1913" i="4"/>
  <c r="N1913" i="4" s="1"/>
  <c r="K1913" i="4"/>
  <c r="J1913" i="4"/>
  <c r="S1912" i="4"/>
  <c r="M1912" i="4"/>
  <c r="O1912" i="4" s="1"/>
  <c r="L1912" i="4"/>
  <c r="N1912" i="4" s="1"/>
  <c r="K1912" i="4"/>
  <c r="J1912" i="4"/>
  <c r="S1911" i="4"/>
  <c r="M1911" i="4"/>
  <c r="O1911" i="4" s="1"/>
  <c r="L1911" i="4"/>
  <c r="N1911" i="4" s="1"/>
  <c r="K1911" i="4"/>
  <c r="J1911" i="4"/>
  <c r="S1910" i="4"/>
  <c r="M1910" i="4"/>
  <c r="O1910" i="4" s="1"/>
  <c r="L1910" i="4"/>
  <c r="N1910" i="4" s="1"/>
  <c r="K1910" i="4"/>
  <c r="J1910" i="4"/>
  <c r="S1909" i="4"/>
  <c r="M1909" i="4"/>
  <c r="O1909" i="4" s="1"/>
  <c r="L1909" i="4"/>
  <c r="N1909" i="4" s="1"/>
  <c r="K1909" i="4"/>
  <c r="J1909" i="4"/>
  <c r="S1908" i="4"/>
  <c r="M1908" i="4"/>
  <c r="O1908" i="4" s="1"/>
  <c r="L1908" i="4"/>
  <c r="N1908" i="4" s="1"/>
  <c r="K1908" i="4"/>
  <c r="J1908" i="4"/>
  <c r="S1907" i="4"/>
  <c r="M1907" i="4"/>
  <c r="O1907" i="4" s="1"/>
  <c r="L1907" i="4"/>
  <c r="N1907" i="4" s="1"/>
  <c r="K1907" i="4"/>
  <c r="J1907" i="4"/>
  <c r="S1906" i="4"/>
  <c r="M1906" i="4"/>
  <c r="O1906" i="4" s="1"/>
  <c r="L1906" i="4"/>
  <c r="N1906" i="4" s="1"/>
  <c r="K1906" i="4"/>
  <c r="J1906" i="4"/>
  <c r="S1905" i="4"/>
  <c r="M1905" i="4"/>
  <c r="O1905" i="4" s="1"/>
  <c r="L1905" i="4"/>
  <c r="N1905" i="4" s="1"/>
  <c r="K1905" i="4"/>
  <c r="J1905" i="4"/>
  <c r="M1904" i="4"/>
  <c r="O1904" i="4" s="1"/>
  <c r="L1904" i="4"/>
  <c r="N1904" i="4" s="1"/>
  <c r="K1904" i="4"/>
  <c r="J1904" i="4"/>
  <c r="F1904" i="4"/>
  <c r="E1904" i="4"/>
  <c r="D1904" i="4"/>
  <c r="S1903" i="4"/>
  <c r="M1903" i="4"/>
  <c r="O1903" i="4" s="1"/>
  <c r="L1903" i="4"/>
  <c r="N1903" i="4" s="1"/>
  <c r="K1903" i="4"/>
  <c r="J1903" i="4"/>
  <c r="F1903" i="4"/>
  <c r="E1903" i="4"/>
  <c r="D1903" i="4"/>
  <c r="S1902" i="4"/>
  <c r="M1902" i="4"/>
  <c r="O1902" i="4" s="1"/>
  <c r="L1902" i="4"/>
  <c r="N1902" i="4" s="1"/>
  <c r="K1902" i="4"/>
  <c r="J1902" i="4"/>
  <c r="S1901" i="4"/>
  <c r="M1901" i="4"/>
  <c r="O1901" i="4" s="1"/>
  <c r="L1901" i="4"/>
  <c r="N1901" i="4" s="1"/>
  <c r="K1901" i="4"/>
  <c r="J1901" i="4"/>
  <c r="S1900" i="4"/>
  <c r="M1900" i="4"/>
  <c r="O1900" i="4" s="1"/>
  <c r="L1900" i="4"/>
  <c r="N1900" i="4" s="1"/>
  <c r="K1900" i="4"/>
  <c r="J1900" i="4"/>
  <c r="S1899" i="4"/>
  <c r="M1899" i="4"/>
  <c r="O1899" i="4" s="1"/>
  <c r="L1899" i="4"/>
  <c r="N1899" i="4" s="1"/>
  <c r="K1899" i="4"/>
  <c r="J1899" i="4"/>
  <c r="S1898" i="4"/>
  <c r="M1898" i="4"/>
  <c r="O1898" i="4" s="1"/>
  <c r="L1898" i="4"/>
  <c r="N1898" i="4" s="1"/>
  <c r="K1898" i="4"/>
  <c r="J1898" i="4"/>
  <c r="S1897" i="4"/>
  <c r="M1897" i="4"/>
  <c r="O1897" i="4" s="1"/>
  <c r="L1897" i="4"/>
  <c r="N1897" i="4" s="1"/>
  <c r="K1897" i="4"/>
  <c r="J1897" i="4"/>
  <c r="S1896" i="4"/>
  <c r="M1896" i="4"/>
  <c r="O1896" i="4" s="1"/>
  <c r="L1896" i="4"/>
  <c r="N1896" i="4" s="1"/>
  <c r="K1896" i="4"/>
  <c r="J1896" i="4"/>
  <c r="S1895" i="4"/>
  <c r="M1895" i="4"/>
  <c r="O1895" i="4" s="1"/>
  <c r="L1895" i="4"/>
  <c r="N1895" i="4" s="1"/>
  <c r="K1895" i="4"/>
  <c r="J1895" i="4"/>
  <c r="S1894" i="4"/>
  <c r="M1894" i="4"/>
  <c r="O1894" i="4" s="1"/>
  <c r="L1894" i="4"/>
  <c r="N1894" i="4" s="1"/>
  <c r="K1894" i="4"/>
  <c r="J1894" i="4"/>
  <c r="F1894" i="4"/>
  <c r="E1894" i="4"/>
  <c r="D1894" i="4"/>
  <c r="S1893" i="4"/>
  <c r="M1893" i="4"/>
  <c r="O1893" i="4" s="1"/>
  <c r="L1893" i="4"/>
  <c r="N1893" i="4" s="1"/>
  <c r="K1893" i="4"/>
  <c r="J1893" i="4"/>
  <c r="S1892" i="4"/>
  <c r="M1892" i="4"/>
  <c r="O1892" i="4" s="1"/>
  <c r="L1892" i="4"/>
  <c r="N1892" i="4" s="1"/>
  <c r="K1892" i="4"/>
  <c r="J1892" i="4"/>
  <c r="S1891" i="4"/>
  <c r="M1891" i="4"/>
  <c r="O1891" i="4" s="1"/>
  <c r="L1891" i="4"/>
  <c r="N1891" i="4" s="1"/>
  <c r="K1891" i="4"/>
  <c r="J1891" i="4"/>
  <c r="S1890" i="4"/>
  <c r="M1890" i="4"/>
  <c r="O1890" i="4" s="1"/>
  <c r="L1890" i="4"/>
  <c r="N1890" i="4" s="1"/>
  <c r="K1890" i="4"/>
  <c r="J1890" i="4"/>
  <c r="S1889" i="4"/>
  <c r="M1889" i="4"/>
  <c r="O1889" i="4" s="1"/>
  <c r="L1889" i="4"/>
  <c r="N1889" i="4" s="1"/>
  <c r="K1889" i="4"/>
  <c r="J1889" i="4"/>
  <c r="S1888" i="4"/>
  <c r="M1888" i="4"/>
  <c r="O1888" i="4" s="1"/>
  <c r="L1888" i="4"/>
  <c r="N1888" i="4" s="1"/>
  <c r="K1888" i="4"/>
  <c r="J1888" i="4"/>
  <c r="F1888" i="4"/>
  <c r="E1888" i="4"/>
  <c r="D1888" i="4"/>
  <c r="S1887" i="4"/>
  <c r="M1887" i="4"/>
  <c r="O1887" i="4" s="1"/>
  <c r="L1887" i="4"/>
  <c r="N1887" i="4" s="1"/>
  <c r="K1887" i="4"/>
  <c r="J1887" i="4"/>
  <c r="S1886" i="4"/>
  <c r="M1886" i="4"/>
  <c r="O1886" i="4" s="1"/>
  <c r="L1886" i="4"/>
  <c r="N1886" i="4" s="1"/>
  <c r="K1886" i="4"/>
  <c r="J1886" i="4"/>
  <c r="S1885" i="4"/>
  <c r="M1885" i="4"/>
  <c r="O1885" i="4" s="1"/>
  <c r="L1885" i="4"/>
  <c r="N1885" i="4" s="1"/>
  <c r="K1885" i="4"/>
  <c r="J1885" i="4"/>
  <c r="S1884" i="4"/>
  <c r="M1884" i="4"/>
  <c r="O1884" i="4" s="1"/>
  <c r="L1884" i="4"/>
  <c r="N1884" i="4" s="1"/>
  <c r="K1884" i="4"/>
  <c r="J1884" i="4"/>
  <c r="F1884" i="4"/>
  <c r="E1884" i="4"/>
  <c r="D1884" i="4"/>
  <c r="S1883" i="4"/>
  <c r="M1883" i="4"/>
  <c r="O1883" i="4" s="1"/>
  <c r="L1883" i="4"/>
  <c r="N1883" i="4" s="1"/>
  <c r="K1883" i="4"/>
  <c r="J1883" i="4"/>
  <c r="S1882" i="4"/>
  <c r="M1882" i="4"/>
  <c r="O1882" i="4" s="1"/>
  <c r="L1882" i="4"/>
  <c r="N1882" i="4" s="1"/>
  <c r="K1882" i="4"/>
  <c r="J1882" i="4"/>
  <c r="S1881" i="4"/>
  <c r="M1881" i="4"/>
  <c r="O1881" i="4" s="1"/>
  <c r="L1881" i="4"/>
  <c r="N1881" i="4" s="1"/>
  <c r="K1881" i="4"/>
  <c r="J1881" i="4"/>
  <c r="S1880" i="4"/>
  <c r="M1880" i="4"/>
  <c r="O1880" i="4" s="1"/>
  <c r="L1880" i="4"/>
  <c r="N1880" i="4" s="1"/>
  <c r="K1880" i="4"/>
  <c r="J1880" i="4"/>
  <c r="S1879" i="4"/>
  <c r="M1879" i="4"/>
  <c r="O1879" i="4" s="1"/>
  <c r="L1879" i="4"/>
  <c r="N1879" i="4" s="1"/>
  <c r="K1879" i="4"/>
  <c r="J1879" i="4"/>
  <c r="F1879" i="4"/>
  <c r="E1879" i="4"/>
  <c r="D1879" i="4"/>
  <c r="S1878" i="4"/>
  <c r="M1878" i="4"/>
  <c r="O1878" i="4" s="1"/>
  <c r="L1878" i="4"/>
  <c r="N1878" i="4" s="1"/>
  <c r="K1878" i="4"/>
  <c r="J1878" i="4"/>
  <c r="S1877" i="4"/>
  <c r="M1877" i="4"/>
  <c r="O1877" i="4" s="1"/>
  <c r="L1877" i="4"/>
  <c r="N1877" i="4" s="1"/>
  <c r="K1877" i="4"/>
  <c r="J1877" i="4"/>
  <c r="S1876" i="4"/>
  <c r="M1876" i="4"/>
  <c r="O1876" i="4" s="1"/>
  <c r="L1876" i="4"/>
  <c r="N1876" i="4" s="1"/>
  <c r="K1876" i="4"/>
  <c r="J1876" i="4"/>
  <c r="S1875" i="4"/>
  <c r="M1875" i="4"/>
  <c r="O1875" i="4" s="1"/>
  <c r="L1875" i="4"/>
  <c r="N1875" i="4" s="1"/>
  <c r="K1875" i="4"/>
  <c r="J1875" i="4"/>
  <c r="S1874" i="4"/>
  <c r="M1874" i="4"/>
  <c r="O1874" i="4" s="1"/>
  <c r="L1874" i="4"/>
  <c r="N1874" i="4" s="1"/>
  <c r="K1874" i="4"/>
  <c r="J1874" i="4"/>
  <c r="S1873" i="4"/>
  <c r="M1873" i="4"/>
  <c r="O1873" i="4" s="1"/>
  <c r="L1873" i="4"/>
  <c r="N1873" i="4" s="1"/>
  <c r="K1873" i="4"/>
  <c r="J1873" i="4"/>
  <c r="S1871" i="4"/>
  <c r="M1871" i="4"/>
  <c r="O1871" i="4" s="1"/>
  <c r="L1871" i="4"/>
  <c r="N1871" i="4" s="1"/>
  <c r="K1871" i="4"/>
  <c r="J1871" i="4"/>
  <c r="S1870" i="4"/>
  <c r="M1870" i="4"/>
  <c r="O1870" i="4" s="1"/>
  <c r="L1870" i="4"/>
  <c r="N1870" i="4" s="1"/>
  <c r="K1870" i="4"/>
  <c r="J1870" i="4"/>
  <c r="S1869" i="4"/>
  <c r="M1869" i="4"/>
  <c r="O1869" i="4" s="1"/>
  <c r="L1869" i="4"/>
  <c r="N1869" i="4" s="1"/>
  <c r="K1869" i="4"/>
  <c r="J1869" i="4"/>
  <c r="F1869" i="4"/>
  <c r="E1869" i="4"/>
  <c r="D1869" i="4"/>
  <c r="S1868" i="4"/>
  <c r="M1868" i="4"/>
  <c r="O1868" i="4" s="1"/>
  <c r="L1868" i="4"/>
  <c r="N1868" i="4" s="1"/>
  <c r="K1868" i="4"/>
  <c r="J1868" i="4"/>
  <c r="S1867" i="4"/>
  <c r="M1867" i="4"/>
  <c r="O1867" i="4" s="1"/>
  <c r="L1867" i="4"/>
  <c r="N1867" i="4" s="1"/>
  <c r="K1867" i="4"/>
  <c r="J1867" i="4"/>
  <c r="F1867" i="4"/>
  <c r="E1867" i="4"/>
  <c r="D1867" i="4"/>
  <c r="S1866" i="4"/>
  <c r="M1866" i="4"/>
  <c r="O1866" i="4" s="1"/>
  <c r="L1866" i="4"/>
  <c r="N1866" i="4" s="1"/>
  <c r="K1866" i="4"/>
  <c r="J1866" i="4"/>
  <c r="F1866" i="4"/>
  <c r="E1866" i="4"/>
  <c r="D1866" i="4"/>
  <c r="S1865" i="4"/>
  <c r="M1865" i="4"/>
  <c r="O1865" i="4" s="1"/>
  <c r="L1865" i="4"/>
  <c r="N1865" i="4" s="1"/>
  <c r="K1865" i="4"/>
  <c r="J1865" i="4"/>
  <c r="S1864" i="4"/>
  <c r="M1864" i="4"/>
  <c r="O1864" i="4" s="1"/>
  <c r="L1864" i="4"/>
  <c r="N1864" i="4" s="1"/>
  <c r="K1864" i="4"/>
  <c r="J1864" i="4"/>
  <c r="F1864" i="4"/>
  <c r="E1864" i="4"/>
  <c r="D1864" i="4"/>
  <c r="S1863" i="4"/>
  <c r="M1863" i="4"/>
  <c r="O1863" i="4" s="1"/>
  <c r="L1863" i="4"/>
  <c r="N1863" i="4" s="1"/>
  <c r="K1863" i="4"/>
  <c r="J1863" i="4"/>
  <c r="F1863" i="4"/>
  <c r="E1863" i="4"/>
  <c r="D1863" i="4"/>
  <c r="S1862" i="4"/>
  <c r="M1862" i="4"/>
  <c r="O1862" i="4" s="1"/>
  <c r="L1862" i="4"/>
  <c r="N1862" i="4" s="1"/>
  <c r="K1862" i="4"/>
  <c r="J1862" i="4"/>
  <c r="S1861" i="4"/>
  <c r="M1861" i="4"/>
  <c r="O1861" i="4" s="1"/>
  <c r="L1861" i="4"/>
  <c r="N1861" i="4" s="1"/>
  <c r="K1861" i="4"/>
  <c r="J1861" i="4"/>
  <c r="S1860" i="4"/>
  <c r="M1860" i="4"/>
  <c r="O1860" i="4" s="1"/>
  <c r="L1860" i="4"/>
  <c r="N1860" i="4" s="1"/>
  <c r="K1860" i="4"/>
  <c r="J1860" i="4"/>
  <c r="S1859" i="4"/>
  <c r="M1859" i="4"/>
  <c r="O1859" i="4" s="1"/>
  <c r="L1859" i="4"/>
  <c r="N1859" i="4" s="1"/>
  <c r="K1859" i="4"/>
  <c r="J1859" i="4"/>
  <c r="S1858" i="4"/>
  <c r="M1858" i="4"/>
  <c r="O1858" i="4" s="1"/>
  <c r="L1858" i="4"/>
  <c r="N1858" i="4" s="1"/>
  <c r="K1858" i="4"/>
  <c r="J1858" i="4"/>
  <c r="F1858" i="4"/>
  <c r="E1858" i="4"/>
  <c r="D1858" i="4"/>
  <c r="S1857" i="4"/>
  <c r="M1857" i="4"/>
  <c r="O1857" i="4" s="1"/>
  <c r="L1857" i="4"/>
  <c r="N1857" i="4" s="1"/>
  <c r="K1857" i="4"/>
  <c r="J1857" i="4"/>
  <c r="S1856" i="4"/>
  <c r="M1856" i="4"/>
  <c r="O1856" i="4" s="1"/>
  <c r="L1856" i="4"/>
  <c r="N1856" i="4" s="1"/>
  <c r="K1856" i="4"/>
  <c r="J1856" i="4"/>
  <c r="S1855" i="4"/>
  <c r="M1855" i="4"/>
  <c r="O1855" i="4" s="1"/>
  <c r="L1855" i="4"/>
  <c r="N1855" i="4" s="1"/>
  <c r="K1855" i="4"/>
  <c r="J1855" i="4"/>
  <c r="S1854" i="4"/>
  <c r="M1854" i="4"/>
  <c r="O1854" i="4" s="1"/>
  <c r="L1854" i="4"/>
  <c r="N1854" i="4" s="1"/>
  <c r="K1854" i="4"/>
  <c r="J1854" i="4"/>
  <c r="S1853" i="4"/>
  <c r="M1853" i="4"/>
  <c r="O1853" i="4" s="1"/>
  <c r="L1853" i="4"/>
  <c r="N1853" i="4" s="1"/>
  <c r="K1853" i="4"/>
  <c r="J1853" i="4"/>
  <c r="F1853" i="4"/>
  <c r="E1853" i="4"/>
  <c r="D1853" i="4"/>
  <c r="S1852" i="4"/>
  <c r="M1852" i="4"/>
  <c r="O1852" i="4" s="1"/>
  <c r="L1852" i="4"/>
  <c r="N1852" i="4" s="1"/>
  <c r="K1852" i="4"/>
  <c r="J1852" i="4"/>
  <c r="F1852" i="4"/>
  <c r="E1852" i="4"/>
  <c r="D1852" i="4"/>
  <c r="S1851" i="4"/>
  <c r="M1851" i="4"/>
  <c r="O1851" i="4" s="1"/>
  <c r="L1851" i="4"/>
  <c r="N1851" i="4" s="1"/>
  <c r="K1851" i="4"/>
  <c r="J1851" i="4"/>
  <c r="F1851" i="4"/>
  <c r="E1851" i="4"/>
  <c r="D1851" i="4"/>
  <c r="S1850" i="4"/>
  <c r="M1850" i="4"/>
  <c r="O1850" i="4" s="1"/>
  <c r="L1850" i="4"/>
  <c r="N1850" i="4" s="1"/>
  <c r="K1850" i="4"/>
  <c r="J1850" i="4"/>
  <c r="F1850" i="4"/>
  <c r="E1850" i="4"/>
  <c r="D1850" i="4"/>
  <c r="S1849" i="4"/>
  <c r="M1849" i="4"/>
  <c r="O1849" i="4" s="1"/>
  <c r="L1849" i="4"/>
  <c r="N1849" i="4" s="1"/>
  <c r="K1849" i="4"/>
  <c r="J1849" i="4"/>
  <c r="S1848" i="4"/>
  <c r="M1848" i="4"/>
  <c r="O1848" i="4" s="1"/>
  <c r="L1848" i="4"/>
  <c r="N1848" i="4" s="1"/>
  <c r="K1848" i="4"/>
  <c r="J1848" i="4"/>
  <c r="S1847" i="4"/>
  <c r="M1847" i="4"/>
  <c r="O1847" i="4" s="1"/>
  <c r="L1847" i="4"/>
  <c r="N1847" i="4" s="1"/>
  <c r="K1847" i="4"/>
  <c r="J1847" i="4"/>
  <c r="S1846" i="4"/>
  <c r="M1846" i="4"/>
  <c r="O1846" i="4" s="1"/>
  <c r="L1846" i="4"/>
  <c r="N1846" i="4" s="1"/>
  <c r="K1846" i="4"/>
  <c r="J1846" i="4"/>
  <c r="S1845" i="4"/>
  <c r="M1845" i="4"/>
  <c r="O1845" i="4" s="1"/>
  <c r="L1845" i="4"/>
  <c r="N1845" i="4" s="1"/>
  <c r="K1845" i="4"/>
  <c r="J1845" i="4"/>
  <c r="F1845" i="4"/>
  <c r="E1845" i="4"/>
  <c r="D1845" i="4"/>
  <c r="S1844" i="4"/>
  <c r="M1844" i="4"/>
  <c r="O1844" i="4" s="1"/>
  <c r="L1844" i="4"/>
  <c r="N1844" i="4" s="1"/>
  <c r="K1844" i="4"/>
  <c r="J1844" i="4"/>
  <c r="S1843" i="4"/>
  <c r="M1843" i="4"/>
  <c r="O1843" i="4" s="1"/>
  <c r="L1843" i="4"/>
  <c r="N1843" i="4" s="1"/>
  <c r="K1843" i="4"/>
  <c r="J1843" i="4"/>
  <c r="S1842" i="4"/>
  <c r="M1842" i="4"/>
  <c r="O1842" i="4" s="1"/>
  <c r="L1842" i="4"/>
  <c r="N1842" i="4" s="1"/>
  <c r="K1842" i="4"/>
  <c r="J1842" i="4"/>
  <c r="S1841" i="4"/>
  <c r="M1841" i="4"/>
  <c r="O1841" i="4" s="1"/>
  <c r="L1841" i="4"/>
  <c r="N1841" i="4" s="1"/>
  <c r="K1841" i="4"/>
  <c r="J1841" i="4"/>
  <c r="S1840" i="4"/>
  <c r="M1840" i="4"/>
  <c r="O1840" i="4" s="1"/>
  <c r="L1840" i="4"/>
  <c r="N1840" i="4" s="1"/>
  <c r="K1840" i="4"/>
  <c r="J1840" i="4"/>
  <c r="F1840" i="4"/>
  <c r="E1840" i="4"/>
  <c r="D1840" i="4"/>
  <c r="S1839" i="4"/>
  <c r="M1839" i="4"/>
  <c r="O1839" i="4" s="1"/>
  <c r="L1839" i="4"/>
  <c r="N1839" i="4" s="1"/>
  <c r="K1839" i="4"/>
  <c r="J1839" i="4"/>
  <c r="F1839" i="4"/>
  <c r="E1839" i="4"/>
  <c r="D1839" i="4"/>
  <c r="S1838" i="4"/>
  <c r="M1838" i="4"/>
  <c r="O1838" i="4" s="1"/>
  <c r="L1838" i="4"/>
  <c r="N1838" i="4" s="1"/>
  <c r="K1838" i="4"/>
  <c r="J1838" i="4"/>
  <c r="S1837" i="4"/>
  <c r="M1837" i="4"/>
  <c r="O1837" i="4" s="1"/>
  <c r="L1837" i="4"/>
  <c r="N1837" i="4" s="1"/>
  <c r="K1837" i="4"/>
  <c r="J1837" i="4"/>
  <c r="S1836" i="4"/>
  <c r="M1836" i="4"/>
  <c r="O1836" i="4" s="1"/>
  <c r="L1836" i="4"/>
  <c r="N1836" i="4" s="1"/>
  <c r="K1836" i="4"/>
  <c r="J1836" i="4"/>
  <c r="S1835" i="4"/>
  <c r="M1835" i="4"/>
  <c r="O1835" i="4" s="1"/>
  <c r="L1835" i="4"/>
  <c r="N1835" i="4" s="1"/>
  <c r="K1835" i="4"/>
  <c r="J1835" i="4"/>
  <c r="S1834" i="4"/>
  <c r="M1834" i="4"/>
  <c r="O1834" i="4" s="1"/>
  <c r="L1834" i="4"/>
  <c r="N1834" i="4" s="1"/>
  <c r="K1834" i="4"/>
  <c r="J1834" i="4"/>
  <c r="F1834" i="4"/>
  <c r="E1834" i="4"/>
  <c r="D1834" i="4"/>
  <c r="S1833" i="4"/>
  <c r="M1833" i="4"/>
  <c r="O1833" i="4" s="1"/>
  <c r="L1833" i="4"/>
  <c r="N1833" i="4" s="1"/>
  <c r="K1833" i="4"/>
  <c r="J1833" i="4"/>
  <c r="F1833" i="4"/>
  <c r="E1833" i="4"/>
  <c r="D1833" i="4"/>
  <c r="S1832" i="4"/>
  <c r="M1832" i="4"/>
  <c r="O1832" i="4" s="1"/>
  <c r="L1832" i="4"/>
  <c r="N1832" i="4" s="1"/>
  <c r="K1832" i="4"/>
  <c r="J1832" i="4"/>
  <c r="S1831" i="4"/>
  <c r="M1831" i="4"/>
  <c r="O1831" i="4" s="1"/>
  <c r="L1831" i="4"/>
  <c r="N1831" i="4" s="1"/>
  <c r="K1831" i="4"/>
  <c r="J1831" i="4"/>
  <c r="F1831" i="4"/>
  <c r="E1831" i="4"/>
  <c r="D1831" i="4"/>
  <c r="S1830" i="4"/>
  <c r="M1830" i="4"/>
  <c r="O1830" i="4" s="1"/>
  <c r="L1830" i="4"/>
  <c r="N1830" i="4" s="1"/>
  <c r="K1830" i="4"/>
  <c r="J1830" i="4"/>
  <c r="S1829" i="4"/>
  <c r="M1829" i="4"/>
  <c r="O1829" i="4" s="1"/>
  <c r="L1829" i="4"/>
  <c r="N1829" i="4" s="1"/>
  <c r="K1829" i="4"/>
  <c r="J1829" i="4"/>
  <c r="S1828" i="4"/>
  <c r="M1828" i="4"/>
  <c r="O1828" i="4" s="1"/>
  <c r="L1828" i="4"/>
  <c r="N1828" i="4" s="1"/>
  <c r="K1828" i="4"/>
  <c r="J1828" i="4"/>
  <c r="S1827" i="4"/>
  <c r="M1827" i="4"/>
  <c r="O1827" i="4" s="1"/>
  <c r="L1827" i="4"/>
  <c r="N1827" i="4" s="1"/>
  <c r="K1827" i="4"/>
  <c r="J1827" i="4"/>
  <c r="S1826" i="4"/>
  <c r="M1826" i="4"/>
  <c r="O1826" i="4" s="1"/>
  <c r="L1826" i="4"/>
  <c r="N1826" i="4" s="1"/>
  <c r="K1826" i="4"/>
  <c r="J1826" i="4"/>
  <c r="S1825" i="4"/>
  <c r="M1825" i="4"/>
  <c r="O1825" i="4" s="1"/>
  <c r="L1825" i="4"/>
  <c r="N1825" i="4" s="1"/>
  <c r="K1825" i="4"/>
  <c r="J1825" i="4"/>
  <c r="F1825" i="4"/>
  <c r="E1825" i="4"/>
  <c r="D1825" i="4"/>
  <c r="S1824" i="4"/>
  <c r="M1824" i="4"/>
  <c r="O1824" i="4" s="1"/>
  <c r="L1824" i="4"/>
  <c r="N1824" i="4" s="1"/>
  <c r="K1824" i="4"/>
  <c r="J1824" i="4"/>
  <c r="S1823" i="4"/>
  <c r="M1823" i="4"/>
  <c r="O1823" i="4" s="1"/>
  <c r="L1823" i="4"/>
  <c r="N1823" i="4" s="1"/>
  <c r="K1823" i="4"/>
  <c r="J1823" i="4"/>
  <c r="S1822" i="4"/>
  <c r="M1822" i="4"/>
  <c r="O1822" i="4" s="1"/>
  <c r="L1822" i="4"/>
  <c r="N1822" i="4" s="1"/>
  <c r="K1822" i="4"/>
  <c r="J1822" i="4"/>
  <c r="S1821" i="4"/>
  <c r="M1821" i="4"/>
  <c r="O1821" i="4" s="1"/>
  <c r="L1821" i="4"/>
  <c r="N1821" i="4" s="1"/>
  <c r="K1821" i="4"/>
  <c r="J1821" i="4"/>
  <c r="S1820" i="4"/>
  <c r="M1820" i="4"/>
  <c r="O1820" i="4" s="1"/>
  <c r="L1820" i="4"/>
  <c r="N1820" i="4" s="1"/>
  <c r="K1820" i="4"/>
  <c r="J1820" i="4"/>
  <c r="S1819" i="4"/>
  <c r="M1819" i="4"/>
  <c r="O1819" i="4" s="1"/>
  <c r="L1819" i="4"/>
  <c r="N1819" i="4" s="1"/>
  <c r="K1819" i="4"/>
  <c r="J1819" i="4"/>
  <c r="F1819" i="4"/>
  <c r="E1819" i="4"/>
  <c r="D1819" i="4"/>
  <c r="S1818" i="4"/>
  <c r="P1818" i="4"/>
  <c r="D1818" i="4" s="1"/>
  <c r="M1818" i="4"/>
  <c r="O1818" i="4" s="1"/>
  <c r="L1818" i="4"/>
  <c r="N1818" i="4" s="1"/>
  <c r="K1818" i="4"/>
  <c r="J1818" i="4"/>
  <c r="F1818" i="4"/>
  <c r="E1818" i="4"/>
  <c r="S1817" i="4"/>
  <c r="M1817" i="4"/>
  <c r="O1817" i="4" s="1"/>
  <c r="L1817" i="4"/>
  <c r="N1817" i="4" s="1"/>
  <c r="K1817" i="4"/>
  <c r="J1817" i="4"/>
  <c r="F1817" i="4"/>
  <c r="E1817" i="4"/>
  <c r="D1817" i="4"/>
  <c r="S1816" i="4"/>
  <c r="M1816" i="4"/>
  <c r="O1816" i="4" s="1"/>
  <c r="L1816" i="4"/>
  <c r="N1816" i="4" s="1"/>
  <c r="K1816" i="4"/>
  <c r="J1816" i="4"/>
  <c r="S1815" i="4"/>
  <c r="M1815" i="4"/>
  <c r="O1815" i="4" s="1"/>
  <c r="L1815" i="4"/>
  <c r="N1815" i="4" s="1"/>
  <c r="K1815" i="4"/>
  <c r="J1815" i="4"/>
  <c r="S1814" i="4"/>
  <c r="M1814" i="4"/>
  <c r="O1814" i="4" s="1"/>
  <c r="L1814" i="4"/>
  <c r="N1814" i="4" s="1"/>
  <c r="K1814" i="4"/>
  <c r="J1814" i="4"/>
  <c r="M1813" i="4"/>
  <c r="O1813" i="4" s="1"/>
  <c r="L1813" i="4"/>
  <c r="N1813" i="4" s="1"/>
  <c r="K1813" i="4"/>
  <c r="J1813" i="4"/>
  <c r="S1812" i="4"/>
  <c r="M1812" i="4"/>
  <c r="O1812" i="4" s="1"/>
  <c r="L1812" i="4"/>
  <c r="N1812" i="4" s="1"/>
  <c r="K1812" i="4"/>
  <c r="J1812" i="4"/>
  <c r="S1811" i="4"/>
  <c r="M1811" i="4"/>
  <c r="O1811" i="4" s="1"/>
  <c r="L1811" i="4"/>
  <c r="N1811" i="4" s="1"/>
  <c r="K1811" i="4"/>
  <c r="J1811" i="4"/>
  <c r="S1810" i="4"/>
  <c r="M1810" i="4"/>
  <c r="O1810" i="4" s="1"/>
  <c r="L1810" i="4"/>
  <c r="N1810" i="4" s="1"/>
  <c r="K1810" i="4"/>
  <c r="J1810" i="4"/>
  <c r="S1809" i="4"/>
  <c r="M1809" i="4"/>
  <c r="O1809" i="4" s="1"/>
  <c r="L1809" i="4"/>
  <c r="N1809" i="4" s="1"/>
  <c r="K1809" i="4"/>
  <c r="J1809" i="4"/>
  <c r="S1807" i="4"/>
  <c r="M1807" i="4"/>
  <c r="O1807" i="4" s="1"/>
  <c r="L1807" i="4"/>
  <c r="N1807" i="4" s="1"/>
  <c r="K1807" i="4"/>
  <c r="J1807" i="4"/>
  <c r="S1806" i="4"/>
  <c r="M1806" i="4"/>
  <c r="O1806" i="4" s="1"/>
  <c r="L1806" i="4"/>
  <c r="N1806" i="4" s="1"/>
  <c r="K1806" i="4"/>
  <c r="J1806" i="4"/>
  <c r="S1805" i="4"/>
  <c r="M1805" i="4"/>
  <c r="O1805" i="4" s="1"/>
  <c r="L1805" i="4"/>
  <c r="N1805" i="4" s="1"/>
  <c r="K1805" i="4"/>
  <c r="J1805" i="4"/>
  <c r="S1804" i="4"/>
  <c r="M1804" i="4"/>
  <c r="O1804" i="4" s="1"/>
  <c r="L1804" i="4"/>
  <c r="N1804" i="4" s="1"/>
  <c r="K1804" i="4"/>
  <c r="J1804" i="4"/>
  <c r="S1803" i="4"/>
  <c r="M1803" i="4"/>
  <c r="O1803" i="4" s="1"/>
  <c r="L1803" i="4"/>
  <c r="N1803" i="4" s="1"/>
  <c r="K1803" i="4"/>
  <c r="J1803" i="4"/>
  <c r="S1802" i="4"/>
  <c r="M1802" i="4"/>
  <c r="O1802" i="4" s="1"/>
  <c r="L1802" i="4"/>
  <c r="N1802" i="4" s="1"/>
  <c r="K1802" i="4"/>
  <c r="J1802" i="4"/>
  <c r="S1801" i="4"/>
  <c r="M1801" i="4"/>
  <c r="O1801" i="4" s="1"/>
  <c r="L1801" i="4"/>
  <c r="N1801" i="4" s="1"/>
  <c r="K1801" i="4"/>
  <c r="J1801" i="4"/>
  <c r="P1800" i="4"/>
  <c r="D1800" i="4" s="1"/>
  <c r="M1800" i="4"/>
  <c r="O1800" i="4" s="1"/>
  <c r="L1800" i="4"/>
  <c r="N1800" i="4" s="1"/>
  <c r="K1800" i="4"/>
  <c r="J1800" i="4"/>
  <c r="F1800" i="4"/>
  <c r="E1800" i="4"/>
  <c r="S1799" i="4"/>
  <c r="M1799" i="4"/>
  <c r="O1799" i="4" s="1"/>
  <c r="L1799" i="4"/>
  <c r="N1799" i="4" s="1"/>
  <c r="K1799" i="4"/>
  <c r="J1799" i="4"/>
  <c r="S1798" i="4"/>
  <c r="M1798" i="4"/>
  <c r="O1798" i="4" s="1"/>
  <c r="L1798" i="4"/>
  <c r="N1798" i="4" s="1"/>
  <c r="K1798" i="4"/>
  <c r="J1798" i="4"/>
  <c r="F1798" i="4"/>
  <c r="E1798" i="4"/>
  <c r="D1798" i="4"/>
  <c r="S1797" i="4"/>
  <c r="M1797" i="4"/>
  <c r="O1797" i="4" s="1"/>
  <c r="L1797" i="4"/>
  <c r="N1797" i="4" s="1"/>
  <c r="K1797" i="4"/>
  <c r="J1797" i="4"/>
  <c r="F1797" i="4"/>
  <c r="E1797" i="4"/>
  <c r="D1797" i="4"/>
  <c r="S1796" i="4"/>
  <c r="M1796" i="4"/>
  <c r="O1796" i="4" s="1"/>
  <c r="L1796" i="4"/>
  <c r="N1796" i="4" s="1"/>
  <c r="K1796" i="4"/>
  <c r="J1796" i="4"/>
  <c r="S1795" i="4"/>
  <c r="M1795" i="4"/>
  <c r="O1795" i="4" s="1"/>
  <c r="L1795" i="4"/>
  <c r="N1795" i="4" s="1"/>
  <c r="K1795" i="4"/>
  <c r="J1795" i="4"/>
  <c r="F1795" i="4"/>
  <c r="E1795" i="4"/>
  <c r="D1795" i="4"/>
  <c r="S1794" i="4"/>
  <c r="M1794" i="4"/>
  <c r="O1794" i="4" s="1"/>
  <c r="L1794" i="4"/>
  <c r="N1794" i="4" s="1"/>
  <c r="K1794" i="4"/>
  <c r="J1794" i="4"/>
  <c r="F1794" i="4"/>
  <c r="E1794" i="4"/>
  <c r="D1794" i="4"/>
  <c r="S1793" i="4"/>
  <c r="M1793" i="4"/>
  <c r="O1793" i="4" s="1"/>
  <c r="L1793" i="4"/>
  <c r="N1793" i="4" s="1"/>
  <c r="K1793" i="4"/>
  <c r="J1793" i="4"/>
  <c r="F1793" i="4"/>
  <c r="E1793" i="4"/>
  <c r="D1793" i="4"/>
  <c r="S1792" i="4"/>
  <c r="M1792" i="4"/>
  <c r="O1792" i="4" s="1"/>
  <c r="L1792" i="4"/>
  <c r="N1792" i="4" s="1"/>
  <c r="K1792" i="4"/>
  <c r="J1792" i="4"/>
  <c r="S1791" i="4"/>
  <c r="M1791" i="4"/>
  <c r="O1791" i="4" s="1"/>
  <c r="L1791" i="4"/>
  <c r="N1791" i="4" s="1"/>
  <c r="K1791" i="4"/>
  <c r="J1791" i="4"/>
  <c r="S1790" i="4"/>
  <c r="M1790" i="4"/>
  <c r="O1790" i="4" s="1"/>
  <c r="L1790" i="4"/>
  <c r="N1790" i="4" s="1"/>
  <c r="K1790" i="4"/>
  <c r="J1790" i="4"/>
  <c r="S1789" i="4"/>
  <c r="M1789" i="4"/>
  <c r="O1789" i="4" s="1"/>
  <c r="L1789" i="4"/>
  <c r="N1789" i="4" s="1"/>
  <c r="K1789" i="4"/>
  <c r="J1789" i="4"/>
  <c r="F1789" i="4"/>
  <c r="E1789" i="4"/>
  <c r="D1789" i="4"/>
  <c r="S1788" i="4"/>
  <c r="M1788" i="4"/>
  <c r="O1788" i="4" s="1"/>
  <c r="L1788" i="4"/>
  <c r="N1788" i="4" s="1"/>
  <c r="K1788" i="4"/>
  <c r="J1788" i="4"/>
  <c r="S1787" i="4"/>
  <c r="M1787" i="4"/>
  <c r="O1787" i="4" s="1"/>
  <c r="L1787" i="4"/>
  <c r="N1787" i="4" s="1"/>
  <c r="K1787" i="4"/>
  <c r="J1787" i="4"/>
  <c r="S1786" i="4"/>
  <c r="M1786" i="4"/>
  <c r="O1786" i="4" s="1"/>
  <c r="L1786" i="4"/>
  <c r="N1786" i="4" s="1"/>
  <c r="K1786" i="4"/>
  <c r="J1786" i="4"/>
  <c r="S1785" i="4"/>
  <c r="M1785" i="4"/>
  <c r="O1785" i="4" s="1"/>
  <c r="L1785" i="4"/>
  <c r="N1785" i="4" s="1"/>
  <c r="K1785" i="4"/>
  <c r="J1785" i="4"/>
  <c r="S1784" i="4"/>
  <c r="M1784" i="4"/>
  <c r="O1784" i="4" s="1"/>
  <c r="L1784" i="4"/>
  <c r="N1784" i="4" s="1"/>
  <c r="K1784" i="4"/>
  <c r="J1784" i="4"/>
  <c r="F1784" i="4"/>
  <c r="E1784" i="4"/>
  <c r="D1784" i="4"/>
  <c r="S1783" i="4"/>
  <c r="M1783" i="4"/>
  <c r="O1783" i="4" s="1"/>
  <c r="L1783" i="4"/>
  <c r="N1783" i="4" s="1"/>
  <c r="K1783" i="4"/>
  <c r="J1783" i="4"/>
  <c r="F1783" i="4"/>
  <c r="E1783" i="4"/>
  <c r="D1783" i="4"/>
  <c r="S1782" i="4"/>
  <c r="M1782" i="4"/>
  <c r="O1782" i="4" s="1"/>
  <c r="L1782" i="4"/>
  <c r="N1782" i="4" s="1"/>
  <c r="K1782" i="4"/>
  <c r="J1782" i="4"/>
  <c r="F1782" i="4"/>
  <c r="E1782" i="4"/>
  <c r="D1782" i="4"/>
  <c r="S1781" i="4"/>
  <c r="M1781" i="4"/>
  <c r="O1781" i="4" s="1"/>
  <c r="L1781" i="4"/>
  <c r="N1781" i="4" s="1"/>
  <c r="K1781" i="4"/>
  <c r="J1781" i="4"/>
  <c r="F1781" i="4"/>
  <c r="E1781" i="4"/>
  <c r="D1781" i="4"/>
  <c r="S1780" i="4"/>
  <c r="M1780" i="4"/>
  <c r="O1780" i="4" s="1"/>
  <c r="L1780" i="4"/>
  <c r="N1780" i="4" s="1"/>
  <c r="K1780" i="4"/>
  <c r="J1780" i="4"/>
  <c r="S1779" i="4"/>
  <c r="M1779" i="4"/>
  <c r="O1779" i="4" s="1"/>
  <c r="L1779" i="4"/>
  <c r="N1779" i="4" s="1"/>
  <c r="K1779" i="4"/>
  <c r="J1779" i="4"/>
  <c r="S1778" i="4"/>
  <c r="M1778" i="4"/>
  <c r="O1778" i="4" s="1"/>
  <c r="L1778" i="4"/>
  <c r="N1778" i="4" s="1"/>
  <c r="K1778" i="4"/>
  <c r="J1778" i="4"/>
  <c r="M1777" i="4"/>
  <c r="O1777" i="4" s="1"/>
  <c r="L1777" i="4"/>
  <c r="N1777" i="4" s="1"/>
  <c r="K1777" i="4"/>
  <c r="J1777" i="4"/>
  <c r="M1776" i="4"/>
  <c r="O1776" i="4" s="1"/>
  <c r="L1776" i="4"/>
  <c r="N1776" i="4" s="1"/>
  <c r="K1776" i="4"/>
  <c r="J1776" i="4"/>
  <c r="S1775" i="4"/>
  <c r="M1775" i="4"/>
  <c r="O1775" i="4" s="1"/>
  <c r="L1775" i="4"/>
  <c r="N1775" i="4" s="1"/>
  <c r="K1775" i="4"/>
  <c r="J1775" i="4"/>
  <c r="S1774" i="4"/>
  <c r="M1774" i="4"/>
  <c r="O1774" i="4" s="1"/>
  <c r="L1774" i="4"/>
  <c r="N1774" i="4" s="1"/>
  <c r="K1774" i="4"/>
  <c r="J1774" i="4"/>
  <c r="S1773" i="4"/>
  <c r="M1773" i="4"/>
  <c r="O1773" i="4" s="1"/>
  <c r="L1773" i="4"/>
  <c r="N1773" i="4" s="1"/>
  <c r="K1773" i="4"/>
  <c r="J1773" i="4"/>
  <c r="S1772" i="4"/>
  <c r="M1772" i="4"/>
  <c r="O1772" i="4" s="1"/>
  <c r="L1772" i="4"/>
  <c r="N1772" i="4" s="1"/>
  <c r="K1772" i="4"/>
  <c r="J1772" i="4"/>
  <c r="S1771" i="4"/>
  <c r="M1771" i="4"/>
  <c r="O1771" i="4" s="1"/>
  <c r="L1771" i="4"/>
  <c r="N1771" i="4" s="1"/>
  <c r="K1771" i="4"/>
  <c r="J1771" i="4"/>
  <c r="S1770" i="4"/>
  <c r="M1770" i="4"/>
  <c r="O1770" i="4" s="1"/>
  <c r="L1770" i="4"/>
  <c r="N1770" i="4" s="1"/>
  <c r="K1770" i="4"/>
  <c r="J1770" i="4"/>
  <c r="S1769" i="4"/>
  <c r="M1769" i="4"/>
  <c r="O1769" i="4" s="1"/>
  <c r="L1769" i="4"/>
  <c r="N1769" i="4" s="1"/>
  <c r="K1769" i="4"/>
  <c r="J1769" i="4"/>
  <c r="F1769" i="4"/>
  <c r="E1769" i="4"/>
  <c r="D1769" i="4"/>
  <c r="S1768" i="4"/>
  <c r="N1768" i="4"/>
  <c r="M1768" i="4"/>
  <c r="O1768" i="4" s="1"/>
  <c r="L1768" i="4"/>
  <c r="K1768" i="4"/>
  <c r="J1768" i="4"/>
  <c r="S1767" i="4"/>
  <c r="M1767" i="4"/>
  <c r="O1767" i="4" s="1"/>
  <c r="L1767" i="4"/>
  <c r="N1767" i="4" s="1"/>
  <c r="K1767" i="4"/>
  <c r="J1767" i="4"/>
  <c r="S1766" i="4"/>
  <c r="M1766" i="4"/>
  <c r="O1766" i="4" s="1"/>
  <c r="L1766" i="4"/>
  <c r="N1766" i="4" s="1"/>
  <c r="K1766" i="4"/>
  <c r="J1766" i="4"/>
  <c r="F1766" i="4"/>
  <c r="E1766" i="4"/>
  <c r="D1766" i="4"/>
  <c r="S1765" i="4"/>
  <c r="M1765" i="4"/>
  <c r="O1765" i="4" s="1"/>
  <c r="L1765" i="4"/>
  <c r="N1765" i="4" s="1"/>
  <c r="K1765" i="4"/>
  <c r="J1765" i="4"/>
  <c r="S1764" i="4"/>
  <c r="M1764" i="4"/>
  <c r="O1764" i="4" s="1"/>
  <c r="L1764" i="4"/>
  <c r="N1764" i="4" s="1"/>
  <c r="K1764" i="4"/>
  <c r="J1764" i="4"/>
  <c r="S1763" i="4"/>
  <c r="M1763" i="4"/>
  <c r="O1763" i="4" s="1"/>
  <c r="L1763" i="4"/>
  <c r="N1763" i="4" s="1"/>
  <c r="K1763" i="4"/>
  <c r="J1763" i="4"/>
  <c r="F1763" i="4"/>
  <c r="E1763" i="4"/>
  <c r="D1763" i="4"/>
  <c r="S1762" i="4"/>
  <c r="M1762" i="4"/>
  <c r="O1762" i="4" s="1"/>
  <c r="L1762" i="4"/>
  <c r="N1762" i="4" s="1"/>
  <c r="K1762" i="4"/>
  <c r="J1762" i="4"/>
  <c r="S1761" i="4"/>
  <c r="M1761" i="4"/>
  <c r="O1761" i="4" s="1"/>
  <c r="L1761" i="4"/>
  <c r="N1761" i="4" s="1"/>
  <c r="K1761" i="4"/>
  <c r="J1761" i="4"/>
  <c r="S1760" i="4"/>
  <c r="M1760" i="4"/>
  <c r="O1760" i="4" s="1"/>
  <c r="L1760" i="4"/>
  <c r="N1760" i="4" s="1"/>
  <c r="K1760" i="4"/>
  <c r="J1760" i="4"/>
  <c r="S1759" i="4"/>
  <c r="M1759" i="4"/>
  <c r="O1759" i="4" s="1"/>
  <c r="L1759" i="4"/>
  <c r="N1759" i="4" s="1"/>
  <c r="K1759" i="4"/>
  <c r="J1759" i="4"/>
  <c r="S1758" i="4"/>
  <c r="M1758" i="4"/>
  <c r="O1758" i="4" s="1"/>
  <c r="L1758" i="4"/>
  <c r="N1758" i="4" s="1"/>
  <c r="K1758" i="4"/>
  <c r="J1758" i="4"/>
  <c r="S1757" i="4"/>
  <c r="M1757" i="4"/>
  <c r="O1757" i="4" s="1"/>
  <c r="L1757" i="4"/>
  <c r="N1757" i="4" s="1"/>
  <c r="K1757" i="4"/>
  <c r="J1757" i="4"/>
  <c r="S1756" i="4"/>
  <c r="M1756" i="4"/>
  <c r="O1756" i="4" s="1"/>
  <c r="L1756" i="4"/>
  <c r="N1756" i="4" s="1"/>
  <c r="K1756" i="4"/>
  <c r="J1756" i="4"/>
  <c r="S1755" i="4"/>
  <c r="M1755" i="4"/>
  <c r="O1755" i="4" s="1"/>
  <c r="L1755" i="4"/>
  <c r="N1755" i="4" s="1"/>
  <c r="K1755" i="4"/>
  <c r="J1755" i="4"/>
  <c r="S1754" i="4"/>
  <c r="M1754" i="4"/>
  <c r="O1754" i="4" s="1"/>
  <c r="L1754" i="4"/>
  <c r="N1754" i="4" s="1"/>
  <c r="K1754" i="4"/>
  <c r="J1754" i="4"/>
  <c r="S1753" i="4"/>
  <c r="M1753" i="4"/>
  <c r="O1753" i="4" s="1"/>
  <c r="L1753" i="4"/>
  <c r="N1753" i="4" s="1"/>
  <c r="K1753" i="4"/>
  <c r="J1753" i="4"/>
  <c r="S1752" i="4"/>
  <c r="M1752" i="4"/>
  <c r="O1752" i="4" s="1"/>
  <c r="L1752" i="4"/>
  <c r="N1752" i="4" s="1"/>
  <c r="K1752" i="4"/>
  <c r="J1752" i="4"/>
  <c r="S1751" i="4"/>
  <c r="M1751" i="4"/>
  <c r="O1751" i="4" s="1"/>
  <c r="L1751" i="4"/>
  <c r="N1751" i="4" s="1"/>
  <c r="K1751" i="4"/>
  <c r="J1751" i="4"/>
  <c r="F1751" i="4"/>
  <c r="E1751" i="4"/>
  <c r="D1751" i="4"/>
  <c r="S1750" i="4"/>
  <c r="M1750" i="4"/>
  <c r="O1750" i="4" s="1"/>
  <c r="L1750" i="4"/>
  <c r="N1750" i="4" s="1"/>
  <c r="K1750" i="4"/>
  <c r="J1750" i="4"/>
  <c r="S1749" i="4"/>
  <c r="N1749" i="4"/>
  <c r="M1749" i="4"/>
  <c r="O1749" i="4" s="1"/>
  <c r="L1749" i="4"/>
  <c r="K1749" i="4"/>
  <c r="J1749" i="4"/>
  <c r="S1748" i="4"/>
  <c r="M1748" i="4"/>
  <c r="O1748" i="4" s="1"/>
  <c r="L1748" i="4"/>
  <c r="N1748" i="4" s="1"/>
  <c r="K1748" i="4"/>
  <c r="J1748" i="4"/>
  <c r="S1747" i="4"/>
  <c r="M1747" i="4"/>
  <c r="O1747" i="4" s="1"/>
  <c r="L1747" i="4"/>
  <c r="N1747" i="4" s="1"/>
  <c r="K1747" i="4"/>
  <c r="J1747" i="4"/>
  <c r="S1746" i="4"/>
  <c r="M1746" i="4"/>
  <c r="O1746" i="4" s="1"/>
  <c r="L1746" i="4"/>
  <c r="N1746" i="4" s="1"/>
  <c r="K1746" i="4"/>
  <c r="J1746" i="4"/>
  <c r="S1745" i="4"/>
  <c r="M1745" i="4"/>
  <c r="O1745" i="4" s="1"/>
  <c r="L1745" i="4"/>
  <c r="N1745" i="4" s="1"/>
  <c r="K1745" i="4"/>
  <c r="J1745" i="4"/>
  <c r="M1744" i="4"/>
  <c r="O1744" i="4" s="1"/>
  <c r="L1744" i="4"/>
  <c r="N1744" i="4" s="1"/>
  <c r="K1744" i="4"/>
  <c r="J1744" i="4"/>
  <c r="S1743" i="4"/>
  <c r="M1743" i="4"/>
  <c r="O1743" i="4" s="1"/>
  <c r="L1743" i="4"/>
  <c r="N1743" i="4" s="1"/>
  <c r="K1743" i="4"/>
  <c r="J1743" i="4"/>
  <c r="F1743" i="4"/>
  <c r="E1743" i="4"/>
  <c r="D1743" i="4"/>
  <c r="S1742" i="4"/>
  <c r="M1742" i="4"/>
  <c r="O1742" i="4" s="1"/>
  <c r="L1742" i="4"/>
  <c r="N1742" i="4" s="1"/>
  <c r="K1742" i="4"/>
  <c r="J1742" i="4"/>
  <c r="S1741" i="4"/>
  <c r="M1741" i="4"/>
  <c r="O1741" i="4" s="1"/>
  <c r="L1741" i="4"/>
  <c r="N1741" i="4" s="1"/>
  <c r="K1741" i="4"/>
  <c r="J1741" i="4"/>
  <c r="S1740" i="4"/>
  <c r="M1740" i="4"/>
  <c r="O1740" i="4" s="1"/>
  <c r="L1740" i="4"/>
  <c r="N1740" i="4" s="1"/>
  <c r="K1740" i="4"/>
  <c r="J1740" i="4"/>
  <c r="S1739" i="4"/>
  <c r="M1739" i="4"/>
  <c r="O1739" i="4" s="1"/>
  <c r="L1739" i="4"/>
  <c r="N1739" i="4" s="1"/>
  <c r="K1739" i="4"/>
  <c r="J1739" i="4"/>
  <c r="S1737" i="4"/>
  <c r="M1737" i="4"/>
  <c r="O1737" i="4" s="1"/>
  <c r="L1737" i="4"/>
  <c r="N1737" i="4" s="1"/>
  <c r="K1737" i="4"/>
  <c r="J1737" i="4"/>
  <c r="S1736" i="4"/>
  <c r="M1736" i="4"/>
  <c r="O1736" i="4" s="1"/>
  <c r="L1736" i="4"/>
  <c r="N1736" i="4" s="1"/>
  <c r="K1736" i="4"/>
  <c r="J1736" i="4"/>
  <c r="S1735" i="4"/>
  <c r="M1735" i="4"/>
  <c r="O1735" i="4" s="1"/>
  <c r="L1735" i="4"/>
  <c r="N1735" i="4" s="1"/>
  <c r="K1735" i="4"/>
  <c r="J1735" i="4"/>
  <c r="S1734" i="4"/>
  <c r="M1734" i="4"/>
  <c r="O1734" i="4" s="1"/>
  <c r="L1734" i="4"/>
  <c r="N1734" i="4" s="1"/>
  <c r="K1734" i="4"/>
  <c r="J1734" i="4"/>
  <c r="S1733" i="4"/>
  <c r="M1733" i="4"/>
  <c r="O1733" i="4" s="1"/>
  <c r="L1733" i="4"/>
  <c r="N1733" i="4" s="1"/>
  <c r="K1733" i="4"/>
  <c r="J1733" i="4"/>
  <c r="S1732" i="4"/>
  <c r="M1732" i="4"/>
  <c r="O1732" i="4" s="1"/>
  <c r="L1732" i="4"/>
  <c r="N1732" i="4" s="1"/>
  <c r="K1732" i="4"/>
  <c r="J1732" i="4"/>
  <c r="M1731" i="4"/>
  <c r="O1731" i="4" s="1"/>
  <c r="L1731" i="4"/>
  <c r="N1731" i="4" s="1"/>
  <c r="K1731" i="4"/>
  <c r="J1731" i="4"/>
  <c r="S1730" i="4"/>
  <c r="M1730" i="4"/>
  <c r="O1730" i="4" s="1"/>
  <c r="L1730" i="4"/>
  <c r="N1730" i="4" s="1"/>
  <c r="K1730" i="4"/>
  <c r="J1730" i="4"/>
  <c r="S1729" i="4"/>
  <c r="M1729" i="4"/>
  <c r="O1729" i="4" s="1"/>
  <c r="L1729" i="4"/>
  <c r="N1729" i="4" s="1"/>
  <c r="K1729" i="4"/>
  <c r="J1729" i="4"/>
  <c r="S1728" i="4"/>
  <c r="M1728" i="4"/>
  <c r="O1728" i="4" s="1"/>
  <c r="L1728" i="4"/>
  <c r="N1728" i="4" s="1"/>
  <c r="K1728" i="4"/>
  <c r="J1728" i="4"/>
  <c r="S1727" i="4"/>
  <c r="M1727" i="4"/>
  <c r="O1727" i="4" s="1"/>
  <c r="L1727" i="4"/>
  <c r="N1727" i="4" s="1"/>
  <c r="K1727" i="4"/>
  <c r="J1727" i="4"/>
  <c r="S1726" i="4"/>
  <c r="M1726" i="4"/>
  <c r="O1726" i="4" s="1"/>
  <c r="L1726" i="4"/>
  <c r="N1726" i="4" s="1"/>
  <c r="K1726" i="4"/>
  <c r="J1726" i="4"/>
  <c r="S1725" i="4"/>
  <c r="M1725" i="4"/>
  <c r="O1725" i="4" s="1"/>
  <c r="L1725" i="4"/>
  <c r="N1725" i="4" s="1"/>
  <c r="K1725" i="4"/>
  <c r="J1725" i="4"/>
  <c r="S1724" i="4"/>
  <c r="M1724" i="4"/>
  <c r="O1724" i="4" s="1"/>
  <c r="L1724" i="4"/>
  <c r="N1724" i="4" s="1"/>
  <c r="K1724" i="4"/>
  <c r="J1724" i="4"/>
  <c r="P1723" i="4"/>
  <c r="D1723" i="4" s="1"/>
  <c r="M1723" i="4"/>
  <c r="O1723" i="4" s="1"/>
  <c r="L1723" i="4"/>
  <c r="N1723" i="4" s="1"/>
  <c r="K1723" i="4"/>
  <c r="J1723" i="4"/>
  <c r="F1723" i="4"/>
  <c r="E1723" i="4"/>
  <c r="S1722" i="4"/>
  <c r="M1722" i="4"/>
  <c r="O1722" i="4" s="1"/>
  <c r="L1722" i="4"/>
  <c r="N1722" i="4" s="1"/>
  <c r="K1722" i="4"/>
  <c r="J1722" i="4"/>
  <c r="F1722" i="4"/>
  <c r="E1722" i="4"/>
  <c r="D1722" i="4"/>
  <c r="S1721" i="4"/>
  <c r="M1721" i="4"/>
  <c r="O1721" i="4" s="1"/>
  <c r="L1721" i="4"/>
  <c r="N1721" i="4" s="1"/>
  <c r="K1721" i="4"/>
  <c r="J1721" i="4"/>
  <c r="F1721" i="4"/>
  <c r="E1721" i="4"/>
  <c r="D1721" i="4"/>
  <c r="S1720" i="4"/>
  <c r="M1720" i="4"/>
  <c r="O1720" i="4" s="1"/>
  <c r="L1720" i="4"/>
  <c r="N1720" i="4" s="1"/>
  <c r="K1720" i="4"/>
  <c r="J1720" i="4"/>
  <c r="F1720" i="4"/>
  <c r="E1720" i="4"/>
  <c r="D1720" i="4"/>
  <c r="S1719" i="4"/>
  <c r="M1719" i="4"/>
  <c r="O1719" i="4" s="1"/>
  <c r="L1719" i="4"/>
  <c r="N1719" i="4" s="1"/>
  <c r="K1719" i="4"/>
  <c r="J1719" i="4"/>
  <c r="F1719" i="4"/>
  <c r="E1719" i="4"/>
  <c r="D1719" i="4"/>
  <c r="S1718" i="4"/>
  <c r="M1718" i="4"/>
  <c r="O1718" i="4" s="1"/>
  <c r="L1718" i="4"/>
  <c r="N1718" i="4" s="1"/>
  <c r="K1718" i="4"/>
  <c r="J1718" i="4"/>
  <c r="S1717" i="4"/>
  <c r="M1717" i="4"/>
  <c r="O1717" i="4" s="1"/>
  <c r="L1717" i="4"/>
  <c r="N1717" i="4" s="1"/>
  <c r="K1717" i="4"/>
  <c r="J1717" i="4"/>
  <c r="S1716" i="4"/>
  <c r="M1716" i="4"/>
  <c r="O1716" i="4" s="1"/>
  <c r="L1716" i="4"/>
  <c r="N1716" i="4" s="1"/>
  <c r="K1716" i="4"/>
  <c r="J1716" i="4"/>
  <c r="S1715" i="4"/>
  <c r="M1715" i="4"/>
  <c r="O1715" i="4" s="1"/>
  <c r="L1715" i="4"/>
  <c r="N1715" i="4" s="1"/>
  <c r="K1715" i="4"/>
  <c r="J1715" i="4"/>
  <c r="S1714" i="4"/>
  <c r="M1714" i="4"/>
  <c r="O1714" i="4" s="1"/>
  <c r="L1714" i="4"/>
  <c r="N1714" i="4" s="1"/>
  <c r="K1714" i="4"/>
  <c r="J1714" i="4"/>
  <c r="S1713" i="4"/>
  <c r="M1713" i="4"/>
  <c r="O1713" i="4" s="1"/>
  <c r="L1713" i="4"/>
  <c r="N1713" i="4" s="1"/>
  <c r="K1713" i="4"/>
  <c r="J1713" i="4"/>
  <c r="F1713" i="4"/>
  <c r="E1713" i="4"/>
  <c r="D1713" i="4"/>
  <c r="S1712" i="4"/>
  <c r="M1712" i="4"/>
  <c r="O1712" i="4" s="1"/>
  <c r="L1712" i="4"/>
  <c r="N1712" i="4" s="1"/>
  <c r="K1712" i="4"/>
  <c r="J1712" i="4"/>
  <c r="F1712" i="4"/>
  <c r="E1712" i="4"/>
  <c r="D1712" i="4"/>
  <c r="S1711" i="4"/>
  <c r="M1711" i="4"/>
  <c r="O1711" i="4" s="1"/>
  <c r="L1711" i="4"/>
  <c r="N1711" i="4" s="1"/>
  <c r="K1711" i="4"/>
  <c r="J1711" i="4"/>
  <c r="F1711" i="4"/>
  <c r="E1711" i="4"/>
  <c r="D1711" i="4"/>
  <c r="S1710" i="4"/>
  <c r="M1710" i="4"/>
  <c r="O1710" i="4" s="1"/>
  <c r="L1710" i="4"/>
  <c r="N1710" i="4" s="1"/>
  <c r="K1710" i="4"/>
  <c r="J1710" i="4"/>
  <c r="F1710" i="4"/>
  <c r="E1710" i="4"/>
  <c r="D1710" i="4"/>
  <c r="S1709" i="4"/>
  <c r="M1709" i="4"/>
  <c r="O1709" i="4" s="1"/>
  <c r="L1709" i="4"/>
  <c r="N1709" i="4" s="1"/>
  <c r="K1709" i="4"/>
  <c r="J1709" i="4"/>
  <c r="S1708" i="4"/>
  <c r="M1708" i="4"/>
  <c r="O1708" i="4" s="1"/>
  <c r="L1708" i="4"/>
  <c r="N1708" i="4" s="1"/>
  <c r="K1708" i="4"/>
  <c r="J1708" i="4"/>
  <c r="S1707" i="4"/>
  <c r="M1707" i="4"/>
  <c r="O1707" i="4" s="1"/>
  <c r="L1707" i="4"/>
  <c r="N1707" i="4" s="1"/>
  <c r="K1707" i="4"/>
  <c r="J1707" i="4"/>
  <c r="F1707" i="4"/>
  <c r="E1707" i="4"/>
  <c r="D1707" i="4"/>
  <c r="S1706" i="4"/>
  <c r="M1706" i="4"/>
  <c r="O1706" i="4" s="1"/>
  <c r="L1706" i="4"/>
  <c r="N1706" i="4" s="1"/>
  <c r="K1706" i="4"/>
  <c r="J1706" i="4"/>
  <c r="F1706" i="4"/>
  <c r="E1706" i="4"/>
  <c r="D1706" i="4"/>
  <c r="S1705" i="4"/>
  <c r="M1705" i="4"/>
  <c r="O1705" i="4" s="1"/>
  <c r="L1705" i="4"/>
  <c r="N1705" i="4" s="1"/>
  <c r="K1705" i="4"/>
  <c r="J1705" i="4"/>
  <c r="S1704" i="4"/>
  <c r="M1704" i="4"/>
  <c r="O1704" i="4" s="1"/>
  <c r="L1704" i="4"/>
  <c r="N1704" i="4" s="1"/>
  <c r="K1704" i="4"/>
  <c r="J1704" i="4"/>
  <c r="S1703" i="4"/>
  <c r="M1703" i="4"/>
  <c r="O1703" i="4" s="1"/>
  <c r="L1703" i="4"/>
  <c r="N1703" i="4" s="1"/>
  <c r="K1703" i="4"/>
  <c r="J1703" i="4"/>
  <c r="S1702" i="4"/>
  <c r="M1702" i="4"/>
  <c r="O1702" i="4" s="1"/>
  <c r="L1702" i="4"/>
  <c r="N1702" i="4" s="1"/>
  <c r="K1702" i="4"/>
  <c r="J1702" i="4"/>
  <c r="S1701" i="4"/>
  <c r="M1701" i="4"/>
  <c r="O1701" i="4" s="1"/>
  <c r="L1701" i="4"/>
  <c r="N1701" i="4" s="1"/>
  <c r="K1701" i="4"/>
  <c r="J1701" i="4"/>
  <c r="F1701" i="4"/>
  <c r="E1701" i="4"/>
  <c r="D1701" i="4"/>
  <c r="S1700" i="4"/>
  <c r="M1700" i="4"/>
  <c r="O1700" i="4" s="1"/>
  <c r="L1700" i="4"/>
  <c r="N1700" i="4" s="1"/>
  <c r="K1700" i="4"/>
  <c r="J1700" i="4"/>
  <c r="S1699" i="4"/>
  <c r="M1699" i="4"/>
  <c r="O1699" i="4" s="1"/>
  <c r="L1699" i="4"/>
  <c r="N1699" i="4" s="1"/>
  <c r="K1699" i="4"/>
  <c r="J1699" i="4"/>
  <c r="S1698" i="4"/>
  <c r="M1698" i="4"/>
  <c r="O1698" i="4" s="1"/>
  <c r="L1698" i="4"/>
  <c r="N1698" i="4" s="1"/>
  <c r="K1698" i="4"/>
  <c r="J1698" i="4"/>
  <c r="S1697" i="4"/>
  <c r="M1697" i="4"/>
  <c r="O1697" i="4" s="1"/>
  <c r="L1697" i="4"/>
  <c r="N1697" i="4" s="1"/>
  <c r="K1697" i="4"/>
  <c r="J1697" i="4"/>
  <c r="F1697" i="4"/>
  <c r="E1697" i="4"/>
  <c r="D1697" i="4"/>
  <c r="S1696" i="4"/>
  <c r="M1696" i="4"/>
  <c r="O1696" i="4" s="1"/>
  <c r="L1696" i="4"/>
  <c r="N1696" i="4" s="1"/>
  <c r="K1696" i="4"/>
  <c r="J1696" i="4"/>
  <c r="S1695" i="4"/>
  <c r="M1695" i="4"/>
  <c r="O1695" i="4" s="1"/>
  <c r="L1695" i="4"/>
  <c r="N1695" i="4" s="1"/>
  <c r="K1695" i="4"/>
  <c r="J1695" i="4"/>
  <c r="S1694" i="4"/>
  <c r="M1694" i="4"/>
  <c r="O1694" i="4" s="1"/>
  <c r="L1694" i="4"/>
  <c r="N1694" i="4" s="1"/>
  <c r="K1694" i="4"/>
  <c r="J1694" i="4"/>
  <c r="S1693" i="4"/>
  <c r="M1693" i="4"/>
  <c r="O1693" i="4" s="1"/>
  <c r="L1693" i="4"/>
  <c r="N1693" i="4" s="1"/>
  <c r="K1693" i="4"/>
  <c r="J1693" i="4"/>
  <c r="S1692" i="4"/>
  <c r="M1692" i="4"/>
  <c r="O1692" i="4" s="1"/>
  <c r="L1692" i="4"/>
  <c r="N1692" i="4" s="1"/>
  <c r="K1692" i="4"/>
  <c r="J1692" i="4"/>
  <c r="S1691" i="4"/>
  <c r="M1691" i="4"/>
  <c r="O1691" i="4" s="1"/>
  <c r="L1691" i="4"/>
  <c r="N1691" i="4" s="1"/>
  <c r="K1691" i="4"/>
  <c r="J1691" i="4"/>
  <c r="S1690" i="4"/>
  <c r="M1690" i="4"/>
  <c r="O1690" i="4" s="1"/>
  <c r="L1690" i="4"/>
  <c r="N1690" i="4" s="1"/>
  <c r="K1690" i="4"/>
  <c r="J1690" i="4"/>
  <c r="S1689" i="4"/>
  <c r="M1689" i="4"/>
  <c r="O1689" i="4" s="1"/>
  <c r="L1689" i="4"/>
  <c r="N1689" i="4" s="1"/>
  <c r="K1689" i="4"/>
  <c r="J1689" i="4"/>
  <c r="S1688" i="4"/>
  <c r="M1688" i="4"/>
  <c r="O1688" i="4" s="1"/>
  <c r="L1688" i="4"/>
  <c r="N1688" i="4" s="1"/>
  <c r="K1688" i="4"/>
  <c r="J1688" i="4"/>
  <c r="M1687" i="4"/>
  <c r="O1687" i="4" s="1"/>
  <c r="L1687" i="4"/>
  <c r="N1687" i="4" s="1"/>
  <c r="K1687" i="4"/>
  <c r="J1687" i="4"/>
  <c r="S1686" i="4"/>
  <c r="M1686" i="4"/>
  <c r="O1686" i="4" s="1"/>
  <c r="L1686" i="4"/>
  <c r="N1686" i="4" s="1"/>
  <c r="K1686" i="4"/>
  <c r="J1686" i="4"/>
  <c r="F1686" i="4"/>
  <c r="E1686" i="4"/>
  <c r="D1686" i="4"/>
  <c r="S1685" i="4"/>
  <c r="M1685" i="4"/>
  <c r="O1685" i="4" s="1"/>
  <c r="L1685" i="4"/>
  <c r="N1685" i="4" s="1"/>
  <c r="K1685" i="4"/>
  <c r="J1685" i="4"/>
  <c r="S1684" i="4"/>
  <c r="M1684" i="4"/>
  <c r="O1684" i="4" s="1"/>
  <c r="L1684" i="4"/>
  <c r="N1684" i="4" s="1"/>
  <c r="K1684" i="4"/>
  <c r="J1684" i="4"/>
  <c r="S1683" i="4"/>
  <c r="M1683" i="4"/>
  <c r="O1683" i="4" s="1"/>
  <c r="L1683" i="4"/>
  <c r="N1683" i="4" s="1"/>
  <c r="K1683" i="4"/>
  <c r="J1683" i="4"/>
  <c r="S1682" i="4"/>
  <c r="M1682" i="4"/>
  <c r="O1682" i="4" s="1"/>
  <c r="L1682" i="4"/>
  <c r="N1682" i="4" s="1"/>
  <c r="K1682" i="4"/>
  <c r="J1682" i="4"/>
  <c r="S1681" i="4"/>
  <c r="M1681" i="4"/>
  <c r="O1681" i="4" s="1"/>
  <c r="L1681" i="4"/>
  <c r="N1681" i="4" s="1"/>
  <c r="K1681" i="4"/>
  <c r="J1681" i="4"/>
  <c r="S1680" i="4"/>
  <c r="M1680" i="4"/>
  <c r="O1680" i="4" s="1"/>
  <c r="L1680" i="4"/>
  <c r="N1680" i="4" s="1"/>
  <c r="K1680" i="4"/>
  <c r="J1680" i="4"/>
  <c r="S1679" i="4"/>
  <c r="M1679" i="4"/>
  <c r="O1679" i="4" s="1"/>
  <c r="L1679" i="4"/>
  <c r="N1679" i="4" s="1"/>
  <c r="K1679" i="4"/>
  <c r="J1679" i="4"/>
  <c r="S1678" i="4"/>
  <c r="M1678" i="4"/>
  <c r="O1678" i="4" s="1"/>
  <c r="L1678" i="4"/>
  <c r="N1678" i="4" s="1"/>
  <c r="K1678" i="4"/>
  <c r="J1678" i="4"/>
  <c r="S1677" i="4"/>
  <c r="M1677" i="4"/>
  <c r="O1677" i="4" s="1"/>
  <c r="L1677" i="4"/>
  <c r="N1677" i="4" s="1"/>
  <c r="K1677" i="4"/>
  <c r="J1677" i="4"/>
  <c r="S1676" i="4"/>
  <c r="M1676" i="4"/>
  <c r="O1676" i="4" s="1"/>
  <c r="L1676" i="4"/>
  <c r="N1676" i="4" s="1"/>
  <c r="K1676" i="4"/>
  <c r="J1676" i="4"/>
  <c r="S1675" i="4"/>
  <c r="M1675" i="4"/>
  <c r="O1675" i="4" s="1"/>
  <c r="L1675" i="4"/>
  <c r="N1675" i="4" s="1"/>
  <c r="K1675" i="4"/>
  <c r="J1675" i="4"/>
  <c r="S1674" i="4"/>
  <c r="M1674" i="4"/>
  <c r="O1674" i="4" s="1"/>
  <c r="L1674" i="4"/>
  <c r="N1674" i="4" s="1"/>
  <c r="K1674" i="4"/>
  <c r="J1674" i="4"/>
  <c r="S1672" i="4"/>
  <c r="M1672" i="4"/>
  <c r="O1672" i="4" s="1"/>
  <c r="L1672" i="4"/>
  <c r="N1672" i="4" s="1"/>
  <c r="K1672" i="4"/>
  <c r="J1672" i="4"/>
  <c r="F1672" i="4"/>
  <c r="E1672" i="4"/>
  <c r="D1672" i="4"/>
  <c r="S1671" i="4"/>
  <c r="M1671" i="4"/>
  <c r="O1671" i="4" s="1"/>
  <c r="L1671" i="4"/>
  <c r="N1671" i="4" s="1"/>
  <c r="K1671" i="4"/>
  <c r="J1671" i="4"/>
  <c r="S1670" i="4"/>
  <c r="M1670" i="4"/>
  <c r="O1670" i="4" s="1"/>
  <c r="L1670" i="4"/>
  <c r="N1670" i="4" s="1"/>
  <c r="K1670" i="4"/>
  <c r="J1670" i="4"/>
  <c r="S1669" i="4"/>
  <c r="M1669" i="4"/>
  <c r="O1669" i="4" s="1"/>
  <c r="L1669" i="4"/>
  <c r="N1669" i="4" s="1"/>
  <c r="K1669" i="4"/>
  <c r="J1669" i="4"/>
  <c r="S1668" i="4"/>
  <c r="M1668" i="4"/>
  <c r="O1668" i="4" s="1"/>
  <c r="L1668" i="4"/>
  <c r="N1668" i="4" s="1"/>
  <c r="K1668" i="4"/>
  <c r="J1668" i="4"/>
  <c r="S1667" i="4"/>
  <c r="M1667" i="4"/>
  <c r="O1667" i="4" s="1"/>
  <c r="L1667" i="4"/>
  <c r="N1667" i="4" s="1"/>
  <c r="K1667" i="4"/>
  <c r="J1667" i="4"/>
  <c r="S1666" i="4"/>
  <c r="M1666" i="4"/>
  <c r="O1666" i="4" s="1"/>
  <c r="L1666" i="4"/>
  <c r="N1666" i="4" s="1"/>
  <c r="K1666" i="4"/>
  <c r="J1666" i="4"/>
  <c r="S1665" i="4"/>
  <c r="M1665" i="4"/>
  <c r="O1665" i="4" s="1"/>
  <c r="L1665" i="4"/>
  <c r="N1665" i="4" s="1"/>
  <c r="K1665" i="4"/>
  <c r="J1665" i="4"/>
  <c r="S1664" i="4"/>
  <c r="M1664" i="4"/>
  <c r="O1664" i="4" s="1"/>
  <c r="L1664" i="4"/>
  <c r="N1664" i="4" s="1"/>
  <c r="K1664" i="4"/>
  <c r="J1664" i="4"/>
  <c r="S1663" i="4"/>
  <c r="M1663" i="4"/>
  <c r="O1663" i="4" s="1"/>
  <c r="L1663" i="4"/>
  <c r="N1663" i="4" s="1"/>
  <c r="K1663" i="4"/>
  <c r="J1663" i="4"/>
  <c r="S1662" i="4"/>
  <c r="M1662" i="4"/>
  <c r="O1662" i="4" s="1"/>
  <c r="L1662" i="4"/>
  <c r="N1662" i="4" s="1"/>
  <c r="K1662" i="4"/>
  <c r="J1662" i="4"/>
  <c r="S1661" i="4"/>
  <c r="M1661" i="4"/>
  <c r="O1661" i="4" s="1"/>
  <c r="L1661" i="4"/>
  <c r="N1661" i="4" s="1"/>
  <c r="K1661" i="4"/>
  <c r="J1661" i="4"/>
  <c r="S1660" i="4"/>
  <c r="M1660" i="4"/>
  <c r="O1660" i="4" s="1"/>
  <c r="L1660" i="4"/>
  <c r="N1660" i="4" s="1"/>
  <c r="K1660" i="4"/>
  <c r="J1660" i="4"/>
  <c r="S1659" i="4"/>
  <c r="M1659" i="4"/>
  <c r="O1659" i="4" s="1"/>
  <c r="L1659" i="4"/>
  <c r="N1659" i="4" s="1"/>
  <c r="K1659" i="4"/>
  <c r="J1659" i="4"/>
  <c r="S1658" i="4"/>
  <c r="M1658" i="4"/>
  <c r="O1658" i="4" s="1"/>
  <c r="L1658" i="4"/>
  <c r="N1658" i="4" s="1"/>
  <c r="K1658" i="4"/>
  <c r="J1658" i="4"/>
  <c r="S1657" i="4"/>
  <c r="M1657" i="4"/>
  <c r="O1657" i="4" s="1"/>
  <c r="L1657" i="4"/>
  <c r="N1657" i="4" s="1"/>
  <c r="K1657" i="4"/>
  <c r="J1657" i="4"/>
  <c r="S1656" i="4"/>
  <c r="M1656" i="4"/>
  <c r="O1656" i="4" s="1"/>
  <c r="L1656" i="4"/>
  <c r="N1656" i="4" s="1"/>
  <c r="K1656" i="4"/>
  <c r="J1656" i="4"/>
  <c r="S1655" i="4"/>
  <c r="M1655" i="4"/>
  <c r="O1655" i="4" s="1"/>
  <c r="L1655" i="4"/>
  <c r="N1655" i="4" s="1"/>
  <c r="K1655" i="4"/>
  <c r="J1655" i="4"/>
  <c r="S1654" i="4"/>
  <c r="M1654" i="4"/>
  <c r="O1654" i="4" s="1"/>
  <c r="L1654" i="4"/>
  <c r="N1654" i="4" s="1"/>
  <c r="K1654" i="4"/>
  <c r="J1654" i="4"/>
  <c r="S1653" i="4"/>
  <c r="M1653" i="4"/>
  <c r="O1653" i="4" s="1"/>
  <c r="L1653" i="4"/>
  <c r="N1653" i="4" s="1"/>
  <c r="K1653" i="4"/>
  <c r="J1653" i="4"/>
  <c r="F1653" i="4"/>
  <c r="E1653" i="4"/>
  <c r="D1653" i="4"/>
  <c r="S1652" i="4"/>
  <c r="M1652" i="4"/>
  <c r="O1652" i="4" s="1"/>
  <c r="L1652" i="4"/>
  <c r="N1652" i="4" s="1"/>
  <c r="K1652" i="4"/>
  <c r="J1652" i="4"/>
  <c r="S1651" i="4"/>
  <c r="M1651" i="4"/>
  <c r="O1651" i="4" s="1"/>
  <c r="L1651" i="4"/>
  <c r="N1651" i="4" s="1"/>
  <c r="K1651" i="4"/>
  <c r="J1651" i="4"/>
  <c r="S1650" i="4"/>
  <c r="M1650" i="4"/>
  <c r="O1650" i="4" s="1"/>
  <c r="L1650" i="4"/>
  <c r="N1650" i="4" s="1"/>
  <c r="K1650" i="4"/>
  <c r="J1650" i="4"/>
  <c r="S1649" i="4"/>
  <c r="M1649" i="4"/>
  <c r="O1649" i="4" s="1"/>
  <c r="L1649" i="4"/>
  <c r="N1649" i="4" s="1"/>
  <c r="K1649" i="4"/>
  <c r="J1649" i="4"/>
  <c r="F1649" i="4"/>
  <c r="E1649" i="4"/>
  <c r="D1649" i="4"/>
  <c r="S1648" i="4"/>
  <c r="M1648" i="4"/>
  <c r="O1648" i="4" s="1"/>
  <c r="L1648" i="4"/>
  <c r="N1648" i="4" s="1"/>
  <c r="K1648" i="4"/>
  <c r="J1648" i="4"/>
  <c r="S1647" i="4"/>
  <c r="M1647" i="4"/>
  <c r="O1647" i="4" s="1"/>
  <c r="L1647" i="4"/>
  <c r="N1647" i="4" s="1"/>
  <c r="K1647" i="4"/>
  <c r="J1647" i="4"/>
  <c r="S1646" i="4"/>
  <c r="M1646" i="4"/>
  <c r="O1646" i="4" s="1"/>
  <c r="L1646" i="4"/>
  <c r="N1646" i="4" s="1"/>
  <c r="K1646" i="4"/>
  <c r="J1646" i="4"/>
  <c r="S1645" i="4"/>
  <c r="M1645" i="4"/>
  <c r="O1645" i="4" s="1"/>
  <c r="L1645" i="4"/>
  <c r="N1645" i="4" s="1"/>
  <c r="K1645" i="4"/>
  <c r="J1645" i="4"/>
  <c r="S1644" i="4"/>
  <c r="M1644" i="4"/>
  <c r="O1644" i="4" s="1"/>
  <c r="L1644" i="4"/>
  <c r="N1644" i="4" s="1"/>
  <c r="K1644" i="4"/>
  <c r="J1644" i="4"/>
  <c r="S1643" i="4"/>
  <c r="M1643" i="4"/>
  <c r="O1643" i="4" s="1"/>
  <c r="L1643" i="4"/>
  <c r="N1643" i="4" s="1"/>
  <c r="K1643" i="4"/>
  <c r="J1643" i="4"/>
  <c r="S1642" i="4"/>
  <c r="M1642" i="4"/>
  <c r="O1642" i="4" s="1"/>
  <c r="L1642" i="4"/>
  <c r="N1642" i="4" s="1"/>
  <c r="K1642" i="4"/>
  <c r="J1642" i="4"/>
  <c r="M1641" i="4"/>
  <c r="O1641" i="4" s="1"/>
  <c r="L1641" i="4"/>
  <c r="N1641" i="4" s="1"/>
  <c r="K1641" i="4"/>
  <c r="J1641" i="4"/>
  <c r="S1640" i="4"/>
  <c r="M1640" i="4"/>
  <c r="O1640" i="4" s="1"/>
  <c r="L1640" i="4"/>
  <c r="N1640" i="4" s="1"/>
  <c r="K1640" i="4"/>
  <c r="J1640" i="4"/>
  <c r="S1639" i="4"/>
  <c r="N1639" i="4"/>
  <c r="M1639" i="4"/>
  <c r="O1639" i="4" s="1"/>
  <c r="L1639" i="4"/>
  <c r="K1639" i="4"/>
  <c r="J1639" i="4"/>
  <c r="M1638" i="4"/>
  <c r="O1638" i="4" s="1"/>
  <c r="L1638" i="4"/>
  <c r="N1638" i="4" s="1"/>
  <c r="K1638" i="4"/>
  <c r="J1638" i="4"/>
  <c r="S1637" i="4"/>
  <c r="M1637" i="4"/>
  <c r="O1637" i="4" s="1"/>
  <c r="L1637" i="4"/>
  <c r="N1637" i="4" s="1"/>
  <c r="K1637" i="4"/>
  <c r="J1637" i="4"/>
  <c r="S1636" i="4"/>
  <c r="M1636" i="4"/>
  <c r="O1636" i="4" s="1"/>
  <c r="L1636" i="4"/>
  <c r="N1636" i="4" s="1"/>
  <c r="K1636" i="4"/>
  <c r="J1636" i="4"/>
  <c r="S1635" i="4"/>
  <c r="M1635" i="4"/>
  <c r="O1635" i="4" s="1"/>
  <c r="L1635" i="4"/>
  <c r="N1635" i="4" s="1"/>
  <c r="K1635" i="4"/>
  <c r="J1635" i="4"/>
  <c r="S1634" i="4"/>
  <c r="M1634" i="4"/>
  <c r="O1634" i="4" s="1"/>
  <c r="L1634" i="4"/>
  <c r="N1634" i="4" s="1"/>
  <c r="K1634" i="4"/>
  <c r="J1634" i="4"/>
  <c r="S1633" i="4"/>
  <c r="M1633" i="4"/>
  <c r="O1633" i="4" s="1"/>
  <c r="L1633" i="4"/>
  <c r="N1633" i="4" s="1"/>
  <c r="K1633" i="4"/>
  <c r="J1633" i="4"/>
  <c r="S1632" i="4"/>
  <c r="M1632" i="4"/>
  <c r="O1632" i="4" s="1"/>
  <c r="L1632" i="4"/>
  <c r="N1632" i="4" s="1"/>
  <c r="K1632" i="4"/>
  <c r="J1632" i="4"/>
  <c r="F1632" i="4"/>
  <c r="E1632" i="4"/>
  <c r="D1632" i="4"/>
  <c r="S1631" i="4"/>
  <c r="M1631" i="4"/>
  <c r="O1631" i="4" s="1"/>
  <c r="L1631" i="4"/>
  <c r="N1631" i="4" s="1"/>
  <c r="K1631" i="4"/>
  <c r="J1631" i="4"/>
  <c r="S1630" i="4"/>
  <c r="M1630" i="4"/>
  <c r="O1630" i="4" s="1"/>
  <c r="L1630" i="4"/>
  <c r="N1630" i="4" s="1"/>
  <c r="K1630" i="4"/>
  <c r="J1630" i="4"/>
  <c r="S1629" i="4"/>
  <c r="M1629" i="4"/>
  <c r="O1629" i="4" s="1"/>
  <c r="L1629" i="4"/>
  <c r="N1629" i="4" s="1"/>
  <c r="K1629" i="4"/>
  <c r="J1629" i="4"/>
  <c r="S1628" i="4"/>
  <c r="M1628" i="4"/>
  <c r="O1628" i="4" s="1"/>
  <c r="L1628" i="4"/>
  <c r="N1628" i="4" s="1"/>
  <c r="K1628" i="4"/>
  <c r="J1628" i="4"/>
  <c r="S1627" i="4"/>
  <c r="M1627" i="4"/>
  <c r="O1627" i="4" s="1"/>
  <c r="L1627" i="4"/>
  <c r="N1627" i="4" s="1"/>
  <c r="K1627" i="4"/>
  <c r="J1627" i="4"/>
  <c r="F1627" i="4"/>
  <c r="E1627" i="4"/>
  <c r="D1627" i="4"/>
  <c r="S1626" i="4"/>
  <c r="M1626" i="4"/>
  <c r="O1626" i="4" s="1"/>
  <c r="L1626" i="4"/>
  <c r="N1626" i="4" s="1"/>
  <c r="K1626" i="4"/>
  <c r="J1626" i="4"/>
  <c r="S1625" i="4"/>
  <c r="M1625" i="4"/>
  <c r="O1625" i="4" s="1"/>
  <c r="L1625" i="4"/>
  <c r="N1625" i="4" s="1"/>
  <c r="K1625" i="4"/>
  <c r="J1625" i="4"/>
  <c r="F1625" i="4"/>
  <c r="E1625" i="4"/>
  <c r="D1625" i="4"/>
  <c r="S1624" i="4"/>
  <c r="M1624" i="4"/>
  <c r="O1624" i="4" s="1"/>
  <c r="L1624" i="4"/>
  <c r="N1624" i="4" s="1"/>
  <c r="K1624" i="4"/>
  <c r="J1624" i="4"/>
  <c r="S1623" i="4"/>
  <c r="M1623" i="4"/>
  <c r="O1623" i="4" s="1"/>
  <c r="L1623" i="4"/>
  <c r="N1623" i="4" s="1"/>
  <c r="K1623" i="4"/>
  <c r="J1623" i="4"/>
  <c r="F1623" i="4"/>
  <c r="E1623" i="4"/>
  <c r="D1623" i="4"/>
  <c r="S1622" i="4"/>
  <c r="M1622" i="4"/>
  <c r="O1622" i="4" s="1"/>
  <c r="L1622" i="4"/>
  <c r="N1622" i="4" s="1"/>
  <c r="K1622" i="4"/>
  <c r="J1622" i="4"/>
  <c r="F1622" i="4"/>
  <c r="E1622" i="4"/>
  <c r="D1622" i="4"/>
  <c r="P1621" i="4"/>
  <c r="S1621" i="4" s="1"/>
  <c r="M1621" i="4"/>
  <c r="O1621" i="4" s="1"/>
  <c r="L1621" i="4"/>
  <c r="N1621" i="4" s="1"/>
  <c r="K1621" i="4"/>
  <c r="J1621" i="4"/>
  <c r="F1621" i="4"/>
  <c r="E1621" i="4"/>
  <c r="D1621" i="4"/>
  <c r="S1620" i="4"/>
  <c r="M1620" i="4"/>
  <c r="O1620" i="4" s="1"/>
  <c r="L1620" i="4"/>
  <c r="N1620" i="4" s="1"/>
  <c r="K1620" i="4"/>
  <c r="J1620" i="4"/>
  <c r="F1620" i="4"/>
  <c r="E1620" i="4"/>
  <c r="D1620" i="4"/>
  <c r="S1619" i="4"/>
  <c r="M1619" i="4"/>
  <c r="O1619" i="4" s="1"/>
  <c r="L1619" i="4"/>
  <c r="N1619" i="4" s="1"/>
  <c r="K1619" i="4"/>
  <c r="J1619" i="4"/>
  <c r="F1619" i="4"/>
  <c r="E1619" i="4"/>
  <c r="D1619" i="4"/>
  <c r="S1618" i="4"/>
  <c r="M1618" i="4"/>
  <c r="O1618" i="4" s="1"/>
  <c r="L1618" i="4"/>
  <c r="N1618" i="4" s="1"/>
  <c r="K1618" i="4"/>
  <c r="J1618" i="4"/>
  <c r="F1618" i="4"/>
  <c r="E1618" i="4"/>
  <c r="D1618" i="4"/>
  <c r="S1617" i="4"/>
  <c r="M1617" i="4"/>
  <c r="O1617" i="4" s="1"/>
  <c r="L1617" i="4"/>
  <c r="N1617" i="4" s="1"/>
  <c r="K1617" i="4"/>
  <c r="J1617" i="4"/>
  <c r="S1616" i="4"/>
  <c r="M1616" i="4"/>
  <c r="O1616" i="4" s="1"/>
  <c r="L1616" i="4"/>
  <c r="N1616" i="4" s="1"/>
  <c r="K1616" i="4"/>
  <c r="J1616" i="4"/>
  <c r="S1615" i="4"/>
  <c r="M1615" i="4"/>
  <c r="O1615" i="4" s="1"/>
  <c r="L1615" i="4"/>
  <c r="N1615" i="4" s="1"/>
  <c r="K1615" i="4"/>
  <c r="J1615" i="4"/>
  <c r="S1614" i="4"/>
  <c r="M1614" i="4"/>
  <c r="O1614" i="4" s="1"/>
  <c r="L1614" i="4"/>
  <c r="N1614" i="4" s="1"/>
  <c r="K1614" i="4"/>
  <c r="J1614" i="4"/>
  <c r="S1613" i="4"/>
  <c r="M1613" i="4"/>
  <c r="O1613" i="4" s="1"/>
  <c r="L1613" i="4"/>
  <c r="N1613" i="4" s="1"/>
  <c r="K1613" i="4"/>
  <c r="J1613" i="4"/>
  <c r="S1612" i="4"/>
  <c r="M1612" i="4"/>
  <c r="O1612" i="4" s="1"/>
  <c r="L1612" i="4"/>
  <c r="N1612" i="4" s="1"/>
  <c r="K1612" i="4"/>
  <c r="J1612" i="4"/>
  <c r="S1611" i="4"/>
  <c r="M1611" i="4"/>
  <c r="O1611" i="4" s="1"/>
  <c r="L1611" i="4"/>
  <c r="N1611" i="4" s="1"/>
  <c r="K1611" i="4"/>
  <c r="J1611" i="4"/>
  <c r="F1611" i="4"/>
  <c r="E1611" i="4"/>
  <c r="D1611" i="4"/>
  <c r="S1610" i="4"/>
  <c r="M1610" i="4"/>
  <c r="O1610" i="4" s="1"/>
  <c r="L1610" i="4"/>
  <c r="N1610" i="4" s="1"/>
  <c r="K1610" i="4"/>
  <c r="J1610" i="4"/>
  <c r="F1610" i="4"/>
  <c r="E1610" i="4"/>
  <c r="D1610" i="4"/>
  <c r="S1609" i="4"/>
  <c r="M1609" i="4"/>
  <c r="O1609" i="4" s="1"/>
  <c r="L1609" i="4"/>
  <c r="N1609" i="4" s="1"/>
  <c r="K1609" i="4"/>
  <c r="J1609" i="4"/>
  <c r="S1608" i="4"/>
  <c r="M1608" i="4"/>
  <c r="O1608" i="4" s="1"/>
  <c r="L1608" i="4"/>
  <c r="N1608" i="4" s="1"/>
  <c r="K1608" i="4"/>
  <c r="J1608" i="4"/>
  <c r="S1607" i="4"/>
  <c r="M1607" i="4"/>
  <c r="O1607" i="4" s="1"/>
  <c r="L1607" i="4"/>
  <c r="N1607" i="4" s="1"/>
  <c r="K1607" i="4"/>
  <c r="J1607" i="4"/>
  <c r="S1606" i="4"/>
  <c r="M1606" i="4"/>
  <c r="O1606" i="4" s="1"/>
  <c r="L1606" i="4"/>
  <c r="N1606" i="4" s="1"/>
  <c r="K1606" i="4"/>
  <c r="J1606" i="4"/>
  <c r="F1606" i="4"/>
  <c r="E1606" i="4"/>
  <c r="D1606" i="4"/>
  <c r="S1605" i="4"/>
  <c r="M1605" i="4"/>
  <c r="O1605" i="4" s="1"/>
  <c r="L1605" i="4"/>
  <c r="N1605" i="4" s="1"/>
  <c r="K1605" i="4"/>
  <c r="J1605" i="4"/>
  <c r="S1604" i="4"/>
  <c r="M1604" i="4"/>
  <c r="O1604" i="4" s="1"/>
  <c r="L1604" i="4"/>
  <c r="N1604" i="4" s="1"/>
  <c r="K1604" i="4"/>
  <c r="J1604" i="4"/>
  <c r="M1603" i="4"/>
  <c r="O1603" i="4" s="1"/>
  <c r="L1603" i="4"/>
  <c r="N1603" i="4" s="1"/>
  <c r="K1603" i="4"/>
  <c r="J1603" i="4"/>
  <c r="S1602" i="4"/>
  <c r="M1602" i="4"/>
  <c r="O1602" i="4" s="1"/>
  <c r="L1602" i="4"/>
  <c r="N1602" i="4" s="1"/>
  <c r="K1602" i="4"/>
  <c r="J1602" i="4"/>
  <c r="S1601" i="4"/>
  <c r="M1601" i="4"/>
  <c r="O1601" i="4" s="1"/>
  <c r="L1601" i="4"/>
  <c r="N1601" i="4" s="1"/>
  <c r="K1601" i="4"/>
  <c r="J1601" i="4"/>
  <c r="S1600" i="4"/>
  <c r="M1600" i="4"/>
  <c r="O1600" i="4" s="1"/>
  <c r="L1600" i="4"/>
  <c r="N1600" i="4" s="1"/>
  <c r="K1600" i="4"/>
  <c r="J1600" i="4"/>
  <c r="S1599" i="4"/>
  <c r="M1599" i="4"/>
  <c r="O1599" i="4" s="1"/>
  <c r="L1599" i="4"/>
  <c r="N1599" i="4" s="1"/>
  <c r="K1599" i="4"/>
  <c r="J1599" i="4"/>
  <c r="S1598" i="4"/>
  <c r="M1598" i="4"/>
  <c r="O1598" i="4" s="1"/>
  <c r="L1598" i="4"/>
  <c r="N1598" i="4" s="1"/>
  <c r="K1598" i="4"/>
  <c r="J1598" i="4"/>
  <c r="M1597" i="4"/>
  <c r="O1597" i="4" s="1"/>
  <c r="L1597" i="4"/>
  <c r="N1597" i="4" s="1"/>
  <c r="K1597" i="4"/>
  <c r="J1597" i="4"/>
  <c r="M1596" i="4"/>
  <c r="O1596" i="4" s="1"/>
  <c r="L1596" i="4"/>
  <c r="N1596" i="4" s="1"/>
  <c r="K1596" i="4"/>
  <c r="J1596" i="4"/>
  <c r="S1595" i="4"/>
  <c r="M1595" i="4"/>
  <c r="O1595" i="4" s="1"/>
  <c r="L1595" i="4"/>
  <c r="N1595" i="4" s="1"/>
  <c r="K1595" i="4"/>
  <c r="J1595" i="4"/>
  <c r="S1594" i="4"/>
  <c r="M1594" i="4"/>
  <c r="O1594" i="4" s="1"/>
  <c r="L1594" i="4"/>
  <c r="N1594" i="4" s="1"/>
  <c r="K1594" i="4"/>
  <c r="J1594" i="4"/>
  <c r="S1593" i="4"/>
  <c r="M1593" i="4"/>
  <c r="O1593" i="4" s="1"/>
  <c r="L1593" i="4"/>
  <c r="N1593" i="4" s="1"/>
  <c r="K1593" i="4"/>
  <c r="J1593" i="4"/>
  <c r="S1592" i="4"/>
  <c r="M1592" i="4"/>
  <c r="O1592" i="4" s="1"/>
  <c r="L1592" i="4"/>
  <c r="N1592" i="4" s="1"/>
  <c r="K1592" i="4"/>
  <c r="J1592" i="4"/>
  <c r="S1591" i="4"/>
  <c r="M1591" i="4"/>
  <c r="O1591" i="4" s="1"/>
  <c r="L1591" i="4"/>
  <c r="N1591" i="4" s="1"/>
  <c r="K1591" i="4"/>
  <c r="J1591" i="4"/>
  <c r="M1589" i="4"/>
  <c r="O1589" i="4" s="1"/>
  <c r="L1589" i="4"/>
  <c r="N1589" i="4" s="1"/>
  <c r="K1589" i="4"/>
  <c r="J1589" i="4"/>
  <c r="S1588" i="4"/>
  <c r="M1588" i="4"/>
  <c r="O1588" i="4" s="1"/>
  <c r="L1588" i="4"/>
  <c r="N1588" i="4" s="1"/>
  <c r="K1588" i="4"/>
  <c r="J1588" i="4"/>
  <c r="S1587" i="4"/>
  <c r="M1587" i="4"/>
  <c r="O1587" i="4" s="1"/>
  <c r="L1587" i="4"/>
  <c r="N1587" i="4" s="1"/>
  <c r="K1587" i="4"/>
  <c r="J1587" i="4"/>
  <c r="S1586" i="4"/>
  <c r="M1586" i="4"/>
  <c r="O1586" i="4" s="1"/>
  <c r="L1586" i="4"/>
  <c r="N1586" i="4" s="1"/>
  <c r="K1586" i="4"/>
  <c r="J1586" i="4"/>
  <c r="S1585" i="4"/>
  <c r="M1585" i="4"/>
  <c r="O1585" i="4" s="1"/>
  <c r="L1585" i="4"/>
  <c r="N1585" i="4" s="1"/>
  <c r="K1585" i="4"/>
  <c r="J1585" i="4"/>
  <c r="S1584" i="4"/>
  <c r="M1584" i="4"/>
  <c r="O1584" i="4" s="1"/>
  <c r="L1584" i="4"/>
  <c r="N1584" i="4" s="1"/>
  <c r="K1584" i="4"/>
  <c r="J1584" i="4"/>
  <c r="S1583" i="4"/>
  <c r="M1583" i="4"/>
  <c r="O1583" i="4" s="1"/>
  <c r="L1583" i="4"/>
  <c r="N1583" i="4" s="1"/>
  <c r="K1583" i="4"/>
  <c r="J1583" i="4"/>
  <c r="F1583" i="4"/>
  <c r="E1583" i="4"/>
  <c r="D1583" i="4"/>
  <c r="S1582" i="4"/>
  <c r="M1582" i="4"/>
  <c r="O1582" i="4" s="1"/>
  <c r="L1582" i="4"/>
  <c r="N1582" i="4" s="1"/>
  <c r="K1582" i="4"/>
  <c r="J1582" i="4"/>
  <c r="S1581" i="4"/>
  <c r="M1581" i="4"/>
  <c r="O1581" i="4" s="1"/>
  <c r="L1581" i="4"/>
  <c r="N1581" i="4" s="1"/>
  <c r="K1581" i="4"/>
  <c r="J1581" i="4"/>
  <c r="S1580" i="4"/>
  <c r="M1580" i="4"/>
  <c r="O1580" i="4" s="1"/>
  <c r="L1580" i="4"/>
  <c r="N1580" i="4" s="1"/>
  <c r="K1580" i="4"/>
  <c r="J1580" i="4"/>
  <c r="S1579" i="4"/>
  <c r="M1579" i="4"/>
  <c r="O1579" i="4" s="1"/>
  <c r="L1579" i="4"/>
  <c r="N1579" i="4" s="1"/>
  <c r="K1579" i="4"/>
  <c r="J1579" i="4"/>
  <c r="S1578" i="4"/>
  <c r="M1578" i="4"/>
  <c r="O1578" i="4" s="1"/>
  <c r="L1578" i="4"/>
  <c r="N1578" i="4" s="1"/>
  <c r="K1578" i="4"/>
  <c r="J1578" i="4"/>
  <c r="S1577" i="4"/>
  <c r="M1577" i="4"/>
  <c r="O1577" i="4" s="1"/>
  <c r="L1577" i="4"/>
  <c r="N1577" i="4" s="1"/>
  <c r="K1577" i="4"/>
  <c r="J1577" i="4"/>
  <c r="S1576" i="4"/>
  <c r="M1576" i="4"/>
  <c r="O1576" i="4" s="1"/>
  <c r="L1576" i="4"/>
  <c r="N1576" i="4" s="1"/>
  <c r="K1576" i="4"/>
  <c r="J1576" i="4"/>
  <c r="S1575" i="4"/>
  <c r="M1575" i="4"/>
  <c r="O1575" i="4" s="1"/>
  <c r="L1575" i="4"/>
  <c r="N1575" i="4" s="1"/>
  <c r="K1575" i="4"/>
  <c r="J1575" i="4"/>
  <c r="S1574" i="4"/>
  <c r="M1574" i="4"/>
  <c r="O1574" i="4" s="1"/>
  <c r="L1574" i="4"/>
  <c r="N1574" i="4" s="1"/>
  <c r="K1574" i="4"/>
  <c r="J1574" i="4"/>
  <c r="M1573" i="4"/>
  <c r="O1573" i="4" s="1"/>
  <c r="L1573" i="4"/>
  <c r="N1573" i="4" s="1"/>
  <c r="K1573" i="4"/>
  <c r="J1573" i="4"/>
  <c r="S1572" i="4"/>
  <c r="M1572" i="4"/>
  <c r="O1572" i="4" s="1"/>
  <c r="L1572" i="4"/>
  <c r="N1572" i="4" s="1"/>
  <c r="K1572" i="4"/>
  <c r="J1572" i="4"/>
  <c r="S1571" i="4"/>
  <c r="M1571" i="4"/>
  <c r="O1571" i="4" s="1"/>
  <c r="L1571" i="4"/>
  <c r="N1571" i="4" s="1"/>
  <c r="K1571" i="4"/>
  <c r="J1571" i="4"/>
  <c r="S1570" i="4"/>
  <c r="M1570" i="4"/>
  <c r="O1570" i="4" s="1"/>
  <c r="L1570" i="4"/>
  <c r="N1570" i="4" s="1"/>
  <c r="K1570" i="4"/>
  <c r="J1570" i="4"/>
  <c r="S1569" i="4"/>
  <c r="M1569" i="4"/>
  <c r="O1569" i="4" s="1"/>
  <c r="L1569" i="4"/>
  <c r="N1569" i="4" s="1"/>
  <c r="K1569" i="4"/>
  <c r="J1569" i="4"/>
  <c r="S1568" i="4"/>
  <c r="M1568" i="4"/>
  <c r="O1568" i="4" s="1"/>
  <c r="L1568" i="4"/>
  <c r="N1568" i="4" s="1"/>
  <c r="K1568" i="4"/>
  <c r="J1568" i="4"/>
  <c r="S1567" i="4"/>
  <c r="M1567" i="4"/>
  <c r="O1567" i="4" s="1"/>
  <c r="L1567" i="4"/>
  <c r="N1567" i="4" s="1"/>
  <c r="K1567" i="4"/>
  <c r="J1567" i="4"/>
  <c r="S1566" i="4"/>
  <c r="M1566" i="4"/>
  <c r="O1566" i="4" s="1"/>
  <c r="L1566" i="4"/>
  <c r="N1566" i="4" s="1"/>
  <c r="K1566" i="4"/>
  <c r="J1566" i="4"/>
  <c r="S1565" i="4"/>
  <c r="M1565" i="4"/>
  <c r="O1565" i="4" s="1"/>
  <c r="L1565" i="4"/>
  <c r="N1565" i="4" s="1"/>
  <c r="K1565" i="4"/>
  <c r="J1565" i="4"/>
  <c r="S1564" i="4"/>
  <c r="M1564" i="4"/>
  <c r="O1564" i="4" s="1"/>
  <c r="L1564" i="4"/>
  <c r="N1564" i="4" s="1"/>
  <c r="K1564" i="4"/>
  <c r="J1564" i="4"/>
  <c r="F1564" i="4"/>
  <c r="E1564" i="4"/>
  <c r="D1564" i="4"/>
  <c r="S1563" i="4"/>
  <c r="M1563" i="4"/>
  <c r="O1563" i="4" s="1"/>
  <c r="L1563" i="4"/>
  <c r="N1563" i="4" s="1"/>
  <c r="K1563" i="4"/>
  <c r="J1563" i="4"/>
  <c r="S1562" i="4"/>
  <c r="M1562" i="4"/>
  <c r="O1562" i="4" s="1"/>
  <c r="L1562" i="4"/>
  <c r="N1562" i="4" s="1"/>
  <c r="K1562" i="4"/>
  <c r="J1562" i="4"/>
  <c r="S1561" i="4"/>
  <c r="M1561" i="4"/>
  <c r="O1561" i="4" s="1"/>
  <c r="L1561" i="4"/>
  <c r="N1561" i="4" s="1"/>
  <c r="K1561" i="4"/>
  <c r="J1561" i="4"/>
  <c r="S1560" i="4"/>
  <c r="M1560" i="4"/>
  <c r="O1560" i="4" s="1"/>
  <c r="L1560" i="4"/>
  <c r="N1560" i="4" s="1"/>
  <c r="K1560" i="4"/>
  <c r="J1560" i="4"/>
  <c r="S1559" i="4"/>
  <c r="M1559" i="4"/>
  <c r="O1559" i="4" s="1"/>
  <c r="L1559" i="4"/>
  <c r="N1559" i="4" s="1"/>
  <c r="K1559" i="4"/>
  <c r="J1559" i="4"/>
  <c r="S1557" i="4"/>
  <c r="M1557" i="4"/>
  <c r="O1557" i="4" s="1"/>
  <c r="L1557" i="4"/>
  <c r="N1557" i="4" s="1"/>
  <c r="K1557" i="4"/>
  <c r="J1557" i="4"/>
  <c r="P1556" i="4"/>
  <c r="M1556" i="4"/>
  <c r="O1556" i="4" s="1"/>
  <c r="L1556" i="4"/>
  <c r="N1556" i="4" s="1"/>
  <c r="K1556" i="4"/>
  <c r="J1556" i="4"/>
  <c r="F1556" i="4"/>
  <c r="E1556" i="4"/>
  <c r="S1555" i="4"/>
  <c r="M1555" i="4"/>
  <c r="O1555" i="4" s="1"/>
  <c r="L1555" i="4"/>
  <c r="N1555" i="4" s="1"/>
  <c r="K1555" i="4"/>
  <c r="J1555" i="4"/>
  <c r="F1555" i="4"/>
  <c r="E1555" i="4"/>
  <c r="D1555" i="4"/>
  <c r="S1554" i="4"/>
  <c r="M1554" i="4"/>
  <c r="O1554" i="4" s="1"/>
  <c r="L1554" i="4"/>
  <c r="N1554" i="4" s="1"/>
  <c r="K1554" i="4"/>
  <c r="J1554" i="4"/>
  <c r="S1553" i="4"/>
  <c r="M1553" i="4"/>
  <c r="O1553" i="4" s="1"/>
  <c r="L1553" i="4"/>
  <c r="N1553" i="4" s="1"/>
  <c r="K1553" i="4"/>
  <c r="J1553" i="4"/>
  <c r="F1553" i="4"/>
  <c r="E1553" i="4"/>
  <c r="D1553" i="4"/>
  <c r="S1552" i="4"/>
  <c r="M1552" i="4"/>
  <c r="O1552" i="4" s="1"/>
  <c r="L1552" i="4"/>
  <c r="N1552" i="4" s="1"/>
  <c r="K1552" i="4"/>
  <c r="J1552" i="4"/>
  <c r="F1552" i="4"/>
  <c r="E1552" i="4"/>
  <c r="D1552" i="4"/>
  <c r="S1551" i="4"/>
  <c r="M1551" i="4"/>
  <c r="O1551" i="4" s="1"/>
  <c r="L1551" i="4"/>
  <c r="N1551" i="4" s="1"/>
  <c r="K1551" i="4"/>
  <c r="J1551" i="4"/>
  <c r="F1551" i="4"/>
  <c r="E1551" i="4"/>
  <c r="D1551" i="4"/>
  <c r="S1550" i="4"/>
  <c r="M1550" i="4"/>
  <c r="O1550" i="4" s="1"/>
  <c r="L1550" i="4"/>
  <c r="N1550" i="4" s="1"/>
  <c r="K1550" i="4"/>
  <c r="J1550" i="4"/>
  <c r="S1549" i="4"/>
  <c r="M1549" i="4"/>
  <c r="O1549" i="4" s="1"/>
  <c r="L1549" i="4"/>
  <c r="N1549" i="4" s="1"/>
  <c r="K1549" i="4"/>
  <c r="J1549" i="4"/>
  <c r="S1548" i="4"/>
  <c r="M1548" i="4"/>
  <c r="O1548" i="4" s="1"/>
  <c r="L1548" i="4"/>
  <c r="N1548" i="4" s="1"/>
  <c r="K1548" i="4"/>
  <c r="J1548" i="4"/>
  <c r="S1547" i="4"/>
  <c r="M1547" i="4"/>
  <c r="O1547" i="4" s="1"/>
  <c r="L1547" i="4"/>
  <c r="N1547" i="4" s="1"/>
  <c r="K1547" i="4"/>
  <c r="J1547" i="4"/>
  <c r="S1546" i="4"/>
  <c r="M1546" i="4"/>
  <c r="O1546" i="4" s="1"/>
  <c r="L1546" i="4"/>
  <c r="N1546" i="4" s="1"/>
  <c r="K1546" i="4"/>
  <c r="J1546" i="4"/>
  <c r="S1545" i="4"/>
  <c r="O1545" i="4"/>
  <c r="M1545" i="4"/>
  <c r="L1545" i="4"/>
  <c r="N1545" i="4" s="1"/>
  <c r="K1545" i="4"/>
  <c r="J1545" i="4"/>
  <c r="S1544" i="4"/>
  <c r="M1544" i="4"/>
  <c r="O1544" i="4" s="1"/>
  <c r="L1544" i="4"/>
  <c r="N1544" i="4" s="1"/>
  <c r="K1544" i="4"/>
  <c r="J1544" i="4"/>
  <c r="F1544" i="4"/>
  <c r="E1544" i="4"/>
  <c r="D1544" i="4"/>
  <c r="S1543" i="4"/>
  <c r="M1543" i="4"/>
  <c r="O1543" i="4" s="1"/>
  <c r="L1543" i="4"/>
  <c r="N1543" i="4" s="1"/>
  <c r="K1543" i="4"/>
  <c r="J1543" i="4"/>
  <c r="F1543" i="4"/>
  <c r="E1543" i="4"/>
  <c r="D1543" i="4"/>
  <c r="S1542" i="4"/>
  <c r="M1542" i="4"/>
  <c r="O1542" i="4" s="1"/>
  <c r="L1542" i="4"/>
  <c r="N1542" i="4" s="1"/>
  <c r="K1542" i="4"/>
  <c r="J1542" i="4"/>
  <c r="F1542" i="4"/>
  <c r="E1542" i="4"/>
  <c r="D1542" i="4"/>
  <c r="S1541" i="4"/>
  <c r="M1541" i="4"/>
  <c r="O1541" i="4" s="1"/>
  <c r="L1541" i="4"/>
  <c r="N1541" i="4" s="1"/>
  <c r="K1541" i="4"/>
  <c r="J1541" i="4"/>
  <c r="F1541" i="4"/>
  <c r="E1541" i="4"/>
  <c r="D1541" i="4"/>
  <c r="S1540" i="4"/>
  <c r="M1540" i="4"/>
  <c r="O1540" i="4" s="1"/>
  <c r="L1540" i="4"/>
  <c r="N1540" i="4" s="1"/>
  <c r="K1540" i="4"/>
  <c r="J1540" i="4"/>
  <c r="S1539" i="4"/>
  <c r="M1539" i="4"/>
  <c r="O1539" i="4" s="1"/>
  <c r="L1539" i="4"/>
  <c r="N1539" i="4" s="1"/>
  <c r="K1539" i="4"/>
  <c r="J1539" i="4"/>
  <c r="S1538" i="4"/>
  <c r="M1538" i="4"/>
  <c r="O1538" i="4" s="1"/>
  <c r="L1538" i="4"/>
  <c r="N1538" i="4" s="1"/>
  <c r="K1538" i="4"/>
  <c r="J1538" i="4"/>
  <c r="S1537" i="4"/>
  <c r="M1537" i="4"/>
  <c r="O1537" i="4" s="1"/>
  <c r="L1537" i="4"/>
  <c r="N1537" i="4" s="1"/>
  <c r="K1537" i="4"/>
  <c r="J1537" i="4"/>
  <c r="S1536" i="4"/>
  <c r="M1536" i="4"/>
  <c r="O1536" i="4" s="1"/>
  <c r="L1536" i="4"/>
  <c r="N1536" i="4" s="1"/>
  <c r="K1536" i="4"/>
  <c r="J1536" i="4"/>
  <c r="F1536" i="4"/>
  <c r="E1536" i="4"/>
  <c r="D1536" i="4"/>
  <c r="S1535" i="4"/>
  <c r="M1535" i="4"/>
  <c r="O1535" i="4" s="1"/>
  <c r="L1535" i="4"/>
  <c r="N1535" i="4" s="1"/>
  <c r="K1535" i="4"/>
  <c r="J1535" i="4"/>
  <c r="S1534" i="4"/>
  <c r="M1534" i="4"/>
  <c r="O1534" i="4" s="1"/>
  <c r="L1534" i="4"/>
  <c r="N1534" i="4" s="1"/>
  <c r="K1534" i="4"/>
  <c r="J1534" i="4"/>
  <c r="S1533" i="4"/>
  <c r="M1533" i="4"/>
  <c r="O1533" i="4" s="1"/>
  <c r="L1533" i="4"/>
  <c r="N1533" i="4" s="1"/>
  <c r="K1533" i="4"/>
  <c r="J1533" i="4"/>
  <c r="S1532" i="4"/>
  <c r="M1532" i="4"/>
  <c r="O1532" i="4" s="1"/>
  <c r="L1532" i="4"/>
  <c r="N1532" i="4" s="1"/>
  <c r="K1532" i="4"/>
  <c r="J1532" i="4"/>
  <c r="S1531" i="4"/>
  <c r="M1531" i="4"/>
  <c r="O1531" i="4" s="1"/>
  <c r="L1531" i="4"/>
  <c r="N1531" i="4" s="1"/>
  <c r="K1531" i="4"/>
  <c r="J1531" i="4"/>
  <c r="S1530" i="4"/>
  <c r="M1530" i="4"/>
  <c r="O1530" i="4" s="1"/>
  <c r="L1530" i="4"/>
  <c r="N1530" i="4" s="1"/>
  <c r="K1530" i="4"/>
  <c r="J1530" i="4"/>
  <c r="S1529" i="4"/>
  <c r="M1529" i="4"/>
  <c r="O1529" i="4" s="1"/>
  <c r="L1529" i="4"/>
  <c r="N1529" i="4" s="1"/>
  <c r="K1529" i="4"/>
  <c r="J1529" i="4"/>
  <c r="S1528" i="4"/>
  <c r="M1528" i="4"/>
  <c r="O1528" i="4" s="1"/>
  <c r="L1528" i="4"/>
  <c r="N1528" i="4" s="1"/>
  <c r="K1528" i="4"/>
  <c r="J1528" i="4"/>
  <c r="S1526" i="4"/>
  <c r="M1526" i="4"/>
  <c r="O1526" i="4" s="1"/>
  <c r="L1526" i="4"/>
  <c r="N1526" i="4" s="1"/>
  <c r="K1526" i="4"/>
  <c r="J1526" i="4"/>
  <c r="S1525" i="4"/>
  <c r="M1525" i="4"/>
  <c r="O1525" i="4" s="1"/>
  <c r="L1525" i="4"/>
  <c r="N1525" i="4" s="1"/>
  <c r="K1525" i="4"/>
  <c r="J1525" i="4"/>
  <c r="F1525" i="4"/>
  <c r="E1525" i="4"/>
  <c r="D1525" i="4"/>
  <c r="S1524" i="4"/>
  <c r="M1524" i="4"/>
  <c r="O1524" i="4" s="1"/>
  <c r="L1524" i="4"/>
  <c r="N1524" i="4" s="1"/>
  <c r="K1524" i="4"/>
  <c r="J1524" i="4"/>
  <c r="S1523" i="4"/>
  <c r="M1523" i="4"/>
  <c r="O1523" i="4" s="1"/>
  <c r="L1523" i="4"/>
  <c r="N1523" i="4" s="1"/>
  <c r="K1523" i="4"/>
  <c r="J1523" i="4"/>
  <c r="S1522" i="4"/>
  <c r="M1522" i="4"/>
  <c r="O1522" i="4" s="1"/>
  <c r="L1522" i="4"/>
  <c r="N1522" i="4" s="1"/>
  <c r="K1522" i="4"/>
  <c r="J1522" i="4"/>
  <c r="S1521" i="4"/>
  <c r="M1521" i="4"/>
  <c r="O1521" i="4" s="1"/>
  <c r="L1521" i="4"/>
  <c r="N1521" i="4" s="1"/>
  <c r="K1521" i="4"/>
  <c r="J1521" i="4"/>
  <c r="S1520" i="4"/>
  <c r="M1520" i="4"/>
  <c r="O1520" i="4" s="1"/>
  <c r="L1520" i="4"/>
  <c r="N1520" i="4" s="1"/>
  <c r="K1520" i="4"/>
  <c r="J1520" i="4"/>
  <c r="S1519" i="4"/>
  <c r="M1519" i="4"/>
  <c r="O1519" i="4" s="1"/>
  <c r="L1519" i="4"/>
  <c r="N1519" i="4" s="1"/>
  <c r="K1519" i="4"/>
  <c r="J1519" i="4"/>
  <c r="S1518" i="4"/>
  <c r="M1518" i="4"/>
  <c r="O1518" i="4" s="1"/>
  <c r="L1518" i="4"/>
  <c r="N1518" i="4" s="1"/>
  <c r="K1518" i="4"/>
  <c r="J1518" i="4"/>
  <c r="F1518" i="4"/>
  <c r="E1518" i="4"/>
  <c r="D1518" i="4"/>
  <c r="M1517" i="4"/>
  <c r="O1517" i="4" s="1"/>
  <c r="L1517" i="4"/>
  <c r="N1517" i="4" s="1"/>
  <c r="K1517" i="4"/>
  <c r="J1517" i="4"/>
  <c r="S1516" i="4"/>
  <c r="M1516" i="4"/>
  <c r="O1516" i="4" s="1"/>
  <c r="L1516" i="4"/>
  <c r="N1516" i="4" s="1"/>
  <c r="K1516" i="4"/>
  <c r="J1516" i="4"/>
  <c r="F1516" i="4"/>
  <c r="E1516" i="4"/>
  <c r="D1516" i="4"/>
  <c r="S1515" i="4"/>
  <c r="M1515" i="4"/>
  <c r="O1515" i="4" s="1"/>
  <c r="L1515" i="4"/>
  <c r="N1515" i="4" s="1"/>
  <c r="K1515" i="4"/>
  <c r="J1515" i="4"/>
  <c r="S1514" i="4"/>
  <c r="M1514" i="4"/>
  <c r="O1514" i="4" s="1"/>
  <c r="L1514" i="4"/>
  <c r="N1514" i="4" s="1"/>
  <c r="K1514" i="4"/>
  <c r="J1514" i="4"/>
  <c r="S1513" i="4"/>
  <c r="M1513" i="4"/>
  <c r="O1513" i="4" s="1"/>
  <c r="L1513" i="4"/>
  <c r="N1513" i="4" s="1"/>
  <c r="K1513" i="4"/>
  <c r="J1513" i="4"/>
  <c r="S1512" i="4"/>
  <c r="M1512" i="4"/>
  <c r="O1512" i="4" s="1"/>
  <c r="L1512" i="4"/>
  <c r="N1512" i="4" s="1"/>
  <c r="K1512" i="4"/>
  <c r="J1512" i="4"/>
  <c r="S1511" i="4"/>
  <c r="M1511" i="4"/>
  <c r="O1511" i="4" s="1"/>
  <c r="L1511" i="4"/>
  <c r="N1511" i="4" s="1"/>
  <c r="K1511" i="4"/>
  <c r="J1511" i="4"/>
  <c r="S1510" i="4"/>
  <c r="M1510" i="4"/>
  <c r="O1510" i="4" s="1"/>
  <c r="L1510" i="4"/>
  <c r="N1510" i="4" s="1"/>
  <c r="K1510" i="4"/>
  <c r="J1510" i="4"/>
  <c r="S1509" i="4"/>
  <c r="M1509" i="4"/>
  <c r="O1509" i="4" s="1"/>
  <c r="L1509" i="4"/>
  <c r="N1509" i="4" s="1"/>
  <c r="K1509" i="4"/>
  <c r="J1509" i="4"/>
  <c r="S1508" i="4"/>
  <c r="M1508" i="4"/>
  <c r="O1508" i="4" s="1"/>
  <c r="L1508" i="4"/>
  <c r="N1508" i="4" s="1"/>
  <c r="K1508" i="4"/>
  <c r="J1508" i="4"/>
  <c r="S1507" i="4"/>
  <c r="M1507" i="4"/>
  <c r="O1507" i="4" s="1"/>
  <c r="L1507" i="4"/>
  <c r="N1507" i="4" s="1"/>
  <c r="K1507" i="4"/>
  <c r="J1507" i="4"/>
  <c r="S1506" i="4"/>
  <c r="M1506" i="4"/>
  <c r="O1506" i="4" s="1"/>
  <c r="L1506" i="4"/>
  <c r="N1506" i="4" s="1"/>
  <c r="K1506" i="4"/>
  <c r="J1506" i="4"/>
  <c r="S1505" i="4"/>
  <c r="M1505" i="4"/>
  <c r="O1505" i="4" s="1"/>
  <c r="L1505" i="4"/>
  <c r="N1505" i="4" s="1"/>
  <c r="K1505" i="4"/>
  <c r="J1505" i="4"/>
  <c r="S1504" i="4"/>
  <c r="M1504" i="4"/>
  <c r="O1504" i="4" s="1"/>
  <c r="L1504" i="4"/>
  <c r="N1504" i="4" s="1"/>
  <c r="K1504" i="4"/>
  <c r="J1504" i="4"/>
  <c r="S1503" i="4"/>
  <c r="M1503" i="4"/>
  <c r="O1503" i="4" s="1"/>
  <c r="L1503" i="4"/>
  <c r="N1503" i="4" s="1"/>
  <c r="K1503" i="4"/>
  <c r="J1503" i="4"/>
  <c r="M1502" i="4"/>
  <c r="O1502" i="4" s="1"/>
  <c r="L1502" i="4"/>
  <c r="N1502" i="4" s="1"/>
  <c r="K1502" i="4"/>
  <c r="J1502" i="4"/>
  <c r="S1501" i="4"/>
  <c r="M1501" i="4"/>
  <c r="O1501" i="4" s="1"/>
  <c r="L1501" i="4"/>
  <c r="N1501" i="4" s="1"/>
  <c r="K1501" i="4"/>
  <c r="J1501" i="4"/>
  <c r="S1500" i="4"/>
  <c r="M1500" i="4"/>
  <c r="O1500" i="4" s="1"/>
  <c r="L1500" i="4"/>
  <c r="N1500" i="4" s="1"/>
  <c r="K1500" i="4"/>
  <c r="J1500" i="4"/>
  <c r="S1499" i="4"/>
  <c r="M1499" i="4"/>
  <c r="O1499" i="4" s="1"/>
  <c r="L1499" i="4"/>
  <c r="N1499" i="4" s="1"/>
  <c r="K1499" i="4"/>
  <c r="J1499" i="4"/>
  <c r="S1498" i="4"/>
  <c r="M1498" i="4"/>
  <c r="O1498" i="4" s="1"/>
  <c r="L1498" i="4"/>
  <c r="N1498" i="4" s="1"/>
  <c r="K1498" i="4"/>
  <c r="J1498" i="4"/>
  <c r="S1497" i="4"/>
  <c r="M1497" i="4"/>
  <c r="O1497" i="4" s="1"/>
  <c r="L1497" i="4"/>
  <c r="N1497" i="4" s="1"/>
  <c r="K1497" i="4"/>
  <c r="J1497" i="4"/>
  <c r="S1496" i="4"/>
  <c r="M1496" i="4"/>
  <c r="O1496" i="4" s="1"/>
  <c r="L1496" i="4"/>
  <c r="N1496" i="4" s="1"/>
  <c r="K1496" i="4"/>
  <c r="J1496" i="4"/>
  <c r="F1496" i="4"/>
  <c r="E1496" i="4"/>
  <c r="D1496" i="4"/>
  <c r="S1495" i="4"/>
  <c r="M1495" i="4"/>
  <c r="O1495" i="4" s="1"/>
  <c r="L1495" i="4"/>
  <c r="N1495" i="4" s="1"/>
  <c r="K1495" i="4"/>
  <c r="J1495" i="4"/>
  <c r="F1495" i="4"/>
  <c r="E1495" i="4"/>
  <c r="D1495" i="4"/>
  <c r="S1494" i="4"/>
  <c r="M1494" i="4"/>
  <c r="O1494" i="4" s="1"/>
  <c r="L1494" i="4"/>
  <c r="N1494" i="4" s="1"/>
  <c r="K1494" i="4"/>
  <c r="J1494" i="4"/>
  <c r="F1494" i="4"/>
  <c r="E1494" i="4"/>
  <c r="D1494" i="4"/>
  <c r="S1493" i="4"/>
  <c r="M1493" i="4"/>
  <c r="O1493" i="4" s="1"/>
  <c r="L1493" i="4"/>
  <c r="N1493" i="4" s="1"/>
  <c r="K1493" i="4"/>
  <c r="J1493" i="4"/>
  <c r="S1492" i="4"/>
  <c r="M1492" i="4"/>
  <c r="O1492" i="4" s="1"/>
  <c r="L1492" i="4"/>
  <c r="N1492" i="4" s="1"/>
  <c r="K1492" i="4"/>
  <c r="J1492" i="4"/>
  <c r="S1491" i="4"/>
  <c r="M1491" i="4"/>
  <c r="O1491" i="4" s="1"/>
  <c r="L1491" i="4"/>
  <c r="N1491" i="4" s="1"/>
  <c r="K1491" i="4"/>
  <c r="J1491" i="4"/>
  <c r="S1490" i="4"/>
  <c r="M1490" i="4"/>
  <c r="O1490" i="4" s="1"/>
  <c r="L1490" i="4"/>
  <c r="N1490" i="4" s="1"/>
  <c r="K1490" i="4"/>
  <c r="J1490" i="4"/>
  <c r="S1489" i="4"/>
  <c r="M1489" i="4"/>
  <c r="O1489" i="4" s="1"/>
  <c r="L1489" i="4"/>
  <c r="N1489" i="4" s="1"/>
  <c r="K1489" i="4"/>
  <c r="J1489" i="4"/>
  <c r="S1488" i="4"/>
  <c r="M1488" i="4"/>
  <c r="O1488" i="4" s="1"/>
  <c r="L1488" i="4"/>
  <c r="N1488" i="4" s="1"/>
  <c r="K1488" i="4"/>
  <c r="J1488" i="4"/>
  <c r="S1487" i="4"/>
  <c r="M1487" i="4"/>
  <c r="O1487" i="4" s="1"/>
  <c r="L1487" i="4"/>
  <c r="N1487" i="4" s="1"/>
  <c r="K1487" i="4"/>
  <c r="J1487" i="4"/>
  <c r="S1486" i="4"/>
  <c r="M1486" i="4"/>
  <c r="O1486" i="4" s="1"/>
  <c r="L1486" i="4"/>
  <c r="N1486" i="4" s="1"/>
  <c r="K1486" i="4"/>
  <c r="J1486" i="4"/>
  <c r="S1485" i="4"/>
  <c r="M1485" i="4"/>
  <c r="O1485" i="4" s="1"/>
  <c r="L1485" i="4"/>
  <c r="N1485" i="4" s="1"/>
  <c r="K1485" i="4"/>
  <c r="J1485" i="4"/>
  <c r="S1484" i="4"/>
  <c r="M1484" i="4"/>
  <c r="O1484" i="4" s="1"/>
  <c r="L1484" i="4"/>
  <c r="N1484" i="4" s="1"/>
  <c r="K1484" i="4"/>
  <c r="J1484" i="4"/>
  <c r="F1484" i="4"/>
  <c r="E1484" i="4"/>
  <c r="D1484" i="4"/>
  <c r="S1483" i="4"/>
  <c r="M1483" i="4"/>
  <c r="O1483" i="4" s="1"/>
  <c r="L1483" i="4"/>
  <c r="N1483" i="4" s="1"/>
  <c r="K1483" i="4"/>
  <c r="J1483" i="4"/>
  <c r="F1483" i="4"/>
  <c r="E1483" i="4"/>
  <c r="D1483" i="4"/>
  <c r="S1482" i="4"/>
  <c r="M1482" i="4"/>
  <c r="O1482" i="4" s="1"/>
  <c r="L1482" i="4"/>
  <c r="N1482" i="4" s="1"/>
  <c r="K1482" i="4"/>
  <c r="J1482" i="4"/>
  <c r="F1482" i="4"/>
  <c r="E1482" i="4"/>
  <c r="D1482" i="4"/>
  <c r="S1481" i="4"/>
  <c r="M1481" i="4"/>
  <c r="O1481" i="4" s="1"/>
  <c r="L1481" i="4"/>
  <c r="N1481" i="4" s="1"/>
  <c r="K1481" i="4"/>
  <c r="J1481" i="4"/>
  <c r="S1480" i="4"/>
  <c r="M1480" i="4"/>
  <c r="O1480" i="4" s="1"/>
  <c r="L1480" i="4"/>
  <c r="N1480" i="4" s="1"/>
  <c r="K1480" i="4"/>
  <c r="J1480" i="4"/>
  <c r="S1479" i="4"/>
  <c r="M1479" i="4"/>
  <c r="O1479" i="4" s="1"/>
  <c r="L1479" i="4"/>
  <c r="N1479" i="4" s="1"/>
  <c r="K1479" i="4"/>
  <c r="J1479" i="4"/>
  <c r="S1478" i="4"/>
  <c r="M1478" i="4"/>
  <c r="O1478" i="4" s="1"/>
  <c r="L1478" i="4"/>
  <c r="N1478" i="4" s="1"/>
  <c r="K1478" i="4"/>
  <c r="J1478" i="4"/>
  <c r="S1477" i="4"/>
  <c r="M1477" i="4"/>
  <c r="O1477" i="4" s="1"/>
  <c r="L1477" i="4"/>
  <c r="N1477" i="4" s="1"/>
  <c r="K1477" i="4"/>
  <c r="J1477" i="4"/>
  <c r="S1476" i="4"/>
  <c r="M1476" i="4"/>
  <c r="O1476" i="4" s="1"/>
  <c r="L1476" i="4"/>
  <c r="N1476" i="4" s="1"/>
  <c r="K1476" i="4"/>
  <c r="J1476" i="4"/>
  <c r="S1475" i="4"/>
  <c r="M1475" i="4"/>
  <c r="O1475" i="4" s="1"/>
  <c r="L1475" i="4"/>
  <c r="N1475" i="4" s="1"/>
  <c r="K1475" i="4"/>
  <c r="J1475" i="4"/>
  <c r="S1474" i="4"/>
  <c r="M1474" i="4"/>
  <c r="O1474" i="4" s="1"/>
  <c r="L1474" i="4"/>
  <c r="N1474" i="4" s="1"/>
  <c r="K1474" i="4"/>
  <c r="J1474" i="4"/>
  <c r="M1473" i="4"/>
  <c r="O1473" i="4" s="1"/>
  <c r="L1473" i="4"/>
  <c r="N1473" i="4" s="1"/>
  <c r="K1473" i="4"/>
  <c r="J1473" i="4"/>
  <c r="S1472" i="4"/>
  <c r="M1472" i="4"/>
  <c r="O1472" i="4" s="1"/>
  <c r="L1472" i="4"/>
  <c r="N1472" i="4" s="1"/>
  <c r="K1472" i="4"/>
  <c r="J1472" i="4"/>
  <c r="S1471" i="4"/>
  <c r="M1471" i="4"/>
  <c r="O1471" i="4" s="1"/>
  <c r="L1471" i="4"/>
  <c r="N1471" i="4" s="1"/>
  <c r="K1471" i="4"/>
  <c r="J1471" i="4"/>
  <c r="S1470" i="4"/>
  <c r="M1470" i="4"/>
  <c r="O1470" i="4" s="1"/>
  <c r="L1470" i="4"/>
  <c r="N1470" i="4" s="1"/>
  <c r="K1470" i="4"/>
  <c r="J1470" i="4"/>
  <c r="P1469" i="4"/>
  <c r="S1469" i="4" s="1"/>
  <c r="M1469" i="4"/>
  <c r="O1469" i="4" s="1"/>
  <c r="L1469" i="4"/>
  <c r="N1469" i="4" s="1"/>
  <c r="K1469" i="4"/>
  <c r="J1469" i="4"/>
  <c r="F1469" i="4"/>
  <c r="E1469" i="4"/>
  <c r="M1468" i="4"/>
  <c r="O1468" i="4" s="1"/>
  <c r="L1468" i="4"/>
  <c r="N1468" i="4" s="1"/>
  <c r="K1468" i="4"/>
  <c r="J1468" i="4"/>
  <c r="S1467" i="4"/>
  <c r="M1467" i="4"/>
  <c r="O1467" i="4" s="1"/>
  <c r="L1467" i="4"/>
  <c r="N1467" i="4" s="1"/>
  <c r="K1467" i="4"/>
  <c r="J1467" i="4"/>
  <c r="F1467" i="4"/>
  <c r="E1467" i="4"/>
  <c r="D1467" i="4"/>
  <c r="S1466" i="4"/>
  <c r="M1466" i="4"/>
  <c r="O1466" i="4" s="1"/>
  <c r="L1466" i="4"/>
  <c r="N1466" i="4" s="1"/>
  <c r="K1466" i="4"/>
  <c r="J1466" i="4"/>
  <c r="S1465" i="4"/>
  <c r="M1465" i="4"/>
  <c r="O1465" i="4" s="1"/>
  <c r="L1465" i="4"/>
  <c r="N1465" i="4" s="1"/>
  <c r="K1465" i="4"/>
  <c r="J1465" i="4"/>
  <c r="S1464" i="4"/>
  <c r="M1464" i="4"/>
  <c r="O1464" i="4" s="1"/>
  <c r="L1464" i="4"/>
  <c r="N1464" i="4" s="1"/>
  <c r="K1464" i="4"/>
  <c r="J1464" i="4"/>
  <c r="F1464" i="4"/>
  <c r="E1464" i="4"/>
  <c r="D1464" i="4"/>
  <c r="S1463" i="4"/>
  <c r="M1463" i="4"/>
  <c r="O1463" i="4" s="1"/>
  <c r="L1463" i="4"/>
  <c r="N1463" i="4" s="1"/>
  <c r="K1463" i="4"/>
  <c r="J1463" i="4"/>
  <c r="S1462" i="4"/>
  <c r="M1462" i="4"/>
  <c r="O1462" i="4" s="1"/>
  <c r="L1462" i="4"/>
  <c r="N1462" i="4" s="1"/>
  <c r="K1462" i="4"/>
  <c r="J1462" i="4"/>
  <c r="S1461" i="4"/>
  <c r="M1461" i="4"/>
  <c r="O1461" i="4" s="1"/>
  <c r="L1461" i="4"/>
  <c r="N1461" i="4" s="1"/>
  <c r="K1461" i="4"/>
  <c r="J1461" i="4"/>
  <c r="S1460" i="4"/>
  <c r="M1460" i="4"/>
  <c r="O1460" i="4" s="1"/>
  <c r="L1460" i="4"/>
  <c r="N1460" i="4" s="1"/>
  <c r="K1460" i="4"/>
  <c r="J1460" i="4"/>
  <c r="S1459" i="4"/>
  <c r="M1459" i="4"/>
  <c r="O1459" i="4" s="1"/>
  <c r="L1459" i="4"/>
  <c r="N1459" i="4" s="1"/>
  <c r="K1459" i="4"/>
  <c r="J1459" i="4"/>
  <c r="F1459" i="4"/>
  <c r="E1459" i="4"/>
  <c r="D1459" i="4"/>
  <c r="S1458" i="4"/>
  <c r="M1458" i="4"/>
  <c r="O1458" i="4" s="1"/>
  <c r="L1458" i="4"/>
  <c r="N1458" i="4" s="1"/>
  <c r="K1458" i="4"/>
  <c r="J1458" i="4"/>
  <c r="F1458" i="4"/>
  <c r="E1458" i="4"/>
  <c r="D1458" i="4"/>
  <c r="S1457" i="4"/>
  <c r="M1457" i="4"/>
  <c r="O1457" i="4" s="1"/>
  <c r="L1457" i="4"/>
  <c r="N1457" i="4" s="1"/>
  <c r="K1457" i="4"/>
  <c r="J1457" i="4"/>
  <c r="S1456" i="4"/>
  <c r="M1456" i="4"/>
  <c r="O1456" i="4" s="1"/>
  <c r="L1456" i="4"/>
  <c r="N1456" i="4" s="1"/>
  <c r="K1456" i="4"/>
  <c r="J1456" i="4"/>
  <c r="S1455" i="4"/>
  <c r="M1455" i="4"/>
  <c r="O1455" i="4" s="1"/>
  <c r="L1455" i="4"/>
  <c r="N1455" i="4" s="1"/>
  <c r="K1455" i="4"/>
  <c r="J1455" i="4"/>
  <c r="S1454" i="4"/>
  <c r="M1454" i="4"/>
  <c r="O1454" i="4" s="1"/>
  <c r="L1454" i="4"/>
  <c r="N1454" i="4" s="1"/>
  <c r="K1454" i="4"/>
  <c r="J1454" i="4"/>
  <c r="S1453" i="4"/>
  <c r="M1453" i="4"/>
  <c r="O1453" i="4" s="1"/>
  <c r="L1453" i="4"/>
  <c r="N1453" i="4" s="1"/>
  <c r="K1453" i="4"/>
  <c r="J1453" i="4"/>
  <c r="S1452" i="4"/>
  <c r="M1452" i="4"/>
  <c r="O1452" i="4" s="1"/>
  <c r="L1452" i="4"/>
  <c r="N1452" i="4" s="1"/>
  <c r="K1452" i="4"/>
  <c r="J1452" i="4"/>
  <c r="F1452" i="4"/>
  <c r="E1452" i="4"/>
  <c r="D1452" i="4"/>
  <c r="S1451" i="4"/>
  <c r="M1451" i="4"/>
  <c r="O1451" i="4" s="1"/>
  <c r="L1451" i="4"/>
  <c r="N1451" i="4" s="1"/>
  <c r="K1451" i="4"/>
  <c r="J1451" i="4"/>
  <c r="F1451" i="4"/>
  <c r="E1451" i="4"/>
  <c r="D1451" i="4"/>
  <c r="S1450" i="4"/>
  <c r="M1450" i="4"/>
  <c r="O1450" i="4" s="1"/>
  <c r="L1450" i="4"/>
  <c r="N1450" i="4" s="1"/>
  <c r="K1450" i="4"/>
  <c r="J1450" i="4"/>
  <c r="F1450" i="4"/>
  <c r="E1450" i="4"/>
  <c r="D1450" i="4"/>
  <c r="S1449" i="4"/>
  <c r="M1449" i="4"/>
  <c r="O1449" i="4" s="1"/>
  <c r="L1449" i="4"/>
  <c r="N1449" i="4" s="1"/>
  <c r="K1449" i="4"/>
  <c r="J1449" i="4"/>
  <c r="F1449" i="4"/>
  <c r="E1449" i="4"/>
  <c r="D1449" i="4"/>
  <c r="S1448" i="4"/>
  <c r="M1448" i="4"/>
  <c r="O1448" i="4" s="1"/>
  <c r="L1448" i="4"/>
  <c r="N1448" i="4" s="1"/>
  <c r="K1448" i="4"/>
  <c r="J1448" i="4"/>
  <c r="S1447" i="4"/>
  <c r="M1447" i="4"/>
  <c r="O1447" i="4" s="1"/>
  <c r="L1447" i="4"/>
  <c r="N1447" i="4" s="1"/>
  <c r="K1447" i="4"/>
  <c r="J1447" i="4"/>
  <c r="F1447" i="4"/>
  <c r="E1447" i="4"/>
  <c r="D1447" i="4"/>
  <c r="S1446" i="4"/>
  <c r="M1446" i="4"/>
  <c r="O1446" i="4" s="1"/>
  <c r="L1446" i="4"/>
  <c r="N1446" i="4" s="1"/>
  <c r="K1446" i="4"/>
  <c r="J1446" i="4"/>
  <c r="S1445" i="4"/>
  <c r="M1445" i="4"/>
  <c r="O1445" i="4" s="1"/>
  <c r="L1445" i="4"/>
  <c r="N1445" i="4" s="1"/>
  <c r="K1445" i="4"/>
  <c r="J1445" i="4"/>
  <c r="S1444" i="4"/>
  <c r="M1444" i="4"/>
  <c r="O1444" i="4" s="1"/>
  <c r="L1444" i="4"/>
  <c r="N1444" i="4" s="1"/>
  <c r="K1444" i="4"/>
  <c r="J1444" i="4"/>
  <c r="S1443" i="4"/>
  <c r="M1443" i="4"/>
  <c r="O1443" i="4" s="1"/>
  <c r="L1443" i="4"/>
  <c r="N1443" i="4" s="1"/>
  <c r="K1443" i="4"/>
  <c r="J1443" i="4"/>
  <c r="S1442" i="4"/>
  <c r="M1442" i="4"/>
  <c r="O1442" i="4" s="1"/>
  <c r="L1442" i="4"/>
  <c r="N1442" i="4" s="1"/>
  <c r="K1442" i="4"/>
  <c r="J1442" i="4"/>
  <c r="F1442" i="4"/>
  <c r="E1442" i="4"/>
  <c r="D1442" i="4"/>
  <c r="S1441" i="4"/>
  <c r="M1441" i="4"/>
  <c r="O1441" i="4" s="1"/>
  <c r="L1441" i="4"/>
  <c r="N1441" i="4" s="1"/>
  <c r="K1441" i="4"/>
  <c r="J1441" i="4"/>
  <c r="S1440" i="4"/>
  <c r="M1440" i="4"/>
  <c r="O1440" i="4" s="1"/>
  <c r="L1440" i="4"/>
  <c r="N1440" i="4" s="1"/>
  <c r="K1440" i="4"/>
  <c r="J1440" i="4"/>
  <c r="S1439" i="4"/>
  <c r="M1439" i="4"/>
  <c r="O1439" i="4" s="1"/>
  <c r="L1439" i="4"/>
  <c r="N1439" i="4" s="1"/>
  <c r="K1439" i="4"/>
  <c r="J1439" i="4"/>
  <c r="S1438" i="4"/>
  <c r="M1438" i="4"/>
  <c r="O1438" i="4" s="1"/>
  <c r="L1438" i="4"/>
  <c r="N1438" i="4" s="1"/>
  <c r="K1438" i="4"/>
  <c r="J1438" i="4"/>
  <c r="S1437" i="4"/>
  <c r="M1437" i="4"/>
  <c r="O1437" i="4" s="1"/>
  <c r="L1437" i="4"/>
  <c r="N1437" i="4" s="1"/>
  <c r="K1437" i="4"/>
  <c r="J1437" i="4"/>
  <c r="S1436" i="4"/>
  <c r="M1436" i="4"/>
  <c r="O1436" i="4" s="1"/>
  <c r="L1436" i="4"/>
  <c r="N1436" i="4" s="1"/>
  <c r="K1436" i="4"/>
  <c r="J1436" i="4"/>
  <c r="S1435" i="4"/>
  <c r="M1435" i="4"/>
  <c r="O1435" i="4" s="1"/>
  <c r="L1435" i="4"/>
  <c r="N1435" i="4" s="1"/>
  <c r="K1435" i="4"/>
  <c r="J1435" i="4"/>
  <c r="S1434" i="4"/>
  <c r="M1434" i="4"/>
  <c r="O1434" i="4" s="1"/>
  <c r="L1434" i="4"/>
  <c r="N1434" i="4" s="1"/>
  <c r="K1434" i="4"/>
  <c r="J1434" i="4"/>
  <c r="S1433" i="4"/>
  <c r="M1433" i="4"/>
  <c r="O1433" i="4" s="1"/>
  <c r="L1433" i="4"/>
  <c r="N1433" i="4" s="1"/>
  <c r="K1433" i="4"/>
  <c r="J1433" i="4"/>
  <c r="M1432" i="4"/>
  <c r="O1432" i="4" s="1"/>
  <c r="L1432" i="4"/>
  <c r="N1432" i="4" s="1"/>
  <c r="K1432" i="4"/>
  <c r="J1432" i="4"/>
  <c r="S1431" i="4"/>
  <c r="M1431" i="4"/>
  <c r="O1431" i="4" s="1"/>
  <c r="L1431" i="4"/>
  <c r="N1431" i="4" s="1"/>
  <c r="K1431" i="4"/>
  <c r="J1431" i="4"/>
  <c r="S1430" i="4"/>
  <c r="M1430" i="4"/>
  <c r="O1430" i="4" s="1"/>
  <c r="L1430" i="4"/>
  <c r="N1430" i="4" s="1"/>
  <c r="K1430" i="4"/>
  <c r="J1430" i="4"/>
  <c r="S1429" i="4"/>
  <c r="M1429" i="4"/>
  <c r="O1429" i="4" s="1"/>
  <c r="L1429" i="4"/>
  <c r="N1429" i="4" s="1"/>
  <c r="K1429" i="4"/>
  <c r="J1429" i="4"/>
  <c r="S1428" i="4"/>
  <c r="M1428" i="4"/>
  <c r="O1428" i="4" s="1"/>
  <c r="L1428" i="4"/>
  <c r="N1428" i="4" s="1"/>
  <c r="K1428" i="4"/>
  <c r="J1428" i="4"/>
  <c r="S1427" i="4"/>
  <c r="M1427" i="4"/>
  <c r="O1427" i="4" s="1"/>
  <c r="L1427" i="4"/>
  <c r="N1427" i="4" s="1"/>
  <c r="K1427" i="4"/>
  <c r="J1427" i="4"/>
  <c r="S1426" i="4"/>
  <c r="M1426" i="4"/>
  <c r="O1426" i="4" s="1"/>
  <c r="L1426" i="4"/>
  <c r="N1426" i="4" s="1"/>
  <c r="K1426" i="4"/>
  <c r="J1426" i="4"/>
  <c r="S1425" i="4"/>
  <c r="M1425" i="4"/>
  <c r="O1425" i="4" s="1"/>
  <c r="L1425" i="4"/>
  <c r="N1425" i="4" s="1"/>
  <c r="K1425" i="4"/>
  <c r="J1425" i="4"/>
  <c r="S1424" i="4"/>
  <c r="M1424" i="4"/>
  <c r="O1424" i="4" s="1"/>
  <c r="L1424" i="4"/>
  <c r="N1424" i="4" s="1"/>
  <c r="K1424" i="4"/>
  <c r="J1424" i="4"/>
  <c r="S1423" i="4"/>
  <c r="M1423" i="4"/>
  <c r="O1423" i="4" s="1"/>
  <c r="L1423" i="4"/>
  <c r="N1423" i="4" s="1"/>
  <c r="K1423" i="4"/>
  <c r="J1423" i="4"/>
  <c r="S1422" i="4"/>
  <c r="M1422" i="4"/>
  <c r="O1422" i="4" s="1"/>
  <c r="L1422" i="4"/>
  <c r="N1422" i="4" s="1"/>
  <c r="K1422" i="4"/>
  <c r="J1422" i="4"/>
  <c r="S1421" i="4"/>
  <c r="M1421" i="4"/>
  <c r="O1421" i="4" s="1"/>
  <c r="L1421" i="4"/>
  <c r="N1421" i="4" s="1"/>
  <c r="K1421" i="4"/>
  <c r="J1421" i="4"/>
  <c r="S1420" i="4"/>
  <c r="M1420" i="4"/>
  <c r="O1420" i="4" s="1"/>
  <c r="L1420" i="4"/>
  <c r="N1420" i="4" s="1"/>
  <c r="K1420" i="4"/>
  <c r="J1420" i="4"/>
  <c r="S1419" i="4"/>
  <c r="M1419" i="4"/>
  <c r="O1419" i="4" s="1"/>
  <c r="L1419" i="4"/>
  <c r="N1419" i="4" s="1"/>
  <c r="K1419" i="4"/>
  <c r="J1419" i="4"/>
  <c r="S1418" i="4"/>
  <c r="M1418" i="4"/>
  <c r="O1418" i="4" s="1"/>
  <c r="L1418" i="4"/>
  <c r="N1418" i="4" s="1"/>
  <c r="K1418" i="4"/>
  <c r="J1418" i="4"/>
  <c r="F1418" i="4"/>
  <c r="E1418" i="4"/>
  <c r="D1418" i="4"/>
  <c r="S1417" i="4"/>
  <c r="M1417" i="4"/>
  <c r="O1417" i="4" s="1"/>
  <c r="L1417" i="4"/>
  <c r="N1417" i="4" s="1"/>
  <c r="K1417" i="4"/>
  <c r="J1417" i="4"/>
  <c r="S1416" i="4"/>
  <c r="M1416" i="4"/>
  <c r="O1416" i="4" s="1"/>
  <c r="L1416" i="4"/>
  <c r="N1416" i="4" s="1"/>
  <c r="K1416" i="4"/>
  <c r="J1416" i="4"/>
  <c r="S1415" i="4"/>
  <c r="M1415" i="4"/>
  <c r="O1415" i="4" s="1"/>
  <c r="L1415" i="4"/>
  <c r="N1415" i="4" s="1"/>
  <c r="K1415" i="4"/>
  <c r="J1415" i="4"/>
  <c r="S1414" i="4"/>
  <c r="M1414" i="4"/>
  <c r="O1414" i="4" s="1"/>
  <c r="L1414" i="4"/>
  <c r="N1414" i="4" s="1"/>
  <c r="K1414" i="4"/>
  <c r="J1414" i="4"/>
  <c r="S1413" i="4"/>
  <c r="M1413" i="4"/>
  <c r="O1413" i="4" s="1"/>
  <c r="L1413" i="4"/>
  <c r="N1413" i="4" s="1"/>
  <c r="K1413" i="4"/>
  <c r="J1413" i="4"/>
  <c r="S1412" i="4"/>
  <c r="M1412" i="4"/>
  <c r="O1412" i="4" s="1"/>
  <c r="L1412" i="4"/>
  <c r="N1412" i="4" s="1"/>
  <c r="K1412" i="4"/>
  <c r="J1412" i="4"/>
  <c r="S1411" i="4"/>
  <c r="M1411" i="4"/>
  <c r="O1411" i="4" s="1"/>
  <c r="L1411" i="4"/>
  <c r="N1411" i="4" s="1"/>
  <c r="K1411" i="4"/>
  <c r="J1411" i="4"/>
  <c r="S1410" i="4"/>
  <c r="M1410" i="4"/>
  <c r="O1410" i="4" s="1"/>
  <c r="L1410" i="4"/>
  <c r="N1410" i="4" s="1"/>
  <c r="K1410" i="4"/>
  <c r="J1410" i="4"/>
  <c r="S1409" i="4"/>
  <c r="M1409" i="4"/>
  <c r="O1409" i="4" s="1"/>
  <c r="L1409" i="4"/>
  <c r="N1409" i="4" s="1"/>
  <c r="K1409" i="4"/>
  <c r="J1409" i="4"/>
  <c r="S1408" i="4"/>
  <c r="M1408" i="4"/>
  <c r="O1408" i="4" s="1"/>
  <c r="L1408" i="4"/>
  <c r="N1408" i="4" s="1"/>
  <c r="K1408" i="4"/>
  <c r="J1408" i="4"/>
  <c r="S1407" i="4"/>
  <c r="M1407" i="4"/>
  <c r="O1407" i="4" s="1"/>
  <c r="L1407" i="4"/>
  <c r="N1407" i="4" s="1"/>
  <c r="K1407" i="4"/>
  <c r="J1407" i="4"/>
  <c r="S1406" i="4"/>
  <c r="M1406" i="4"/>
  <c r="O1406" i="4" s="1"/>
  <c r="L1406" i="4"/>
  <c r="N1406" i="4" s="1"/>
  <c r="K1406" i="4"/>
  <c r="J1406" i="4"/>
  <c r="S1405" i="4"/>
  <c r="M1405" i="4"/>
  <c r="O1405" i="4" s="1"/>
  <c r="L1405" i="4"/>
  <c r="N1405" i="4" s="1"/>
  <c r="K1405" i="4"/>
  <c r="J1405" i="4"/>
  <c r="S1404" i="4"/>
  <c r="M1404" i="4"/>
  <c r="O1404" i="4" s="1"/>
  <c r="L1404" i="4"/>
  <c r="N1404" i="4" s="1"/>
  <c r="K1404" i="4"/>
  <c r="J1404" i="4"/>
  <c r="S1403" i="4"/>
  <c r="M1403" i="4"/>
  <c r="O1403" i="4" s="1"/>
  <c r="L1403" i="4"/>
  <c r="N1403" i="4" s="1"/>
  <c r="K1403" i="4"/>
  <c r="J1403" i="4"/>
  <c r="S1401" i="4"/>
  <c r="M1401" i="4"/>
  <c r="O1401" i="4" s="1"/>
  <c r="L1401" i="4"/>
  <c r="N1401" i="4" s="1"/>
  <c r="K1401" i="4"/>
  <c r="J1401" i="4"/>
  <c r="S1400" i="4"/>
  <c r="M1400" i="4"/>
  <c r="O1400" i="4" s="1"/>
  <c r="L1400" i="4"/>
  <c r="N1400" i="4" s="1"/>
  <c r="K1400" i="4"/>
  <c r="J1400" i="4"/>
  <c r="S1399" i="4"/>
  <c r="P1399" i="4"/>
  <c r="M1399" i="4"/>
  <c r="O1399" i="4" s="1"/>
  <c r="L1399" i="4"/>
  <c r="N1399" i="4" s="1"/>
  <c r="K1399" i="4"/>
  <c r="J1399" i="4"/>
  <c r="F1399" i="4"/>
  <c r="E1399" i="4"/>
  <c r="D1399" i="4"/>
  <c r="S1398" i="4"/>
  <c r="M1398" i="4"/>
  <c r="O1398" i="4" s="1"/>
  <c r="L1398" i="4"/>
  <c r="N1398" i="4" s="1"/>
  <c r="K1398" i="4"/>
  <c r="J1398" i="4"/>
  <c r="M1397" i="4"/>
  <c r="O1397" i="4" s="1"/>
  <c r="L1397" i="4"/>
  <c r="N1397" i="4" s="1"/>
  <c r="K1397" i="4"/>
  <c r="J1397" i="4"/>
  <c r="S1396" i="4"/>
  <c r="M1396" i="4"/>
  <c r="O1396" i="4" s="1"/>
  <c r="L1396" i="4"/>
  <c r="N1396" i="4" s="1"/>
  <c r="K1396" i="4"/>
  <c r="J1396" i="4"/>
  <c r="S1395" i="4"/>
  <c r="M1395" i="4"/>
  <c r="O1395" i="4" s="1"/>
  <c r="L1395" i="4"/>
  <c r="N1395" i="4" s="1"/>
  <c r="K1395" i="4"/>
  <c r="J1395" i="4"/>
  <c r="F1395" i="4"/>
  <c r="E1395" i="4"/>
  <c r="D1395" i="4"/>
  <c r="S1394" i="4"/>
  <c r="M1394" i="4"/>
  <c r="O1394" i="4" s="1"/>
  <c r="L1394" i="4"/>
  <c r="N1394" i="4" s="1"/>
  <c r="K1394" i="4"/>
  <c r="J1394" i="4"/>
  <c r="S1393" i="4"/>
  <c r="M1393" i="4"/>
  <c r="O1393" i="4" s="1"/>
  <c r="L1393" i="4"/>
  <c r="N1393" i="4" s="1"/>
  <c r="K1393" i="4"/>
  <c r="J1393" i="4"/>
  <c r="S1392" i="4"/>
  <c r="M1392" i="4"/>
  <c r="O1392" i="4" s="1"/>
  <c r="L1392" i="4"/>
  <c r="N1392" i="4" s="1"/>
  <c r="K1392" i="4"/>
  <c r="J1392" i="4"/>
  <c r="S1391" i="4"/>
  <c r="M1391" i="4"/>
  <c r="O1391" i="4" s="1"/>
  <c r="L1391" i="4"/>
  <c r="N1391" i="4" s="1"/>
  <c r="K1391" i="4"/>
  <c r="J1391" i="4"/>
  <c r="S1390" i="4"/>
  <c r="M1390" i="4"/>
  <c r="O1390" i="4" s="1"/>
  <c r="L1390" i="4"/>
  <c r="N1390" i="4" s="1"/>
  <c r="K1390" i="4"/>
  <c r="J1390" i="4"/>
  <c r="S1389" i="4"/>
  <c r="M1389" i="4"/>
  <c r="O1389" i="4" s="1"/>
  <c r="L1389" i="4"/>
  <c r="N1389" i="4" s="1"/>
  <c r="K1389" i="4"/>
  <c r="J1389" i="4"/>
  <c r="S1388" i="4"/>
  <c r="M1388" i="4"/>
  <c r="O1388" i="4" s="1"/>
  <c r="L1388" i="4"/>
  <c r="N1388" i="4" s="1"/>
  <c r="K1388" i="4"/>
  <c r="J1388" i="4"/>
  <c r="S1387" i="4"/>
  <c r="M1387" i="4"/>
  <c r="O1387" i="4" s="1"/>
  <c r="L1387" i="4"/>
  <c r="N1387" i="4" s="1"/>
  <c r="K1387" i="4"/>
  <c r="J1387" i="4"/>
  <c r="F1387" i="4"/>
  <c r="E1387" i="4"/>
  <c r="D1387" i="4"/>
  <c r="S1386" i="4"/>
  <c r="M1386" i="4"/>
  <c r="O1386" i="4" s="1"/>
  <c r="L1386" i="4"/>
  <c r="N1386" i="4" s="1"/>
  <c r="K1386" i="4"/>
  <c r="J1386" i="4"/>
  <c r="S1385" i="4"/>
  <c r="M1385" i="4"/>
  <c r="O1385" i="4" s="1"/>
  <c r="L1385" i="4"/>
  <c r="N1385" i="4" s="1"/>
  <c r="K1385" i="4"/>
  <c r="J1385" i="4"/>
  <c r="S1384" i="4"/>
  <c r="M1384" i="4"/>
  <c r="O1384" i="4" s="1"/>
  <c r="L1384" i="4"/>
  <c r="N1384" i="4" s="1"/>
  <c r="K1384" i="4"/>
  <c r="J1384" i="4"/>
  <c r="S1383" i="4"/>
  <c r="M1383" i="4"/>
  <c r="O1383" i="4" s="1"/>
  <c r="L1383" i="4"/>
  <c r="N1383" i="4" s="1"/>
  <c r="K1383" i="4"/>
  <c r="J1383" i="4"/>
  <c r="S1382" i="4"/>
  <c r="M1382" i="4"/>
  <c r="O1382" i="4" s="1"/>
  <c r="L1382" i="4"/>
  <c r="N1382" i="4" s="1"/>
  <c r="K1382" i="4"/>
  <c r="J1382" i="4"/>
  <c r="F1382" i="4"/>
  <c r="E1382" i="4"/>
  <c r="D1382" i="4"/>
  <c r="P1381" i="4"/>
  <c r="S1381" i="4" s="1"/>
  <c r="M1381" i="4"/>
  <c r="O1381" i="4" s="1"/>
  <c r="L1381" i="4"/>
  <c r="N1381" i="4" s="1"/>
  <c r="K1381" i="4"/>
  <c r="J1381" i="4"/>
  <c r="F1381" i="4"/>
  <c r="E1381" i="4"/>
  <c r="D1381" i="4"/>
  <c r="S1380" i="4"/>
  <c r="M1380" i="4"/>
  <c r="O1380" i="4" s="1"/>
  <c r="L1380" i="4"/>
  <c r="N1380" i="4" s="1"/>
  <c r="K1380" i="4"/>
  <c r="J1380" i="4"/>
  <c r="F1380" i="4"/>
  <c r="E1380" i="4"/>
  <c r="D1380" i="4"/>
  <c r="S1379" i="4"/>
  <c r="M1379" i="4"/>
  <c r="O1379" i="4" s="1"/>
  <c r="L1379" i="4"/>
  <c r="N1379" i="4" s="1"/>
  <c r="K1379" i="4"/>
  <c r="J1379" i="4"/>
  <c r="F1379" i="4"/>
  <c r="E1379" i="4"/>
  <c r="D1379" i="4"/>
  <c r="S1378" i="4"/>
  <c r="M1378" i="4"/>
  <c r="O1378" i="4" s="1"/>
  <c r="L1378" i="4"/>
  <c r="N1378" i="4" s="1"/>
  <c r="K1378" i="4"/>
  <c r="J1378" i="4"/>
  <c r="F1378" i="4"/>
  <c r="E1378" i="4"/>
  <c r="D1378" i="4"/>
  <c r="S1377" i="4"/>
  <c r="N1377" i="4"/>
  <c r="M1377" i="4"/>
  <c r="O1377" i="4" s="1"/>
  <c r="L1377" i="4"/>
  <c r="K1377" i="4"/>
  <c r="J1377" i="4"/>
  <c r="F1377" i="4"/>
  <c r="E1377" i="4"/>
  <c r="D1377" i="4"/>
  <c r="S1376" i="4"/>
  <c r="M1376" i="4"/>
  <c r="O1376" i="4" s="1"/>
  <c r="L1376" i="4"/>
  <c r="N1376" i="4" s="1"/>
  <c r="K1376" i="4"/>
  <c r="J1376" i="4"/>
  <c r="S1375" i="4"/>
  <c r="M1375" i="4"/>
  <c r="O1375" i="4" s="1"/>
  <c r="L1375" i="4"/>
  <c r="N1375" i="4" s="1"/>
  <c r="K1375" i="4"/>
  <c r="J1375" i="4"/>
  <c r="S1374" i="4"/>
  <c r="M1374" i="4"/>
  <c r="O1374" i="4" s="1"/>
  <c r="L1374" i="4"/>
  <c r="N1374" i="4" s="1"/>
  <c r="K1374" i="4"/>
  <c r="J1374" i="4"/>
  <c r="S1372" i="4"/>
  <c r="M1372" i="4"/>
  <c r="O1372" i="4" s="1"/>
  <c r="L1372" i="4"/>
  <c r="N1372" i="4" s="1"/>
  <c r="K1372" i="4"/>
  <c r="J1372" i="4"/>
  <c r="F1372" i="4"/>
  <c r="E1372" i="4"/>
  <c r="D1372" i="4"/>
  <c r="S1371" i="4"/>
  <c r="M1371" i="4"/>
  <c r="O1371" i="4" s="1"/>
  <c r="L1371" i="4"/>
  <c r="N1371" i="4" s="1"/>
  <c r="K1371" i="4"/>
  <c r="J1371" i="4"/>
  <c r="S1370" i="4"/>
  <c r="M1370" i="4"/>
  <c r="O1370" i="4" s="1"/>
  <c r="L1370" i="4"/>
  <c r="N1370" i="4" s="1"/>
  <c r="K1370" i="4"/>
  <c r="J1370" i="4"/>
  <c r="S1369" i="4"/>
  <c r="M1369" i="4"/>
  <c r="O1369" i="4" s="1"/>
  <c r="L1369" i="4"/>
  <c r="N1369" i="4" s="1"/>
  <c r="K1369" i="4"/>
  <c r="J1369" i="4"/>
  <c r="F1369" i="4"/>
  <c r="E1369" i="4"/>
  <c r="D1369" i="4"/>
  <c r="S1368" i="4"/>
  <c r="M1368" i="4"/>
  <c r="O1368" i="4" s="1"/>
  <c r="L1368" i="4"/>
  <c r="N1368" i="4" s="1"/>
  <c r="K1368" i="4"/>
  <c r="J1368" i="4"/>
  <c r="S1367" i="4"/>
  <c r="M1367" i="4"/>
  <c r="O1367" i="4" s="1"/>
  <c r="L1367" i="4"/>
  <c r="N1367" i="4" s="1"/>
  <c r="K1367" i="4"/>
  <c r="J1367" i="4"/>
  <c r="F1367" i="4"/>
  <c r="E1367" i="4"/>
  <c r="D1367" i="4"/>
  <c r="S1366" i="4"/>
  <c r="M1366" i="4"/>
  <c r="O1366" i="4" s="1"/>
  <c r="L1366" i="4"/>
  <c r="N1366" i="4" s="1"/>
  <c r="K1366" i="4"/>
  <c r="J1366" i="4"/>
  <c r="S1365" i="4"/>
  <c r="M1365" i="4"/>
  <c r="O1365" i="4" s="1"/>
  <c r="L1365" i="4"/>
  <c r="N1365" i="4" s="1"/>
  <c r="K1365" i="4"/>
  <c r="J1365" i="4"/>
  <c r="S1364" i="4"/>
  <c r="M1364" i="4"/>
  <c r="O1364" i="4" s="1"/>
  <c r="L1364" i="4"/>
  <c r="N1364" i="4" s="1"/>
  <c r="K1364" i="4"/>
  <c r="J1364" i="4"/>
  <c r="S1363" i="4"/>
  <c r="M1363" i="4"/>
  <c r="O1363" i="4" s="1"/>
  <c r="L1363" i="4"/>
  <c r="N1363" i="4" s="1"/>
  <c r="K1363" i="4"/>
  <c r="J1363" i="4"/>
  <c r="F1363" i="4"/>
  <c r="E1363" i="4"/>
  <c r="D1363" i="4"/>
  <c r="S1362" i="4"/>
  <c r="M1362" i="4"/>
  <c r="O1362" i="4" s="1"/>
  <c r="L1362" i="4"/>
  <c r="N1362" i="4" s="1"/>
  <c r="K1362" i="4"/>
  <c r="J1362" i="4"/>
  <c r="S1361" i="4"/>
  <c r="M1361" i="4"/>
  <c r="O1361" i="4" s="1"/>
  <c r="L1361" i="4"/>
  <c r="N1361" i="4" s="1"/>
  <c r="K1361" i="4"/>
  <c r="J1361" i="4"/>
  <c r="S1360" i="4"/>
  <c r="M1360" i="4"/>
  <c r="O1360" i="4" s="1"/>
  <c r="L1360" i="4"/>
  <c r="N1360" i="4" s="1"/>
  <c r="K1360" i="4"/>
  <c r="J1360" i="4"/>
  <c r="S1359" i="4"/>
  <c r="M1359" i="4"/>
  <c r="O1359" i="4" s="1"/>
  <c r="L1359" i="4"/>
  <c r="N1359" i="4" s="1"/>
  <c r="K1359" i="4"/>
  <c r="J1359" i="4"/>
  <c r="S1358" i="4"/>
  <c r="M1358" i="4"/>
  <c r="O1358" i="4" s="1"/>
  <c r="L1358" i="4"/>
  <c r="N1358" i="4" s="1"/>
  <c r="K1358" i="4"/>
  <c r="J1358" i="4"/>
  <c r="S1357" i="4"/>
  <c r="M1357" i="4"/>
  <c r="O1357" i="4" s="1"/>
  <c r="L1357" i="4"/>
  <c r="N1357" i="4" s="1"/>
  <c r="K1357" i="4"/>
  <c r="J1357" i="4"/>
  <c r="S1356" i="4"/>
  <c r="M1356" i="4"/>
  <c r="O1356" i="4" s="1"/>
  <c r="L1356" i="4"/>
  <c r="N1356" i="4" s="1"/>
  <c r="K1356" i="4"/>
  <c r="J1356" i="4"/>
  <c r="S1355" i="4"/>
  <c r="M1355" i="4"/>
  <c r="O1355" i="4" s="1"/>
  <c r="L1355" i="4"/>
  <c r="N1355" i="4" s="1"/>
  <c r="K1355" i="4"/>
  <c r="J1355" i="4"/>
  <c r="S1354" i="4"/>
  <c r="M1354" i="4"/>
  <c r="O1354" i="4" s="1"/>
  <c r="L1354" i="4"/>
  <c r="N1354" i="4" s="1"/>
  <c r="K1354" i="4"/>
  <c r="J1354" i="4"/>
  <c r="S1353" i="4"/>
  <c r="M1353" i="4"/>
  <c r="O1353" i="4" s="1"/>
  <c r="L1353" i="4"/>
  <c r="N1353" i="4" s="1"/>
  <c r="K1353" i="4"/>
  <c r="J1353" i="4"/>
  <c r="S1352" i="4"/>
  <c r="M1352" i="4"/>
  <c r="O1352" i="4" s="1"/>
  <c r="L1352" i="4"/>
  <c r="N1352" i="4" s="1"/>
  <c r="K1352" i="4"/>
  <c r="J1352" i="4"/>
  <c r="S1351" i="4"/>
  <c r="M1351" i="4"/>
  <c r="O1351" i="4" s="1"/>
  <c r="L1351" i="4"/>
  <c r="N1351" i="4" s="1"/>
  <c r="K1351" i="4"/>
  <c r="J1351" i="4"/>
  <c r="S1350" i="4"/>
  <c r="M1350" i="4"/>
  <c r="O1350" i="4" s="1"/>
  <c r="L1350" i="4"/>
  <c r="N1350" i="4" s="1"/>
  <c r="K1350" i="4"/>
  <c r="J1350" i="4"/>
  <c r="S1349" i="4"/>
  <c r="M1349" i="4"/>
  <c r="O1349" i="4" s="1"/>
  <c r="L1349" i="4"/>
  <c r="N1349" i="4" s="1"/>
  <c r="K1349" i="4"/>
  <c r="J1349" i="4"/>
  <c r="S1348" i="4"/>
  <c r="M1348" i="4"/>
  <c r="O1348" i="4" s="1"/>
  <c r="L1348" i="4"/>
  <c r="N1348" i="4" s="1"/>
  <c r="K1348" i="4"/>
  <c r="J1348" i="4"/>
  <c r="S1347" i="4"/>
  <c r="M1347" i="4"/>
  <c r="O1347" i="4" s="1"/>
  <c r="L1347" i="4"/>
  <c r="N1347" i="4" s="1"/>
  <c r="K1347" i="4"/>
  <c r="J1347" i="4"/>
  <c r="S1346" i="4"/>
  <c r="M1346" i="4"/>
  <c r="O1346" i="4" s="1"/>
  <c r="L1346" i="4"/>
  <c r="N1346" i="4" s="1"/>
  <c r="K1346" i="4"/>
  <c r="J1346" i="4"/>
  <c r="M1345" i="4"/>
  <c r="O1345" i="4" s="1"/>
  <c r="L1345" i="4"/>
  <c r="N1345" i="4" s="1"/>
  <c r="K1345" i="4"/>
  <c r="J1345" i="4"/>
  <c r="S1344" i="4"/>
  <c r="M1344" i="4"/>
  <c r="O1344" i="4" s="1"/>
  <c r="L1344" i="4"/>
  <c r="N1344" i="4" s="1"/>
  <c r="K1344" i="4"/>
  <c r="J1344" i="4"/>
  <c r="S1343" i="4"/>
  <c r="M1343" i="4"/>
  <c r="O1343" i="4" s="1"/>
  <c r="L1343" i="4"/>
  <c r="N1343" i="4" s="1"/>
  <c r="K1343" i="4"/>
  <c r="J1343" i="4"/>
  <c r="S1342" i="4"/>
  <c r="M1342" i="4"/>
  <c r="O1342" i="4" s="1"/>
  <c r="L1342" i="4"/>
  <c r="N1342" i="4" s="1"/>
  <c r="K1342" i="4"/>
  <c r="J1342" i="4"/>
  <c r="S1341" i="4"/>
  <c r="M1341" i="4"/>
  <c r="O1341" i="4" s="1"/>
  <c r="L1341" i="4"/>
  <c r="N1341" i="4" s="1"/>
  <c r="K1341" i="4"/>
  <c r="J1341" i="4"/>
  <c r="S1340" i="4"/>
  <c r="M1340" i="4"/>
  <c r="O1340" i="4" s="1"/>
  <c r="L1340" i="4"/>
  <c r="N1340" i="4" s="1"/>
  <c r="K1340" i="4"/>
  <c r="J1340" i="4"/>
  <c r="S1339" i="4"/>
  <c r="M1339" i="4"/>
  <c r="O1339" i="4" s="1"/>
  <c r="L1339" i="4"/>
  <c r="N1339" i="4" s="1"/>
  <c r="K1339" i="4"/>
  <c r="J1339" i="4"/>
  <c r="S1338" i="4"/>
  <c r="M1338" i="4"/>
  <c r="O1338" i="4" s="1"/>
  <c r="L1338" i="4"/>
  <c r="N1338" i="4" s="1"/>
  <c r="K1338" i="4"/>
  <c r="J1338" i="4"/>
  <c r="S1337" i="4"/>
  <c r="M1337" i="4"/>
  <c r="O1337" i="4" s="1"/>
  <c r="L1337" i="4"/>
  <c r="N1337" i="4" s="1"/>
  <c r="K1337" i="4"/>
  <c r="J1337" i="4"/>
  <c r="S1336" i="4"/>
  <c r="M1336" i="4"/>
  <c r="O1336" i="4" s="1"/>
  <c r="L1336" i="4"/>
  <c r="N1336" i="4" s="1"/>
  <c r="K1336" i="4"/>
  <c r="J1336" i="4"/>
  <c r="S1335" i="4"/>
  <c r="M1335" i="4"/>
  <c r="O1335" i="4" s="1"/>
  <c r="L1335" i="4"/>
  <c r="N1335" i="4" s="1"/>
  <c r="K1335" i="4"/>
  <c r="J1335" i="4"/>
  <c r="F1335" i="4"/>
  <c r="E1335" i="4"/>
  <c r="D1335" i="4"/>
  <c r="M1333" i="4"/>
  <c r="O1333" i="4" s="1"/>
  <c r="L1333" i="4"/>
  <c r="N1333" i="4" s="1"/>
  <c r="K1333" i="4"/>
  <c r="J1333" i="4"/>
  <c r="S1332" i="4"/>
  <c r="M1332" i="4"/>
  <c r="O1332" i="4" s="1"/>
  <c r="L1332" i="4"/>
  <c r="N1332" i="4" s="1"/>
  <c r="K1332" i="4"/>
  <c r="J1332" i="4"/>
  <c r="S1331" i="4"/>
  <c r="M1331" i="4"/>
  <c r="O1331" i="4" s="1"/>
  <c r="L1331" i="4"/>
  <c r="N1331" i="4" s="1"/>
  <c r="K1331" i="4"/>
  <c r="J1331" i="4"/>
  <c r="S1330" i="4"/>
  <c r="M1330" i="4"/>
  <c r="O1330" i="4" s="1"/>
  <c r="L1330" i="4"/>
  <c r="N1330" i="4" s="1"/>
  <c r="K1330" i="4"/>
  <c r="J1330" i="4"/>
  <c r="F1330" i="4"/>
  <c r="E1330" i="4"/>
  <c r="D1330" i="4"/>
  <c r="S1329" i="4"/>
  <c r="M1329" i="4"/>
  <c r="O1329" i="4" s="1"/>
  <c r="L1329" i="4"/>
  <c r="N1329" i="4" s="1"/>
  <c r="K1329" i="4"/>
  <c r="J1329" i="4"/>
  <c r="S1328" i="4"/>
  <c r="M1328" i="4"/>
  <c r="O1328" i="4" s="1"/>
  <c r="L1328" i="4"/>
  <c r="N1328" i="4" s="1"/>
  <c r="K1328" i="4"/>
  <c r="J1328" i="4"/>
  <c r="S1327" i="4"/>
  <c r="M1327" i="4"/>
  <c r="O1327" i="4" s="1"/>
  <c r="L1327" i="4"/>
  <c r="N1327" i="4" s="1"/>
  <c r="K1327" i="4"/>
  <c r="J1327" i="4"/>
  <c r="S1326" i="4"/>
  <c r="M1326" i="4"/>
  <c r="O1326" i="4" s="1"/>
  <c r="L1326" i="4"/>
  <c r="N1326" i="4" s="1"/>
  <c r="K1326" i="4"/>
  <c r="J1326" i="4"/>
  <c r="S1325" i="4"/>
  <c r="M1325" i="4"/>
  <c r="O1325" i="4" s="1"/>
  <c r="L1325" i="4"/>
  <c r="N1325" i="4" s="1"/>
  <c r="K1325" i="4"/>
  <c r="J1325" i="4"/>
  <c r="S1324" i="4"/>
  <c r="M1324" i="4"/>
  <c r="O1324" i="4" s="1"/>
  <c r="L1324" i="4"/>
  <c r="N1324" i="4" s="1"/>
  <c r="K1324" i="4"/>
  <c r="J1324" i="4"/>
  <c r="S1323" i="4"/>
  <c r="M1323" i="4"/>
  <c r="O1323" i="4" s="1"/>
  <c r="L1323" i="4"/>
  <c r="N1323" i="4" s="1"/>
  <c r="K1323" i="4"/>
  <c r="J1323" i="4"/>
  <c r="S1322" i="4"/>
  <c r="M1322" i="4"/>
  <c r="O1322" i="4" s="1"/>
  <c r="L1322" i="4"/>
  <c r="N1322" i="4" s="1"/>
  <c r="K1322" i="4"/>
  <c r="J1322" i="4"/>
  <c r="F1322" i="4"/>
  <c r="E1322" i="4"/>
  <c r="D1322" i="4"/>
  <c r="S1321" i="4"/>
  <c r="M1321" i="4"/>
  <c r="O1321" i="4" s="1"/>
  <c r="L1321" i="4"/>
  <c r="N1321" i="4" s="1"/>
  <c r="K1321" i="4"/>
  <c r="J1321" i="4"/>
  <c r="S1320" i="4"/>
  <c r="M1320" i="4"/>
  <c r="O1320" i="4" s="1"/>
  <c r="L1320" i="4"/>
  <c r="N1320" i="4" s="1"/>
  <c r="K1320" i="4"/>
  <c r="J1320" i="4"/>
  <c r="S1319" i="4"/>
  <c r="M1319" i="4"/>
  <c r="O1319" i="4" s="1"/>
  <c r="L1319" i="4"/>
  <c r="N1319" i="4" s="1"/>
  <c r="K1319" i="4"/>
  <c r="J1319" i="4"/>
  <c r="S1318" i="4"/>
  <c r="M1318" i="4"/>
  <c r="O1318" i="4" s="1"/>
  <c r="L1318" i="4"/>
  <c r="N1318" i="4" s="1"/>
  <c r="K1318" i="4"/>
  <c r="J1318" i="4"/>
  <c r="P1317" i="4"/>
  <c r="M1317" i="4"/>
  <c r="O1317" i="4" s="1"/>
  <c r="L1317" i="4"/>
  <c r="N1317" i="4" s="1"/>
  <c r="K1317" i="4"/>
  <c r="J1317" i="4"/>
  <c r="F1317" i="4"/>
  <c r="E1317" i="4"/>
  <c r="S1316" i="4"/>
  <c r="M1316" i="4"/>
  <c r="O1316" i="4" s="1"/>
  <c r="L1316" i="4"/>
  <c r="N1316" i="4" s="1"/>
  <c r="K1316" i="4"/>
  <c r="J1316" i="4"/>
  <c r="S1315" i="4"/>
  <c r="M1315" i="4"/>
  <c r="O1315" i="4" s="1"/>
  <c r="L1315" i="4"/>
  <c r="N1315" i="4" s="1"/>
  <c r="K1315" i="4"/>
  <c r="J1315" i="4"/>
  <c r="F1315" i="4"/>
  <c r="E1315" i="4"/>
  <c r="D1315" i="4"/>
  <c r="S1314" i="4"/>
  <c r="M1314" i="4"/>
  <c r="O1314" i="4" s="1"/>
  <c r="L1314" i="4"/>
  <c r="N1314" i="4" s="1"/>
  <c r="K1314" i="4"/>
  <c r="J1314" i="4"/>
  <c r="S1313" i="4"/>
  <c r="M1313" i="4"/>
  <c r="O1313" i="4" s="1"/>
  <c r="L1313" i="4"/>
  <c r="N1313" i="4" s="1"/>
  <c r="K1313" i="4"/>
  <c r="J1313" i="4"/>
  <c r="S1312" i="4"/>
  <c r="M1312" i="4"/>
  <c r="O1312" i="4" s="1"/>
  <c r="L1312" i="4"/>
  <c r="N1312" i="4" s="1"/>
  <c r="K1312" i="4"/>
  <c r="J1312" i="4"/>
  <c r="S1311" i="4"/>
  <c r="M1311" i="4"/>
  <c r="O1311" i="4" s="1"/>
  <c r="L1311" i="4"/>
  <c r="N1311" i="4" s="1"/>
  <c r="K1311" i="4"/>
  <c r="J1311" i="4"/>
  <c r="S1310" i="4"/>
  <c r="M1310" i="4"/>
  <c r="O1310" i="4" s="1"/>
  <c r="L1310" i="4"/>
  <c r="N1310" i="4" s="1"/>
  <c r="K1310" i="4"/>
  <c r="J1310" i="4"/>
  <c r="F1310" i="4"/>
  <c r="E1310" i="4"/>
  <c r="D1310" i="4"/>
  <c r="S1309" i="4"/>
  <c r="M1309" i="4"/>
  <c r="O1309" i="4" s="1"/>
  <c r="L1309" i="4"/>
  <c r="N1309" i="4" s="1"/>
  <c r="K1309" i="4"/>
  <c r="J1309" i="4"/>
  <c r="F1309" i="4"/>
  <c r="E1309" i="4"/>
  <c r="D1309" i="4"/>
  <c r="S1308" i="4"/>
  <c r="M1308" i="4"/>
  <c r="O1308" i="4" s="1"/>
  <c r="L1308" i="4"/>
  <c r="N1308" i="4" s="1"/>
  <c r="K1308" i="4"/>
  <c r="J1308" i="4"/>
  <c r="F1308" i="4"/>
  <c r="E1308" i="4"/>
  <c r="D1308" i="4"/>
  <c r="S1307" i="4"/>
  <c r="M1307" i="4"/>
  <c r="O1307" i="4" s="1"/>
  <c r="L1307" i="4"/>
  <c r="N1307" i="4" s="1"/>
  <c r="K1307" i="4"/>
  <c r="J1307" i="4"/>
  <c r="F1307" i="4"/>
  <c r="E1307" i="4"/>
  <c r="D1307" i="4"/>
  <c r="S1306" i="4"/>
  <c r="M1306" i="4"/>
  <c r="O1306" i="4" s="1"/>
  <c r="L1306" i="4"/>
  <c r="N1306" i="4" s="1"/>
  <c r="K1306" i="4"/>
  <c r="J1306" i="4"/>
  <c r="S1305" i="4"/>
  <c r="M1305" i="4"/>
  <c r="O1305" i="4" s="1"/>
  <c r="L1305" i="4"/>
  <c r="N1305" i="4" s="1"/>
  <c r="K1305" i="4"/>
  <c r="J1305" i="4"/>
  <c r="S1304" i="4"/>
  <c r="M1304" i="4"/>
  <c r="O1304" i="4" s="1"/>
  <c r="L1304" i="4"/>
  <c r="N1304" i="4" s="1"/>
  <c r="K1304" i="4"/>
  <c r="J1304" i="4"/>
  <c r="F1304" i="4"/>
  <c r="E1304" i="4"/>
  <c r="D1304" i="4"/>
  <c r="S1303" i="4"/>
  <c r="M1303" i="4"/>
  <c r="O1303" i="4" s="1"/>
  <c r="L1303" i="4"/>
  <c r="N1303" i="4" s="1"/>
  <c r="K1303" i="4"/>
  <c r="J1303" i="4"/>
  <c r="S1302" i="4"/>
  <c r="M1302" i="4"/>
  <c r="O1302" i="4" s="1"/>
  <c r="L1302" i="4"/>
  <c r="N1302" i="4" s="1"/>
  <c r="K1302" i="4"/>
  <c r="J1302" i="4"/>
  <c r="S1301" i="4"/>
  <c r="M1301" i="4"/>
  <c r="O1301" i="4" s="1"/>
  <c r="L1301" i="4"/>
  <c r="N1301" i="4" s="1"/>
  <c r="K1301" i="4"/>
  <c r="J1301" i="4"/>
  <c r="F1301" i="4"/>
  <c r="E1301" i="4"/>
  <c r="D1301" i="4"/>
  <c r="S1300" i="4"/>
  <c r="M1300" i="4"/>
  <c r="O1300" i="4" s="1"/>
  <c r="L1300" i="4"/>
  <c r="N1300" i="4" s="1"/>
  <c r="K1300" i="4"/>
  <c r="J1300" i="4"/>
  <c r="F1300" i="4"/>
  <c r="E1300" i="4"/>
  <c r="D1300" i="4"/>
  <c r="S1299" i="4"/>
  <c r="M1299" i="4"/>
  <c r="O1299" i="4" s="1"/>
  <c r="L1299" i="4"/>
  <c r="N1299" i="4" s="1"/>
  <c r="K1299" i="4"/>
  <c r="J1299" i="4"/>
  <c r="S1298" i="4"/>
  <c r="M1298" i="4"/>
  <c r="O1298" i="4" s="1"/>
  <c r="L1298" i="4"/>
  <c r="N1298" i="4" s="1"/>
  <c r="K1298" i="4"/>
  <c r="J1298" i="4"/>
  <c r="F1298" i="4"/>
  <c r="E1298" i="4"/>
  <c r="D1298" i="4"/>
  <c r="S1297" i="4"/>
  <c r="M1297" i="4"/>
  <c r="O1297" i="4" s="1"/>
  <c r="L1297" i="4"/>
  <c r="N1297" i="4" s="1"/>
  <c r="K1297" i="4"/>
  <c r="J1297" i="4"/>
  <c r="M1296" i="4"/>
  <c r="O1296" i="4" s="1"/>
  <c r="L1296" i="4"/>
  <c r="N1296" i="4" s="1"/>
  <c r="K1296" i="4"/>
  <c r="J1296" i="4"/>
  <c r="F1296" i="4"/>
  <c r="E1296" i="4"/>
  <c r="D1296" i="4"/>
  <c r="S1295" i="4"/>
  <c r="M1295" i="4"/>
  <c r="O1295" i="4" s="1"/>
  <c r="L1295" i="4"/>
  <c r="N1295" i="4" s="1"/>
  <c r="K1295" i="4"/>
  <c r="J1295" i="4"/>
  <c r="S1294" i="4"/>
  <c r="M1294" i="4"/>
  <c r="O1294" i="4" s="1"/>
  <c r="L1294" i="4"/>
  <c r="N1294" i="4" s="1"/>
  <c r="K1294" i="4"/>
  <c r="J1294" i="4"/>
  <c r="S1293" i="4"/>
  <c r="M1293" i="4"/>
  <c r="O1293" i="4" s="1"/>
  <c r="L1293" i="4"/>
  <c r="N1293" i="4" s="1"/>
  <c r="K1293" i="4"/>
  <c r="J1293" i="4"/>
  <c r="S1292" i="4"/>
  <c r="M1292" i="4"/>
  <c r="O1292" i="4" s="1"/>
  <c r="L1292" i="4"/>
  <c r="N1292" i="4" s="1"/>
  <c r="K1292" i="4"/>
  <c r="J1292" i="4"/>
  <c r="S1291" i="4"/>
  <c r="M1291" i="4"/>
  <c r="O1291" i="4" s="1"/>
  <c r="L1291" i="4"/>
  <c r="N1291" i="4" s="1"/>
  <c r="K1291" i="4"/>
  <c r="J1291" i="4"/>
  <c r="F1291" i="4"/>
  <c r="E1291" i="4"/>
  <c r="D1291" i="4"/>
  <c r="S1290" i="4"/>
  <c r="M1290" i="4"/>
  <c r="O1290" i="4" s="1"/>
  <c r="L1290" i="4"/>
  <c r="N1290" i="4" s="1"/>
  <c r="K1290" i="4"/>
  <c r="J1290" i="4"/>
  <c r="S1289" i="4"/>
  <c r="M1289" i="4"/>
  <c r="O1289" i="4" s="1"/>
  <c r="L1289" i="4"/>
  <c r="N1289" i="4" s="1"/>
  <c r="K1289" i="4"/>
  <c r="J1289" i="4"/>
  <c r="S1288" i="4"/>
  <c r="M1288" i="4"/>
  <c r="O1288" i="4" s="1"/>
  <c r="L1288" i="4"/>
  <c r="N1288" i="4" s="1"/>
  <c r="K1288" i="4"/>
  <c r="J1288" i="4"/>
  <c r="S1287" i="4"/>
  <c r="M1287" i="4"/>
  <c r="O1287" i="4" s="1"/>
  <c r="L1287" i="4"/>
  <c r="N1287" i="4" s="1"/>
  <c r="K1287" i="4"/>
  <c r="J1287" i="4"/>
  <c r="S1286" i="4"/>
  <c r="M1286" i="4"/>
  <c r="O1286" i="4" s="1"/>
  <c r="L1286" i="4"/>
  <c r="N1286" i="4" s="1"/>
  <c r="K1286" i="4"/>
  <c r="J1286" i="4"/>
  <c r="F1286" i="4"/>
  <c r="E1286" i="4"/>
  <c r="D1286" i="4"/>
  <c r="S1285" i="4"/>
  <c r="M1285" i="4"/>
  <c r="O1285" i="4" s="1"/>
  <c r="L1285" i="4"/>
  <c r="N1285" i="4" s="1"/>
  <c r="K1285" i="4"/>
  <c r="J1285" i="4"/>
  <c r="S1284" i="4"/>
  <c r="M1284" i="4"/>
  <c r="O1284" i="4" s="1"/>
  <c r="L1284" i="4"/>
  <c r="N1284" i="4" s="1"/>
  <c r="K1284" i="4"/>
  <c r="J1284" i="4"/>
  <c r="S1283" i="4"/>
  <c r="M1283" i="4"/>
  <c r="O1283" i="4" s="1"/>
  <c r="L1283" i="4"/>
  <c r="N1283" i="4" s="1"/>
  <c r="K1283" i="4"/>
  <c r="J1283" i="4"/>
  <c r="S1282" i="4"/>
  <c r="M1282" i="4"/>
  <c r="O1282" i="4" s="1"/>
  <c r="L1282" i="4"/>
  <c r="N1282" i="4" s="1"/>
  <c r="K1282" i="4"/>
  <c r="J1282" i="4"/>
  <c r="S1281" i="4"/>
  <c r="M1281" i="4"/>
  <c r="O1281" i="4" s="1"/>
  <c r="L1281" i="4"/>
  <c r="N1281" i="4" s="1"/>
  <c r="K1281" i="4"/>
  <c r="J1281" i="4"/>
  <c r="S1280" i="4"/>
  <c r="M1280" i="4"/>
  <c r="O1280" i="4" s="1"/>
  <c r="L1280" i="4"/>
  <c r="N1280" i="4" s="1"/>
  <c r="K1280" i="4"/>
  <c r="J1280" i="4"/>
  <c r="S1279" i="4"/>
  <c r="M1279" i="4"/>
  <c r="O1279" i="4" s="1"/>
  <c r="L1279" i="4"/>
  <c r="N1279" i="4" s="1"/>
  <c r="K1279" i="4"/>
  <c r="J1279" i="4"/>
  <c r="S1278" i="4"/>
  <c r="M1278" i="4"/>
  <c r="O1278" i="4" s="1"/>
  <c r="L1278" i="4"/>
  <c r="N1278" i="4" s="1"/>
  <c r="K1278" i="4"/>
  <c r="J1278" i="4"/>
  <c r="S1277" i="4"/>
  <c r="M1277" i="4"/>
  <c r="O1277" i="4" s="1"/>
  <c r="L1277" i="4"/>
  <c r="N1277" i="4" s="1"/>
  <c r="K1277" i="4"/>
  <c r="J1277" i="4"/>
  <c r="S1276" i="4"/>
  <c r="M1276" i="4"/>
  <c r="O1276" i="4" s="1"/>
  <c r="L1276" i="4"/>
  <c r="N1276" i="4" s="1"/>
  <c r="K1276" i="4"/>
  <c r="J1276" i="4"/>
  <c r="S1275" i="4"/>
  <c r="M1275" i="4"/>
  <c r="O1275" i="4" s="1"/>
  <c r="L1275" i="4"/>
  <c r="N1275" i="4" s="1"/>
  <c r="K1275" i="4"/>
  <c r="J1275" i="4"/>
  <c r="S1274" i="4"/>
  <c r="M1274" i="4"/>
  <c r="O1274" i="4" s="1"/>
  <c r="L1274" i="4"/>
  <c r="N1274" i="4" s="1"/>
  <c r="K1274" i="4"/>
  <c r="J1274" i="4"/>
  <c r="S1273" i="4"/>
  <c r="N1273" i="4"/>
  <c r="M1273" i="4"/>
  <c r="O1273" i="4" s="1"/>
  <c r="L1273" i="4"/>
  <c r="K1273" i="4"/>
  <c r="J1273" i="4"/>
  <c r="S1272" i="4"/>
  <c r="M1272" i="4"/>
  <c r="O1272" i="4" s="1"/>
  <c r="L1272" i="4"/>
  <c r="N1272" i="4" s="1"/>
  <c r="K1272" i="4"/>
  <c r="J1272" i="4"/>
  <c r="S1271" i="4"/>
  <c r="M1271" i="4"/>
  <c r="O1271" i="4" s="1"/>
  <c r="L1271" i="4"/>
  <c r="N1271" i="4" s="1"/>
  <c r="K1271" i="4"/>
  <c r="J1271" i="4"/>
  <c r="S1270" i="4"/>
  <c r="M1270" i="4"/>
  <c r="O1270" i="4" s="1"/>
  <c r="L1270" i="4"/>
  <c r="N1270" i="4" s="1"/>
  <c r="K1270" i="4"/>
  <c r="J1270" i="4"/>
  <c r="S1269" i="4"/>
  <c r="M1269" i="4"/>
  <c r="O1269" i="4" s="1"/>
  <c r="L1269" i="4"/>
  <c r="N1269" i="4" s="1"/>
  <c r="K1269" i="4"/>
  <c r="J1269" i="4"/>
  <c r="S1268" i="4"/>
  <c r="M1268" i="4"/>
  <c r="O1268" i="4" s="1"/>
  <c r="L1268" i="4"/>
  <c r="N1268" i="4" s="1"/>
  <c r="K1268" i="4"/>
  <c r="J1268" i="4"/>
  <c r="S1267" i="4"/>
  <c r="M1267" i="4"/>
  <c r="O1267" i="4" s="1"/>
  <c r="L1267" i="4"/>
  <c r="N1267" i="4" s="1"/>
  <c r="K1267" i="4"/>
  <c r="J1267" i="4"/>
  <c r="S1266" i="4"/>
  <c r="M1266" i="4"/>
  <c r="O1266" i="4" s="1"/>
  <c r="L1266" i="4"/>
  <c r="N1266" i="4" s="1"/>
  <c r="K1266" i="4"/>
  <c r="J1266" i="4"/>
  <c r="S1265" i="4"/>
  <c r="M1265" i="4"/>
  <c r="O1265" i="4" s="1"/>
  <c r="L1265" i="4"/>
  <c r="N1265" i="4" s="1"/>
  <c r="K1265" i="4"/>
  <c r="J1265" i="4"/>
  <c r="S1264" i="4"/>
  <c r="M1264" i="4"/>
  <c r="O1264" i="4" s="1"/>
  <c r="L1264" i="4"/>
  <c r="N1264" i="4" s="1"/>
  <c r="K1264" i="4"/>
  <c r="J1264" i="4"/>
  <c r="S1263" i="4"/>
  <c r="M1263" i="4"/>
  <c r="O1263" i="4" s="1"/>
  <c r="L1263" i="4"/>
  <c r="N1263" i="4" s="1"/>
  <c r="K1263" i="4"/>
  <c r="J1263" i="4"/>
  <c r="S1262" i="4"/>
  <c r="M1262" i="4"/>
  <c r="O1262" i="4" s="1"/>
  <c r="L1262" i="4"/>
  <c r="N1262" i="4" s="1"/>
  <c r="K1262" i="4"/>
  <c r="J1262" i="4"/>
  <c r="S1261" i="4"/>
  <c r="M1261" i="4"/>
  <c r="O1261" i="4" s="1"/>
  <c r="L1261" i="4"/>
  <c r="N1261" i="4" s="1"/>
  <c r="K1261" i="4"/>
  <c r="J1261" i="4"/>
  <c r="S1260" i="4"/>
  <c r="M1260" i="4"/>
  <c r="O1260" i="4" s="1"/>
  <c r="L1260" i="4"/>
  <c r="N1260" i="4" s="1"/>
  <c r="K1260" i="4"/>
  <c r="J1260" i="4"/>
  <c r="S1259" i="4"/>
  <c r="M1259" i="4"/>
  <c r="O1259" i="4" s="1"/>
  <c r="L1259" i="4"/>
  <c r="N1259" i="4" s="1"/>
  <c r="K1259" i="4"/>
  <c r="J1259" i="4"/>
  <c r="S1258" i="4"/>
  <c r="M1258" i="4"/>
  <c r="O1258" i="4" s="1"/>
  <c r="L1258" i="4"/>
  <c r="N1258" i="4" s="1"/>
  <c r="K1258" i="4"/>
  <c r="J1258" i="4"/>
  <c r="M1257" i="4"/>
  <c r="O1257" i="4" s="1"/>
  <c r="L1257" i="4"/>
  <c r="N1257" i="4" s="1"/>
  <c r="K1257" i="4"/>
  <c r="J1257" i="4"/>
  <c r="M1256" i="4"/>
  <c r="O1256" i="4" s="1"/>
  <c r="L1256" i="4"/>
  <c r="N1256" i="4" s="1"/>
  <c r="K1256" i="4"/>
  <c r="J1256" i="4"/>
  <c r="M1255" i="4"/>
  <c r="O1255" i="4" s="1"/>
  <c r="L1255" i="4"/>
  <c r="N1255" i="4" s="1"/>
  <c r="K1255" i="4"/>
  <c r="J1255" i="4"/>
  <c r="M1254" i="4"/>
  <c r="O1254" i="4" s="1"/>
  <c r="L1254" i="4"/>
  <c r="N1254" i="4" s="1"/>
  <c r="K1254" i="4"/>
  <c r="J1254" i="4"/>
  <c r="M1253" i="4"/>
  <c r="O1253" i="4" s="1"/>
  <c r="L1253" i="4"/>
  <c r="N1253" i="4" s="1"/>
  <c r="K1253" i="4"/>
  <c r="J1253" i="4"/>
  <c r="S1252" i="4"/>
  <c r="M1252" i="4"/>
  <c r="O1252" i="4" s="1"/>
  <c r="L1252" i="4"/>
  <c r="N1252" i="4" s="1"/>
  <c r="K1252" i="4"/>
  <c r="J1252" i="4"/>
  <c r="S1251" i="4"/>
  <c r="M1251" i="4"/>
  <c r="O1251" i="4" s="1"/>
  <c r="L1251" i="4"/>
  <c r="N1251" i="4" s="1"/>
  <c r="K1251" i="4"/>
  <c r="J1251" i="4"/>
  <c r="S1250" i="4"/>
  <c r="M1250" i="4"/>
  <c r="O1250" i="4" s="1"/>
  <c r="L1250" i="4"/>
  <c r="N1250" i="4" s="1"/>
  <c r="K1250" i="4"/>
  <c r="J1250" i="4"/>
  <c r="S1249" i="4"/>
  <c r="M1249" i="4"/>
  <c r="O1249" i="4" s="1"/>
  <c r="L1249" i="4"/>
  <c r="N1249" i="4" s="1"/>
  <c r="K1249" i="4"/>
  <c r="J1249" i="4"/>
  <c r="S1248" i="4"/>
  <c r="M1248" i="4"/>
  <c r="O1248" i="4" s="1"/>
  <c r="L1248" i="4"/>
  <c r="N1248" i="4" s="1"/>
  <c r="K1248" i="4"/>
  <c r="J1248" i="4"/>
  <c r="S1247" i="4"/>
  <c r="M1247" i="4"/>
  <c r="O1247" i="4" s="1"/>
  <c r="L1247" i="4"/>
  <c r="N1247" i="4" s="1"/>
  <c r="K1247" i="4"/>
  <c r="J1247" i="4"/>
  <c r="S1246" i="4"/>
  <c r="M1246" i="4"/>
  <c r="O1246" i="4" s="1"/>
  <c r="L1246" i="4"/>
  <c r="N1246" i="4" s="1"/>
  <c r="K1246" i="4"/>
  <c r="J1246" i="4"/>
  <c r="S1245" i="4"/>
  <c r="M1245" i="4"/>
  <c r="O1245" i="4" s="1"/>
  <c r="L1245" i="4"/>
  <c r="N1245" i="4" s="1"/>
  <c r="K1245" i="4"/>
  <c r="J1245" i="4"/>
  <c r="S1244" i="4"/>
  <c r="M1244" i="4"/>
  <c r="O1244" i="4" s="1"/>
  <c r="L1244" i="4"/>
  <c r="N1244" i="4" s="1"/>
  <c r="K1244" i="4"/>
  <c r="J1244" i="4"/>
  <c r="S1243" i="4"/>
  <c r="M1243" i="4"/>
  <c r="O1243" i="4" s="1"/>
  <c r="L1243" i="4"/>
  <c r="N1243" i="4" s="1"/>
  <c r="K1243" i="4"/>
  <c r="J1243" i="4"/>
  <c r="S1242" i="4"/>
  <c r="M1242" i="4"/>
  <c r="O1242" i="4" s="1"/>
  <c r="L1242" i="4"/>
  <c r="N1242" i="4" s="1"/>
  <c r="K1242" i="4"/>
  <c r="J1242" i="4"/>
  <c r="S1241" i="4"/>
  <c r="M1241" i="4"/>
  <c r="O1241" i="4" s="1"/>
  <c r="L1241" i="4"/>
  <c r="N1241" i="4" s="1"/>
  <c r="K1241" i="4"/>
  <c r="J1241" i="4"/>
  <c r="S1240" i="4"/>
  <c r="M1240" i="4"/>
  <c r="O1240" i="4" s="1"/>
  <c r="L1240" i="4"/>
  <c r="N1240" i="4" s="1"/>
  <c r="K1240" i="4"/>
  <c r="J1240" i="4"/>
  <c r="M1239" i="4"/>
  <c r="O1239" i="4" s="1"/>
  <c r="L1239" i="4"/>
  <c r="N1239" i="4" s="1"/>
  <c r="K1239" i="4"/>
  <c r="J1239" i="4"/>
  <c r="M1238" i="4"/>
  <c r="O1238" i="4" s="1"/>
  <c r="L1238" i="4"/>
  <c r="N1238" i="4" s="1"/>
  <c r="K1238" i="4"/>
  <c r="J1238" i="4"/>
  <c r="M1237" i="4"/>
  <c r="O1237" i="4" s="1"/>
  <c r="L1237" i="4"/>
  <c r="N1237" i="4" s="1"/>
  <c r="K1237" i="4"/>
  <c r="J1237" i="4"/>
  <c r="P1236" i="4"/>
  <c r="D1236" i="4" s="1"/>
  <c r="M1236" i="4"/>
  <c r="O1236" i="4" s="1"/>
  <c r="L1236" i="4"/>
  <c r="N1236" i="4" s="1"/>
  <c r="K1236" i="4"/>
  <c r="J1236" i="4"/>
  <c r="F1236" i="4"/>
  <c r="E1236" i="4"/>
  <c r="S1235" i="4"/>
  <c r="M1235" i="4"/>
  <c r="O1235" i="4" s="1"/>
  <c r="L1235" i="4"/>
  <c r="N1235" i="4" s="1"/>
  <c r="K1235" i="4"/>
  <c r="J1235" i="4"/>
  <c r="F1235" i="4"/>
  <c r="E1235" i="4"/>
  <c r="D1235" i="4"/>
  <c r="S1234" i="4"/>
  <c r="M1234" i="4"/>
  <c r="O1234" i="4" s="1"/>
  <c r="L1234" i="4"/>
  <c r="N1234" i="4" s="1"/>
  <c r="K1234" i="4"/>
  <c r="J1234" i="4"/>
  <c r="S1233" i="4"/>
  <c r="M1233" i="4"/>
  <c r="O1233" i="4" s="1"/>
  <c r="L1233" i="4"/>
  <c r="N1233" i="4" s="1"/>
  <c r="K1233" i="4"/>
  <c r="J1233" i="4"/>
  <c r="F1233" i="4"/>
  <c r="E1233" i="4"/>
  <c r="D1233" i="4"/>
  <c r="S1232" i="4"/>
  <c r="M1232" i="4"/>
  <c r="O1232" i="4" s="1"/>
  <c r="L1232" i="4"/>
  <c r="N1232" i="4" s="1"/>
  <c r="K1232" i="4"/>
  <c r="J1232" i="4"/>
  <c r="F1232" i="4"/>
  <c r="E1232" i="4"/>
  <c r="D1232" i="4"/>
  <c r="S1231" i="4"/>
  <c r="M1231" i="4"/>
  <c r="O1231" i="4" s="1"/>
  <c r="L1231" i="4"/>
  <c r="N1231" i="4" s="1"/>
  <c r="K1231" i="4"/>
  <c r="J1231" i="4"/>
  <c r="S1230" i="4"/>
  <c r="M1230" i="4"/>
  <c r="O1230" i="4" s="1"/>
  <c r="L1230" i="4"/>
  <c r="N1230" i="4" s="1"/>
  <c r="K1230" i="4"/>
  <c r="J1230" i="4"/>
  <c r="S1229" i="4"/>
  <c r="M1229" i="4"/>
  <c r="O1229" i="4" s="1"/>
  <c r="L1229" i="4"/>
  <c r="N1229" i="4" s="1"/>
  <c r="K1229" i="4"/>
  <c r="J1229" i="4"/>
  <c r="F1229" i="4"/>
  <c r="E1229" i="4"/>
  <c r="D1229" i="4"/>
  <c r="S1228" i="4"/>
  <c r="M1228" i="4"/>
  <c r="O1228" i="4" s="1"/>
  <c r="L1228" i="4"/>
  <c r="N1228" i="4" s="1"/>
  <c r="K1228" i="4"/>
  <c r="J1228" i="4"/>
  <c r="S1227" i="4"/>
  <c r="M1227" i="4"/>
  <c r="O1227" i="4" s="1"/>
  <c r="L1227" i="4"/>
  <c r="N1227" i="4" s="1"/>
  <c r="K1227" i="4"/>
  <c r="J1227" i="4"/>
  <c r="S1226" i="4"/>
  <c r="M1226" i="4"/>
  <c r="O1226" i="4" s="1"/>
  <c r="L1226" i="4"/>
  <c r="N1226" i="4" s="1"/>
  <c r="K1226" i="4"/>
  <c r="J1226" i="4"/>
  <c r="F1226" i="4"/>
  <c r="E1226" i="4"/>
  <c r="D1226" i="4"/>
  <c r="S1225" i="4"/>
  <c r="M1225" i="4"/>
  <c r="O1225" i="4" s="1"/>
  <c r="L1225" i="4"/>
  <c r="N1225" i="4" s="1"/>
  <c r="K1225" i="4"/>
  <c r="J1225" i="4"/>
  <c r="S1224" i="4"/>
  <c r="M1224" i="4"/>
  <c r="O1224" i="4" s="1"/>
  <c r="L1224" i="4"/>
  <c r="N1224" i="4" s="1"/>
  <c r="K1224" i="4"/>
  <c r="J1224" i="4"/>
  <c r="F1224" i="4"/>
  <c r="E1224" i="4"/>
  <c r="D1224" i="4"/>
  <c r="S1223" i="4"/>
  <c r="M1223" i="4"/>
  <c r="O1223" i="4" s="1"/>
  <c r="L1223" i="4"/>
  <c r="N1223" i="4" s="1"/>
  <c r="K1223" i="4"/>
  <c r="J1223" i="4"/>
  <c r="S1222" i="4"/>
  <c r="M1222" i="4"/>
  <c r="O1222" i="4" s="1"/>
  <c r="L1222" i="4"/>
  <c r="N1222" i="4" s="1"/>
  <c r="K1222" i="4"/>
  <c r="J1222" i="4"/>
  <c r="F1222" i="4"/>
  <c r="E1222" i="4"/>
  <c r="D1222" i="4"/>
  <c r="S1221" i="4"/>
  <c r="M1221" i="4"/>
  <c r="O1221" i="4" s="1"/>
  <c r="L1221" i="4"/>
  <c r="N1221" i="4" s="1"/>
  <c r="K1221" i="4"/>
  <c r="J1221" i="4"/>
  <c r="F1221" i="4"/>
  <c r="E1221" i="4"/>
  <c r="D1221" i="4"/>
  <c r="S1220" i="4"/>
  <c r="M1220" i="4"/>
  <c r="O1220" i="4" s="1"/>
  <c r="L1220" i="4"/>
  <c r="N1220" i="4" s="1"/>
  <c r="K1220" i="4"/>
  <c r="J1220" i="4"/>
  <c r="S1219" i="4"/>
  <c r="M1219" i="4"/>
  <c r="O1219" i="4" s="1"/>
  <c r="L1219" i="4"/>
  <c r="N1219" i="4" s="1"/>
  <c r="K1219" i="4"/>
  <c r="J1219" i="4"/>
  <c r="S1218" i="4"/>
  <c r="M1218" i="4"/>
  <c r="O1218" i="4" s="1"/>
  <c r="L1218" i="4"/>
  <c r="N1218" i="4" s="1"/>
  <c r="K1218" i="4"/>
  <c r="J1218" i="4"/>
  <c r="S1217" i="4"/>
  <c r="M1217" i="4"/>
  <c r="O1217" i="4" s="1"/>
  <c r="L1217" i="4"/>
  <c r="N1217" i="4" s="1"/>
  <c r="K1217" i="4"/>
  <c r="J1217" i="4"/>
  <c r="S1216" i="4"/>
  <c r="M1216" i="4"/>
  <c r="O1216" i="4" s="1"/>
  <c r="L1216" i="4"/>
  <c r="N1216" i="4" s="1"/>
  <c r="K1216" i="4"/>
  <c r="J1216" i="4"/>
  <c r="S1215" i="4"/>
  <c r="M1215" i="4"/>
  <c r="O1215" i="4" s="1"/>
  <c r="L1215" i="4"/>
  <c r="N1215" i="4" s="1"/>
  <c r="K1215" i="4"/>
  <c r="J1215" i="4"/>
  <c r="S1214" i="4"/>
  <c r="M1214" i="4"/>
  <c r="O1214" i="4" s="1"/>
  <c r="L1214" i="4"/>
  <c r="N1214" i="4" s="1"/>
  <c r="K1214" i="4"/>
  <c r="J1214" i="4"/>
  <c r="S1213" i="4"/>
  <c r="M1213" i="4"/>
  <c r="O1213" i="4" s="1"/>
  <c r="L1213" i="4"/>
  <c r="N1213" i="4" s="1"/>
  <c r="K1213" i="4"/>
  <c r="J1213" i="4"/>
  <c r="S1212" i="4"/>
  <c r="M1212" i="4"/>
  <c r="O1212" i="4" s="1"/>
  <c r="L1212" i="4"/>
  <c r="N1212" i="4" s="1"/>
  <c r="K1212" i="4"/>
  <c r="J1212" i="4"/>
  <c r="S1211" i="4"/>
  <c r="M1211" i="4"/>
  <c r="O1211" i="4" s="1"/>
  <c r="L1211" i="4"/>
  <c r="N1211" i="4" s="1"/>
  <c r="K1211" i="4"/>
  <c r="J1211" i="4"/>
  <c r="S1210" i="4"/>
  <c r="M1210" i="4"/>
  <c r="O1210" i="4" s="1"/>
  <c r="L1210" i="4"/>
  <c r="N1210" i="4" s="1"/>
  <c r="K1210" i="4"/>
  <c r="J1210" i="4"/>
  <c r="S1209" i="4"/>
  <c r="M1209" i="4"/>
  <c r="O1209" i="4" s="1"/>
  <c r="L1209" i="4"/>
  <c r="N1209" i="4" s="1"/>
  <c r="K1209" i="4"/>
  <c r="J1209" i="4"/>
  <c r="S1208" i="4"/>
  <c r="M1208" i="4"/>
  <c r="O1208" i="4" s="1"/>
  <c r="L1208" i="4"/>
  <c r="N1208" i="4" s="1"/>
  <c r="K1208" i="4"/>
  <c r="J1208" i="4"/>
  <c r="S1207" i="4"/>
  <c r="M1207" i="4"/>
  <c r="O1207" i="4" s="1"/>
  <c r="L1207" i="4"/>
  <c r="N1207" i="4" s="1"/>
  <c r="K1207" i="4"/>
  <c r="J1207" i="4"/>
  <c r="S1206" i="4"/>
  <c r="M1206" i="4"/>
  <c r="O1206" i="4" s="1"/>
  <c r="L1206" i="4"/>
  <c r="N1206" i="4" s="1"/>
  <c r="K1206" i="4"/>
  <c r="J1206" i="4"/>
  <c r="S1205" i="4"/>
  <c r="M1205" i="4"/>
  <c r="O1205" i="4" s="1"/>
  <c r="L1205" i="4"/>
  <c r="N1205" i="4" s="1"/>
  <c r="K1205" i="4"/>
  <c r="J1205" i="4"/>
  <c r="S1204" i="4"/>
  <c r="M1204" i="4"/>
  <c r="O1204" i="4" s="1"/>
  <c r="L1204" i="4"/>
  <c r="N1204" i="4" s="1"/>
  <c r="K1204" i="4"/>
  <c r="J1204" i="4"/>
  <c r="S1203" i="4"/>
  <c r="M1203" i="4"/>
  <c r="O1203" i="4" s="1"/>
  <c r="L1203" i="4"/>
  <c r="N1203" i="4" s="1"/>
  <c r="K1203" i="4"/>
  <c r="J1203" i="4"/>
  <c r="S1202" i="4"/>
  <c r="M1202" i="4"/>
  <c r="O1202" i="4" s="1"/>
  <c r="L1202" i="4"/>
  <c r="N1202" i="4" s="1"/>
  <c r="K1202" i="4"/>
  <c r="J1202" i="4"/>
  <c r="S1201" i="4"/>
  <c r="S1200" i="4"/>
  <c r="M1200" i="4"/>
  <c r="O1200" i="4" s="1"/>
  <c r="L1200" i="4"/>
  <c r="N1200" i="4" s="1"/>
  <c r="K1200" i="4"/>
  <c r="J1200" i="4"/>
  <c r="S1199" i="4"/>
  <c r="M1199" i="4"/>
  <c r="O1199" i="4" s="1"/>
  <c r="L1199" i="4"/>
  <c r="N1199" i="4" s="1"/>
  <c r="K1199" i="4"/>
  <c r="J1199" i="4"/>
  <c r="S1198" i="4"/>
  <c r="M1198" i="4"/>
  <c r="O1198" i="4" s="1"/>
  <c r="L1198" i="4"/>
  <c r="N1198" i="4" s="1"/>
  <c r="K1198" i="4"/>
  <c r="J1198" i="4"/>
  <c r="S1197" i="4"/>
  <c r="M1197" i="4"/>
  <c r="O1197" i="4" s="1"/>
  <c r="L1197" i="4"/>
  <c r="N1197" i="4" s="1"/>
  <c r="K1197" i="4"/>
  <c r="J1197" i="4"/>
  <c r="S1196" i="4"/>
  <c r="M1196" i="4"/>
  <c r="O1196" i="4" s="1"/>
  <c r="L1196" i="4"/>
  <c r="N1196" i="4" s="1"/>
  <c r="K1196" i="4"/>
  <c r="J1196" i="4"/>
  <c r="S1195" i="4"/>
  <c r="M1195" i="4"/>
  <c r="O1195" i="4" s="1"/>
  <c r="L1195" i="4"/>
  <c r="N1195" i="4" s="1"/>
  <c r="K1195" i="4"/>
  <c r="J1195" i="4"/>
  <c r="S1194" i="4"/>
  <c r="M1194" i="4"/>
  <c r="O1194" i="4" s="1"/>
  <c r="L1194" i="4"/>
  <c r="N1194" i="4" s="1"/>
  <c r="K1194" i="4"/>
  <c r="J1194" i="4"/>
  <c r="S1193" i="4"/>
  <c r="M1193" i="4"/>
  <c r="O1193" i="4" s="1"/>
  <c r="L1193" i="4"/>
  <c r="N1193" i="4" s="1"/>
  <c r="K1193" i="4"/>
  <c r="J1193" i="4"/>
  <c r="S1192" i="4"/>
  <c r="M1192" i="4"/>
  <c r="O1192" i="4" s="1"/>
  <c r="L1192" i="4"/>
  <c r="N1192" i="4" s="1"/>
  <c r="K1192" i="4"/>
  <c r="J1192" i="4"/>
  <c r="S1191" i="4"/>
  <c r="M1191" i="4"/>
  <c r="O1191" i="4" s="1"/>
  <c r="L1191" i="4"/>
  <c r="N1191" i="4" s="1"/>
  <c r="K1191" i="4"/>
  <c r="J1191" i="4"/>
  <c r="S1190" i="4"/>
  <c r="M1190" i="4"/>
  <c r="O1190" i="4" s="1"/>
  <c r="L1190" i="4"/>
  <c r="N1190" i="4" s="1"/>
  <c r="K1190" i="4"/>
  <c r="J1190" i="4"/>
  <c r="S1189" i="4"/>
  <c r="M1189" i="4"/>
  <c r="O1189" i="4" s="1"/>
  <c r="L1189" i="4"/>
  <c r="N1189" i="4" s="1"/>
  <c r="K1189" i="4"/>
  <c r="J1189" i="4"/>
  <c r="S1188" i="4"/>
  <c r="M1188" i="4"/>
  <c r="O1188" i="4" s="1"/>
  <c r="L1188" i="4"/>
  <c r="N1188" i="4" s="1"/>
  <c r="K1188" i="4"/>
  <c r="J1188" i="4"/>
  <c r="S1187" i="4"/>
  <c r="M1187" i="4"/>
  <c r="O1187" i="4" s="1"/>
  <c r="L1187" i="4"/>
  <c r="N1187" i="4" s="1"/>
  <c r="K1187" i="4"/>
  <c r="J1187" i="4"/>
  <c r="S1186" i="4"/>
  <c r="M1186" i="4"/>
  <c r="O1186" i="4" s="1"/>
  <c r="L1186" i="4"/>
  <c r="N1186" i="4" s="1"/>
  <c r="K1186" i="4"/>
  <c r="J1186" i="4"/>
  <c r="S1185" i="4"/>
  <c r="M1185" i="4"/>
  <c r="O1185" i="4" s="1"/>
  <c r="L1185" i="4"/>
  <c r="N1185" i="4" s="1"/>
  <c r="K1185" i="4"/>
  <c r="J1185" i="4"/>
  <c r="S1184" i="4"/>
  <c r="M1184" i="4"/>
  <c r="O1184" i="4" s="1"/>
  <c r="L1184" i="4"/>
  <c r="N1184" i="4" s="1"/>
  <c r="K1184" i="4"/>
  <c r="J1184" i="4"/>
  <c r="S1183" i="4"/>
  <c r="M1183" i="4"/>
  <c r="O1183" i="4" s="1"/>
  <c r="L1183" i="4"/>
  <c r="N1183" i="4" s="1"/>
  <c r="K1183" i="4"/>
  <c r="J1183" i="4"/>
  <c r="S1182" i="4"/>
  <c r="M1182" i="4"/>
  <c r="O1182" i="4" s="1"/>
  <c r="L1182" i="4"/>
  <c r="N1182" i="4" s="1"/>
  <c r="K1182" i="4"/>
  <c r="J1182" i="4"/>
  <c r="S1181" i="4"/>
  <c r="M1181" i="4"/>
  <c r="O1181" i="4" s="1"/>
  <c r="L1181" i="4"/>
  <c r="N1181" i="4" s="1"/>
  <c r="K1181" i="4"/>
  <c r="J1181" i="4"/>
  <c r="S1180" i="4"/>
  <c r="M1180" i="4"/>
  <c r="O1180" i="4" s="1"/>
  <c r="L1180" i="4"/>
  <c r="N1180" i="4" s="1"/>
  <c r="K1180" i="4"/>
  <c r="J1180" i="4"/>
  <c r="S1179" i="4"/>
  <c r="M1179" i="4"/>
  <c r="O1179" i="4" s="1"/>
  <c r="L1179" i="4"/>
  <c r="N1179" i="4" s="1"/>
  <c r="K1179" i="4"/>
  <c r="J1179" i="4"/>
  <c r="S1178" i="4"/>
  <c r="M1178" i="4"/>
  <c r="O1178" i="4" s="1"/>
  <c r="L1178" i="4"/>
  <c r="N1178" i="4" s="1"/>
  <c r="K1178" i="4"/>
  <c r="J1178" i="4"/>
  <c r="S1177" i="4"/>
  <c r="M1177" i="4"/>
  <c r="O1177" i="4" s="1"/>
  <c r="L1177" i="4"/>
  <c r="N1177" i="4" s="1"/>
  <c r="K1177" i="4"/>
  <c r="J1177" i="4"/>
  <c r="S1176" i="4"/>
  <c r="M1176" i="4"/>
  <c r="O1176" i="4" s="1"/>
  <c r="L1176" i="4"/>
  <c r="N1176" i="4" s="1"/>
  <c r="K1176" i="4"/>
  <c r="J1176" i="4"/>
  <c r="S1175" i="4"/>
  <c r="M1175" i="4"/>
  <c r="O1175" i="4" s="1"/>
  <c r="L1175" i="4"/>
  <c r="N1175" i="4" s="1"/>
  <c r="K1175" i="4"/>
  <c r="J1175" i="4"/>
  <c r="M1174" i="4"/>
  <c r="O1174" i="4" s="1"/>
  <c r="L1174" i="4"/>
  <c r="N1174" i="4" s="1"/>
  <c r="K1174" i="4"/>
  <c r="J1174" i="4"/>
  <c r="S1173" i="4"/>
  <c r="M1173" i="4"/>
  <c r="O1173" i="4" s="1"/>
  <c r="L1173" i="4"/>
  <c r="N1173" i="4" s="1"/>
  <c r="K1173" i="4"/>
  <c r="J1173" i="4"/>
  <c r="S1172" i="4"/>
  <c r="M1172" i="4"/>
  <c r="O1172" i="4" s="1"/>
  <c r="L1172" i="4"/>
  <c r="N1172" i="4" s="1"/>
  <c r="K1172" i="4"/>
  <c r="J1172" i="4"/>
  <c r="S1171" i="4"/>
  <c r="M1171" i="4"/>
  <c r="O1171" i="4" s="1"/>
  <c r="L1171" i="4"/>
  <c r="N1171" i="4" s="1"/>
  <c r="K1171" i="4"/>
  <c r="J1171" i="4"/>
  <c r="S1170" i="4"/>
  <c r="M1170" i="4"/>
  <c r="O1170" i="4" s="1"/>
  <c r="L1170" i="4"/>
  <c r="N1170" i="4" s="1"/>
  <c r="K1170" i="4"/>
  <c r="J1170" i="4"/>
  <c r="S1169" i="4"/>
  <c r="M1169" i="4"/>
  <c r="O1169" i="4" s="1"/>
  <c r="L1169" i="4"/>
  <c r="N1169" i="4" s="1"/>
  <c r="K1169" i="4"/>
  <c r="J1169" i="4"/>
  <c r="S1168" i="4"/>
  <c r="M1168" i="4"/>
  <c r="O1168" i="4" s="1"/>
  <c r="L1168" i="4"/>
  <c r="N1168" i="4" s="1"/>
  <c r="K1168" i="4"/>
  <c r="J1168" i="4"/>
  <c r="S1167" i="4"/>
  <c r="M1167" i="4"/>
  <c r="O1167" i="4" s="1"/>
  <c r="L1167" i="4"/>
  <c r="N1167" i="4" s="1"/>
  <c r="K1167" i="4"/>
  <c r="J1167" i="4"/>
  <c r="S1166" i="4"/>
  <c r="M1166" i="4"/>
  <c r="O1166" i="4" s="1"/>
  <c r="L1166" i="4"/>
  <c r="N1166" i="4" s="1"/>
  <c r="K1166" i="4"/>
  <c r="J1166" i="4"/>
  <c r="S1165" i="4"/>
  <c r="M1165" i="4"/>
  <c r="O1165" i="4" s="1"/>
  <c r="L1165" i="4"/>
  <c r="N1165" i="4" s="1"/>
  <c r="K1165" i="4"/>
  <c r="J1165" i="4"/>
  <c r="S1164" i="4"/>
  <c r="M1164" i="4"/>
  <c r="O1164" i="4" s="1"/>
  <c r="L1164" i="4"/>
  <c r="N1164" i="4" s="1"/>
  <c r="K1164" i="4"/>
  <c r="J1164" i="4"/>
  <c r="S1163" i="4"/>
  <c r="M1163" i="4"/>
  <c r="O1163" i="4" s="1"/>
  <c r="L1163" i="4"/>
  <c r="N1163" i="4" s="1"/>
  <c r="K1163" i="4"/>
  <c r="J1163" i="4"/>
  <c r="S1162" i="4"/>
  <c r="M1162" i="4"/>
  <c r="O1162" i="4" s="1"/>
  <c r="L1162" i="4"/>
  <c r="N1162" i="4" s="1"/>
  <c r="K1162" i="4"/>
  <c r="J1162" i="4"/>
  <c r="S1161" i="4"/>
  <c r="M1161" i="4"/>
  <c r="O1161" i="4" s="1"/>
  <c r="L1161" i="4"/>
  <c r="N1161" i="4" s="1"/>
  <c r="K1161" i="4"/>
  <c r="J1161" i="4"/>
  <c r="S1160" i="4"/>
  <c r="M1160" i="4"/>
  <c r="O1160" i="4" s="1"/>
  <c r="L1160" i="4"/>
  <c r="N1160" i="4" s="1"/>
  <c r="K1160" i="4"/>
  <c r="J1160" i="4"/>
  <c r="S1159" i="4"/>
  <c r="M1159" i="4"/>
  <c r="O1159" i="4" s="1"/>
  <c r="L1159" i="4"/>
  <c r="N1159" i="4" s="1"/>
  <c r="K1159" i="4"/>
  <c r="J1159" i="4"/>
  <c r="S1158" i="4"/>
  <c r="M1158" i="4"/>
  <c r="O1158" i="4" s="1"/>
  <c r="L1158" i="4"/>
  <c r="N1158" i="4" s="1"/>
  <c r="K1158" i="4"/>
  <c r="J1158" i="4"/>
  <c r="S1157" i="4"/>
  <c r="M1157" i="4"/>
  <c r="O1157" i="4" s="1"/>
  <c r="L1157" i="4"/>
  <c r="N1157" i="4" s="1"/>
  <c r="K1157" i="4"/>
  <c r="J1157" i="4"/>
  <c r="S1156" i="4"/>
  <c r="M1156" i="4"/>
  <c r="O1156" i="4" s="1"/>
  <c r="L1156" i="4"/>
  <c r="N1156" i="4" s="1"/>
  <c r="K1156" i="4"/>
  <c r="J1156" i="4"/>
  <c r="S1155" i="4"/>
  <c r="M1155" i="4"/>
  <c r="O1155" i="4" s="1"/>
  <c r="L1155" i="4"/>
  <c r="N1155" i="4" s="1"/>
  <c r="K1155" i="4"/>
  <c r="J1155" i="4"/>
  <c r="S1154" i="4"/>
  <c r="M1154" i="4"/>
  <c r="O1154" i="4" s="1"/>
  <c r="L1154" i="4"/>
  <c r="N1154" i="4" s="1"/>
  <c r="K1154" i="4"/>
  <c r="J1154" i="4"/>
  <c r="S1153" i="4"/>
  <c r="M1153" i="4"/>
  <c r="O1153" i="4" s="1"/>
  <c r="L1153" i="4"/>
  <c r="N1153" i="4" s="1"/>
  <c r="K1153" i="4"/>
  <c r="J1153" i="4"/>
  <c r="S1152" i="4"/>
  <c r="M1152" i="4"/>
  <c r="O1152" i="4" s="1"/>
  <c r="L1152" i="4"/>
  <c r="N1152" i="4" s="1"/>
  <c r="K1152" i="4"/>
  <c r="J1152" i="4"/>
  <c r="S1151" i="4"/>
  <c r="M1151" i="4"/>
  <c r="O1151" i="4" s="1"/>
  <c r="L1151" i="4"/>
  <c r="N1151" i="4" s="1"/>
  <c r="K1151" i="4"/>
  <c r="J1151" i="4"/>
  <c r="P1150" i="4"/>
  <c r="D1150" i="4" s="1"/>
  <c r="M1150" i="4"/>
  <c r="O1150" i="4" s="1"/>
  <c r="L1150" i="4"/>
  <c r="N1150" i="4" s="1"/>
  <c r="K1150" i="4"/>
  <c r="J1150" i="4"/>
  <c r="F1150" i="4"/>
  <c r="E1150" i="4"/>
  <c r="S1149" i="4"/>
  <c r="M1149" i="4"/>
  <c r="O1149" i="4" s="1"/>
  <c r="L1149" i="4"/>
  <c r="N1149" i="4" s="1"/>
  <c r="K1149" i="4"/>
  <c r="J1149" i="4"/>
  <c r="S1148" i="4"/>
  <c r="M1148" i="4"/>
  <c r="O1148" i="4" s="1"/>
  <c r="L1148" i="4"/>
  <c r="N1148" i="4" s="1"/>
  <c r="K1148" i="4"/>
  <c r="J1148" i="4"/>
  <c r="S1147" i="4"/>
  <c r="M1147" i="4"/>
  <c r="O1147" i="4" s="1"/>
  <c r="L1147" i="4"/>
  <c r="N1147" i="4" s="1"/>
  <c r="K1147" i="4"/>
  <c r="J1147" i="4"/>
  <c r="F1147" i="4"/>
  <c r="E1147" i="4"/>
  <c r="D1147" i="4"/>
  <c r="S1146" i="4"/>
  <c r="M1146" i="4"/>
  <c r="O1146" i="4" s="1"/>
  <c r="L1146" i="4"/>
  <c r="N1146" i="4" s="1"/>
  <c r="K1146" i="4"/>
  <c r="J1146" i="4"/>
  <c r="F1146" i="4"/>
  <c r="E1146" i="4"/>
  <c r="D1146" i="4"/>
  <c r="S1145" i="4"/>
  <c r="M1145" i="4"/>
  <c r="O1145" i="4" s="1"/>
  <c r="L1145" i="4"/>
  <c r="N1145" i="4" s="1"/>
  <c r="K1145" i="4"/>
  <c r="J1145" i="4"/>
  <c r="S1144" i="4"/>
  <c r="M1144" i="4"/>
  <c r="O1144" i="4" s="1"/>
  <c r="L1144" i="4"/>
  <c r="N1144" i="4" s="1"/>
  <c r="K1144" i="4"/>
  <c r="J1144" i="4"/>
  <c r="F1144" i="4"/>
  <c r="E1144" i="4"/>
  <c r="D1144" i="4"/>
  <c r="S1143" i="4"/>
  <c r="M1143" i="4"/>
  <c r="O1143" i="4" s="1"/>
  <c r="L1143" i="4"/>
  <c r="N1143" i="4" s="1"/>
  <c r="K1143" i="4"/>
  <c r="J1143" i="4"/>
  <c r="F1143" i="4"/>
  <c r="E1143" i="4"/>
  <c r="D1143" i="4"/>
  <c r="S1142" i="4"/>
  <c r="M1142" i="4"/>
  <c r="O1142" i="4" s="1"/>
  <c r="L1142" i="4"/>
  <c r="N1142" i="4" s="1"/>
  <c r="K1142" i="4"/>
  <c r="J1142" i="4"/>
  <c r="F1142" i="4"/>
  <c r="E1142" i="4"/>
  <c r="D1142" i="4"/>
  <c r="S1141" i="4"/>
  <c r="M1141" i="4"/>
  <c r="O1141" i="4" s="1"/>
  <c r="L1141" i="4"/>
  <c r="N1141" i="4" s="1"/>
  <c r="K1141" i="4"/>
  <c r="J1141" i="4"/>
  <c r="F1141" i="4"/>
  <c r="E1141" i="4"/>
  <c r="D1141" i="4"/>
  <c r="S1140" i="4"/>
  <c r="M1140" i="4"/>
  <c r="O1140" i="4" s="1"/>
  <c r="L1140" i="4"/>
  <c r="N1140" i="4" s="1"/>
  <c r="K1140" i="4"/>
  <c r="J1140" i="4"/>
  <c r="S1139" i="4"/>
  <c r="M1139" i="4"/>
  <c r="O1139" i="4" s="1"/>
  <c r="L1139" i="4"/>
  <c r="N1139" i="4" s="1"/>
  <c r="K1139" i="4"/>
  <c r="J1139" i="4"/>
  <c r="F1139" i="4"/>
  <c r="E1139" i="4"/>
  <c r="D1139" i="4"/>
  <c r="S1138" i="4"/>
  <c r="M1138" i="4"/>
  <c r="O1138" i="4" s="1"/>
  <c r="L1138" i="4"/>
  <c r="N1138" i="4" s="1"/>
  <c r="K1138" i="4"/>
  <c r="J1138" i="4"/>
  <c r="S1137" i="4"/>
  <c r="M1137" i="4"/>
  <c r="O1137" i="4" s="1"/>
  <c r="L1137" i="4"/>
  <c r="N1137" i="4" s="1"/>
  <c r="K1137" i="4"/>
  <c r="J1137" i="4"/>
  <c r="F1137" i="4"/>
  <c r="E1137" i="4"/>
  <c r="D1137" i="4"/>
  <c r="S1136" i="4"/>
  <c r="M1136" i="4"/>
  <c r="O1136" i="4" s="1"/>
  <c r="L1136" i="4"/>
  <c r="N1136" i="4" s="1"/>
  <c r="K1136" i="4"/>
  <c r="J1136" i="4"/>
  <c r="S1135" i="4"/>
  <c r="M1135" i="4"/>
  <c r="O1135" i="4" s="1"/>
  <c r="L1135" i="4"/>
  <c r="N1135" i="4" s="1"/>
  <c r="K1135" i="4"/>
  <c r="J1135" i="4"/>
  <c r="S1134" i="4"/>
  <c r="M1134" i="4"/>
  <c r="O1134" i="4" s="1"/>
  <c r="L1134" i="4"/>
  <c r="N1134" i="4" s="1"/>
  <c r="K1134" i="4"/>
  <c r="J1134" i="4"/>
  <c r="S1133" i="4"/>
  <c r="M1133" i="4"/>
  <c r="O1133" i="4" s="1"/>
  <c r="L1133" i="4"/>
  <c r="N1133" i="4" s="1"/>
  <c r="K1133" i="4"/>
  <c r="J1133" i="4"/>
  <c r="S1132" i="4"/>
  <c r="M1132" i="4"/>
  <c r="O1132" i="4" s="1"/>
  <c r="L1132" i="4"/>
  <c r="N1132" i="4" s="1"/>
  <c r="K1132" i="4"/>
  <c r="J1132" i="4"/>
  <c r="S1131" i="4"/>
  <c r="M1131" i="4"/>
  <c r="O1131" i="4" s="1"/>
  <c r="L1131" i="4"/>
  <c r="N1131" i="4" s="1"/>
  <c r="K1131" i="4"/>
  <c r="J1131" i="4"/>
  <c r="S1130" i="4"/>
  <c r="M1130" i="4"/>
  <c r="O1130" i="4" s="1"/>
  <c r="L1130" i="4"/>
  <c r="N1130" i="4" s="1"/>
  <c r="K1130" i="4"/>
  <c r="J1130" i="4"/>
  <c r="S1129" i="4"/>
  <c r="M1129" i="4"/>
  <c r="O1129" i="4" s="1"/>
  <c r="L1129" i="4"/>
  <c r="N1129" i="4" s="1"/>
  <c r="K1129" i="4"/>
  <c r="J1129" i="4"/>
  <c r="S1128" i="4"/>
  <c r="M1128" i="4"/>
  <c r="O1128" i="4" s="1"/>
  <c r="L1128" i="4"/>
  <c r="N1128" i="4" s="1"/>
  <c r="K1128" i="4"/>
  <c r="J1128" i="4"/>
  <c r="S1127" i="4"/>
  <c r="M1127" i="4"/>
  <c r="O1127" i="4" s="1"/>
  <c r="L1127" i="4"/>
  <c r="N1127" i="4" s="1"/>
  <c r="K1127" i="4"/>
  <c r="J1127" i="4"/>
  <c r="S1126" i="4"/>
  <c r="M1126" i="4"/>
  <c r="O1126" i="4" s="1"/>
  <c r="L1126" i="4"/>
  <c r="N1126" i="4" s="1"/>
  <c r="K1126" i="4"/>
  <c r="J1126" i="4"/>
  <c r="F1126" i="4"/>
  <c r="E1126" i="4"/>
  <c r="D1126" i="4"/>
  <c r="S1125" i="4"/>
  <c r="M1125" i="4"/>
  <c r="O1125" i="4" s="1"/>
  <c r="L1125" i="4"/>
  <c r="N1125" i="4" s="1"/>
  <c r="K1125" i="4"/>
  <c r="J1125" i="4"/>
  <c r="F1125" i="4"/>
  <c r="E1125" i="4"/>
  <c r="D1125" i="4"/>
  <c r="S1124" i="4"/>
  <c r="M1124" i="4"/>
  <c r="O1124" i="4" s="1"/>
  <c r="L1124" i="4"/>
  <c r="N1124" i="4" s="1"/>
  <c r="K1124" i="4"/>
  <c r="J1124" i="4"/>
  <c r="M1119" i="4"/>
  <c r="O1119" i="4" s="1"/>
  <c r="L1119" i="4"/>
  <c r="N1119" i="4" s="1"/>
  <c r="K1119" i="4"/>
  <c r="J1119" i="4"/>
  <c r="S1118" i="4"/>
  <c r="M1118" i="4"/>
  <c r="O1118" i="4" s="1"/>
  <c r="L1118" i="4"/>
  <c r="N1118" i="4" s="1"/>
  <c r="K1118" i="4"/>
  <c r="J1118" i="4"/>
  <c r="F1118" i="4"/>
  <c r="E1118" i="4"/>
  <c r="D1118" i="4"/>
  <c r="S1117" i="4"/>
  <c r="M1117" i="4"/>
  <c r="O1117" i="4" s="1"/>
  <c r="L1117" i="4"/>
  <c r="N1117" i="4" s="1"/>
  <c r="K1117" i="4"/>
  <c r="J1117" i="4"/>
  <c r="S1116" i="4"/>
  <c r="M1116" i="4"/>
  <c r="O1116" i="4" s="1"/>
  <c r="L1116" i="4"/>
  <c r="N1116" i="4" s="1"/>
  <c r="K1116" i="4"/>
  <c r="J1116" i="4"/>
  <c r="S1115" i="4"/>
  <c r="M1115" i="4"/>
  <c r="O1115" i="4" s="1"/>
  <c r="L1115" i="4"/>
  <c r="N1115" i="4" s="1"/>
  <c r="K1115" i="4"/>
  <c r="J1115" i="4"/>
  <c r="S1114" i="4"/>
  <c r="M1114" i="4"/>
  <c r="O1114" i="4" s="1"/>
  <c r="L1114" i="4"/>
  <c r="N1114" i="4" s="1"/>
  <c r="K1114" i="4"/>
  <c r="J1114" i="4"/>
  <c r="S1113" i="4"/>
  <c r="M1113" i="4"/>
  <c r="O1113" i="4" s="1"/>
  <c r="L1113" i="4"/>
  <c r="N1113" i="4" s="1"/>
  <c r="K1113" i="4"/>
  <c r="J1113" i="4"/>
  <c r="S1112" i="4"/>
  <c r="M1112" i="4"/>
  <c r="O1112" i="4" s="1"/>
  <c r="L1112" i="4"/>
  <c r="N1112" i="4" s="1"/>
  <c r="K1112" i="4"/>
  <c r="J1112" i="4"/>
  <c r="S1111" i="4"/>
  <c r="M1111" i="4"/>
  <c r="O1111" i="4" s="1"/>
  <c r="L1111" i="4"/>
  <c r="N1111" i="4" s="1"/>
  <c r="K1111" i="4"/>
  <c r="J1111" i="4"/>
  <c r="S1110" i="4"/>
  <c r="M1110" i="4"/>
  <c r="O1110" i="4" s="1"/>
  <c r="L1110" i="4"/>
  <c r="N1110" i="4" s="1"/>
  <c r="K1110" i="4"/>
  <c r="J1110" i="4"/>
  <c r="S1109" i="4"/>
  <c r="M1109" i="4"/>
  <c r="O1109" i="4" s="1"/>
  <c r="L1109" i="4"/>
  <c r="N1109" i="4" s="1"/>
  <c r="K1109" i="4"/>
  <c r="J1109" i="4"/>
  <c r="S1108" i="4"/>
  <c r="M1108" i="4"/>
  <c r="O1108" i="4" s="1"/>
  <c r="L1108" i="4"/>
  <c r="N1108" i="4" s="1"/>
  <c r="K1108" i="4"/>
  <c r="J1108" i="4"/>
  <c r="S1107" i="4"/>
  <c r="M1107" i="4"/>
  <c r="O1107" i="4" s="1"/>
  <c r="L1107" i="4"/>
  <c r="N1107" i="4" s="1"/>
  <c r="K1107" i="4"/>
  <c r="J1107" i="4"/>
  <c r="S1106" i="4"/>
  <c r="M1106" i="4"/>
  <c r="O1106" i="4" s="1"/>
  <c r="L1106" i="4"/>
  <c r="N1106" i="4" s="1"/>
  <c r="K1106" i="4"/>
  <c r="J1106" i="4"/>
  <c r="S1105" i="4"/>
  <c r="M1105" i="4"/>
  <c r="O1105" i="4" s="1"/>
  <c r="L1105" i="4"/>
  <c r="N1105" i="4" s="1"/>
  <c r="K1105" i="4"/>
  <c r="J1105" i="4"/>
  <c r="S1104" i="4"/>
  <c r="M1104" i="4"/>
  <c r="O1104" i="4" s="1"/>
  <c r="L1104" i="4"/>
  <c r="N1104" i="4" s="1"/>
  <c r="K1104" i="4"/>
  <c r="J1104" i="4"/>
  <c r="S1103" i="4"/>
  <c r="M1103" i="4"/>
  <c r="O1103" i="4" s="1"/>
  <c r="L1103" i="4"/>
  <c r="N1103" i="4" s="1"/>
  <c r="K1103" i="4"/>
  <c r="J1103" i="4"/>
  <c r="S1102" i="4"/>
  <c r="M1102" i="4"/>
  <c r="O1102" i="4" s="1"/>
  <c r="L1102" i="4"/>
  <c r="N1102" i="4" s="1"/>
  <c r="K1102" i="4"/>
  <c r="J1102" i="4"/>
  <c r="S1101" i="4"/>
  <c r="M1101" i="4"/>
  <c r="O1101" i="4" s="1"/>
  <c r="L1101" i="4"/>
  <c r="N1101" i="4" s="1"/>
  <c r="K1101" i="4"/>
  <c r="J1101" i="4"/>
  <c r="M1099" i="4"/>
  <c r="O1099" i="4" s="1"/>
  <c r="L1099" i="4"/>
  <c r="N1099" i="4" s="1"/>
  <c r="K1099" i="4"/>
  <c r="J1099" i="4"/>
  <c r="S1098" i="4"/>
  <c r="M1098" i="4"/>
  <c r="O1098" i="4" s="1"/>
  <c r="L1098" i="4"/>
  <c r="N1098" i="4" s="1"/>
  <c r="K1098" i="4"/>
  <c r="J1098" i="4"/>
  <c r="S1097" i="4"/>
  <c r="M1097" i="4"/>
  <c r="O1097" i="4" s="1"/>
  <c r="L1097" i="4"/>
  <c r="N1097" i="4" s="1"/>
  <c r="K1097" i="4"/>
  <c r="J1097" i="4"/>
  <c r="S1096" i="4"/>
  <c r="M1096" i="4"/>
  <c r="O1096" i="4" s="1"/>
  <c r="L1096" i="4"/>
  <c r="N1096" i="4" s="1"/>
  <c r="K1096" i="4"/>
  <c r="J1096" i="4"/>
  <c r="S1095" i="4"/>
  <c r="M1095" i="4"/>
  <c r="O1095" i="4" s="1"/>
  <c r="L1095" i="4"/>
  <c r="N1095" i="4" s="1"/>
  <c r="K1095" i="4"/>
  <c r="J1095" i="4"/>
  <c r="S1094" i="4"/>
  <c r="M1094" i="4"/>
  <c r="O1094" i="4" s="1"/>
  <c r="L1094" i="4"/>
  <c r="N1094" i="4" s="1"/>
  <c r="K1094" i="4"/>
  <c r="J1094" i="4"/>
  <c r="F1094" i="4"/>
  <c r="E1094" i="4"/>
  <c r="D1094" i="4"/>
  <c r="S1093" i="4"/>
  <c r="M1093" i="4"/>
  <c r="O1093" i="4" s="1"/>
  <c r="L1093" i="4"/>
  <c r="N1093" i="4" s="1"/>
  <c r="K1093" i="4"/>
  <c r="J1093" i="4"/>
  <c r="S1092" i="4"/>
  <c r="M1092" i="4"/>
  <c r="O1092" i="4" s="1"/>
  <c r="L1092" i="4"/>
  <c r="N1092" i="4" s="1"/>
  <c r="K1092" i="4"/>
  <c r="J1092" i="4"/>
  <c r="S1091" i="4"/>
  <c r="M1091" i="4"/>
  <c r="O1091" i="4" s="1"/>
  <c r="L1091" i="4"/>
  <c r="N1091" i="4" s="1"/>
  <c r="K1091" i="4"/>
  <c r="J1091" i="4"/>
  <c r="S1090" i="4"/>
  <c r="M1090" i="4"/>
  <c r="O1090" i="4" s="1"/>
  <c r="L1090" i="4"/>
  <c r="N1090" i="4" s="1"/>
  <c r="K1090" i="4"/>
  <c r="J1090" i="4"/>
  <c r="M1089" i="4"/>
  <c r="O1089" i="4" s="1"/>
  <c r="L1089" i="4"/>
  <c r="N1089" i="4" s="1"/>
  <c r="K1089" i="4"/>
  <c r="J1089" i="4"/>
  <c r="S1088" i="4"/>
  <c r="M1088" i="4"/>
  <c r="O1088" i="4" s="1"/>
  <c r="L1088" i="4"/>
  <c r="N1088" i="4" s="1"/>
  <c r="K1088" i="4"/>
  <c r="J1088" i="4"/>
  <c r="S1087" i="4"/>
  <c r="M1087" i="4"/>
  <c r="O1087" i="4" s="1"/>
  <c r="L1087" i="4"/>
  <c r="N1087" i="4" s="1"/>
  <c r="K1087" i="4"/>
  <c r="J1087" i="4"/>
  <c r="S1086" i="4"/>
  <c r="M1086" i="4"/>
  <c r="O1086" i="4" s="1"/>
  <c r="L1086" i="4"/>
  <c r="N1086" i="4" s="1"/>
  <c r="K1086" i="4"/>
  <c r="J1086" i="4"/>
  <c r="S1085" i="4"/>
  <c r="M1085" i="4"/>
  <c r="O1085" i="4" s="1"/>
  <c r="L1085" i="4"/>
  <c r="N1085" i="4" s="1"/>
  <c r="K1085" i="4"/>
  <c r="J1085" i="4"/>
  <c r="S1084" i="4"/>
  <c r="M1084" i="4"/>
  <c r="O1084" i="4" s="1"/>
  <c r="L1084" i="4"/>
  <c r="N1084" i="4" s="1"/>
  <c r="K1084" i="4"/>
  <c r="J1084" i="4"/>
  <c r="M1083" i="4"/>
  <c r="O1083" i="4" s="1"/>
  <c r="L1083" i="4"/>
  <c r="N1083" i="4" s="1"/>
  <c r="K1083" i="4"/>
  <c r="J1083" i="4"/>
  <c r="S1082" i="4"/>
  <c r="M1082" i="4"/>
  <c r="O1082" i="4" s="1"/>
  <c r="L1082" i="4"/>
  <c r="N1082" i="4" s="1"/>
  <c r="K1082" i="4"/>
  <c r="J1082" i="4"/>
  <c r="S1081" i="4"/>
  <c r="M1081" i="4"/>
  <c r="O1081" i="4" s="1"/>
  <c r="L1081" i="4"/>
  <c r="N1081" i="4" s="1"/>
  <c r="K1081" i="4"/>
  <c r="J1081" i="4"/>
  <c r="S1080" i="4"/>
  <c r="M1080" i="4"/>
  <c r="O1080" i="4" s="1"/>
  <c r="L1080" i="4"/>
  <c r="N1080" i="4" s="1"/>
  <c r="K1080" i="4"/>
  <c r="J1080" i="4"/>
  <c r="S1079" i="4"/>
  <c r="M1079" i="4"/>
  <c r="O1079" i="4" s="1"/>
  <c r="L1079" i="4"/>
  <c r="N1079" i="4" s="1"/>
  <c r="K1079" i="4"/>
  <c r="J1079" i="4"/>
  <c r="S1078" i="4"/>
  <c r="M1078" i="4"/>
  <c r="O1078" i="4" s="1"/>
  <c r="L1078" i="4"/>
  <c r="N1078" i="4" s="1"/>
  <c r="K1078" i="4"/>
  <c r="J1078" i="4"/>
  <c r="S1077" i="4"/>
  <c r="M1077" i="4"/>
  <c r="O1077" i="4" s="1"/>
  <c r="L1077" i="4"/>
  <c r="N1077" i="4" s="1"/>
  <c r="K1077" i="4"/>
  <c r="J1077" i="4"/>
  <c r="S1076" i="4"/>
  <c r="M1076" i="4"/>
  <c r="O1076" i="4" s="1"/>
  <c r="L1076" i="4"/>
  <c r="N1076" i="4" s="1"/>
  <c r="K1076" i="4"/>
  <c r="J1076" i="4"/>
  <c r="S1075" i="4"/>
  <c r="M1075" i="4"/>
  <c r="O1075" i="4" s="1"/>
  <c r="L1075" i="4"/>
  <c r="N1075" i="4" s="1"/>
  <c r="K1075" i="4"/>
  <c r="J1075" i="4"/>
  <c r="S1074" i="4"/>
  <c r="M1074" i="4"/>
  <c r="O1074" i="4" s="1"/>
  <c r="L1074" i="4"/>
  <c r="N1074" i="4" s="1"/>
  <c r="K1074" i="4"/>
  <c r="J1074" i="4"/>
  <c r="S1073" i="4"/>
  <c r="M1073" i="4"/>
  <c r="O1073" i="4" s="1"/>
  <c r="L1073" i="4"/>
  <c r="N1073" i="4" s="1"/>
  <c r="K1073" i="4"/>
  <c r="J1073" i="4"/>
  <c r="S1072" i="4"/>
  <c r="M1072" i="4"/>
  <c r="O1072" i="4" s="1"/>
  <c r="L1072" i="4"/>
  <c r="N1072" i="4" s="1"/>
  <c r="K1072" i="4"/>
  <c r="J1072" i="4"/>
  <c r="S1071" i="4"/>
  <c r="M1071" i="4"/>
  <c r="O1071" i="4" s="1"/>
  <c r="L1071" i="4"/>
  <c r="N1071" i="4" s="1"/>
  <c r="K1071" i="4"/>
  <c r="J1071" i="4"/>
  <c r="S1070" i="4"/>
  <c r="M1070" i="4"/>
  <c r="O1070" i="4" s="1"/>
  <c r="L1070" i="4"/>
  <c r="N1070" i="4" s="1"/>
  <c r="K1070" i="4"/>
  <c r="J1070" i="4"/>
  <c r="S1069" i="4"/>
  <c r="M1069" i="4"/>
  <c r="O1069" i="4" s="1"/>
  <c r="L1069" i="4"/>
  <c r="N1069" i="4" s="1"/>
  <c r="K1069" i="4"/>
  <c r="J1069" i="4"/>
  <c r="S1068" i="4"/>
  <c r="M1068" i="4"/>
  <c r="O1068" i="4" s="1"/>
  <c r="L1068" i="4"/>
  <c r="N1068" i="4" s="1"/>
  <c r="K1068" i="4"/>
  <c r="J1068" i="4"/>
  <c r="S1067" i="4"/>
  <c r="M1067" i="4"/>
  <c r="O1067" i="4" s="1"/>
  <c r="L1067" i="4"/>
  <c r="N1067" i="4" s="1"/>
  <c r="K1067" i="4"/>
  <c r="J1067" i="4"/>
  <c r="S1066" i="4"/>
  <c r="M1066" i="4"/>
  <c r="O1066" i="4" s="1"/>
  <c r="L1066" i="4"/>
  <c r="N1066" i="4" s="1"/>
  <c r="K1066" i="4"/>
  <c r="J1066" i="4"/>
  <c r="S1065" i="4"/>
  <c r="M1065" i="4"/>
  <c r="O1065" i="4" s="1"/>
  <c r="L1065" i="4"/>
  <c r="N1065" i="4" s="1"/>
  <c r="K1065" i="4"/>
  <c r="J1065" i="4"/>
  <c r="S1064" i="4"/>
  <c r="M1064" i="4"/>
  <c r="O1064" i="4" s="1"/>
  <c r="L1064" i="4"/>
  <c r="N1064" i="4" s="1"/>
  <c r="K1064" i="4"/>
  <c r="J1064" i="4"/>
  <c r="S1063" i="4"/>
  <c r="M1063" i="4"/>
  <c r="O1063" i="4" s="1"/>
  <c r="L1063" i="4"/>
  <c r="N1063" i="4" s="1"/>
  <c r="K1063" i="4"/>
  <c r="J1063" i="4"/>
  <c r="S1062" i="4"/>
  <c r="M1062" i="4"/>
  <c r="O1062" i="4" s="1"/>
  <c r="L1062" i="4"/>
  <c r="N1062" i="4" s="1"/>
  <c r="K1062" i="4"/>
  <c r="J1062" i="4"/>
  <c r="S1061" i="4"/>
  <c r="M1061" i="4"/>
  <c r="O1061" i="4" s="1"/>
  <c r="L1061" i="4"/>
  <c r="N1061" i="4" s="1"/>
  <c r="K1061" i="4"/>
  <c r="J1061" i="4"/>
  <c r="S1060" i="4"/>
  <c r="M1060" i="4"/>
  <c r="O1060" i="4" s="1"/>
  <c r="L1060" i="4"/>
  <c r="N1060" i="4" s="1"/>
  <c r="K1060" i="4"/>
  <c r="J1060" i="4"/>
  <c r="F1060" i="4"/>
  <c r="E1060" i="4"/>
  <c r="D1060" i="4"/>
  <c r="S1059" i="4"/>
  <c r="M1059" i="4"/>
  <c r="O1059" i="4" s="1"/>
  <c r="L1059" i="4"/>
  <c r="N1059" i="4" s="1"/>
  <c r="K1059" i="4"/>
  <c r="J1059" i="4"/>
  <c r="S1058" i="4"/>
  <c r="M1058" i="4"/>
  <c r="O1058" i="4" s="1"/>
  <c r="L1058" i="4"/>
  <c r="N1058" i="4" s="1"/>
  <c r="K1058" i="4"/>
  <c r="J1058" i="4"/>
  <c r="F1058" i="4"/>
  <c r="E1058" i="4"/>
  <c r="D1058" i="4"/>
  <c r="S1057" i="4"/>
  <c r="M1057" i="4"/>
  <c r="O1057" i="4" s="1"/>
  <c r="L1057" i="4"/>
  <c r="N1057" i="4" s="1"/>
  <c r="K1057" i="4"/>
  <c r="J1057" i="4"/>
  <c r="F1057" i="4"/>
  <c r="E1057" i="4"/>
  <c r="D1057" i="4"/>
  <c r="S1056" i="4"/>
  <c r="M1056" i="4"/>
  <c r="O1056" i="4" s="1"/>
  <c r="L1056" i="4"/>
  <c r="N1056" i="4" s="1"/>
  <c r="K1056" i="4"/>
  <c r="J1056" i="4"/>
  <c r="S1055" i="4"/>
  <c r="M1055" i="4"/>
  <c r="O1055" i="4" s="1"/>
  <c r="L1055" i="4"/>
  <c r="N1055" i="4" s="1"/>
  <c r="K1055" i="4"/>
  <c r="J1055" i="4"/>
  <c r="S1054" i="4"/>
  <c r="M1054" i="4"/>
  <c r="O1054" i="4" s="1"/>
  <c r="L1054" i="4"/>
  <c r="N1054" i="4" s="1"/>
  <c r="K1054" i="4"/>
  <c r="J1054" i="4"/>
  <c r="S1053" i="4"/>
  <c r="M1053" i="4"/>
  <c r="O1053" i="4" s="1"/>
  <c r="L1053" i="4"/>
  <c r="N1053" i="4" s="1"/>
  <c r="K1053" i="4"/>
  <c r="J1053" i="4"/>
  <c r="S1052" i="4"/>
  <c r="M1052" i="4"/>
  <c r="O1052" i="4" s="1"/>
  <c r="L1052" i="4"/>
  <c r="N1052" i="4" s="1"/>
  <c r="K1052" i="4"/>
  <c r="J1052" i="4"/>
  <c r="F1052" i="4"/>
  <c r="E1052" i="4"/>
  <c r="D1052" i="4"/>
  <c r="S1051" i="4"/>
  <c r="M1051" i="4"/>
  <c r="O1051" i="4" s="1"/>
  <c r="L1051" i="4"/>
  <c r="N1051" i="4" s="1"/>
  <c r="K1051" i="4"/>
  <c r="J1051" i="4"/>
  <c r="F1051" i="4"/>
  <c r="E1051" i="4"/>
  <c r="D1051" i="4"/>
  <c r="S1050" i="4"/>
  <c r="M1050" i="4"/>
  <c r="O1050" i="4" s="1"/>
  <c r="L1050" i="4"/>
  <c r="N1050" i="4" s="1"/>
  <c r="K1050" i="4"/>
  <c r="J1050" i="4"/>
  <c r="F1050" i="4"/>
  <c r="E1050" i="4"/>
  <c r="D1050" i="4"/>
  <c r="S1049" i="4"/>
  <c r="M1049" i="4"/>
  <c r="O1049" i="4" s="1"/>
  <c r="L1049" i="4"/>
  <c r="N1049" i="4" s="1"/>
  <c r="K1049" i="4"/>
  <c r="J1049" i="4"/>
  <c r="S1048" i="4"/>
  <c r="M1048" i="4"/>
  <c r="O1048" i="4" s="1"/>
  <c r="L1048" i="4"/>
  <c r="N1048" i="4" s="1"/>
  <c r="K1048" i="4"/>
  <c r="J1048" i="4"/>
  <c r="F1048" i="4"/>
  <c r="E1048" i="4"/>
  <c r="D1048" i="4"/>
  <c r="S1047" i="4"/>
  <c r="M1047" i="4"/>
  <c r="O1047" i="4" s="1"/>
  <c r="L1047" i="4"/>
  <c r="N1047" i="4" s="1"/>
  <c r="K1047" i="4"/>
  <c r="J1047" i="4"/>
  <c r="F1047" i="4"/>
  <c r="E1047" i="4"/>
  <c r="D1047" i="4"/>
  <c r="S1046" i="4"/>
  <c r="M1046" i="4"/>
  <c r="O1046" i="4" s="1"/>
  <c r="L1046" i="4"/>
  <c r="N1046" i="4" s="1"/>
  <c r="K1046" i="4"/>
  <c r="J1046" i="4"/>
  <c r="S1045" i="4"/>
  <c r="M1045" i="4"/>
  <c r="O1045" i="4" s="1"/>
  <c r="L1045" i="4"/>
  <c r="N1045" i="4" s="1"/>
  <c r="K1045" i="4"/>
  <c r="J1045" i="4"/>
  <c r="F1045" i="4"/>
  <c r="E1045" i="4"/>
  <c r="D1045" i="4"/>
  <c r="S1044" i="4"/>
  <c r="M1044" i="4"/>
  <c r="O1044" i="4" s="1"/>
  <c r="L1044" i="4"/>
  <c r="N1044" i="4" s="1"/>
  <c r="K1044" i="4"/>
  <c r="J1044" i="4"/>
  <c r="S1043" i="4"/>
  <c r="M1043" i="4"/>
  <c r="O1043" i="4" s="1"/>
  <c r="L1043" i="4"/>
  <c r="N1043" i="4" s="1"/>
  <c r="K1043" i="4"/>
  <c r="J1043" i="4"/>
  <c r="S1042" i="4"/>
  <c r="M1042" i="4"/>
  <c r="O1042" i="4" s="1"/>
  <c r="L1042" i="4"/>
  <c r="N1042" i="4" s="1"/>
  <c r="K1042" i="4"/>
  <c r="J1042" i="4"/>
  <c r="S1041" i="4"/>
  <c r="M1041" i="4"/>
  <c r="O1041" i="4" s="1"/>
  <c r="L1041" i="4"/>
  <c r="N1041" i="4" s="1"/>
  <c r="K1041" i="4"/>
  <c r="J1041" i="4"/>
  <c r="S1040" i="4"/>
  <c r="M1040" i="4"/>
  <c r="O1040" i="4" s="1"/>
  <c r="L1040" i="4"/>
  <c r="N1040" i="4" s="1"/>
  <c r="K1040" i="4"/>
  <c r="J1040" i="4"/>
  <c r="S1039" i="4"/>
  <c r="M1039" i="4"/>
  <c r="O1039" i="4" s="1"/>
  <c r="L1039" i="4"/>
  <c r="N1039" i="4" s="1"/>
  <c r="K1039" i="4"/>
  <c r="J1039" i="4"/>
  <c r="S1037" i="4"/>
  <c r="M1037" i="4"/>
  <c r="O1037" i="4" s="1"/>
  <c r="L1037" i="4"/>
  <c r="N1037" i="4" s="1"/>
  <c r="K1037" i="4"/>
  <c r="J1037" i="4"/>
  <c r="S1036" i="4"/>
  <c r="M1036" i="4"/>
  <c r="O1036" i="4" s="1"/>
  <c r="L1036" i="4"/>
  <c r="N1036" i="4" s="1"/>
  <c r="K1036" i="4"/>
  <c r="J1036" i="4"/>
  <c r="F1036" i="4"/>
  <c r="E1036" i="4"/>
  <c r="D1036" i="4"/>
  <c r="S1035" i="4"/>
  <c r="M1035" i="4"/>
  <c r="O1035" i="4" s="1"/>
  <c r="L1035" i="4"/>
  <c r="N1035" i="4" s="1"/>
  <c r="K1035" i="4"/>
  <c r="J1035" i="4"/>
  <c r="S1034" i="4"/>
  <c r="M1034" i="4"/>
  <c r="O1034" i="4" s="1"/>
  <c r="L1034" i="4"/>
  <c r="N1034" i="4" s="1"/>
  <c r="K1034" i="4"/>
  <c r="J1034" i="4"/>
  <c r="S1033" i="4"/>
  <c r="M1033" i="4"/>
  <c r="O1033" i="4" s="1"/>
  <c r="L1033" i="4"/>
  <c r="N1033" i="4" s="1"/>
  <c r="K1033" i="4"/>
  <c r="J1033" i="4"/>
  <c r="S1032" i="4"/>
  <c r="M1032" i="4"/>
  <c r="O1032" i="4" s="1"/>
  <c r="L1032" i="4"/>
  <c r="N1032" i="4" s="1"/>
  <c r="K1032" i="4"/>
  <c r="J1032" i="4"/>
  <c r="S1031" i="4"/>
  <c r="M1031" i="4"/>
  <c r="O1031" i="4" s="1"/>
  <c r="L1031" i="4"/>
  <c r="N1031" i="4" s="1"/>
  <c r="K1031" i="4"/>
  <c r="J1031" i="4"/>
  <c r="S1030" i="4"/>
  <c r="O1030" i="4"/>
  <c r="M1030" i="4"/>
  <c r="L1030" i="4"/>
  <c r="N1030" i="4" s="1"/>
  <c r="K1030" i="4"/>
  <c r="J1030" i="4"/>
  <c r="S1029" i="4"/>
  <c r="M1029" i="4"/>
  <c r="O1029" i="4" s="1"/>
  <c r="L1029" i="4"/>
  <c r="N1029" i="4" s="1"/>
  <c r="K1029" i="4"/>
  <c r="J1029" i="4"/>
  <c r="S1028" i="4"/>
  <c r="N1028" i="4"/>
  <c r="M1028" i="4"/>
  <c r="O1028" i="4" s="1"/>
  <c r="L1028" i="4"/>
  <c r="K1028" i="4"/>
  <c r="J1028" i="4"/>
  <c r="S1027" i="4"/>
  <c r="M1027" i="4"/>
  <c r="O1027" i="4" s="1"/>
  <c r="L1027" i="4"/>
  <c r="N1027" i="4" s="1"/>
  <c r="K1027" i="4"/>
  <c r="J1027" i="4"/>
  <c r="S1026" i="4"/>
  <c r="M1026" i="4"/>
  <c r="O1026" i="4" s="1"/>
  <c r="L1026" i="4"/>
  <c r="N1026" i="4" s="1"/>
  <c r="K1026" i="4"/>
  <c r="J1026" i="4"/>
  <c r="S1025" i="4"/>
  <c r="M1025" i="4"/>
  <c r="O1025" i="4" s="1"/>
  <c r="L1025" i="4"/>
  <c r="N1025" i="4" s="1"/>
  <c r="K1025" i="4"/>
  <c r="J1025" i="4"/>
  <c r="S1024" i="4"/>
  <c r="M1024" i="4"/>
  <c r="O1024" i="4" s="1"/>
  <c r="L1024" i="4"/>
  <c r="N1024" i="4" s="1"/>
  <c r="K1024" i="4"/>
  <c r="J1024" i="4"/>
  <c r="S1023" i="4"/>
  <c r="M1023" i="4"/>
  <c r="O1023" i="4" s="1"/>
  <c r="L1023" i="4"/>
  <c r="N1023" i="4" s="1"/>
  <c r="K1023" i="4"/>
  <c r="J1023" i="4"/>
  <c r="S1022" i="4"/>
  <c r="M1022" i="4"/>
  <c r="O1022" i="4" s="1"/>
  <c r="L1022" i="4"/>
  <c r="N1022" i="4" s="1"/>
  <c r="K1022" i="4"/>
  <c r="J1022" i="4"/>
  <c r="S1021" i="4"/>
  <c r="M1021" i="4"/>
  <c r="O1021" i="4" s="1"/>
  <c r="L1021" i="4"/>
  <c r="N1021" i="4" s="1"/>
  <c r="K1021" i="4"/>
  <c r="J1021" i="4"/>
  <c r="S1020" i="4"/>
  <c r="M1020" i="4"/>
  <c r="O1020" i="4" s="1"/>
  <c r="L1020" i="4"/>
  <c r="N1020" i="4" s="1"/>
  <c r="K1020" i="4"/>
  <c r="J1020" i="4"/>
  <c r="S1019" i="4"/>
  <c r="M1019" i="4"/>
  <c r="O1019" i="4" s="1"/>
  <c r="L1019" i="4"/>
  <c r="N1019" i="4" s="1"/>
  <c r="K1019" i="4"/>
  <c r="J1019" i="4"/>
  <c r="S1018" i="4"/>
  <c r="M1018" i="4"/>
  <c r="O1018" i="4" s="1"/>
  <c r="L1018" i="4"/>
  <c r="N1018" i="4" s="1"/>
  <c r="K1018" i="4"/>
  <c r="J1018" i="4"/>
  <c r="S1017" i="4"/>
  <c r="M1017" i="4"/>
  <c r="O1017" i="4" s="1"/>
  <c r="L1017" i="4"/>
  <c r="N1017" i="4" s="1"/>
  <c r="K1017" i="4"/>
  <c r="J1017" i="4"/>
  <c r="S1016" i="4"/>
  <c r="M1016" i="4"/>
  <c r="O1016" i="4" s="1"/>
  <c r="L1016" i="4"/>
  <c r="N1016" i="4" s="1"/>
  <c r="K1016" i="4"/>
  <c r="J1016" i="4"/>
  <c r="S1015" i="4"/>
  <c r="M1015" i="4"/>
  <c r="O1015" i="4" s="1"/>
  <c r="L1015" i="4"/>
  <c r="N1015" i="4" s="1"/>
  <c r="K1015" i="4"/>
  <c r="J1015" i="4"/>
  <c r="S1014" i="4"/>
  <c r="M1014" i="4"/>
  <c r="O1014" i="4" s="1"/>
  <c r="L1014" i="4"/>
  <c r="N1014" i="4" s="1"/>
  <c r="K1014" i="4"/>
  <c r="J1014" i="4"/>
  <c r="S1013" i="4"/>
  <c r="M1013" i="4"/>
  <c r="O1013" i="4" s="1"/>
  <c r="L1013" i="4"/>
  <c r="N1013" i="4" s="1"/>
  <c r="K1013" i="4"/>
  <c r="J1013" i="4"/>
  <c r="S1012" i="4"/>
  <c r="M1012" i="4"/>
  <c r="O1012" i="4" s="1"/>
  <c r="L1012" i="4"/>
  <c r="N1012" i="4" s="1"/>
  <c r="K1012" i="4"/>
  <c r="J1012" i="4"/>
  <c r="S1011" i="4"/>
  <c r="M1011" i="4"/>
  <c r="O1011" i="4" s="1"/>
  <c r="L1011" i="4"/>
  <c r="N1011" i="4" s="1"/>
  <c r="K1011" i="4"/>
  <c r="J1011" i="4"/>
  <c r="S1010" i="4"/>
  <c r="M1010" i="4"/>
  <c r="O1010" i="4" s="1"/>
  <c r="L1010" i="4"/>
  <c r="N1010" i="4" s="1"/>
  <c r="K1010" i="4"/>
  <c r="J1010" i="4"/>
  <c r="S1009" i="4"/>
  <c r="M1009" i="4"/>
  <c r="O1009" i="4" s="1"/>
  <c r="L1009" i="4"/>
  <c r="N1009" i="4" s="1"/>
  <c r="K1009" i="4"/>
  <c r="J1009" i="4"/>
  <c r="M1008" i="4"/>
  <c r="O1008" i="4" s="1"/>
  <c r="L1008" i="4"/>
  <c r="N1008" i="4" s="1"/>
  <c r="K1008" i="4"/>
  <c r="J1008" i="4"/>
  <c r="M1007" i="4"/>
  <c r="O1007" i="4" s="1"/>
  <c r="L1007" i="4"/>
  <c r="N1007" i="4" s="1"/>
  <c r="K1007" i="4"/>
  <c r="J1007" i="4"/>
  <c r="M1006" i="4"/>
  <c r="O1006" i="4" s="1"/>
  <c r="L1006" i="4"/>
  <c r="N1006" i="4" s="1"/>
  <c r="K1006" i="4"/>
  <c r="J1006" i="4"/>
  <c r="M1005" i="4"/>
  <c r="O1005" i="4" s="1"/>
  <c r="L1005" i="4"/>
  <c r="N1005" i="4" s="1"/>
  <c r="K1005" i="4"/>
  <c r="J1005" i="4"/>
  <c r="M1004" i="4"/>
  <c r="O1004" i="4" s="1"/>
  <c r="L1004" i="4"/>
  <c r="N1004" i="4" s="1"/>
  <c r="K1004" i="4"/>
  <c r="J1004" i="4"/>
  <c r="M1003" i="4"/>
  <c r="O1003" i="4" s="1"/>
  <c r="L1003" i="4"/>
  <c r="N1003" i="4" s="1"/>
  <c r="K1003" i="4"/>
  <c r="J1003" i="4"/>
  <c r="M1002" i="4"/>
  <c r="O1002" i="4" s="1"/>
  <c r="L1002" i="4"/>
  <c r="N1002" i="4" s="1"/>
  <c r="K1002" i="4"/>
  <c r="J1002" i="4"/>
  <c r="M1001" i="4"/>
  <c r="O1001" i="4" s="1"/>
  <c r="L1001" i="4"/>
  <c r="N1001" i="4" s="1"/>
  <c r="K1001" i="4"/>
  <c r="J1001" i="4"/>
  <c r="F1001" i="4"/>
  <c r="E1001" i="4"/>
  <c r="D1001" i="4"/>
  <c r="M1000" i="4"/>
  <c r="O1000" i="4" s="1"/>
  <c r="L1000" i="4"/>
  <c r="N1000" i="4" s="1"/>
  <c r="K1000" i="4"/>
  <c r="J1000" i="4"/>
  <c r="M999" i="4"/>
  <c r="O999" i="4" s="1"/>
  <c r="L999" i="4"/>
  <c r="N999" i="4" s="1"/>
  <c r="K999" i="4"/>
  <c r="J999" i="4"/>
  <c r="M998" i="4"/>
  <c r="O998" i="4" s="1"/>
  <c r="L998" i="4"/>
  <c r="N998" i="4" s="1"/>
  <c r="K998" i="4"/>
  <c r="J998" i="4"/>
  <c r="M997" i="4"/>
  <c r="O997" i="4" s="1"/>
  <c r="L997" i="4"/>
  <c r="N997" i="4" s="1"/>
  <c r="K997" i="4"/>
  <c r="J997" i="4"/>
  <c r="M996" i="4"/>
  <c r="O996" i="4" s="1"/>
  <c r="L996" i="4"/>
  <c r="N996" i="4" s="1"/>
  <c r="K996" i="4"/>
  <c r="J996" i="4"/>
  <c r="M995" i="4"/>
  <c r="O995" i="4" s="1"/>
  <c r="L995" i="4"/>
  <c r="N995" i="4" s="1"/>
  <c r="K995" i="4"/>
  <c r="J995" i="4"/>
  <c r="M994" i="4"/>
  <c r="O994" i="4" s="1"/>
  <c r="L994" i="4"/>
  <c r="N994" i="4" s="1"/>
  <c r="K994" i="4"/>
  <c r="J994" i="4"/>
  <c r="M993" i="4"/>
  <c r="O993" i="4" s="1"/>
  <c r="L993" i="4"/>
  <c r="N993" i="4" s="1"/>
  <c r="K993" i="4"/>
  <c r="J993" i="4"/>
  <c r="M992" i="4"/>
  <c r="O992" i="4" s="1"/>
  <c r="L992" i="4"/>
  <c r="N992" i="4" s="1"/>
  <c r="K992" i="4"/>
  <c r="J992" i="4"/>
  <c r="M991" i="4"/>
  <c r="O991" i="4" s="1"/>
  <c r="L991" i="4"/>
  <c r="N991" i="4" s="1"/>
  <c r="K991" i="4"/>
  <c r="J991" i="4"/>
  <c r="M990" i="4"/>
  <c r="O990" i="4" s="1"/>
  <c r="L990" i="4"/>
  <c r="N990" i="4" s="1"/>
  <c r="K990" i="4"/>
  <c r="J990" i="4"/>
  <c r="M989" i="4"/>
  <c r="O989" i="4" s="1"/>
  <c r="L989" i="4"/>
  <c r="N989" i="4" s="1"/>
  <c r="K989" i="4"/>
  <c r="J989" i="4"/>
  <c r="M988" i="4"/>
  <c r="O988" i="4" s="1"/>
  <c r="L988" i="4"/>
  <c r="N988" i="4" s="1"/>
  <c r="K988" i="4"/>
  <c r="J988" i="4"/>
  <c r="M987" i="4"/>
  <c r="O987" i="4" s="1"/>
  <c r="L987" i="4"/>
  <c r="N987" i="4" s="1"/>
  <c r="K987" i="4"/>
  <c r="J987" i="4"/>
  <c r="M986" i="4"/>
  <c r="O986" i="4" s="1"/>
  <c r="L986" i="4"/>
  <c r="N986" i="4" s="1"/>
  <c r="K986" i="4"/>
  <c r="J986" i="4"/>
  <c r="M985" i="4"/>
  <c r="O985" i="4" s="1"/>
  <c r="L985" i="4"/>
  <c r="N985" i="4" s="1"/>
  <c r="K985" i="4"/>
  <c r="J985" i="4"/>
  <c r="M984" i="4"/>
  <c r="O984" i="4" s="1"/>
  <c r="L984" i="4"/>
  <c r="N984" i="4" s="1"/>
  <c r="K984" i="4"/>
  <c r="J984" i="4"/>
  <c r="M983" i="4"/>
  <c r="O983" i="4" s="1"/>
  <c r="L983" i="4"/>
  <c r="N983" i="4" s="1"/>
  <c r="K983" i="4"/>
  <c r="J983" i="4"/>
  <c r="M982" i="4"/>
  <c r="O982" i="4" s="1"/>
  <c r="L982" i="4"/>
  <c r="N982" i="4" s="1"/>
  <c r="K982" i="4"/>
  <c r="J982" i="4"/>
  <c r="M981" i="4"/>
  <c r="O981" i="4" s="1"/>
  <c r="L981" i="4"/>
  <c r="N981" i="4" s="1"/>
  <c r="K981" i="4"/>
  <c r="J981" i="4"/>
  <c r="M980" i="4"/>
  <c r="O980" i="4" s="1"/>
  <c r="L980" i="4"/>
  <c r="N980" i="4" s="1"/>
  <c r="K980" i="4"/>
  <c r="J980" i="4"/>
  <c r="M979" i="4"/>
  <c r="O979" i="4" s="1"/>
  <c r="L979" i="4"/>
  <c r="N979" i="4" s="1"/>
  <c r="K979" i="4"/>
  <c r="J979" i="4"/>
  <c r="M978" i="4"/>
  <c r="O978" i="4" s="1"/>
  <c r="L978" i="4"/>
  <c r="N978" i="4" s="1"/>
  <c r="K978" i="4"/>
  <c r="J978" i="4"/>
  <c r="N977" i="4"/>
  <c r="M977" i="4"/>
  <c r="O977" i="4" s="1"/>
  <c r="L977" i="4"/>
  <c r="K977" i="4"/>
  <c r="J977" i="4"/>
  <c r="M976" i="4"/>
  <c r="O976" i="4" s="1"/>
  <c r="L976" i="4"/>
  <c r="N976" i="4" s="1"/>
  <c r="K976" i="4"/>
  <c r="J976" i="4"/>
  <c r="M975" i="4"/>
  <c r="O975" i="4" s="1"/>
  <c r="L975" i="4"/>
  <c r="N975" i="4" s="1"/>
  <c r="K975" i="4"/>
  <c r="J975" i="4"/>
  <c r="M974" i="4"/>
  <c r="O974" i="4" s="1"/>
  <c r="L974" i="4"/>
  <c r="N974" i="4" s="1"/>
  <c r="K974" i="4"/>
  <c r="J974" i="4"/>
  <c r="M973" i="4"/>
  <c r="O973" i="4" s="1"/>
  <c r="L973" i="4"/>
  <c r="N973" i="4" s="1"/>
  <c r="K973" i="4"/>
  <c r="J973" i="4"/>
  <c r="M972" i="4"/>
  <c r="O972" i="4" s="1"/>
  <c r="L972" i="4"/>
  <c r="N972" i="4" s="1"/>
  <c r="K972" i="4"/>
  <c r="J972" i="4"/>
  <c r="P971" i="4"/>
  <c r="D971" i="4" s="1"/>
  <c r="M971" i="4"/>
  <c r="O971" i="4" s="1"/>
  <c r="L971" i="4"/>
  <c r="N971" i="4" s="1"/>
  <c r="K971" i="4"/>
  <c r="J971" i="4"/>
  <c r="F971" i="4"/>
  <c r="E971" i="4"/>
  <c r="M970" i="4"/>
  <c r="O970" i="4" s="1"/>
  <c r="L970" i="4"/>
  <c r="N970" i="4" s="1"/>
  <c r="K970" i="4"/>
  <c r="J970" i="4"/>
  <c r="M969" i="4"/>
  <c r="O969" i="4" s="1"/>
  <c r="L969" i="4"/>
  <c r="N969" i="4" s="1"/>
  <c r="K969" i="4"/>
  <c r="J969" i="4"/>
  <c r="M968" i="4"/>
  <c r="O968" i="4" s="1"/>
  <c r="L968" i="4"/>
  <c r="N968" i="4" s="1"/>
  <c r="K968" i="4"/>
  <c r="J968" i="4"/>
  <c r="F968" i="4"/>
  <c r="E968" i="4"/>
  <c r="D968" i="4"/>
  <c r="M967" i="4"/>
  <c r="O967" i="4" s="1"/>
  <c r="L967" i="4"/>
  <c r="N967" i="4" s="1"/>
  <c r="K967" i="4"/>
  <c r="J967" i="4"/>
  <c r="F967" i="4"/>
  <c r="E967" i="4"/>
  <c r="D967" i="4"/>
  <c r="M966" i="4"/>
  <c r="O966" i="4" s="1"/>
  <c r="L966" i="4"/>
  <c r="N966" i="4" s="1"/>
  <c r="K966" i="4"/>
  <c r="J966" i="4"/>
  <c r="F966" i="4"/>
  <c r="E966" i="4"/>
  <c r="D966" i="4"/>
  <c r="M965" i="4"/>
  <c r="O965" i="4" s="1"/>
  <c r="L965" i="4"/>
  <c r="N965" i="4" s="1"/>
  <c r="K965" i="4"/>
  <c r="J965" i="4"/>
  <c r="M964" i="4"/>
  <c r="O964" i="4" s="1"/>
  <c r="L964" i="4"/>
  <c r="N964" i="4" s="1"/>
  <c r="K964" i="4"/>
  <c r="J964" i="4"/>
  <c r="F964" i="4"/>
  <c r="E964" i="4"/>
  <c r="D964" i="4"/>
  <c r="M963" i="4"/>
  <c r="O963" i="4" s="1"/>
  <c r="L963" i="4"/>
  <c r="N963" i="4" s="1"/>
  <c r="K963" i="4"/>
  <c r="J963" i="4"/>
  <c r="F963" i="4"/>
  <c r="E963" i="4"/>
  <c r="D963" i="4"/>
  <c r="M962" i="4"/>
  <c r="O962" i="4" s="1"/>
  <c r="L962" i="4"/>
  <c r="N962" i="4" s="1"/>
  <c r="K962" i="4"/>
  <c r="J962" i="4"/>
  <c r="M961" i="4"/>
  <c r="O961" i="4" s="1"/>
  <c r="L961" i="4"/>
  <c r="N961" i="4" s="1"/>
  <c r="K961" i="4"/>
  <c r="J961" i="4"/>
  <c r="F961" i="4"/>
  <c r="E961" i="4"/>
  <c r="D961" i="4"/>
  <c r="M960" i="4"/>
  <c r="O960" i="4" s="1"/>
  <c r="L960" i="4"/>
  <c r="N960" i="4" s="1"/>
  <c r="K960" i="4"/>
  <c r="J960" i="4"/>
  <c r="M959" i="4"/>
  <c r="O959" i="4" s="1"/>
  <c r="L959" i="4"/>
  <c r="N959" i="4" s="1"/>
  <c r="K959" i="4"/>
  <c r="J959" i="4"/>
  <c r="M958" i="4"/>
  <c r="O958" i="4" s="1"/>
  <c r="L958" i="4"/>
  <c r="N958" i="4" s="1"/>
  <c r="K958" i="4"/>
  <c r="J958" i="4"/>
  <c r="M957" i="4"/>
  <c r="O957" i="4" s="1"/>
  <c r="L957" i="4"/>
  <c r="N957" i="4" s="1"/>
  <c r="K957" i="4"/>
  <c r="J957" i="4"/>
  <c r="O956" i="4"/>
  <c r="M956" i="4"/>
  <c r="L956" i="4"/>
  <c r="N956" i="4" s="1"/>
  <c r="K956" i="4"/>
  <c r="J956" i="4"/>
  <c r="M955" i="4"/>
  <c r="O955" i="4" s="1"/>
  <c r="L955" i="4"/>
  <c r="N955" i="4" s="1"/>
  <c r="K955" i="4"/>
  <c r="J955" i="4"/>
  <c r="M954" i="4"/>
  <c r="O954" i="4" s="1"/>
  <c r="L954" i="4"/>
  <c r="N954" i="4" s="1"/>
  <c r="K954" i="4"/>
  <c r="J954" i="4"/>
  <c r="M953" i="4"/>
  <c r="O953" i="4" s="1"/>
  <c r="L953" i="4"/>
  <c r="N953" i="4" s="1"/>
  <c r="K953" i="4"/>
  <c r="M951" i="4"/>
  <c r="O951" i="4" s="1"/>
  <c r="L951" i="4"/>
  <c r="N951" i="4" s="1"/>
  <c r="K951" i="4"/>
  <c r="J951" i="4"/>
  <c r="M950" i="4"/>
  <c r="O950" i="4" s="1"/>
  <c r="L950" i="4"/>
  <c r="N950" i="4" s="1"/>
  <c r="K950" i="4"/>
  <c r="J950" i="4"/>
  <c r="M949" i="4"/>
  <c r="O949" i="4" s="1"/>
  <c r="L949" i="4"/>
  <c r="N949" i="4" s="1"/>
  <c r="K949" i="4"/>
  <c r="J949" i="4"/>
  <c r="M948" i="4"/>
  <c r="O948" i="4" s="1"/>
  <c r="L948" i="4"/>
  <c r="N948" i="4" s="1"/>
  <c r="K948" i="4"/>
  <c r="J948" i="4"/>
  <c r="M947" i="4"/>
  <c r="O947" i="4" s="1"/>
  <c r="L947" i="4"/>
  <c r="N947" i="4" s="1"/>
  <c r="K947" i="4"/>
  <c r="J947" i="4"/>
  <c r="S946" i="4"/>
  <c r="M946" i="4"/>
  <c r="O946" i="4" s="1"/>
  <c r="L946" i="4"/>
  <c r="N946" i="4" s="1"/>
  <c r="K946" i="4"/>
  <c r="J946" i="4"/>
  <c r="S945" i="4"/>
  <c r="M945" i="4"/>
  <c r="O945" i="4" s="1"/>
  <c r="L945" i="4"/>
  <c r="N945" i="4" s="1"/>
  <c r="K945" i="4"/>
  <c r="J945" i="4"/>
  <c r="S944" i="4"/>
  <c r="M944" i="4"/>
  <c r="O944" i="4" s="1"/>
  <c r="L944" i="4"/>
  <c r="N944" i="4" s="1"/>
  <c r="K944" i="4"/>
  <c r="J944" i="4"/>
  <c r="S943" i="4"/>
  <c r="M943" i="4"/>
  <c r="O943" i="4" s="1"/>
  <c r="L943" i="4"/>
  <c r="N943" i="4" s="1"/>
  <c r="K943" i="4"/>
  <c r="J943" i="4"/>
  <c r="S942" i="4"/>
  <c r="M942" i="4"/>
  <c r="O942" i="4" s="1"/>
  <c r="L942" i="4"/>
  <c r="N942" i="4" s="1"/>
  <c r="K942" i="4"/>
  <c r="J942" i="4"/>
  <c r="S941" i="4"/>
  <c r="M941" i="4"/>
  <c r="O941" i="4" s="1"/>
  <c r="L941" i="4"/>
  <c r="N941" i="4" s="1"/>
  <c r="K941" i="4"/>
  <c r="J941" i="4"/>
  <c r="S940" i="4"/>
  <c r="M940" i="4"/>
  <c r="O940" i="4" s="1"/>
  <c r="L940" i="4"/>
  <c r="N940" i="4" s="1"/>
  <c r="K940" i="4"/>
  <c r="J940" i="4"/>
  <c r="S939" i="4"/>
  <c r="M939" i="4"/>
  <c r="O939" i="4" s="1"/>
  <c r="L939" i="4"/>
  <c r="N939" i="4" s="1"/>
  <c r="K939" i="4"/>
  <c r="J939" i="4"/>
  <c r="S938" i="4"/>
  <c r="M938" i="4"/>
  <c r="O938" i="4" s="1"/>
  <c r="L938" i="4"/>
  <c r="N938" i="4" s="1"/>
  <c r="K938" i="4"/>
  <c r="J938" i="4"/>
  <c r="S937" i="4"/>
  <c r="M937" i="4"/>
  <c r="O937" i="4" s="1"/>
  <c r="L937" i="4"/>
  <c r="N937" i="4" s="1"/>
  <c r="K937" i="4"/>
  <c r="J937" i="4"/>
  <c r="S936" i="4"/>
  <c r="M936" i="4"/>
  <c r="O936" i="4" s="1"/>
  <c r="L936" i="4"/>
  <c r="N936" i="4" s="1"/>
  <c r="K936" i="4"/>
  <c r="J936" i="4"/>
  <c r="S935" i="4"/>
  <c r="M935" i="4"/>
  <c r="O935" i="4" s="1"/>
  <c r="L935" i="4"/>
  <c r="N935" i="4" s="1"/>
  <c r="K935" i="4"/>
  <c r="J935" i="4"/>
  <c r="S934" i="4"/>
  <c r="M934" i="4"/>
  <c r="O934" i="4" s="1"/>
  <c r="L934" i="4"/>
  <c r="N934" i="4" s="1"/>
  <c r="K934" i="4"/>
  <c r="J934" i="4"/>
  <c r="S933" i="4"/>
  <c r="M933" i="4"/>
  <c r="O933" i="4" s="1"/>
  <c r="L933" i="4"/>
  <c r="N933" i="4" s="1"/>
  <c r="K933" i="4"/>
  <c r="J933" i="4"/>
  <c r="S932" i="4"/>
  <c r="M932" i="4"/>
  <c r="O932" i="4" s="1"/>
  <c r="L932" i="4"/>
  <c r="N932" i="4" s="1"/>
  <c r="K932" i="4"/>
  <c r="J932" i="4"/>
  <c r="S931" i="4"/>
  <c r="M931" i="4"/>
  <c r="O931" i="4" s="1"/>
  <c r="L931" i="4"/>
  <c r="N931" i="4" s="1"/>
  <c r="K931" i="4"/>
  <c r="J931" i="4"/>
  <c r="S930" i="4"/>
  <c r="M930" i="4"/>
  <c r="O930" i="4" s="1"/>
  <c r="L930" i="4"/>
  <c r="N930" i="4" s="1"/>
  <c r="K930" i="4"/>
  <c r="J930" i="4"/>
  <c r="S929" i="4"/>
  <c r="M929" i="4"/>
  <c r="O929" i="4" s="1"/>
  <c r="L929" i="4"/>
  <c r="N929" i="4" s="1"/>
  <c r="K929" i="4"/>
  <c r="J929" i="4"/>
  <c r="S928" i="4"/>
  <c r="M928" i="4"/>
  <c r="O928" i="4" s="1"/>
  <c r="L928" i="4"/>
  <c r="N928" i="4" s="1"/>
  <c r="K928" i="4"/>
  <c r="J928" i="4"/>
  <c r="S927" i="4"/>
  <c r="M927" i="4"/>
  <c r="O927" i="4" s="1"/>
  <c r="L927" i="4"/>
  <c r="N927" i="4" s="1"/>
  <c r="K927" i="4"/>
  <c r="J927" i="4"/>
  <c r="S926" i="4"/>
  <c r="M926" i="4"/>
  <c r="O926" i="4" s="1"/>
  <c r="L926" i="4"/>
  <c r="N926" i="4" s="1"/>
  <c r="K926" i="4"/>
  <c r="J926" i="4"/>
  <c r="S925" i="4"/>
  <c r="M925" i="4"/>
  <c r="O925" i="4" s="1"/>
  <c r="L925" i="4"/>
  <c r="N925" i="4" s="1"/>
  <c r="K925" i="4"/>
  <c r="J925" i="4"/>
  <c r="S924" i="4"/>
  <c r="M924" i="4"/>
  <c r="O924" i="4" s="1"/>
  <c r="L924" i="4"/>
  <c r="N924" i="4" s="1"/>
  <c r="K924" i="4"/>
  <c r="J924" i="4"/>
  <c r="S923" i="4"/>
  <c r="M923" i="4"/>
  <c r="O923" i="4" s="1"/>
  <c r="L923" i="4"/>
  <c r="N923" i="4" s="1"/>
  <c r="K923" i="4"/>
  <c r="J923" i="4"/>
  <c r="S922" i="4"/>
  <c r="M922" i="4"/>
  <c r="O922" i="4" s="1"/>
  <c r="L922" i="4"/>
  <c r="N922" i="4" s="1"/>
  <c r="K922" i="4"/>
  <c r="J922" i="4"/>
  <c r="S921" i="4"/>
  <c r="M921" i="4"/>
  <c r="O921" i="4" s="1"/>
  <c r="L921" i="4"/>
  <c r="N921" i="4" s="1"/>
  <c r="K921" i="4"/>
  <c r="J921" i="4"/>
  <c r="S920" i="4"/>
  <c r="M920" i="4"/>
  <c r="O920" i="4" s="1"/>
  <c r="L920" i="4"/>
  <c r="N920" i="4" s="1"/>
  <c r="K920" i="4"/>
  <c r="J920" i="4"/>
  <c r="S919" i="4"/>
  <c r="M919" i="4"/>
  <c r="O919" i="4" s="1"/>
  <c r="L919" i="4"/>
  <c r="N919" i="4" s="1"/>
  <c r="K919" i="4"/>
  <c r="J919" i="4"/>
  <c r="S918" i="4"/>
  <c r="M918" i="4"/>
  <c r="O918" i="4" s="1"/>
  <c r="L918" i="4"/>
  <c r="N918" i="4" s="1"/>
  <c r="K918" i="4"/>
  <c r="J918" i="4"/>
  <c r="S917" i="4"/>
  <c r="M917" i="4"/>
  <c r="O917" i="4" s="1"/>
  <c r="L917" i="4"/>
  <c r="N917" i="4" s="1"/>
  <c r="K917" i="4"/>
  <c r="J917" i="4"/>
  <c r="S916" i="4"/>
  <c r="M916" i="4"/>
  <c r="O916" i="4" s="1"/>
  <c r="L916" i="4"/>
  <c r="N916" i="4" s="1"/>
  <c r="K916" i="4"/>
  <c r="J916" i="4"/>
  <c r="S915" i="4"/>
  <c r="M915" i="4"/>
  <c r="O915" i="4" s="1"/>
  <c r="L915" i="4"/>
  <c r="N915" i="4" s="1"/>
  <c r="K915" i="4"/>
  <c r="J915" i="4"/>
  <c r="S914" i="4"/>
  <c r="M914" i="4"/>
  <c r="O914" i="4" s="1"/>
  <c r="L914" i="4"/>
  <c r="N914" i="4" s="1"/>
  <c r="K914" i="4"/>
  <c r="J914" i="4"/>
  <c r="S913" i="4"/>
  <c r="M913" i="4"/>
  <c r="O913" i="4" s="1"/>
  <c r="L913" i="4"/>
  <c r="N913" i="4" s="1"/>
  <c r="K913" i="4"/>
  <c r="J913" i="4"/>
  <c r="S912" i="4"/>
  <c r="M912" i="4"/>
  <c r="O912" i="4" s="1"/>
  <c r="L912" i="4"/>
  <c r="N912" i="4" s="1"/>
  <c r="K912" i="4"/>
  <c r="J912" i="4"/>
  <c r="S911" i="4"/>
  <c r="M911" i="4"/>
  <c r="O911" i="4" s="1"/>
  <c r="L911" i="4"/>
  <c r="N911" i="4" s="1"/>
  <c r="K911" i="4"/>
  <c r="J911" i="4"/>
  <c r="S910" i="4"/>
  <c r="M910" i="4"/>
  <c r="O910" i="4" s="1"/>
  <c r="L910" i="4"/>
  <c r="N910" i="4" s="1"/>
  <c r="K910" i="4"/>
  <c r="J910" i="4"/>
  <c r="S909" i="4"/>
  <c r="M909" i="4"/>
  <c r="O909" i="4" s="1"/>
  <c r="L909" i="4"/>
  <c r="N909" i="4" s="1"/>
  <c r="K909" i="4"/>
  <c r="J909" i="4"/>
  <c r="S908" i="4"/>
  <c r="M908" i="4"/>
  <c r="O908" i="4" s="1"/>
  <c r="L908" i="4"/>
  <c r="N908" i="4" s="1"/>
  <c r="K908" i="4"/>
  <c r="J908" i="4"/>
  <c r="S907" i="4"/>
  <c r="M907" i="4"/>
  <c r="O907" i="4" s="1"/>
  <c r="L907" i="4"/>
  <c r="N907" i="4" s="1"/>
  <c r="K907" i="4"/>
  <c r="J907" i="4"/>
  <c r="S906" i="4"/>
  <c r="M906" i="4"/>
  <c r="O906" i="4" s="1"/>
  <c r="L906" i="4"/>
  <c r="N906" i="4" s="1"/>
  <c r="K906" i="4"/>
  <c r="J906" i="4"/>
  <c r="S905" i="4"/>
  <c r="M905" i="4"/>
  <c r="O905" i="4" s="1"/>
  <c r="L905" i="4"/>
  <c r="N905" i="4" s="1"/>
  <c r="K905" i="4"/>
  <c r="J905" i="4"/>
  <c r="S904" i="4"/>
  <c r="M904" i="4"/>
  <c r="O904" i="4" s="1"/>
  <c r="L904" i="4"/>
  <c r="N904" i="4" s="1"/>
  <c r="K904" i="4"/>
  <c r="J904" i="4"/>
  <c r="S903" i="4"/>
  <c r="M903" i="4"/>
  <c r="O903" i="4" s="1"/>
  <c r="L903" i="4"/>
  <c r="N903" i="4" s="1"/>
  <c r="K903" i="4"/>
  <c r="J903" i="4"/>
  <c r="S902" i="4"/>
  <c r="M902" i="4"/>
  <c r="O902" i="4" s="1"/>
  <c r="L902" i="4"/>
  <c r="N902" i="4" s="1"/>
  <c r="K902" i="4"/>
  <c r="J902" i="4"/>
  <c r="S901" i="4"/>
  <c r="M901" i="4"/>
  <c r="O901" i="4" s="1"/>
  <c r="L901" i="4"/>
  <c r="N901" i="4" s="1"/>
  <c r="K901" i="4"/>
  <c r="J901" i="4"/>
  <c r="S900" i="4"/>
  <c r="M900" i="4"/>
  <c r="O900" i="4" s="1"/>
  <c r="L900" i="4"/>
  <c r="N900" i="4" s="1"/>
  <c r="K900" i="4"/>
  <c r="J900" i="4"/>
  <c r="S899" i="4"/>
  <c r="M899" i="4"/>
  <c r="O899" i="4" s="1"/>
  <c r="L899" i="4"/>
  <c r="N899" i="4" s="1"/>
  <c r="K899" i="4"/>
  <c r="J899" i="4"/>
  <c r="S898" i="4"/>
  <c r="M898" i="4"/>
  <c r="O898" i="4" s="1"/>
  <c r="L898" i="4"/>
  <c r="N898" i="4" s="1"/>
  <c r="K898" i="4"/>
  <c r="J898" i="4"/>
  <c r="S897" i="4"/>
  <c r="M897" i="4"/>
  <c r="O897" i="4" s="1"/>
  <c r="L897" i="4"/>
  <c r="N897" i="4" s="1"/>
  <c r="K897" i="4"/>
  <c r="J897" i="4"/>
  <c r="M896" i="4"/>
  <c r="O896" i="4" s="1"/>
  <c r="L896" i="4"/>
  <c r="N896" i="4" s="1"/>
  <c r="K896" i="4"/>
  <c r="S895" i="4"/>
  <c r="M895" i="4"/>
  <c r="O895" i="4" s="1"/>
  <c r="L895" i="4"/>
  <c r="N895" i="4" s="1"/>
  <c r="K895" i="4"/>
  <c r="J895" i="4"/>
  <c r="S894" i="4"/>
  <c r="M894" i="4"/>
  <c r="O894" i="4" s="1"/>
  <c r="L894" i="4"/>
  <c r="N894" i="4" s="1"/>
  <c r="K894" i="4"/>
  <c r="J894" i="4"/>
  <c r="S893" i="4"/>
  <c r="M893" i="4"/>
  <c r="O893" i="4" s="1"/>
  <c r="L893" i="4"/>
  <c r="N893" i="4" s="1"/>
  <c r="K893" i="4"/>
  <c r="J893" i="4"/>
  <c r="S892" i="4"/>
  <c r="M892" i="4"/>
  <c r="O892" i="4" s="1"/>
  <c r="L892" i="4"/>
  <c r="N892" i="4" s="1"/>
  <c r="K892" i="4"/>
  <c r="J892" i="4"/>
  <c r="S891" i="4"/>
  <c r="M891" i="4"/>
  <c r="O891" i="4" s="1"/>
  <c r="L891" i="4"/>
  <c r="N891" i="4" s="1"/>
  <c r="K891" i="4"/>
  <c r="J891" i="4"/>
  <c r="S890" i="4"/>
  <c r="M890" i="4"/>
  <c r="O890" i="4" s="1"/>
  <c r="L890" i="4"/>
  <c r="N890" i="4" s="1"/>
  <c r="K890" i="4"/>
  <c r="J890" i="4"/>
  <c r="S889" i="4"/>
  <c r="M889" i="4"/>
  <c r="O889" i="4" s="1"/>
  <c r="L889" i="4"/>
  <c r="N889" i="4" s="1"/>
  <c r="K889" i="4"/>
  <c r="J889" i="4"/>
  <c r="S888" i="4"/>
  <c r="M888" i="4"/>
  <c r="O888" i="4" s="1"/>
  <c r="L888" i="4"/>
  <c r="N888" i="4" s="1"/>
  <c r="K888" i="4"/>
  <c r="J888" i="4"/>
  <c r="P887" i="4"/>
  <c r="D887" i="4" s="1"/>
  <c r="M887" i="4"/>
  <c r="O887" i="4" s="1"/>
  <c r="L887" i="4"/>
  <c r="N887" i="4" s="1"/>
  <c r="K887" i="4"/>
  <c r="J887" i="4"/>
  <c r="F887" i="4"/>
  <c r="E887" i="4"/>
  <c r="S886" i="4"/>
  <c r="M886" i="4"/>
  <c r="O886" i="4" s="1"/>
  <c r="L886" i="4"/>
  <c r="N886" i="4" s="1"/>
  <c r="K886" i="4"/>
  <c r="J886" i="4"/>
  <c r="S885" i="4"/>
  <c r="M885" i="4"/>
  <c r="O885" i="4" s="1"/>
  <c r="L885" i="4"/>
  <c r="N885" i="4" s="1"/>
  <c r="K885" i="4"/>
  <c r="J885" i="4"/>
  <c r="S884" i="4"/>
  <c r="M884" i="4"/>
  <c r="O884" i="4" s="1"/>
  <c r="L884" i="4"/>
  <c r="N884" i="4" s="1"/>
  <c r="K884" i="4"/>
  <c r="J884" i="4"/>
  <c r="F884" i="4"/>
  <c r="E884" i="4"/>
  <c r="D884" i="4"/>
  <c r="S883" i="4"/>
  <c r="M883" i="4"/>
  <c r="O883" i="4" s="1"/>
  <c r="L883" i="4"/>
  <c r="N883" i="4" s="1"/>
  <c r="K883" i="4"/>
  <c r="J883" i="4"/>
  <c r="S882" i="4"/>
  <c r="M882" i="4"/>
  <c r="O882" i="4" s="1"/>
  <c r="L882" i="4"/>
  <c r="N882" i="4" s="1"/>
  <c r="K882" i="4"/>
  <c r="J882" i="4"/>
  <c r="F882" i="4"/>
  <c r="E882" i="4"/>
  <c r="D882" i="4"/>
  <c r="S881" i="4"/>
  <c r="M881" i="4"/>
  <c r="O881" i="4" s="1"/>
  <c r="L881" i="4"/>
  <c r="N881" i="4" s="1"/>
  <c r="K881" i="4"/>
  <c r="J881" i="4"/>
  <c r="F881" i="4"/>
  <c r="E881" i="4"/>
  <c r="D881" i="4"/>
  <c r="S880" i="4"/>
  <c r="M880" i="4"/>
  <c r="O880" i="4" s="1"/>
  <c r="L880" i="4"/>
  <c r="N880" i="4" s="1"/>
  <c r="K880" i="4"/>
  <c r="J880" i="4"/>
  <c r="F880" i="4"/>
  <c r="E880" i="4"/>
  <c r="D880" i="4"/>
  <c r="S879" i="4"/>
  <c r="M879" i="4"/>
  <c r="O879" i="4" s="1"/>
  <c r="L879" i="4"/>
  <c r="N879" i="4" s="1"/>
  <c r="K879" i="4"/>
  <c r="J879" i="4"/>
  <c r="S878" i="4"/>
  <c r="M878" i="4"/>
  <c r="O878" i="4" s="1"/>
  <c r="L878" i="4"/>
  <c r="N878" i="4" s="1"/>
  <c r="K878" i="4"/>
  <c r="J878" i="4"/>
  <c r="F878" i="4"/>
  <c r="E878" i="4"/>
  <c r="D878" i="4"/>
  <c r="S877" i="4"/>
  <c r="M877" i="4"/>
  <c r="O877" i="4" s="1"/>
  <c r="L877" i="4"/>
  <c r="N877" i="4" s="1"/>
  <c r="K877" i="4"/>
  <c r="J877" i="4"/>
  <c r="F877" i="4"/>
  <c r="E877" i="4"/>
  <c r="D877" i="4"/>
  <c r="S876" i="4"/>
  <c r="M876" i="4"/>
  <c r="O876" i="4" s="1"/>
  <c r="L876" i="4"/>
  <c r="N876" i="4" s="1"/>
  <c r="K876" i="4"/>
  <c r="J876" i="4"/>
  <c r="S875" i="4"/>
  <c r="M875" i="4"/>
  <c r="O875" i="4" s="1"/>
  <c r="L875" i="4"/>
  <c r="N875" i="4" s="1"/>
  <c r="K875" i="4"/>
  <c r="J875" i="4"/>
  <c r="S874" i="4"/>
  <c r="M874" i="4"/>
  <c r="O874" i="4" s="1"/>
  <c r="L874" i="4"/>
  <c r="N874" i="4" s="1"/>
  <c r="K874" i="4"/>
  <c r="J874" i="4"/>
  <c r="S873" i="4"/>
  <c r="M873" i="4"/>
  <c r="O873" i="4" s="1"/>
  <c r="L873" i="4"/>
  <c r="N873" i="4" s="1"/>
  <c r="K873" i="4"/>
  <c r="J873" i="4"/>
  <c r="S872" i="4"/>
  <c r="M872" i="4"/>
  <c r="O872" i="4" s="1"/>
  <c r="L872" i="4"/>
  <c r="N872" i="4" s="1"/>
  <c r="K872" i="4"/>
  <c r="J872" i="4"/>
  <c r="S871" i="4"/>
  <c r="M871" i="4"/>
  <c r="O871" i="4" s="1"/>
  <c r="L871" i="4"/>
  <c r="N871" i="4" s="1"/>
  <c r="K871" i="4"/>
  <c r="J871" i="4"/>
  <c r="M870" i="4"/>
  <c r="O870" i="4" s="1"/>
  <c r="L870" i="4"/>
  <c r="N870" i="4" s="1"/>
  <c r="K870" i="4"/>
  <c r="J870" i="4"/>
  <c r="S869" i="4"/>
  <c r="M869" i="4"/>
  <c r="O869" i="4" s="1"/>
  <c r="L869" i="4"/>
  <c r="N869" i="4" s="1"/>
  <c r="K869" i="4"/>
  <c r="J869" i="4"/>
  <c r="S868" i="4"/>
  <c r="M868" i="4"/>
  <c r="O868" i="4" s="1"/>
  <c r="L868" i="4"/>
  <c r="N868" i="4" s="1"/>
  <c r="K868" i="4"/>
  <c r="J868" i="4"/>
  <c r="S867" i="4"/>
  <c r="M867" i="4"/>
  <c r="O867" i="4" s="1"/>
  <c r="L867" i="4"/>
  <c r="N867" i="4" s="1"/>
  <c r="K867" i="4"/>
  <c r="J867" i="4"/>
  <c r="S866" i="4"/>
  <c r="M866" i="4"/>
  <c r="O866" i="4" s="1"/>
  <c r="L866" i="4"/>
  <c r="N866" i="4" s="1"/>
  <c r="K866" i="4"/>
  <c r="J866" i="4"/>
  <c r="S865" i="4"/>
  <c r="M865" i="4"/>
  <c r="O865" i="4" s="1"/>
  <c r="L865" i="4"/>
  <c r="N865" i="4" s="1"/>
  <c r="K865" i="4"/>
  <c r="J865" i="4"/>
  <c r="S864" i="4"/>
  <c r="M864" i="4"/>
  <c r="O864" i="4" s="1"/>
  <c r="L864" i="4"/>
  <c r="N864" i="4" s="1"/>
  <c r="K864" i="4"/>
  <c r="J864" i="4"/>
  <c r="F864" i="4"/>
  <c r="E864" i="4"/>
  <c r="D864" i="4"/>
  <c r="S863" i="4"/>
  <c r="M863" i="4"/>
  <c r="O863" i="4" s="1"/>
  <c r="L863" i="4"/>
  <c r="N863" i="4" s="1"/>
  <c r="K863" i="4"/>
  <c r="J863" i="4"/>
  <c r="S862" i="4"/>
  <c r="M862" i="4"/>
  <c r="O862" i="4" s="1"/>
  <c r="L862" i="4"/>
  <c r="N862" i="4" s="1"/>
  <c r="K862" i="4"/>
  <c r="J862" i="4"/>
  <c r="S861" i="4"/>
  <c r="M861" i="4"/>
  <c r="O861" i="4" s="1"/>
  <c r="L861" i="4"/>
  <c r="N861" i="4" s="1"/>
  <c r="K861" i="4"/>
  <c r="J861" i="4"/>
  <c r="S860" i="4"/>
  <c r="M860" i="4"/>
  <c r="O860" i="4" s="1"/>
  <c r="L860" i="4"/>
  <c r="N860" i="4" s="1"/>
  <c r="K860" i="4"/>
  <c r="J860" i="4"/>
  <c r="S859" i="4"/>
  <c r="M859" i="4"/>
  <c r="O859" i="4" s="1"/>
  <c r="L859" i="4"/>
  <c r="N859" i="4" s="1"/>
  <c r="K859" i="4"/>
  <c r="J859" i="4"/>
  <c r="S858" i="4"/>
  <c r="M858" i="4"/>
  <c r="O858" i="4" s="1"/>
  <c r="L858" i="4"/>
  <c r="N858" i="4" s="1"/>
  <c r="K858" i="4"/>
  <c r="J858" i="4"/>
  <c r="S857" i="4"/>
  <c r="M857" i="4"/>
  <c r="O857" i="4" s="1"/>
  <c r="L857" i="4"/>
  <c r="N857" i="4" s="1"/>
  <c r="K857" i="4"/>
  <c r="J857" i="4"/>
  <c r="S856" i="4"/>
  <c r="M856" i="4"/>
  <c r="O856" i="4" s="1"/>
  <c r="L856" i="4"/>
  <c r="N856" i="4" s="1"/>
  <c r="K856" i="4"/>
  <c r="J856" i="4"/>
  <c r="S855" i="4"/>
  <c r="M855" i="4"/>
  <c r="O855" i="4" s="1"/>
  <c r="L855" i="4"/>
  <c r="N855" i="4" s="1"/>
  <c r="K855" i="4"/>
  <c r="J855" i="4"/>
  <c r="S854" i="4"/>
  <c r="M854" i="4"/>
  <c r="O854" i="4" s="1"/>
  <c r="L854" i="4"/>
  <c r="N854" i="4" s="1"/>
  <c r="K854" i="4"/>
  <c r="J854" i="4"/>
  <c r="S853" i="4"/>
  <c r="M853" i="4"/>
  <c r="O853" i="4" s="1"/>
  <c r="L853" i="4"/>
  <c r="N853" i="4" s="1"/>
  <c r="K853" i="4"/>
  <c r="J853" i="4"/>
  <c r="S852" i="4"/>
  <c r="M852" i="4"/>
  <c r="O852" i="4" s="1"/>
  <c r="L852" i="4"/>
  <c r="N852" i="4" s="1"/>
  <c r="K852" i="4"/>
  <c r="J852" i="4"/>
  <c r="S851" i="4"/>
  <c r="M851" i="4"/>
  <c r="O851" i="4" s="1"/>
  <c r="L851" i="4"/>
  <c r="N851" i="4" s="1"/>
  <c r="K851" i="4"/>
  <c r="J851" i="4"/>
  <c r="S850" i="4"/>
  <c r="M850" i="4"/>
  <c r="O850" i="4" s="1"/>
  <c r="L850" i="4"/>
  <c r="N850" i="4" s="1"/>
  <c r="K850" i="4"/>
  <c r="J850" i="4"/>
  <c r="S849" i="4"/>
  <c r="M849" i="4"/>
  <c r="O849" i="4" s="1"/>
  <c r="L849" i="4"/>
  <c r="N849" i="4" s="1"/>
  <c r="K849" i="4"/>
  <c r="J849" i="4"/>
  <c r="S848" i="4"/>
  <c r="M848" i="4"/>
  <c r="O848" i="4" s="1"/>
  <c r="L848" i="4"/>
  <c r="N848" i="4" s="1"/>
  <c r="K848" i="4"/>
  <c r="J848" i="4"/>
  <c r="S847" i="4"/>
  <c r="M847" i="4"/>
  <c r="O847" i="4" s="1"/>
  <c r="L847" i="4"/>
  <c r="N847" i="4" s="1"/>
  <c r="K847" i="4"/>
  <c r="J847" i="4"/>
  <c r="S846" i="4"/>
  <c r="M846" i="4"/>
  <c r="O846" i="4" s="1"/>
  <c r="L846" i="4"/>
  <c r="N846" i="4" s="1"/>
  <c r="K846" i="4"/>
  <c r="J846" i="4"/>
  <c r="S845" i="4"/>
  <c r="M845" i="4"/>
  <c r="O845" i="4" s="1"/>
  <c r="L845" i="4"/>
  <c r="N845" i="4" s="1"/>
  <c r="K845" i="4"/>
  <c r="J845" i="4"/>
  <c r="S844" i="4"/>
  <c r="M844" i="4"/>
  <c r="O844" i="4" s="1"/>
  <c r="L844" i="4"/>
  <c r="N844" i="4" s="1"/>
  <c r="K844" i="4"/>
  <c r="J844" i="4"/>
  <c r="S843" i="4"/>
  <c r="M843" i="4"/>
  <c r="O843" i="4" s="1"/>
  <c r="L843" i="4"/>
  <c r="N843" i="4" s="1"/>
  <c r="K843" i="4"/>
  <c r="J843" i="4"/>
  <c r="S842" i="4"/>
  <c r="M842" i="4"/>
  <c r="O842" i="4" s="1"/>
  <c r="L842" i="4"/>
  <c r="N842" i="4" s="1"/>
  <c r="K842" i="4"/>
  <c r="J842" i="4"/>
  <c r="S841" i="4"/>
  <c r="M841" i="4"/>
  <c r="O841" i="4" s="1"/>
  <c r="L841" i="4"/>
  <c r="N841" i="4" s="1"/>
  <c r="K841" i="4"/>
  <c r="J841" i="4"/>
  <c r="S840" i="4"/>
  <c r="M840" i="4"/>
  <c r="O840" i="4" s="1"/>
  <c r="L840" i="4"/>
  <c r="N840" i="4" s="1"/>
  <c r="K840" i="4"/>
  <c r="J840" i="4"/>
  <c r="S839" i="4"/>
  <c r="M839" i="4"/>
  <c r="O839" i="4" s="1"/>
  <c r="L839" i="4"/>
  <c r="N839" i="4" s="1"/>
  <c r="K839" i="4"/>
  <c r="J839" i="4"/>
  <c r="S838" i="4"/>
  <c r="M838" i="4"/>
  <c r="O838" i="4" s="1"/>
  <c r="L838" i="4"/>
  <c r="N838" i="4" s="1"/>
  <c r="K838" i="4"/>
  <c r="J838" i="4"/>
  <c r="S837" i="4"/>
  <c r="M837" i="4"/>
  <c r="O837" i="4" s="1"/>
  <c r="L837" i="4"/>
  <c r="N837" i="4" s="1"/>
  <c r="K837" i="4"/>
  <c r="J837" i="4"/>
  <c r="S836" i="4"/>
  <c r="M836" i="4"/>
  <c r="O836" i="4" s="1"/>
  <c r="L836" i="4"/>
  <c r="N836" i="4" s="1"/>
  <c r="K836" i="4"/>
  <c r="J836" i="4"/>
  <c r="S835" i="4"/>
  <c r="M835" i="4"/>
  <c r="O835" i="4" s="1"/>
  <c r="L835" i="4"/>
  <c r="N835" i="4" s="1"/>
  <c r="K835" i="4"/>
  <c r="J835" i="4"/>
  <c r="S834" i="4"/>
  <c r="M834" i="4"/>
  <c r="O834" i="4" s="1"/>
  <c r="L834" i="4"/>
  <c r="N834" i="4" s="1"/>
  <c r="K834" i="4"/>
  <c r="J834" i="4"/>
  <c r="S833" i="4"/>
  <c r="M833" i="4"/>
  <c r="O833" i="4" s="1"/>
  <c r="L833" i="4"/>
  <c r="N833" i="4" s="1"/>
  <c r="K833" i="4"/>
  <c r="J833" i="4"/>
  <c r="S832" i="4"/>
  <c r="M832" i="4"/>
  <c r="O832" i="4" s="1"/>
  <c r="L832" i="4"/>
  <c r="N832" i="4" s="1"/>
  <c r="K832" i="4"/>
  <c r="J832" i="4"/>
  <c r="S831" i="4"/>
  <c r="M831" i="4"/>
  <c r="O831" i="4" s="1"/>
  <c r="L831" i="4"/>
  <c r="N831" i="4" s="1"/>
  <c r="K831" i="4"/>
  <c r="J831" i="4"/>
  <c r="S830" i="4"/>
  <c r="M830" i="4"/>
  <c r="O830" i="4" s="1"/>
  <c r="L830" i="4"/>
  <c r="N830" i="4" s="1"/>
  <c r="K830" i="4"/>
  <c r="J830" i="4"/>
  <c r="S829" i="4"/>
  <c r="M829" i="4"/>
  <c r="O829" i="4" s="1"/>
  <c r="L829" i="4"/>
  <c r="N829" i="4" s="1"/>
  <c r="K829" i="4"/>
  <c r="J829" i="4"/>
  <c r="S828" i="4"/>
  <c r="M828" i="4"/>
  <c r="O828" i="4" s="1"/>
  <c r="L828" i="4"/>
  <c r="N828" i="4" s="1"/>
  <c r="K828" i="4"/>
  <c r="J828" i="4"/>
  <c r="S827" i="4"/>
  <c r="M827" i="4"/>
  <c r="O827" i="4" s="1"/>
  <c r="L827" i="4"/>
  <c r="N827" i="4" s="1"/>
  <c r="K827" i="4"/>
  <c r="J827" i="4"/>
  <c r="S826" i="4"/>
  <c r="M826" i="4"/>
  <c r="O826" i="4" s="1"/>
  <c r="L826" i="4"/>
  <c r="N826" i="4" s="1"/>
  <c r="K826" i="4"/>
  <c r="J826" i="4"/>
  <c r="S825" i="4"/>
  <c r="M825" i="4"/>
  <c r="O825" i="4" s="1"/>
  <c r="L825" i="4"/>
  <c r="N825" i="4" s="1"/>
  <c r="K825" i="4"/>
  <c r="J825" i="4"/>
  <c r="S824" i="4"/>
  <c r="M824" i="4"/>
  <c r="O824" i="4" s="1"/>
  <c r="L824" i="4"/>
  <c r="N824" i="4" s="1"/>
  <c r="K824" i="4"/>
  <c r="J824" i="4"/>
  <c r="S823" i="4"/>
  <c r="M823" i="4"/>
  <c r="O823" i="4" s="1"/>
  <c r="L823" i="4"/>
  <c r="N823" i="4" s="1"/>
  <c r="K823" i="4"/>
  <c r="J823" i="4"/>
  <c r="S822" i="4"/>
  <c r="M822" i="4"/>
  <c r="O822" i="4" s="1"/>
  <c r="L822" i="4"/>
  <c r="N822" i="4" s="1"/>
  <c r="K822" i="4"/>
  <c r="J822" i="4"/>
  <c r="S821" i="4"/>
  <c r="M821" i="4"/>
  <c r="O821" i="4" s="1"/>
  <c r="L821" i="4"/>
  <c r="N821" i="4" s="1"/>
  <c r="K821" i="4"/>
  <c r="J821" i="4"/>
  <c r="S820" i="4"/>
  <c r="M820" i="4"/>
  <c r="O820" i="4" s="1"/>
  <c r="L820" i="4"/>
  <c r="N820" i="4" s="1"/>
  <c r="K820" i="4"/>
  <c r="J820" i="4"/>
  <c r="S819" i="4"/>
  <c r="M819" i="4"/>
  <c r="O819" i="4" s="1"/>
  <c r="L819" i="4"/>
  <c r="N819" i="4" s="1"/>
  <c r="K819" i="4"/>
  <c r="J819" i="4"/>
  <c r="S818" i="4"/>
  <c r="M818" i="4"/>
  <c r="O818" i="4" s="1"/>
  <c r="L818" i="4"/>
  <c r="N818" i="4" s="1"/>
  <c r="K818" i="4"/>
  <c r="J818" i="4"/>
  <c r="S817" i="4"/>
  <c r="M817" i="4"/>
  <c r="O817" i="4" s="1"/>
  <c r="L817" i="4"/>
  <c r="N817" i="4" s="1"/>
  <c r="K817" i="4"/>
  <c r="J817" i="4"/>
  <c r="S816" i="4"/>
  <c r="M816" i="4"/>
  <c r="O816" i="4" s="1"/>
  <c r="L816" i="4"/>
  <c r="N816" i="4" s="1"/>
  <c r="K816" i="4"/>
  <c r="J816" i="4"/>
  <c r="S815" i="4"/>
  <c r="M815" i="4"/>
  <c r="O815" i="4" s="1"/>
  <c r="L815" i="4"/>
  <c r="N815" i="4" s="1"/>
  <c r="K815" i="4"/>
  <c r="J815" i="4"/>
  <c r="S814" i="4"/>
  <c r="M814" i="4"/>
  <c r="O814" i="4" s="1"/>
  <c r="L814" i="4"/>
  <c r="N814" i="4" s="1"/>
  <c r="K814" i="4"/>
  <c r="J814" i="4"/>
  <c r="S813" i="4"/>
  <c r="M813" i="4"/>
  <c r="O813" i="4" s="1"/>
  <c r="L813" i="4"/>
  <c r="N813" i="4" s="1"/>
  <c r="K813" i="4"/>
  <c r="J813" i="4"/>
  <c r="S812" i="4"/>
  <c r="M812" i="4"/>
  <c r="O812" i="4" s="1"/>
  <c r="L812" i="4"/>
  <c r="N812" i="4" s="1"/>
  <c r="K812" i="4"/>
  <c r="J812" i="4"/>
  <c r="S811" i="4"/>
  <c r="M811" i="4"/>
  <c r="O811" i="4" s="1"/>
  <c r="L811" i="4"/>
  <c r="N811" i="4" s="1"/>
  <c r="K811" i="4"/>
  <c r="J811" i="4"/>
  <c r="S810" i="4"/>
  <c r="M810" i="4"/>
  <c r="O810" i="4" s="1"/>
  <c r="L810" i="4"/>
  <c r="N810" i="4" s="1"/>
  <c r="K810" i="4"/>
  <c r="J810" i="4"/>
  <c r="S809" i="4"/>
  <c r="M809" i="4"/>
  <c r="O809" i="4" s="1"/>
  <c r="L809" i="4"/>
  <c r="N809" i="4" s="1"/>
  <c r="K809" i="4"/>
  <c r="J809" i="4"/>
  <c r="S808" i="4"/>
  <c r="P808" i="4"/>
  <c r="D808" i="4" s="1"/>
  <c r="M808" i="4"/>
  <c r="O808" i="4" s="1"/>
  <c r="L808" i="4"/>
  <c r="N808" i="4" s="1"/>
  <c r="K808" i="4"/>
  <c r="J808" i="4"/>
  <c r="F808" i="4"/>
  <c r="E808" i="4"/>
  <c r="S807" i="4"/>
  <c r="M807" i="4"/>
  <c r="O807" i="4" s="1"/>
  <c r="L807" i="4"/>
  <c r="N807" i="4" s="1"/>
  <c r="K807" i="4"/>
  <c r="J807" i="4"/>
  <c r="S806" i="4"/>
  <c r="M806" i="4"/>
  <c r="O806" i="4" s="1"/>
  <c r="L806" i="4"/>
  <c r="N806" i="4" s="1"/>
  <c r="K806" i="4"/>
  <c r="J806" i="4"/>
  <c r="F806" i="4"/>
  <c r="E806" i="4"/>
  <c r="D806" i="4"/>
  <c r="S805" i="4"/>
  <c r="M805" i="4"/>
  <c r="O805" i="4" s="1"/>
  <c r="L805" i="4"/>
  <c r="N805" i="4" s="1"/>
  <c r="K805" i="4"/>
  <c r="J805" i="4"/>
  <c r="S804" i="4"/>
  <c r="M804" i="4"/>
  <c r="O804" i="4" s="1"/>
  <c r="L804" i="4"/>
  <c r="N804" i="4" s="1"/>
  <c r="K804" i="4"/>
  <c r="J804" i="4"/>
  <c r="F804" i="4"/>
  <c r="E804" i="4"/>
  <c r="D804" i="4"/>
  <c r="S803" i="4"/>
  <c r="M803" i="4"/>
  <c r="O803" i="4" s="1"/>
  <c r="L803" i="4"/>
  <c r="N803" i="4" s="1"/>
  <c r="K803" i="4"/>
  <c r="J803" i="4"/>
  <c r="F803" i="4"/>
  <c r="E803" i="4"/>
  <c r="D803" i="4"/>
  <c r="S802" i="4"/>
  <c r="M802" i="4"/>
  <c r="O802" i="4" s="1"/>
  <c r="L802" i="4"/>
  <c r="N802" i="4" s="1"/>
  <c r="K802" i="4"/>
  <c r="J802" i="4"/>
  <c r="F802" i="4"/>
  <c r="E802" i="4"/>
  <c r="D802" i="4"/>
  <c r="S801" i="4"/>
  <c r="M801" i="4"/>
  <c r="O801" i="4" s="1"/>
  <c r="L801" i="4"/>
  <c r="N801" i="4" s="1"/>
  <c r="K801" i="4"/>
  <c r="J801" i="4"/>
  <c r="S800" i="4"/>
  <c r="M800" i="4"/>
  <c r="O800" i="4" s="1"/>
  <c r="L800" i="4"/>
  <c r="N800" i="4" s="1"/>
  <c r="K800" i="4"/>
  <c r="J800" i="4"/>
  <c r="F800" i="4"/>
  <c r="E800" i="4"/>
  <c r="D800" i="4"/>
  <c r="S799" i="4"/>
  <c r="M799" i="4"/>
  <c r="O799" i="4" s="1"/>
  <c r="L799" i="4"/>
  <c r="N799" i="4" s="1"/>
  <c r="K799" i="4"/>
  <c r="J799" i="4"/>
  <c r="F799" i="4"/>
  <c r="E799" i="4"/>
  <c r="D799" i="4"/>
  <c r="S798" i="4"/>
  <c r="M798" i="4"/>
  <c r="O798" i="4" s="1"/>
  <c r="L798" i="4"/>
  <c r="N798" i="4" s="1"/>
  <c r="K798" i="4"/>
  <c r="J798" i="4"/>
  <c r="S797" i="4"/>
  <c r="M797" i="4"/>
  <c r="O797" i="4" s="1"/>
  <c r="L797" i="4"/>
  <c r="N797" i="4" s="1"/>
  <c r="K797" i="4"/>
  <c r="J797" i="4"/>
  <c r="S796" i="4"/>
  <c r="M796" i="4"/>
  <c r="O796" i="4" s="1"/>
  <c r="L796" i="4"/>
  <c r="N796" i="4" s="1"/>
  <c r="K796" i="4"/>
  <c r="J796" i="4"/>
  <c r="S795" i="4"/>
  <c r="M795" i="4"/>
  <c r="O795" i="4" s="1"/>
  <c r="L795" i="4"/>
  <c r="N795" i="4" s="1"/>
  <c r="K795" i="4"/>
  <c r="J795" i="4"/>
  <c r="S794" i="4"/>
  <c r="M794" i="4"/>
  <c r="O794" i="4" s="1"/>
  <c r="L794" i="4"/>
  <c r="N794" i="4" s="1"/>
  <c r="K794" i="4"/>
  <c r="J794" i="4"/>
  <c r="S793" i="4"/>
  <c r="M793" i="4"/>
  <c r="O793" i="4" s="1"/>
  <c r="L793" i="4"/>
  <c r="N793" i="4" s="1"/>
  <c r="K793" i="4"/>
  <c r="J793" i="4"/>
  <c r="S792" i="4"/>
  <c r="M792" i="4"/>
  <c r="O792" i="4" s="1"/>
  <c r="L792" i="4"/>
  <c r="N792" i="4" s="1"/>
  <c r="K792" i="4"/>
  <c r="J792" i="4"/>
  <c r="S791" i="4"/>
  <c r="M791" i="4"/>
  <c r="O791" i="4" s="1"/>
  <c r="L791" i="4"/>
  <c r="N791" i="4" s="1"/>
  <c r="K791" i="4"/>
  <c r="J791" i="4"/>
  <c r="S790" i="4"/>
  <c r="M790" i="4"/>
  <c r="O790" i="4" s="1"/>
  <c r="L790" i="4"/>
  <c r="N790" i="4" s="1"/>
  <c r="K790" i="4"/>
  <c r="J790" i="4"/>
  <c r="F790" i="4"/>
  <c r="E790" i="4"/>
  <c r="D790" i="4"/>
  <c r="S789" i="4"/>
  <c r="M789" i="4"/>
  <c r="O789" i="4" s="1"/>
  <c r="L789" i="4"/>
  <c r="N789" i="4" s="1"/>
  <c r="K789" i="4"/>
  <c r="J789" i="4"/>
  <c r="S788" i="4"/>
  <c r="M788" i="4"/>
  <c r="O788" i="4" s="1"/>
  <c r="L788" i="4"/>
  <c r="N788" i="4" s="1"/>
  <c r="K788" i="4"/>
  <c r="J788" i="4"/>
  <c r="S787" i="4"/>
  <c r="M787" i="4"/>
  <c r="O787" i="4" s="1"/>
  <c r="L787" i="4"/>
  <c r="N787" i="4" s="1"/>
  <c r="K787" i="4"/>
  <c r="J787" i="4"/>
  <c r="S786" i="4"/>
  <c r="M786" i="4"/>
  <c r="O786" i="4" s="1"/>
  <c r="L786" i="4"/>
  <c r="N786" i="4" s="1"/>
  <c r="K786" i="4"/>
  <c r="J786" i="4"/>
  <c r="S785" i="4"/>
  <c r="M785" i="4"/>
  <c r="O785" i="4" s="1"/>
  <c r="L785" i="4"/>
  <c r="N785" i="4" s="1"/>
  <c r="K785" i="4"/>
  <c r="J785" i="4"/>
  <c r="S784" i="4"/>
  <c r="M784" i="4"/>
  <c r="O784" i="4" s="1"/>
  <c r="L784" i="4"/>
  <c r="N784" i="4" s="1"/>
  <c r="K784" i="4"/>
  <c r="J784" i="4"/>
  <c r="S783" i="4"/>
  <c r="M783" i="4"/>
  <c r="O783" i="4" s="1"/>
  <c r="L783" i="4"/>
  <c r="N783" i="4" s="1"/>
  <c r="K783" i="4"/>
  <c r="J783" i="4"/>
  <c r="S782" i="4"/>
  <c r="M782" i="4"/>
  <c r="O782" i="4" s="1"/>
  <c r="L782" i="4"/>
  <c r="N782" i="4" s="1"/>
  <c r="K782" i="4"/>
  <c r="J782" i="4"/>
  <c r="S781" i="4"/>
  <c r="M781" i="4"/>
  <c r="O781" i="4" s="1"/>
  <c r="L781" i="4"/>
  <c r="N781" i="4" s="1"/>
  <c r="K781" i="4"/>
  <c r="J781" i="4"/>
  <c r="S780" i="4"/>
  <c r="M780" i="4"/>
  <c r="O780" i="4" s="1"/>
  <c r="L780" i="4"/>
  <c r="N780" i="4" s="1"/>
  <c r="K780" i="4"/>
  <c r="J780" i="4"/>
  <c r="S779" i="4"/>
  <c r="M779" i="4"/>
  <c r="O779" i="4" s="1"/>
  <c r="L779" i="4"/>
  <c r="N779" i="4" s="1"/>
  <c r="K779" i="4"/>
  <c r="J779" i="4"/>
  <c r="S778" i="4"/>
  <c r="M778" i="4"/>
  <c r="O778" i="4" s="1"/>
  <c r="L778" i="4"/>
  <c r="N778" i="4" s="1"/>
  <c r="K778" i="4"/>
  <c r="J778" i="4"/>
  <c r="S777" i="4"/>
  <c r="M777" i="4"/>
  <c r="O777" i="4" s="1"/>
  <c r="L777" i="4"/>
  <c r="N777" i="4" s="1"/>
  <c r="K777" i="4"/>
  <c r="J777" i="4"/>
  <c r="S776" i="4"/>
  <c r="M776" i="4"/>
  <c r="O776" i="4" s="1"/>
  <c r="L776" i="4"/>
  <c r="N776" i="4" s="1"/>
  <c r="K776" i="4"/>
  <c r="J776" i="4"/>
  <c r="S775" i="4"/>
  <c r="M775" i="4"/>
  <c r="O775" i="4" s="1"/>
  <c r="L775" i="4"/>
  <c r="N775" i="4" s="1"/>
  <c r="K775" i="4"/>
  <c r="J775" i="4"/>
  <c r="S774" i="4"/>
  <c r="M774" i="4"/>
  <c r="O774" i="4" s="1"/>
  <c r="L774" i="4"/>
  <c r="N774" i="4" s="1"/>
  <c r="K774" i="4"/>
  <c r="J774" i="4"/>
  <c r="S773" i="4"/>
  <c r="M773" i="4"/>
  <c r="O773" i="4" s="1"/>
  <c r="L773" i="4"/>
  <c r="N773" i="4" s="1"/>
  <c r="K773" i="4"/>
  <c r="J773" i="4"/>
  <c r="S772" i="4"/>
  <c r="M772" i="4"/>
  <c r="O772" i="4" s="1"/>
  <c r="L772" i="4"/>
  <c r="N772" i="4" s="1"/>
  <c r="K772" i="4"/>
  <c r="J772" i="4"/>
  <c r="S771" i="4"/>
  <c r="M771" i="4"/>
  <c r="O771" i="4" s="1"/>
  <c r="L771" i="4"/>
  <c r="N771" i="4" s="1"/>
  <c r="K771" i="4"/>
  <c r="J771" i="4"/>
  <c r="F771" i="4"/>
  <c r="E771" i="4"/>
  <c r="D771" i="4"/>
  <c r="S770" i="4"/>
  <c r="M770" i="4"/>
  <c r="O770" i="4" s="1"/>
  <c r="L770" i="4"/>
  <c r="N770" i="4" s="1"/>
  <c r="K770" i="4"/>
  <c r="J770" i="4"/>
  <c r="S769" i="4"/>
  <c r="M769" i="4"/>
  <c r="O769" i="4" s="1"/>
  <c r="L769" i="4"/>
  <c r="N769" i="4" s="1"/>
  <c r="K769" i="4"/>
  <c r="J769" i="4"/>
  <c r="S768" i="4"/>
  <c r="M768" i="4"/>
  <c r="O768" i="4" s="1"/>
  <c r="L768" i="4"/>
  <c r="N768" i="4" s="1"/>
  <c r="K768" i="4"/>
  <c r="J768" i="4"/>
  <c r="S767" i="4"/>
  <c r="M767" i="4"/>
  <c r="O767" i="4" s="1"/>
  <c r="L767" i="4"/>
  <c r="N767" i="4" s="1"/>
  <c r="K767" i="4"/>
  <c r="J767" i="4"/>
  <c r="S766" i="4"/>
  <c r="M766" i="4"/>
  <c r="O766" i="4" s="1"/>
  <c r="L766" i="4"/>
  <c r="N766" i="4" s="1"/>
  <c r="K766" i="4"/>
  <c r="J766" i="4"/>
  <c r="S765" i="4"/>
  <c r="M765" i="4"/>
  <c r="O765" i="4" s="1"/>
  <c r="L765" i="4"/>
  <c r="N765" i="4" s="1"/>
  <c r="K765" i="4"/>
  <c r="J765" i="4"/>
  <c r="S764" i="4"/>
  <c r="M764" i="4"/>
  <c r="O764" i="4" s="1"/>
  <c r="L764" i="4"/>
  <c r="N764" i="4" s="1"/>
  <c r="K764" i="4"/>
  <c r="J764" i="4"/>
  <c r="S762" i="4"/>
  <c r="M762" i="4"/>
  <c r="O762" i="4" s="1"/>
  <c r="L762" i="4"/>
  <c r="N762" i="4" s="1"/>
  <c r="K762" i="4"/>
  <c r="J762" i="4"/>
  <c r="S761" i="4"/>
  <c r="M761" i="4"/>
  <c r="O761" i="4" s="1"/>
  <c r="L761" i="4"/>
  <c r="N761" i="4" s="1"/>
  <c r="K761" i="4"/>
  <c r="J761" i="4"/>
  <c r="S760" i="4"/>
  <c r="M760" i="4"/>
  <c r="O760" i="4" s="1"/>
  <c r="L760" i="4"/>
  <c r="N760" i="4" s="1"/>
  <c r="K760" i="4"/>
  <c r="J760" i="4"/>
  <c r="S759" i="4"/>
  <c r="M759" i="4"/>
  <c r="O759" i="4" s="1"/>
  <c r="L759" i="4"/>
  <c r="N759" i="4" s="1"/>
  <c r="K759" i="4"/>
  <c r="J759" i="4"/>
  <c r="S758" i="4"/>
  <c r="M758" i="4"/>
  <c r="O758" i="4" s="1"/>
  <c r="L758" i="4"/>
  <c r="N758" i="4" s="1"/>
  <c r="K758" i="4"/>
  <c r="J758" i="4"/>
  <c r="S757" i="4"/>
  <c r="M757" i="4"/>
  <c r="O757" i="4" s="1"/>
  <c r="L757" i="4"/>
  <c r="N757" i="4" s="1"/>
  <c r="K757" i="4"/>
  <c r="J757" i="4"/>
  <c r="S756" i="4"/>
  <c r="M756" i="4"/>
  <c r="O756" i="4" s="1"/>
  <c r="L756" i="4"/>
  <c r="N756" i="4" s="1"/>
  <c r="K756" i="4"/>
  <c r="J756" i="4"/>
  <c r="S755" i="4"/>
  <c r="M755" i="4"/>
  <c r="O755" i="4" s="1"/>
  <c r="L755" i="4"/>
  <c r="N755" i="4" s="1"/>
  <c r="K755" i="4"/>
  <c r="J755" i="4"/>
  <c r="S754" i="4"/>
  <c r="M754" i="4"/>
  <c r="O754" i="4" s="1"/>
  <c r="L754" i="4"/>
  <c r="N754" i="4" s="1"/>
  <c r="K754" i="4"/>
  <c r="J754" i="4"/>
  <c r="S753" i="4"/>
  <c r="M753" i="4"/>
  <c r="O753" i="4" s="1"/>
  <c r="L753" i="4"/>
  <c r="N753" i="4" s="1"/>
  <c r="K753" i="4"/>
  <c r="J753" i="4"/>
  <c r="S752" i="4"/>
  <c r="M752" i="4"/>
  <c r="O752" i="4" s="1"/>
  <c r="L752" i="4"/>
  <c r="N752" i="4" s="1"/>
  <c r="K752" i="4"/>
  <c r="J752" i="4"/>
  <c r="S749" i="4"/>
  <c r="M749" i="4"/>
  <c r="O749" i="4" s="1"/>
  <c r="L749" i="4"/>
  <c r="N749" i="4" s="1"/>
  <c r="K749" i="4"/>
  <c r="J749" i="4"/>
  <c r="S748" i="4"/>
  <c r="M748" i="4"/>
  <c r="O748" i="4" s="1"/>
  <c r="L748" i="4"/>
  <c r="N748" i="4" s="1"/>
  <c r="K748" i="4"/>
  <c r="J748" i="4"/>
  <c r="S747" i="4"/>
  <c r="M747" i="4"/>
  <c r="O747" i="4" s="1"/>
  <c r="L747" i="4"/>
  <c r="N747" i="4" s="1"/>
  <c r="K747" i="4"/>
  <c r="J747" i="4"/>
  <c r="S746" i="4"/>
  <c r="M746" i="4"/>
  <c r="O746" i="4" s="1"/>
  <c r="L746" i="4"/>
  <c r="N746" i="4" s="1"/>
  <c r="K746" i="4"/>
  <c r="J746" i="4"/>
  <c r="S745" i="4"/>
  <c r="M745" i="4"/>
  <c r="O745" i="4" s="1"/>
  <c r="L745" i="4"/>
  <c r="N745" i="4" s="1"/>
  <c r="K745" i="4"/>
  <c r="J745" i="4"/>
  <c r="S744" i="4"/>
  <c r="M744" i="4"/>
  <c r="O744" i="4" s="1"/>
  <c r="L744" i="4"/>
  <c r="N744" i="4" s="1"/>
  <c r="K744" i="4"/>
  <c r="J744" i="4"/>
  <c r="S743" i="4"/>
  <c r="M743" i="4"/>
  <c r="O743" i="4" s="1"/>
  <c r="L743" i="4"/>
  <c r="N743" i="4" s="1"/>
  <c r="K743" i="4"/>
  <c r="J743" i="4"/>
  <c r="S742" i="4"/>
  <c r="M742" i="4"/>
  <c r="O742" i="4" s="1"/>
  <c r="L742" i="4"/>
  <c r="N742" i="4" s="1"/>
  <c r="K742" i="4"/>
  <c r="J742" i="4"/>
  <c r="S741" i="4"/>
  <c r="M741" i="4"/>
  <c r="O741" i="4" s="1"/>
  <c r="L741" i="4"/>
  <c r="N741" i="4" s="1"/>
  <c r="K741" i="4"/>
  <c r="J741" i="4"/>
  <c r="S740" i="4"/>
  <c r="M740" i="4"/>
  <c r="O740" i="4" s="1"/>
  <c r="L740" i="4"/>
  <c r="N740" i="4" s="1"/>
  <c r="K740" i="4"/>
  <c r="J740" i="4"/>
  <c r="S739" i="4"/>
  <c r="M739" i="4"/>
  <c r="O739" i="4" s="1"/>
  <c r="L739" i="4"/>
  <c r="N739" i="4" s="1"/>
  <c r="K739" i="4"/>
  <c r="J739" i="4"/>
  <c r="S738" i="4"/>
  <c r="M738" i="4"/>
  <c r="O738" i="4" s="1"/>
  <c r="L738" i="4"/>
  <c r="N738" i="4" s="1"/>
  <c r="K738" i="4"/>
  <c r="J738" i="4"/>
  <c r="S737" i="4"/>
  <c r="M737" i="4"/>
  <c r="O737" i="4" s="1"/>
  <c r="L737" i="4"/>
  <c r="N737" i="4" s="1"/>
  <c r="K737" i="4"/>
  <c r="J737" i="4"/>
  <c r="S736" i="4"/>
  <c r="M736" i="4"/>
  <c r="O736" i="4" s="1"/>
  <c r="L736" i="4"/>
  <c r="N736" i="4" s="1"/>
  <c r="K736" i="4"/>
  <c r="J736" i="4"/>
  <c r="S735" i="4"/>
  <c r="M735" i="4"/>
  <c r="O735" i="4" s="1"/>
  <c r="L735" i="4"/>
  <c r="N735" i="4" s="1"/>
  <c r="K735" i="4"/>
  <c r="J735" i="4"/>
  <c r="F735" i="4"/>
  <c r="E735" i="4"/>
  <c r="D735" i="4"/>
  <c r="S734" i="4"/>
  <c r="M734" i="4"/>
  <c r="O734" i="4" s="1"/>
  <c r="L734" i="4"/>
  <c r="N734" i="4" s="1"/>
  <c r="K734" i="4"/>
  <c r="J734" i="4"/>
  <c r="S733" i="4"/>
  <c r="M733" i="4"/>
  <c r="O733" i="4" s="1"/>
  <c r="L733" i="4"/>
  <c r="N733" i="4" s="1"/>
  <c r="K733" i="4"/>
  <c r="J733" i="4"/>
  <c r="S732" i="4"/>
  <c r="M732" i="4"/>
  <c r="O732" i="4" s="1"/>
  <c r="L732" i="4"/>
  <c r="N732" i="4" s="1"/>
  <c r="K732" i="4"/>
  <c r="J732" i="4"/>
  <c r="S731" i="4"/>
  <c r="M731" i="4"/>
  <c r="O731" i="4" s="1"/>
  <c r="L731" i="4"/>
  <c r="N731" i="4" s="1"/>
  <c r="K731" i="4"/>
  <c r="J731" i="4"/>
  <c r="S730" i="4"/>
  <c r="M730" i="4"/>
  <c r="O730" i="4" s="1"/>
  <c r="L730" i="4"/>
  <c r="N730" i="4" s="1"/>
  <c r="K730" i="4"/>
  <c r="J730" i="4"/>
  <c r="S729" i="4"/>
  <c r="P729" i="4"/>
  <c r="D729" i="4" s="1"/>
  <c r="M729" i="4"/>
  <c r="O729" i="4" s="1"/>
  <c r="L729" i="4"/>
  <c r="N729" i="4" s="1"/>
  <c r="K729" i="4"/>
  <c r="J729" i="4"/>
  <c r="F729" i="4"/>
  <c r="E729" i="4"/>
  <c r="M728" i="4"/>
  <c r="O728" i="4" s="1"/>
  <c r="L728" i="4"/>
  <c r="N728" i="4" s="1"/>
  <c r="K728" i="4"/>
  <c r="J728" i="4"/>
  <c r="S727" i="4"/>
  <c r="M727" i="4"/>
  <c r="O727" i="4" s="1"/>
  <c r="L727" i="4"/>
  <c r="N727" i="4" s="1"/>
  <c r="K727" i="4"/>
  <c r="J727" i="4"/>
  <c r="M726" i="4"/>
  <c r="O726" i="4" s="1"/>
  <c r="L726" i="4"/>
  <c r="N726" i="4" s="1"/>
  <c r="K726" i="4"/>
  <c r="J726" i="4"/>
  <c r="S725" i="4"/>
  <c r="M725" i="4"/>
  <c r="O725" i="4" s="1"/>
  <c r="L725" i="4"/>
  <c r="N725" i="4" s="1"/>
  <c r="K725" i="4"/>
  <c r="J725" i="4"/>
  <c r="S724" i="4"/>
  <c r="M724" i="4"/>
  <c r="O724" i="4" s="1"/>
  <c r="L724" i="4"/>
  <c r="N724" i="4" s="1"/>
  <c r="K724" i="4"/>
  <c r="J724" i="4"/>
  <c r="F724" i="4"/>
  <c r="E724" i="4"/>
  <c r="D724" i="4"/>
  <c r="S723" i="4"/>
  <c r="M723" i="4"/>
  <c r="O723" i="4" s="1"/>
  <c r="L723" i="4"/>
  <c r="N723" i="4" s="1"/>
  <c r="K723" i="4"/>
  <c r="J723" i="4"/>
  <c r="S722" i="4"/>
  <c r="M722" i="4"/>
  <c r="O722" i="4" s="1"/>
  <c r="L722" i="4"/>
  <c r="N722" i="4" s="1"/>
  <c r="K722" i="4"/>
  <c r="J722" i="4"/>
  <c r="F722" i="4"/>
  <c r="E722" i="4"/>
  <c r="D722" i="4"/>
  <c r="S721" i="4"/>
  <c r="M721" i="4"/>
  <c r="O721" i="4" s="1"/>
  <c r="L721" i="4"/>
  <c r="N721" i="4" s="1"/>
  <c r="K721" i="4"/>
  <c r="J721" i="4"/>
  <c r="F721" i="4"/>
  <c r="E721" i="4"/>
  <c r="D721" i="4"/>
  <c r="S720" i="4"/>
  <c r="M720" i="4"/>
  <c r="O720" i="4" s="1"/>
  <c r="L720" i="4"/>
  <c r="N720" i="4" s="1"/>
  <c r="K720" i="4"/>
  <c r="J720" i="4"/>
  <c r="F720" i="4"/>
  <c r="E720" i="4"/>
  <c r="D720" i="4"/>
  <c r="S719" i="4"/>
  <c r="M719" i="4"/>
  <c r="O719" i="4" s="1"/>
  <c r="L719" i="4"/>
  <c r="N719" i="4" s="1"/>
  <c r="K719" i="4"/>
  <c r="J719" i="4"/>
  <c r="S718" i="4"/>
  <c r="M718" i="4"/>
  <c r="O718" i="4" s="1"/>
  <c r="L718" i="4"/>
  <c r="N718" i="4" s="1"/>
  <c r="K718" i="4"/>
  <c r="J718" i="4"/>
  <c r="F718" i="4"/>
  <c r="E718" i="4"/>
  <c r="D718" i="4"/>
  <c r="S717" i="4"/>
  <c r="M717" i="4"/>
  <c r="O717" i="4" s="1"/>
  <c r="L717" i="4"/>
  <c r="N717" i="4" s="1"/>
  <c r="K717" i="4"/>
  <c r="J717" i="4"/>
  <c r="S716" i="4"/>
  <c r="M716" i="4"/>
  <c r="O716" i="4" s="1"/>
  <c r="L716" i="4"/>
  <c r="N716" i="4" s="1"/>
  <c r="K716" i="4"/>
  <c r="J716" i="4"/>
  <c r="S715" i="4"/>
  <c r="M715" i="4"/>
  <c r="O715" i="4" s="1"/>
  <c r="L715" i="4"/>
  <c r="N715" i="4" s="1"/>
  <c r="K715" i="4"/>
  <c r="J715" i="4"/>
  <c r="S714" i="4"/>
  <c r="M714" i="4"/>
  <c r="O714" i="4" s="1"/>
  <c r="L714" i="4"/>
  <c r="N714" i="4" s="1"/>
  <c r="K714" i="4"/>
  <c r="J714" i="4"/>
  <c r="S713" i="4"/>
  <c r="M713" i="4"/>
  <c r="O713" i="4" s="1"/>
  <c r="L713" i="4"/>
  <c r="N713" i="4" s="1"/>
  <c r="K713" i="4"/>
  <c r="J713" i="4"/>
  <c r="S712" i="4"/>
  <c r="M712" i="4"/>
  <c r="O712" i="4" s="1"/>
  <c r="L712" i="4"/>
  <c r="N712" i="4" s="1"/>
  <c r="K712" i="4"/>
  <c r="J712" i="4"/>
  <c r="S711" i="4"/>
  <c r="M711" i="4"/>
  <c r="O711" i="4" s="1"/>
  <c r="L711" i="4"/>
  <c r="N711" i="4" s="1"/>
  <c r="K711" i="4"/>
  <c r="J711" i="4"/>
  <c r="F711" i="4"/>
  <c r="E711" i="4"/>
  <c r="D711" i="4"/>
  <c r="S710" i="4"/>
  <c r="M710" i="4"/>
  <c r="O710" i="4" s="1"/>
  <c r="L710" i="4"/>
  <c r="N710" i="4" s="1"/>
  <c r="K710" i="4"/>
  <c r="J710" i="4"/>
  <c r="S709" i="4"/>
  <c r="M709" i="4"/>
  <c r="O709" i="4" s="1"/>
  <c r="L709" i="4"/>
  <c r="N709" i="4" s="1"/>
  <c r="K709" i="4"/>
  <c r="J709" i="4"/>
  <c r="S708" i="4"/>
  <c r="M708" i="4"/>
  <c r="O708" i="4" s="1"/>
  <c r="L708" i="4"/>
  <c r="N708" i="4" s="1"/>
  <c r="K708" i="4"/>
  <c r="J708" i="4"/>
  <c r="S707" i="4"/>
  <c r="M707" i="4"/>
  <c r="O707" i="4" s="1"/>
  <c r="L707" i="4"/>
  <c r="N707" i="4" s="1"/>
  <c r="K707" i="4"/>
  <c r="J707" i="4"/>
  <c r="S706" i="4"/>
  <c r="M706" i="4"/>
  <c r="O706" i="4" s="1"/>
  <c r="L706" i="4"/>
  <c r="N706" i="4" s="1"/>
  <c r="K706" i="4"/>
  <c r="J706" i="4"/>
  <c r="S705" i="4"/>
  <c r="M705" i="4"/>
  <c r="O705" i="4" s="1"/>
  <c r="L705" i="4"/>
  <c r="N705" i="4" s="1"/>
  <c r="K705" i="4"/>
  <c r="J705" i="4"/>
  <c r="S704" i="4"/>
  <c r="M704" i="4"/>
  <c r="O704" i="4" s="1"/>
  <c r="L704" i="4"/>
  <c r="N704" i="4" s="1"/>
  <c r="K704" i="4"/>
  <c r="J704" i="4"/>
  <c r="S703" i="4"/>
  <c r="M703" i="4"/>
  <c r="O703" i="4" s="1"/>
  <c r="L703" i="4"/>
  <c r="N703" i="4" s="1"/>
  <c r="K703" i="4"/>
  <c r="J703" i="4"/>
  <c r="S702" i="4"/>
  <c r="M702" i="4"/>
  <c r="O702" i="4" s="1"/>
  <c r="L702" i="4"/>
  <c r="N702" i="4" s="1"/>
  <c r="K702" i="4"/>
  <c r="J702" i="4"/>
  <c r="S701" i="4"/>
  <c r="M701" i="4"/>
  <c r="O701" i="4" s="1"/>
  <c r="L701" i="4"/>
  <c r="N701" i="4" s="1"/>
  <c r="K701" i="4"/>
  <c r="J701" i="4"/>
  <c r="S700" i="4"/>
  <c r="M700" i="4"/>
  <c r="O700" i="4" s="1"/>
  <c r="L700" i="4"/>
  <c r="N700" i="4" s="1"/>
  <c r="K700" i="4"/>
  <c r="J700" i="4"/>
  <c r="S699" i="4"/>
  <c r="M699" i="4"/>
  <c r="O699" i="4" s="1"/>
  <c r="L699" i="4"/>
  <c r="N699" i="4" s="1"/>
  <c r="K699" i="4"/>
  <c r="J699" i="4"/>
  <c r="S698" i="4"/>
  <c r="M698" i="4"/>
  <c r="O698" i="4" s="1"/>
  <c r="L698" i="4"/>
  <c r="N698" i="4" s="1"/>
  <c r="K698" i="4"/>
  <c r="J698" i="4"/>
  <c r="S697" i="4"/>
  <c r="M697" i="4"/>
  <c r="O697" i="4" s="1"/>
  <c r="L697" i="4"/>
  <c r="N697" i="4" s="1"/>
  <c r="K697" i="4"/>
  <c r="J697" i="4"/>
  <c r="S696" i="4"/>
  <c r="M696" i="4"/>
  <c r="O696" i="4" s="1"/>
  <c r="L696" i="4"/>
  <c r="N696" i="4" s="1"/>
  <c r="K696" i="4"/>
  <c r="J696" i="4"/>
  <c r="S695" i="4"/>
  <c r="M695" i="4"/>
  <c r="O695" i="4" s="1"/>
  <c r="L695" i="4"/>
  <c r="N695" i="4" s="1"/>
  <c r="K695" i="4"/>
  <c r="J695" i="4"/>
  <c r="S694" i="4"/>
  <c r="M694" i="4"/>
  <c r="O694" i="4" s="1"/>
  <c r="L694" i="4"/>
  <c r="N694" i="4" s="1"/>
  <c r="K694" i="4"/>
  <c r="J694" i="4"/>
  <c r="S693" i="4"/>
  <c r="M693" i="4"/>
  <c r="O693" i="4" s="1"/>
  <c r="L693" i="4"/>
  <c r="N693" i="4" s="1"/>
  <c r="K693" i="4"/>
  <c r="J693" i="4"/>
  <c r="S692" i="4"/>
  <c r="M692" i="4"/>
  <c r="O692" i="4" s="1"/>
  <c r="L692" i="4"/>
  <c r="N692" i="4" s="1"/>
  <c r="K692" i="4"/>
  <c r="J692" i="4"/>
  <c r="S691" i="4"/>
  <c r="M691" i="4"/>
  <c r="O691" i="4" s="1"/>
  <c r="L691" i="4"/>
  <c r="N691" i="4" s="1"/>
  <c r="K691" i="4"/>
  <c r="J691" i="4"/>
  <c r="S690" i="4"/>
  <c r="M690" i="4"/>
  <c r="O690" i="4" s="1"/>
  <c r="L690" i="4"/>
  <c r="N690" i="4" s="1"/>
  <c r="K690" i="4"/>
  <c r="J690" i="4"/>
  <c r="S689" i="4"/>
  <c r="M689" i="4"/>
  <c r="O689" i="4" s="1"/>
  <c r="L689" i="4"/>
  <c r="N689" i="4" s="1"/>
  <c r="K689" i="4"/>
  <c r="J689" i="4"/>
  <c r="S688" i="4"/>
  <c r="M688" i="4"/>
  <c r="O688" i="4" s="1"/>
  <c r="L688" i="4"/>
  <c r="N688" i="4" s="1"/>
  <c r="K688" i="4"/>
  <c r="J688" i="4"/>
  <c r="S687" i="4"/>
  <c r="M687" i="4"/>
  <c r="O687" i="4" s="1"/>
  <c r="L687" i="4"/>
  <c r="N687" i="4" s="1"/>
  <c r="K687" i="4"/>
  <c r="J687" i="4"/>
  <c r="S686" i="4"/>
  <c r="M686" i="4"/>
  <c r="O686" i="4" s="1"/>
  <c r="L686" i="4"/>
  <c r="N686" i="4" s="1"/>
  <c r="K686" i="4"/>
  <c r="J686" i="4"/>
  <c r="S685" i="4"/>
  <c r="M685" i="4"/>
  <c r="O685" i="4" s="1"/>
  <c r="L685" i="4"/>
  <c r="N685" i="4" s="1"/>
  <c r="K685" i="4"/>
  <c r="J685" i="4"/>
  <c r="S684" i="4"/>
  <c r="M684" i="4"/>
  <c r="O684" i="4" s="1"/>
  <c r="L684" i="4"/>
  <c r="N684" i="4" s="1"/>
  <c r="K684" i="4"/>
  <c r="J684" i="4"/>
  <c r="S683" i="4"/>
  <c r="M683" i="4"/>
  <c r="O683" i="4" s="1"/>
  <c r="L683" i="4"/>
  <c r="N683" i="4" s="1"/>
  <c r="K683" i="4"/>
  <c r="J683" i="4"/>
  <c r="S682" i="4"/>
  <c r="M682" i="4"/>
  <c r="O682" i="4" s="1"/>
  <c r="L682" i="4"/>
  <c r="N682" i="4" s="1"/>
  <c r="K682" i="4"/>
  <c r="J682" i="4"/>
  <c r="S681" i="4"/>
  <c r="M681" i="4"/>
  <c r="O681" i="4" s="1"/>
  <c r="L681" i="4"/>
  <c r="N681" i="4" s="1"/>
  <c r="K681" i="4"/>
  <c r="J681" i="4"/>
  <c r="S680" i="4"/>
  <c r="M680" i="4"/>
  <c r="O680" i="4" s="1"/>
  <c r="L680" i="4"/>
  <c r="N680" i="4" s="1"/>
  <c r="K680" i="4"/>
  <c r="J680" i="4"/>
  <c r="S679" i="4"/>
  <c r="M679" i="4"/>
  <c r="O679" i="4" s="1"/>
  <c r="L679" i="4"/>
  <c r="N679" i="4" s="1"/>
  <c r="K679" i="4"/>
  <c r="J679" i="4"/>
  <c r="S678" i="4"/>
  <c r="M678" i="4"/>
  <c r="O678" i="4" s="1"/>
  <c r="L678" i="4"/>
  <c r="N678" i="4" s="1"/>
  <c r="K678" i="4"/>
  <c r="J678" i="4"/>
  <c r="S677" i="4"/>
  <c r="M677" i="4"/>
  <c r="O677" i="4" s="1"/>
  <c r="L677" i="4"/>
  <c r="N677" i="4" s="1"/>
  <c r="K677" i="4"/>
  <c r="J677" i="4"/>
  <c r="S676" i="4"/>
  <c r="M676" i="4"/>
  <c r="O676" i="4" s="1"/>
  <c r="L676" i="4"/>
  <c r="N676" i="4" s="1"/>
  <c r="K676" i="4"/>
  <c r="J676" i="4"/>
  <c r="S675" i="4"/>
  <c r="M675" i="4"/>
  <c r="O675" i="4" s="1"/>
  <c r="L675" i="4"/>
  <c r="N675" i="4" s="1"/>
  <c r="K675" i="4"/>
  <c r="J675" i="4"/>
  <c r="S674" i="4"/>
  <c r="M674" i="4"/>
  <c r="O674" i="4" s="1"/>
  <c r="L674" i="4"/>
  <c r="N674" i="4" s="1"/>
  <c r="K674" i="4"/>
  <c r="J674" i="4"/>
  <c r="S673" i="4"/>
  <c r="M673" i="4"/>
  <c r="O673" i="4" s="1"/>
  <c r="L673" i="4"/>
  <c r="N673" i="4" s="1"/>
  <c r="K673" i="4"/>
  <c r="J673" i="4"/>
  <c r="S672" i="4"/>
  <c r="M672" i="4"/>
  <c r="O672" i="4" s="1"/>
  <c r="L672" i="4"/>
  <c r="N672" i="4" s="1"/>
  <c r="K672" i="4"/>
  <c r="J672" i="4"/>
  <c r="S671" i="4"/>
  <c r="M671" i="4"/>
  <c r="O671" i="4" s="1"/>
  <c r="L671" i="4"/>
  <c r="N671" i="4" s="1"/>
  <c r="K671" i="4"/>
  <c r="J671" i="4"/>
  <c r="S670" i="4"/>
  <c r="M670" i="4"/>
  <c r="O670" i="4" s="1"/>
  <c r="L670" i="4"/>
  <c r="N670" i="4" s="1"/>
  <c r="K670" i="4"/>
  <c r="J670" i="4"/>
  <c r="S669" i="4"/>
  <c r="M669" i="4"/>
  <c r="O669" i="4" s="1"/>
  <c r="L669" i="4"/>
  <c r="N669" i="4" s="1"/>
  <c r="K669" i="4"/>
  <c r="J669" i="4"/>
  <c r="S668" i="4"/>
  <c r="M668" i="4"/>
  <c r="O668" i="4" s="1"/>
  <c r="L668" i="4"/>
  <c r="N668" i="4" s="1"/>
  <c r="K668" i="4"/>
  <c r="J668" i="4"/>
  <c r="F668" i="4"/>
  <c r="E668" i="4"/>
  <c r="D668" i="4"/>
  <c r="S667" i="4"/>
  <c r="M667" i="4"/>
  <c r="O667" i="4" s="1"/>
  <c r="L667" i="4"/>
  <c r="N667" i="4" s="1"/>
  <c r="K667" i="4"/>
  <c r="J667" i="4"/>
  <c r="S666" i="4"/>
  <c r="M666" i="4"/>
  <c r="O666" i="4" s="1"/>
  <c r="L666" i="4"/>
  <c r="N666" i="4" s="1"/>
  <c r="K666" i="4"/>
  <c r="J666" i="4"/>
  <c r="S665" i="4"/>
  <c r="M665" i="4"/>
  <c r="O665" i="4" s="1"/>
  <c r="L665" i="4"/>
  <c r="N665" i="4" s="1"/>
  <c r="K665" i="4"/>
  <c r="J665" i="4"/>
  <c r="S664" i="4"/>
  <c r="M664" i="4"/>
  <c r="O664" i="4" s="1"/>
  <c r="L664" i="4"/>
  <c r="N664" i="4" s="1"/>
  <c r="K664" i="4"/>
  <c r="J664" i="4"/>
  <c r="S663" i="4"/>
  <c r="M663" i="4"/>
  <c r="O663" i="4" s="1"/>
  <c r="L663" i="4"/>
  <c r="N663" i="4" s="1"/>
  <c r="K663" i="4"/>
  <c r="J663" i="4"/>
  <c r="S662" i="4"/>
  <c r="M662" i="4"/>
  <c r="O662" i="4" s="1"/>
  <c r="L662" i="4"/>
  <c r="N662" i="4" s="1"/>
  <c r="K662" i="4"/>
  <c r="J662" i="4"/>
  <c r="S661" i="4"/>
  <c r="M661" i="4"/>
  <c r="O661" i="4" s="1"/>
  <c r="L661" i="4"/>
  <c r="N661" i="4" s="1"/>
  <c r="K661" i="4"/>
  <c r="J661" i="4"/>
  <c r="S660" i="4"/>
  <c r="M660" i="4"/>
  <c r="O660" i="4" s="1"/>
  <c r="L660" i="4"/>
  <c r="N660" i="4" s="1"/>
  <c r="K660" i="4"/>
  <c r="J660" i="4"/>
  <c r="S659" i="4"/>
  <c r="M659" i="4"/>
  <c r="O659" i="4" s="1"/>
  <c r="L659" i="4"/>
  <c r="N659" i="4" s="1"/>
  <c r="K659" i="4"/>
  <c r="J659" i="4"/>
  <c r="S658" i="4"/>
  <c r="M658" i="4"/>
  <c r="O658" i="4" s="1"/>
  <c r="L658" i="4"/>
  <c r="N658" i="4" s="1"/>
  <c r="K658" i="4"/>
  <c r="J658" i="4"/>
  <c r="S657" i="4"/>
  <c r="M657" i="4"/>
  <c r="O657" i="4" s="1"/>
  <c r="L657" i="4"/>
  <c r="N657" i="4" s="1"/>
  <c r="K657" i="4"/>
  <c r="J657" i="4"/>
  <c r="S656" i="4"/>
  <c r="M656" i="4"/>
  <c r="O656" i="4" s="1"/>
  <c r="L656" i="4"/>
  <c r="N656" i="4" s="1"/>
  <c r="K656" i="4"/>
  <c r="J656" i="4"/>
  <c r="S655" i="4"/>
  <c r="M655" i="4"/>
  <c r="O655" i="4" s="1"/>
  <c r="L655" i="4"/>
  <c r="N655" i="4" s="1"/>
  <c r="K655" i="4"/>
  <c r="J655" i="4"/>
  <c r="S654" i="4"/>
  <c r="M654" i="4"/>
  <c r="O654" i="4" s="1"/>
  <c r="L654" i="4"/>
  <c r="N654" i="4" s="1"/>
  <c r="K654" i="4"/>
  <c r="J654" i="4"/>
  <c r="S653" i="4"/>
  <c r="M653" i="4"/>
  <c r="O653" i="4" s="1"/>
  <c r="L653" i="4"/>
  <c r="N653" i="4" s="1"/>
  <c r="K653" i="4"/>
  <c r="J653" i="4"/>
  <c r="S652" i="4"/>
  <c r="M652" i="4"/>
  <c r="O652" i="4" s="1"/>
  <c r="L652" i="4"/>
  <c r="N652" i="4" s="1"/>
  <c r="K652" i="4"/>
  <c r="J652" i="4"/>
  <c r="S651" i="4"/>
  <c r="M651" i="4"/>
  <c r="O651" i="4" s="1"/>
  <c r="L651" i="4"/>
  <c r="N651" i="4" s="1"/>
  <c r="K651" i="4"/>
  <c r="J651" i="4"/>
  <c r="S650" i="4"/>
  <c r="M650" i="4"/>
  <c r="O650" i="4" s="1"/>
  <c r="L650" i="4"/>
  <c r="N650" i="4" s="1"/>
  <c r="K650" i="4"/>
  <c r="J650" i="4"/>
  <c r="S649" i="4"/>
  <c r="N649" i="4"/>
  <c r="M649" i="4"/>
  <c r="O649" i="4" s="1"/>
  <c r="L649" i="4"/>
  <c r="K649" i="4"/>
  <c r="J649" i="4"/>
  <c r="S648" i="4"/>
  <c r="P648" i="4"/>
  <c r="D648" i="4" s="1"/>
  <c r="M648" i="4"/>
  <c r="O648" i="4" s="1"/>
  <c r="L648" i="4"/>
  <c r="N648" i="4" s="1"/>
  <c r="K648" i="4"/>
  <c r="J648" i="4"/>
  <c r="F648" i="4"/>
  <c r="E648" i="4"/>
  <c r="S647" i="4"/>
  <c r="M647" i="4"/>
  <c r="O647" i="4" s="1"/>
  <c r="L647" i="4"/>
  <c r="N647" i="4" s="1"/>
  <c r="K647" i="4"/>
  <c r="J647" i="4"/>
  <c r="F647" i="4"/>
  <c r="E647" i="4"/>
  <c r="D647" i="4"/>
  <c r="S646" i="4"/>
  <c r="M646" i="4"/>
  <c r="O646" i="4" s="1"/>
  <c r="L646" i="4"/>
  <c r="N646" i="4" s="1"/>
  <c r="K646" i="4"/>
  <c r="J646" i="4"/>
  <c r="F646" i="4"/>
  <c r="E646" i="4"/>
  <c r="D646" i="4"/>
  <c r="S645" i="4"/>
  <c r="M645" i="4"/>
  <c r="O645" i="4" s="1"/>
  <c r="L645" i="4"/>
  <c r="N645" i="4" s="1"/>
  <c r="K645" i="4"/>
  <c r="J645" i="4"/>
  <c r="F645" i="4"/>
  <c r="E645" i="4"/>
  <c r="D645" i="4"/>
  <c r="S644" i="4"/>
  <c r="M644" i="4"/>
  <c r="O644" i="4" s="1"/>
  <c r="L644" i="4"/>
  <c r="N644" i="4" s="1"/>
  <c r="K644" i="4"/>
  <c r="J644" i="4"/>
  <c r="S643" i="4"/>
  <c r="M643" i="4"/>
  <c r="O643" i="4" s="1"/>
  <c r="L643" i="4"/>
  <c r="N643" i="4" s="1"/>
  <c r="K643" i="4"/>
  <c r="J643" i="4"/>
  <c r="F643" i="4"/>
  <c r="E643" i="4"/>
  <c r="D643" i="4"/>
  <c r="S642" i="4"/>
  <c r="M642" i="4"/>
  <c r="O642" i="4" s="1"/>
  <c r="L642" i="4"/>
  <c r="N642" i="4" s="1"/>
  <c r="K642" i="4"/>
  <c r="J642" i="4"/>
  <c r="S641" i="4"/>
  <c r="M641" i="4"/>
  <c r="O641" i="4" s="1"/>
  <c r="L641" i="4"/>
  <c r="N641" i="4" s="1"/>
  <c r="K641" i="4"/>
  <c r="J641" i="4"/>
  <c r="F641" i="4"/>
  <c r="E641" i="4"/>
  <c r="D641" i="4"/>
  <c r="S640" i="4"/>
  <c r="M640" i="4"/>
  <c r="O640" i="4" s="1"/>
  <c r="L640" i="4"/>
  <c r="N640" i="4" s="1"/>
  <c r="K640" i="4"/>
  <c r="J640" i="4"/>
  <c r="S639" i="4"/>
  <c r="M639" i="4"/>
  <c r="O639" i="4" s="1"/>
  <c r="L639" i="4"/>
  <c r="N639" i="4" s="1"/>
  <c r="K639" i="4"/>
  <c r="J639" i="4"/>
  <c r="S638" i="4"/>
  <c r="M638" i="4"/>
  <c r="O638" i="4" s="1"/>
  <c r="L638" i="4"/>
  <c r="N638" i="4" s="1"/>
  <c r="K638" i="4"/>
  <c r="J638" i="4"/>
  <c r="S637" i="4"/>
  <c r="M637" i="4"/>
  <c r="O637" i="4" s="1"/>
  <c r="L637" i="4"/>
  <c r="N637" i="4" s="1"/>
  <c r="K637" i="4"/>
  <c r="J637" i="4"/>
  <c r="S636" i="4"/>
  <c r="M636" i="4"/>
  <c r="O636" i="4" s="1"/>
  <c r="L636" i="4"/>
  <c r="N636" i="4" s="1"/>
  <c r="K636" i="4"/>
  <c r="J636" i="4"/>
  <c r="S635" i="4"/>
  <c r="M635" i="4"/>
  <c r="O635" i="4" s="1"/>
  <c r="L635" i="4"/>
  <c r="N635" i="4" s="1"/>
  <c r="K635" i="4"/>
  <c r="J635" i="4"/>
  <c r="S634" i="4"/>
  <c r="M634" i="4"/>
  <c r="O634" i="4" s="1"/>
  <c r="L634" i="4"/>
  <c r="N634" i="4" s="1"/>
  <c r="K634" i="4"/>
  <c r="J634" i="4"/>
  <c r="S633" i="4"/>
  <c r="M633" i="4"/>
  <c r="O633" i="4" s="1"/>
  <c r="L633" i="4"/>
  <c r="N633" i="4" s="1"/>
  <c r="K633" i="4"/>
  <c r="J633" i="4"/>
  <c r="S632" i="4"/>
  <c r="M632" i="4"/>
  <c r="O632" i="4" s="1"/>
  <c r="L632" i="4"/>
  <c r="N632" i="4" s="1"/>
  <c r="K632" i="4"/>
  <c r="J632" i="4"/>
  <c r="S631" i="4"/>
  <c r="M631" i="4"/>
  <c r="O631" i="4" s="1"/>
  <c r="L631" i="4"/>
  <c r="N631" i="4" s="1"/>
  <c r="K631" i="4"/>
  <c r="J631" i="4"/>
  <c r="S630" i="4"/>
  <c r="M630" i="4"/>
  <c r="O630" i="4" s="1"/>
  <c r="L630" i="4"/>
  <c r="N630" i="4" s="1"/>
  <c r="K630" i="4"/>
  <c r="J630" i="4"/>
  <c r="S629" i="4"/>
  <c r="M629" i="4"/>
  <c r="O629" i="4" s="1"/>
  <c r="L629" i="4"/>
  <c r="N629" i="4" s="1"/>
  <c r="K629" i="4"/>
  <c r="J629" i="4"/>
  <c r="S628" i="4"/>
  <c r="M628" i="4"/>
  <c r="O628" i="4" s="1"/>
  <c r="L628" i="4"/>
  <c r="N628" i="4" s="1"/>
  <c r="K628" i="4"/>
  <c r="J628" i="4"/>
  <c r="S627" i="4"/>
  <c r="M627" i="4"/>
  <c r="O627" i="4" s="1"/>
  <c r="L627" i="4"/>
  <c r="N627" i="4" s="1"/>
  <c r="K627" i="4"/>
  <c r="J627" i="4"/>
  <c r="S626" i="4"/>
  <c r="M626" i="4"/>
  <c r="O626" i="4" s="1"/>
  <c r="L626" i="4"/>
  <c r="N626" i="4" s="1"/>
  <c r="K626" i="4"/>
  <c r="J626" i="4"/>
  <c r="S625" i="4"/>
  <c r="M625" i="4"/>
  <c r="O625" i="4" s="1"/>
  <c r="L625" i="4"/>
  <c r="N625" i="4" s="1"/>
  <c r="K625" i="4"/>
  <c r="J625" i="4"/>
  <c r="S624" i="4"/>
  <c r="M624" i="4"/>
  <c r="O624" i="4" s="1"/>
  <c r="L624" i="4"/>
  <c r="N624" i="4" s="1"/>
  <c r="K624" i="4"/>
  <c r="J624" i="4"/>
  <c r="S623" i="4"/>
  <c r="M623" i="4"/>
  <c r="O623" i="4" s="1"/>
  <c r="L623" i="4"/>
  <c r="N623" i="4" s="1"/>
  <c r="K623" i="4"/>
  <c r="J623" i="4"/>
  <c r="S622" i="4"/>
  <c r="M622" i="4"/>
  <c r="O622" i="4" s="1"/>
  <c r="L622" i="4"/>
  <c r="N622" i="4" s="1"/>
  <c r="K622" i="4"/>
  <c r="J622" i="4"/>
  <c r="S621" i="4"/>
  <c r="M621" i="4"/>
  <c r="O621" i="4" s="1"/>
  <c r="L621" i="4"/>
  <c r="N621" i="4" s="1"/>
  <c r="K621" i="4"/>
  <c r="J621" i="4"/>
  <c r="M619" i="4"/>
  <c r="O619" i="4" s="1"/>
  <c r="L619" i="4"/>
  <c r="N619" i="4" s="1"/>
  <c r="K619" i="4"/>
  <c r="J619" i="4"/>
  <c r="S618" i="4"/>
  <c r="M618" i="4"/>
  <c r="O618" i="4" s="1"/>
  <c r="L618" i="4"/>
  <c r="N618" i="4" s="1"/>
  <c r="K618" i="4"/>
  <c r="J618" i="4"/>
  <c r="S617" i="4"/>
  <c r="M617" i="4"/>
  <c r="O617" i="4" s="1"/>
  <c r="L617" i="4"/>
  <c r="N617" i="4" s="1"/>
  <c r="K617" i="4"/>
  <c r="J617" i="4"/>
  <c r="S616" i="4"/>
  <c r="M616" i="4"/>
  <c r="O616" i="4" s="1"/>
  <c r="L616" i="4"/>
  <c r="N616" i="4" s="1"/>
  <c r="K616" i="4"/>
  <c r="J616" i="4"/>
  <c r="S615" i="4"/>
  <c r="M615" i="4"/>
  <c r="O615" i="4" s="1"/>
  <c r="L615" i="4"/>
  <c r="N615" i="4" s="1"/>
  <c r="K615" i="4"/>
  <c r="J615" i="4"/>
  <c r="F615" i="4"/>
  <c r="E615" i="4"/>
  <c r="D615" i="4"/>
  <c r="S614" i="4"/>
  <c r="M614" i="4"/>
  <c r="O614" i="4" s="1"/>
  <c r="L614" i="4"/>
  <c r="N614" i="4" s="1"/>
  <c r="K614" i="4"/>
  <c r="J614" i="4"/>
  <c r="S613" i="4"/>
  <c r="M613" i="4"/>
  <c r="O613" i="4" s="1"/>
  <c r="L613" i="4"/>
  <c r="N613" i="4" s="1"/>
  <c r="K613" i="4"/>
  <c r="J613" i="4"/>
  <c r="S612" i="4"/>
  <c r="M612" i="4"/>
  <c r="O612" i="4" s="1"/>
  <c r="L612" i="4"/>
  <c r="N612" i="4" s="1"/>
  <c r="K612" i="4"/>
  <c r="J612" i="4"/>
  <c r="S611" i="4"/>
  <c r="M611" i="4"/>
  <c r="O611" i="4" s="1"/>
  <c r="L611" i="4"/>
  <c r="N611" i="4" s="1"/>
  <c r="K611" i="4"/>
  <c r="J611" i="4"/>
  <c r="S610" i="4"/>
  <c r="M610" i="4"/>
  <c r="O610" i="4" s="1"/>
  <c r="L610" i="4"/>
  <c r="N610" i="4" s="1"/>
  <c r="K610" i="4"/>
  <c r="J610" i="4"/>
  <c r="S609" i="4"/>
  <c r="N609" i="4"/>
  <c r="M609" i="4"/>
  <c r="O609" i="4" s="1"/>
  <c r="L609" i="4"/>
  <c r="K609" i="4"/>
  <c r="J609" i="4"/>
  <c r="S608" i="4"/>
  <c r="M608" i="4"/>
  <c r="O608" i="4" s="1"/>
  <c r="L608" i="4"/>
  <c r="N608" i="4" s="1"/>
  <c r="K608" i="4"/>
  <c r="J608" i="4"/>
  <c r="S607" i="4"/>
  <c r="M607" i="4"/>
  <c r="O607" i="4" s="1"/>
  <c r="L607" i="4"/>
  <c r="N607" i="4" s="1"/>
  <c r="K607" i="4"/>
  <c r="J607" i="4"/>
  <c r="S606" i="4"/>
  <c r="M606" i="4"/>
  <c r="O606" i="4" s="1"/>
  <c r="L606" i="4"/>
  <c r="N606" i="4" s="1"/>
  <c r="K606" i="4"/>
  <c r="J606" i="4"/>
  <c r="S605" i="4"/>
  <c r="M605" i="4"/>
  <c r="O605" i="4" s="1"/>
  <c r="L605" i="4"/>
  <c r="N605" i="4" s="1"/>
  <c r="K605" i="4"/>
  <c r="J605" i="4"/>
  <c r="S604" i="4"/>
  <c r="M604" i="4"/>
  <c r="O604" i="4" s="1"/>
  <c r="L604" i="4"/>
  <c r="N604" i="4" s="1"/>
  <c r="K604" i="4"/>
  <c r="J604" i="4"/>
  <c r="S603" i="4"/>
  <c r="M603" i="4"/>
  <c r="O603" i="4" s="1"/>
  <c r="L603" i="4"/>
  <c r="N603" i="4" s="1"/>
  <c r="K603" i="4"/>
  <c r="J603" i="4"/>
  <c r="M602" i="4"/>
  <c r="O602" i="4" s="1"/>
  <c r="L602" i="4"/>
  <c r="N602" i="4" s="1"/>
  <c r="K602" i="4"/>
  <c r="J602" i="4"/>
  <c r="M601" i="4"/>
  <c r="O601" i="4" s="1"/>
  <c r="L601" i="4"/>
  <c r="N601" i="4" s="1"/>
  <c r="K601" i="4"/>
  <c r="J601" i="4"/>
  <c r="S600" i="4"/>
  <c r="M600" i="4"/>
  <c r="O600" i="4" s="1"/>
  <c r="L600" i="4"/>
  <c r="N600" i="4" s="1"/>
  <c r="K600" i="4"/>
  <c r="J600" i="4"/>
  <c r="S599" i="4"/>
  <c r="M599" i="4"/>
  <c r="O599" i="4" s="1"/>
  <c r="L599" i="4"/>
  <c r="N599" i="4" s="1"/>
  <c r="K599" i="4"/>
  <c r="J599" i="4"/>
  <c r="F599" i="4"/>
  <c r="E599" i="4"/>
  <c r="D599" i="4"/>
  <c r="S598" i="4"/>
  <c r="M598" i="4"/>
  <c r="O598" i="4" s="1"/>
  <c r="L598" i="4"/>
  <c r="N598" i="4" s="1"/>
  <c r="K598" i="4"/>
  <c r="J598" i="4"/>
  <c r="S597" i="4"/>
  <c r="M597" i="4"/>
  <c r="O597" i="4" s="1"/>
  <c r="L597" i="4"/>
  <c r="N597" i="4" s="1"/>
  <c r="K597" i="4"/>
  <c r="J597" i="4"/>
  <c r="S596" i="4"/>
  <c r="M596" i="4"/>
  <c r="O596" i="4" s="1"/>
  <c r="L596" i="4"/>
  <c r="N596" i="4" s="1"/>
  <c r="K596" i="4"/>
  <c r="J596" i="4"/>
  <c r="S595" i="4"/>
  <c r="M595" i="4"/>
  <c r="O595" i="4" s="1"/>
  <c r="L595" i="4"/>
  <c r="N595" i="4" s="1"/>
  <c r="K595" i="4"/>
  <c r="J595" i="4"/>
  <c r="S594" i="4"/>
  <c r="M594" i="4"/>
  <c r="O594" i="4" s="1"/>
  <c r="L594" i="4"/>
  <c r="N594" i="4" s="1"/>
  <c r="K594" i="4"/>
  <c r="J594" i="4"/>
  <c r="S593" i="4"/>
  <c r="M593" i="4"/>
  <c r="O593" i="4" s="1"/>
  <c r="L593" i="4"/>
  <c r="N593" i="4" s="1"/>
  <c r="K593" i="4"/>
  <c r="J593" i="4"/>
  <c r="S592" i="4"/>
  <c r="M592" i="4"/>
  <c r="O592" i="4" s="1"/>
  <c r="L592" i="4"/>
  <c r="N592" i="4" s="1"/>
  <c r="K592" i="4"/>
  <c r="J592" i="4"/>
  <c r="S591" i="4"/>
  <c r="M591" i="4"/>
  <c r="O591" i="4" s="1"/>
  <c r="L591" i="4"/>
  <c r="N591" i="4" s="1"/>
  <c r="K591" i="4"/>
  <c r="J591" i="4"/>
  <c r="S590" i="4"/>
  <c r="M590" i="4"/>
  <c r="O590" i="4" s="1"/>
  <c r="L590" i="4"/>
  <c r="N590" i="4" s="1"/>
  <c r="K590" i="4"/>
  <c r="J590" i="4"/>
  <c r="S589" i="4"/>
  <c r="M589" i="4"/>
  <c r="O589" i="4" s="1"/>
  <c r="L589" i="4"/>
  <c r="N589" i="4" s="1"/>
  <c r="K589" i="4"/>
  <c r="J589" i="4"/>
  <c r="S588" i="4"/>
  <c r="M588" i="4"/>
  <c r="O588" i="4" s="1"/>
  <c r="L588" i="4"/>
  <c r="N588" i="4" s="1"/>
  <c r="K588" i="4"/>
  <c r="J588" i="4"/>
  <c r="S587" i="4"/>
  <c r="M587" i="4"/>
  <c r="O587" i="4" s="1"/>
  <c r="L587" i="4"/>
  <c r="N587" i="4" s="1"/>
  <c r="K587" i="4"/>
  <c r="J587" i="4"/>
  <c r="S586" i="4"/>
  <c r="M586" i="4"/>
  <c r="O586" i="4" s="1"/>
  <c r="L586" i="4"/>
  <c r="N586" i="4" s="1"/>
  <c r="K586" i="4"/>
  <c r="J586" i="4"/>
  <c r="F586" i="4"/>
  <c r="E586" i="4"/>
  <c r="D586" i="4"/>
  <c r="S585" i="4"/>
  <c r="M585" i="4"/>
  <c r="O585" i="4" s="1"/>
  <c r="L585" i="4"/>
  <c r="N585" i="4" s="1"/>
  <c r="K585" i="4"/>
  <c r="J585" i="4"/>
  <c r="S584" i="4"/>
  <c r="M584" i="4"/>
  <c r="O584" i="4" s="1"/>
  <c r="L584" i="4"/>
  <c r="N584" i="4" s="1"/>
  <c r="K584" i="4"/>
  <c r="J584" i="4"/>
  <c r="S583" i="4"/>
  <c r="M583" i="4"/>
  <c r="O583" i="4" s="1"/>
  <c r="L583" i="4"/>
  <c r="N583" i="4" s="1"/>
  <c r="K583" i="4"/>
  <c r="J583" i="4"/>
  <c r="S582" i="4"/>
  <c r="M582" i="4"/>
  <c r="O582" i="4" s="1"/>
  <c r="L582" i="4"/>
  <c r="N582" i="4" s="1"/>
  <c r="K582" i="4"/>
  <c r="J582" i="4"/>
  <c r="S581" i="4"/>
  <c r="M581" i="4"/>
  <c r="O581" i="4" s="1"/>
  <c r="L581" i="4"/>
  <c r="N581" i="4" s="1"/>
  <c r="K581" i="4"/>
  <c r="J581" i="4"/>
  <c r="S580" i="4"/>
  <c r="M580" i="4"/>
  <c r="O580" i="4" s="1"/>
  <c r="L580" i="4"/>
  <c r="N580" i="4" s="1"/>
  <c r="K580" i="4"/>
  <c r="J580" i="4"/>
  <c r="S579" i="4"/>
  <c r="M579" i="4"/>
  <c r="O579" i="4" s="1"/>
  <c r="L579" i="4"/>
  <c r="N579" i="4" s="1"/>
  <c r="K579" i="4"/>
  <c r="J579" i="4"/>
  <c r="S578" i="4"/>
  <c r="M578" i="4"/>
  <c r="O578" i="4" s="1"/>
  <c r="L578" i="4"/>
  <c r="N578" i="4" s="1"/>
  <c r="K578" i="4"/>
  <c r="J578" i="4"/>
  <c r="M577" i="4"/>
  <c r="O577" i="4" s="1"/>
  <c r="L577" i="4"/>
  <c r="N577" i="4" s="1"/>
  <c r="K577" i="4"/>
  <c r="J577" i="4"/>
  <c r="S576" i="4"/>
  <c r="M576" i="4"/>
  <c r="O576" i="4" s="1"/>
  <c r="L576" i="4"/>
  <c r="N576" i="4" s="1"/>
  <c r="K576" i="4"/>
  <c r="J576" i="4"/>
  <c r="S575" i="4"/>
  <c r="M575" i="4"/>
  <c r="O575" i="4" s="1"/>
  <c r="L575" i="4"/>
  <c r="N575" i="4" s="1"/>
  <c r="K575" i="4"/>
  <c r="J575" i="4"/>
  <c r="S574" i="4"/>
  <c r="M574" i="4"/>
  <c r="O574" i="4" s="1"/>
  <c r="L574" i="4"/>
  <c r="N574" i="4" s="1"/>
  <c r="K574" i="4"/>
  <c r="J574" i="4"/>
  <c r="S573" i="4"/>
  <c r="M573" i="4"/>
  <c r="O573" i="4" s="1"/>
  <c r="L573" i="4"/>
  <c r="N573" i="4" s="1"/>
  <c r="K573" i="4"/>
  <c r="J573" i="4"/>
  <c r="S572" i="4"/>
  <c r="M572" i="4"/>
  <c r="O572" i="4" s="1"/>
  <c r="L572" i="4"/>
  <c r="N572" i="4" s="1"/>
  <c r="K572" i="4"/>
  <c r="J572" i="4"/>
  <c r="S571" i="4"/>
  <c r="M571" i="4"/>
  <c r="O571" i="4" s="1"/>
  <c r="L571" i="4"/>
  <c r="N571" i="4" s="1"/>
  <c r="K571" i="4"/>
  <c r="J571" i="4"/>
  <c r="M570" i="4"/>
  <c r="O570" i="4" s="1"/>
  <c r="L570" i="4"/>
  <c r="N570" i="4" s="1"/>
  <c r="K570" i="4"/>
  <c r="J570" i="4"/>
  <c r="P569" i="4"/>
  <c r="M569" i="4"/>
  <c r="O569" i="4" s="1"/>
  <c r="L569" i="4"/>
  <c r="N569" i="4" s="1"/>
  <c r="K569" i="4"/>
  <c r="J569" i="4"/>
  <c r="F569" i="4"/>
  <c r="E569" i="4"/>
  <c r="S568" i="4"/>
  <c r="P568" i="4"/>
  <c r="D568" i="4" s="1"/>
  <c r="M568" i="4"/>
  <c r="O568" i="4" s="1"/>
  <c r="L568" i="4"/>
  <c r="N568" i="4" s="1"/>
  <c r="K568" i="4"/>
  <c r="J568" i="4"/>
  <c r="F568" i="4"/>
  <c r="E568" i="4"/>
  <c r="S567" i="4"/>
  <c r="M567" i="4"/>
  <c r="O567" i="4" s="1"/>
  <c r="L567" i="4"/>
  <c r="N567" i="4" s="1"/>
  <c r="K567" i="4"/>
  <c r="J567" i="4"/>
  <c r="F567" i="4"/>
  <c r="E567" i="4"/>
  <c r="D567" i="4"/>
  <c r="S566" i="4"/>
  <c r="M566" i="4"/>
  <c r="O566" i="4" s="1"/>
  <c r="L566" i="4"/>
  <c r="N566" i="4" s="1"/>
  <c r="K566" i="4"/>
  <c r="J566" i="4"/>
  <c r="F566" i="4"/>
  <c r="E566" i="4"/>
  <c r="D566" i="4"/>
  <c r="S565" i="4"/>
  <c r="M565" i="4"/>
  <c r="O565" i="4" s="1"/>
  <c r="L565" i="4"/>
  <c r="N565" i="4" s="1"/>
  <c r="K565" i="4"/>
  <c r="J565" i="4"/>
  <c r="F565" i="4"/>
  <c r="E565" i="4"/>
  <c r="D565" i="4"/>
  <c r="S564" i="4"/>
  <c r="M564" i="4"/>
  <c r="O564" i="4" s="1"/>
  <c r="L564" i="4"/>
  <c r="N564" i="4" s="1"/>
  <c r="K564" i="4"/>
  <c r="J564" i="4"/>
  <c r="S563" i="4"/>
  <c r="M563" i="4"/>
  <c r="O563" i="4" s="1"/>
  <c r="L563" i="4"/>
  <c r="N563" i="4" s="1"/>
  <c r="K563" i="4"/>
  <c r="J563" i="4"/>
  <c r="F563" i="4"/>
  <c r="E563" i="4"/>
  <c r="D563" i="4"/>
  <c r="S562" i="4"/>
  <c r="M562" i="4"/>
  <c r="O562" i="4" s="1"/>
  <c r="L562" i="4"/>
  <c r="N562" i="4" s="1"/>
  <c r="K562" i="4"/>
  <c r="J562" i="4"/>
  <c r="S561" i="4"/>
  <c r="M561" i="4"/>
  <c r="O561" i="4" s="1"/>
  <c r="L561" i="4"/>
  <c r="N561" i="4" s="1"/>
  <c r="K561" i="4"/>
  <c r="J561" i="4"/>
  <c r="S560" i="4"/>
  <c r="M560" i="4"/>
  <c r="O560" i="4" s="1"/>
  <c r="L560" i="4"/>
  <c r="N560" i="4" s="1"/>
  <c r="K560" i="4"/>
  <c r="J560" i="4"/>
  <c r="S559" i="4"/>
  <c r="M559" i="4"/>
  <c r="O559" i="4" s="1"/>
  <c r="L559" i="4"/>
  <c r="N559" i="4" s="1"/>
  <c r="K559" i="4"/>
  <c r="J559" i="4"/>
  <c r="S558" i="4"/>
  <c r="M558" i="4"/>
  <c r="O558" i="4" s="1"/>
  <c r="L558" i="4"/>
  <c r="N558" i="4" s="1"/>
  <c r="K558" i="4"/>
  <c r="J558" i="4"/>
  <c r="M556" i="4"/>
  <c r="O556" i="4" s="1"/>
  <c r="L556" i="4"/>
  <c r="N556" i="4" s="1"/>
  <c r="K556" i="4"/>
  <c r="J556" i="4"/>
  <c r="M555" i="4"/>
  <c r="O555" i="4" s="1"/>
  <c r="L555" i="4"/>
  <c r="N555" i="4" s="1"/>
  <c r="K555" i="4"/>
  <c r="J555" i="4"/>
  <c r="M554" i="4"/>
  <c r="O554" i="4" s="1"/>
  <c r="L554" i="4"/>
  <c r="N554" i="4" s="1"/>
  <c r="K554" i="4"/>
  <c r="J554" i="4"/>
  <c r="M553" i="4"/>
  <c r="O553" i="4" s="1"/>
  <c r="L553" i="4"/>
  <c r="N553" i="4" s="1"/>
  <c r="K553" i="4"/>
  <c r="J553" i="4"/>
  <c r="M552" i="4"/>
  <c r="O552" i="4" s="1"/>
  <c r="L552" i="4"/>
  <c r="N552" i="4" s="1"/>
  <c r="K552" i="4"/>
  <c r="J552" i="4"/>
  <c r="M551" i="4"/>
  <c r="O551" i="4" s="1"/>
  <c r="L551" i="4"/>
  <c r="N551" i="4" s="1"/>
  <c r="K551" i="4"/>
  <c r="J551" i="4"/>
  <c r="M550" i="4"/>
  <c r="O550" i="4" s="1"/>
  <c r="L550" i="4"/>
  <c r="N550" i="4" s="1"/>
  <c r="K550" i="4"/>
  <c r="J550" i="4"/>
  <c r="M549" i="4"/>
  <c r="O549" i="4" s="1"/>
  <c r="L549" i="4"/>
  <c r="N549" i="4" s="1"/>
  <c r="K549" i="4"/>
  <c r="J549" i="4"/>
  <c r="M548" i="4"/>
  <c r="O548" i="4" s="1"/>
  <c r="L548" i="4"/>
  <c r="N548" i="4" s="1"/>
  <c r="K548" i="4"/>
  <c r="J548" i="4"/>
  <c r="M547" i="4"/>
  <c r="O547" i="4" s="1"/>
  <c r="L547" i="4"/>
  <c r="N547" i="4" s="1"/>
  <c r="K547" i="4"/>
  <c r="J547" i="4"/>
  <c r="M546" i="4"/>
  <c r="O546" i="4" s="1"/>
  <c r="L546" i="4"/>
  <c r="N546" i="4" s="1"/>
  <c r="K546" i="4"/>
  <c r="J546" i="4"/>
  <c r="M545" i="4"/>
  <c r="O545" i="4" s="1"/>
  <c r="L545" i="4"/>
  <c r="N545" i="4" s="1"/>
  <c r="K545" i="4"/>
  <c r="J545" i="4"/>
  <c r="M544" i="4"/>
  <c r="O544" i="4" s="1"/>
  <c r="L544" i="4"/>
  <c r="N544" i="4" s="1"/>
  <c r="K544" i="4"/>
  <c r="J544" i="4"/>
  <c r="M543" i="4"/>
  <c r="O543" i="4" s="1"/>
  <c r="L543" i="4"/>
  <c r="N543" i="4" s="1"/>
  <c r="K543" i="4"/>
  <c r="J543" i="4"/>
  <c r="M542" i="4"/>
  <c r="O542" i="4" s="1"/>
  <c r="L542" i="4"/>
  <c r="N542" i="4" s="1"/>
  <c r="K542" i="4"/>
  <c r="J542" i="4"/>
  <c r="M541" i="4"/>
  <c r="O541" i="4" s="1"/>
  <c r="L541" i="4"/>
  <c r="N541" i="4" s="1"/>
  <c r="K541" i="4"/>
  <c r="J541" i="4"/>
  <c r="M540" i="4"/>
  <c r="O540" i="4" s="1"/>
  <c r="L540" i="4"/>
  <c r="N540" i="4" s="1"/>
  <c r="K540" i="4"/>
  <c r="J540" i="4"/>
  <c r="M539" i="4"/>
  <c r="O539" i="4" s="1"/>
  <c r="L539" i="4"/>
  <c r="N539" i="4" s="1"/>
  <c r="K539" i="4"/>
  <c r="J539" i="4"/>
  <c r="M538" i="4"/>
  <c r="O538" i="4" s="1"/>
  <c r="L538" i="4"/>
  <c r="N538" i="4" s="1"/>
  <c r="K538" i="4"/>
  <c r="J538" i="4"/>
  <c r="M537" i="4"/>
  <c r="O537" i="4" s="1"/>
  <c r="L537" i="4"/>
  <c r="N537" i="4" s="1"/>
  <c r="K537" i="4"/>
  <c r="J537" i="4"/>
  <c r="M536" i="4"/>
  <c r="O536" i="4" s="1"/>
  <c r="L536" i="4"/>
  <c r="N536" i="4" s="1"/>
  <c r="K536" i="4"/>
  <c r="J536" i="4"/>
  <c r="M535" i="4"/>
  <c r="O535" i="4" s="1"/>
  <c r="L535" i="4"/>
  <c r="N535" i="4" s="1"/>
  <c r="K535" i="4"/>
  <c r="J535" i="4"/>
  <c r="M534" i="4"/>
  <c r="O534" i="4" s="1"/>
  <c r="L534" i="4"/>
  <c r="N534" i="4" s="1"/>
  <c r="K534" i="4"/>
  <c r="J534" i="4"/>
  <c r="M533" i="4"/>
  <c r="O533" i="4" s="1"/>
  <c r="L533" i="4"/>
  <c r="N533" i="4" s="1"/>
  <c r="K533" i="4"/>
  <c r="J533" i="4"/>
  <c r="M532" i="4"/>
  <c r="O532" i="4" s="1"/>
  <c r="L532" i="4"/>
  <c r="N532" i="4" s="1"/>
  <c r="K532" i="4"/>
  <c r="J532" i="4"/>
  <c r="M531" i="4"/>
  <c r="O531" i="4" s="1"/>
  <c r="L531" i="4"/>
  <c r="N531" i="4" s="1"/>
  <c r="K531" i="4"/>
  <c r="J531" i="4"/>
  <c r="M530" i="4"/>
  <c r="O530" i="4" s="1"/>
  <c r="L530" i="4"/>
  <c r="N530" i="4" s="1"/>
  <c r="K530" i="4"/>
  <c r="J530" i="4"/>
  <c r="M529" i="4"/>
  <c r="O529" i="4" s="1"/>
  <c r="L529" i="4"/>
  <c r="N529" i="4" s="1"/>
  <c r="K529" i="4"/>
  <c r="J529" i="4"/>
  <c r="M528" i="4"/>
  <c r="O528" i="4" s="1"/>
  <c r="L528" i="4"/>
  <c r="N528" i="4" s="1"/>
  <c r="K528" i="4"/>
  <c r="J528" i="4"/>
  <c r="M527" i="4"/>
  <c r="O527" i="4" s="1"/>
  <c r="L527" i="4"/>
  <c r="N527" i="4" s="1"/>
  <c r="K527" i="4"/>
  <c r="J527" i="4"/>
  <c r="M526" i="4"/>
  <c r="O526" i="4" s="1"/>
  <c r="L526" i="4"/>
  <c r="N526" i="4" s="1"/>
  <c r="K526" i="4"/>
  <c r="J526" i="4"/>
  <c r="M525" i="4"/>
  <c r="O525" i="4" s="1"/>
  <c r="L525" i="4"/>
  <c r="N525" i="4" s="1"/>
  <c r="K525" i="4"/>
  <c r="J525" i="4"/>
  <c r="M524" i="4"/>
  <c r="O524" i="4" s="1"/>
  <c r="L524" i="4"/>
  <c r="N524" i="4" s="1"/>
  <c r="K524" i="4"/>
  <c r="J524" i="4"/>
  <c r="M523" i="4"/>
  <c r="O523" i="4" s="1"/>
  <c r="L523" i="4"/>
  <c r="N523" i="4" s="1"/>
  <c r="K523" i="4"/>
  <c r="J523" i="4"/>
  <c r="M522" i="4"/>
  <c r="O522" i="4" s="1"/>
  <c r="L522" i="4"/>
  <c r="N522" i="4" s="1"/>
  <c r="K522" i="4"/>
  <c r="J522" i="4"/>
  <c r="M521" i="4"/>
  <c r="O521" i="4" s="1"/>
  <c r="L521" i="4"/>
  <c r="N521" i="4" s="1"/>
  <c r="K521" i="4"/>
  <c r="J521" i="4"/>
  <c r="M520" i="4"/>
  <c r="O520" i="4" s="1"/>
  <c r="L520" i="4"/>
  <c r="N520" i="4" s="1"/>
  <c r="K520" i="4"/>
  <c r="J520" i="4"/>
  <c r="M519" i="4"/>
  <c r="O519" i="4" s="1"/>
  <c r="L519" i="4"/>
  <c r="N519" i="4" s="1"/>
  <c r="K519" i="4"/>
  <c r="J519" i="4"/>
  <c r="M518" i="4"/>
  <c r="O518" i="4" s="1"/>
  <c r="L518" i="4"/>
  <c r="N518" i="4" s="1"/>
  <c r="K518" i="4"/>
  <c r="J518" i="4"/>
  <c r="M517" i="4"/>
  <c r="O517" i="4" s="1"/>
  <c r="L517" i="4"/>
  <c r="N517" i="4" s="1"/>
  <c r="K517" i="4"/>
  <c r="J517" i="4"/>
  <c r="M516" i="4"/>
  <c r="O516" i="4" s="1"/>
  <c r="L516" i="4"/>
  <c r="N516" i="4" s="1"/>
  <c r="K516" i="4"/>
  <c r="J516" i="4"/>
  <c r="M515" i="4"/>
  <c r="O515" i="4" s="1"/>
  <c r="L515" i="4"/>
  <c r="N515" i="4" s="1"/>
  <c r="K515" i="4"/>
  <c r="J515" i="4"/>
  <c r="M514" i="4"/>
  <c r="O514" i="4" s="1"/>
  <c r="L514" i="4"/>
  <c r="N514" i="4" s="1"/>
  <c r="K514" i="4"/>
  <c r="J514" i="4"/>
  <c r="M513" i="4"/>
  <c r="O513" i="4" s="1"/>
  <c r="L513" i="4"/>
  <c r="N513" i="4" s="1"/>
  <c r="K513" i="4"/>
  <c r="J513" i="4"/>
  <c r="M512" i="4"/>
  <c r="O512" i="4" s="1"/>
  <c r="L512" i="4"/>
  <c r="N512" i="4" s="1"/>
  <c r="K512" i="4"/>
  <c r="J512" i="4"/>
  <c r="M511" i="4"/>
  <c r="O511" i="4" s="1"/>
  <c r="L511" i="4"/>
  <c r="N511" i="4" s="1"/>
  <c r="K511" i="4"/>
  <c r="J511" i="4"/>
  <c r="M510" i="4"/>
  <c r="O510" i="4" s="1"/>
  <c r="L510" i="4"/>
  <c r="N510" i="4" s="1"/>
  <c r="K510" i="4"/>
  <c r="J510" i="4"/>
  <c r="M509" i="4"/>
  <c r="O509" i="4" s="1"/>
  <c r="L509" i="4"/>
  <c r="N509" i="4" s="1"/>
  <c r="K509" i="4"/>
  <c r="J509" i="4"/>
  <c r="M508" i="4"/>
  <c r="O508" i="4" s="1"/>
  <c r="L508" i="4"/>
  <c r="N508" i="4" s="1"/>
  <c r="K508" i="4"/>
  <c r="J508" i="4"/>
  <c r="M507" i="4"/>
  <c r="O507" i="4" s="1"/>
  <c r="L507" i="4"/>
  <c r="N507" i="4" s="1"/>
  <c r="K507" i="4"/>
  <c r="J507" i="4"/>
  <c r="M506" i="4"/>
  <c r="O506" i="4" s="1"/>
  <c r="L506" i="4"/>
  <c r="N506" i="4" s="1"/>
  <c r="K506" i="4"/>
  <c r="J506" i="4"/>
  <c r="M505" i="4"/>
  <c r="O505" i="4" s="1"/>
  <c r="L505" i="4"/>
  <c r="N505" i="4" s="1"/>
  <c r="K505" i="4"/>
  <c r="J505" i="4"/>
  <c r="M504" i="4"/>
  <c r="O504" i="4" s="1"/>
  <c r="L504" i="4"/>
  <c r="N504" i="4" s="1"/>
  <c r="K504" i="4"/>
  <c r="J504" i="4"/>
  <c r="M503" i="4"/>
  <c r="O503" i="4" s="1"/>
  <c r="L503" i="4"/>
  <c r="N503" i="4" s="1"/>
  <c r="K503" i="4"/>
  <c r="J503" i="4"/>
  <c r="M502" i="4"/>
  <c r="O502" i="4" s="1"/>
  <c r="L502" i="4"/>
  <c r="N502" i="4" s="1"/>
  <c r="K502" i="4"/>
  <c r="J502" i="4"/>
  <c r="M501" i="4"/>
  <c r="O501" i="4" s="1"/>
  <c r="L501" i="4"/>
  <c r="N501" i="4" s="1"/>
  <c r="K501" i="4"/>
  <c r="J501" i="4"/>
  <c r="M500" i="4"/>
  <c r="O500" i="4" s="1"/>
  <c r="L500" i="4"/>
  <c r="N500" i="4" s="1"/>
  <c r="K500" i="4"/>
  <c r="J500" i="4"/>
  <c r="M499" i="4"/>
  <c r="O499" i="4" s="1"/>
  <c r="L499" i="4"/>
  <c r="N499" i="4" s="1"/>
  <c r="K499" i="4"/>
  <c r="J499" i="4"/>
  <c r="M498" i="4"/>
  <c r="O498" i="4" s="1"/>
  <c r="L498" i="4"/>
  <c r="N498" i="4" s="1"/>
  <c r="K498" i="4"/>
  <c r="J498" i="4"/>
  <c r="M497" i="4"/>
  <c r="O497" i="4" s="1"/>
  <c r="L497" i="4"/>
  <c r="N497" i="4" s="1"/>
  <c r="K497" i="4"/>
  <c r="J497" i="4"/>
  <c r="M496" i="4"/>
  <c r="O496" i="4" s="1"/>
  <c r="L496" i="4"/>
  <c r="N496" i="4" s="1"/>
  <c r="K496" i="4"/>
  <c r="J496" i="4"/>
  <c r="M495" i="4"/>
  <c r="O495" i="4" s="1"/>
  <c r="L495" i="4"/>
  <c r="N495" i="4" s="1"/>
  <c r="K495" i="4"/>
  <c r="J495" i="4"/>
  <c r="M494" i="4"/>
  <c r="O494" i="4" s="1"/>
  <c r="L494" i="4"/>
  <c r="N494" i="4" s="1"/>
  <c r="K494" i="4"/>
  <c r="J494" i="4"/>
  <c r="M493" i="4"/>
  <c r="O493" i="4" s="1"/>
  <c r="L493" i="4"/>
  <c r="N493" i="4" s="1"/>
  <c r="K493" i="4"/>
  <c r="J493" i="4"/>
  <c r="M492" i="4"/>
  <c r="O492" i="4" s="1"/>
  <c r="L492" i="4"/>
  <c r="N492" i="4" s="1"/>
  <c r="K492" i="4"/>
  <c r="J492" i="4"/>
  <c r="M491" i="4"/>
  <c r="O491" i="4" s="1"/>
  <c r="L491" i="4"/>
  <c r="N491" i="4" s="1"/>
  <c r="K491" i="4"/>
  <c r="J491" i="4"/>
  <c r="M490" i="4"/>
  <c r="O490" i="4" s="1"/>
  <c r="L490" i="4"/>
  <c r="N490" i="4" s="1"/>
  <c r="K490" i="4"/>
  <c r="J490" i="4"/>
  <c r="P489" i="4"/>
  <c r="D489" i="4" s="1"/>
  <c r="M489" i="4"/>
  <c r="O489" i="4" s="1"/>
  <c r="L489" i="4"/>
  <c r="N489" i="4" s="1"/>
  <c r="K489" i="4"/>
  <c r="J489" i="4"/>
  <c r="F489" i="4"/>
  <c r="E489" i="4"/>
  <c r="P488" i="4"/>
  <c r="M488" i="4"/>
  <c r="O488" i="4" s="1"/>
  <c r="L488" i="4"/>
  <c r="N488" i="4" s="1"/>
  <c r="K488" i="4"/>
  <c r="J488" i="4"/>
  <c r="F488" i="4"/>
  <c r="E488" i="4"/>
  <c r="D488" i="4"/>
  <c r="M487" i="4"/>
  <c r="O487" i="4" s="1"/>
  <c r="L487" i="4"/>
  <c r="N487" i="4" s="1"/>
  <c r="K487" i="4"/>
  <c r="J487" i="4"/>
  <c r="F487" i="4"/>
  <c r="E487" i="4"/>
  <c r="D487" i="4"/>
  <c r="M486" i="4"/>
  <c r="O486" i="4" s="1"/>
  <c r="L486" i="4"/>
  <c r="N486" i="4" s="1"/>
  <c r="K486" i="4"/>
  <c r="J486" i="4"/>
  <c r="F486" i="4"/>
  <c r="E486" i="4"/>
  <c r="D486" i="4"/>
  <c r="P485" i="4"/>
  <c r="D485" i="4" s="1"/>
  <c r="M485" i="4"/>
  <c r="O485" i="4" s="1"/>
  <c r="L485" i="4"/>
  <c r="N485" i="4" s="1"/>
  <c r="K485" i="4"/>
  <c r="J485" i="4"/>
  <c r="F485" i="4"/>
  <c r="E485" i="4"/>
  <c r="M484" i="4"/>
  <c r="O484" i="4" s="1"/>
  <c r="L484" i="4"/>
  <c r="N484" i="4" s="1"/>
  <c r="K484" i="4"/>
  <c r="J484" i="4"/>
  <c r="M483" i="4"/>
  <c r="O483" i="4" s="1"/>
  <c r="L483" i="4"/>
  <c r="N483" i="4" s="1"/>
  <c r="K483" i="4"/>
  <c r="J483" i="4"/>
  <c r="M482" i="4"/>
  <c r="O482" i="4" s="1"/>
  <c r="L482" i="4"/>
  <c r="N482" i="4" s="1"/>
  <c r="K482" i="4"/>
  <c r="J482" i="4"/>
  <c r="M481" i="4"/>
  <c r="O481" i="4" s="1"/>
  <c r="L481" i="4"/>
  <c r="N481" i="4" s="1"/>
  <c r="K481" i="4"/>
  <c r="J481" i="4"/>
  <c r="M480" i="4"/>
  <c r="O480" i="4" s="1"/>
  <c r="L480" i="4"/>
  <c r="N480" i="4" s="1"/>
  <c r="K480" i="4"/>
  <c r="J480" i="4"/>
  <c r="M479" i="4"/>
  <c r="O479" i="4" s="1"/>
  <c r="L479" i="4"/>
  <c r="N479" i="4" s="1"/>
  <c r="K479" i="4"/>
  <c r="J479" i="4"/>
  <c r="M478" i="4"/>
  <c r="O478" i="4" s="1"/>
  <c r="L478" i="4"/>
  <c r="N478" i="4" s="1"/>
  <c r="K478" i="4"/>
  <c r="J478" i="4"/>
  <c r="M477" i="4"/>
  <c r="O477" i="4" s="1"/>
  <c r="L477" i="4"/>
  <c r="N477" i="4" s="1"/>
  <c r="K477" i="4"/>
  <c r="J477" i="4"/>
  <c r="M476" i="4"/>
  <c r="O476" i="4" s="1"/>
  <c r="L476" i="4"/>
  <c r="N476" i="4" s="1"/>
  <c r="K476" i="4"/>
  <c r="J476" i="4"/>
  <c r="M475" i="4"/>
  <c r="O475" i="4" s="1"/>
  <c r="L475" i="4"/>
  <c r="N475" i="4" s="1"/>
  <c r="K475" i="4"/>
  <c r="J475" i="4"/>
  <c r="M474" i="4"/>
  <c r="O474" i="4" s="1"/>
  <c r="L474" i="4"/>
  <c r="N474" i="4" s="1"/>
  <c r="K474" i="4"/>
  <c r="J474" i="4"/>
  <c r="M473" i="4"/>
  <c r="O473" i="4" s="1"/>
  <c r="L473" i="4"/>
  <c r="N473" i="4" s="1"/>
  <c r="K473" i="4"/>
  <c r="J473" i="4"/>
  <c r="M472" i="4"/>
  <c r="O472" i="4" s="1"/>
  <c r="L472" i="4"/>
  <c r="N472" i="4" s="1"/>
  <c r="K472" i="4"/>
  <c r="J472" i="4"/>
  <c r="M471" i="4"/>
  <c r="O471" i="4" s="1"/>
  <c r="L471" i="4"/>
  <c r="N471" i="4" s="1"/>
  <c r="K471" i="4"/>
  <c r="J471" i="4"/>
  <c r="M470" i="4"/>
  <c r="O470" i="4" s="1"/>
  <c r="L470" i="4"/>
  <c r="N470" i="4" s="1"/>
  <c r="K470" i="4"/>
  <c r="J470" i="4"/>
  <c r="M469" i="4"/>
  <c r="O469" i="4" s="1"/>
  <c r="L469" i="4"/>
  <c r="N469" i="4" s="1"/>
  <c r="K469" i="4"/>
  <c r="J469" i="4"/>
  <c r="M468" i="4"/>
  <c r="O468" i="4" s="1"/>
  <c r="L468" i="4"/>
  <c r="N468" i="4" s="1"/>
  <c r="K468" i="4"/>
  <c r="J468" i="4"/>
  <c r="M467" i="4"/>
  <c r="O467" i="4" s="1"/>
  <c r="L467" i="4"/>
  <c r="N467" i="4" s="1"/>
  <c r="K467" i="4"/>
  <c r="J467" i="4"/>
  <c r="M466" i="4"/>
  <c r="O466" i="4" s="1"/>
  <c r="L466" i="4"/>
  <c r="N466" i="4" s="1"/>
  <c r="K466" i="4"/>
  <c r="J466" i="4"/>
  <c r="M464" i="4"/>
  <c r="O464" i="4" s="1"/>
  <c r="L464" i="4"/>
  <c r="N464" i="4" s="1"/>
  <c r="K464" i="4"/>
  <c r="J464" i="4"/>
  <c r="M463" i="4"/>
  <c r="O463" i="4" s="1"/>
  <c r="L463" i="4"/>
  <c r="N463" i="4" s="1"/>
  <c r="K463" i="4"/>
  <c r="J463" i="4"/>
  <c r="M462" i="4"/>
  <c r="O462" i="4" s="1"/>
  <c r="L462" i="4"/>
  <c r="N462" i="4" s="1"/>
  <c r="K462" i="4"/>
  <c r="J462" i="4"/>
  <c r="M461" i="4"/>
  <c r="O461" i="4" s="1"/>
  <c r="L461" i="4"/>
  <c r="N461" i="4" s="1"/>
  <c r="K461" i="4"/>
  <c r="J461" i="4"/>
  <c r="M460" i="4"/>
  <c r="O460" i="4" s="1"/>
  <c r="L460" i="4"/>
  <c r="N460" i="4" s="1"/>
  <c r="K460" i="4"/>
  <c r="J460" i="4"/>
  <c r="M459" i="4"/>
  <c r="O459" i="4" s="1"/>
  <c r="L459" i="4"/>
  <c r="N459" i="4" s="1"/>
  <c r="K459" i="4"/>
  <c r="J459" i="4"/>
  <c r="M458" i="4"/>
  <c r="O458" i="4" s="1"/>
  <c r="L458" i="4"/>
  <c r="N458" i="4" s="1"/>
  <c r="K458" i="4"/>
  <c r="J458" i="4"/>
  <c r="M457" i="4"/>
  <c r="O457" i="4" s="1"/>
  <c r="L457" i="4"/>
  <c r="N457" i="4" s="1"/>
  <c r="K457" i="4"/>
  <c r="J457" i="4"/>
  <c r="M456" i="4"/>
  <c r="O456" i="4" s="1"/>
  <c r="L456" i="4"/>
  <c r="N456" i="4" s="1"/>
  <c r="K456" i="4"/>
  <c r="J456" i="4"/>
  <c r="M455" i="4"/>
  <c r="O455" i="4" s="1"/>
  <c r="L455" i="4"/>
  <c r="N455" i="4" s="1"/>
  <c r="K455" i="4"/>
  <c r="J455" i="4"/>
  <c r="M454" i="4"/>
  <c r="O454" i="4" s="1"/>
  <c r="L454" i="4"/>
  <c r="N454" i="4" s="1"/>
  <c r="K454" i="4"/>
  <c r="J454" i="4"/>
  <c r="M453" i="4"/>
  <c r="O453" i="4" s="1"/>
  <c r="L453" i="4"/>
  <c r="N453" i="4" s="1"/>
  <c r="K453" i="4"/>
  <c r="J453" i="4"/>
  <c r="M452" i="4"/>
  <c r="O452" i="4" s="1"/>
  <c r="L452" i="4"/>
  <c r="N452" i="4" s="1"/>
  <c r="K452" i="4"/>
  <c r="J452" i="4"/>
  <c r="M451" i="4"/>
  <c r="O451" i="4" s="1"/>
  <c r="L451" i="4"/>
  <c r="N451" i="4" s="1"/>
  <c r="K451" i="4"/>
  <c r="J451" i="4"/>
  <c r="M450" i="4"/>
  <c r="O450" i="4" s="1"/>
  <c r="L450" i="4"/>
  <c r="N450" i="4" s="1"/>
  <c r="K450" i="4"/>
  <c r="J450" i="4"/>
  <c r="M449" i="4"/>
  <c r="O449" i="4" s="1"/>
  <c r="L449" i="4"/>
  <c r="N449" i="4" s="1"/>
  <c r="K449" i="4"/>
  <c r="J449" i="4"/>
  <c r="M448" i="4"/>
  <c r="O448" i="4" s="1"/>
  <c r="L448" i="4"/>
  <c r="N448" i="4" s="1"/>
  <c r="K448" i="4"/>
  <c r="J448" i="4"/>
  <c r="M447" i="4"/>
  <c r="O447" i="4" s="1"/>
  <c r="L447" i="4"/>
  <c r="N447" i="4" s="1"/>
  <c r="K447" i="4"/>
  <c r="J447" i="4"/>
  <c r="M446" i="4"/>
  <c r="O446" i="4" s="1"/>
  <c r="L446" i="4"/>
  <c r="N446" i="4" s="1"/>
  <c r="K446" i="4"/>
  <c r="J446" i="4"/>
  <c r="M445" i="4"/>
  <c r="O445" i="4" s="1"/>
  <c r="L445" i="4"/>
  <c r="N445" i="4" s="1"/>
  <c r="K445" i="4"/>
  <c r="J445" i="4"/>
  <c r="M444" i="4"/>
  <c r="O444" i="4" s="1"/>
  <c r="L444" i="4"/>
  <c r="N444" i="4" s="1"/>
  <c r="K444" i="4"/>
  <c r="J444" i="4"/>
  <c r="M443" i="4"/>
  <c r="O443" i="4" s="1"/>
  <c r="L443" i="4"/>
  <c r="N443" i="4" s="1"/>
  <c r="K443" i="4"/>
  <c r="J443" i="4"/>
  <c r="M442" i="4"/>
  <c r="O442" i="4" s="1"/>
  <c r="L442" i="4"/>
  <c r="N442" i="4" s="1"/>
  <c r="K442" i="4"/>
  <c r="J442" i="4"/>
  <c r="F442" i="4"/>
  <c r="E442" i="4"/>
  <c r="D442" i="4"/>
  <c r="M441" i="4"/>
  <c r="O441" i="4" s="1"/>
  <c r="L441" i="4"/>
  <c r="N441" i="4" s="1"/>
  <c r="K441" i="4"/>
  <c r="J441" i="4"/>
  <c r="M439" i="4"/>
  <c r="O439" i="4" s="1"/>
  <c r="L439" i="4"/>
  <c r="N439" i="4" s="1"/>
  <c r="K439" i="4"/>
  <c r="J439" i="4"/>
  <c r="M438" i="4"/>
  <c r="O438" i="4" s="1"/>
  <c r="L438" i="4"/>
  <c r="N438" i="4" s="1"/>
  <c r="K438" i="4"/>
  <c r="J438" i="4"/>
  <c r="M437" i="4"/>
  <c r="O437" i="4" s="1"/>
  <c r="L437" i="4"/>
  <c r="N437" i="4" s="1"/>
  <c r="K437" i="4"/>
  <c r="J437" i="4"/>
  <c r="M436" i="4"/>
  <c r="O436" i="4" s="1"/>
  <c r="L436" i="4"/>
  <c r="N436" i="4" s="1"/>
  <c r="K436" i="4"/>
  <c r="J436" i="4"/>
  <c r="M435" i="4"/>
  <c r="O435" i="4" s="1"/>
  <c r="L435" i="4"/>
  <c r="N435" i="4" s="1"/>
  <c r="K435" i="4"/>
  <c r="J435" i="4"/>
  <c r="M434" i="4"/>
  <c r="O434" i="4" s="1"/>
  <c r="L434" i="4"/>
  <c r="N434" i="4" s="1"/>
  <c r="K434" i="4"/>
  <c r="J434" i="4"/>
  <c r="M433" i="4"/>
  <c r="O433" i="4" s="1"/>
  <c r="L433" i="4"/>
  <c r="N433" i="4" s="1"/>
  <c r="K433" i="4"/>
  <c r="J433" i="4"/>
  <c r="M432" i="4"/>
  <c r="O432" i="4" s="1"/>
  <c r="L432" i="4"/>
  <c r="N432" i="4" s="1"/>
  <c r="K432" i="4"/>
  <c r="J432" i="4"/>
  <c r="M431" i="4"/>
  <c r="O431" i="4" s="1"/>
  <c r="L431" i="4"/>
  <c r="N431" i="4" s="1"/>
  <c r="K431" i="4"/>
  <c r="J431" i="4"/>
  <c r="M430" i="4"/>
  <c r="O430" i="4" s="1"/>
  <c r="L430" i="4"/>
  <c r="N430" i="4" s="1"/>
  <c r="K430" i="4"/>
  <c r="J430" i="4"/>
  <c r="M429" i="4"/>
  <c r="O429" i="4" s="1"/>
  <c r="L429" i="4"/>
  <c r="N429" i="4" s="1"/>
  <c r="K429" i="4"/>
  <c r="J429" i="4"/>
  <c r="M428" i="4"/>
  <c r="O428" i="4" s="1"/>
  <c r="L428" i="4"/>
  <c r="N428" i="4" s="1"/>
  <c r="K428" i="4"/>
  <c r="J428" i="4"/>
  <c r="M427" i="4"/>
  <c r="O427" i="4" s="1"/>
  <c r="L427" i="4"/>
  <c r="N427" i="4" s="1"/>
  <c r="K427" i="4"/>
  <c r="J427" i="4"/>
  <c r="M426" i="4"/>
  <c r="O426" i="4" s="1"/>
  <c r="L426" i="4"/>
  <c r="N426" i="4" s="1"/>
  <c r="K426" i="4"/>
  <c r="J426" i="4"/>
  <c r="M425" i="4"/>
  <c r="O425" i="4" s="1"/>
  <c r="L425" i="4"/>
  <c r="N425" i="4" s="1"/>
  <c r="K425" i="4"/>
  <c r="J425" i="4"/>
  <c r="M424" i="4"/>
  <c r="O424" i="4" s="1"/>
  <c r="L424" i="4"/>
  <c r="N424" i="4" s="1"/>
  <c r="K424" i="4"/>
  <c r="J424" i="4"/>
  <c r="M423" i="4"/>
  <c r="O423" i="4" s="1"/>
  <c r="L423" i="4"/>
  <c r="N423" i="4" s="1"/>
  <c r="K423" i="4"/>
  <c r="J423" i="4"/>
  <c r="F423" i="4"/>
  <c r="E423" i="4"/>
  <c r="D423" i="4"/>
  <c r="M422" i="4"/>
  <c r="O422" i="4" s="1"/>
  <c r="L422" i="4"/>
  <c r="N422" i="4" s="1"/>
  <c r="K422" i="4"/>
  <c r="J422" i="4"/>
  <c r="M421" i="4"/>
  <c r="O421" i="4" s="1"/>
  <c r="L421" i="4"/>
  <c r="N421" i="4" s="1"/>
  <c r="K421" i="4"/>
  <c r="J421" i="4"/>
  <c r="M420" i="4"/>
  <c r="O420" i="4" s="1"/>
  <c r="L420" i="4"/>
  <c r="N420" i="4" s="1"/>
  <c r="K420" i="4"/>
  <c r="J420" i="4"/>
  <c r="M419" i="4"/>
  <c r="O419" i="4" s="1"/>
  <c r="L419" i="4"/>
  <c r="N419" i="4" s="1"/>
  <c r="K419" i="4"/>
  <c r="J419" i="4"/>
  <c r="M418" i="4"/>
  <c r="O418" i="4" s="1"/>
  <c r="L418" i="4"/>
  <c r="N418" i="4" s="1"/>
  <c r="K418" i="4"/>
  <c r="J418" i="4"/>
  <c r="M417" i="4"/>
  <c r="O417" i="4" s="1"/>
  <c r="L417" i="4"/>
  <c r="N417" i="4" s="1"/>
  <c r="K417" i="4"/>
  <c r="J417" i="4"/>
  <c r="M416" i="4"/>
  <c r="O416" i="4" s="1"/>
  <c r="L416" i="4"/>
  <c r="N416" i="4" s="1"/>
  <c r="K416" i="4"/>
  <c r="J416" i="4"/>
  <c r="M415" i="4"/>
  <c r="O415" i="4" s="1"/>
  <c r="L415" i="4"/>
  <c r="N415" i="4" s="1"/>
  <c r="K415" i="4"/>
  <c r="J415" i="4"/>
  <c r="M414" i="4"/>
  <c r="O414" i="4" s="1"/>
  <c r="L414" i="4"/>
  <c r="N414" i="4" s="1"/>
  <c r="K414" i="4"/>
  <c r="J414" i="4"/>
  <c r="M413" i="4"/>
  <c r="O413" i="4" s="1"/>
  <c r="L413" i="4"/>
  <c r="N413" i="4" s="1"/>
  <c r="K413" i="4"/>
  <c r="J413" i="4"/>
  <c r="M412" i="4"/>
  <c r="O412" i="4" s="1"/>
  <c r="L412" i="4"/>
  <c r="N412" i="4" s="1"/>
  <c r="K412" i="4"/>
  <c r="J412" i="4"/>
  <c r="M411" i="4"/>
  <c r="O411" i="4" s="1"/>
  <c r="L411" i="4"/>
  <c r="N411" i="4" s="1"/>
  <c r="K411" i="4"/>
  <c r="J411" i="4"/>
  <c r="M410" i="4"/>
  <c r="O410" i="4" s="1"/>
  <c r="L410" i="4"/>
  <c r="N410" i="4" s="1"/>
  <c r="K410" i="4"/>
  <c r="J410" i="4"/>
  <c r="M409" i="4"/>
  <c r="O409" i="4" s="1"/>
  <c r="L409" i="4"/>
  <c r="N409" i="4" s="1"/>
  <c r="K409" i="4"/>
  <c r="J409" i="4"/>
  <c r="M408" i="4"/>
  <c r="O408" i="4" s="1"/>
  <c r="L408" i="4"/>
  <c r="N408" i="4" s="1"/>
  <c r="K408" i="4"/>
  <c r="J408" i="4"/>
  <c r="M407" i="4"/>
  <c r="O407" i="4" s="1"/>
  <c r="L407" i="4"/>
  <c r="N407" i="4" s="1"/>
  <c r="K407" i="4"/>
  <c r="J407" i="4"/>
  <c r="M406" i="4"/>
  <c r="O406" i="4" s="1"/>
  <c r="L406" i="4"/>
  <c r="N406" i="4" s="1"/>
  <c r="K406" i="4"/>
  <c r="J406" i="4"/>
  <c r="M405" i="4"/>
  <c r="O405" i="4" s="1"/>
  <c r="L405" i="4"/>
  <c r="N405" i="4" s="1"/>
  <c r="K405" i="4"/>
  <c r="J405" i="4"/>
  <c r="M404" i="4"/>
  <c r="O404" i="4" s="1"/>
  <c r="L404" i="4"/>
  <c r="N404" i="4" s="1"/>
  <c r="K404" i="4"/>
  <c r="J404" i="4"/>
  <c r="M403" i="4"/>
  <c r="O403" i="4" s="1"/>
  <c r="L403" i="4"/>
  <c r="N403" i="4" s="1"/>
  <c r="K403" i="4"/>
  <c r="J403" i="4"/>
  <c r="M402" i="4"/>
  <c r="O402" i="4" s="1"/>
  <c r="L402" i="4"/>
  <c r="N402" i="4" s="1"/>
  <c r="K402" i="4"/>
  <c r="J402" i="4"/>
  <c r="M401" i="4"/>
  <c r="O401" i="4" s="1"/>
  <c r="L401" i="4"/>
  <c r="N401" i="4" s="1"/>
  <c r="K401" i="4"/>
  <c r="J401" i="4"/>
  <c r="P400" i="4"/>
  <c r="D400" i="4" s="1"/>
  <c r="M400" i="4"/>
  <c r="O400" i="4" s="1"/>
  <c r="L400" i="4"/>
  <c r="N400" i="4" s="1"/>
  <c r="K400" i="4"/>
  <c r="J400" i="4"/>
  <c r="F400" i="4"/>
  <c r="E400" i="4"/>
  <c r="M399" i="4"/>
  <c r="O399" i="4" s="1"/>
  <c r="L399" i="4"/>
  <c r="N399" i="4" s="1"/>
  <c r="K399" i="4"/>
  <c r="J399" i="4"/>
  <c r="M398" i="4"/>
  <c r="O398" i="4" s="1"/>
  <c r="L398" i="4"/>
  <c r="N398" i="4" s="1"/>
  <c r="K398" i="4"/>
  <c r="J398" i="4"/>
  <c r="P397" i="4"/>
  <c r="D397" i="4" s="1"/>
  <c r="M397" i="4"/>
  <c r="O397" i="4" s="1"/>
  <c r="L397" i="4"/>
  <c r="N397" i="4" s="1"/>
  <c r="K397" i="4"/>
  <c r="J397" i="4"/>
  <c r="F397" i="4"/>
  <c r="E397" i="4"/>
  <c r="M396" i="4"/>
  <c r="O396" i="4" s="1"/>
  <c r="L396" i="4"/>
  <c r="N396" i="4" s="1"/>
  <c r="K396" i="4"/>
  <c r="J396" i="4"/>
  <c r="M395" i="4"/>
  <c r="O395" i="4" s="1"/>
  <c r="L395" i="4"/>
  <c r="N395" i="4" s="1"/>
  <c r="K395" i="4"/>
  <c r="J395" i="4"/>
  <c r="F395" i="4"/>
  <c r="E395" i="4"/>
  <c r="D395" i="4"/>
  <c r="M394" i="4"/>
  <c r="O394" i="4" s="1"/>
  <c r="L394" i="4"/>
  <c r="N394" i="4" s="1"/>
  <c r="K394" i="4"/>
  <c r="J394" i="4"/>
  <c r="F394" i="4"/>
  <c r="E394" i="4"/>
  <c r="D394" i="4"/>
  <c r="P393" i="4"/>
  <c r="D393" i="4" s="1"/>
  <c r="M393" i="4"/>
  <c r="O393" i="4" s="1"/>
  <c r="L393" i="4"/>
  <c r="N393" i="4" s="1"/>
  <c r="K393" i="4"/>
  <c r="J393" i="4"/>
  <c r="F393" i="4"/>
  <c r="E393" i="4"/>
  <c r="M392" i="4"/>
  <c r="O392" i="4" s="1"/>
  <c r="L392" i="4"/>
  <c r="N392" i="4" s="1"/>
  <c r="K392" i="4"/>
  <c r="J392" i="4"/>
  <c r="M391" i="4"/>
  <c r="O391" i="4" s="1"/>
  <c r="L391" i="4"/>
  <c r="N391" i="4" s="1"/>
  <c r="K391" i="4"/>
  <c r="J391" i="4"/>
  <c r="M390" i="4"/>
  <c r="O390" i="4" s="1"/>
  <c r="L390" i="4"/>
  <c r="N390" i="4" s="1"/>
  <c r="K390" i="4"/>
  <c r="J390" i="4"/>
  <c r="M389" i="4"/>
  <c r="O389" i="4" s="1"/>
  <c r="L389" i="4"/>
  <c r="N389" i="4" s="1"/>
  <c r="K389" i="4"/>
  <c r="J389" i="4"/>
  <c r="M388" i="4"/>
  <c r="O388" i="4" s="1"/>
  <c r="L388" i="4"/>
  <c r="N388" i="4" s="1"/>
  <c r="K388" i="4"/>
  <c r="J388" i="4"/>
  <c r="M387" i="4"/>
  <c r="O387" i="4" s="1"/>
  <c r="L387" i="4"/>
  <c r="N387" i="4" s="1"/>
  <c r="K387" i="4"/>
  <c r="J387" i="4"/>
  <c r="M386" i="4"/>
  <c r="O386" i="4" s="1"/>
  <c r="L386" i="4"/>
  <c r="N386" i="4" s="1"/>
  <c r="K386" i="4"/>
  <c r="J386" i="4"/>
  <c r="M385" i="4"/>
  <c r="O385" i="4" s="1"/>
  <c r="L385" i="4"/>
  <c r="N385" i="4" s="1"/>
  <c r="K385" i="4"/>
  <c r="J385" i="4"/>
  <c r="M384" i="4"/>
  <c r="O384" i="4" s="1"/>
  <c r="L384" i="4"/>
  <c r="N384" i="4" s="1"/>
  <c r="K384" i="4"/>
  <c r="J384" i="4"/>
  <c r="M383" i="4"/>
  <c r="O383" i="4" s="1"/>
  <c r="L383" i="4"/>
  <c r="N383" i="4" s="1"/>
  <c r="K383" i="4"/>
  <c r="J383" i="4"/>
  <c r="F383" i="4"/>
  <c r="E383" i="4"/>
  <c r="D383" i="4"/>
  <c r="M382" i="4"/>
  <c r="O382" i="4" s="1"/>
  <c r="L382" i="4"/>
  <c r="N382" i="4" s="1"/>
  <c r="K382" i="4"/>
  <c r="J382" i="4"/>
  <c r="M381" i="4"/>
  <c r="O381" i="4" s="1"/>
  <c r="L381" i="4"/>
  <c r="N381" i="4" s="1"/>
  <c r="K381" i="4"/>
  <c r="J381" i="4"/>
  <c r="M380" i="4"/>
  <c r="O380" i="4" s="1"/>
  <c r="L380" i="4"/>
  <c r="N380" i="4" s="1"/>
  <c r="K380" i="4"/>
  <c r="J380" i="4"/>
  <c r="S379" i="4"/>
  <c r="M379" i="4"/>
  <c r="O379" i="4" s="1"/>
  <c r="L379" i="4"/>
  <c r="N379" i="4" s="1"/>
  <c r="K379" i="4"/>
  <c r="J379" i="4"/>
  <c r="M377" i="4"/>
  <c r="O377" i="4" s="1"/>
  <c r="L377" i="4"/>
  <c r="N377" i="4" s="1"/>
  <c r="K377" i="4"/>
  <c r="J377" i="4"/>
  <c r="M376" i="4"/>
  <c r="O376" i="4" s="1"/>
  <c r="L376" i="4"/>
  <c r="N376" i="4" s="1"/>
  <c r="K376" i="4"/>
  <c r="J376" i="4"/>
  <c r="M375" i="4"/>
  <c r="O375" i="4" s="1"/>
  <c r="L375" i="4"/>
  <c r="N375" i="4" s="1"/>
  <c r="K375" i="4"/>
  <c r="J375" i="4"/>
  <c r="M374" i="4"/>
  <c r="O374" i="4" s="1"/>
  <c r="L374" i="4"/>
  <c r="N374" i="4" s="1"/>
  <c r="K374" i="4"/>
  <c r="J374" i="4"/>
  <c r="M373" i="4"/>
  <c r="O373" i="4" s="1"/>
  <c r="L373" i="4"/>
  <c r="N373" i="4" s="1"/>
  <c r="K373" i="4"/>
  <c r="J373" i="4"/>
  <c r="M372" i="4"/>
  <c r="O372" i="4" s="1"/>
  <c r="L372" i="4"/>
  <c r="N372" i="4" s="1"/>
  <c r="K372" i="4"/>
  <c r="J372" i="4"/>
  <c r="M371" i="4"/>
  <c r="O371" i="4" s="1"/>
  <c r="L371" i="4"/>
  <c r="N371" i="4" s="1"/>
  <c r="K371" i="4"/>
  <c r="J371" i="4"/>
  <c r="M370" i="4"/>
  <c r="O370" i="4" s="1"/>
  <c r="L370" i="4"/>
  <c r="N370" i="4" s="1"/>
  <c r="K370" i="4"/>
  <c r="J370" i="4"/>
  <c r="S369" i="4"/>
  <c r="M369" i="4"/>
  <c r="O369" i="4" s="1"/>
  <c r="L369" i="4"/>
  <c r="N369" i="4" s="1"/>
  <c r="K369" i="4"/>
  <c r="J369" i="4"/>
  <c r="M368" i="4"/>
  <c r="O368" i="4" s="1"/>
  <c r="L368" i="4"/>
  <c r="N368" i="4" s="1"/>
  <c r="K368" i="4"/>
  <c r="J368" i="4"/>
  <c r="M367" i="4"/>
  <c r="O367" i="4" s="1"/>
  <c r="L367" i="4"/>
  <c r="N367" i="4" s="1"/>
  <c r="K367" i="4"/>
  <c r="J367" i="4"/>
  <c r="M366" i="4"/>
  <c r="O366" i="4" s="1"/>
  <c r="L366" i="4"/>
  <c r="N366" i="4" s="1"/>
  <c r="K366" i="4"/>
  <c r="J366" i="4"/>
  <c r="M365" i="4"/>
  <c r="O365" i="4" s="1"/>
  <c r="L365" i="4"/>
  <c r="N365" i="4" s="1"/>
  <c r="K365" i="4"/>
  <c r="J365" i="4"/>
  <c r="S364" i="4"/>
  <c r="M364" i="4"/>
  <c r="O364" i="4" s="1"/>
  <c r="L364" i="4"/>
  <c r="N364" i="4" s="1"/>
  <c r="K364" i="4"/>
  <c r="J364" i="4"/>
  <c r="M363" i="4"/>
  <c r="O363" i="4" s="1"/>
  <c r="L363" i="4"/>
  <c r="N363" i="4" s="1"/>
  <c r="K363" i="4"/>
  <c r="J363" i="4"/>
  <c r="M362" i="4"/>
  <c r="O362" i="4" s="1"/>
  <c r="L362" i="4"/>
  <c r="N362" i="4" s="1"/>
  <c r="K362" i="4"/>
  <c r="J362" i="4"/>
  <c r="M361" i="4"/>
  <c r="O361" i="4" s="1"/>
  <c r="L361" i="4"/>
  <c r="N361" i="4" s="1"/>
  <c r="K361" i="4"/>
  <c r="J361" i="4"/>
  <c r="M360" i="4"/>
  <c r="O360" i="4" s="1"/>
  <c r="L360" i="4"/>
  <c r="N360" i="4" s="1"/>
  <c r="K360" i="4"/>
  <c r="J360" i="4"/>
  <c r="M359" i="4"/>
  <c r="O359" i="4" s="1"/>
  <c r="L359" i="4"/>
  <c r="N359" i="4" s="1"/>
  <c r="K359" i="4"/>
  <c r="J359" i="4"/>
  <c r="M358" i="4"/>
  <c r="O358" i="4" s="1"/>
  <c r="L358" i="4"/>
  <c r="N358" i="4" s="1"/>
  <c r="K358" i="4"/>
  <c r="J358" i="4"/>
  <c r="M357" i="4"/>
  <c r="O357" i="4" s="1"/>
  <c r="L357" i="4"/>
  <c r="N357" i="4" s="1"/>
  <c r="K357" i="4"/>
  <c r="J357" i="4"/>
  <c r="M356" i="4"/>
  <c r="O356" i="4" s="1"/>
  <c r="L356" i="4"/>
  <c r="N356" i="4" s="1"/>
  <c r="K356" i="4"/>
  <c r="J356" i="4"/>
  <c r="M355" i="4"/>
  <c r="O355" i="4" s="1"/>
  <c r="L355" i="4"/>
  <c r="N355" i="4" s="1"/>
  <c r="K355" i="4"/>
  <c r="J355" i="4"/>
  <c r="M354" i="4"/>
  <c r="O354" i="4" s="1"/>
  <c r="L354" i="4"/>
  <c r="N354" i="4" s="1"/>
  <c r="K354" i="4"/>
  <c r="J354" i="4"/>
  <c r="M353" i="4"/>
  <c r="O353" i="4" s="1"/>
  <c r="L353" i="4"/>
  <c r="N353" i="4" s="1"/>
  <c r="K353" i="4"/>
  <c r="J353" i="4"/>
  <c r="M352" i="4"/>
  <c r="O352" i="4" s="1"/>
  <c r="L352" i="4"/>
  <c r="N352" i="4" s="1"/>
  <c r="K352" i="4"/>
  <c r="J352" i="4"/>
  <c r="M351" i="4"/>
  <c r="O351" i="4" s="1"/>
  <c r="L351" i="4"/>
  <c r="N351" i="4" s="1"/>
  <c r="K351" i="4"/>
  <c r="J351" i="4"/>
  <c r="M350" i="4"/>
  <c r="O350" i="4" s="1"/>
  <c r="L350" i="4"/>
  <c r="N350" i="4" s="1"/>
  <c r="K350" i="4"/>
  <c r="J350" i="4"/>
  <c r="M349" i="4"/>
  <c r="O349" i="4" s="1"/>
  <c r="L349" i="4"/>
  <c r="N349" i="4" s="1"/>
  <c r="K349" i="4"/>
  <c r="J349" i="4"/>
  <c r="M348" i="4"/>
  <c r="O348" i="4" s="1"/>
  <c r="L348" i="4"/>
  <c r="N348" i="4" s="1"/>
  <c r="K348" i="4"/>
  <c r="J348" i="4"/>
  <c r="M347" i="4"/>
  <c r="O347" i="4" s="1"/>
  <c r="L347" i="4"/>
  <c r="N347" i="4" s="1"/>
  <c r="K347" i="4"/>
  <c r="J347" i="4"/>
  <c r="M346" i="4"/>
  <c r="O346" i="4" s="1"/>
  <c r="L346" i="4"/>
  <c r="N346" i="4" s="1"/>
  <c r="K346" i="4"/>
  <c r="J346" i="4"/>
  <c r="M345" i="4"/>
  <c r="O345" i="4" s="1"/>
  <c r="L345" i="4"/>
  <c r="N345" i="4" s="1"/>
  <c r="K345" i="4"/>
  <c r="J345" i="4"/>
  <c r="M344" i="4"/>
  <c r="O344" i="4" s="1"/>
  <c r="L344" i="4"/>
  <c r="N344" i="4" s="1"/>
  <c r="K344" i="4"/>
  <c r="J344" i="4"/>
  <c r="M343" i="4"/>
  <c r="O343" i="4" s="1"/>
  <c r="L343" i="4"/>
  <c r="N343" i="4" s="1"/>
  <c r="K343" i="4"/>
  <c r="J343" i="4"/>
  <c r="M342" i="4"/>
  <c r="O342" i="4" s="1"/>
  <c r="L342" i="4"/>
  <c r="N342" i="4" s="1"/>
  <c r="K342" i="4"/>
  <c r="J342" i="4"/>
  <c r="M341" i="4"/>
  <c r="O341" i="4" s="1"/>
  <c r="L341" i="4"/>
  <c r="N341" i="4" s="1"/>
  <c r="K341" i="4"/>
  <c r="J341" i="4"/>
  <c r="M340" i="4"/>
  <c r="O340" i="4" s="1"/>
  <c r="L340" i="4"/>
  <c r="N340" i="4" s="1"/>
  <c r="K340" i="4"/>
  <c r="J340" i="4"/>
  <c r="M339" i="4"/>
  <c r="O339" i="4" s="1"/>
  <c r="L339" i="4"/>
  <c r="N339" i="4" s="1"/>
  <c r="K339" i="4"/>
  <c r="J339" i="4"/>
  <c r="M338" i="4"/>
  <c r="O338" i="4" s="1"/>
  <c r="L338" i="4"/>
  <c r="N338" i="4" s="1"/>
  <c r="K338" i="4"/>
  <c r="J338" i="4"/>
  <c r="M337" i="4"/>
  <c r="O337" i="4" s="1"/>
  <c r="L337" i="4"/>
  <c r="N337" i="4" s="1"/>
  <c r="K337" i="4"/>
  <c r="J337" i="4"/>
  <c r="M336" i="4"/>
  <c r="O336" i="4" s="1"/>
  <c r="L336" i="4"/>
  <c r="N336" i="4" s="1"/>
  <c r="K336" i="4"/>
  <c r="J336" i="4"/>
  <c r="M335" i="4"/>
  <c r="O335" i="4" s="1"/>
  <c r="L335" i="4"/>
  <c r="N335" i="4" s="1"/>
  <c r="K335" i="4"/>
  <c r="J335" i="4"/>
  <c r="M334" i="4"/>
  <c r="O334" i="4" s="1"/>
  <c r="L334" i="4"/>
  <c r="N334" i="4" s="1"/>
  <c r="K334" i="4"/>
  <c r="J334" i="4"/>
  <c r="M333" i="4"/>
  <c r="O333" i="4" s="1"/>
  <c r="L333" i="4"/>
  <c r="N333" i="4" s="1"/>
  <c r="K333" i="4"/>
  <c r="J333" i="4"/>
  <c r="M332" i="4"/>
  <c r="O332" i="4" s="1"/>
  <c r="L332" i="4"/>
  <c r="N332" i="4" s="1"/>
  <c r="K332" i="4"/>
  <c r="J332" i="4"/>
  <c r="M331" i="4"/>
  <c r="O331" i="4" s="1"/>
  <c r="L331" i="4"/>
  <c r="N331" i="4" s="1"/>
  <c r="K331" i="4"/>
  <c r="J331" i="4"/>
  <c r="M330" i="4"/>
  <c r="O330" i="4" s="1"/>
  <c r="L330" i="4"/>
  <c r="N330" i="4" s="1"/>
  <c r="K330" i="4"/>
  <c r="J330" i="4"/>
  <c r="M329" i="4"/>
  <c r="O329" i="4" s="1"/>
  <c r="L329" i="4"/>
  <c r="N329" i="4" s="1"/>
  <c r="K329" i="4"/>
  <c r="J329" i="4"/>
  <c r="M328" i="4"/>
  <c r="O328" i="4" s="1"/>
  <c r="L328" i="4"/>
  <c r="N328" i="4" s="1"/>
  <c r="K328" i="4"/>
  <c r="J328" i="4"/>
  <c r="M327" i="4"/>
  <c r="O327" i="4" s="1"/>
  <c r="L327" i="4"/>
  <c r="N327" i="4" s="1"/>
  <c r="K327" i="4"/>
  <c r="J327" i="4"/>
  <c r="M326" i="4"/>
  <c r="O326" i="4" s="1"/>
  <c r="L326" i="4"/>
  <c r="N326" i="4" s="1"/>
  <c r="K326" i="4"/>
  <c r="J326" i="4"/>
  <c r="M325" i="4"/>
  <c r="O325" i="4" s="1"/>
  <c r="L325" i="4"/>
  <c r="N325" i="4" s="1"/>
  <c r="K325" i="4"/>
  <c r="J325" i="4"/>
  <c r="M324" i="4"/>
  <c r="O324" i="4" s="1"/>
  <c r="L324" i="4"/>
  <c r="N324" i="4" s="1"/>
  <c r="K324" i="4"/>
  <c r="J324" i="4"/>
  <c r="M323" i="4"/>
  <c r="O323" i="4" s="1"/>
  <c r="L323" i="4"/>
  <c r="N323" i="4" s="1"/>
  <c r="K323" i="4"/>
  <c r="J323" i="4"/>
  <c r="M322" i="4"/>
  <c r="O322" i="4" s="1"/>
  <c r="L322" i="4"/>
  <c r="N322" i="4" s="1"/>
  <c r="K322" i="4"/>
  <c r="J322" i="4"/>
  <c r="M321" i="4"/>
  <c r="O321" i="4" s="1"/>
  <c r="L321" i="4"/>
  <c r="N321" i="4" s="1"/>
  <c r="K321" i="4"/>
  <c r="J321" i="4"/>
  <c r="M320" i="4"/>
  <c r="O320" i="4" s="1"/>
  <c r="L320" i="4"/>
  <c r="N320" i="4" s="1"/>
  <c r="K320" i="4"/>
  <c r="J320" i="4"/>
  <c r="M319" i="4"/>
  <c r="O319" i="4" s="1"/>
  <c r="L319" i="4"/>
  <c r="N319" i="4" s="1"/>
  <c r="K319" i="4"/>
  <c r="J319" i="4"/>
  <c r="M318" i="4"/>
  <c r="O318" i="4" s="1"/>
  <c r="L318" i="4"/>
  <c r="N318" i="4" s="1"/>
  <c r="K318" i="4"/>
  <c r="J318" i="4"/>
  <c r="M317" i="4"/>
  <c r="O317" i="4" s="1"/>
  <c r="L317" i="4"/>
  <c r="N317" i="4" s="1"/>
  <c r="K317" i="4"/>
  <c r="J317" i="4"/>
  <c r="M316" i="4"/>
  <c r="O316" i="4" s="1"/>
  <c r="L316" i="4"/>
  <c r="N316" i="4" s="1"/>
  <c r="K316" i="4"/>
  <c r="J316" i="4"/>
  <c r="M315" i="4"/>
  <c r="O315" i="4" s="1"/>
  <c r="L315" i="4"/>
  <c r="N315" i="4" s="1"/>
  <c r="K315" i="4"/>
  <c r="J315" i="4"/>
  <c r="M314" i="4"/>
  <c r="O314" i="4" s="1"/>
  <c r="L314" i="4"/>
  <c r="N314" i="4" s="1"/>
  <c r="K314" i="4"/>
  <c r="J314" i="4"/>
  <c r="M313" i="4"/>
  <c r="O313" i="4" s="1"/>
  <c r="L313" i="4"/>
  <c r="N313" i="4" s="1"/>
  <c r="K313" i="4"/>
  <c r="J313" i="4"/>
  <c r="M312" i="4"/>
  <c r="O312" i="4" s="1"/>
  <c r="L312" i="4"/>
  <c r="N312" i="4" s="1"/>
  <c r="K312" i="4"/>
  <c r="J312" i="4"/>
  <c r="M311" i="4"/>
  <c r="O311" i="4" s="1"/>
  <c r="L311" i="4"/>
  <c r="N311" i="4" s="1"/>
  <c r="K311" i="4"/>
  <c r="J311" i="4"/>
  <c r="M310" i="4"/>
  <c r="O310" i="4" s="1"/>
  <c r="L310" i="4"/>
  <c r="N310" i="4" s="1"/>
  <c r="K310" i="4"/>
  <c r="J310" i="4"/>
  <c r="M309" i="4"/>
  <c r="O309" i="4" s="1"/>
  <c r="L309" i="4"/>
  <c r="N309" i="4" s="1"/>
  <c r="K309" i="4"/>
  <c r="J309" i="4"/>
  <c r="F309" i="4"/>
  <c r="E309" i="4"/>
  <c r="D309" i="4"/>
  <c r="M308" i="4"/>
  <c r="O308" i="4" s="1"/>
  <c r="L308" i="4"/>
  <c r="N308" i="4" s="1"/>
  <c r="K308" i="4"/>
  <c r="J308" i="4"/>
  <c r="M307" i="4"/>
  <c r="O307" i="4" s="1"/>
  <c r="L307" i="4"/>
  <c r="N307" i="4" s="1"/>
  <c r="K307" i="4"/>
  <c r="J307" i="4"/>
  <c r="M306" i="4"/>
  <c r="O306" i="4" s="1"/>
  <c r="L306" i="4"/>
  <c r="N306" i="4" s="1"/>
  <c r="K306" i="4"/>
  <c r="J306" i="4"/>
  <c r="M305" i="4"/>
  <c r="O305" i="4" s="1"/>
  <c r="L305" i="4"/>
  <c r="N305" i="4" s="1"/>
  <c r="K305" i="4"/>
  <c r="J305" i="4"/>
  <c r="M304" i="4"/>
  <c r="O304" i="4" s="1"/>
  <c r="L304" i="4"/>
  <c r="N304" i="4" s="1"/>
  <c r="K304" i="4"/>
  <c r="J304" i="4"/>
  <c r="M303" i="4"/>
  <c r="O303" i="4" s="1"/>
  <c r="L303" i="4"/>
  <c r="N303" i="4" s="1"/>
  <c r="K303" i="4"/>
  <c r="J303" i="4"/>
  <c r="M302" i="4"/>
  <c r="O302" i="4" s="1"/>
  <c r="L302" i="4"/>
  <c r="N302" i="4" s="1"/>
  <c r="K302" i="4"/>
  <c r="J302" i="4"/>
  <c r="M301" i="4"/>
  <c r="O301" i="4" s="1"/>
  <c r="L301" i="4"/>
  <c r="N301" i="4" s="1"/>
  <c r="K301" i="4"/>
  <c r="J301" i="4"/>
  <c r="M300" i="4"/>
  <c r="O300" i="4" s="1"/>
  <c r="L300" i="4"/>
  <c r="N300" i="4" s="1"/>
  <c r="K300" i="4"/>
  <c r="J300" i="4"/>
  <c r="M299" i="4"/>
  <c r="O299" i="4" s="1"/>
  <c r="L299" i="4"/>
  <c r="N299" i="4" s="1"/>
  <c r="K299" i="4"/>
  <c r="J299" i="4"/>
  <c r="M298" i="4"/>
  <c r="O298" i="4" s="1"/>
  <c r="L298" i="4"/>
  <c r="N298" i="4" s="1"/>
  <c r="K298" i="4"/>
  <c r="J298" i="4"/>
  <c r="M297" i="4"/>
  <c r="O297" i="4" s="1"/>
  <c r="L297" i="4"/>
  <c r="N297" i="4" s="1"/>
  <c r="K297" i="4"/>
  <c r="J297" i="4"/>
  <c r="M296" i="4"/>
  <c r="O296" i="4" s="1"/>
  <c r="L296" i="4"/>
  <c r="N296" i="4" s="1"/>
  <c r="K296" i="4"/>
  <c r="J296" i="4"/>
  <c r="M295" i="4"/>
  <c r="O295" i="4" s="1"/>
  <c r="L295" i="4"/>
  <c r="N295" i="4" s="1"/>
  <c r="K295" i="4"/>
  <c r="J295" i="4"/>
  <c r="M294" i="4"/>
  <c r="O294" i="4" s="1"/>
  <c r="L294" i="4"/>
  <c r="N294" i="4" s="1"/>
  <c r="K294" i="4"/>
  <c r="J294" i="4"/>
  <c r="M293" i="4"/>
  <c r="O293" i="4" s="1"/>
  <c r="L293" i="4"/>
  <c r="N293" i="4" s="1"/>
  <c r="K293" i="4"/>
  <c r="J293" i="4"/>
  <c r="M292" i="4"/>
  <c r="O292" i="4" s="1"/>
  <c r="L292" i="4"/>
  <c r="N292" i="4" s="1"/>
  <c r="K292" i="4"/>
  <c r="J292" i="4"/>
  <c r="M291" i="4"/>
  <c r="O291" i="4" s="1"/>
  <c r="L291" i="4"/>
  <c r="N291" i="4" s="1"/>
  <c r="K291" i="4"/>
  <c r="J291" i="4"/>
  <c r="M290" i="4"/>
  <c r="O290" i="4" s="1"/>
  <c r="L290" i="4"/>
  <c r="N290" i="4" s="1"/>
  <c r="K290" i="4"/>
  <c r="J290" i="4"/>
  <c r="M289" i="4"/>
  <c r="O289" i="4" s="1"/>
  <c r="L289" i="4"/>
  <c r="N289" i="4" s="1"/>
  <c r="K289" i="4"/>
  <c r="J289" i="4"/>
  <c r="M288" i="4"/>
  <c r="O288" i="4" s="1"/>
  <c r="L288" i="4"/>
  <c r="N288" i="4" s="1"/>
  <c r="K288" i="4"/>
  <c r="J288" i="4"/>
  <c r="M287" i="4"/>
  <c r="O287" i="4" s="1"/>
  <c r="L287" i="4"/>
  <c r="N287" i="4" s="1"/>
  <c r="K287" i="4"/>
  <c r="J287" i="4"/>
  <c r="M286" i="4"/>
  <c r="O286" i="4" s="1"/>
  <c r="L286" i="4"/>
  <c r="N286" i="4" s="1"/>
  <c r="K286" i="4"/>
  <c r="J286" i="4"/>
  <c r="M285" i="4"/>
  <c r="O285" i="4" s="1"/>
  <c r="L285" i="4"/>
  <c r="N285" i="4" s="1"/>
  <c r="K285" i="4"/>
  <c r="J285" i="4"/>
  <c r="M284" i="4"/>
  <c r="O284" i="4" s="1"/>
  <c r="L284" i="4"/>
  <c r="N284" i="4" s="1"/>
  <c r="K284" i="4"/>
  <c r="J284" i="4"/>
  <c r="F284" i="4"/>
  <c r="E284" i="4"/>
  <c r="D284" i="4"/>
  <c r="M283" i="4"/>
  <c r="O283" i="4" s="1"/>
  <c r="L283" i="4"/>
  <c r="N283" i="4" s="1"/>
  <c r="K283" i="4"/>
  <c r="J283" i="4"/>
  <c r="M282" i="4"/>
  <c r="O282" i="4" s="1"/>
  <c r="L282" i="4"/>
  <c r="N282" i="4" s="1"/>
  <c r="K282" i="4"/>
  <c r="J282" i="4"/>
  <c r="M281" i="4"/>
  <c r="O281" i="4" s="1"/>
  <c r="L281" i="4"/>
  <c r="N281" i="4" s="1"/>
  <c r="K281" i="4"/>
  <c r="J281" i="4"/>
  <c r="M280" i="4"/>
  <c r="O280" i="4" s="1"/>
  <c r="L280" i="4"/>
  <c r="N280" i="4" s="1"/>
  <c r="K280" i="4"/>
  <c r="J280" i="4"/>
  <c r="M279" i="4"/>
  <c r="O279" i="4" s="1"/>
  <c r="L279" i="4"/>
  <c r="N279" i="4" s="1"/>
  <c r="K279" i="4"/>
  <c r="J279" i="4"/>
  <c r="M278" i="4"/>
  <c r="O278" i="4" s="1"/>
  <c r="L278" i="4"/>
  <c r="N278" i="4" s="1"/>
  <c r="K278" i="4"/>
  <c r="J278" i="4"/>
  <c r="M277" i="4"/>
  <c r="O277" i="4" s="1"/>
  <c r="L277" i="4"/>
  <c r="N277" i="4" s="1"/>
  <c r="K277" i="4"/>
  <c r="J277" i="4"/>
  <c r="M276" i="4"/>
  <c r="O276" i="4" s="1"/>
  <c r="L276" i="4"/>
  <c r="N276" i="4" s="1"/>
  <c r="K276" i="4"/>
  <c r="J276" i="4"/>
  <c r="M275" i="4"/>
  <c r="O275" i="4" s="1"/>
  <c r="L275" i="4"/>
  <c r="N275" i="4" s="1"/>
  <c r="K275" i="4"/>
  <c r="J275" i="4"/>
  <c r="M271" i="4"/>
  <c r="O271" i="4" s="1"/>
  <c r="L271" i="4"/>
  <c r="N271" i="4" s="1"/>
  <c r="K271" i="4"/>
  <c r="J271" i="4"/>
  <c r="M270" i="4"/>
  <c r="O270" i="4" s="1"/>
  <c r="L270" i="4"/>
  <c r="N270" i="4" s="1"/>
  <c r="K270" i="4"/>
  <c r="J270" i="4"/>
  <c r="M269" i="4"/>
  <c r="O269" i="4" s="1"/>
  <c r="L269" i="4"/>
  <c r="N269" i="4" s="1"/>
  <c r="K269" i="4"/>
  <c r="J269" i="4"/>
  <c r="M268" i="4"/>
  <c r="O268" i="4" s="1"/>
  <c r="L268" i="4"/>
  <c r="N268" i="4" s="1"/>
  <c r="K268" i="4"/>
  <c r="J268" i="4"/>
  <c r="M267" i="4"/>
  <c r="O267" i="4" s="1"/>
  <c r="L267" i="4"/>
  <c r="N267" i="4" s="1"/>
  <c r="K267" i="4"/>
  <c r="J267" i="4"/>
  <c r="S266" i="4"/>
  <c r="M266" i="4"/>
  <c r="O266" i="4" s="1"/>
  <c r="L266" i="4"/>
  <c r="N266" i="4" s="1"/>
  <c r="K266" i="4"/>
  <c r="J266" i="4"/>
  <c r="S265" i="4"/>
  <c r="M265" i="4"/>
  <c r="O265" i="4" s="1"/>
  <c r="L265" i="4"/>
  <c r="N265" i="4" s="1"/>
  <c r="K265" i="4"/>
  <c r="J265" i="4"/>
  <c r="M264" i="4"/>
  <c r="O264" i="4" s="1"/>
  <c r="L264" i="4"/>
  <c r="N264" i="4" s="1"/>
  <c r="K264" i="4"/>
  <c r="J264" i="4"/>
  <c r="M263" i="4"/>
  <c r="O263" i="4" s="1"/>
  <c r="L263" i="4"/>
  <c r="N263" i="4" s="1"/>
  <c r="K263" i="4"/>
  <c r="J263" i="4"/>
  <c r="M262" i="4"/>
  <c r="O262" i="4" s="1"/>
  <c r="L262" i="4"/>
  <c r="N262" i="4" s="1"/>
  <c r="K262" i="4"/>
  <c r="J262" i="4"/>
  <c r="M261" i="4"/>
  <c r="O261" i="4" s="1"/>
  <c r="L261" i="4"/>
  <c r="N261" i="4" s="1"/>
  <c r="K261" i="4"/>
  <c r="J261" i="4"/>
  <c r="M260" i="4"/>
  <c r="O260" i="4" s="1"/>
  <c r="L260" i="4"/>
  <c r="N260" i="4" s="1"/>
  <c r="K260" i="4"/>
  <c r="J260" i="4"/>
  <c r="M259" i="4"/>
  <c r="O259" i="4" s="1"/>
  <c r="L259" i="4"/>
  <c r="N259" i="4" s="1"/>
  <c r="K259" i="4"/>
  <c r="J259" i="4"/>
  <c r="M258" i="4"/>
  <c r="O258" i="4" s="1"/>
  <c r="L258" i="4"/>
  <c r="N258" i="4" s="1"/>
  <c r="K258" i="4"/>
  <c r="J258" i="4"/>
  <c r="M257" i="4"/>
  <c r="O257" i="4" s="1"/>
  <c r="L257" i="4"/>
  <c r="N257" i="4" s="1"/>
  <c r="K257" i="4"/>
  <c r="J257" i="4"/>
  <c r="M256" i="4"/>
  <c r="O256" i="4" s="1"/>
  <c r="L256" i="4"/>
  <c r="N256" i="4" s="1"/>
  <c r="K256" i="4"/>
  <c r="J256" i="4"/>
  <c r="M255" i="4"/>
  <c r="O255" i="4" s="1"/>
  <c r="L255" i="4"/>
  <c r="N255" i="4" s="1"/>
  <c r="K255" i="4"/>
  <c r="J255" i="4"/>
  <c r="M254" i="4"/>
  <c r="O254" i="4" s="1"/>
  <c r="L254" i="4"/>
  <c r="N254" i="4" s="1"/>
  <c r="K254" i="4"/>
  <c r="J254" i="4"/>
  <c r="M253" i="4"/>
  <c r="O253" i="4" s="1"/>
  <c r="L253" i="4"/>
  <c r="N253" i="4" s="1"/>
  <c r="K253" i="4"/>
  <c r="J253" i="4"/>
  <c r="M252" i="4"/>
  <c r="O252" i="4" s="1"/>
  <c r="L252" i="4"/>
  <c r="N252" i="4" s="1"/>
  <c r="K252" i="4"/>
  <c r="J252" i="4"/>
  <c r="M251" i="4"/>
  <c r="O251" i="4" s="1"/>
  <c r="L251" i="4"/>
  <c r="N251" i="4" s="1"/>
  <c r="K251" i="4"/>
  <c r="J251" i="4"/>
  <c r="M250" i="4"/>
  <c r="O250" i="4" s="1"/>
  <c r="L250" i="4"/>
  <c r="N250" i="4" s="1"/>
  <c r="K250" i="4"/>
  <c r="J250" i="4"/>
  <c r="M249" i="4"/>
  <c r="O249" i="4" s="1"/>
  <c r="L249" i="4"/>
  <c r="N249" i="4" s="1"/>
  <c r="K249" i="4"/>
  <c r="J249" i="4"/>
  <c r="M248" i="4"/>
  <c r="O248" i="4" s="1"/>
  <c r="L248" i="4"/>
  <c r="N248" i="4" s="1"/>
  <c r="K248" i="4"/>
  <c r="J248" i="4"/>
  <c r="M247" i="4"/>
  <c r="O247" i="4" s="1"/>
  <c r="L247" i="4"/>
  <c r="N247" i="4" s="1"/>
  <c r="K247" i="4"/>
  <c r="J247" i="4"/>
  <c r="M246" i="4"/>
  <c r="O246" i="4" s="1"/>
  <c r="L246" i="4"/>
  <c r="N246" i="4" s="1"/>
  <c r="K246" i="4"/>
  <c r="J246" i="4"/>
  <c r="M245" i="4"/>
  <c r="O245" i="4" s="1"/>
  <c r="L245" i="4"/>
  <c r="N245" i="4" s="1"/>
  <c r="K245" i="4"/>
  <c r="J245" i="4"/>
  <c r="M244" i="4"/>
  <c r="O244" i="4" s="1"/>
  <c r="L244" i="4"/>
  <c r="N244" i="4" s="1"/>
  <c r="K244" i="4"/>
  <c r="J244" i="4"/>
  <c r="M243" i="4"/>
  <c r="O243" i="4" s="1"/>
  <c r="L243" i="4"/>
  <c r="N243" i="4" s="1"/>
  <c r="K243" i="4"/>
  <c r="J243" i="4"/>
  <c r="M242" i="4"/>
  <c r="O242" i="4" s="1"/>
  <c r="L242" i="4"/>
  <c r="N242" i="4" s="1"/>
  <c r="K242" i="4"/>
  <c r="J242" i="4"/>
  <c r="M241" i="4"/>
  <c r="O241" i="4" s="1"/>
  <c r="L241" i="4"/>
  <c r="N241" i="4" s="1"/>
  <c r="K241" i="4"/>
  <c r="J241" i="4"/>
  <c r="M240" i="4"/>
  <c r="O240" i="4" s="1"/>
  <c r="L240" i="4"/>
  <c r="N240" i="4" s="1"/>
  <c r="K240" i="4"/>
  <c r="J240" i="4"/>
  <c r="M239" i="4"/>
  <c r="O239" i="4" s="1"/>
  <c r="L239" i="4"/>
  <c r="N239" i="4" s="1"/>
  <c r="K239" i="4"/>
  <c r="J239" i="4"/>
  <c r="M238" i="4"/>
  <c r="O238" i="4" s="1"/>
  <c r="L238" i="4"/>
  <c r="N238" i="4" s="1"/>
  <c r="K238" i="4"/>
  <c r="J238" i="4"/>
  <c r="M237" i="4"/>
  <c r="O237" i="4" s="1"/>
  <c r="L237" i="4"/>
  <c r="N237" i="4" s="1"/>
  <c r="K237" i="4"/>
  <c r="J237" i="4"/>
  <c r="M236" i="4"/>
  <c r="O236" i="4" s="1"/>
  <c r="L236" i="4"/>
  <c r="N236" i="4" s="1"/>
  <c r="K236" i="4"/>
  <c r="J236" i="4"/>
  <c r="M235" i="4"/>
  <c r="O235" i="4" s="1"/>
  <c r="L235" i="4"/>
  <c r="N235" i="4" s="1"/>
  <c r="K235" i="4"/>
  <c r="J235" i="4"/>
  <c r="M234" i="4"/>
  <c r="O234" i="4" s="1"/>
  <c r="L234" i="4"/>
  <c r="N234" i="4" s="1"/>
  <c r="K234" i="4"/>
  <c r="M233" i="4"/>
  <c r="O233" i="4" s="1"/>
  <c r="L233" i="4"/>
  <c r="N233" i="4" s="1"/>
  <c r="K233" i="4"/>
  <c r="J233" i="4"/>
  <c r="M232" i="4"/>
  <c r="O232" i="4" s="1"/>
  <c r="L232" i="4"/>
  <c r="N232" i="4" s="1"/>
  <c r="K232" i="4"/>
  <c r="J232" i="4"/>
  <c r="M231" i="4"/>
  <c r="O231" i="4" s="1"/>
  <c r="L231" i="4"/>
  <c r="N231" i="4" s="1"/>
  <c r="K231" i="4"/>
  <c r="J231" i="4"/>
  <c r="M230" i="4"/>
  <c r="O230" i="4" s="1"/>
  <c r="L230" i="4"/>
  <c r="N230" i="4" s="1"/>
  <c r="K230" i="4"/>
  <c r="J230" i="4"/>
  <c r="M229" i="4"/>
  <c r="O229" i="4" s="1"/>
  <c r="L229" i="4"/>
  <c r="N229" i="4" s="1"/>
  <c r="K229" i="4"/>
  <c r="J229" i="4"/>
  <c r="M228" i="4"/>
  <c r="O228" i="4" s="1"/>
  <c r="L228" i="4"/>
  <c r="N228" i="4" s="1"/>
  <c r="K228" i="4"/>
  <c r="J228" i="4"/>
  <c r="M227" i="4"/>
  <c r="O227" i="4" s="1"/>
  <c r="L227" i="4"/>
  <c r="N227" i="4" s="1"/>
  <c r="K227" i="4"/>
  <c r="J227" i="4"/>
  <c r="M226" i="4"/>
  <c r="O226" i="4" s="1"/>
  <c r="L226" i="4"/>
  <c r="N226" i="4" s="1"/>
  <c r="K226" i="4"/>
  <c r="J226" i="4"/>
  <c r="M225" i="4"/>
  <c r="O225" i="4" s="1"/>
  <c r="L225" i="4"/>
  <c r="N225" i="4" s="1"/>
  <c r="K225" i="4"/>
  <c r="J225" i="4"/>
  <c r="M224" i="4"/>
  <c r="O224" i="4" s="1"/>
  <c r="L224" i="4"/>
  <c r="N224" i="4" s="1"/>
  <c r="K224" i="4"/>
  <c r="J224" i="4"/>
  <c r="M223" i="4"/>
  <c r="O223" i="4" s="1"/>
  <c r="L223" i="4"/>
  <c r="N223" i="4" s="1"/>
  <c r="K223" i="4"/>
  <c r="J223" i="4"/>
  <c r="M222" i="4"/>
  <c r="O222" i="4" s="1"/>
  <c r="L222" i="4"/>
  <c r="N222" i="4" s="1"/>
  <c r="K222" i="4"/>
  <c r="J222" i="4"/>
  <c r="M221" i="4"/>
  <c r="O221" i="4" s="1"/>
  <c r="L221" i="4"/>
  <c r="N221" i="4" s="1"/>
  <c r="K221" i="4"/>
  <c r="J221" i="4"/>
  <c r="M220" i="4"/>
  <c r="O220" i="4" s="1"/>
  <c r="L220" i="4"/>
  <c r="N220" i="4" s="1"/>
  <c r="K220" i="4"/>
  <c r="J220" i="4"/>
  <c r="M219" i="4"/>
  <c r="O219" i="4" s="1"/>
  <c r="L219" i="4"/>
  <c r="N219" i="4" s="1"/>
  <c r="K219" i="4"/>
  <c r="J219" i="4"/>
  <c r="M218" i="4"/>
  <c r="O218" i="4" s="1"/>
  <c r="L218" i="4"/>
  <c r="N218" i="4" s="1"/>
  <c r="K218" i="4"/>
  <c r="J218" i="4"/>
  <c r="M217" i="4"/>
  <c r="O217" i="4" s="1"/>
  <c r="L217" i="4"/>
  <c r="N217" i="4" s="1"/>
  <c r="K217" i="4"/>
  <c r="J217" i="4"/>
  <c r="M216" i="4"/>
  <c r="O216" i="4" s="1"/>
  <c r="L216" i="4"/>
  <c r="N216" i="4" s="1"/>
  <c r="K216" i="4"/>
  <c r="J216" i="4"/>
  <c r="M215" i="4"/>
  <c r="O215" i="4" s="1"/>
  <c r="L215" i="4"/>
  <c r="N215" i="4" s="1"/>
  <c r="K215" i="4"/>
  <c r="J215" i="4"/>
  <c r="M214" i="4"/>
  <c r="O214" i="4" s="1"/>
  <c r="L214" i="4"/>
  <c r="N214" i="4" s="1"/>
  <c r="K214" i="4"/>
  <c r="J214" i="4"/>
  <c r="M213" i="4"/>
  <c r="O213" i="4" s="1"/>
  <c r="L213" i="4"/>
  <c r="N213" i="4" s="1"/>
  <c r="K213" i="4"/>
  <c r="J213" i="4"/>
  <c r="M212" i="4"/>
  <c r="O212" i="4" s="1"/>
  <c r="L212" i="4"/>
  <c r="N212" i="4" s="1"/>
  <c r="K212" i="4"/>
  <c r="J212" i="4"/>
  <c r="M211" i="4"/>
  <c r="O211" i="4" s="1"/>
  <c r="L211" i="4"/>
  <c r="N211" i="4" s="1"/>
  <c r="K211" i="4"/>
  <c r="J211" i="4"/>
  <c r="M209" i="4"/>
  <c r="O209" i="4" s="1"/>
  <c r="L209" i="4"/>
  <c r="N209" i="4" s="1"/>
  <c r="K209" i="4"/>
  <c r="J209" i="4"/>
  <c r="M208" i="4"/>
  <c r="O208" i="4" s="1"/>
  <c r="L208" i="4"/>
  <c r="N208" i="4" s="1"/>
  <c r="K208" i="4"/>
  <c r="J208" i="4"/>
  <c r="M207" i="4"/>
  <c r="O207" i="4" s="1"/>
  <c r="L207" i="4"/>
  <c r="N207" i="4" s="1"/>
  <c r="K207" i="4"/>
  <c r="J207" i="4"/>
  <c r="M206" i="4"/>
  <c r="O206" i="4" s="1"/>
  <c r="L206" i="4"/>
  <c r="N206" i="4" s="1"/>
  <c r="K206" i="4"/>
  <c r="J206" i="4"/>
  <c r="M205" i="4"/>
  <c r="O205" i="4" s="1"/>
  <c r="L205" i="4"/>
  <c r="N205" i="4" s="1"/>
  <c r="K205" i="4"/>
  <c r="J205" i="4"/>
  <c r="M204" i="4"/>
  <c r="O204" i="4" s="1"/>
  <c r="L204" i="4"/>
  <c r="N204" i="4" s="1"/>
  <c r="K204" i="4"/>
  <c r="J204" i="4"/>
  <c r="M203" i="4"/>
  <c r="O203" i="4" s="1"/>
  <c r="L203" i="4"/>
  <c r="N203" i="4" s="1"/>
  <c r="K203" i="4"/>
  <c r="J203" i="4"/>
  <c r="M202" i="4"/>
  <c r="O202" i="4" s="1"/>
  <c r="L202" i="4"/>
  <c r="N202" i="4" s="1"/>
  <c r="K202" i="4"/>
  <c r="J202" i="4"/>
  <c r="M201" i="4"/>
  <c r="O201" i="4" s="1"/>
  <c r="L201" i="4"/>
  <c r="N201" i="4" s="1"/>
  <c r="K201" i="4"/>
  <c r="J201" i="4"/>
  <c r="M200" i="4"/>
  <c r="O200" i="4" s="1"/>
  <c r="L200" i="4"/>
  <c r="N200" i="4" s="1"/>
  <c r="K200" i="4"/>
  <c r="J200" i="4"/>
  <c r="M199" i="4"/>
  <c r="O199" i="4" s="1"/>
  <c r="L199" i="4"/>
  <c r="N199" i="4" s="1"/>
  <c r="K199" i="4"/>
  <c r="J199" i="4"/>
  <c r="M198" i="4"/>
  <c r="O198" i="4" s="1"/>
  <c r="L198" i="4"/>
  <c r="N198" i="4" s="1"/>
  <c r="K198" i="4"/>
  <c r="J198" i="4"/>
  <c r="M197" i="4"/>
  <c r="O197" i="4" s="1"/>
  <c r="L197" i="4"/>
  <c r="N197" i="4" s="1"/>
  <c r="K197" i="4"/>
  <c r="J197" i="4"/>
  <c r="M196" i="4"/>
  <c r="O196" i="4" s="1"/>
  <c r="L196" i="4"/>
  <c r="N196" i="4" s="1"/>
  <c r="K196" i="4"/>
  <c r="J196" i="4"/>
  <c r="M195" i="4"/>
  <c r="O195" i="4" s="1"/>
  <c r="L195" i="4"/>
  <c r="N195" i="4" s="1"/>
  <c r="K195" i="4"/>
  <c r="J195" i="4"/>
  <c r="M194" i="4"/>
  <c r="O194" i="4" s="1"/>
  <c r="L194" i="4"/>
  <c r="N194" i="4" s="1"/>
  <c r="K194" i="4"/>
  <c r="J194" i="4"/>
  <c r="M193" i="4"/>
  <c r="O193" i="4" s="1"/>
  <c r="L193" i="4"/>
  <c r="N193" i="4" s="1"/>
  <c r="K193" i="4"/>
  <c r="J193" i="4"/>
  <c r="M192" i="4"/>
  <c r="O192" i="4" s="1"/>
  <c r="L192" i="4"/>
  <c r="N192" i="4" s="1"/>
  <c r="K192" i="4"/>
  <c r="J192" i="4"/>
  <c r="M191" i="4"/>
  <c r="O191" i="4" s="1"/>
  <c r="L191" i="4"/>
  <c r="N191" i="4" s="1"/>
  <c r="K191" i="4"/>
  <c r="J191" i="4"/>
  <c r="M190" i="4"/>
  <c r="O190" i="4" s="1"/>
  <c r="L190" i="4"/>
  <c r="N190" i="4" s="1"/>
  <c r="K190" i="4"/>
  <c r="J190" i="4"/>
  <c r="M189" i="4"/>
  <c r="O189" i="4" s="1"/>
  <c r="L189" i="4"/>
  <c r="N189" i="4" s="1"/>
  <c r="K189" i="4"/>
  <c r="J189" i="4"/>
  <c r="M188" i="4"/>
  <c r="O188" i="4" s="1"/>
  <c r="L188" i="4"/>
  <c r="N188" i="4" s="1"/>
  <c r="K188" i="4"/>
  <c r="J188" i="4"/>
  <c r="M187" i="4"/>
  <c r="O187" i="4" s="1"/>
  <c r="L187" i="4"/>
  <c r="N187" i="4" s="1"/>
  <c r="K187" i="4"/>
  <c r="J187" i="4"/>
  <c r="M186" i="4"/>
  <c r="O186" i="4" s="1"/>
  <c r="L186" i="4"/>
  <c r="N186" i="4" s="1"/>
  <c r="K186" i="4"/>
  <c r="J186" i="4"/>
  <c r="M185" i="4"/>
  <c r="O185" i="4" s="1"/>
  <c r="L185" i="4"/>
  <c r="N185" i="4" s="1"/>
  <c r="K185" i="4"/>
  <c r="J185" i="4"/>
  <c r="M184" i="4"/>
  <c r="O184" i="4" s="1"/>
  <c r="L184" i="4"/>
  <c r="N184" i="4" s="1"/>
  <c r="K184" i="4"/>
  <c r="J184" i="4"/>
  <c r="M183" i="4"/>
  <c r="O183" i="4" s="1"/>
  <c r="L183" i="4"/>
  <c r="N183" i="4" s="1"/>
  <c r="K183" i="4"/>
  <c r="J183" i="4"/>
  <c r="M182" i="4"/>
  <c r="O182" i="4" s="1"/>
  <c r="L182" i="4"/>
  <c r="N182" i="4" s="1"/>
  <c r="K182" i="4"/>
  <c r="J182" i="4"/>
  <c r="M181" i="4"/>
  <c r="O181" i="4" s="1"/>
  <c r="L181" i="4"/>
  <c r="N181" i="4" s="1"/>
  <c r="K181" i="4"/>
  <c r="J181" i="4"/>
  <c r="M180" i="4"/>
  <c r="O180" i="4" s="1"/>
  <c r="L180" i="4"/>
  <c r="N180" i="4" s="1"/>
  <c r="K180" i="4"/>
  <c r="J180" i="4"/>
  <c r="M179" i="4"/>
  <c r="O179" i="4" s="1"/>
  <c r="L179" i="4"/>
  <c r="N179" i="4" s="1"/>
  <c r="K179" i="4"/>
  <c r="J179" i="4"/>
  <c r="M178" i="4"/>
  <c r="O178" i="4" s="1"/>
  <c r="L178" i="4"/>
  <c r="N178" i="4" s="1"/>
  <c r="K178" i="4"/>
  <c r="J178" i="4"/>
  <c r="M177" i="4"/>
  <c r="O177" i="4" s="1"/>
  <c r="L177" i="4"/>
  <c r="N177" i="4" s="1"/>
  <c r="K177" i="4"/>
  <c r="J177" i="4"/>
  <c r="M176" i="4"/>
  <c r="O176" i="4" s="1"/>
  <c r="L176" i="4"/>
  <c r="N176" i="4" s="1"/>
  <c r="K176" i="4"/>
  <c r="J176" i="4"/>
  <c r="M175" i="4"/>
  <c r="O175" i="4" s="1"/>
  <c r="L175" i="4"/>
  <c r="N175" i="4" s="1"/>
  <c r="K175" i="4"/>
  <c r="J175" i="4"/>
  <c r="M174" i="4"/>
  <c r="O174" i="4" s="1"/>
  <c r="L174" i="4"/>
  <c r="N174" i="4" s="1"/>
  <c r="K174" i="4"/>
  <c r="J174" i="4"/>
  <c r="M173" i="4"/>
  <c r="O173" i="4" s="1"/>
  <c r="L173" i="4"/>
  <c r="N173" i="4" s="1"/>
  <c r="K173" i="4"/>
  <c r="J173" i="4"/>
  <c r="M172" i="4"/>
  <c r="O172" i="4" s="1"/>
  <c r="L172" i="4"/>
  <c r="N172" i="4" s="1"/>
  <c r="K172" i="4"/>
  <c r="J172" i="4"/>
  <c r="M171" i="4"/>
  <c r="O171" i="4" s="1"/>
  <c r="L171" i="4"/>
  <c r="N171" i="4" s="1"/>
  <c r="K171" i="4"/>
  <c r="J171" i="4"/>
  <c r="M170" i="4"/>
  <c r="O170" i="4" s="1"/>
  <c r="L170" i="4"/>
  <c r="N170" i="4" s="1"/>
  <c r="K170" i="4"/>
  <c r="J170" i="4"/>
  <c r="M169" i="4"/>
  <c r="O169" i="4" s="1"/>
  <c r="L169" i="4"/>
  <c r="N169" i="4" s="1"/>
  <c r="K169" i="4"/>
  <c r="J169" i="4"/>
  <c r="M168" i="4"/>
  <c r="O168" i="4" s="1"/>
  <c r="L168" i="4"/>
  <c r="N168" i="4" s="1"/>
  <c r="K168" i="4"/>
  <c r="J168" i="4"/>
  <c r="M167" i="4"/>
  <c r="O167" i="4" s="1"/>
  <c r="L167" i="4"/>
  <c r="N167" i="4" s="1"/>
  <c r="K167" i="4"/>
  <c r="J167" i="4"/>
  <c r="M166" i="4"/>
  <c r="O166" i="4" s="1"/>
  <c r="L166" i="4"/>
  <c r="N166" i="4" s="1"/>
  <c r="K166" i="4"/>
  <c r="J166" i="4"/>
  <c r="M165" i="4"/>
  <c r="O165" i="4" s="1"/>
  <c r="L165" i="4"/>
  <c r="N165" i="4" s="1"/>
  <c r="K165" i="4"/>
  <c r="J165" i="4"/>
  <c r="M164" i="4"/>
  <c r="O164" i="4" s="1"/>
  <c r="L164" i="4"/>
  <c r="N164" i="4" s="1"/>
  <c r="K164" i="4"/>
  <c r="J164" i="4"/>
  <c r="M163" i="4"/>
  <c r="O163" i="4" s="1"/>
  <c r="L163" i="4"/>
  <c r="N163" i="4" s="1"/>
  <c r="K163" i="4"/>
  <c r="J163" i="4"/>
  <c r="M162" i="4"/>
  <c r="O162" i="4" s="1"/>
  <c r="L162" i="4"/>
  <c r="N162" i="4" s="1"/>
  <c r="K162" i="4"/>
  <c r="J162" i="4"/>
  <c r="M161" i="4"/>
  <c r="O161" i="4" s="1"/>
  <c r="L161" i="4"/>
  <c r="N161" i="4" s="1"/>
  <c r="K161" i="4"/>
  <c r="J161" i="4"/>
  <c r="M160" i="4"/>
  <c r="O160" i="4" s="1"/>
  <c r="L160" i="4"/>
  <c r="N160" i="4" s="1"/>
  <c r="K160" i="4"/>
  <c r="J160" i="4"/>
  <c r="S159" i="4"/>
  <c r="M159" i="4"/>
  <c r="O159" i="4" s="1"/>
  <c r="L159" i="4"/>
  <c r="N159" i="4" s="1"/>
  <c r="K159" i="4"/>
  <c r="J159" i="4"/>
  <c r="M158" i="4"/>
  <c r="O158" i="4" s="1"/>
  <c r="L158" i="4"/>
  <c r="N158" i="4" s="1"/>
  <c r="K158" i="4"/>
  <c r="J158" i="4"/>
  <c r="M157" i="4"/>
  <c r="O157" i="4" s="1"/>
  <c r="L157" i="4"/>
  <c r="N157" i="4" s="1"/>
  <c r="K157" i="4"/>
  <c r="J157" i="4"/>
  <c r="M156" i="4"/>
  <c r="O156" i="4" s="1"/>
  <c r="L156" i="4"/>
  <c r="N156" i="4" s="1"/>
  <c r="K156" i="4"/>
  <c r="J156" i="4"/>
  <c r="M155" i="4"/>
  <c r="O155" i="4" s="1"/>
  <c r="L155" i="4"/>
  <c r="N155" i="4" s="1"/>
  <c r="K155" i="4"/>
  <c r="J155" i="4"/>
  <c r="M154" i="4"/>
  <c r="O154" i="4" s="1"/>
  <c r="L154" i="4"/>
  <c r="N154" i="4" s="1"/>
  <c r="K154" i="4"/>
  <c r="J154" i="4"/>
  <c r="M153" i="4"/>
  <c r="O153" i="4" s="1"/>
  <c r="L153" i="4"/>
  <c r="N153" i="4" s="1"/>
  <c r="K153" i="4"/>
  <c r="J153" i="4"/>
  <c r="M152" i="4"/>
  <c r="O152" i="4" s="1"/>
  <c r="L152" i="4"/>
  <c r="N152" i="4" s="1"/>
  <c r="K152" i="4"/>
  <c r="J152" i="4"/>
  <c r="M151" i="4"/>
  <c r="O151" i="4" s="1"/>
  <c r="L151" i="4"/>
  <c r="N151" i="4" s="1"/>
  <c r="K151" i="4"/>
  <c r="J151" i="4"/>
  <c r="M150" i="4"/>
  <c r="O150" i="4" s="1"/>
  <c r="L150" i="4"/>
  <c r="N150" i="4" s="1"/>
  <c r="K150" i="4"/>
  <c r="J150" i="4"/>
  <c r="M149" i="4"/>
  <c r="O149" i="4" s="1"/>
  <c r="L149" i="4"/>
  <c r="N149" i="4" s="1"/>
  <c r="K149" i="4"/>
  <c r="J149" i="4"/>
  <c r="M148" i="4"/>
  <c r="O148" i="4" s="1"/>
  <c r="L148" i="4"/>
  <c r="N148" i="4" s="1"/>
  <c r="K148" i="4"/>
  <c r="J148" i="4"/>
  <c r="M147" i="4"/>
  <c r="O147" i="4" s="1"/>
  <c r="L147" i="4"/>
  <c r="N147" i="4" s="1"/>
  <c r="K147" i="4"/>
  <c r="J147" i="4"/>
  <c r="M146" i="4"/>
  <c r="O146" i="4" s="1"/>
  <c r="L146" i="4"/>
  <c r="N146" i="4" s="1"/>
  <c r="K146" i="4"/>
  <c r="J146" i="4"/>
  <c r="M145" i="4"/>
  <c r="O145" i="4" s="1"/>
  <c r="L145" i="4"/>
  <c r="N145" i="4" s="1"/>
  <c r="K145" i="4"/>
  <c r="J145" i="4"/>
  <c r="M144" i="4"/>
  <c r="O144" i="4" s="1"/>
  <c r="L144" i="4"/>
  <c r="N144" i="4" s="1"/>
  <c r="K144" i="4"/>
  <c r="J144" i="4"/>
  <c r="M143" i="4"/>
  <c r="O143" i="4" s="1"/>
  <c r="L143" i="4"/>
  <c r="N143" i="4" s="1"/>
  <c r="K143" i="4"/>
  <c r="J143" i="4"/>
  <c r="M142" i="4"/>
  <c r="O142" i="4" s="1"/>
  <c r="L142" i="4"/>
  <c r="N142" i="4" s="1"/>
  <c r="K142" i="4"/>
  <c r="J142" i="4"/>
  <c r="M141" i="4"/>
  <c r="O141" i="4" s="1"/>
  <c r="L141" i="4"/>
  <c r="N141" i="4" s="1"/>
  <c r="K141" i="4"/>
  <c r="J141" i="4"/>
  <c r="M140" i="4"/>
  <c r="O140" i="4" s="1"/>
  <c r="L140" i="4"/>
  <c r="N140" i="4" s="1"/>
  <c r="K140" i="4"/>
  <c r="J140" i="4"/>
  <c r="M139" i="4"/>
  <c r="O139" i="4" s="1"/>
  <c r="L139" i="4"/>
  <c r="N139" i="4" s="1"/>
  <c r="K139" i="4"/>
  <c r="J139" i="4"/>
  <c r="M138" i="4"/>
  <c r="O138" i="4" s="1"/>
  <c r="L138" i="4"/>
  <c r="N138" i="4" s="1"/>
  <c r="K138" i="4"/>
  <c r="J138" i="4"/>
  <c r="M137" i="4"/>
  <c r="O137" i="4" s="1"/>
  <c r="L137" i="4"/>
  <c r="N137" i="4" s="1"/>
  <c r="K137" i="4"/>
  <c r="J137" i="4"/>
  <c r="M136" i="4"/>
  <c r="O136" i="4" s="1"/>
  <c r="L136" i="4"/>
  <c r="N136" i="4" s="1"/>
  <c r="K136" i="4"/>
  <c r="J136" i="4"/>
  <c r="M135" i="4"/>
  <c r="O135" i="4" s="1"/>
  <c r="L135" i="4"/>
  <c r="N135" i="4" s="1"/>
  <c r="K135" i="4"/>
  <c r="J135" i="4"/>
  <c r="M134" i="4"/>
  <c r="O134" i="4" s="1"/>
  <c r="L134" i="4"/>
  <c r="N134" i="4" s="1"/>
  <c r="K134" i="4"/>
  <c r="J134" i="4"/>
  <c r="M133" i="4"/>
  <c r="O133" i="4" s="1"/>
  <c r="L133" i="4"/>
  <c r="N133" i="4" s="1"/>
  <c r="K133" i="4"/>
  <c r="J133" i="4"/>
  <c r="M132" i="4"/>
  <c r="O132" i="4" s="1"/>
  <c r="L132" i="4"/>
  <c r="N132" i="4" s="1"/>
  <c r="K132" i="4"/>
  <c r="J132" i="4"/>
  <c r="M131" i="4"/>
  <c r="O131" i="4" s="1"/>
  <c r="L131" i="4"/>
  <c r="N131" i="4" s="1"/>
  <c r="K131" i="4"/>
  <c r="J131" i="4"/>
  <c r="M130" i="4"/>
  <c r="O130" i="4" s="1"/>
  <c r="L130" i="4"/>
  <c r="N130" i="4" s="1"/>
  <c r="K130" i="4"/>
  <c r="J130" i="4"/>
  <c r="M129" i="4"/>
  <c r="O129" i="4" s="1"/>
  <c r="L129" i="4"/>
  <c r="N129" i="4" s="1"/>
  <c r="K129" i="4"/>
  <c r="J129" i="4"/>
  <c r="M128" i="4"/>
  <c r="O128" i="4" s="1"/>
  <c r="L128" i="4"/>
  <c r="N128" i="4" s="1"/>
  <c r="K128" i="4"/>
  <c r="J128" i="4"/>
  <c r="M127" i="4"/>
  <c r="O127" i="4" s="1"/>
  <c r="L127" i="4"/>
  <c r="N127" i="4" s="1"/>
  <c r="K127" i="4"/>
  <c r="J127" i="4"/>
  <c r="M126" i="4"/>
  <c r="O126" i="4" s="1"/>
  <c r="L126" i="4"/>
  <c r="N126" i="4" s="1"/>
  <c r="K126" i="4"/>
  <c r="J126" i="4"/>
  <c r="M125" i="4"/>
  <c r="O125" i="4" s="1"/>
  <c r="L125" i="4"/>
  <c r="N125" i="4" s="1"/>
  <c r="K125" i="4"/>
  <c r="J125" i="4"/>
  <c r="M124" i="4"/>
  <c r="O124" i="4" s="1"/>
  <c r="L124" i="4"/>
  <c r="N124" i="4" s="1"/>
  <c r="K124" i="4"/>
  <c r="J124" i="4"/>
  <c r="M123" i="4"/>
  <c r="O123" i="4" s="1"/>
  <c r="L123" i="4"/>
  <c r="N123" i="4" s="1"/>
  <c r="K123" i="4"/>
  <c r="J123" i="4"/>
  <c r="M122" i="4"/>
  <c r="O122" i="4" s="1"/>
  <c r="L122" i="4"/>
  <c r="N122" i="4" s="1"/>
  <c r="K122" i="4"/>
  <c r="J122" i="4"/>
  <c r="M121" i="4"/>
  <c r="O121" i="4" s="1"/>
  <c r="L121" i="4"/>
  <c r="N121" i="4" s="1"/>
  <c r="K121" i="4"/>
  <c r="J121" i="4"/>
  <c r="M120" i="4"/>
  <c r="O120" i="4" s="1"/>
  <c r="L120" i="4"/>
  <c r="N120" i="4" s="1"/>
  <c r="K120" i="4"/>
  <c r="J120" i="4"/>
  <c r="M119" i="4"/>
  <c r="O119" i="4" s="1"/>
  <c r="L119" i="4"/>
  <c r="N119" i="4" s="1"/>
  <c r="K119" i="4"/>
  <c r="J119" i="4"/>
  <c r="M118" i="4"/>
  <c r="O118" i="4" s="1"/>
  <c r="L118" i="4"/>
  <c r="N118" i="4" s="1"/>
  <c r="K118" i="4"/>
  <c r="J118" i="4"/>
  <c r="M117" i="4"/>
  <c r="O117" i="4" s="1"/>
  <c r="L117" i="4"/>
  <c r="N117" i="4" s="1"/>
  <c r="K117" i="4"/>
  <c r="J117" i="4"/>
  <c r="M116" i="4"/>
  <c r="O116" i="4" s="1"/>
  <c r="L116" i="4"/>
  <c r="N116" i="4" s="1"/>
  <c r="K116" i="4"/>
  <c r="J116" i="4"/>
  <c r="M115" i="4"/>
  <c r="O115" i="4" s="1"/>
  <c r="L115" i="4"/>
  <c r="N115" i="4" s="1"/>
  <c r="K115" i="4"/>
  <c r="J115" i="4"/>
  <c r="M114" i="4"/>
  <c r="O114" i="4" s="1"/>
  <c r="L114" i="4"/>
  <c r="N114" i="4" s="1"/>
  <c r="K114" i="4"/>
  <c r="J114" i="4"/>
  <c r="M113" i="4"/>
  <c r="O113" i="4" s="1"/>
  <c r="L113" i="4"/>
  <c r="N113" i="4" s="1"/>
  <c r="K113" i="4"/>
  <c r="J113" i="4"/>
  <c r="M112" i="4"/>
  <c r="O112" i="4" s="1"/>
  <c r="L112" i="4"/>
  <c r="N112" i="4" s="1"/>
  <c r="K112" i="4"/>
  <c r="J112" i="4"/>
  <c r="M111" i="4"/>
  <c r="O111" i="4" s="1"/>
  <c r="L111" i="4"/>
  <c r="N111" i="4" s="1"/>
  <c r="K111" i="4"/>
  <c r="J111" i="4"/>
  <c r="M110" i="4"/>
  <c r="O110" i="4" s="1"/>
  <c r="L110" i="4"/>
  <c r="N110" i="4" s="1"/>
  <c r="K110" i="4"/>
  <c r="J110" i="4"/>
  <c r="M109" i="4"/>
  <c r="O109" i="4" s="1"/>
  <c r="L109" i="4"/>
  <c r="N109" i="4" s="1"/>
  <c r="K109" i="4"/>
  <c r="J109" i="4"/>
  <c r="M108" i="4"/>
  <c r="O108" i="4" s="1"/>
  <c r="L108" i="4"/>
  <c r="N108" i="4" s="1"/>
  <c r="K108" i="4"/>
  <c r="J108" i="4"/>
  <c r="M107" i="4"/>
  <c r="O107" i="4" s="1"/>
  <c r="L107" i="4"/>
  <c r="N107" i="4" s="1"/>
  <c r="K107" i="4"/>
  <c r="J107" i="4"/>
  <c r="M106" i="4"/>
  <c r="O106" i="4" s="1"/>
  <c r="L106" i="4"/>
  <c r="N106" i="4" s="1"/>
  <c r="K106" i="4"/>
  <c r="J106" i="4"/>
  <c r="M105" i="4"/>
  <c r="O105" i="4" s="1"/>
  <c r="L105" i="4"/>
  <c r="N105" i="4" s="1"/>
  <c r="K105" i="4"/>
  <c r="J105" i="4"/>
  <c r="M104" i="4"/>
  <c r="O104" i="4" s="1"/>
  <c r="L104" i="4"/>
  <c r="N104" i="4" s="1"/>
  <c r="K104" i="4"/>
  <c r="J104" i="4"/>
  <c r="M103" i="4"/>
  <c r="O103" i="4" s="1"/>
  <c r="L103" i="4"/>
  <c r="N103" i="4" s="1"/>
  <c r="K103" i="4"/>
  <c r="J103" i="4"/>
  <c r="M102" i="4"/>
  <c r="O102" i="4" s="1"/>
  <c r="L102" i="4"/>
  <c r="N102" i="4" s="1"/>
  <c r="K102" i="4"/>
  <c r="J102" i="4"/>
  <c r="M101" i="4"/>
  <c r="O101" i="4" s="1"/>
  <c r="L101" i="4"/>
  <c r="N101" i="4" s="1"/>
  <c r="K101" i="4"/>
  <c r="J101" i="4"/>
  <c r="M100" i="4"/>
  <c r="O100" i="4" s="1"/>
  <c r="L100" i="4"/>
  <c r="N100" i="4" s="1"/>
  <c r="K100" i="4"/>
  <c r="J100" i="4"/>
  <c r="M99" i="4"/>
  <c r="O99" i="4" s="1"/>
  <c r="L99" i="4"/>
  <c r="N99" i="4" s="1"/>
  <c r="K99" i="4"/>
  <c r="J99" i="4"/>
  <c r="M98" i="4"/>
  <c r="O98" i="4" s="1"/>
  <c r="L98" i="4"/>
  <c r="N98" i="4" s="1"/>
  <c r="K98" i="4"/>
  <c r="J98" i="4"/>
  <c r="M97" i="4"/>
  <c r="O97" i="4" s="1"/>
  <c r="L97" i="4"/>
  <c r="N97" i="4" s="1"/>
  <c r="K97" i="4"/>
  <c r="J97" i="4"/>
  <c r="M96" i="4"/>
  <c r="O96" i="4" s="1"/>
  <c r="L96" i="4"/>
  <c r="N96" i="4" s="1"/>
  <c r="K96" i="4"/>
  <c r="J96" i="4"/>
  <c r="M95" i="4"/>
  <c r="O95" i="4" s="1"/>
  <c r="L95" i="4"/>
  <c r="N95" i="4" s="1"/>
  <c r="K95" i="4"/>
  <c r="J95" i="4"/>
  <c r="M94" i="4"/>
  <c r="O94" i="4" s="1"/>
  <c r="L94" i="4"/>
  <c r="N94" i="4" s="1"/>
  <c r="K94" i="4"/>
  <c r="J94" i="4"/>
  <c r="M93" i="4"/>
  <c r="O93" i="4" s="1"/>
  <c r="L93" i="4"/>
  <c r="N93" i="4" s="1"/>
  <c r="K93" i="4"/>
  <c r="J93" i="4"/>
  <c r="M92" i="4"/>
  <c r="O92" i="4" s="1"/>
  <c r="L92" i="4"/>
  <c r="N92" i="4" s="1"/>
  <c r="K92" i="4"/>
  <c r="J92" i="4"/>
  <c r="M91" i="4"/>
  <c r="O91" i="4" s="1"/>
  <c r="L91" i="4"/>
  <c r="N91" i="4" s="1"/>
  <c r="K91" i="4"/>
  <c r="J91" i="4"/>
  <c r="M90" i="4"/>
  <c r="O90" i="4" s="1"/>
  <c r="L90" i="4"/>
  <c r="N90" i="4" s="1"/>
  <c r="K90" i="4"/>
  <c r="J90" i="4"/>
  <c r="M89" i="4"/>
  <c r="O89" i="4" s="1"/>
  <c r="L89" i="4"/>
  <c r="N89" i="4" s="1"/>
  <c r="K89" i="4"/>
  <c r="J89" i="4"/>
  <c r="M88" i="4"/>
  <c r="O88" i="4" s="1"/>
  <c r="L88" i="4"/>
  <c r="N88" i="4" s="1"/>
  <c r="K88" i="4"/>
  <c r="J88" i="4"/>
  <c r="M87" i="4"/>
  <c r="O87" i="4" s="1"/>
  <c r="L87" i="4"/>
  <c r="N87" i="4" s="1"/>
  <c r="K87" i="4"/>
  <c r="J87" i="4"/>
  <c r="M86" i="4"/>
  <c r="O86" i="4" s="1"/>
  <c r="L86" i="4"/>
  <c r="N86" i="4" s="1"/>
  <c r="K86" i="4"/>
  <c r="J86" i="4"/>
  <c r="M85" i="4"/>
  <c r="O85" i="4" s="1"/>
  <c r="L85" i="4"/>
  <c r="N85" i="4" s="1"/>
  <c r="K85" i="4"/>
  <c r="J85" i="4"/>
  <c r="M84" i="4"/>
  <c r="O84" i="4" s="1"/>
  <c r="L84" i="4"/>
  <c r="N84" i="4" s="1"/>
  <c r="K84" i="4"/>
  <c r="J84" i="4"/>
  <c r="M83" i="4"/>
  <c r="O83" i="4" s="1"/>
  <c r="L83" i="4"/>
  <c r="N83" i="4" s="1"/>
  <c r="K83" i="4"/>
  <c r="J83" i="4"/>
  <c r="M82" i="4"/>
  <c r="O82" i="4" s="1"/>
  <c r="L82" i="4"/>
  <c r="N82" i="4" s="1"/>
  <c r="K82" i="4"/>
  <c r="J82" i="4"/>
  <c r="M81" i="4"/>
  <c r="O81" i="4" s="1"/>
  <c r="L81" i="4"/>
  <c r="N81" i="4" s="1"/>
  <c r="K81" i="4"/>
  <c r="J81" i="4"/>
  <c r="M80" i="4"/>
  <c r="O80" i="4" s="1"/>
  <c r="L80" i="4"/>
  <c r="N80" i="4" s="1"/>
  <c r="K80" i="4"/>
  <c r="J80" i="4"/>
  <c r="M79" i="4"/>
  <c r="O79" i="4" s="1"/>
  <c r="L79" i="4"/>
  <c r="N79" i="4" s="1"/>
  <c r="K79" i="4"/>
  <c r="J79" i="4"/>
  <c r="M78" i="4"/>
  <c r="O78" i="4" s="1"/>
  <c r="L78" i="4"/>
  <c r="N78" i="4" s="1"/>
  <c r="K78" i="4"/>
  <c r="J78" i="4"/>
  <c r="M77" i="4"/>
  <c r="O77" i="4" s="1"/>
  <c r="L77" i="4"/>
  <c r="N77" i="4" s="1"/>
  <c r="K77" i="4"/>
  <c r="J77" i="4"/>
  <c r="M76" i="4"/>
  <c r="O76" i="4" s="1"/>
  <c r="L76" i="4"/>
  <c r="N76" i="4" s="1"/>
  <c r="K76" i="4"/>
  <c r="J76" i="4"/>
  <c r="M75" i="4"/>
  <c r="O75" i="4" s="1"/>
  <c r="L75" i="4"/>
  <c r="N75" i="4" s="1"/>
  <c r="K75" i="4"/>
  <c r="J75" i="4"/>
  <c r="M74" i="4"/>
  <c r="O74" i="4" s="1"/>
  <c r="L74" i="4"/>
  <c r="N74" i="4" s="1"/>
  <c r="K74" i="4"/>
  <c r="J74" i="4"/>
  <c r="M73" i="4"/>
  <c r="O73" i="4" s="1"/>
  <c r="L73" i="4"/>
  <c r="N73" i="4" s="1"/>
  <c r="K73" i="4"/>
  <c r="J73" i="4"/>
  <c r="M72" i="4"/>
  <c r="O72" i="4" s="1"/>
  <c r="L72" i="4"/>
  <c r="N72" i="4" s="1"/>
  <c r="K72" i="4"/>
  <c r="J72" i="4"/>
  <c r="M71" i="4"/>
  <c r="O71" i="4" s="1"/>
  <c r="L71" i="4"/>
  <c r="N71" i="4" s="1"/>
  <c r="K71" i="4"/>
  <c r="J71" i="4"/>
  <c r="M70" i="4"/>
  <c r="O70" i="4" s="1"/>
  <c r="L70" i="4"/>
  <c r="N70" i="4" s="1"/>
  <c r="K70" i="4"/>
  <c r="J70" i="4"/>
  <c r="F70" i="4"/>
  <c r="E70" i="4"/>
  <c r="D70" i="4"/>
  <c r="S69" i="4"/>
  <c r="M69" i="4"/>
  <c r="O69" i="4" s="1"/>
  <c r="L69" i="4"/>
  <c r="N69" i="4" s="1"/>
  <c r="K69" i="4"/>
  <c r="J69" i="4"/>
  <c r="F69" i="4"/>
  <c r="E69" i="4"/>
  <c r="D69" i="4"/>
  <c r="M68" i="4"/>
  <c r="O68" i="4" s="1"/>
  <c r="L68" i="4"/>
  <c r="N68" i="4" s="1"/>
  <c r="K68" i="4"/>
  <c r="J68" i="4"/>
  <c r="M67" i="4"/>
  <c r="O67" i="4" s="1"/>
  <c r="L67" i="4"/>
  <c r="N67" i="4" s="1"/>
  <c r="K67" i="4"/>
  <c r="J67" i="4"/>
  <c r="M66" i="4"/>
  <c r="O66" i="4" s="1"/>
  <c r="L66" i="4"/>
  <c r="N66" i="4" s="1"/>
  <c r="K66" i="4"/>
  <c r="J66" i="4"/>
  <c r="M65" i="4"/>
  <c r="O65" i="4" s="1"/>
  <c r="L65" i="4"/>
  <c r="N65" i="4" s="1"/>
  <c r="K65" i="4"/>
  <c r="J65" i="4"/>
  <c r="M64" i="4"/>
  <c r="O64" i="4" s="1"/>
  <c r="L64" i="4"/>
  <c r="N64" i="4" s="1"/>
  <c r="K64" i="4"/>
  <c r="J64" i="4"/>
  <c r="M63" i="4"/>
  <c r="O63" i="4" s="1"/>
  <c r="L63" i="4"/>
  <c r="N63" i="4" s="1"/>
  <c r="K63" i="4"/>
  <c r="J63" i="4"/>
  <c r="M62" i="4"/>
  <c r="O62" i="4" s="1"/>
  <c r="L62" i="4"/>
  <c r="N62" i="4" s="1"/>
  <c r="K62" i="4"/>
  <c r="J62" i="4"/>
  <c r="M61" i="4"/>
  <c r="O61" i="4" s="1"/>
  <c r="L61" i="4"/>
  <c r="N61" i="4" s="1"/>
  <c r="K61" i="4"/>
  <c r="J61" i="4"/>
  <c r="M60" i="4"/>
  <c r="O60" i="4" s="1"/>
  <c r="L60" i="4"/>
  <c r="N60" i="4" s="1"/>
  <c r="K60" i="4"/>
  <c r="J60" i="4"/>
  <c r="M59" i="4"/>
  <c r="O59" i="4" s="1"/>
  <c r="L59" i="4"/>
  <c r="N59" i="4" s="1"/>
  <c r="K59" i="4"/>
  <c r="J59" i="4"/>
  <c r="M58" i="4"/>
  <c r="O58" i="4" s="1"/>
  <c r="L58" i="4"/>
  <c r="N58" i="4" s="1"/>
  <c r="K58" i="4"/>
  <c r="J58" i="4"/>
  <c r="M57" i="4"/>
  <c r="O57" i="4" s="1"/>
  <c r="L57" i="4"/>
  <c r="N57" i="4" s="1"/>
  <c r="K57" i="4"/>
  <c r="J57" i="4"/>
  <c r="M56" i="4"/>
  <c r="O56" i="4" s="1"/>
  <c r="L56" i="4"/>
  <c r="N56" i="4" s="1"/>
  <c r="K56" i="4"/>
  <c r="J56" i="4"/>
  <c r="M55" i="4"/>
  <c r="O55" i="4" s="1"/>
  <c r="L55" i="4"/>
  <c r="N55" i="4" s="1"/>
  <c r="K55" i="4"/>
  <c r="J55" i="4"/>
  <c r="M54" i="4"/>
  <c r="O54" i="4" s="1"/>
  <c r="L54" i="4"/>
  <c r="N54" i="4" s="1"/>
  <c r="K54" i="4"/>
  <c r="J54" i="4"/>
  <c r="M53" i="4"/>
  <c r="O53" i="4" s="1"/>
  <c r="L53" i="4"/>
  <c r="N53" i="4" s="1"/>
  <c r="K53" i="4"/>
  <c r="J53" i="4"/>
  <c r="M52" i="4"/>
  <c r="O52" i="4" s="1"/>
  <c r="L52" i="4"/>
  <c r="N52" i="4" s="1"/>
  <c r="K52" i="4"/>
  <c r="J52" i="4"/>
  <c r="M51" i="4"/>
  <c r="O51" i="4" s="1"/>
  <c r="L51" i="4"/>
  <c r="N51" i="4" s="1"/>
  <c r="K51" i="4"/>
  <c r="J51" i="4"/>
  <c r="M50" i="4"/>
  <c r="O50" i="4" s="1"/>
  <c r="L50" i="4"/>
  <c r="N50" i="4" s="1"/>
  <c r="K50" i="4"/>
  <c r="J50" i="4"/>
  <c r="M49" i="4"/>
  <c r="O49" i="4" s="1"/>
  <c r="L49" i="4"/>
  <c r="N49" i="4" s="1"/>
  <c r="K49" i="4"/>
  <c r="J49" i="4"/>
  <c r="M48" i="4"/>
  <c r="O48" i="4" s="1"/>
  <c r="L48" i="4"/>
  <c r="N48" i="4" s="1"/>
  <c r="K48" i="4"/>
  <c r="J48" i="4"/>
  <c r="M47" i="4"/>
  <c r="O47" i="4" s="1"/>
  <c r="L47" i="4"/>
  <c r="N47" i="4" s="1"/>
  <c r="K47" i="4"/>
  <c r="J47" i="4"/>
  <c r="M46" i="4"/>
  <c r="O46" i="4" s="1"/>
  <c r="L46" i="4"/>
  <c r="N46" i="4" s="1"/>
  <c r="K46" i="4"/>
  <c r="J46" i="4"/>
  <c r="M45" i="4"/>
  <c r="O45" i="4" s="1"/>
  <c r="L45" i="4"/>
  <c r="N45" i="4" s="1"/>
  <c r="K45" i="4"/>
  <c r="J45" i="4"/>
  <c r="M44" i="4"/>
  <c r="O44" i="4" s="1"/>
  <c r="L44" i="4"/>
  <c r="N44" i="4" s="1"/>
  <c r="K44" i="4"/>
  <c r="J44" i="4"/>
  <c r="M43" i="4"/>
  <c r="O43" i="4" s="1"/>
  <c r="L43" i="4"/>
  <c r="N43" i="4" s="1"/>
  <c r="K43" i="4"/>
  <c r="J43" i="4"/>
  <c r="M42" i="4"/>
  <c r="O42" i="4" s="1"/>
  <c r="L42" i="4"/>
  <c r="N42" i="4" s="1"/>
  <c r="K42" i="4"/>
  <c r="J42" i="4"/>
  <c r="M41" i="4"/>
  <c r="O41" i="4" s="1"/>
  <c r="L41" i="4"/>
  <c r="N41" i="4" s="1"/>
  <c r="K41" i="4"/>
  <c r="J41" i="4"/>
  <c r="M40" i="4"/>
  <c r="O40" i="4" s="1"/>
  <c r="L40" i="4"/>
  <c r="N40" i="4" s="1"/>
  <c r="K40" i="4"/>
  <c r="J40" i="4"/>
  <c r="M39" i="4"/>
  <c r="O39" i="4" s="1"/>
  <c r="L39" i="4"/>
  <c r="N39" i="4" s="1"/>
  <c r="K39" i="4"/>
  <c r="J39" i="4"/>
  <c r="M38" i="4"/>
  <c r="O38" i="4" s="1"/>
  <c r="L38" i="4"/>
  <c r="N38" i="4" s="1"/>
  <c r="K38" i="4"/>
  <c r="J38" i="4"/>
  <c r="M37" i="4"/>
  <c r="O37" i="4" s="1"/>
  <c r="L37" i="4"/>
  <c r="N37" i="4" s="1"/>
  <c r="K37" i="4"/>
  <c r="J37" i="4"/>
  <c r="M36" i="4"/>
  <c r="O36" i="4" s="1"/>
  <c r="L36" i="4"/>
  <c r="N36" i="4" s="1"/>
  <c r="K36" i="4"/>
  <c r="J36" i="4"/>
  <c r="M35" i="4"/>
  <c r="O35" i="4" s="1"/>
  <c r="L35" i="4"/>
  <c r="N35" i="4" s="1"/>
  <c r="K35" i="4"/>
  <c r="J35" i="4"/>
  <c r="M34" i="4"/>
  <c r="O34" i="4" s="1"/>
  <c r="L34" i="4"/>
  <c r="N34" i="4" s="1"/>
  <c r="K34" i="4"/>
  <c r="J34" i="4"/>
  <c r="M33" i="4"/>
  <c r="O33" i="4" s="1"/>
  <c r="L33" i="4"/>
  <c r="N33" i="4" s="1"/>
  <c r="K33" i="4"/>
  <c r="J33" i="4"/>
  <c r="M32" i="4"/>
  <c r="O32" i="4" s="1"/>
  <c r="L32" i="4"/>
  <c r="N32" i="4" s="1"/>
  <c r="K32" i="4"/>
  <c r="J32" i="4"/>
  <c r="M31" i="4"/>
  <c r="O31" i="4" s="1"/>
  <c r="L31" i="4"/>
  <c r="N31" i="4" s="1"/>
  <c r="K31" i="4"/>
  <c r="J31" i="4"/>
  <c r="M30" i="4"/>
  <c r="O30" i="4" s="1"/>
  <c r="L30" i="4"/>
  <c r="N30" i="4" s="1"/>
  <c r="K30" i="4"/>
  <c r="J30" i="4"/>
  <c r="M29" i="4"/>
  <c r="O29" i="4" s="1"/>
  <c r="L29" i="4"/>
  <c r="N29" i="4" s="1"/>
  <c r="K29" i="4"/>
  <c r="J29" i="4"/>
  <c r="M28" i="4"/>
  <c r="O28" i="4" s="1"/>
  <c r="L28" i="4"/>
  <c r="N28" i="4" s="1"/>
  <c r="K28" i="4"/>
  <c r="J28" i="4"/>
  <c r="M27" i="4"/>
  <c r="O27" i="4" s="1"/>
  <c r="L27" i="4"/>
  <c r="N27" i="4" s="1"/>
  <c r="K27" i="4"/>
  <c r="J27" i="4"/>
  <c r="M25" i="4"/>
  <c r="O25" i="4" s="1"/>
  <c r="L25" i="4"/>
  <c r="N25" i="4" s="1"/>
  <c r="K25" i="4"/>
  <c r="J25" i="4"/>
  <c r="M24" i="4"/>
  <c r="O24" i="4" s="1"/>
  <c r="L24" i="4"/>
  <c r="N24" i="4" s="1"/>
  <c r="K24" i="4"/>
  <c r="J24" i="4"/>
  <c r="M23" i="4"/>
  <c r="O23" i="4" s="1"/>
  <c r="L23" i="4"/>
  <c r="N23" i="4" s="1"/>
  <c r="K23" i="4"/>
  <c r="J23" i="4"/>
  <c r="M22" i="4"/>
  <c r="O22" i="4" s="1"/>
  <c r="L22" i="4"/>
  <c r="N22" i="4" s="1"/>
  <c r="K22" i="4"/>
  <c r="J22" i="4"/>
  <c r="M21" i="4"/>
  <c r="O21" i="4" s="1"/>
  <c r="L21" i="4"/>
  <c r="N21" i="4" s="1"/>
  <c r="K21" i="4"/>
  <c r="J21" i="4"/>
  <c r="M20" i="4"/>
  <c r="O20" i="4" s="1"/>
  <c r="L20" i="4"/>
  <c r="N20" i="4" s="1"/>
  <c r="K20" i="4"/>
  <c r="J20" i="4"/>
  <c r="M19" i="4"/>
  <c r="O19" i="4" s="1"/>
  <c r="L19" i="4"/>
  <c r="N19" i="4" s="1"/>
  <c r="K19" i="4"/>
  <c r="J19" i="4"/>
  <c r="M18" i="4"/>
  <c r="O18" i="4" s="1"/>
  <c r="L18" i="4"/>
  <c r="N18" i="4" s="1"/>
  <c r="K18" i="4"/>
  <c r="J18" i="4"/>
  <c r="M17" i="4"/>
  <c r="O17" i="4" s="1"/>
  <c r="L17" i="4"/>
  <c r="N17" i="4" s="1"/>
  <c r="K17" i="4"/>
  <c r="J17" i="4"/>
  <c r="M16" i="4"/>
  <c r="O16" i="4" s="1"/>
  <c r="L16" i="4"/>
  <c r="N16" i="4" s="1"/>
  <c r="K16" i="4"/>
  <c r="J16" i="4"/>
  <c r="M15" i="4"/>
  <c r="O15" i="4" s="1"/>
  <c r="L15" i="4"/>
  <c r="N15" i="4" s="1"/>
  <c r="K15" i="4"/>
  <c r="J15" i="4"/>
  <c r="M14" i="4"/>
  <c r="O14" i="4" s="1"/>
  <c r="L14" i="4"/>
  <c r="N14" i="4" s="1"/>
  <c r="K14" i="4"/>
  <c r="J14" i="4"/>
  <c r="M11" i="4"/>
  <c r="O11" i="4" s="1"/>
  <c r="L11" i="4"/>
  <c r="N11" i="4" s="1"/>
  <c r="K11" i="4"/>
  <c r="J11" i="4"/>
  <c r="M10" i="4"/>
  <c r="O10" i="4" s="1"/>
  <c r="L10" i="4"/>
  <c r="N10" i="4" s="1"/>
  <c r="K10" i="4"/>
  <c r="J10" i="4"/>
  <c r="M9" i="4"/>
  <c r="O9" i="4" s="1"/>
  <c r="L9" i="4"/>
  <c r="N9" i="4" s="1"/>
  <c r="K9" i="4"/>
  <c r="J9" i="4"/>
  <c r="M8" i="4"/>
  <c r="O8" i="4" s="1"/>
  <c r="L8" i="4"/>
  <c r="N8" i="4" s="1"/>
  <c r="K8" i="4"/>
  <c r="J8" i="4"/>
  <c r="J2901" i="1"/>
  <c r="K2901" i="1"/>
  <c r="L2901" i="1"/>
  <c r="N2901" i="1" s="1"/>
  <c r="M2901" i="1"/>
  <c r="O2901" i="1" s="1"/>
  <c r="J2882" i="1"/>
  <c r="K2882" i="1"/>
  <c r="L2882" i="1"/>
  <c r="N2882" i="1" s="1"/>
  <c r="M2882" i="1"/>
  <c r="O2882" i="1" s="1"/>
  <c r="J2883" i="1"/>
  <c r="K2883" i="1"/>
  <c r="L2883" i="1"/>
  <c r="N2883" i="1" s="1"/>
  <c r="M2883" i="1"/>
  <c r="O2883" i="1" s="1"/>
  <c r="J2891" i="1"/>
  <c r="K2891" i="1"/>
  <c r="L2891" i="1"/>
  <c r="N2891" i="1" s="1"/>
  <c r="M2891" i="1"/>
  <c r="O2891" i="1" s="1"/>
  <c r="J44" i="1"/>
  <c r="K44" i="1"/>
  <c r="L44" i="1"/>
  <c r="N44" i="1" s="1"/>
  <c r="M44" i="1"/>
  <c r="O44" i="1" s="1"/>
  <c r="J2893" i="1"/>
  <c r="K2893" i="1"/>
  <c r="L2893" i="1"/>
  <c r="N2893" i="1" s="1"/>
  <c r="M2893" i="1"/>
  <c r="O2893" i="1" s="1"/>
  <c r="J2894" i="1"/>
  <c r="K2894" i="1"/>
  <c r="L2894" i="1"/>
  <c r="N2894" i="1" s="1"/>
  <c r="M2894" i="1"/>
  <c r="O2894" i="1" s="1"/>
  <c r="J2902" i="1"/>
  <c r="K2902" i="1"/>
  <c r="L2902" i="1"/>
  <c r="N2902" i="1" s="1"/>
  <c r="M2902" i="1"/>
  <c r="O2902" i="1" s="1"/>
  <c r="J2895" i="1"/>
  <c r="K2895" i="1"/>
  <c r="L2895" i="1"/>
  <c r="N2895" i="1" s="1"/>
  <c r="M2895" i="1"/>
  <c r="O2895" i="1" s="1"/>
  <c r="J2896" i="1"/>
  <c r="K2896" i="1"/>
  <c r="L2896" i="1"/>
  <c r="N2896" i="1" s="1"/>
  <c r="M2896" i="1"/>
  <c r="O2896" i="1" s="1"/>
  <c r="J2897" i="1"/>
  <c r="K2897" i="1"/>
  <c r="L2897" i="1"/>
  <c r="N2897" i="1" s="1"/>
  <c r="M2897" i="1"/>
  <c r="O2897" i="1" s="1"/>
  <c r="J2898" i="1"/>
  <c r="K2898" i="1"/>
  <c r="L2898" i="1"/>
  <c r="N2898" i="1" s="1"/>
  <c r="M2898" i="1"/>
  <c r="O2898" i="1" s="1"/>
  <c r="J2899" i="1"/>
  <c r="K2899" i="1"/>
  <c r="L2899" i="1"/>
  <c r="N2899" i="1" s="1"/>
  <c r="M2899" i="1"/>
  <c r="O2899" i="1" s="1"/>
  <c r="J2900" i="1"/>
  <c r="K2900" i="1"/>
  <c r="L2900" i="1"/>
  <c r="N2900" i="1" s="1"/>
  <c r="M2900" i="1"/>
  <c r="O2900" i="1" s="1"/>
  <c r="J2903" i="1"/>
  <c r="K2903" i="1"/>
  <c r="L2903" i="1"/>
  <c r="N2903" i="1" s="1"/>
  <c r="M2903" i="1"/>
  <c r="O2903" i="1" s="1"/>
  <c r="J2904" i="1"/>
  <c r="K2904" i="1"/>
  <c r="L2904" i="1"/>
  <c r="N2904" i="1" s="1"/>
  <c r="M2904" i="1"/>
  <c r="O2904" i="1" s="1"/>
  <c r="J2905" i="1"/>
  <c r="K2905" i="1"/>
  <c r="L2905" i="1"/>
  <c r="N2905" i="1" s="1"/>
  <c r="M2905" i="1"/>
  <c r="O2905" i="1" s="1"/>
  <c r="J2906" i="1"/>
  <c r="K2906" i="1"/>
  <c r="L2906" i="1"/>
  <c r="N2906" i="1" s="1"/>
  <c r="M2906" i="1"/>
  <c r="O2906" i="1" s="1"/>
  <c r="J2909" i="1"/>
  <c r="K2909" i="1"/>
  <c r="L2909" i="1"/>
  <c r="N2909" i="1" s="1"/>
  <c r="M2909" i="1"/>
  <c r="O2909" i="1" s="1"/>
  <c r="J2927" i="1"/>
  <c r="K2927" i="1"/>
  <c r="L2927" i="1"/>
  <c r="N2927" i="1" s="1"/>
  <c r="M2927" i="1"/>
  <c r="O2927" i="1" s="1"/>
  <c r="J2928" i="1"/>
  <c r="K2928" i="1"/>
  <c r="L2928" i="1"/>
  <c r="N2928" i="1" s="1"/>
  <c r="M2928" i="1"/>
  <c r="O2928" i="1" s="1"/>
  <c r="J2929" i="1"/>
  <c r="K2929" i="1"/>
  <c r="L2929" i="1"/>
  <c r="N2929" i="1" s="1"/>
  <c r="M2929" i="1"/>
  <c r="O2929" i="1" s="1"/>
  <c r="J2930" i="1"/>
  <c r="K2930" i="1"/>
  <c r="L2930" i="1"/>
  <c r="N2930" i="1" s="1"/>
  <c r="M2930" i="1"/>
  <c r="O2930" i="1" s="1"/>
  <c r="J2939" i="1"/>
  <c r="K2939" i="1"/>
  <c r="L2939" i="1"/>
  <c r="N2939" i="1" s="1"/>
  <c r="M2939" i="1"/>
  <c r="O2939" i="1" s="1"/>
  <c r="J2940" i="1"/>
  <c r="K2940" i="1"/>
  <c r="L2940" i="1"/>
  <c r="N2940" i="1" s="1"/>
  <c r="M2940" i="1"/>
  <c r="O2940" i="1" s="1"/>
  <c r="J2946" i="1"/>
  <c r="K2946" i="1"/>
  <c r="L2946" i="1"/>
  <c r="N2946" i="1" s="1"/>
  <c r="M2946" i="1"/>
  <c r="O2946" i="1" s="1"/>
  <c r="J2950" i="1"/>
  <c r="K2950" i="1"/>
  <c r="L2950" i="1"/>
  <c r="N2950" i="1" s="1"/>
  <c r="M2950" i="1"/>
  <c r="O2950" i="1" s="1"/>
  <c r="J2951" i="1"/>
  <c r="K2951" i="1"/>
  <c r="L2951" i="1"/>
  <c r="N2951" i="1" s="1"/>
  <c r="M2951" i="1"/>
  <c r="O2951" i="1" s="1"/>
  <c r="J2952" i="1"/>
  <c r="K2952" i="1"/>
  <c r="L2952" i="1"/>
  <c r="N2952" i="1" s="1"/>
  <c r="M2952" i="1"/>
  <c r="O2952" i="1" s="1"/>
  <c r="J2953" i="1"/>
  <c r="K2953" i="1"/>
  <c r="L2953" i="1"/>
  <c r="N2953" i="1" s="1"/>
  <c r="M2953" i="1"/>
  <c r="O2953" i="1" s="1"/>
  <c r="J2954" i="1"/>
  <c r="K2954" i="1"/>
  <c r="L2954" i="1"/>
  <c r="N2954" i="1" s="1"/>
  <c r="M2954" i="1"/>
  <c r="O2954" i="1" s="1"/>
  <c r="J2955" i="1"/>
  <c r="K2955" i="1"/>
  <c r="L2955" i="1"/>
  <c r="N2955" i="1" s="1"/>
  <c r="M2955" i="1"/>
  <c r="O2955" i="1" s="1"/>
  <c r="J2956" i="1"/>
  <c r="K2956" i="1"/>
  <c r="L2956" i="1"/>
  <c r="N2956" i="1" s="1"/>
  <c r="M2956" i="1"/>
  <c r="O2956" i="1" s="1"/>
  <c r="J2957" i="1"/>
  <c r="K2957" i="1"/>
  <c r="L2957" i="1"/>
  <c r="N2957" i="1" s="1"/>
  <c r="M2957" i="1"/>
  <c r="O2957" i="1" s="1"/>
  <c r="J2964" i="1"/>
  <c r="K2964" i="1"/>
  <c r="L2964" i="1"/>
  <c r="N2964" i="1" s="1"/>
  <c r="M2964" i="1"/>
  <c r="O2964" i="1" s="1"/>
  <c r="J2969" i="1"/>
  <c r="K2969" i="1"/>
  <c r="L2969" i="1"/>
  <c r="N2969" i="1" s="1"/>
  <c r="M2969" i="1"/>
  <c r="O2969" i="1" s="1"/>
  <c r="J2965" i="1"/>
  <c r="K2965" i="1"/>
  <c r="L2965" i="1"/>
  <c r="N2965" i="1" s="1"/>
  <c r="M2965" i="1"/>
  <c r="O2965" i="1" s="1"/>
  <c r="J2958" i="1"/>
  <c r="K2958" i="1"/>
  <c r="L2958" i="1"/>
  <c r="N2958" i="1" s="1"/>
  <c r="M2958" i="1"/>
  <c r="O2958" i="1" s="1"/>
  <c r="J2966" i="1"/>
  <c r="K2966" i="1"/>
  <c r="L2966" i="1"/>
  <c r="N2966" i="1" s="1"/>
  <c r="M2966" i="1"/>
  <c r="O2966" i="1" s="1"/>
  <c r="J2967" i="1"/>
  <c r="K2967" i="1"/>
  <c r="L2967" i="1"/>
  <c r="N2967" i="1" s="1"/>
  <c r="M2967" i="1"/>
  <c r="O2967" i="1" s="1"/>
  <c r="J2968" i="1"/>
  <c r="K2968" i="1"/>
  <c r="L2968" i="1"/>
  <c r="N2968" i="1" s="1"/>
  <c r="M2968" i="1"/>
  <c r="O2968" i="1" s="1"/>
  <c r="J2989" i="1"/>
  <c r="K2989" i="1"/>
  <c r="L2989" i="1"/>
  <c r="N2989" i="1" s="1"/>
  <c r="M2989" i="1"/>
  <c r="O2989" i="1" s="1"/>
  <c r="J2970" i="1"/>
  <c r="K2970" i="1"/>
  <c r="L2970" i="1"/>
  <c r="N2970" i="1" s="1"/>
  <c r="M2970" i="1"/>
  <c r="O2970" i="1" s="1"/>
  <c r="J2971" i="1"/>
  <c r="K2971" i="1"/>
  <c r="L2971" i="1"/>
  <c r="N2971" i="1" s="1"/>
  <c r="M2971" i="1"/>
  <c r="O2971" i="1" s="1"/>
  <c r="J2972" i="1"/>
  <c r="K2972" i="1"/>
  <c r="L2972" i="1"/>
  <c r="N2972" i="1" s="1"/>
  <c r="M2972" i="1"/>
  <c r="O2972" i="1" s="1"/>
  <c r="J2973" i="1"/>
  <c r="K2973" i="1"/>
  <c r="L2973" i="1"/>
  <c r="N2973" i="1" s="1"/>
  <c r="M2973" i="1"/>
  <c r="O2973" i="1" s="1"/>
  <c r="J2974" i="1"/>
  <c r="K2974" i="1"/>
  <c r="L2974" i="1"/>
  <c r="N2974" i="1" s="1"/>
  <c r="M2974" i="1"/>
  <c r="O2974" i="1" s="1"/>
  <c r="J2991" i="1"/>
  <c r="K2991" i="1"/>
  <c r="L2991" i="1"/>
  <c r="N2991" i="1" s="1"/>
  <c r="M2991" i="1"/>
  <c r="O2991" i="1" s="1"/>
  <c r="J2990" i="1"/>
  <c r="K2990" i="1"/>
  <c r="L2990" i="1"/>
  <c r="N2990" i="1" s="1"/>
  <c r="M2990" i="1"/>
  <c r="O2990" i="1" s="1"/>
  <c r="J2992" i="1"/>
  <c r="K2992" i="1"/>
  <c r="L2992" i="1"/>
  <c r="N2992" i="1" s="1"/>
  <c r="M2992" i="1"/>
  <c r="O2992" i="1" s="1"/>
  <c r="J2892" i="1"/>
  <c r="K2892" i="1"/>
  <c r="L2892" i="1"/>
  <c r="N2892" i="1" s="1"/>
  <c r="M2892" i="1"/>
  <c r="O2892" i="1" s="1"/>
  <c r="J2931" i="1"/>
  <c r="K2931" i="1"/>
  <c r="L2931" i="1"/>
  <c r="N2931" i="1" s="1"/>
  <c r="M2931" i="1"/>
  <c r="O2931" i="1" s="1"/>
  <c r="J2932" i="1"/>
  <c r="K2932" i="1"/>
  <c r="L2932" i="1"/>
  <c r="N2932" i="1" s="1"/>
  <c r="M2932" i="1"/>
  <c r="O2932" i="1" s="1"/>
  <c r="J2933" i="1"/>
  <c r="K2933" i="1"/>
  <c r="L2933" i="1"/>
  <c r="N2933" i="1" s="1"/>
  <c r="M2933" i="1"/>
  <c r="O2933" i="1" s="1"/>
  <c r="J2934" i="1"/>
  <c r="K2934" i="1"/>
  <c r="L2934" i="1"/>
  <c r="N2934" i="1" s="1"/>
  <c r="M2934" i="1"/>
  <c r="O2934" i="1" s="1"/>
  <c r="J2935" i="1"/>
  <c r="K2935" i="1"/>
  <c r="L2935" i="1"/>
  <c r="N2935" i="1" s="1"/>
  <c r="M2935" i="1"/>
  <c r="O2935" i="1" s="1"/>
  <c r="J2936" i="1"/>
  <c r="K2936" i="1"/>
  <c r="L2936" i="1"/>
  <c r="N2936" i="1" s="1"/>
  <c r="M2936" i="1"/>
  <c r="O2936" i="1" s="1"/>
  <c r="J2979" i="1"/>
  <c r="K2979" i="1"/>
  <c r="L2979" i="1"/>
  <c r="N2979" i="1" s="1"/>
  <c r="M2979" i="1"/>
  <c r="O2979" i="1" s="1"/>
  <c r="J2980" i="1"/>
  <c r="K2980" i="1"/>
  <c r="L2980" i="1"/>
  <c r="N2980" i="1" s="1"/>
  <c r="M2980" i="1"/>
  <c r="O2980" i="1" s="1"/>
  <c r="J2981" i="1"/>
  <c r="K2981" i="1"/>
  <c r="L2981" i="1"/>
  <c r="N2981" i="1" s="1"/>
  <c r="M2981" i="1"/>
  <c r="O2981" i="1" s="1"/>
  <c r="J2982" i="1"/>
  <c r="K2982" i="1"/>
  <c r="L2982" i="1"/>
  <c r="N2982" i="1" s="1"/>
  <c r="M2982" i="1"/>
  <c r="O2982" i="1" s="1"/>
  <c r="J2983" i="1"/>
  <c r="K2983" i="1"/>
  <c r="L2983" i="1"/>
  <c r="N2983" i="1" s="1"/>
  <c r="M2983" i="1"/>
  <c r="O2983" i="1" s="1"/>
  <c r="J2984" i="1"/>
  <c r="K2984" i="1"/>
  <c r="L2984" i="1"/>
  <c r="N2984" i="1" s="1"/>
  <c r="M2984" i="1"/>
  <c r="O2984" i="1" s="1"/>
  <c r="J2985" i="1"/>
  <c r="K2985" i="1"/>
  <c r="L2985" i="1"/>
  <c r="N2985" i="1" s="1"/>
  <c r="M2985" i="1"/>
  <c r="O2985" i="1" s="1"/>
  <c r="J2986" i="1"/>
  <c r="K2986" i="1"/>
  <c r="L2986" i="1"/>
  <c r="N2986" i="1" s="1"/>
  <c r="M2986" i="1"/>
  <c r="O2986" i="1" s="1"/>
  <c r="J2959" i="1"/>
  <c r="K2959" i="1"/>
  <c r="L2959" i="1"/>
  <c r="N2959" i="1" s="1"/>
  <c r="M2959" i="1"/>
  <c r="O2959" i="1" s="1"/>
  <c r="J2947" i="1"/>
  <c r="K2947" i="1"/>
  <c r="L2947" i="1"/>
  <c r="N2947" i="1" s="1"/>
  <c r="M2947" i="1"/>
  <c r="O2947" i="1" s="1"/>
  <c r="J2937" i="1"/>
  <c r="K2937" i="1"/>
  <c r="L2937" i="1"/>
  <c r="N2937" i="1" s="1"/>
  <c r="M2937" i="1"/>
  <c r="O2937" i="1" s="1"/>
  <c r="J2846" i="1"/>
  <c r="K2846" i="1"/>
  <c r="L2846" i="1"/>
  <c r="N2846" i="1" s="1"/>
  <c r="M2846" i="1"/>
  <c r="O2846" i="1" s="1"/>
  <c r="J2961" i="1"/>
  <c r="K2961" i="1"/>
  <c r="L2961" i="1"/>
  <c r="N2961" i="1" s="1"/>
  <c r="M2961" i="1"/>
  <c r="O2961" i="1" s="1"/>
  <c r="J2963" i="1"/>
  <c r="K2963" i="1"/>
  <c r="L2963" i="1"/>
  <c r="N2963" i="1" s="1"/>
  <c r="M2963" i="1"/>
  <c r="O2963" i="1" s="1"/>
  <c r="D44" i="1"/>
  <c r="E44" i="1"/>
  <c r="F44" i="1"/>
  <c r="D2909" i="1"/>
  <c r="E2909" i="1"/>
  <c r="F2909" i="1"/>
  <c r="D2964" i="1"/>
  <c r="E2964" i="1"/>
  <c r="F2964" i="1"/>
  <c r="D2969" i="1"/>
  <c r="E2969" i="1"/>
  <c r="F2969" i="1"/>
  <c r="D2989" i="1"/>
  <c r="E2989" i="1"/>
  <c r="F2989" i="1"/>
  <c r="D2991" i="1"/>
  <c r="E2991" i="1"/>
  <c r="F2991" i="1"/>
  <c r="D2992" i="1"/>
  <c r="E2992" i="1"/>
  <c r="F2992" i="1"/>
  <c r="D2892" i="1"/>
  <c r="E2892" i="1"/>
  <c r="F2892" i="1"/>
  <c r="D2961" i="1"/>
  <c r="E2961" i="1"/>
  <c r="F2961" i="1"/>
  <c r="D2963" i="1"/>
  <c r="E2963" i="1"/>
  <c r="F2963" i="1"/>
  <c r="G741" i="6" l="1"/>
  <c r="G494" i="6"/>
  <c r="G214" i="6"/>
  <c r="G219" i="6"/>
  <c r="G497" i="6"/>
  <c r="G505" i="6"/>
  <c r="C505" i="6" s="1"/>
  <c r="G532" i="6"/>
  <c r="C532" i="6" s="1"/>
  <c r="G1144" i="6"/>
  <c r="C1144" i="6" s="1"/>
  <c r="G1189" i="6"/>
  <c r="G641" i="6"/>
  <c r="G799" i="6"/>
  <c r="C799" i="6" s="1"/>
  <c r="G840" i="6"/>
  <c r="C840" i="6" s="1"/>
  <c r="G879" i="6"/>
  <c r="G945" i="6"/>
  <c r="G1011" i="6"/>
  <c r="G1031" i="6"/>
  <c r="C1031" i="6" s="1"/>
  <c r="G1115" i="6"/>
  <c r="G1121" i="6"/>
  <c r="C1121" i="6" s="1"/>
  <c r="G1129" i="6"/>
  <c r="G1136" i="6"/>
  <c r="G1214" i="6"/>
  <c r="G1245" i="6"/>
  <c r="G1147" i="6"/>
  <c r="C1147" i="6" s="1"/>
  <c r="G19" i="6"/>
  <c r="C19" i="6" s="1"/>
  <c r="G26" i="6"/>
  <c r="G106" i="6"/>
  <c r="G249" i="6"/>
  <c r="G274" i="6"/>
  <c r="G25" i="6"/>
  <c r="G28" i="6"/>
  <c r="G61" i="6"/>
  <c r="G99" i="6"/>
  <c r="G134" i="6"/>
  <c r="G235" i="6"/>
  <c r="G276" i="6"/>
  <c r="C276" i="6" s="1"/>
  <c r="G778" i="6"/>
  <c r="C778" i="6" s="1"/>
  <c r="G820" i="6"/>
  <c r="G876" i="6"/>
  <c r="G1036" i="6"/>
  <c r="G1152" i="6"/>
  <c r="G1317" i="6"/>
  <c r="G732" i="6"/>
  <c r="G994" i="6"/>
  <c r="G1146" i="6"/>
  <c r="G1238" i="6"/>
  <c r="G1300" i="6"/>
  <c r="C1300" i="6" s="1"/>
  <c r="G362" i="6"/>
  <c r="C362" i="6" s="1"/>
  <c r="G33" i="6"/>
  <c r="B33" i="6" s="1"/>
  <c r="G54" i="6"/>
  <c r="G117" i="6"/>
  <c r="G170" i="6"/>
  <c r="G192" i="6"/>
  <c r="G202" i="6"/>
  <c r="G242" i="6"/>
  <c r="G333" i="6"/>
  <c r="G377" i="6"/>
  <c r="G502" i="6"/>
  <c r="C502" i="6" s="1"/>
  <c r="G526" i="6"/>
  <c r="C526" i="6" s="1"/>
  <c r="G718" i="6"/>
  <c r="C718" i="6" s="1"/>
  <c r="G893" i="6"/>
  <c r="B893" i="6" s="1"/>
  <c r="G988" i="6"/>
  <c r="G1128" i="6"/>
  <c r="G1219" i="6"/>
  <c r="C1219" i="6" s="1"/>
  <c r="B1382" i="6"/>
  <c r="G81" i="6"/>
  <c r="G542" i="6"/>
  <c r="G756" i="6"/>
  <c r="G931" i="6"/>
  <c r="G1138" i="6"/>
  <c r="C1138" i="6" s="1"/>
  <c r="B1395" i="6"/>
  <c r="G341" i="6"/>
  <c r="C341" i="6" s="1"/>
  <c r="G514" i="6"/>
  <c r="C514" i="6" s="1"/>
  <c r="G530" i="6"/>
  <c r="G1321" i="6"/>
  <c r="G1323" i="6"/>
  <c r="B1374" i="6"/>
  <c r="G78" i="6"/>
  <c r="G827" i="6"/>
  <c r="G872" i="6"/>
  <c r="G952" i="6"/>
  <c r="C952" i="6" s="1"/>
  <c r="G1111" i="6"/>
  <c r="G1165" i="6"/>
  <c r="C1165" i="6" s="1"/>
  <c r="G1256" i="6"/>
  <c r="C1256" i="6" s="1"/>
  <c r="B1339" i="6"/>
  <c r="B1347" i="6"/>
  <c r="B1361" i="6"/>
  <c r="B1373" i="6"/>
  <c r="C1388" i="6"/>
  <c r="G123" i="6"/>
  <c r="G145" i="6"/>
  <c r="G357" i="6"/>
  <c r="G492" i="6"/>
  <c r="C492" i="6" s="1"/>
  <c r="G513" i="6"/>
  <c r="G516" i="6"/>
  <c r="G892" i="6"/>
  <c r="C892" i="6" s="1"/>
  <c r="G983" i="6"/>
  <c r="B983" i="6" s="1"/>
  <c r="G1135" i="6"/>
  <c r="G1258" i="6"/>
  <c r="B1394" i="6"/>
  <c r="G1012" i="6"/>
  <c r="G1037" i="6"/>
  <c r="G1215" i="6"/>
  <c r="G189" i="6"/>
  <c r="G29" i="6"/>
  <c r="G75" i="6"/>
  <c r="G77" i="6"/>
  <c r="G80" i="6"/>
  <c r="B81" i="6" s="1"/>
  <c r="G236" i="6"/>
  <c r="C236" i="6" s="1"/>
  <c r="G277" i="6"/>
  <c r="G321" i="6"/>
  <c r="G327" i="6"/>
  <c r="G480" i="6"/>
  <c r="C480" i="6" s="1"/>
  <c r="G529" i="6"/>
  <c r="C529" i="6" s="1"/>
  <c r="G755" i="6"/>
  <c r="G806" i="6"/>
  <c r="G845" i="6"/>
  <c r="G869" i="6"/>
  <c r="G925" i="6"/>
  <c r="G1100" i="6"/>
  <c r="G1150" i="6"/>
  <c r="C1150" i="6" s="1"/>
  <c r="G1332" i="6"/>
  <c r="G68" i="6"/>
  <c r="G157" i="6"/>
  <c r="G186" i="6"/>
  <c r="G37" i="6"/>
  <c r="G46" i="6"/>
  <c r="G85" i="6"/>
  <c r="G91" i="6"/>
  <c r="C91" i="6" s="1"/>
  <c r="G200" i="6"/>
  <c r="C200" i="6" s="1"/>
  <c r="G34" i="6"/>
  <c r="G76" i="6"/>
  <c r="C76" i="6" s="1"/>
  <c r="G82" i="6"/>
  <c r="C82" i="6" s="1"/>
  <c r="G116" i="6"/>
  <c r="G40" i="6"/>
  <c r="G9" i="6"/>
  <c r="C9" i="6" s="1"/>
  <c r="G24" i="6"/>
  <c r="G36" i="6"/>
  <c r="C36" i="6" s="1"/>
  <c r="G84" i="6"/>
  <c r="G121" i="6"/>
  <c r="G188" i="6"/>
  <c r="B189" i="6" s="1"/>
  <c r="G205" i="6"/>
  <c r="C205" i="6" s="1"/>
  <c r="G174" i="6"/>
  <c r="C174" i="6" s="1"/>
  <c r="G199" i="6"/>
  <c r="B200" i="6" s="1"/>
  <c r="G536" i="6"/>
  <c r="C536" i="6" s="1"/>
  <c r="G141" i="6"/>
  <c r="H5" i="6"/>
  <c r="G27" i="6"/>
  <c r="G30" i="6"/>
  <c r="G39" i="6"/>
  <c r="B68" i="6"/>
  <c r="G70" i="6"/>
  <c r="G87" i="6"/>
  <c r="C87" i="6" s="1"/>
  <c r="G133" i="6"/>
  <c r="B133" i="6" s="1"/>
  <c r="G138" i="6"/>
  <c r="G228" i="6"/>
  <c r="C228" i="6" s="1"/>
  <c r="G246" i="6"/>
  <c r="C246" i="6" s="1"/>
  <c r="G251" i="6"/>
  <c r="C251" i="6" s="1"/>
  <c r="G352" i="6"/>
  <c r="C497" i="6"/>
  <c r="G193" i="6"/>
  <c r="G74" i="6"/>
  <c r="G50" i="6"/>
  <c r="C50" i="6" s="1"/>
  <c r="G89" i="6"/>
  <c r="B89" i="6" s="1"/>
  <c r="G140" i="6"/>
  <c r="G12" i="6"/>
  <c r="G16" i="6"/>
  <c r="C16" i="6" s="1"/>
  <c r="C1153" i="6"/>
  <c r="B1153" i="6"/>
  <c r="G8" i="6"/>
  <c r="G173" i="6"/>
  <c r="C173" i="6" s="1"/>
  <c r="G230" i="6"/>
  <c r="G301" i="6"/>
  <c r="C301" i="6" s="1"/>
  <c r="G313" i="6"/>
  <c r="G340" i="6"/>
  <c r="G22" i="6"/>
  <c r="C22" i="6" s="1"/>
  <c r="G88" i="6"/>
  <c r="G60" i="6"/>
  <c r="G135" i="6"/>
  <c r="C135" i="6" s="1"/>
  <c r="G137" i="6"/>
  <c r="C137" i="6" s="1"/>
  <c r="G541" i="6"/>
  <c r="C541" i="6" s="1"/>
  <c r="G259" i="6"/>
  <c r="C259" i="6" s="1"/>
  <c r="G441" i="6"/>
  <c r="G504" i="6"/>
  <c r="G566" i="6"/>
  <c r="C566" i="6" s="1"/>
  <c r="G622" i="6"/>
  <c r="C622" i="6" s="1"/>
  <c r="G629" i="6"/>
  <c r="G639" i="6"/>
  <c r="G650" i="6"/>
  <c r="C650" i="6" s="1"/>
  <c r="G761" i="6"/>
  <c r="G500" i="6"/>
  <c r="C500" i="6" s="1"/>
  <c r="G515" i="6"/>
  <c r="B516" i="6" s="1"/>
  <c r="G525" i="6"/>
  <c r="G533" i="6"/>
  <c r="G579" i="6"/>
  <c r="G105" i="6"/>
  <c r="G110" i="6"/>
  <c r="G211" i="6"/>
  <c r="C211" i="6" s="1"/>
  <c r="G281" i="6"/>
  <c r="G289" i="6"/>
  <c r="C289" i="6" s="1"/>
  <c r="G476" i="6"/>
  <c r="C476" i="6" s="1"/>
  <c r="G543" i="6"/>
  <c r="C543" i="6" s="1"/>
  <c r="G562" i="6"/>
  <c r="G569" i="6"/>
  <c r="B569" i="6" s="1"/>
  <c r="G646" i="6"/>
  <c r="C646" i="6" s="1"/>
  <c r="G729" i="6"/>
  <c r="G873" i="6"/>
  <c r="C1380" i="6"/>
  <c r="B1380" i="6"/>
  <c r="H4" i="6"/>
  <c r="G104" i="6"/>
  <c r="B105" i="6" s="1"/>
  <c r="G191" i="6"/>
  <c r="C191" i="6" s="1"/>
  <c r="G238" i="6"/>
  <c r="G278" i="6"/>
  <c r="G360" i="6"/>
  <c r="C360" i="6" s="1"/>
  <c r="G506" i="6"/>
  <c r="B506" i="6" s="1"/>
  <c r="G528" i="6"/>
  <c r="B528" i="6" s="1"/>
  <c r="G535" i="6"/>
  <c r="C535" i="6" s="1"/>
  <c r="G555" i="6"/>
  <c r="C555" i="6" s="1"/>
  <c r="G638" i="6"/>
  <c r="C638" i="6" s="1"/>
  <c r="G846" i="6"/>
  <c r="G35" i="6"/>
  <c r="G66" i="6"/>
  <c r="G496" i="6"/>
  <c r="C496" i="6" s="1"/>
  <c r="G568" i="6"/>
  <c r="C568" i="6" s="1"/>
  <c r="G592" i="6"/>
  <c r="G822" i="6"/>
  <c r="B823" i="6" s="1"/>
  <c r="G867" i="6"/>
  <c r="C867" i="6" s="1"/>
  <c r="C1132" i="6"/>
  <c r="G1223" i="6"/>
  <c r="G129" i="6"/>
  <c r="C129" i="6" s="1"/>
  <c r="G227" i="6"/>
  <c r="G156" i="6"/>
  <c r="C156" i="6" s="1"/>
  <c r="G207" i="6"/>
  <c r="C207" i="6" s="1"/>
  <c r="G345" i="6"/>
  <c r="C345" i="6" s="1"/>
  <c r="G348" i="6"/>
  <c r="C348" i="6" s="1"/>
  <c r="G371" i="6"/>
  <c r="G495" i="6"/>
  <c r="B495" i="6" s="1"/>
  <c r="G499" i="6"/>
  <c r="C499" i="6" s="1"/>
  <c r="G517" i="6"/>
  <c r="C517" i="6" s="1"/>
  <c r="G531" i="6"/>
  <c r="G42" i="6"/>
  <c r="G59" i="6"/>
  <c r="G83" i="6"/>
  <c r="C83" i="6" s="1"/>
  <c r="G38" i="6"/>
  <c r="C38" i="6" s="1"/>
  <c r="G55" i="6"/>
  <c r="G79" i="6"/>
  <c r="C79" i="6" s="1"/>
  <c r="G86" i="6"/>
  <c r="G120" i="6"/>
  <c r="G128" i="6"/>
  <c r="C128" i="6" s="1"/>
  <c r="G139" i="6"/>
  <c r="B139" i="6" s="1"/>
  <c r="G172" i="6"/>
  <c r="G175" i="6"/>
  <c r="C175" i="6" s="1"/>
  <c r="G221" i="6"/>
  <c r="G229" i="6"/>
  <c r="G250" i="6"/>
  <c r="G260" i="6"/>
  <c r="G325" i="6"/>
  <c r="G339" i="6"/>
  <c r="C339" i="6" s="1"/>
  <c r="G472" i="6"/>
  <c r="C472" i="6" s="1"/>
  <c r="G717" i="6"/>
  <c r="C717" i="6" s="1"/>
  <c r="G740" i="6"/>
  <c r="B740" i="6" s="1"/>
  <c r="G1140" i="6"/>
  <c r="C1140" i="6" s="1"/>
  <c r="G31" i="6"/>
  <c r="G109" i="6"/>
  <c r="G153" i="6"/>
  <c r="C153" i="6" s="1"/>
  <c r="G178" i="6"/>
  <c r="B178" i="6" s="1"/>
  <c r="G187" i="6"/>
  <c r="G218" i="6"/>
  <c r="G226" i="6"/>
  <c r="G302" i="6"/>
  <c r="C302" i="6" s="1"/>
  <c r="G314" i="6"/>
  <c r="G328" i="6"/>
  <c r="G344" i="6"/>
  <c r="B345" i="6" s="1"/>
  <c r="G353" i="6"/>
  <c r="C353" i="6" s="1"/>
  <c r="G445" i="6"/>
  <c r="C445" i="6" s="1"/>
  <c r="B530" i="6"/>
  <c r="G567" i="6"/>
  <c r="G651" i="6"/>
  <c r="G658" i="6"/>
  <c r="C658" i="6" s="1"/>
  <c r="G758" i="6"/>
  <c r="G1098" i="6"/>
  <c r="C1098" i="6" s="1"/>
  <c r="G336" i="6"/>
  <c r="C336" i="6" s="1"/>
  <c r="G347" i="6"/>
  <c r="C347" i="6" s="1"/>
  <c r="G501" i="6"/>
  <c r="B502" i="6" s="1"/>
  <c r="G640" i="6"/>
  <c r="C640" i="6" s="1"/>
  <c r="G835" i="6"/>
  <c r="B836" i="6" s="1"/>
  <c r="G842" i="6"/>
  <c r="G1103" i="6"/>
  <c r="G282" i="6"/>
  <c r="G144" i="6"/>
  <c r="C144" i="6" s="1"/>
  <c r="G147" i="6"/>
  <c r="G155" i="6"/>
  <c r="G212" i="6"/>
  <c r="G215" i="6"/>
  <c r="B215" i="6" s="1"/>
  <c r="G220" i="6"/>
  <c r="G626" i="6"/>
  <c r="C626" i="6" s="1"/>
  <c r="G734" i="6"/>
  <c r="C734" i="6" s="1"/>
  <c r="G779" i="6"/>
  <c r="C779" i="6" s="1"/>
  <c r="G818" i="6"/>
  <c r="G826" i="6"/>
  <c r="G829" i="6"/>
  <c r="B830" i="6" s="1"/>
  <c r="G848" i="6"/>
  <c r="G930" i="6"/>
  <c r="C930" i="6" s="1"/>
  <c r="G941" i="6"/>
  <c r="C941" i="6" s="1"/>
  <c r="G1090" i="6"/>
  <c r="G1110" i="6"/>
  <c r="G1130" i="6"/>
  <c r="G593" i="6"/>
  <c r="G610" i="6"/>
  <c r="C610" i="6" s="1"/>
  <c r="G660" i="6"/>
  <c r="C660" i="6" s="1"/>
  <c r="G664" i="6"/>
  <c r="C664" i="6" s="1"/>
  <c r="G787" i="6"/>
  <c r="C787" i="6" s="1"/>
  <c r="G836" i="6"/>
  <c r="G838" i="6"/>
  <c r="G863" i="6"/>
  <c r="G1067" i="6"/>
  <c r="G1087" i="6"/>
  <c r="G1113" i="6"/>
  <c r="C1113" i="6" s="1"/>
  <c r="G1210" i="6"/>
  <c r="G751" i="6"/>
  <c r="G1003" i="6"/>
  <c r="C1003" i="6" s="1"/>
  <c r="G1038" i="6"/>
  <c r="C1038" i="6" s="1"/>
  <c r="G1104" i="6"/>
  <c r="G1126" i="6"/>
  <c r="G743" i="6"/>
  <c r="C743" i="6" s="1"/>
  <c r="G1013" i="6"/>
  <c r="G1094" i="6"/>
  <c r="C1094" i="6" s="1"/>
  <c r="G1131" i="6"/>
  <c r="B1132" i="6" s="1"/>
  <c r="G329" i="6"/>
  <c r="C329" i="6" s="1"/>
  <c r="G557" i="6"/>
  <c r="C557" i="6" s="1"/>
  <c r="G561" i="6"/>
  <c r="C561" i="6" s="1"/>
  <c r="G574" i="6"/>
  <c r="C574" i="6" s="1"/>
  <c r="G578" i="6"/>
  <c r="C578" i="6" s="1"/>
  <c r="G616" i="6"/>
  <c r="C616" i="6" s="1"/>
  <c r="G750" i="6"/>
  <c r="C750" i="6" s="1"/>
  <c r="G753" i="6"/>
  <c r="G1010" i="6"/>
  <c r="C1010" i="6" s="1"/>
  <c r="G1123" i="6"/>
  <c r="G1137" i="6"/>
  <c r="C1137" i="6" s="1"/>
  <c r="G603" i="6"/>
  <c r="G628" i="6"/>
  <c r="C628" i="6" s="1"/>
  <c r="G653" i="6"/>
  <c r="C653" i="6" s="1"/>
  <c r="G833" i="6"/>
  <c r="C833" i="6" s="1"/>
  <c r="G996" i="6"/>
  <c r="C996" i="6" s="1"/>
  <c r="G1073" i="6"/>
  <c r="C1073" i="6" s="1"/>
  <c r="G1105" i="6"/>
  <c r="C1105" i="6" s="1"/>
  <c r="G1227" i="6"/>
  <c r="C1227" i="6" s="1"/>
  <c r="G1262" i="6"/>
  <c r="C1392" i="6"/>
  <c r="B1392" i="6"/>
  <c r="G337" i="6"/>
  <c r="C337" i="6" s="1"/>
  <c r="G395" i="6"/>
  <c r="C395" i="6" s="1"/>
  <c r="G462" i="6"/>
  <c r="C462" i="6" s="1"/>
  <c r="G665" i="6"/>
  <c r="B665" i="6" s="1"/>
  <c r="G762" i="6"/>
  <c r="G993" i="6"/>
  <c r="G1020" i="6"/>
  <c r="C1020" i="6" s="1"/>
  <c r="G1029" i="6"/>
  <c r="B1030" i="6" s="1"/>
  <c r="G1091" i="6"/>
  <c r="G1114" i="6"/>
  <c r="C1114" i="6" s="1"/>
  <c r="G1122" i="6"/>
  <c r="G361" i="6"/>
  <c r="C361" i="6" s="1"/>
  <c r="G465" i="6"/>
  <c r="G581" i="6"/>
  <c r="G598" i="6"/>
  <c r="C598" i="6" s="1"/>
  <c r="G602" i="6"/>
  <c r="C602" i="6" s="1"/>
  <c r="G627" i="6"/>
  <c r="G648" i="6"/>
  <c r="C648" i="6" s="1"/>
  <c r="G652" i="6"/>
  <c r="C652" i="6" s="1"/>
  <c r="G731" i="6"/>
  <c r="C731" i="6" s="1"/>
  <c r="G823" i="6"/>
  <c r="G843" i="6"/>
  <c r="G974" i="6"/>
  <c r="G1164" i="6"/>
  <c r="G1213" i="6"/>
  <c r="G1246" i="6"/>
  <c r="C1351" i="6"/>
  <c r="B1351" i="6"/>
  <c r="B1369" i="6"/>
  <c r="C1369" i="6"/>
  <c r="G1204" i="6"/>
  <c r="C1204" i="6" s="1"/>
  <c r="G1234" i="6"/>
  <c r="C1234" i="6" s="1"/>
  <c r="G1251" i="6"/>
  <c r="G1320" i="6"/>
  <c r="G1326" i="6"/>
  <c r="G1058" i="6"/>
  <c r="C1058" i="6" s="1"/>
  <c r="G1083" i="6"/>
  <c r="G1171" i="6"/>
  <c r="G1216" i="6"/>
  <c r="C1216" i="6" s="1"/>
  <c r="G1237" i="6"/>
  <c r="B1238" i="6" s="1"/>
  <c r="G1248" i="6"/>
  <c r="G1276" i="6"/>
  <c r="C1276" i="6" s="1"/>
  <c r="G1292" i="6"/>
  <c r="C1292" i="6" s="1"/>
  <c r="G1308" i="6"/>
  <c r="C1308" i="6" s="1"/>
  <c r="G1334" i="6"/>
  <c r="G979" i="6"/>
  <c r="G1006" i="6"/>
  <c r="G1034" i="6"/>
  <c r="G1066" i="6"/>
  <c r="G1089" i="6"/>
  <c r="C1089" i="6" s="1"/>
  <c r="G1183" i="6"/>
  <c r="C1183" i="6" s="1"/>
  <c r="G889" i="6"/>
  <c r="G897" i="6"/>
  <c r="C897" i="6" s="1"/>
  <c r="G903" i="6"/>
  <c r="C903" i="6" s="1"/>
  <c r="G926" i="6"/>
  <c r="C926" i="6" s="1"/>
  <c r="G982" i="6"/>
  <c r="C982" i="6" s="1"/>
  <c r="G995" i="6"/>
  <c r="G1002" i="6"/>
  <c r="G1009" i="6"/>
  <c r="C1009" i="6" s="1"/>
  <c r="G1093" i="6"/>
  <c r="G1097" i="6"/>
  <c r="C1097" i="6" s="1"/>
  <c r="G1102" i="6"/>
  <c r="G1212" i="6"/>
  <c r="G1301" i="6"/>
  <c r="B1301" i="6" s="1"/>
  <c r="G923" i="6"/>
  <c r="G932" i="6"/>
  <c r="G940" i="6"/>
  <c r="C940" i="6" s="1"/>
  <c r="G943" i="6"/>
  <c r="C943" i="6" s="1"/>
  <c r="G1077" i="6"/>
  <c r="C1077" i="6" s="1"/>
  <c r="G1124" i="6"/>
  <c r="G1200" i="6"/>
  <c r="G1209" i="6"/>
  <c r="G1239" i="6"/>
  <c r="G1272" i="6"/>
  <c r="C1272" i="6" s="1"/>
  <c r="G1304" i="6"/>
  <c r="C1304" i="6" s="1"/>
  <c r="G821" i="6"/>
  <c r="C821" i="6" s="1"/>
  <c r="G875" i="6"/>
  <c r="B876" i="6" s="1"/>
  <c r="G881" i="6"/>
  <c r="G920" i="6"/>
  <c r="C920" i="6" s="1"/>
  <c r="G978" i="6"/>
  <c r="C978" i="6" s="1"/>
  <c r="G1082" i="6"/>
  <c r="C1082" i="6" s="1"/>
  <c r="G1096" i="6"/>
  <c r="G1170" i="6"/>
  <c r="C1170" i="6" s="1"/>
  <c r="G1218" i="6"/>
  <c r="G1222" i="6"/>
  <c r="C1222" i="6" s="1"/>
  <c r="G1261" i="6"/>
  <c r="G1264" i="6"/>
  <c r="B1360" i="6"/>
  <c r="B1370" i="6"/>
  <c r="B1381" i="6"/>
  <c r="B1393" i="6"/>
  <c r="G828" i="6"/>
  <c r="G832" i="6"/>
  <c r="G844" i="6"/>
  <c r="G849" i="6"/>
  <c r="C849" i="6" s="1"/>
  <c r="G891" i="6"/>
  <c r="G1092" i="6"/>
  <c r="G1173" i="6"/>
  <c r="G1297" i="6"/>
  <c r="G1313" i="6"/>
  <c r="G1330" i="6"/>
  <c r="C1330" i="6" s="1"/>
  <c r="G942" i="6"/>
  <c r="G981" i="6"/>
  <c r="C981" i="6" s="1"/>
  <c r="G1001" i="6"/>
  <c r="C1001" i="6" s="1"/>
  <c r="G1019" i="6"/>
  <c r="C1019" i="6" s="1"/>
  <c r="G1023" i="6"/>
  <c r="G1088" i="6"/>
  <c r="G1120" i="6"/>
  <c r="G1134" i="6"/>
  <c r="C1134" i="6" s="1"/>
  <c r="G1159" i="6"/>
  <c r="C1159" i="6" s="1"/>
  <c r="G1250" i="6"/>
  <c r="C1250" i="6" s="1"/>
  <c r="G1325" i="6"/>
  <c r="B1379" i="6"/>
  <c r="B1391" i="6"/>
  <c r="G939" i="6"/>
  <c r="G972" i="6"/>
  <c r="C972" i="6" s="1"/>
  <c r="G997" i="6"/>
  <c r="G1228" i="6"/>
  <c r="G1318" i="6"/>
  <c r="B1318" i="6" s="1"/>
  <c r="G1324" i="6"/>
  <c r="C1324" i="6" s="1"/>
  <c r="B1350" i="6"/>
  <c r="B1359" i="6"/>
  <c r="B1378" i="6"/>
  <c r="B1390" i="6"/>
  <c r="G798" i="6"/>
  <c r="G886" i="6"/>
  <c r="C886" i="6" s="1"/>
  <c r="G944" i="6"/>
  <c r="C944" i="6" s="1"/>
  <c r="G947" i="6"/>
  <c r="B948" i="6" s="1"/>
  <c r="G1018" i="6"/>
  <c r="G1041" i="6"/>
  <c r="C1041" i="6" s="1"/>
  <c r="G1095" i="6"/>
  <c r="G1175" i="6"/>
  <c r="G1199" i="6"/>
  <c r="G1217" i="6"/>
  <c r="C1217" i="6" s="1"/>
  <c r="G1244" i="6"/>
  <c r="B1244" i="6" s="1"/>
  <c r="G1309" i="6"/>
  <c r="C1340" i="6"/>
  <c r="B1349" i="6"/>
  <c r="B1358" i="6"/>
  <c r="B1377" i="6"/>
  <c r="B1389" i="6"/>
  <c r="G933" i="6"/>
  <c r="G1028" i="6"/>
  <c r="G1099" i="6"/>
  <c r="G1158" i="6"/>
  <c r="G1280" i="6"/>
  <c r="C1280" i="6" s="1"/>
  <c r="G1296" i="6"/>
  <c r="C1296" i="6" s="1"/>
  <c r="G1335" i="6"/>
  <c r="C23" i="6"/>
  <c r="B23" i="6"/>
  <c r="C26" i="6"/>
  <c r="B26" i="6"/>
  <c r="C74" i="6"/>
  <c r="B74" i="6"/>
  <c r="B91" i="6"/>
  <c r="C39" i="6"/>
  <c r="C46" i="6"/>
  <c r="B46" i="6"/>
  <c r="C35" i="6"/>
  <c r="B35" i="6"/>
  <c r="C42" i="6"/>
  <c r="B42" i="6"/>
  <c r="C59" i="6"/>
  <c r="B59" i="6"/>
  <c r="C66" i="6"/>
  <c r="B66" i="6"/>
  <c r="C55" i="6"/>
  <c r="B55" i="6"/>
  <c r="C86" i="6"/>
  <c r="B18" i="6"/>
  <c r="C31" i="6"/>
  <c r="B31" i="6"/>
  <c r="C34" i="6"/>
  <c r="C75" i="6"/>
  <c r="B75" i="6"/>
  <c r="C27" i="6"/>
  <c r="B27" i="6"/>
  <c r="C30" i="6"/>
  <c r="B30" i="6"/>
  <c r="C54" i="6"/>
  <c r="B54" i="6"/>
  <c r="C78" i="6"/>
  <c r="B78" i="6"/>
  <c r="C139" i="6"/>
  <c r="G142" i="6"/>
  <c r="C189" i="6"/>
  <c r="C193" i="6"/>
  <c r="B193" i="6"/>
  <c r="C249" i="6"/>
  <c r="G97" i="6"/>
  <c r="B109" i="6"/>
  <c r="C116" i="6"/>
  <c r="B120" i="6"/>
  <c r="C176" i="6"/>
  <c r="B176" i="6"/>
  <c r="C186" i="6"/>
  <c r="B186" i="6"/>
  <c r="C105" i="6"/>
  <c r="C110" i="6"/>
  <c r="B110" i="6"/>
  <c r="C118" i="6"/>
  <c r="B118" i="6"/>
  <c r="B153" i="6"/>
  <c r="C89" i="6"/>
  <c r="C147" i="6"/>
  <c r="B147" i="6"/>
  <c r="C24" i="6"/>
  <c r="B24" i="6"/>
  <c r="C28" i="6"/>
  <c r="B28" i="6"/>
  <c r="C32" i="6"/>
  <c r="B32" i="6"/>
  <c r="C40" i="6"/>
  <c r="B40" i="6"/>
  <c r="C48" i="6"/>
  <c r="B48" i="6"/>
  <c r="C56" i="6"/>
  <c r="B56" i="6"/>
  <c r="C60" i="6"/>
  <c r="B60" i="6"/>
  <c r="C68" i="6"/>
  <c r="C80" i="6"/>
  <c r="B80" i="6"/>
  <c r="C84" i="6"/>
  <c r="C88" i="6"/>
  <c r="C99" i="6"/>
  <c r="B104" i="6"/>
  <c r="B121" i="6"/>
  <c r="C121" i="6"/>
  <c r="C141" i="6"/>
  <c r="B141" i="6"/>
  <c r="C155" i="6"/>
  <c r="C172" i="6"/>
  <c r="B172" i="6"/>
  <c r="C37" i="6"/>
  <c r="G10" i="6"/>
  <c r="G115" i="6"/>
  <c r="C146" i="6"/>
  <c r="B146" i="6"/>
  <c r="G149" i="6"/>
  <c r="C29" i="6"/>
  <c r="B29" i="6"/>
  <c r="C65" i="6"/>
  <c r="B65" i="6"/>
  <c r="C77" i="6"/>
  <c r="B77" i="6"/>
  <c r="C81" i="6"/>
  <c r="H3" i="6"/>
  <c r="G98" i="6"/>
  <c r="C106" i="6"/>
  <c r="B106" i="6"/>
  <c r="C140" i="6"/>
  <c r="G143" i="6"/>
  <c r="B188" i="6"/>
  <c r="B15" i="6"/>
  <c r="C134" i="6"/>
  <c r="B134" i="6"/>
  <c r="B156" i="6"/>
  <c r="C157" i="6"/>
  <c r="B157" i="6"/>
  <c r="C187" i="6"/>
  <c r="B187" i="6"/>
  <c r="B205" i="6"/>
  <c r="C218" i="6"/>
  <c r="C109" i="6"/>
  <c r="C120" i="6"/>
  <c r="C123" i="6"/>
  <c r="C171" i="6"/>
  <c r="B171" i="6"/>
  <c r="C8" i="6"/>
  <c r="H2" i="6" s="1"/>
  <c r="B8" i="6"/>
  <c r="C25" i="6"/>
  <c r="B25" i="6"/>
  <c r="C49" i="6"/>
  <c r="B49" i="6"/>
  <c r="C61" i="6"/>
  <c r="B61" i="6"/>
  <c r="B144" i="6"/>
  <c r="C212" i="6"/>
  <c r="B212" i="6"/>
  <c r="C117" i="6"/>
  <c r="B117" i="6"/>
  <c r="G122" i="6"/>
  <c r="B123" i="6" s="1"/>
  <c r="G136" i="6"/>
  <c r="C138" i="6"/>
  <c r="C145" i="6"/>
  <c r="B145" i="6"/>
  <c r="C170" i="6"/>
  <c r="B170" i="6"/>
  <c r="C192" i="6"/>
  <c r="C214" i="6"/>
  <c r="B214" i="6"/>
  <c r="C281" i="6"/>
  <c r="B281" i="6"/>
  <c r="C333" i="6"/>
  <c r="C1365" i="6"/>
  <c r="B1365" i="6"/>
  <c r="G222" i="6"/>
  <c r="B251" i="6"/>
  <c r="B259" i="6"/>
  <c r="C213" i="6"/>
  <c r="B213" i="6"/>
  <c r="C278" i="6"/>
  <c r="B278" i="6"/>
  <c r="B341" i="6"/>
  <c r="C344" i="6"/>
  <c r="C377" i="6"/>
  <c r="G210" i="6"/>
  <c r="B211" i="6" s="1"/>
  <c r="G216" i="6"/>
  <c r="C260" i="6"/>
  <c r="B260" i="6"/>
  <c r="C238" i="6"/>
  <c r="B238" i="6"/>
  <c r="C275" i="6"/>
  <c r="B275" i="6"/>
  <c r="C371" i="6"/>
  <c r="C209" i="6"/>
  <c r="B209" i="6"/>
  <c r="C219" i="6"/>
  <c r="B219" i="6"/>
  <c r="C227" i="6"/>
  <c r="B227" i="6"/>
  <c r="C230" i="6"/>
  <c r="B230" i="6"/>
  <c r="C235" i="6"/>
  <c r="B246" i="6"/>
  <c r="C262" i="6"/>
  <c r="B262" i="6"/>
  <c r="G300" i="6"/>
  <c r="B313" i="6"/>
  <c r="C340" i="6"/>
  <c r="B207" i="6"/>
  <c r="G290" i="6"/>
  <c r="C221" i="6"/>
  <c r="C224" i="6"/>
  <c r="C229" i="6"/>
  <c r="B229" i="6"/>
  <c r="C314" i="6"/>
  <c r="B314" i="6"/>
  <c r="C202" i="6"/>
  <c r="C226" i="6"/>
  <c r="B226" i="6"/>
  <c r="G287" i="6"/>
  <c r="C328" i="6"/>
  <c r="B328" i="6"/>
  <c r="C357" i="6"/>
  <c r="G201" i="6"/>
  <c r="C215" i="6"/>
  <c r="G223" i="6"/>
  <c r="B224" i="6" s="1"/>
  <c r="B235" i="6"/>
  <c r="C277" i="6"/>
  <c r="C220" i="6"/>
  <c r="B220" i="6"/>
  <c r="G284" i="6"/>
  <c r="B285" i="6" s="1"/>
  <c r="C321" i="6"/>
  <c r="B329" i="6"/>
  <c r="C352" i="6"/>
  <c r="B352" i="6"/>
  <c r="G217" i="6"/>
  <c r="C242" i="6"/>
  <c r="C250" i="6"/>
  <c r="B250" i="6"/>
  <c r="C274" i="6"/>
  <c r="B274" i="6"/>
  <c r="C327" i="6"/>
  <c r="G295" i="6"/>
  <c r="G319" i="6"/>
  <c r="G334" i="6"/>
  <c r="G338" i="6"/>
  <c r="C351" i="6"/>
  <c r="B351" i="6"/>
  <c r="G365" i="6"/>
  <c r="C441" i="6"/>
  <c r="B531" i="6"/>
  <c r="C531" i="6"/>
  <c r="C741" i="6"/>
  <c r="G297" i="6"/>
  <c r="G309" i="6"/>
  <c r="G292" i="6"/>
  <c r="G316" i="6"/>
  <c r="G332" i="6"/>
  <c r="C501" i="6"/>
  <c r="B525" i="6"/>
  <c r="C525" i="6"/>
  <c r="G299" i="6"/>
  <c r="G311" i="6"/>
  <c r="G326" i="6"/>
  <c r="G343" i="6"/>
  <c r="G294" i="6"/>
  <c r="G306" i="6"/>
  <c r="G354" i="6"/>
  <c r="C282" i="6"/>
  <c r="B282" i="6"/>
  <c r="C285" i="6"/>
  <c r="C288" i="6"/>
  <c r="B288" i="6"/>
  <c r="C291" i="6"/>
  <c r="C313" i="6"/>
  <c r="C465" i="6"/>
  <c r="B543" i="6"/>
  <c r="G296" i="6"/>
  <c r="G335" i="6"/>
  <c r="G315" i="6"/>
  <c r="G331" i="6"/>
  <c r="G346" i="6"/>
  <c r="B347" i="6" s="1"/>
  <c r="C581" i="6"/>
  <c r="B581" i="6"/>
  <c r="G298" i="6"/>
  <c r="G310" i="6"/>
  <c r="G342" i="6"/>
  <c r="B513" i="6"/>
  <c r="C513" i="6"/>
  <c r="C627" i="6"/>
  <c r="B627" i="6"/>
  <c r="G293" i="6"/>
  <c r="G305" i="6"/>
  <c r="G317" i="6"/>
  <c r="G349" i="6"/>
  <c r="C567" i="6"/>
  <c r="G403" i="6"/>
  <c r="G411" i="6"/>
  <c r="G415" i="6"/>
  <c r="G419" i="6"/>
  <c r="G423" i="6"/>
  <c r="G427" i="6"/>
  <c r="G474" i="6"/>
  <c r="G478" i="6"/>
  <c r="G482" i="6"/>
  <c r="G486" i="6"/>
  <c r="G490" i="6"/>
  <c r="B494" i="6"/>
  <c r="C1368" i="6"/>
  <c r="B1368" i="6"/>
  <c r="G376" i="6"/>
  <c r="G394" i="6"/>
  <c r="G460" i="6"/>
  <c r="B505" i="6"/>
  <c r="B517" i="6"/>
  <c r="B529" i="6"/>
  <c r="B541" i="6"/>
  <c r="C603" i="6"/>
  <c r="G369" i="6"/>
  <c r="G375" i="6"/>
  <c r="G381" i="6"/>
  <c r="G393" i="6"/>
  <c r="G402" i="6"/>
  <c r="G410" i="6"/>
  <c r="G414" i="6"/>
  <c r="G418" i="6"/>
  <c r="G422" i="6"/>
  <c r="G426" i="6"/>
  <c r="G438" i="6"/>
  <c r="G473" i="6"/>
  <c r="G477" i="6"/>
  <c r="G481" i="6"/>
  <c r="G489" i="6"/>
  <c r="G493" i="6"/>
  <c r="C639" i="6"/>
  <c r="B639" i="6"/>
  <c r="B729" i="6"/>
  <c r="C729" i="6"/>
  <c r="C494" i="6"/>
  <c r="B498" i="6"/>
  <c r="B504" i="6"/>
  <c r="C530" i="6"/>
  <c r="C542" i="6"/>
  <c r="C593" i="6"/>
  <c r="B593" i="6"/>
  <c r="B648" i="6"/>
  <c r="C842" i="6"/>
  <c r="G368" i="6"/>
  <c r="G374" i="6"/>
  <c r="G386" i="6"/>
  <c r="G392" i="6"/>
  <c r="C629" i="6"/>
  <c r="B629" i="6"/>
  <c r="C665" i="6"/>
  <c r="G409" i="6"/>
  <c r="G413" i="6"/>
  <c r="G417" i="6"/>
  <c r="G421" i="6"/>
  <c r="G429" i="6"/>
  <c r="G437" i="6"/>
  <c r="G373" i="6"/>
  <c r="G379" i="6"/>
  <c r="G385" i="6"/>
  <c r="G391" i="6"/>
  <c r="C651" i="6"/>
  <c r="B651" i="6"/>
  <c r="C762" i="6"/>
  <c r="B762" i="6"/>
  <c r="G442" i="6"/>
  <c r="G466" i="6"/>
  <c r="C498" i="6"/>
  <c r="C504" i="6"/>
  <c r="C516" i="6"/>
  <c r="B526" i="6"/>
  <c r="C528" i="6"/>
  <c r="B532" i="6"/>
  <c r="C534" i="6"/>
  <c r="C756" i="6"/>
  <c r="B756" i="6"/>
  <c r="C758" i="6"/>
  <c r="G366" i="6"/>
  <c r="G372" i="6"/>
  <c r="G378" i="6"/>
  <c r="G390" i="6"/>
  <c r="G412" i="6"/>
  <c r="G416" i="6"/>
  <c r="G420" i="6"/>
  <c r="G428" i="6"/>
  <c r="G436" i="6"/>
  <c r="B472" i="6"/>
  <c r="G475" i="6"/>
  <c r="B476" i="6" s="1"/>
  <c r="G479" i="6"/>
  <c r="B480" i="6" s="1"/>
  <c r="G483" i="6"/>
  <c r="B488" i="6"/>
  <c r="G491" i="6"/>
  <c r="B568" i="6"/>
  <c r="C641" i="6"/>
  <c r="G461" i="6"/>
  <c r="G716" i="6"/>
  <c r="G721" i="6"/>
  <c r="G745" i="6"/>
  <c r="G554" i="6"/>
  <c r="G677" i="6"/>
  <c r="G683" i="6"/>
  <c r="G686" i="6"/>
  <c r="G689" i="6"/>
  <c r="G692" i="6"/>
  <c r="G695" i="6"/>
  <c r="C732" i="6"/>
  <c r="B744" i="6"/>
  <c r="C744" i="6"/>
  <c r="C828" i="6"/>
  <c r="B828" i="6"/>
  <c r="C832" i="6"/>
  <c r="B832" i="6"/>
  <c r="G458" i="6"/>
  <c r="G553" i="6"/>
  <c r="G565" i="6"/>
  <c r="G577" i="6"/>
  <c r="G589" i="6"/>
  <c r="G613" i="6"/>
  <c r="G625" i="6"/>
  <c r="G637" i="6"/>
  <c r="B638" i="6" s="1"/>
  <c r="G649" i="6"/>
  <c r="B650" i="6" s="1"/>
  <c r="G661" i="6"/>
  <c r="G752" i="6"/>
  <c r="B753" i="6" s="1"/>
  <c r="C798" i="6"/>
  <c r="C827" i="6"/>
  <c r="B827" i="6"/>
  <c r="C869" i="6"/>
  <c r="G552" i="6"/>
  <c r="G564" i="6"/>
  <c r="G576" i="6"/>
  <c r="G588" i="6"/>
  <c r="G612" i="6"/>
  <c r="G624" i="6"/>
  <c r="G636" i="6"/>
  <c r="G715" i="6"/>
  <c r="B751" i="6"/>
  <c r="C751" i="6"/>
  <c r="C755" i="6"/>
  <c r="G782" i="6"/>
  <c r="C871" i="6"/>
  <c r="G444" i="6"/>
  <c r="G468" i="6"/>
  <c r="G563" i="6"/>
  <c r="G575" i="6"/>
  <c r="G587" i="6"/>
  <c r="G599" i="6"/>
  <c r="G611" i="6"/>
  <c r="G623" i="6"/>
  <c r="G635" i="6"/>
  <c r="G647" i="6"/>
  <c r="G739" i="6"/>
  <c r="G817" i="6"/>
  <c r="B818" i="6" s="1"/>
  <c r="C818" i="6"/>
  <c r="G443" i="6"/>
  <c r="G467" i="6"/>
  <c r="B616" i="6"/>
  <c r="B628" i="6"/>
  <c r="B664" i="6"/>
  <c r="G673" i="6"/>
  <c r="G682" i="6"/>
  <c r="G685" i="6"/>
  <c r="G688" i="6"/>
  <c r="G691" i="6"/>
  <c r="G694" i="6"/>
  <c r="G703" i="6"/>
  <c r="G709" i="6"/>
  <c r="B743" i="6"/>
  <c r="C823" i="6"/>
  <c r="C824" i="6"/>
  <c r="B824" i="6"/>
  <c r="C939" i="6"/>
  <c r="G573" i="6"/>
  <c r="G597" i="6"/>
  <c r="B598" i="6" s="1"/>
  <c r="G609" i="6"/>
  <c r="G621" i="6"/>
  <c r="B622" i="6" s="1"/>
  <c r="G633" i="6"/>
  <c r="G645" i="6"/>
  <c r="B646" i="6" s="1"/>
  <c r="G657" i="6"/>
  <c r="G714" i="6"/>
  <c r="G722" i="6"/>
  <c r="C761" i="6"/>
  <c r="G560" i="6"/>
  <c r="G572" i="6"/>
  <c r="G596" i="6"/>
  <c r="G608" i="6"/>
  <c r="G620" i="6"/>
  <c r="G632" i="6"/>
  <c r="G644" i="6"/>
  <c r="G656" i="6"/>
  <c r="B750" i="6"/>
  <c r="C820" i="6"/>
  <c r="C933" i="6"/>
  <c r="B933" i="6"/>
  <c r="G440" i="6"/>
  <c r="G452" i="6"/>
  <c r="G559" i="6"/>
  <c r="G571" i="6"/>
  <c r="G583" i="6"/>
  <c r="G595" i="6"/>
  <c r="G607" i="6"/>
  <c r="G619" i="6"/>
  <c r="G631" i="6"/>
  <c r="G643" i="6"/>
  <c r="G655" i="6"/>
  <c r="G726" i="6"/>
  <c r="G764" i="6"/>
  <c r="G451" i="6"/>
  <c r="G558" i="6"/>
  <c r="G570" i="6"/>
  <c r="G582" i="6"/>
  <c r="G594" i="6"/>
  <c r="G606" i="6"/>
  <c r="G630" i="6"/>
  <c r="G642" i="6"/>
  <c r="G654" i="6"/>
  <c r="G666" i="6"/>
  <c r="G672" i="6"/>
  <c r="G681" i="6"/>
  <c r="G684" i="6"/>
  <c r="G687" i="6"/>
  <c r="G690" i="6"/>
  <c r="G693" i="6"/>
  <c r="G696" i="6"/>
  <c r="G702" i="6"/>
  <c r="G708" i="6"/>
  <c r="G759" i="6"/>
  <c r="G763" i="6"/>
  <c r="C844" i="6"/>
  <c r="B844" i="6"/>
  <c r="B872" i="6"/>
  <c r="C872" i="6"/>
  <c r="B881" i="6"/>
  <c r="C881" i="6"/>
  <c r="C891" i="6"/>
  <c r="G754" i="6"/>
  <c r="G781" i="6"/>
  <c r="C836" i="6"/>
  <c r="G936" i="6"/>
  <c r="G819" i="6"/>
  <c r="C838" i="6"/>
  <c r="C843" i="6"/>
  <c r="B843" i="6"/>
  <c r="G868" i="6"/>
  <c r="G883" i="6"/>
  <c r="C988" i="6"/>
  <c r="B988" i="6"/>
  <c r="C1012" i="6"/>
  <c r="B1012" i="6"/>
  <c r="G748" i="6"/>
  <c r="G802" i="6"/>
  <c r="G805" i="6"/>
  <c r="B806" i="6" s="1"/>
  <c r="C806" i="6"/>
  <c r="C826" i="6"/>
  <c r="C753" i="6"/>
  <c r="G757" i="6"/>
  <c r="B758" i="6" s="1"/>
  <c r="C859" i="6"/>
  <c r="C863" i="6"/>
  <c r="B880" i="6"/>
  <c r="C880" i="6"/>
  <c r="C923" i="6"/>
  <c r="G747" i="6"/>
  <c r="G784" i="6"/>
  <c r="G825" i="6"/>
  <c r="C846" i="6"/>
  <c r="B846" i="6"/>
  <c r="C848" i="6"/>
  <c r="B848" i="6"/>
  <c r="C879" i="6"/>
  <c r="C932" i="6"/>
  <c r="B932" i="6"/>
  <c r="C1011" i="6"/>
  <c r="G811" i="6"/>
  <c r="C830" i="6"/>
  <c r="G837" i="6"/>
  <c r="C876" i="6"/>
  <c r="G746" i="6"/>
  <c r="G760" i="6"/>
  <c r="B761" i="6" s="1"/>
  <c r="G783" i="6"/>
  <c r="C845" i="6"/>
  <c r="B845" i="6"/>
  <c r="C945" i="6"/>
  <c r="G841" i="6"/>
  <c r="G946" i="6"/>
  <c r="G971" i="6"/>
  <c r="C974" i="6"/>
  <c r="G977" i="6"/>
  <c r="C1043" i="6"/>
  <c r="C1049" i="6"/>
  <c r="B1049" i="6"/>
  <c r="C1066" i="6"/>
  <c r="B1066" i="6"/>
  <c r="C1112" i="6"/>
  <c r="B1112" i="6"/>
  <c r="G874" i="6"/>
  <c r="G878" i="6"/>
  <c r="G882" i="6"/>
  <c r="G964" i="6"/>
  <c r="G970" i="6"/>
  <c r="G976" i="6"/>
  <c r="G854" i="6"/>
  <c r="G866" i="6"/>
  <c r="G935" i="6"/>
  <c r="G938" i="6"/>
  <c r="B939" i="6" s="1"/>
  <c r="C995" i="6"/>
  <c r="B995" i="6"/>
  <c r="C1023" i="6"/>
  <c r="C1033" i="6"/>
  <c r="C1036" i="6"/>
  <c r="B1036" i="6"/>
  <c r="C1124" i="6"/>
  <c r="B1124" i="6"/>
  <c r="G870" i="6"/>
  <c r="C948" i="6"/>
  <c r="C983" i="6"/>
  <c r="G1032" i="6"/>
  <c r="B1033" i="6" s="1"/>
  <c r="C1035" i="6"/>
  <c r="B1035" i="6"/>
  <c r="C1096" i="6"/>
  <c r="B1096" i="6"/>
  <c r="G885" i="6"/>
  <c r="G905" i="6"/>
  <c r="B923" i="6"/>
  <c r="C993" i="6"/>
  <c r="C1018" i="6"/>
  <c r="C1092" i="6"/>
  <c r="B1092" i="6"/>
  <c r="G1101" i="6"/>
  <c r="B1102" i="6" s="1"/>
  <c r="G853" i="6"/>
  <c r="G865" i="6"/>
  <c r="C925" i="6"/>
  <c r="B925" i="6"/>
  <c r="C931" i="6"/>
  <c r="C1006" i="6"/>
  <c r="C1088" i="6"/>
  <c r="B1088" i="6"/>
  <c r="B1089" i="6"/>
  <c r="C1091" i="6"/>
  <c r="B1091" i="6"/>
  <c r="G911" i="6"/>
  <c r="B952" i="6"/>
  <c r="C994" i="6"/>
  <c r="B994" i="6"/>
  <c r="C1013" i="6"/>
  <c r="B1013" i="6"/>
  <c r="B873" i="6"/>
  <c r="C873" i="6"/>
  <c r="G934" i="6"/>
  <c r="C997" i="6"/>
  <c r="B997" i="6"/>
  <c r="B1001" i="6"/>
  <c r="G1056" i="6"/>
  <c r="G856" i="6"/>
  <c r="G864" i="6"/>
  <c r="G877" i="6"/>
  <c r="G887" i="6"/>
  <c r="B888" i="6" s="1"/>
  <c r="C937" i="6"/>
  <c r="G985" i="6"/>
  <c r="C1053" i="6"/>
  <c r="G898" i="6"/>
  <c r="G904" i="6"/>
  <c r="G910" i="6"/>
  <c r="G1052" i="6"/>
  <c r="C1087" i="6"/>
  <c r="C1095" i="6"/>
  <c r="C1100" i="6"/>
  <c r="B1100" i="6"/>
  <c r="C1123" i="6"/>
  <c r="B1123" i="6"/>
  <c r="C1164" i="6"/>
  <c r="B1164" i="6"/>
  <c r="C1189" i="6"/>
  <c r="C1067" i="6"/>
  <c r="B1067" i="6"/>
  <c r="C1090" i="6"/>
  <c r="B1090" i="6"/>
  <c r="C1111" i="6"/>
  <c r="B1111" i="6"/>
  <c r="C1120" i="6"/>
  <c r="B1120" i="6"/>
  <c r="C1223" i="6"/>
  <c r="G969" i="6"/>
  <c r="G975" i="6"/>
  <c r="G984" i="6"/>
  <c r="C1115" i="6"/>
  <c r="B1165" i="6"/>
  <c r="C1209" i="6"/>
  <c r="B1209" i="6"/>
  <c r="C1040" i="6"/>
  <c r="G1045" i="6"/>
  <c r="C1146" i="6"/>
  <c r="B1146" i="6"/>
  <c r="G902" i="6"/>
  <c r="B903" i="6" s="1"/>
  <c r="G1044" i="6"/>
  <c r="G1051" i="6"/>
  <c r="B996" i="6"/>
  <c r="C1037" i="6"/>
  <c r="B1037" i="6"/>
  <c r="B1065" i="6"/>
  <c r="B1147" i="6"/>
  <c r="G895" i="6"/>
  <c r="G901" i="6"/>
  <c r="G961" i="6"/>
  <c r="G973" i="6"/>
  <c r="G980" i="6"/>
  <c r="G992" i="6"/>
  <c r="B1019" i="6"/>
  <c r="B1031" i="6"/>
  <c r="C1093" i="6"/>
  <c r="B1093" i="6"/>
  <c r="C1135" i="6"/>
  <c r="B1135" i="6"/>
  <c r="C1145" i="6"/>
  <c r="B1145" i="6"/>
  <c r="G1069" i="6"/>
  <c r="C1122" i="6"/>
  <c r="B1122" i="6"/>
  <c r="G900" i="6"/>
  <c r="G906" i="6"/>
  <c r="G1039" i="6"/>
  <c r="G1042" i="6"/>
  <c r="G1050" i="6"/>
  <c r="B1058" i="6"/>
  <c r="G1075" i="6"/>
  <c r="C1102" i="6"/>
  <c r="C1129" i="6"/>
  <c r="B1129" i="6"/>
  <c r="G1198" i="6"/>
  <c r="G1125" i="6"/>
  <c r="B1126" i="6" s="1"/>
  <c r="C1130" i="6"/>
  <c r="B1130" i="6"/>
  <c r="C1158" i="6"/>
  <c r="C1173" i="6"/>
  <c r="B1173" i="6"/>
  <c r="G1191" i="6"/>
  <c r="B1262" i="6"/>
  <c r="C1262" i="6"/>
  <c r="C1215" i="6"/>
  <c r="B1215" i="6"/>
  <c r="C1218" i="6"/>
  <c r="B1218" i="6"/>
  <c r="B1159" i="6"/>
  <c r="G1106" i="6"/>
  <c r="G1139" i="6"/>
  <c r="G1157" i="6"/>
  <c r="B1158" i="6" s="1"/>
  <c r="C1175" i="6"/>
  <c r="B1175" i="6"/>
  <c r="B1216" i="6"/>
  <c r="C1128" i="6"/>
  <c r="C1152" i="6"/>
  <c r="C1199" i="6"/>
  <c r="C1214" i="6"/>
  <c r="B1214" i="6"/>
  <c r="B1113" i="6"/>
  <c r="G1116" i="6"/>
  <c r="C1126" i="6"/>
  <c r="C1210" i="6"/>
  <c r="B1210" i="6"/>
  <c r="C1103" i="6"/>
  <c r="B1103" i="6"/>
  <c r="C1104" i="6"/>
  <c r="B1104" i="6"/>
  <c r="C1136" i="6"/>
  <c r="B1136" i="6"/>
  <c r="C1174" i="6"/>
  <c r="B1174" i="6"/>
  <c r="C1207" i="6"/>
  <c r="C1213" i="6"/>
  <c r="B1213" i="6"/>
  <c r="G1127" i="6"/>
  <c r="B1128" i="6" s="1"/>
  <c r="B1134" i="6"/>
  <c r="G1151" i="6"/>
  <c r="C1171" i="6"/>
  <c r="B1171" i="6"/>
  <c r="B1121" i="6"/>
  <c r="G1168" i="6"/>
  <c r="G1211" i="6"/>
  <c r="C1320" i="6"/>
  <c r="G1187" i="6"/>
  <c r="C1200" i="6"/>
  <c r="B1200" i="6"/>
  <c r="C1258" i="6"/>
  <c r="G1143" i="6"/>
  <c r="B1144" i="6" s="1"/>
  <c r="G1149" i="6"/>
  <c r="G1155" i="6"/>
  <c r="G1193" i="6"/>
  <c r="G1203" i="6"/>
  <c r="C1228" i="6"/>
  <c r="B1228" i="6"/>
  <c r="G1206" i="6"/>
  <c r="G1224" i="6"/>
  <c r="B1250" i="6"/>
  <c r="B1138" i="6"/>
  <c r="G1142" i="6"/>
  <c r="G1148" i="6"/>
  <c r="G1154" i="6"/>
  <c r="B1156" i="6"/>
  <c r="G1160" i="6"/>
  <c r="C1208" i="6"/>
  <c r="B1208" i="6"/>
  <c r="C1212" i="6"/>
  <c r="B1246" i="6"/>
  <c r="C1246" i="6"/>
  <c r="G1169" i="6"/>
  <c r="B1170" i="6" s="1"/>
  <c r="G1188" i="6"/>
  <c r="G1205" i="6"/>
  <c r="C1261" i="6"/>
  <c r="C1323" i="6"/>
  <c r="B1323" i="6"/>
  <c r="B1324" i="6"/>
  <c r="C1243" i="6"/>
  <c r="G1266" i="6"/>
  <c r="G1260" i="6"/>
  <c r="B1261" i="6" s="1"/>
  <c r="G1263" i="6"/>
  <c r="G1230" i="6"/>
  <c r="G1257" i="6"/>
  <c r="B1258" i="6" s="1"/>
  <c r="B1330" i="6"/>
  <c r="C1238" i="6"/>
  <c r="G1242" i="6"/>
  <c r="C1244" i="6"/>
  <c r="C1248" i="6"/>
  <c r="B1251" i="6"/>
  <c r="C1251" i="6"/>
  <c r="C1318" i="6"/>
  <c r="B1239" i="6"/>
  <c r="C1239" i="6"/>
  <c r="B1245" i="6"/>
  <c r="C1245" i="6"/>
  <c r="G1265" i="6"/>
  <c r="G1259" i="6"/>
  <c r="C1332" i="6"/>
  <c r="B1332" i="6"/>
  <c r="G1253" i="6"/>
  <c r="C1335" i="6"/>
  <c r="B1335" i="6"/>
  <c r="B1219" i="6"/>
  <c r="G1241" i="6"/>
  <c r="B1248" i="6"/>
  <c r="G1270" i="6"/>
  <c r="G1286" i="6"/>
  <c r="G1290" i="6"/>
  <c r="G1294" i="6"/>
  <c r="G1310" i="6"/>
  <c r="C1354" i="6"/>
  <c r="B1354" i="6"/>
  <c r="G1269" i="6"/>
  <c r="G1273" i="6"/>
  <c r="G1277" i="6"/>
  <c r="G1285" i="6"/>
  <c r="C1353" i="6"/>
  <c r="B1353" i="6"/>
  <c r="C1342" i="6"/>
  <c r="B1342" i="6"/>
  <c r="G1319" i="6"/>
  <c r="B1320" i="6" s="1"/>
  <c r="C1356" i="6"/>
  <c r="B1356" i="6"/>
  <c r="G1268" i="6"/>
  <c r="C1334" i="6"/>
  <c r="B1334" i="6"/>
  <c r="C1341" i="6"/>
  <c r="B1341" i="6"/>
  <c r="C1366" i="6"/>
  <c r="B1366" i="6"/>
  <c r="C1321" i="6"/>
  <c r="B1321" i="6"/>
  <c r="G1267" i="6"/>
  <c r="G1271" i="6"/>
  <c r="G1279" i="6"/>
  <c r="G1287" i="6"/>
  <c r="G1291" i="6"/>
  <c r="G1311" i="6"/>
  <c r="C1344" i="6"/>
  <c r="B1344" i="6"/>
  <c r="C1297" i="6"/>
  <c r="C1313" i="6"/>
  <c r="C1317" i="6"/>
  <c r="B1317" i="6"/>
  <c r="C1326" i="6"/>
  <c r="B1343" i="6"/>
  <c r="B1355" i="6"/>
  <c r="B1367" i="6"/>
  <c r="S1150" i="4"/>
  <c r="S1236" i="4"/>
  <c r="D1469" i="4"/>
  <c r="G2131" i="4"/>
  <c r="G2363" i="4"/>
  <c r="G2402" i="4"/>
  <c r="G2856" i="4"/>
  <c r="G1367" i="4"/>
  <c r="C1367" i="4" s="1"/>
  <c r="G1931" i="4"/>
  <c r="C1931" i="4" s="1"/>
  <c r="G1818" i="4"/>
  <c r="G643" i="4"/>
  <c r="C643" i="4" s="1"/>
  <c r="G2403" i="4"/>
  <c r="B2403" i="4" s="1"/>
  <c r="G1307" i="4"/>
  <c r="G1536" i="4"/>
  <c r="G2585" i="4"/>
  <c r="G2598" i="4"/>
  <c r="G2041" i="4"/>
  <c r="C2041" i="4" s="1"/>
  <c r="G2827" i="4"/>
  <c r="G2830" i="4"/>
  <c r="C2830" i="4" s="1"/>
  <c r="G599" i="4"/>
  <c r="G1484" i="4"/>
  <c r="G2022" i="4"/>
  <c r="B2022" i="4" s="1"/>
  <c r="G2400" i="4"/>
  <c r="C2400" i="4" s="1"/>
  <c r="G2587" i="4"/>
  <c r="B2587" i="4" s="1"/>
  <c r="G1649" i="4"/>
  <c r="C1649" i="4" s="1"/>
  <c r="G2251" i="4"/>
  <c r="C2251" i="4" s="1"/>
  <c r="G2255" i="4"/>
  <c r="G2873" i="4"/>
  <c r="G1335" i="4"/>
  <c r="B1335" i="4" s="1"/>
  <c r="G309" i="4"/>
  <c r="C309" i="4" s="1"/>
  <c r="G1525" i="4"/>
  <c r="C1525" i="4" s="1"/>
  <c r="G1551" i="4"/>
  <c r="G2257" i="4"/>
  <c r="C2257" i="4" s="1"/>
  <c r="G2982" i="4"/>
  <c r="C2982" i="4" s="1"/>
  <c r="G1723" i="4"/>
  <c r="C1723" i="4" s="1"/>
  <c r="G2586" i="4"/>
  <c r="B2586" i="4" s="1"/>
  <c r="G1050" i="4"/>
  <c r="G567" i="4"/>
  <c r="G2136" i="4"/>
  <c r="G646" i="4"/>
  <c r="G1965" i="4"/>
  <c r="G2863" i="4"/>
  <c r="C2863" i="4" s="1"/>
  <c r="G1139" i="4"/>
  <c r="B1139" i="4" s="1"/>
  <c r="G1286" i="4"/>
  <c r="B1286" i="4" s="1"/>
  <c r="G1296" i="4"/>
  <c r="C1296" i="4" s="1"/>
  <c r="G2025" i="4"/>
  <c r="G1556" i="4"/>
  <c r="C1556" i="4" s="1"/>
  <c r="G565" i="4"/>
  <c r="C565" i="4" s="1"/>
  <c r="G1221" i="4"/>
  <c r="G1606" i="4"/>
  <c r="C1606" i="4" s="1"/>
  <c r="G1853" i="4"/>
  <c r="G1866" i="4"/>
  <c r="G1966" i="4"/>
  <c r="C1966" i="4" s="1"/>
  <c r="G2839" i="4"/>
  <c r="C2839" i="4" s="1"/>
  <c r="G1781" i="4"/>
  <c r="C1781" i="4" s="1"/>
  <c r="G2392" i="4"/>
  <c r="C2392" i="4" s="1"/>
  <c r="G2841" i="4"/>
  <c r="C2841" i="4" s="1"/>
  <c r="G2853" i="4"/>
  <c r="C2853" i="4" s="1"/>
  <c r="G2887" i="4"/>
  <c r="G2939" i="4"/>
  <c r="C2939" i="4" s="1"/>
  <c r="G1794" i="4"/>
  <c r="C1794" i="4" s="1"/>
  <c r="G2111" i="4"/>
  <c r="C2111" i="4" s="1"/>
  <c r="G2178" i="4"/>
  <c r="G2404" i="4"/>
  <c r="G2592" i="4"/>
  <c r="G2595" i="4"/>
  <c r="G2836" i="4"/>
  <c r="C2836" i="4" s="1"/>
  <c r="G2114" i="4"/>
  <c r="G2161" i="4"/>
  <c r="B2162" i="4" s="1"/>
  <c r="G2196" i="4"/>
  <c r="C2196" i="4" s="1"/>
  <c r="G2579" i="4"/>
  <c r="B2580" i="4" s="1"/>
  <c r="G2852" i="4"/>
  <c r="C2852" i="4" s="1"/>
  <c r="G2986" i="4"/>
  <c r="C2986" i="4" s="1"/>
  <c r="G2270" i="4"/>
  <c r="C2270" i="4" s="1"/>
  <c r="G2394" i="4"/>
  <c r="G800" i="4"/>
  <c r="C800" i="4" s="1"/>
  <c r="G2832" i="4"/>
  <c r="G1879" i="4"/>
  <c r="C1879" i="4" s="1"/>
  <c r="G2938" i="4"/>
  <c r="G1226" i="4"/>
  <c r="C1226" i="4" s="1"/>
  <c r="G1315" i="4"/>
  <c r="B1315" i="4" s="1"/>
  <c r="G1544" i="4"/>
  <c r="G1817" i="4"/>
  <c r="B1818" i="4" s="1"/>
  <c r="G1920" i="4"/>
  <c r="C1920" i="4" s="1"/>
  <c r="G2198" i="4"/>
  <c r="C2198" i="4" s="1"/>
  <c r="G2250" i="4"/>
  <c r="G2699" i="4"/>
  <c r="C2699" i="4" s="1"/>
  <c r="G2829" i="4"/>
  <c r="G1850" i="4"/>
  <c r="G2126" i="4"/>
  <c r="C2126" i="4" s="1"/>
  <c r="G2407" i="4"/>
  <c r="G2599" i="4"/>
  <c r="G2968" i="4"/>
  <c r="G1291" i="4"/>
  <c r="B1291" i="4" s="1"/>
  <c r="G1884" i="4"/>
  <c r="C1884" i="4" s="1"/>
  <c r="G2119" i="4"/>
  <c r="B2119" i="4" s="1"/>
  <c r="G2559" i="4"/>
  <c r="G2580" i="4"/>
  <c r="G2593" i="4"/>
  <c r="C2593" i="4" s="1"/>
  <c r="G2842" i="4"/>
  <c r="G2861" i="4"/>
  <c r="G2980" i="4"/>
  <c r="C2980" i="4" s="1"/>
  <c r="G806" i="4"/>
  <c r="G397" i="4"/>
  <c r="C397" i="4" s="1"/>
  <c r="G488" i="4"/>
  <c r="C488" i="4" s="1"/>
  <c r="G771" i="4"/>
  <c r="G487" i="4"/>
  <c r="C487" i="4" s="1"/>
  <c r="G69" i="4"/>
  <c r="B69" i="4" s="1"/>
  <c r="G721" i="4"/>
  <c r="G1060" i="4"/>
  <c r="C1060" i="4" s="1"/>
  <c r="G395" i="4"/>
  <c r="C395" i="4" s="1"/>
  <c r="G802" i="4"/>
  <c r="H4" i="4"/>
  <c r="H5" i="4"/>
  <c r="G70" i="4"/>
  <c r="G668" i="4"/>
  <c r="G486" i="4"/>
  <c r="C486" i="4" s="1"/>
  <c r="G1048" i="4"/>
  <c r="C1048" i="4" s="1"/>
  <c r="G615" i="4"/>
  <c r="C615" i="4" s="1"/>
  <c r="B1367" i="4"/>
  <c r="G711" i="4"/>
  <c r="G1222" i="4"/>
  <c r="C1222" i="4" s="1"/>
  <c r="G790" i="4"/>
  <c r="C790" i="4" s="1"/>
  <c r="G1378" i="4"/>
  <c r="G566" i="4"/>
  <c r="C566" i="4" s="1"/>
  <c r="G720" i="4"/>
  <c r="G724" i="4"/>
  <c r="C724" i="4" s="1"/>
  <c r="G808" i="4"/>
  <c r="C808" i="4" s="1"/>
  <c r="G878" i="4"/>
  <c r="C878" i="4" s="1"/>
  <c r="G882" i="4"/>
  <c r="B882" i="4" s="1"/>
  <c r="G963" i="4"/>
  <c r="B964" i="4" s="1"/>
  <c r="G1036" i="4"/>
  <c r="G1118" i="4"/>
  <c r="B1118" i="4" s="1"/>
  <c r="G1142" i="4"/>
  <c r="G1418" i="4"/>
  <c r="C1418" i="4" s="1"/>
  <c r="C2178" i="4"/>
  <c r="B2178" i="4"/>
  <c r="G284" i="4"/>
  <c r="C284" i="4" s="1"/>
  <c r="G647" i="4"/>
  <c r="B647" i="4" s="1"/>
  <c r="G1052" i="4"/>
  <c r="G1712" i="4"/>
  <c r="C1712" i="4" s="1"/>
  <c r="G1947" i="4"/>
  <c r="C1947" i="4" s="1"/>
  <c r="G393" i="4"/>
  <c r="C393" i="4" s="1"/>
  <c r="G804" i="4"/>
  <c r="C804" i="4" s="1"/>
  <c r="G877" i="4"/>
  <c r="B877" i="4" s="1"/>
  <c r="G1150" i="4"/>
  <c r="C1150" i="4" s="1"/>
  <c r="G1309" i="4"/>
  <c r="C1309" i="4" s="1"/>
  <c r="G864" i="4"/>
  <c r="C864" i="4" s="1"/>
  <c r="G881" i="4"/>
  <c r="C881" i="4" s="1"/>
  <c r="G1051" i="4"/>
  <c r="C1051" i="4" s="1"/>
  <c r="G1224" i="4"/>
  <c r="B1224" i="4" s="1"/>
  <c r="G961" i="4"/>
  <c r="C961" i="4" s="1"/>
  <c r="G423" i="4"/>
  <c r="G568" i="4"/>
  <c r="C568" i="4" s="1"/>
  <c r="G880" i="4"/>
  <c r="B880" i="4" s="1"/>
  <c r="G1541" i="4"/>
  <c r="G964" i="4"/>
  <c r="C964" i="4" s="1"/>
  <c r="G968" i="4"/>
  <c r="C968" i="4" s="1"/>
  <c r="G1146" i="4"/>
  <c r="B1146" i="4" s="1"/>
  <c r="G1782" i="4"/>
  <c r="C1782" i="4" s="1"/>
  <c r="G1948" i="4"/>
  <c r="G2118" i="4"/>
  <c r="C2118" i="4" s="1"/>
  <c r="G2584" i="4"/>
  <c r="C2584" i="4" s="1"/>
  <c r="G1372" i="4"/>
  <c r="G1447" i="4"/>
  <c r="C1447" i="4" s="1"/>
  <c r="G1555" i="4"/>
  <c r="G1851" i="4"/>
  <c r="G1904" i="4"/>
  <c r="C1904" i="4" s="1"/>
  <c r="G1236" i="4"/>
  <c r="G1369" i="4"/>
  <c r="C1369" i="4" s="1"/>
  <c r="G1399" i="4"/>
  <c r="C1399" i="4" s="1"/>
  <c r="G1458" i="4"/>
  <c r="G1653" i="4"/>
  <c r="C1653" i="4" s="1"/>
  <c r="G1711" i="4"/>
  <c r="G1858" i="4"/>
  <c r="C1858" i="4" s="1"/>
  <c r="G1137" i="4"/>
  <c r="C1137" i="4" s="1"/>
  <c r="G1304" i="4"/>
  <c r="C1304" i="4" s="1"/>
  <c r="G1697" i="4"/>
  <c r="B1697" i="4" s="1"/>
  <c r="C2136" i="4"/>
  <c r="G1831" i="4"/>
  <c r="C1831" i="4" s="1"/>
  <c r="G1840" i="4"/>
  <c r="G2089" i="4"/>
  <c r="C2089" i="4" s="1"/>
  <c r="G1001" i="4"/>
  <c r="C1001" i="4" s="1"/>
  <c r="G1126" i="4"/>
  <c r="C1126" i="4" s="1"/>
  <c r="G1235" i="4"/>
  <c r="C1235" i="4" s="1"/>
  <c r="G1310" i="4"/>
  <c r="G1467" i="4"/>
  <c r="C1467" i="4" s="1"/>
  <c r="G1564" i="4"/>
  <c r="C1564" i="4" s="1"/>
  <c r="G2188" i="4"/>
  <c r="C2188" i="4" s="1"/>
  <c r="G1621" i="4"/>
  <c r="C1621" i="4" s="1"/>
  <c r="G2011" i="4"/>
  <c r="G2054" i="4"/>
  <c r="C2054" i="4" s="1"/>
  <c r="G2191" i="4"/>
  <c r="C2191" i="4" s="1"/>
  <c r="G1141" i="4"/>
  <c r="C1141" i="4" s="1"/>
  <c r="G1867" i="4"/>
  <c r="B1867" i="4" s="1"/>
  <c r="G1929" i="4"/>
  <c r="G2024" i="4"/>
  <c r="G2050" i="4"/>
  <c r="C2050" i="4" s="1"/>
  <c r="G1625" i="4"/>
  <c r="B1625" i="4" s="1"/>
  <c r="G1789" i="4"/>
  <c r="G1963" i="4"/>
  <c r="C1963" i="4" s="1"/>
  <c r="G2044" i="4"/>
  <c r="C2044" i="4" s="1"/>
  <c r="G1719" i="4"/>
  <c r="B1719" i="4" s="1"/>
  <c r="G1793" i="4"/>
  <c r="C1793" i="4" s="1"/>
  <c r="G2026" i="4"/>
  <c r="C2026" i="4" s="1"/>
  <c r="C2255" i="4"/>
  <c r="G2258" i="4"/>
  <c r="C2258" i="4" s="1"/>
  <c r="G1379" i="4"/>
  <c r="C1379" i="4" s="1"/>
  <c r="G1459" i="4"/>
  <c r="G1627" i="4"/>
  <c r="C1627" i="4" s="1"/>
  <c r="G1632" i="4"/>
  <c r="C1632" i="4" s="1"/>
  <c r="G1766" i="4"/>
  <c r="C1766" i="4" s="1"/>
  <c r="G1769" i="4"/>
  <c r="C1769" i="4" s="1"/>
  <c r="G2030" i="4"/>
  <c r="G2240" i="4"/>
  <c r="G2589" i="4"/>
  <c r="C2589" i="4" s="1"/>
  <c r="G1610" i="4"/>
  <c r="C1610" i="4" s="1"/>
  <c r="G1686" i="4"/>
  <c r="B1686" i="4" s="1"/>
  <c r="G1706" i="4"/>
  <c r="B1706" i="4" s="1"/>
  <c r="G1721" i="4"/>
  <c r="C1721" i="4" s="1"/>
  <c r="G1864" i="4"/>
  <c r="G1945" i="4"/>
  <c r="C1945" i="4" s="1"/>
  <c r="G2034" i="4"/>
  <c r="B2034" i="4" s="1"/>
  <c r="G2066" i="4"/>
  <c r="C2066" i="4" s="1"/>
  <c r="G2094" i="4"/>
  <c r="C2094" i="4" s="1"/>
  <c r="G2200" i="4"/>
  <c r="C2200" i="4" s="1"/>
  <c r="G2583" i="4"/>
  <c r="C2583" i="4" s="1"/>
  <c r="G2594" i="4"/>
  <c r="B2595" i="4" s="1"/>
  <c r="G2597" i="4"/>
  <c r="G2000" i="4"/>
  <c r="C2000" i="4" s="1"/>
  <c r="G2028" i="4"/>
  <c r="G2588" i="4"/>
  <c r="G2591" i="4"/>
  <c r="C2591" i="4" s="1"/>
  <c r="G1469" i="4"/>
  <c r="B1469" i="4" s="1"/>
  <c r="G1611" i="4"/>
  <c r="C1611" i="4" s="1"/>
  <c r="G1743" i="4"/>
  <c r="C1743" i="4" s="1"/>
  <c r="G1795" i="4"/>
  <c r="C1795" i="4" s="1"/>
  <c r="G1798" i="4"/>
  <c r="C1798" i="4" s="1"/>
  <c r="G1834" i="4"/>
  <c r="C1834" i="4" s="1"/>
  <c r="G1949" i="4"/>
  <c r="G2007" i="4"/>
  <c r="G2088" i="4"/>
  <c r="C2088" i="4" s="1"/>
  <c r="G2120" i="4"/>
  <c r="C2120" i="4" s="1"/>
  <c r="G2180" i="4"/>
  <c r="G2386" i="4"/>
  <c r="G1483" i="4"/>
  <c r="G1495" i="4"/>
  <c r="C1495" i="4" s="1"/>
  <c r="G1543" i="4"/>
  <c r="B1544" i="4" s="1"/>
  <c r="G1751" i="4"/>
  <c r="C1751" i="4" s="1"/>
  <c r="G1888" i="4"/>
  <c r="B1888" i="4" s="1"/>
  <c r="G1964" i="4"/>
  <c r="C1964" i="4" s="1"/>
  <c r="G2130" i="4"/>
  <c r="B2131" i="4" s="1"/>
  <c r="G2596" i="4"/>
  <c r="B2596" i="4" s="1"/>
  <c r="G2608" i="4"/>
  <c r="G1968" i="4"/>
  <c r="C1968" i="4" s="1"/>
  <c r="G2027" i="4"/>
  <c r="C2027" i="4" s="1"/>
  <c r="G2112" i="4"/>
  <c r="C2112" i="4" s="1"/>
  <c r="G2162" i="4"/>
  <c r="C2162" i="4" s="1"/>
  <c r="G2398" i="4"/>
  <c r="C2398" i="4" s="1"/>
  <c r="G2590" i="4"/>
  <c r="G2632" i="4"/>
  <c r="C2632" i="4" s="1"/>
  <c r="G2316" i="4"/>
  <c r="C2316" i="4" s="1"/>
  <c r="G2393" i="4"/>
  <c r="B2394" i="4" s="1"/>
  <c r="G2408" i="4"/>
  <c r="G2481" i="4"/>
  <c r="G2529" i="4"/>
  <c r="C2529" i="4" s="1"/>
  <c r="G2826" i="4"/>
  <c r="G2849" i="4"/>
  <c r="C2849" i="4" s="1"/>
  <c r="G2894" i="4"/>
  <c r="C2894" i="4" s="1"/>
  <c r="G2395" i="4"/>
  <c r="B2395" i="4" s="1"/>
  <c r="G2476" i="4"/>
  <c r="C2476" i="4" s="1"/>
  <c r="G2494" i="4"/>
  <c r="B2494" i="4" s="1"/>
  <c r="G2687" i="4"/>
  <c r="C2687" i="4" s="1"/>
  <c r="G2855" i="4"/>
  <c r="B2856" i="4" s="1"/>
  <c r="G2860" i="4"/>
  <c r="G2903" i="4"/>
  <c r="G2946" i="4"/>
  <c r="G2967" i="4"/>
  <c r="G2388" i="4"/>
  <c r="G2390" i="4"/>
  <c r="C2390" i="4" s="1"/>
  <c r="G2519" i="4"/>
  <c r="C2519" i="4" s="1"/>
  <c r="G2531" i="4"/>
  <c r="G2804" i="4"/>
  <c r="G2825" i="4"/>
  <c r="G2837" i="4"/>
  <c r="C2837" i="4" s="1"/>
  <c r="G2838" i="4"/>
  <c r="G2135" i="4"/>
  <c r="B2136" i="4" s="1"/>
  <c r="G2736" i="4"/>
  <c r="G2893" i="4"/>
  <c r="G2857" i="4"/>
  <c r="C2857" i="4" s="1"/>
  <c r="G2886" i="4"/>
  <c r="C2886" i="4" s="1"/>
  <c r="G2985" i="4"/>
  <c r="C2985" i="4" s="1"/>
  <c r="G2115" i="4"/>
  <c r="G2203" i="4"/>
  <c r="B2255" i="4"/>
  <c r="G2480" i="4"/>
  <c r="C2480" i="4" s="1"/>
  <c r="G2528" i="4"/>
  <c r="C2528" i="4" s="1"/>
  <c r="G2545" i="4"/>
  <c r="C2545" i="4" s="1"/>
  <c r="G2672" i="4"/>
  <c r="G2831" i="4"/>
  <c r="B2832" i="4" s="1"/>
  <c r="G2859" i="4"/>
  <c r="G2874" i="4"/>
  <c r="C2874" i="4" s="1"/>
  <c r="G2389" i="4"/>
  <c r="C2389" i="4" s="1"/>
  <c r="G2814" i="4"/>
  <c r="C2814" i="4" s="1"/>
  <c r="G2854" i="4"/>
  <c r="C2854" i="4" s="1"/>
  <c r="G2862" i="4"/>
  <c r="C2862" i="4" s="1"/>
  <c r="G2931" i="4"/>
  <c r="G2029" i="4"/>
  <c r="G2042" i="4"/>
  <c r="C2042" i="4" s="1"/>
  <c r="G2129" i="4"/>
  <c r="G2147" i="4"/>
  <c r="B2147" i="4" s="1"/>
  <c r="G2182" i="4"/>
  <c r="C2182" i="4" s="1"/>
  <c r="G2229" i="4"/>
  <c r="C2229" i="4" s="1"/>
  <c r="G2284" i="4"/>
  <c r="C2284" i="4" s="1"/>
  <c r="G2399" i="4"/>
  <c r="C2399" i="4" s="1"/>
  <c r="G2414" i="4"/>
  <c r="C2414" i="4" s="1"/>
  <c r="G2833" i="4"/>
  <c r="C2833" i="4" s="1"/>
  <c r="G2905" i="4"/>
  <c r="G2953" i="4"/>
  <c r="C2953" i="4" s="1"/>
  <c r="G2984" i="4"/>
  <c r="G2133" i="4"/>
  <c r="C2133" i="4" s="1"/>
  <c r="G2201" i="4"/>
  <c r="G2253" i="4"/>
  <c r="C2253" i="4" s="1"/>
  <c r="G2256" i="4"/>
  <c r="B2256" i="4" s="1"/>
  <c r="G2401" i="4"/>
  <c r="B2402" i="4" s="1"/>
  <c r="G2477" i="4"/>
  <c r="C2477" i="4" s="1"/>
  <c r="G2525" i="4"/>
  <c r="G2544" i="4"/>
  <c r="C2544" i="4" s="1"/>
  <c r="G2702" i="4"/>
  <c r="C2702" i="4" s="1"/>
  <c r="G2850" i="4"/>
  <c r="C2850" i="4" s="1"/>
  <c r="G2911" i="4"/>
  <c r="C2911" i="4" s="1"/>
  <c r="G2941" i="4"/>
  <c r="G2962" i="4"/>
  <c r="C2962" i="4" s="1"/>
  <c r="G2981" i="4"/>
  <c r="C2981" i="4" s="1"/>
  <c r="G2891" i="4"/>
  <c r="C2891" i="4" s="1"/>
  <c r="G2611" i="4"/>
  <c r="C2611" i="4" s="1"/>
  <c r="G2641" i="4"/>
  <c r="G2644" i="4"/>
  <c r="C2644" i="4" s="1"/>
  <c r="G2647" i="4"/>
  <c r="C2647" i="4" s="1"/>
  <c r="G2650" i="4"/>
  <c r="C2650" i="4" s="1"/>
  <c r="G2653" i="4"/>
  <c r="G2656" i="4"/>
  <c r="C2656" i="4" s="1"/>
  <c r="G2730" i="4"/>
  <c r="C2730" i="4" s="1"/>
  <c r="G2835" i="4"/>
  <c r="C2835" i="4" s="1"/>
  <c r="G2858" i="4"/>
  <c r="C2858" i="4" s="1"/>
  <c r="G2904" i="4"/>
  <c r="C2904" i="4" s="1"/>
  <c r="C599" i="4"/>
  <c r="B599" i="4"/>
  <c r="C806" i="4"/>
  <c r="C567" i="4"/>
  <c r="C711" i="4"/>
  <c r="S264" i="4"/>
  <c r="G394" i="4"/>
  <c r="C647" i="4"/>
  <c r="C720" i="4"/>
  <c r="G442" i="4"/>
  <c r="G586" i="4"/>
  <c r="G569" i="4"/>
  <c r="G400" i="4"/>
  <c r="G485" i="4"/>
  <c r="G489" i="4"/>
  <c r="G383" i="4"/>
  <c r="G563" i="4"/>
  <c r="C646" i="4"/>
  <c r="C668" i="4"/>
  <c r="B668" i="4"/>
  <c r="D569" i="4"/>
  <c r="S569" i="4"/>
  <c r="C721" i="4"/>
  <c r="B721" i="4"/>
  <c r="G641" i="4"/>
  <c r="G722" i="4"/>
  <c r="C802" i="4"/>
  <c r="B806" i="4"/>
  <c r="B878" i="4"/>
  <c r="G648" i="4"/>
  <c r="B724" i="4"/>
  <c r="C877" i="4"/>
  <c r="B802" i="4"/>
  <c r="S570" i="4"/>
  <c r="G735" i="4"/>
  <c r="G799" i="4"/>
  <c r="B800" i="4" s="1"/>
  <c r="G803" i="4"/>
  <c r="G718" i="4"/>
  <c r="C771" i="4"/>
  <c r="B771" i="4"/>
  <c r="B881" i="4"/>
  <c r="G645" i="4"/>
  <c r="B646" i="4" s="1"/>
  <c r="G729" i="4"/>
  <c r="G971" i="4"/>
  <c r="G1233" i="4"/>
  <c r="G1143" i="4"/>
  <c r="G1147" i="4"/>
  <c r="C1459" i="4"/>
  <c r="C1236" i="4"/>
  <c r="B1051" i="4"/>
  <c r="G1057" i="4"/>
  <c r="S1089" i="4"/>
  <c r="G1229" i="4"/>
  <c r="G887" i="4"/>
  <c r="G1045" i="4"/>
  <c r="G1125" i="4"/>
  <c r="B1126" i="4" s="1"/>
  <c r="C1221" i="4"/>
  <c r="G1232" i="4"/>
  <c r="C1050" i="4"/>
  <c r="B1050" i="4"/>
  <c r="B1226" i="4"/>
  <c r="G1300" i="4"/>
  <c r="G884" i="4"/>
  <c r="G1094" i="4"/>
  <c r="C1118" i="4"/>
  <c r="C1372" i="4"/>
  <c r="G967" i="4"/>
  <c r="G1047" i="4"/>
  <c r="C1286" i="4"/>
  <c r="B1307" i="4"/>
  <c r="C1307" i="4"/>
  <c r="S887" i="4"/>
  <c r="G966" i="4"/>
  <c r="G1058" i="4"/>
  <c r="G1144" i="4"/>
  <c r="G1330" i="4"/>
  <c r="G1298" i="4"/>
  <c r="C1544" i="4"/>
  <c r="D1317" i="4"/>
  <c r="S1317" i="4"/>
  <c r="G1451" i="4"/>
  <c r="G1363" i="4"/>
  <c r="G1377" i="4"/>
  <c r="G1387" i="4"/>
  <c r="G1449" i="4"/>
  <c r="G1494" i="4"/>
  <c r="B1495" i="4" s="1"/>
  <c r="C1536" i="4"/>
  <c r="B1536" i="4"/>
  <c r="C1551" i="4"/>
  <c r="G1308" i="4"/>
  <c r="B1372" i="4"/>
  <c r="G1450" i="4"/>
  <c r="G1301" i="4"/>
  <c r="C1310" i="4"/>
  <c r="G1381" i="4"/>
  <c r="G1382" i="4"/>
  <c r="G1442" i="4"/>
  <c r="G1452" i="4"/>
  <c r="C1469" i="4"/>
  <c r="G1395" i="4"/>
  <c r="C1483" i="4"/>
  <c r="G1317" i="4"/>
  <c r="G1322" i="4"/>
  <c r="G1380" i="4"/>
  <c r="G1464" i="4"/>
  <c r="B1484" i="4"/>
  <c r="C1484" i="4"/>
  <c r="G1542" i="4"/>
  <c r="B1551" i="4"/>
  <c r="G1552" i="4"/>
  <c r="G1619" i="4"/>
  <c r="B1610" i="4"/>
  <c r="B1653" i="4"/>
  <c r="G1482" i="4"/>
  <c r="G1516" i="4"/>
  <c r="G1623" i="4"/>
  <c r="G1672" i="4"/>
  <c r="S1397" i="4"/>
  <c r="B1564" i="4"/>
  <c r="G1583" i="4"/>
  <c r="G1618" i="4"/>
  <c r="G1622" i="4"/>
  <c r="G1518" i="4"/>
  <c r="D1556" i="4"/>
  <c r="S1556" i="4"/>
  <c r="G1701" i="4"/>
  <c r="C1711" i="4"/>
  <c r="C1840" i="4"/>
  <c r="C1851" i="4"/>
  <c r="B1851" i="4"/>
  <c r="S1468" i="4"/>
  <c r="G1496" i="4"/>
  <c r="B1525" i="4"/>
  <c r="G1553" i="4"/>
  <c r="G1620" i="4"/>
  <c r="G1800" i="4"/>
  <c r="G1903" i="4"/>
  <c r="G1954" i="4"/>
  <c r="C2408" i="4"/>
  <c r="C2481" i="4"/>
  <c r="G1707" i="4"/>
  <c r="G1894" i="4"/>
  <c r="C1949" i="4"/>
  <c r="G1962" i="4"/>
  <c r="S1723" i="4"/>
  <c r="G1825" i="4"/>
  <c r="G1839" i="4"/>
  <c r="G1713" i="4"/>
  <c r="G1720" i="4"/>
  <c r="C1818" i="4"/>
  <c r="C1850" i="4"/>
  <c r="B1850" i="4"/>
  <c r="C1853" i="4"/>
  <c r="G1710" i="4"/>
  <c r="C1789" i="4"/>
  <c r="G1869" i="4"/>
  <c r="G1784" i="4"/>
  <c r="G1819" i="4"/>
  <c r="C1866" i="4"/>
  <c r="B1866" i="4"/>
  <c r="G1930" i="4"/>
  <c r="G1797" i="4"/>
  <c r="C1864" i="4"/>
  <c r="B1831" i="4"/>
  <c r="G1852" i="4"/>
  <c r="B1853" i="4" s="1"/>
  <c r="B1884" i="4"/>
  <c r="G1932" i="4"/>
  <c r="G1946" i="4"/>
  <c r="G1950" i="4"/>
  <c r="G1763" i="4"/>
  <c r="G1783" i="4"/>
  <c r="B1789" i="4"/>
  <c r="G1833" i="4"/>
  <c r="B1966" i="4"/>
  <c r="C2024" i="4"/>
  <c r="B2024" i="4"/>
  <c r="G1722" i="4"/>
  <c r="G1845" i="4"/>
  <c r="G1863" i="4"/>
  <c r="B1864" i="4" s="1"/>
  <c r="C1929" i="4"/>
  <c r="B1929" i="4"/>
  <c r="C1965" i="4"/>
  <c r="B1965" i="4"/>
  <c r="C2011" i="4"/>
  <c r="C2114" i="4"/>
  <c r="B2118" i="4"/>
  <c r="C2131" i="4"/>
  <c r="G2132" i="4"/>
  <c r="G2186" i="4"/>
  <c r="G2197" i="4"/>
  <c r="G2226" i="4"/>
  <c r="G1978" i="4"/>
  <c r="G2046" i="4"/>
  <c r="G2113" i="4"/>
  <c r="B2114" i="4" s="1"/>
  <c r="C2395" i="4"/>
  <c r="G1961" i="4"/>
  <c r="G1973" i="4"/>
  <c r="C2130" i="4"/>
  <c r="B2011" i="4"/>
  <c r="B2041" i="4"/>
  <c r="G2074" i="4"/>
  <c r="G2078" i="4"/>
  <c r="G2127" i="4"/>
  <c r="G2134" i="4"/>
  <c r="G2199" i="4"/>
  <c r="C2240" i="4"/>
  <c r="B2240" i="4"/>
  <c r="G1989" i="4"/>
  <c r="G2035" i="4"/>
  <c r="G2062" i="4"/>
  <c r="G2075" i="4"/>
  <c r="G2154" i="4"/>
  <c r="G2190" i="4"/>
  <c r="B2250" i="4"/>
  <c r="C2250" i="4"/>
  <c r="C2025" i="4"/>
  <c r="B2025" i="4"/>
  <c r="G2061" i="4"/>
  <c r="G2098" i="4"/>
  <c r="C2147" i="4"/>
  <c r="G2151" i="4"/>
  <c r="G1988" i="4"/>
  <c r="G2045" i="4"/>
  <c r="G2179" i="4"/>
  <c r="G2252" i="4"/>
  <c r="G2043" i="4"/>
  <c r="C2135" i="4"/>
  <c r="C2180" i="4"/>
  <c r="B2182" i="4"/>
  <c r="C2203" i="4"/>
  <c r="S1800" i="4"/>
  <c r="G2016" i="4"/>
  <c r="G2047" i="4"/>
  <c r="G2110" i="4"/>
  <c r="G2128" i="4"/>
  <c r="G2076" i="4"/>
  <c r="G2218" i="4"/>
  <c r="G2268" i="4"/>
  <c r="G2267" i="4"/>
  <c r="G2305" i="4"/>
  <c r="G2314" i="4"/>
  <c r="G2317" i="4"/>
  <c r="G2323" i="4"/>
  <c r="G2266" i="4"/>
  <c r="C2363" i="4"/>
  <c r="C2402" i="4"/>
  <c r="B2407" i="4"/>
  <c r="G2265" i="4"/>
  <c r="G2319" i="4"/>
  <c r="G2322" i="4"/>
  <c r="G2328" i="4"/>
  <c r="G2264" i="4"/>
  <c r="B2414" i="4"/>
  <c r="B2251" i="4"/>
  <c r="C2394" i="4"/>
  <c r="S2050" i="4"/>
  <c r="G2269" i="4"/>
  <c r="G2292" i="4"/>
  <c r="G2315" i="4"/>
  <c r="G2318" i="4"/>
  <c r="G2321" i="4"/>
  <c r="G2324" i="4"/>
  <c r="G2364" i="4"/>
  <c r="G2474" i="4"/>
  <c r="G2486" i="4"/>
  <c r="G2522" i="4"/>
  <c r="G2534" i="4"/>
  <c r="C2559" i="4"/>
  <c r="B2559" i="4"/>
  <c r="G2362" i="4"/>
  <c r="G2524" i="4"/>
  <c r="G2536" i="4"/>
  <c r="G2471" i="4"/>
  <c r="G2483" i="4"/>
  <c r="C2531" i="4"/>
  <c r="G2478" i="4"/>
  <c r="G2526" i="4"/>
  <c r="G2467" i="4"/>
  <c r="G2485" i="4"/>
  <c r="G2497" i="4"/>
  <c r="G2515" i="4"/>
  <c r="G2521" i="4"/>
  <c r="G2533" i="4"/>
  <c r="B2583" i="4"/>
  <c r="C2595" i="4"/>
  <c r="C2672" i="4"/>
  <c r="B2672" i="4"/>
  <c r="G2333" i="4"/>
  <c r="G2369" i="4"/>
  <c r="G2475" i="4"/>
  <c r="G2523" i="4"/>
  <c r="G2535" i="4"/>
  <c r="G2332" i="4"/>
  <c r="G2470" i="4"/>
  <c r="G2482" i="4"/>
  <c r="G2518" i="4"/>
  <c r="G2530" i="4"/>
  <c r="G2331" i="4"/>
  <c r="G2379" i="4"/>
  <c r="C2525" i="4"/>
  <c r="B2544" i="4"/>
  <c r="G2330" i="4"/>
  <c r="G2472" i="4"/>
  <c r="G2484" i="4"/>
  <c r="G2514" i="4"/>
  <c r="G2520" i="4"/>
  <c r="G2532" i="4"/>
  <c r="G2329" i="4"/>
  <c r="G2527" i="4"/>
  <c r="G2639" i="4"/>
  <c r="G2642" i="4"/>
  <c r="G2645" i="4"/>
  <c r="G2648" i="4"/>
  <c r="G2651" i="4"/>
  <c r="G2654" i="4"/>
  <c r="G2657" i="4"/>
  <c r="G2708" i="4"/>
  <c r="C2580" i="4"/>
  <c r="C2588" i="4"/>
  <c r="C2594" i="4"/>
  <c r="B2594" i="4"/>
  <c r="C2608" i="4"/>
  <c r="B2608" i="4"/>
  <c r="C2579" i="4"/>
  <c r="C2599" i="4"/>
  <c r="B2599" i="4"/>
  <c r="C2641" i="4"/>
  <c r="C2653" i="4"/>
  <c r="G2665" i="4"/>
  <c r="C2592" i="4"/>
  <c r="C2598" i="4"/>
  <c r="B2598" i="4"/>
  <c r="G2682" i="4"/>
  <c r="G2720" i="4"/>
  <c r="C2585" i="4"/>
  <c r="C2597" i="4"/>
  <c r="G2658" i="4"/>
  <c r="G2625" i="4"/>
  <c r="G2640" i="4"/>
  <c r="G2643" i="4"/>
  <c r="G2646" i="4"/>
  <c r="G2649" i="4"/>
  <c r="G2652" i="4"/>
  <c r="G2655" i="4"/>
  <c r="B2590" i="4"/>
  <c r="C2596" i="4"/>
  <c r="G2610" i="4"/>
  <c r="B2702" i="4"/>
  <c r="G2714" i="4"/>
  <c r="G2816" i="4"/>
  <c r="C2860" i="4"/>
  <c r="B2860" i="4"/>
  <c r="G2773" i="4"/>
  <c r="C2827" i="4"/>
  <c r="B2833" i="4"/>
  <c r="G2840" i="4"/>
  <c r="G2707" i="4"/>
  <c r="G2713" i="4"/>
  <c r="G2719" i="4"/>
  <c r="C2842" i="4"/>
  <c r="B2842" i="4"/>
  <c r="G2729" i="4"/>
  <c r="G2739" i="4"/>
  <c r="C2859" i="4"/>
  <c r="G2706" i="4"/>
  <c r="G2712" i="4"/>
  <c r="G2718" i="4"/>
  <c r="G2772" i="4"/>
  <c r="G2776" i="4"/>
  <c r="G2787" i="4"/>
  <c r="G2795" i="4"/>
  <c r="C2829" i="4"/>
  <c r="C2832" i="4"/>
  <c r="G2705" i="4"/>
  <c r="G2711" i="4"/>
  <c r="G2717" i="4"/>
  <c r="G2738" i="4"/>
  <c r="C2856" i="4"/>
  <c r="C2873" i="4"/>
  <c r="B2873" i="4"/>
  <c r="G2771" i="4"/>
  <c r="G2775" i="4"/>
  <c r="C2905" i="4"/>
  <c r="G2704" i="4"/>
  <c r="G2710" i="4"/>
  <c r="G2716" i="4"/>
  <c r="G2751" i="4"/>
  <c r="G2809" i="4"/>
  <c r="B2861" i="4"/>
  <c r="G2834" i="4"/>
  <c r="B2863" i="4"/>
  <c r="G2864" i="4"/>
  <c r="G2703" i="4"/>
  <c r="G2709" i="4"/>
  <c r="G2715" i="4"/>
  <c r="G2721" i="4"/>
  <c r="G2770" i="4"/>
  <c r="G2774" i="4"/>
  <c r="G2828" i="4"/>
  <c r="G2844" i="4"/>
  <c r="G2869" i="4"/>
  <c r="G2884" i="4"/>
  <c r="B2904" i="4"/>
  <c r="G2866" i="4"/>
  <c r="G2797" i="4"/>
  <c r="G2979" i="4"/>
  <c r="G2865" i="4"/>
  <c r="C2903" i="4"/>
  <c r="B2903" i="4"/>
  <c r="G2936" i="4"/>
  <c r="C2984" i="4"/>
  <c r="C2893" i="4"/>
  <c r="B2893" i="4"/>
  <c r="C2946" i="4"/>
  <c r="G2935" i="4"/>
  <c r="B2985" i="4"/>
  <c r="C2887" i="4"/>
  <c r="G2885" i="4"/>
  <c r="G2950" i="4"/>
  <c r="G2983" i="4"/>
  <c r="G2934" i="4"/>
  <c r="G2944" i="4"/>
  <c r="G2933" i="4"/>
  <c r="G2943" i="4"/>
  <c r="G2932" i="4"/>
  <c r="G2942" i="4"/>
  <c r="G2975" i="4"/>
  <c r="G2992" i="1"/>
  <c r="C2992" i="1" s="1"/>
  <c r="G2961" i="1"/>
  <c r="C2961" i="1" s="1"/>
  <c r="G2963" i="1"/>
  <c r="C2963" i="1" s="1"/>
  <c r="G2991" i="1"/>
  <c r="C2991" i="1" s="1"/>
  <c r="G2892" i="1"/>
  <c r="G2989" i="1"/>
  <c r="G2969" i="1"/>
  <c r="G2964" i="1"/>
  <c r="C2964" i="1" s="1"/>
  <c r="G2909" i="1"/>
  <c r="C2909" i="1" s="1"/>
  <c r="G44" i="1"/>
  <c r="C44" i="1" s="1"/>
  <c r="J2938" i="1"/>
  <c r="K2938" i="1"/>
  <c r="L2938" i="1"/>
  <c r="N2938" i="1" s="1"/>
  <c r="M2938" i="1"/>
  <c r="O2938" i="1" s="1"/>
  <c r="J2941" i="1"/>
  <c r="K2941" i="1"/>
  <c r="L2941" i="1"/>
  <c r="N2941" i="1" s="1"/>
  <c r="M2941" i="1"/>
  <c r="O2941" i="1" s="1"/>
  <c r="J2942" i="1"/>
  <c r="K2942" i="1"/>
  <c r="L2942" i="1"/>
  <c r="N2942" i="1" s="1"/>
  <c r="M2942" i="1"/>
  <c r="O2942" i="1" s="1"/>
  <c r="J2943" i="1"/>
  <c r="K2943" i="1"/>
  <c r="L2943" i="1"/>
  <c r="N2943" i="1" s="1"/>
  <c r="M2943" i="1"/>
  <c r="O2943" i="1" s="1"/>
  <c r="J2944" i="1"/>
  <c r="K2944" i="1"/>
  <c r="L2944" i="1"/>
  <c r="N2944" i="1" s="1"/>
  <c r="M2944" i="1"/>
  <c r="O2944" i="1" s="1"/>
  <c r="J2948" i="1"/>
  <c r="K2948" i="1"/>
  <c r="L2948" i="1"/>
  <c r="N2948" i="1" s="1"/>
  <c r="M2948" i="1"/>
  <c r="O2948" i="1" s="1"/>
  <c r="J2949" i="1"/>
  <c r="K2949" i="1"/>
  <c r="L2949" i="1"/>
  <c r="N2949" i="1" s="1"/>
  <c r="M2949" i="1"/>
  <c r="O2949" i="1" s="1"/>
  <c r="J2960" i="1"/>
  <c r="K2960" i="1"/>
  <c r="L2960" i="1"/>
  <c r="N2960" i="1" s="1"/>
  <c r="M2960" i="1"/>
  <c r="O2960" i="1" s="1"/>
  <c r="J1083" i="1"/>
  <c r="K1083" i="1"/>
  <c r="L1083" i="1"/>
  <c r="N1083" i="1" s="1"/>
  <c r="M1083" i="1"/>
  <c r="O1083" i="1" s="1"/>
  <c r="J2962" i="1"/>
  <c r="K2962" i="1"/>
  <c r="L2962" i="1"/>
  <c r="N2962" i="1" s="1"/>
  <c r="M2962" i="1"/>
  <c r="O2962" i="1" s="1"/>
  <c r="J2975" i="1"/>
  <c r="K2975" i="1"/>
  <c r="L2975" i="1"/>
  <c r="N2975" i="1" s="1"/>
  <c r="M2975" i="1"/>
  <c r="O2975" i="1" s="1"/>
  <c r="J2976" i="1"/>
  <c r="K2976" i="1"/>
  <c r="L2976" i="1"/>
  <c r="N2976" i="1" s="1"/>
  <c r="M2976" i="1"/>
  <c r="O2976" i="1" s="1"/>
  <c r="J2977" i="1"/>
  <c r="K2977" i="1"/>
  <c r="L2977" i="1"/>
  <c r="N2977" i="1" s="1"/>
  <c r="M2977" i="1"/>
  <c r="O2977" i="1" s="1"/>
  <c r="J2978" i="1"/>
  <c r="K2978" i="1"/>
  <c r="L2978" i="1"/>
  <c r="N2978" i="1" s="1"/>
  <c r="M2978" i="1"/>
  <c r="O2978" i="1" s="1"/>
  <c r="J2987" i="1"/>
  <c r="K2987" i="1"/>
  <c r="L2987" i="1"/>
  <c r="N2987" i="1" s="1"/>
  <c r="M2987" i="1"/>
  <c r="O2987" i="1" s="1"/>
  <c r="J2988" i="1"/>
  <c r="K2988" i="1"/>
  <c r="L2988" i="1"/>
  <c r="N2988" i="1" s="1"/>
  <c r="M2988" i="1"/>
  <c r="O2988" i="1" s="1"/>
  <c r="J2727" i="1"/>
  <c r="K2727" i="1"/>
  <c r="L2727" i="1"/>
  <c r="N2727" i="1" s="1"/>
  <c r="M2727" i="1"/>
  <c r="O2727" i="1" s="1"/>
  <c r="J2763" i="1"/>
  <c r="K2763" i="1"/>
  <c r="L2763" i="1"/>
  <c r="N2763" i="1" s="1"/>
  <c r="M2763" i="1"/>
  <c r="O2763" i="1" s="1"/>
  <c r="J2818" i="1"/>
  <c r="K2818" i="1"/>
  <c r="L2818" i="1"/>
  <c r="N2818" i="1" s="1"/>
  <c r="M2818" i="1"/>
  <c r="O2818" i="1" s="1"/>
  <c r="J2844" i="1"/>
  <c r="K2844" i="1"/>
  <c r="L2844" i="1"/>
  <c r="N2844" i="1" s="1"/>
  <c r="M2844" i="1"/>
  <c r="O2844" i="1" s="1"/>
  <c r="J2845" i="1"/>
  <c r="K2845" i="1"/>
  <c r="L2845" i="1"/>
  <c r="N2845" i="1" s="1"/>
  <c r="M2845" i="1"/>
  <c r="O2845" i="1" s="1"/>
  <c r="J2848" i="1"/>
  <c r="K2848" i="1"/>
  <c r="L2848" i="1"/>
  <c r="N2848" i="1" s="1"/>
  <c r="M2848" i="1"/>
  <c r="O2848" i="1" s="1"/>
  <c r="J2851" i="1"/>
  <c r="K2851" i="1"/>
  <c r="L2851" i="1"/>
  <c r="N2851" i="1" s="1"/>
  <c r="M2851" i="1"/>
  <c r="O2851" i="1" s="1"/>
  <c r="J2869" i="1"/>
  <c r="K2869" i="1"/>
  <c r="L2869" i="1"/>
  <c r="N2869" i="1" s="1"/>
  <c r="M2869" i="1"/>
  <c r="O2869" i="1" s="1"/>
  <c r="J2870" i="1"/>
  <c r="K2870" i="1"/>
  <c r="L2870" i="1"/>
  <c r="N2870" i="1" s="1"/>
  <c r="M2870" i="1"/>
  <c r="O2870" i="1" s="1"/>
  <c r="J2871" i="1"/>
  <c r="K2871" i="1"/>
  <c r="L2871" i="1"/>
  <c r="N2871" i="1" s="1"/>
  <c r="M2871" i="1"/>
  <c r="O2871" i="1" s="1"/>
  <c r="J2872" i="1"/>
  <c r="K2872" i="1"/>
  <c r="L2872" i="1"/>
  <c r="N2872" i="1" s="1"/>
  <c r="M2872" i="1"/>
  <c r="O2872" i="1" s="1"/>
  <c r="J2874" i="1"/>
  <c r="K2874" i="1"/>
  <c r="L2874" i="1"/>
  <c r="N2874" i="1" s="1"/>
  <c r="M2874" i="1"/>
  <c r="O2874" i="1" s="1"/>
  <c r="J2875" i="1"/>
  <c r="K2875" i="1"/>
  <c r="L2875" i="1"/>
  <c r="N2875" i="1" s="1"/>
  <c r="M2875" i="1"/>
  <c r="O2875" i="1" s="1"/>
  <c r="J2876" i="1"/>
  <c r="K2876" i="1"/>
  <c r="L2876" i="1"/>
  <c r="N2876" i="1" s="1"/>
  <c r="M2876" i="1"/>
  <c r="O2876" i="1" s="1"/>
  <c r="J2877" i="1"/>
  <c r="K2877" i="1"/>
  <c r="L2877" i="1"/>
  <c r="N2877" i="1" s="1"/>
  <c r="M2877" i="1"/>
  <c r="O2877" i="1" s="1"/>
  <c r="J2878" i="1"/>
  <c r="K2878" i="1"/>
  <c r="L2878" i="1"/>
  <c r="N2878" i="1" s="1"/>
  <c r="M2878" i="1"/>
  <c r="O2878" i="1" s="1"/>
  <c r="J2879" i="1"/>
  <c r="K2879" i="1"/>
  <c r="L2879" i="1"/>
  <c r="N2879" i="1" s="1"/>
  <c r="M2879" i="1"/>
  <c r="O2879" i="1" s="1"/>
  <c r="J2880" i="1"/>
  <c r="K2880" i="1"/>
  <c r="L2880" i="1"/>
  <c r="N2880" i="1" s="1"/>
  <c r="M2880" i="1"/>
  <c r="O2880" i="1" s="1"/>
  <c r="J2881" i="1"/>
  <c r="K2881" i="1"/>
  <c r="L2881" i="1"/>
  <c r="N2881" i="1" s="1"/>
  <c r="M2881" i="1"/>
  <c r="O2881" i="1" s="1"/>
  <c r="D2948" i="1"/>
  <c r="E2948" i="1"/>
  <c r="F2948" i="1"/>
  <c r="D2949" i="1"/>
  <c r="E2949" i="1"/>
  <c r="F2949" i="1"/>
  <c r="D2960" i="1"/>
  <c r="E2960" i="1"/>
  <c r="F2960" i="1"/>
  <c r="J2873" i="1"/>
  <c r="K2873" i="1"/>
  <c r="L2873" i="1"/>
  <c r="N2873" i="1" s="1"/>
  <c r="M2873" i="1"/>
  <c r="O2873" i="1" s="1"/>
  <c r="J2884" i="1"/>
  <c r="K2884" i="1"/>
  <c r="L2884" i="1"/>
  <c r="N2884" i="1" s="1"/>
  <c r="M2884" i="1"/>
  <c r="O2884" i="1" s="1"/>
  <c r="J2885" i="1"/>
  <c r="K2885" i="1"/>
  <c r="L2885" i="1"/>
  <c r="N2885" i="1" s="1"/>
  <c r="M2885" i="1"/>
  <c r="O2885" i="1" s="1"/>
  <c r="J2886" i="1"/>
  <c r="K2886" i="1"/>
  <c r="L2886" i="1"/>
  <c r="N2886" i="1" s="1"/>
  <c r="M2886" i="1"/>
  <c r="O2886" i="1" s="1"/>
  <c r="J2887" i="1"/>
  <c r="K2887" i="1"/>
  <c r="L2887" i="1"/>
  <c r="N2887" i="1" s="1"/>
  <c r="M2887" i="1"/>
  <c r="O2887" i="1" s="1"/>
  <c r="J2888" i="1"/>
  <c r="K2888" i="1"/>
  <c r="L2888" i="1"/>
  <c r="N2888" i="1" s="1"/>
  <c r="M2888" i="1"/>
  <c r="O2888" i="1" s="1"/>
  <c r="J2889" i="1"/>
  <c r="K2889" i="1"/>
  <c r="L2889" i="1"/>
  <c r="N2889" i="1" s="1"/>
  <c r="M2889" i="1"/>
  <c r="O2889" i="1" s="1"/>
  <c r="J2890" i="1"/>
  <c r="K2890" i="1"/>
  <c r="L2890" i="1"/>
  <c r="N2890" i="1" s="1"/>
  <c r="M2890" i="1"/>
  <c r="O2890" i="1" s="1"/>
  <c r="J2916" i="1"/>
  <c r="K2916" i="1"/>
  <c r="L2916" i="1"/>
  <c r="N2916" i="1" s="1"/>
  <c r="M2916" i="1"/>
  <c r="O2916" i="1" s="1"/>
  <c r="J2917" i="1"/>
  <c r="K2917" i="1"/>
  <c r="L2917" i="1"/>
  <c r="N2917" i="1" s="1"/>
  <c r="M2917" i="1"/>
  <c r="O2917" i="1" s="1"/>
  <c r="J2918" i="1"/>
  <c r="K2918" i="1"/>
  <c r="L2918" i="1"/>
  <c r="N2918" i="1" s="1"/>
  <c r="M2918" i="1"/>
  <c r="O2918" i="1" s="1"/>
  <c r="J2919" i="1"/>
  <c r="K2919" i="1"/>
  <c r="L2919" i="1"/>
  <c r="N2919" i="1" s="1"/>
  <c r="M2919" i="1"/>
  <c r="O2919" i="1" s="1"/>
  <c r="J2920" i="1"/>
  <c r="K2920" i="1"/>
  <c r="L2920" i="1"/>
  <c r="N2920" i="1" s="1"/>
  <c r="M2920" i="1"/>
  <c r="O2920" i="1" s="1"/>
  <c r="J2921" i="1"/>
  <c r="K2921" i="1"/>
  <c r="L2921" i="1"/>
  <c r="N2921" i="1" s="1"/>
  <c r="M2921" i="1"/>
  <c r="O2921" i="1" s="1"/>
  <c r="J2922" i="1"/>
  <c r="K2922" i="1"/>
  <c r="L2922" i="1"/>
  <c r="N2922" i="1" s="1"/>
  <c r="M2922" i="1"/>
  <c r="O2922" i="1" s="1"/>
  <c r="J2923" i="1"/>
  <c r="K2923" i="1"/>
  <c r="L2923" i="1"/>
  <c r="N2923" i="1" s="1"/>
  <c r="M2923" i="1"/>
  <c r="O2923" i="1" s="1"/>
  <c r="J2924" i="1"/>
  <c r="K2924" i="1"/>
  <c r="L2924" i="1"/>
  <c r="N2924" i="1" s="1"/>
  <c r="M2924" i="1"/>
  <c r="O2924" i="1" s="1"/>
  <c r="J2925" i="1"/>
  <c r="K2925" i="1"/>
  <c r="L2925" i="1"/>
  <c r="N2925" i="1" s="1"/>
  <c r="M2925" i="1"/>
  <c r="O2925" i="1" s="1"/>
  <c r="J2926" i="1"/>
  <c r="K2926" i="1"/>
  <c r="L2926" i="1"/>
  <c r="N2926" i="1" s="1"/>
  <c r="M2926" i="1"/>
  <c r="O2926" i="1" s="1"/>
  <c r="K2850" i="1"/>
  <c r="L2850" i="1"/>
  <c r="N2850" i="1" s="1"/>
  <c r="M2850" i="1"/>
  <c r="O2850" i="1" s="1"/>
  <c r="K2802" i="1"/>
  <c r="L2802" i="1"/>
  <c r="N2802" i="1" s="1"/>
  <c r="M2802" i="1"/>
  <c r="O2802" i="1" s="1"/>
  <c r="K2843" i="1"/>
  <c r="L2843" i="1"/>
  <c r="N2843" i="1" s="1"/>
  <c r="M2843" i="1"/>
  <c r="O2843" i="1" s="1"/>
  <c r="K2847" i="1"/>
  <c r="L2847" i="1"/>
  <c r="N2847" i="1" s="1"/>
  <c r="M2847" i="1"/>
  <c r="O2847" i="1" s="1"/>
  <c r="K2853" i="1"/>
  <c r="L2853" i="1"/>
  <c r="N2853" i="1" s="1"/>
  <c r="M2853" i="1"/>
  <c r="O2853" i="1" s="1"/>
  <c r="K2854" i="1"/>
  <c r="L2854" i="1"/>
  <c r="N2854" i="1" s="1"/>
  <c r="M2854" i="1"/>
  <c r="O2854" i="1" s="1"/>
  <c r="K2855" i="1"/>
  <c r="L2855" i="1"/>
  <c r="N2855" i="1" s="1"/>
  <c r="M2855" i="1"/>
  <c r="O2855" i="1" s="1"/>
  <c r="K2856" i="1"/>
  <c r="L2856" i="1"/>
  <c r="N2856" i="1" s="1"/>
  <c r="M2856" i="1"/>
  <c r="O2856" i="1" s="1"/>
  <c r="K2857" i="1"/>
  <c r="L2857" i="1"/>
  <c r="N2857" i="1" s="1"/>
  <c r="M2857" i="1"/>
  <c r="O2857" i="1" s="1"/>
  <c r="K2858" i="1"/>
  <c r="L2858" i="1"/>
  <c r="N2858" i="1" s="1"/>
  <c r="M2858" i="1"/>
  <c r="O2858" i="1" s="1"/>
  <c r="K2859" i="1"/>
  <c r="L2859" i="1"/>
  <c r="N2859" i="1" s="1"/>
  <c r="M2859" i="1"/>
  <c r="O2859" i="1" s="1"/>
  <c r="K2860" i="1"/>
  <c r="L2860" i="1"/>
  <c r="N2860" i="1" s="1"/>
  <c r="M2860" i="1"/>
  <c r="O2860" i="1" s="1"/>
  <c r="K2861" i="1"/>
  <c r="L2861" i="1"/>
  <c r="N2861" i="1" s="1"/>
  <c r="M2861" i="1"/>
  <c r="O2861" i="1" s="1"/>
  <c r="K2862" i="1"/>
  <c r="L2862" i="1"/>
  <c r="N2862" i="1" s="1"/>
  <c r="M2862" i="1"/>
  <c r="O2862" i="1" s="1"/>
  <c r="K2863" i="1"/>
  <c r="L2863" i="1"/>
  <c r="N2863" i="1" s="1"/>
  <c r="M2863" i="1"/>
  <c r="O2863" i="1" s="1"/>
  <c r="K2864" i="1"/>
  <c r="L2864" i="1"/>
  <c r="N2864" i="1" s="1"/>
  <c r="M2864" i="1"/>
  <c r="O2864" i="1" s="1"/>
  <c r="K2852" i="1"/>
  <c r="L2852" i="1"/>
  <c r="N2852" i="1" s="1"/>
  <c r="M2852" i="1"/>
  <c r="O2852" i="1" s="1"/>
  <c r="K2865" i="1"/>
  <c r="L2865" i="1"/>
  <c r="N2865" i="1" s="1"/>
  <c r="M2865" i="1"/>
  <c r="O2865" i="1" s="1"/>
  <c r="K2866" i="1"/>
  <c r="L2866" i="1"/>
  <c r="N2866" i="1" s="1"/>
  <c r="M2866" i="1"/>
  <c r="O2866" i="1" s="1"/>
  <c r="K2867" i="1"/>
  <c r="L2867" i="1"/>
  <c r="N2867" i="1" s="1"/>
  <c r="M2867" i="1"/>
  <c r="O2867" i="1" s="1"/>
  <c r="K2868" i="1"/>
  <c r="L2868" i="1"/>
  <c r="N2868" i="1" s="1"/>
  <c r="M2868" i="1"/>
  <c r="O2868" i="1" s="1"/>
  <c r="B34" i="6" l="1"/>
  <c r="C1237" i="6"/>
  <c r="B886" i="6"/>
  <c r="B940" i="6"/>
  <c r="B867" i="6"/>
  <c r="B778" i="6"/>
  <c r="B578" i="6"/>
  <c r="B496" i="6"/>
  <c r="C569" i="6"/>
  <c r="B653" i="6"/>
  <c r="C188" i="6"/>
  <c r="B76" i="6"/>
  <c r="B19" i="6"/>
  <c r="B1309" i="6"/>
  <c r="B1003" i="6"/>
  <c r="B1105" i="6"/>
  <c r="B1256" i="6"/>
  <c r="B277" i="6"/>
  <c r="B140" i="6"/>
  <c r="B1264" i="6"/>
  <c r="B1020" i="6"/>
  <c r="B799" i="6"/>
  <c r="B734" i="6"/>
  <c r="C506" i="6"/>
  <c r="C33" i="6"/>
  <c r="B86" i="6"/>
  <c r="B660" i="6"/>
  <c r="C835" i="6"/>
  <c r="C822" i="6"/>
  <c r="B276" i="6"/>
  <c r="B501" i="6"/>
  <c r="B228" i="6"/>
  <c r="B340" i="6"/>
  <c r="B236" i="6"/>
  <c r="B1234" i="6"/>
  <c r="B1137" i="6"/>
  <c r="B1038" i="6"/>
  <c r="B602" i="6"/>
  <c r="B603" i="6"/>
  <c r="C495" i="6"/>
  <c r="B362" i="6"/>
  <c r="B289" i="6"/>
  <c r="B191" i="6"/>
  <c r="B199" i="6"/>
  <c r="B79" i="6"/>
  <c r="B22" i="6"/>
  <c r="B892" i="6"/>
  <c r="B943" i="6"/>
  <c r="C1301" i="6"/>
  <c r="B1217" i="6"/>
  <c r="B1150" i="6"/>
  <c r="B982" i="6"/>
  <c r="B926" i="6"/>
  <c r="C893" i="6"/>
  <c r="B779" i="6"/>
  <c r="B732" i="6"/>
  <c r="B840" i="6"/>
  <c r="B337" i="6"/>
  <c r="B192" i="6"/>
  <c r="C199" i="6"/>
  <c r="B652" i="6"/>
  <c r="B641" i="6"/>
  <c r="B88" i="6"/>
  <c r="B82" i="6"/>
  <c r="B87" i="6"/>
  <c r="B221" i="6"/>
  <c r="B941" i="6"/>
  <c r="B640" i="6"/>
  <c r="B128" i="6"/>
  <c r="B16" i="6"/>
  <c r="B499" i="6"/>
  <c r="B731" i="6"/>
  <c r="B514" i="6"/>
  <c r="B344" i="6"/>
  <c r="B175" i="6"/>
  <c r="B174" i="6"/>
  <c r="B70" i="6"/>
  <c r="B9" i="6"/>
  <c r="B542" i="6"/>
  <c r="B1006" i="6"/>
  <c r="B835" i="6"/>
  <c r="B535" i="6"/>
  <c r="B361" i="6"/>
  <c r="C104" i="6"/>
  <c r="C70" i="6"/>
  <c r="C1028" i="6"/>
  <c r="B1028" i="6"/>
  <c r="B889" i="6"/>
  <c r="C889" i="6"/>
  <c r="B1115" i="6"/>
  <c r="B942" i="6"/>
  <c r="B1011" i="6"/>
  <c r="B566" i="6"/>
  <c r="B395" i="6"/>
  <c r="B557" i="6"/>
  <c r="B353" i="6"/>
  <c r="B85" i="6"/>
  <c r="B129" i="6"/>
  <c r="C178" i="6"/>
  <c r="C133" i="6"/>
  <c r="B173" i="6"/>
  <c r="B249" i="6"/>
  <c r="B50" i="6"/>
  <c r="C1002" i="6"/>
  <c r="B1002" i="6"/>
  <c r="B1326" i="6"/>
  <c r="B891" i="6"/>
  <c r="B533" i="6"/>
  <c r="C533" i="6"/>
  <c r="B1222" i="6"/>
  <c r="C947" i="6"/>
  <c r="C942" i="6"/>
  <c r="B829" i="6"/>
  <c r="B798" i="6"/>
  <c r="C875" i="6"/>
  <c r="B579" i="6"/>
  <c r="C85" i="6"/>
  <c r="B1313" i="6"/>
  <c r="B1029" i="6"/>
  <c r="C1029" i="6"/>
  <c r="B515" i="6"/>
  <c r="C515" i="6"/>
  <c r="B497" i="6"/>
  <c r="B1094" i="6"/>
  <c r="B1223" i="6"/>
  <c r="B1095" i="6"/>
  <c r="B931" i="6"/>
  <c r="B945" i="6"/>
  <c r="C829" i="6"/>
  <c r="C579" i="6"/>
  <c r="B822" i="6"/>
  <c r="B741" i="6"/>
  <c r="B38" i="6"/>
  <c r="B39" i="6"/>
  <c r="B1297" i="6"/>
  <c r="B500" i="6"/>
  <c r="B1023" i="6"/>
  <c r="B930" i="6"/>
  <c r="B833" i="6"/>
  <c r="B718" i="6"/>
  <c r="C740" i="6"/>
  <c r="B302" i="6"/>
  <c r="C1034" i="6"/>
  <c r="B1034" i="6"/>
  <c r="C1110" i="6"/>
  <c r="B1110" i="6"/>
  <c r="C325" i="6"/>
  <c r="B325" i="6"/>
  <c r="C1264" i="6"/>
  <c r="B1073" i="6"/>
  <c r="B1087" i="6"/>
  <c r="B1041" i="6"/>
  <c r="B301" i="6"/>
  <c r="B592" i="6"/>
  <c r="C592" i="6"/>
  <c r="B1325" i="6"/>
  <c r="C1325" i="6"/>
  <c r="B1098" i="6"/>
  <c r="B897" i="6"/>
  <c r="B1009" i="6"/>
  <c r="B1097" i="6"/>
  <c r="B1010" i="6"/>
  <c r="B787" i="6"/>
  <c r="B821" i="6"/>
  <c r="B135" i="6"/>
  <c r="B84" i="6"/>
  <c r="B36" i="6"/>
  <c r="B979" i="6"/>
  <c r="C979" i="6"/>
  <c r="C1083" i="6"/>
  <c r="B1083" i="6"/>
  <c r="B536" i="6"/>
  <c r="B1114" i="6"/>
  <c r="B920" i="6"/>
  <c r="B849" i="6"/>
  <c r="B37" i="6"/>
  <c r="B83" i="6"/>
  <c r="C1131" i="6"/>
  <c r="B1131" i="6"/>
  <c r="B534" i="6"/>
  <c r="B562" i="6"/>
  <c r="C562" i="6"/>
  <c r="B1276" i="6"/>
  <c r="B1018" i="6"/>
  <c r="B944" i="6"/>
  <c r="C1309" i="6"/>
  <c r="B445" i="6"/>
  <c r="B567" i="6"/>
  <c r="B348" i="6"/>
  <c r="C1099" i="6"/>
  <c r="B1099" i="6"/>
  <c r="B138" i="6"/>
  <c r="B1279" i="6"/>
  <c r="C1279" i="6"/>
  <c r="C1188" i="6"/>
  <c r="B1188" i="6"/>
  <c r="C709" i="6"/>
  <c r="B709" i="6"/>
  <c r="C315" i="6"/>
  <c r="B315" i="6"/>
  <c r="C864" i="6"/>
  <c r="B864" i="6"/>
  <c r="B878" i="6"/>
  <c r="C878" i="6"/>
  <c r="C819" i="6"/>
  <c r="B819" i="6"/>
  <c r="C559" i="6"/>
  <c r="B559" i="6"/>
  <c r="C621" i="6"/>
  <c r="B621" i="6"/>
  <c r="C599" i="6"/>
  <c r="B599" i="6"/>
  <c r="B715" i="6"/>
  <c r="C715" i="6"/>
  <c r="C613" i="6"/>
  <c r="B613" i="6"/>
  <c r="B716" i="6"/>
  <c r="C716" i="6"/>
  <c r="C416" i="6"/>
  <c r="B416" i="6"/>
  <c r="C421" i="6"/>
  <c r="B421" i="6"/>
  <c r="C386" i="6"/>
  <c r="B386" i="6"/>
  <c r="C418" i="6"/>
  <c r="B418" i="6"/>
  <c r="C423" i="6"/>
  <c r="B423" i="6"/>
  <c r="C317" i="6"/>
  <c r="B317" i="6"/>
  <c r="C298" i="6"/>
  <c r="B298" i="6"/>
  <c r="C292" i="6"/>
  <c r="B292" i="6"/>
  <c r="C217" i="6"/>
  <c r="B217" i="6"/>
  <c r="C290" i="6"/>
  <c r="B290" i="6"/>
  <c r="C222" i="6"/>
  <c r="B222" i="6"/>
  <c r="B1310" i="6"/>
  <c r="C1310" i="6"/>
  <c r="C608" i="6"/>
  <c r="B608" i="6"/>
  <c r="C625" i="6"/>
  <c r="B625" i="6"/>
  <c r="C98" i="6"/>
  <c r="B98" i="6"/>
  <c r="B1230" i="6"/>
  <c r="C1230" i="6"/>
  <c r="C1125" i="6"/>
  <c r="B1125" i="6"/>
  <c r="B1271" i="6"/>
  <c r="C1271" i="6"/>
  <c r="B1272" i="6"/>
  <c r="B1263" i="6"/>
  <c r="C1263" i="6"/>
  <c r="C1211" i="6"/>
  <c r="B1211" i="6"/>
  <c r="C1151" i="6"/>
  <c r="B1151" i="6"/>
  <c r="C1039" i="6"/>
  <c r="B1039" i="6"/>
  <c r="C1051" i="6"/>
  <c r="B1051" i="6"/>
  <c r="C984" i="6"/>
  <c r="B984" i="6"/>
  <c r="C854" i="6"/>
  <c r="B854" i="6"/>
  <c r="B874" i="6"/>
  <c r="C874" i="6"/>
  <c r="C783" i="6"/>
  <c r="B783" i="6"/>
  <c r="B859" i="6"/>
  <c r="C805" i="6"/>
  <c r="B805" i="6"/>
  <c r="C781" i="6"/>
  <c r="B781" i="6"/>
  <c r="C708" i="6"/>
  <c r="B708" i="6"/>
  <c r="C672" i="6"/>
  <c r="B672" i="6"/>
  <c r="C451" i="6"/>
  <c r="B451" i="6"/>
  <c r="B726" i="6"/>
  <c r="C726" i="6"/>
  <c r="C596" i="6"/>
  <c r="B596" i="6"/>
  <c r="C609" i="6"/>
  <c r="B609" i="6"/>
  <c r="C703" i="6"/>
  <c r="B703" i="6"/>
  <c r="C587" i="6"/>
  <c r="B587" i="6"/>
  <c r="C782" i="6"/>
  <c r="B782" i="6"/>
  <c r="B636" i="6"/>
  <c r="C636" i="6"/>
  <c r="C695" i="6"/>
  <c r="B695" i="6"/>
  <c r="B491" i="6"/>
  <c r="C491" i="6"/>
  <c r="C412" i="6"/>
  <c r="B412" i="6"/>
  <c r="C391" i="6"/>
  <c r="B391" i="6"/>
  <c r="C417" i="6"/>
  <c r="B417" i="6"/>
  <c r="B493" i="6"/>
  <c r="C493" i="6"/>
  <c r="C414" i="6"/>
  <c r="B414" i="6"/>
  <c r="C419" i="6"/>
  <c r="B419" i="6"/>
  <c r="C305" i="6"/>
  <c r="B305" i="6"/>
  <c r="C354" i="6"/>
  <c r="B354" i="6"/>
  <c r="C338" i="6"/>
  <c r="B338" i="6"/>
  <c r="B877" i="6"/>
  <c r="C877" i="6"/>
  <c r="C392" i="6"/>
  <c r="B392" i="6"/>
  <c r="C427" i="6"/>
  <c r="B427" i="6"/>
  <c r="C1042" i="6"/>
  <c r="B1042" i="6"/>
  <c r="C757" i="6"/>
  <c r="B757" i="6"/>
  <c r="B1267" i="6"/>
  <c r="C1267" i="6"/>
  <c r="B1268" i="6"/>
  <c r="C1268" i="6"/>
  <c r="B1260" i="6"/>
  <c r="C1260" i="6"/>
  <c r="C1116" i="6"/>
  <c r="B1116" i="6"/>
  <c r="C992" i="6"/>
  <c r="B992" i="6"/>
  <c r="C975" i="6"/>
  <c r="B975" i="6"/>
  <c r="C856" i="6"/>
  <c r="B856" i="6"/>
  <c r="C934" i="6"/>
  <c r="B934" i="6"/>
  <c r="B993" i="6"/>
  <c r="C802" i="6"/>
  <c r="B802" i="6"/>
  <c r="C763" i="6"/>
  <c r="B763" i="6"/>
  <c r="C666" i="6"/>
  <c r="B666" i="6"/>
  <c r="B452" i="6"/>
  <c r="C452" i="6"/>
  <c r="C597" i="6"/>
  <c r="B597" i="6"/>
  <c r="C575" i="6"/>
  <c r="B575" i="6"/>
  <c r="B624" i="6"/>
  <c r="C624" i="6"/>
  <c r="C589" i="6"/>
  <c r="B589" i="6"/>
  <c r="C692" i="6"/>
  <c r="B692" i="6"/>
  <c r="B461" i="6"/>
  <c r="C461" i="6"/>
  <c r="C385" i="6"/>
  <c r="B385" i="6"/>
  <c r="C413" i="6"/>
  <c r="B413" i="6"/>
  <c r="C374" i="6"/>
  <c r="B374" i="6"/>
  <c r="B489" i="6"/>
  <c r="C489" i="6"/>
  <c r="C410" i="6"/>
  <c r="B410" i="6"/>
  <c r="C376" i="6"/>
  <c r="B376" i="6"/>
  <c r="C415" i="6"/>
  <c r="B415" i="6"/>
  <c r="C293" i="6"/>
  <c r="B293" i="6"/>
  <c r="C334" i="6"/>
  <c r="B334" i="6"/>
  <c r="C201" i="6"/>
  <c r="B201" i="6"/>
  <c r="B202" i="6"/>
  <c r="C115" i="6"/>
  <c r="B115" i="6"/>
  <c r="C1142" i="6"/>
  <c r="B1142" i="6"/>
  <c r="B721" i="6"/>
  <c r="C721" i="6"/>
  <c r="B1311" i="6"/>
  <c r="C1311" i="6"/>
  <c r="B1285" i="6"/>
  <c r="C1285" i="6"/>
  <c r="B1294" i="6"/>
  <c r="C1294" i="6"/>
  <c r="B1242" i="6"/>
  <c r="C1242" i="6"/>
  <c r="C1127" i="6"/>
  <c r="B1127" i="6"/>
  <c r="C1191" i="6"/>
  <c r="B1191" i="6"/>
  <c r="C1198" i="6"/>
  <c r="B1198" i="6"/>
  <c r="B906" i="6"/>
  <c r="C906" i="6"/>
  <c r="C980" i="6"/>
  <c r="B980" i="6"/>
  <c r="C969" i="6"/>
  <c r="B969" i="6"/>
  <c r="C1052" i="6"/>
  <c r="B1052" i="6"/>
  <c r="C760" i="6"/>
  <c r="B760" i="6"/>
  <c r="C784" i="6"/>
  <c r="B784" i="6"/>
  <c r="C754" i="6"/>
  <c r="B754" i="6"/>
  <c r="C759" i="6"/>
  <c r="B759" i="6"/>
  <c r="C702" i="6"/>
  <c r="B702" i="6"/>
  <c r="C654" i="6"/>
  <c r="B654" i="6"/>
  <c r="C440" i="6"/>
  <c r="B440" i="6"/>
  <c r="C656" i="6"/>
  <c r="B656" i="6"/>
  <c r="C563" i="6"/>
  <c r="B563" i="6"/>
  <c r="B612" i="6"/>
  <c r="C612" i="6"/>
  <c r="C577" i="6"/>
  <c r="B577" i="6"/>
  <c r="C689" i="6"/>
  <c r="B689" i="6"/>
  <c r="B483" i="6"/>
  <c r="C483" i="6"/>
  <c r="C379" i="6"/>
  <c r="B379" i="6"/>
  <c r="C409" i="6"/>
  <c r="B409" i="6"/>
  <c r="C368" i="6"/>
  <c r="B368" i="6"/>
  <c r="B490" i="6"/>
  <c r="C490" i="6"/>
  <c r="C411" i="6"/>
  <c r="B411" i="6"/>
  <c r="B465" i="6"/>
  <c r="C306" i="6"/>
  <c r="B306" i="6"/>
  <c r="C319" i="6"/>
  <c r="B319" i="6"/>
  <c r="B1308" i="6"/>
  <c r="B1290" i="6"/>
  <c r="C1290" i="6"/>
  <c r="B1253" i="6"/>
  <c r="C1253" i="6"/>
  <c r="B1266" i="6"/>
  <c r="C1266" i="6"/>
  <c r="C1203" i="6"/>
  <c r="B1203" i="6"/>
  <c r="B900" i="6"/>
  <c r="C900" i="6"/>
  <c r="C973" i="6"/>
  <c r="B973" i="6"/>
  <c r="C1044" i="6"/>
  <c r="B1044" i="6"/>
  <c r="B910" i="6"/>
  <c r="C910" i="6"/>
  <c r="C865" i="6"/>
  <c r="B865" i="6"/>
  <c r="C977" i="6"/>
  <c r="B977" i="6"/>
  <c r="B978" i="6"/>
  <c r="C946" i="6"/>
  <c r="B946" i="6"/>
  <c r="C841" i="6"/>
  <c r="B841" i="6"/>
  <c r="B746" i="6"/>
  <c r="C746" i="6"/>
  <c r="C811" i="6"/>
  <c r="B811" i="6"/>
  <c r="B879" i="6"/>
  <c r="B747" i="6"/>
  <c r="C747" i="6"/>
  <c r="B981" i="6"/>
  <c r="B748" i="6"/>
  <c r="C748" i="6"/>
  <c r="C642" i="6"/>
  <c r="B642" i="6"/>
  <c r="C655" i="6"/>
  <c r="B655" i="6"/>
  <c r="C573" i="6"/>
  <c r="B573" i="6"/>
  <c r="C694" i="6"/>
  <c r="B694" i="6"/>
  <c r="C468" i="6"/>
  <c r="B468" i="6"/>
  <c r="C565" i="6"/>
  <c r="B565" i="6"/>
  <c r="C686" i="6"/>
  <c r="B686" i="6"/>
  <c r="B479" i="6"/>
  <c r="C479" i="6"/>
  <c r="C466" i="6"/>
  <c r="B466" i="6"/>
  <c r="C373" i="6"/>
  <c r="B373" i="6"/>
  <c r="B462" i="6"/>
  <c r="B481" i="6"/>
  <c r="C481" i="6"/>
  <c r="C402" i="6"/>
  <c r="B402" i="6"/>
  <c r="B717" i="6"/>
  <c r="B486" i="6"/>
  <c r="C486" i="6"/>
  <c r="C335" i="6"/>
  <c r="B335" i="6"/>
  <c r="B336" i="6"/>
  <c r="C294" i="6"/>
  <c r="B294" i="6"/>
  <c r="C10" i="6"/>
  <c r="B10" i="6"/>
  <c r="B155" i="6"/>
  <c r="B99" i="6"/>
  <c r="B1265" i="6"/>
  <c r="C1265" i="6"/>
  <c r="B885" i="6"/>
  <c r="C885" i="6"/>
  <c r="C825" i="6"/>
  <c r="B825" i="6"/>
  <c r="C394" i="6"/>
  <c r="B394" i="6"/>
  <c r="C223" i="6"/>
  <c r="B223" i="6"/>
  <c r="B1304" i="6"/>
  <c r="C1319" i="6"/>
  <c r="B1319" i="6"/>
  <c r="B1277" i="6"/>
  <c r="C1277" i="6"/>
  <c r="B1286" i="6"/>
  <c r="C1286" i="6"/>
  <c r="C1160" i="6"/>
  <c r="B1160" i="6"/>
  <c r="C1224" i="6"/>
  <c r="B1224" i="6"/>
  <c r="C1193" i="6"/>
  <c r="B1193" i="6"/>
  <c r="C1168" i="6"/>
  <c r="B1168" i="6"/>
  <c r="C1157" i="6"/>
  <c r="B1157" i="6"/>
  <c r="B904" i="6"/>
  <c r="C904" i="6"/>
  <c r="C985" i="6"/>
  <c r="B985" i="6"/>
  <c r="B870" i="6"/>
  <c r="C870" i="6"/>
  <c r="C976" i="6"/>
  <c r="B976" i="6"/>
  <c r="B974" i="6"/>
  <c r="C696" i="6"/>
  <c r="B696" i="6"/>
  <c r="C630" i="6"/>
  <c r="B630" i="6"/>
  <c r="C643" i="6"/>
  <c r="B643" i="6"/>
  <c r="C644" i="6"/>
  <c r="B644" i="6"/>
  <c r="C572" i="6"/>
  <c r="B572" i="6"/>
  <c r="C691" i="6"/>
  <c r="B691" i="6"/>
  <c r="B467" i="6"/>
  <c r="C467" i="6"/>
  <c r="B739" i="6"/>
  <c r="C739" i="6"/>
  <c r="B588" i="6"/>
  <c r="C588" i="6"/>
  <c r="C553" i="6"/>
  <c r="B553" i="6"/>
  <c r="C683" i="6"/>
  <c r="B683" i="6"/>
  <c r="B475" i="6"/>
  <c r="C475" i="6"/>
  <c r="B875" i="6"/>
  <c r="B477" i="6"/>
  <c r="C477" i="6"/>
  <c r="B482" i="6"/>
  <c r="C482" i="6"/>
  <c r="C403" i="6"/>
  <c r="B403" i="6"/>
  <c r="B360" i="6"/>
  <c r="C343" i="6"/>
  <c r="B343" i="6"/>
  <c r="C295" i="6"/>
  <c r="B295" i="6"/>
  <c r="B371" i="6"/>
  <c r="C136" i="6"/>
  <c r="B136" i="6"/>
  <c r="B137" i="6"/>
  <c r="B116" i="6"/>
  <c r="C1050" i="6"/>
  <c r="B1050" i="6"/>
  <c r="C633" i="6"/>
  <c r="B633" i="6"/>
  <c r="B1300" i="6"/>
  <c r="B1273" i="6"/>
  <c r="C1273" i="6"/>
  <c r="B1243" i="6"/>
  <c r="C1169" i="6"/>
  <c r="B1169" i="6"/>
  <c r="C1206" i="6"/>
  <c r="B1206" i="6"/>
  <c r="B1207" i="6"/>
  <c r="C1139" i="6"/>
  <c r="B1139" i="6"/>
  <c r="C961" i="6"/>
  <c r="B961" i="6"/>
  <c r="B898" i="6"/>
  <c r="C898" i="6"/>
  <c r="C1056" i="6"/>
  <c r="B1056" i="6"/>
  <c r="C938" i="6"/>
  <c r="B938" i="6"/>
  <c r="C970" i="6"/>
  <c r="B970" i="6"/>
  <c r="B883" i="6"/>
  <c r="C883" i="6"/>
  <c r="C936" i="6"/>
  <c r="B936" i="6"/>
  <c r="C693" i="6"/>
  <c r="B693" i="6"/>
  <c r="C631" i="6"/>
  <c r="B631" i="6"/>
  <c r="B722" i="6"/>
  <c r="C722" i="6"/>
  <c r="C688" i="6"/>
  <c r="B688" i="6"/>
  <c r="C444" i="6"/>
  <c r="B444" i="6"/>
  <c r="B755" i="6"/>
  <c r="B576" i="6"/>
  <c r="C576" i="6"/>
  <c r="C458" i="6"/>
  <c r="B458" i="6"/>
  <c r="C390" i="6"/>
  <c r="B390" i="6"/>
  <c r="C442" i="6"/>
  <c r="B442" i="6"/>
  <c r="B842" i="6"/>
  <c r="B473" i="6"/>
  <c r="C473" i="6"/>
  <c r="C393" i="6"/>
  <c r="B393" i="6"/>
  <c r="B478" i="6"/>
  <c r="C478" i="6"/>
  <c r="C326" i="6"/>
  <c r="B326" i="6"/>
  <c r="B339" i="6"/>
  <c r="B242" i="6"/>
  <c r="B321" i="6"/>
  <c r="B357" i="6"/>
  <c r="C122" i="6"/>
  <c r="B122" i="6"/>
  <c r="C143" i="6"/>
  <c r="B143" i="6"/>
  <c r="B882" i="6"/>
  <c r="C882" i="6"/>
  <c r="C764" i="6"/>
  <c r="B764" i="6"/>
  <c r="C673" i="6"/>
  <c r="B673" i="6"/>
  <c r="C310" i="6"/>
  <c r="B310" i="6"/>
  <c r="B1296" i="6"/>
  <c r="B1269" i="6"/>
  <c r="C1269" i="6"/>
  <c r="C1154" i="6"/>
  <c r="B1154" i="6"/>
  <c r="B1183" i="6"/>
  <c r="C1106" i="6"/>
  <c r="B1106" i="6"/>
  <c r="B1107" i="6"/>
  <c r="B1082" i="6"/>
  <c r="B937" i="6"/>
  <c r="C853" i="6"/>
  <c r="B853" i="6"/>
  <c r="C935" i="6"/>
  <c r="B935" i="6"/>
  <c r="C964" i="6"/>
  <c r="B964" i="6"/>
  <c r="C971" i="6"/>
  <c r="B971" i="6"/>
  <c r="B972" i="6"/>
  <c r="B868" i="6"/>
  <c r="C868" i="6"/>
  <c r="C690" i="6"/>
  <c r="B690" i="6"/>
  <c r="C606" i="6"/>
  <c r="B606" i="6"/>
  <c r="C619" i="6"/>
  <c r="B619" i="6"/>
  <c r="C632" i="6"/>
  <c r="B632" i="6"/>
  <c r="C560" i="6"/>
  <c r="B560" i="6"/>
  <c r="B714" i="6"/>
  <c r="C714" i="6"/>
  <c r="C685" i="6"/>
  <c r="B685" i="6"/>
  <c r="B443" i="6"/>
  <c r="C443" i="6"/>
  <c r="B564" i="6"/>
  <c r="C564" i="6"/>
  <c r="B752" i="6"/>
  <c r="C752" i="6"/>
  <c r="C677" i="6"/>
  <c r="B677" i="6"/>
  <c r="C436" i="6"/>
  <c r="B436" i="6"/>
  <c r="B610" i="6"/>
  <c r="C438" i="6"/>
  <c r="B438" i="6"/>
  <c r="B474" i="6"/>
  <c r="C474" i="6"/>
  <c r="C296" i="6"/>
  <c r="B296" i="6"/>
  <c r="C309" i="6"/>
  <c r="B309" i="6"/>
  <c r="C216" i="6"/>
  <c r="B216" i="6"/>
  <c r="C149" i="6"/>
  <c r="B149" i="6"/>
  <c r="C142" i="6"/>
  <c r="B142" i="6"/>
  <c r="C1069" i="6"/>
  <c r="B1069" i="6"/>
  <c r="C837" i="6"/>
  <c r="B837" i="6"/>
  <c r="C611" i="6"/>
  <c r="B611" i="6"/>
  <c r="B1291" i="6"/>
  <c r="C1291" i="6"/>
  <c r="B1292" i="6"/>
  <c r="B1237" i="6"/>
  <c r="C1205" i="6"/>
  <c r="B1205" i="6"/>
  <c r="C1155" i="6"/>
  <c r="B1155" i="6"/>
  <c r="B1199" i="6"/>
  <c r="B1140" i="6"/>
  <c r="B902" i="6"/>
  <c r="C902" i="6"/>
  <c r="C1045" i="6"/>
  <c r="B1045" i="6"/>
  <c r="C1101" i="6"/>
  <c r="B1101" i="6"/>
  <c r="C687" i="6"/>
  <c r="B687" i="6"/>
  <c r="C594" i="6"/>
  <c r="B594" i="6"/>
  <c r="C607" i="6"/>
  <c r="B607" i="6"/>
  <c r="B820" i="6"/>
  <c r="B626" i="6"/>
  <c r="C682" i="6"/>
  <c r="B682" i="6"/>
  <c r="C647" i="6"/>
  <c r="B647" i="6"/>
  <c r="B871" i="6"/>
  <c r="B552" i="6"/>
  <c r="C552" i="6"/>
  <c r="C661" i="6"/>
  <c r="B661" i="6"/>
  <c r="C378" i="6"/>
  <c r="B378" i="6"/>
  <c r="B561" i="6"/>
  <c r="C437" i="6"/>
  <c r="B437" i="6"/>
  <c r="C381" i="6"/>
  <c r="B381" i="6"/>
  <c r="C297" i="6"/>
  <c r="B297" i="6"/>
  <c r="B441" i="6"/>
  <c r="C284" i="6"/>
  <c r="B284" i="6"/>
  <c r="C300" i="6"/>
  <c r="B300" i="6"/>
  <c r="C210" i="6"/>
  <c r="B210" i="6"/>
  <c r="B1241" i="6"/>
  <c r="C1241" i="6"/>
  <c r="C571" i="6"/>
  <c r="B571" i="6"/>
  <c r="B1287" i="6"/>
  <c r="C1287" i="6"/>
  <c r="B1270" i="6"/>
  <c r="C1270" i="6"/>
  <c r="B1259" i="6"/>
  <c r="C1259" i="6"/>
  <c r="B1212" i="6"/>
  <c r="C1148" i="6"/>
  <c r="B1148" i="6"/>
  <c r="C1149" i="6"/>
  <c r="B1149" i="6"/>
  <c r="B1204" i="6"/>
  <c r="C1075" i="6"/>
  <c r="B1075" i="6"/>
  <c r="B901" i="6"/>
  <c r="C901" i="6"/>
  <c r="B1040" i="6"/>
  <c r="B887" i="6"/>
  <c r="C887" i="6"/>
  <c r="B911" i="6"/>
  <c r="C911" i="6"/>
  <c r="B947" i="6"/>
  <c r="B905" i="6"/>
  <c r="C905" i="6"/>
  <c r="C1032" i="6"/>
  <c r="B1032" i="6"/>
  <c r="B826" i="6"/>
  <c r="C684" i="6"/>
  <c r="B684" i="6"/>
  <c r="C582" i="6"/>
  <c r="B582" i="6"/>
  <c r="C595" i="6"/>
  <c r="B595" i="6"/>
  <c r="C620" i="6"/>
  <c r="B620" i="6"/>
  <c r="C657" i="6"/>
  <c r="B657" i="6"/>
  <c r="C635" i="6"/>
  <c r="B635" i="6"/>
  <c r="C649" i="6"/>
  <c r="B649" i="6"/>
  <c r="B745" i="6"/>
  <c r="C745" i="6"/>
  <c r="C428" i="6"/>
  <c r="B428" i="6"/>
  <c r="C372" i="6"/>
  <c r="B372" i="6"/>
  <c r="C375" i="6"/>
  <c r="B375" i="6"/>
  <c r="C460" i="6"/>
  <c r="B460" i="6"/>
  <c r="C342" i="6"/>
  <c r="B342" i="6"/>
  <c r="C346" i="6"/>
  <c r="B346" i="6"/>
  <c r="B291" i="6"/>
  <c r="C311" i="6"/>
  <c r="B311" i="6"/>
  <c r="C332" i="6"/>
  <c r="B332" i="6"/>
  <c r="C365" i="6"/>
  <c r="B365" i="6"/>
  <c r="B377" i="6"/>
  <c r="B218" i="6"/>
  <c r="B1280" i="6"/>
  <c r="B863" i="6"/>
  <c r="C558" i="6"/>
  <c r="B558" i="6"/>
  <c r="C420" i="6"/>
  <c r="B420" i="6"/>
  <c r="C422" i="6"/>
  <c r="B422" i="6"/>
  <c r="B1227" i="6"/>
  <c r="B1257" i="6"/>
  <c r="C1257" i="6"/>
  <c r="C1143" i="6"/>
  <c r="B1143" i="6"/>
  <c r="C1187" i="6"/>
  <c r="B1187" i="6"/>
  <c r="B1152" i="6"/>
  <c r="B1077" i="6"/>
  <c r="B895" i="6"/>
  <c r="C895" i="6"/>
  <c r="B1189" i="6"/>
  <c r="B1053" i="6"/>
  <c r="C866" i="6"/>
  <c r="B866" i="6"/>
  <c r="B1043" i="6"/>
  <c r="B838" i="6"/>
  <c r="C681" i="6"/>
  <c r="B681" i="6"/>
  <c r="C570" i="6"/>
  <c r="B570" i="6"/>
  <c r="C583" i="6"/>
  <c r="B583" i="6"/>
  <c r="C645" i="6"/>
  <c r="B645" i="6"/>
  <c r="C817" i="6"/>
  <c r="B817" i="6"/>
  <c r="C623" i="6"/>
  <c r="B623" i="6"/>
  <c r="B869" i="6"/>
  <c r="C637" i="6"/>
  <c r="B637" i="6"/>
  <c r="C554" i="6"/>
  <c r="B554" i="6"/>
  <c r="B555" i="6"/>
  <c r="C366" i="6"/>
  <c r="B366" i="6"/>
  <c r="B492" i="6"/>
  <c r="C429" i="6"/>
  <c r="B429" i="6"/>
  <c r="B574" i="6"/>
  <c r="C426" i="6"/>
  <c r="B426" i="6"/>
  <c r="C369" i="6"/>
  <c r="B369" i="6"/>
  <c r="B658" i="6"/>
  <c r="C349" i="6"/>
  <c r="B349" i="6"/>
  <c r="C331" i="6"/>
  <c r="B331" i="6"/>
  <c r="C299" i="6"/>
  <c r="B299" i="6"/>
  <c r="C316" i="6"/>
  <c r="B316" i="6"/>
  <c r="B327" i="6"/>
  <c r="C287" i="6"/>
  <c r="B287" i="6"/>
  <c r="B333" i="6"/>
  <c r="B97" i="6"/>
  <c r="C97" i="6"/>
  <c r="B2585" i="4"/>
  <c r="B2579" i="4"/>
  <c r="C1315" i="4"/>
  <c r="C882" i="4"/>
  <c r="B2161" i="4"/>
  <c r="C1888" i="4"/>
  <c r="C2161" i="4"/>
  <c r="B2115" i="4"/>
  <c r="B2094" i="4"/>
  <c r="B1817" i="4"/>
  <c r="C1625" i="4"/>
  <c r="B2841" i="4"/>
  <c r="C1817" i="4"/>
  <c r="B1379" i="4"/>
  <c r="B2853" i="4"/>
  <c r="B2859" i="4"/>
  <c r="B2525" i="4"/>
  <c r="B1798" i="4"/>
  <c r="B1751" i="4"/>
  <c r="B864" i="4"/>
  <c r="B1931" i="4"/>
  <c r="C2034" i="4"/>
  <c r="B2837" i="4"/>
  <c r="B2687" i="4"/>
  <c r="C2587" i="4"/>
  <c r="C2119" i="4"/>
  <c r="B2188" i="4"/>
  <c r="B1964" i="4"/>
  <c r="B2962" i="4"/>
  <c r="B2588" i="4"/>
  <c r="B2408" i="4"/>
  <c r="B2939" i="4"/>
  <c r="B2042" i="4"/>
  <c r="B1769" i="4"/>
  <c r="B1920" i="4"/>
  <c r="C2586" i="4"/>
  <c r="B2632" i="4"/>
  <c r="B1963" i="4"/>
  <c r="C1146" i="4"/>
  <c r="B565" i="4"/>
  <c r="B1296" i="4"/>
  <c r="B2528" i="4"/>
  <c r="B1483" i="4"/>
  <c r="B1556" i="4"/>
  <c r="C2403" i="4"/>
  <c r="B2390" i="4"/>
  <c r="C1706" i="4"/>
  <c r="C1686" i="4"/>
  <c r="C2407" i="4"/>
  <c r="B2400" i="4"/>
  <c r="B1001" i="4"/>
  <c r="B2592" i="4"/>
  <c r="B2887" i="4"/>
  <c r="B2404" i="4"/>
  <c r="B1879" i="4"/>
  <c r="B2529" i="4"/>
  <c r="B2838" i="4"/>
  <c r="B2827" i="4"/>
  <c r="B1782" i="4"/>
  <c r="B567" i="4"/>
  <c r="B2938" i="4"/>
  <c r="B2392" i="4"/>
  <c r="C2938" i="4"/>
  <c r="B2088" i="4"/>
  <c r="B1781" i="4"/>
  <c r="B1369" i="4"/>
  <c r="B1222" i="4"/>
  <c r="B2891" i="4"/>
  <c r="B2874" i="4"/>
  <c r="B2253" i="4"/>
  <c r="B1968" i="4"/>
  <c r="C2022" i="4"/>
  <c r="B1052" i="4"/>
  <c r="B2886" i="4"/>
  <c r="B2730" i="4"/>
  <c r="B566" i="4"/>
  <c r="B2850" i="4"/>
  <c r="B2477" i="4"/>
  <c r="B2481" i="4"/>
  <c r="B615" i="4"/>
  <c r="C69" i="4"/>
  <c r="B2584" i="4"/>
  <c r="B2593" i="4"/>
  <c r="B2050" i="4"/>
  <c r="B2836" i="4"/>
  <c r="C2838" i="4"/>
  <c r="B2480" i="4"/>
  <c r="C1543" i="4"/>
  <c r="B2986" i="4"/>
  <c r="B2401" i="4"/>
  <c r="C2115" i="4"/>
  <c r="C1697" i="4"/>
  <c r="B488" i="4"/>
  <c r="B2028" i="4"/>
  <c r="B1949" i="4"/>
  <c r="B2647" i="4"/>
  <c r="C2401" i="4"/>
  <c r="B2135" i="4"/>
  <c r="B1793" i="4"/>
  <c r="B1606" i="4"/>
  <c r="B1418" i="4"/>
  <c r="B487" i="4"/>
  <c r="B1459" i="4"/>
  <c r="B309" i="4"/>
  <c r="B2830" i="4"/>
  <c r="B1794" i="4"/>
  <c r="B1795" i="4"/>
  <c r="B1904" i="4"/>
  <c r="B2852" i="4"/>
  <c r="C1335" i="4"/>
  <c r="B2829" i="4"/>
  <c r="B2545" i="4"/>
  <c r="B1712" i="4"/>
  <c r="B395" i="4"/>
  <c r="B70" i="4"/>
  <c r="B1945" i="4"/>
  <c r="B2644" i="4"/>
  <c r="B2862" i="4"/>
  <c r="C880" i="4"/>
  <c r="B1858" i="4"/>
  <c r="B1840" i="4"/>
  <c r="B1611" i="4"/>
  <c r="B1060" i="4"/>
  <c r="B1150" i="4"/>
  <c r="B393" i="4"/>
  <c r="B2597" i="4"/>
  <c r="B2981" i="4"/>
  <c r="B1304" i="4"/>
  <c r="C1378" i="4"/>
  <c r="C1139" i="4"/>
  <c r="C2404" i="4"/>
  <c r="C2855" i="4"/>
  <c r="B2257" i="4"/>
  <c r="B2027" i="4"/>
  <c r="C1867" i="4"/>
  <c r="B1467" i="4"/>
  <c r="B1137" i="4"/>
  <c r="B2946" i="4"/>
  <c r="B2111" i="4"/>
  <c r="B2026" i="4"/>
  <c r="C1291" i="4"/>
  <c r="C2861" i="4"/>
  <c r="C2393" i="4"/>
  <c r="B2831" i="4"/>
  <c r="C2494" i="4"/>
  <c r="B2393" i="4"/>
  <c r="C2028" i="4"/>
  <c r="C1948" i="4"/>
  <c r="B1632" i="4"/>
  <c r="B1048" i="4"/>
  <c r="B2130" i="4"/>
  <c r="B2389" i="4"/>
  <c r="B2591" i="4"/>
  <c r="B2982" i="4"/>
  <c r="B2839" i="4"/>
  <c r="C2831" i="4"/>
  <c r="B2857" i="4"/>
  <c r="B2089" i="4"/>
  <c r="B2198" i="4"/>
  <c r="B284" i="4"/>
  <c r="B2968" i="4"/>
  <c r="B2229" i="4"/>
  <c r="B2284" i="4"/>
  <c r="B2112" i="4"/>
  <c r="C2968" i="4"/>
  <c r="B2519" i="4"/>
  <c r="B2258" i="4"/>
  <c r="B1766" i="4"/>
  <c r="C2256" i="4"/>
  <c r="B2196" i="4"/>
  <c r="B804" i="4"/>
  <c r="B2650" i="4"/>
  <c r="B2699" i="4"/>
  <c r="B1721" i="4"/>
  <c r="B1141" i="4"/>
  <c r="C1541" i="4"/>
  <c r="B1541" i="4"/>
  <c r="B2953" i="4"/>
  <c r="B2120" i="4"/>
  <c r="C2129" i="4"/>
  <c r="C1224" i="4"/>
  <c r="B1236" i="4"/>
  <c r="B2826" i="4"/>
  <c r="C2826" i="4"/>
  <c r="C423" i="4"/>
  <c r="B423" i="4"/>
  <c r="B2894" i="4"/>
  <c r="B2855" i="4"/>
  <c r="B2814" i="4"/>
  <c r="B2854" i="4"/>
  <c r="B2054" i="4"/>
  <c r="B2388" i="4"/>
  <c r="B1743" i="4"/>
  <c r="B2007" i="4"/>
  <c r="C2007" i="4"/>
  <c r="B2066" i="4"/>
  <c r="C2388" i="4"/>
  <c r="C1142" i="4"/>
  <c r="B1142" i="4"/>
  <c r="B2029" i="4"/>
  <c r="C2029" i="4"/>
  <c r="C2030" i="4"/>
  <c r="B2030" i="4"/>
  <c r="B2905" i="4"/>
  <c r="B1948" i="4"/>
  <c r="B2589" i="4"/>
  <c r="C1719" i="4"/>
  <c r="B1399" i="4"/>
  <c r="C1052" i="4"/>
  <c r="B1235" i="4"/>
  <c r="B568" i="4"/>
  <c r="C2825" i="4"/>
  <c r="B2825" i="4"/>
  <c r="B1036" i="4"/>
  <c r="C1036" i="4"/>
  <c r="C2590" i="4"/>
  <c r="B2858" i="4"/>
  <c r="B790" i="4"/>
  <c r="C2804" i="4"/>
  <c r="B2804" i="4"/>
  <c r="C963" i="4"/>
  <c r="B963" i="4"/>
  <c r="C70" i="4"/>
  <c r="B1458" i="4"/>
  <c r="C1458" i="4"/>
  <c r="B2398" i="4"/>
  <c r="C2201" i="4"/>
  <c r="B2201" i="4"/>
  <c r="B2931" i="4"/>
  <c r="C2931" i="4"/>
  <c r="B1555" i="4"/>
  <c r="C1555" i="4"/>
  <c r="B2399" i="4"/>
  <c r="C2386" i="4"/>
  <c r="B2386" i="4"/>
  <c r="C2967" i="4"/>
  <c r="B2967" i="4"/>
  <c r="B2911" i="4"/>
  <c r="B2849" i="4"/>
  <c r="B2941" i="4"/>
  <c r="C2941" i="4"/>
  <c r="C2736" i="4"/>
  <c r="B2736" i="4"/>
  <c r="B1310" i="4"/>
  <c r="C2935" i="4"/>
  <c r="B2935" i="4"/>
  <c r="C2640" i="4"/>
  <c r="B2640" i="4"/>
  <c r="C2648" i="4"/>
  <c r="B2648" i="4"/>
  <c r="C2523" i="4"/>
  <c r="B2523" i="4"/>
  <c r="C2521" i="4"/>
  <c r="B2521" i="4"/>
  <c r="C2362" i="4"/>
  <c r="B2362" i="4"/>
  <c r="B2265" i="4"/>
  <c r="C2265" i="4"/>
  <c r="C2305" i="4"/>
  <c r="B2305" i="4"/>
  <c r="C2190" i="4"/>
  <c r="B2190" i="4"/>
  <c r="B1672" i="4"/>
  <c r="C1672" i="4"/>
  <c r="C1619" i="4"/>
  <c r="B1619" i="4"/>
  <c r="C1387" i="4"/>
  <c r="B1387" i="4"/>
  <c r="C1232" i="4"/>
  <c r="B1232" i="4"/>
  <c r="C1233" i="4"/>
  <c r="B1233" i="4"/>
  <c r="C718" i="4"/>
  <c r="B718" i="4"/>
  <c r="H3" i="4"/>
  <c r="C2975" i="4"/>
  <c r="B2975" i="4"/>
  <c r="C2834" i="4"/>
  <c r="B2834" i="4"/>
  <c r="C2738" i="4"/>
  <c r="B2738" i="4"/>
  <c r="C2625" i="4"/>
  <c r="B2625" i="4"/>
  <c r="C2645" i="4"/>
  <c r="B2645" i="4"/>
  <c r="B2329" i="4"/>
  <c r="C2329" i="4"/>
  <c r="C2515" i="4"/>
  <c r="B2515" i="4"/>
  <c r="C2267" i="4"/>
  <c r="B2267" i="4"/>
  <c r="C2179" i="4"/>
  <c r="B2179" i="4"/>
  <c r="C2154" i="4"/>
  <c r="B2154" i="4"/>
  <c r="B2134" i="4"/>
  <c r="C2134" i="4"/>
  <c r="B2186" i="4"/>
  <c r="C2186" i="4"/>
  <c r="C1620" i="4"/>
  <c r="B1620" i="4"/>
  <c r="C1623" i="4"/>
  <c r="B1623" i="4"/>
  <c r="C1552" i="4"/>
  <c r="B1552" i="4"/>
  <c r="C1377" i="4"/>
  <c r="B1377" i="4"/>
  <c r="C1058" i="4"/>
  <c r="B1058" i="4"/>
  <c r="C1057" i="4"/>
  <c r="B1057" i="4"/>
  <c r="B729" i="4"/>
  <c r="C729" i="4"/>
  <c r="B2797" i="4"/>
  <c r="C2797" i="4"/>
  <c r="C2717" i="4"/>
  <c r="B2717" i="4"/>
  <c r="C2658" i="4"/>
  <c r="B2658" i="4"/>
  <c r="C2642" i="4"/>
  <c r="B2642" i="4"/>
  <c r="C2532" i="4"/>
  <c r="B2532" i="4"/>
  <c r="C2475" i="4"/>
  <c r="B2475" i="4"/>
  <c r="C2497" i="4"/>
  <c r="B2497" i="4"/>
  <c r="C2324" i="4"/>
  <c r="B2324" i="4"/>
  <c r="C2045" i="4"/>
  <c r="B2045" i="4"/>
  <c r="C2098" i="4"/>
  <c r="B2098" i="4"/>
  <c r="C2127" i="4"/>
  <c r="B2127" i="4"/>
  <c r="C2046" i="4"/>
  <c r="B2046" i="4"/>
  <c r="C2132" i="4"/>
  <c r="B2132" i="4"/>
  <c r="C1553" i="4"/>
  <c r="B1553" i="4"/>
  <c r="B1649" i="4"/>
  <c r="C1516" i="4"/>
  <c r="B1516" i="4"/>
  <c r="C1464" i="4"/>
  <c r="B1464" i="4"/>
  <c r="C1047" i="4"/>
  <c r="B1047" i="4"/>
  <c r="C400" i="4"/>
  <c r="B400" i="4"/>
  <c r="C586" i="4"/>
  <c r="B586" i="4"/>
  <c r="C2942" i="4"/>
  <c r="B2942" i="4"/>
  <c r="C2775" i="4"/>
  <c r="B2775" i="4"/>
  <c r="C2711" i="4"/>
  <c r="B2711" i="4"/>
  <c r="C2719" i="4"/>
  <c r="B2719" i="4"/>
  <c r="C2639" i="4"/>
  <c r="B2639" i="4"/>
  <c r="C2520" i="4"/>
  <c r="B2520" i="4"/>
  <c r="C2379" i="4"/>
  <c r="B2379" i="4"/>
  <c r="C2485" i="4"/>
  <c r="B2485" i="4"/>
  <c r="C2321" i="4"/>
  <c r="B2321" i="4"/>
  <c r="B2203" i="4"/>
  <c r="C1988" i="4"/>
  <c r="B1988" i="4"/>
  <c r="C2075" i="4"/>
  <c r="B2075" i="4"/>
  <c r="C1973" i="4"/>
  <c r="B1973" i="4"/>
  <c r="B1950" i="4"/>
  <c r="C1950" i="4"/>
  <c r="C1930" i="4"/>
  <c r="B1930" i="4"/>
  <c r="C1800" i="4"/>
  <c r="B1800" i="4"/>
  <c r="C1583" i="4"/>
  <c r="B1583" i="4"/>
  <c r="C1542" i="4"/>
  <c r="B1542" i="4"/>
  <c r="B1543" i="4"/>
  <c r="B1221" i="4"/>
  <c r="C1147" i="4"/>
  <c r="B1147" i="4"/>
  <c r="C645" i="4"/>
  <c r="B645" i="4"/>
  <c r="C2932" i="4"/>
  <c r="B2932" i="4"/>
  <c r="C2885" i="4"/>
  <c r="B2885" i="4"/>
  <c r="C2866" i="4"/>
  <c r="B2866" i="4"/>
  <c r="C2828" i="4"/>
  <c r="B2828" i="4"/>
  <c r="C2771" i="4"/>
  <c r="B2771" i="4"/>
  <c r="C2705" i="4"/>
  <c r="B2705" i="4"/>
  <c r="C2795" i="4"/>
  <c r="B2795" i="4"/>
  <c r="C2713" i="4"/>
  <c r="B2713" i="4"/>
  <c r="C2514" i="4"/>
  <c r="B2514" i="4"/>
  <c r="C2331" i="4"/>
  <c r="B2331" i="4"/>
  <c r="C2369" i="4"/>
  <c r="B2369" i="4"/>
  <c r="C2483" i="4"/>
  <c r="B2483" i="4"/>
  <c r="C2318" i="4"/>
  <c r="B2318" i="4"/>
  <c r="C2264" i="4"/>
  <c r="B2264" i="4"/>
  <c r="C2062" i="4"/>
  <c r="B2062" i="4"/>
  <c r="C1961" i="4"/>
  <c r="B1961" i="4"/>
  <c r="C1863" i="4"/>
  <c r="B1863" i="4"/>
  <c r="C1946" i="4"/>
  <c r="B1946" i="4"/>
  <c r="C1962" i="4"/>
  <c r="B1962" i="4"/>
  <c r="C1954" i="4"/>
  <c r="B1954" i="4"/>
  <c r="B1627" i="4"/>
  <c r="C1482" i="4"/>
  <c r="B1482" i="4"/>
  <c r="C1452" i="4"/>
  <c r="B1452" i="4"/>
  <c r="C1450" i="4"/>
  <c r="B1450" i="4"/>
  <c r="B1494" i="4"/>
  <c r="C1494" i="4"/>
  <c r="C1451" i="4"/>
  <c r="B1451" i="4"/>
  <c r="C966" i="4"/>
  <c r="B966" i="4"/>
  <c r="C1094" i="4"/>
  <c r="B1094" i="4"/>
  <c r="C1300" i="4"/>
  <c r="B1300" i="4"/>
  <c r="C1143" i="4"/>
  <c r="B1143" i="4"/>
  <c r="C569" i="4"/>
  <c r="B569" i="4"/>
  <c r="C2707" i="4"/>
  <c r="B2707" i="4"/>
  <c r="C2816" i="4"/>
  <c r="B2816" i="4"/>
  <c r="C2484" i="4"/>
  <c r="B2484" i="4"/>
  <c r="C2530" i="4"/>
  <c r="B2530" i="4"/>
  <c r="C2333" i="4"/>
  <c r="B2333" i="4"/>
  <c r="C2467" i="4"/>
  <c r="B2467" i="4"/>
  <c r="C2471" i="4"/>
  <c r="B2471" i="4"/>
  <c r="C2534" i="4"/>
  <c r="B2534" i="4"/>
  <c r="C2315" i="4"/>
  <c r="B2315" i="4"/>
  <c r="B2316" i="4"/>
  <c r="C2266" i="4"/>
  <c r="B2266" i="4"/>
  <c r="C2061" i="4"/>
  <c r="B2061" i="4"/>
  <c r="C2035" i="4"/>
  <c r="B2035" i="4"/>
  <c r="C2078" i="4"/>
  <c r="B2078" i="4"/>
  <c r="C1845" i="4"/>
  <c r="B1845" i="4"/>
  <c r="C1932" i="4"/>
  <c r="B1932" i="4"/>
  <c r="B1710" i="4"/>
  <c r="C1710" i="4"/>
  <c r="C1496" i="4"/>
  <c r="B1496" i="4"/>
  <c r="B1711" i="4"/>
  <c r="C1380" i="4"/>
  <c r="B1380" i="4"/>
  <c r="C1330" i="4"/>
  <c r="B1330" i="4"/>
  <c r="C1045" i="4"/>
  <c r="B1045" i="4"/>
  <c r="C803" i="4"/>
  <c r="B803" i="4"/>
  <c r="C489" i="4"/>
  <c r="B489" i="4"/>
  <c r="B397" i="4"/>
  <c r="C2933" i="4"/>
  <c r="B2933" i="4"/>
  <c r="C2884" i="4"/>
  <c r="B2884" i="4"/>
  <c r="C2770" i="4"/>
  <c r="B2770" i="4"/>
  <c r="C2809" i="4"/>
  <c r="B2809" i="4"/>
  <c r="B2776" i="4"/>
  <c r="C2776" i="4"/>
  <c r="C2739" i="4"/>
  <c r="B2739" i="4"/>
  <c r="C2840" i="4"/>
  <c r="B2840" i="4"/>
  <c r="C2714" i="4"/>
  <c r="B2714" i="4"/>
  <c r="B2641" i="4"/>
  <c r="C2472" i="4"/>
  <c r="B2472" i="4"/>
  <c r="C2518" i="4"/>
  <c r="B2518" i="4"/>
  <c r="C2526" i="4"/>
  <c r="B2526" i="4"/>
  <c r="C2536" i="4"/>
  <c r="B2536" i="4"/>
  <c r="C2522" i="4"/>
  <c r="B2522" i="4"/>
  <c r="C2292" i="4"/>
  <c r="B2292" i="4"/>
  <c r="C2128" i="4"/>
  <c r="B2128" i="4"/>
  <c r="B2191" i="4"/>
  <c r="C1989" i="4"/>
  <c r="B1989" i="4"/>
  <c r="C2074" i="4"/>
  <c r="B2074" i="4"/>
  <c r="B1978" i="4"/>
  <c r="C1978" i="4"/>
  <c r="C1722" i="4"/>
  <c r="B1722" i="4"/>
  <c r="B1833" i="4"/>
  <c r="C1833" i="4"/>
  <c r="B1947" i="4"/>
  <c r="B1723" i="4"/>
  <c r="C1442" i="4"/>
  <c r="B1442" i="4"/>
  <c r="C1382" i="4"/>
  <c r="B1382" i="4"/>
  <c r="C1449" i="4"/>
  <c r="B1449" i="4"/>
  <c r="C1363" i="4"/>
  <c r="B1363" i="4"/>
  <c r="C1229" i="4"/>
  <c r="B1229" i="4"/>
  <c r="B961" i="4"/>
  <c r="C799" i="4"/>
  <c r="B799" i="4"/>
  <c r="C485" i="4"/>
  <c r="B485" i="4"/>
  <c r="B486" i="4"/>
  <c r="C442" i="4"/>
  <c r="B442" i="4"/>
  <c r="C394" i="4"/>
  <c r="B394" i="4"/>
  <c r="B711" i="4"/>
  <c r="C2944" i="4"/>
  <c r="B2944" i="4"/>
  <c r="C2869" i="4"/>
  <c r="B2869" i="4"/>
  <c r="C2721" i="4"/>
  <c r="B2721" i="4"/>
  <c r="C2751" i="4"/>
  <c r="B2751" i="4"/>
  <c r="B2772" i="4"/>
  <c r="C2772" i="4"/>
  <c r="C2729" i="4"/>
  <c r="B2729" i="4"/>
  <c r="C2655" i="4"/>
  <c r="B2655" i="4"/>
  <c r="C2665" i="4"/>
  <c r="B2665" i="4"/>
  <c r="C2330" i="4"/>
  <c r="B2330" i="4"/>
  <c r="C2482" i="4"/>
  <c r="B2482" i="4"/>
  <c r="C2478" i="4"/>
  <c r="B2478" i="4"/>
  <c r="C2524" i="4"/>
  <c r="B2524" i="4"/>
  <c r="C2269" i="4"/>
  <c r="B2269" i="4"/>
  <c r="B2270" i="4"/>
  <c r="C2268" i="4"/>
  <c r="B2268" i="4"/>
  <c r="B2110" i="4"/>
  <c r="C2110" i="4"/>
  <c r="C2043" i="4"/>
  <c r="B2043" i="4"/>
  <c r="B1869" i="4"/>
  <c r="C1869" i="4"/>
  <c r="C1720" i="4"/>
  <c r="B1720" i="4"/>
  <c r="C1839" i="4"/>
  <c r="B1839" i="4"/>
  <c r="C1894" i="4"/>
  <c r="B1894" i="4"/>
  <c r="C1707" i="4"/>
  <c r="B1707" i="4"/>
  <c r="C1701" i="4"/>
  <c r="B1701" i="4"/>
  <c r="C1518" i="4"/>
  <c r="B1518" i="4"/>
  <c r="C1395" i="4"/>
  <c r="B1395" i="4"/>
  <c r="C1381" i="4"/>
  <c r="B1381" i="4"/>
  <c r="B1447" i="4"/>
  <c r="C735" i="4"/>
  <c r="B735" i="4"/>
  <c r="B808" i="4"/>
  <c r="C563" i="4"/>
  <c r="B563" i="4"/>
  <c r="B383" i="4"/>
  <c r="C383" i="4"/>
  <c r="C2787" i="4"/>
  <c r="B2787" i="4"/>
  <c r="C2934" i="4"/>
  <c r="B2934" i="4"/>
  <c r="B2865" i="4"/>
  <c r="C2865" i="4"/>
  <c r="C2715" i="4"/>
  <c r="B2715" i="4"/>
  <c r="C2716" i="4"/>
  <c r="B2716" i="4"/>
  <c r="B2718" i="4"/>
  <c r="C2718" i="4"/>
  <c r="C2610" i="4"/>
  <c r="B2610" i="4"/>
  <c r="C2652" i="4"/>
  <c r="B2652" i="4"/>
  <c r="B2656" i="4"/>
  <c r="C2708" i="4"/>
  <c r="B2708" i="4"/>
  <c r="C2470" i="4"/>
  <c r="B2470" i="4"/>
  <c r="C2486" i="4"/>
  <c r="B2486" i="4"/>
  <c r="C2328" i="4"/>
  <c r="B2328" i="4"/>
  <c r="C2323" i="4"/>
  <c r="B2323" i="4"/>
  <c r="C2047" i="4"/>
  <c r="B2047" i="4"/>
  <c r="B2180" i="4"/>
  <c r="C2151" i="4"/>
  <c r="B2151" i="4"/>
  <c r="C1713" i="4"/>
  <c r="B1713" i="4"/>
  <c r="C1825" i="4"/>
  <c r="B1825" i="4"/>
  <c r="C1622" i="4"/>
  <c r="B1622" i="4"/>
  <c r="C1322" i="4"/>
  <c r="B1322" i="4"/>
  <c r="B1298" i="4"/>
  <c r="C1298" i="4"/>
  <c r="C648" i="4"/>
  <c r="B648" i="4"/>
  <c r="C722" i="4"/>
  <c r="B722" i="4"/>
  <c r="C2983" i="4"/>
  <c r="B2983" i="4"/>
  <c r="C2979" i="4"/>
  <c r="B2979" i="4"/>
  <c r="C2844" i="4"/>
  <c r="B2844" i="4"/>
  <c r="C2709" i="4"/>
  <c r="B2709" i="4"/>
  <c r="C2710" i="4"/>
  <c r="B2710" i="4"/>
  <c r="B2835" i="4"/>
  <c r="B2712" i="4"/>
  <c r="C2712" i="4"/>
  <c r="B2980" i="4"/>
  <c r="C2649" i="4"/>
  <c r="B2649" i="4"/>
  <c r="C2720" i="4"/>
  <c r="B2720" i="4"/>
  <c r="C2657" i="4"/>
  <c r="B2657" i="4"/>
  <c r="C2474" i="4"/>
  <c r="B2474" i="4"/>
  <c r="B2363" i="4"/>
  <c r="C2218" i="4"/>
  <c r="B2218" i="4"/>
  <c r="B2129" i="4"/>
  <c r="B2199" i="4"/>
  <c r="C2199" i="4"/>
  <c r="B2200" i="4"/>
  <c r="C2226" i="4"/>
  <c r="B2226" i="4"/>
  <c r="C1797" i="4"/>
  <c r="B1797" i="4"/>
  <c r="C1819" i="4"/>
  <c r="B1819" i="4"/>
  <c r="C1903" i="4"/>
  <c r="B1903" i="4"/>
  <c r="C1618" i="4"/>
  <c r="B1618" i="4"/>
  <c r="C1317" i="4"/>
  <c r="B1317" i="4"/>
  <c r="C1144" i="4"/>
  <c r="B1144" i="4"/>
  <c r="C887" i="4"/>
  <c r="B887" i="4"/>
  <c r="B720" i="4"/>
  <c r="B643" i="4"/>
  <c r="C2936" i="4"/>
  <c r="B2936" i="4"/>
  <c r="C2703" i="4"/>
  <c r="B2703" i="4"/>
  <c r="C2704" i="4"/>
  <c r="B2704" i="4"/>
  <c r="B2706" i="4"/>
  <c r="C2706" i="4"/>
  <c r="C2646" i="4"/>
  <c r="B2646" i="4"/>
  <c r="B2682" i="4"/>
  <c r="C2682" i="4"/>
  <c r="B2653" i="4"/>
  <c r="B2611" i="4"/>
  <c r="C2654" i="4"/>
  <c r="B2654" i="4"/>
  <c r="C2527" i="4"/>
  <c r="B2527" i="4"/>
  <c r="C2332" i="4"/>
  <c r="B2332" i="4"/>
  <c r="B2531" i="4"/>
  <c r="B2476" i="4"/>
  <c r="C2322" i="4"/>
  <c r="B2322" i="4"/>
  <c r="C2317" i="4"/>
  <c r="B2317" i="4"/>
  <c r="C2076" i="4"/>
  <c r="B2076" i="4"/>
  <c r="B2000" i="4"/>
  <c r="B2044" i="4"/>
  <c r="C2113" i="4"/>
  <c r="B2113" i="4"/>
  <c r="C2197" i="4"/>
  <c r="B2197" i="4"/>
  <c r="C1783" i="4"/>
  <c r="B1783" i="4"/>
  <c r="B1784" i="4"/>
  <c r="C1784" i="4"/>
  <c r="C1301" i="4"/>
  <c r="B1301" i="4"/>
  <c r="B1309" i="4"/>
  <c r="C1308" i="4"/>
  <c r="B1308" i="4"/>
  <c r="C967" i="4"/>
  <c r="B967" i="4"/>
  <c r="B968" i="4"/>
  <c r="C1125" i="4"/>
  <c r="B1125" i="4"/>
  <c r="C971" i="4"/>
  <c r="B971" i="4"/>
  <c r="B641" i="4"/>
  <c r="C641" i="4"/>
  <c r="C2943" i="4"/>
  <c r="B2943" i="4"/>
  <c r="C2774" i="4"/>
  <c r="B2774" i="4"/>
  <c r="C2950" i="4"/>
  <c r="B2950" i="4"/>
  <c r="B2984" i="4"/>
  <c r="C2864" i="4"/>
  <c r="B2864" i="4"/>
  <c r="C2773" i="4"/>
  <c r="B2773" i="4"/>
  <c r="C2643" i="4"/>
  <c r="B2643" i="4"/>
  <c r="C2651" i="4"/>
  <c r="B2651" i="4"/>
  <c r="C2535" i="4"/>
  <c r="B2535" i="4"/>
  <c r="C2533" i="4"/>
  <c r="B2533" i="4"/>
  <c r="C2364" i="4"/>
  <c r="B2364" i="4"/>
  <c r="C2319" i="4"/>
  <c r="B2319" i="4"/>
  <c r="C2314" i="4"/>
  <c r="B2314" i="4"/>
  <c r="C2016" i="4"/>
  <c r="B2016" i="4"/>
  <c r="C2252" i="4"/>
  <c r="B2252" i="4"/>
  <c r="B2133" i="4"/>
  <c r="B2126" i="4"/>
  <c r="C1763" i="4"/>
  <c r="B1763" i="4"/>
  <c r="C1852" i="4"/>
  <c r="B1852" i="4"/>
  <c r="B1834" i="4"/>
  <c r="B1621" i="4"/>
  <c r="C884" i="4"/>
  <c r="B884" i="4"/>
  <c r="B1378" i="4"/>
  <c r="B2989" i="1"/>
  <c r="C2892" i="1"/>
  <c r="C2989" i="1"/>
  <c r="C2969" i="1"/>
  <c r="B2969" i="1"/>
  <c r="G2960" i="1"/>
  <c r="C2960" i="1" s="1"/>
  <c r="G2949" i="1"/>
  <c r="G2948" i="1"/>
  <c r="J1565" i="1"/>
  <c r="K1565" i="1"/>
  <c r="L1565" i="1"/>
  <c r="N1565" i="1" s="1"/>
  <c r="M1565" i="1"/>
  <c r="O1565" i="1" s="1"/>
  <c r="S1565" i="1"/>
  <c r="J2260" i="1"/>
  <c r="K2260" i="1"/>
  <c r="L2260" i="1"/>
  <c r="N2260" i="1" s="1"/>
  <c r="M2260" i="1"/>
  <c r="O2260" i="1" s="1"/>
  <c r="J2841" i="1"/>
  <c r="K2841" i="1"/>
  <c r="L2841" i="1"/>
  <c r="N2841" i="1" s="1"/>
  <c r="M2841" i="1"/>
  <c r="O2841" i="1" s="1"/>
  <c r="J2842" i="1"/>
  <c r="K2842" i="1"/>
  <c r="L2842" i="1"/>
  <c r="N2842" i="1" s="1"/>
  <c r="M2842" i="1"/>
  <c r="O2842" i="1" s="1"/>
  <c r="J1234" i="1"/>
  <c r="K1234" i="1"/>
  <c r="L1234" i="1"/>
  <c r="N1234" i="1" s="1"/>
  <c r="M1234" i="1"/>
  <c r="O1234" i="1" s="1"/>
  <c r="J1312" i="1"/>
  <c r="K1312" i="1"/>
  <c r="L1312" i="1"/>
  <c r="N1312" i="1" s="1"/>
  <c r="M1312" i="1"/>
  <c r="O1312" i="1" s="1"/>
  <c r="J1296" i="1"/>
  <c r="K1296" i="1"/>
  <c r="L1296" i="1"/>
  <c r="N1296" i="1" s="1"/>
  <c r="M1296" i="1"/>
  <c r="O1296" i="1" s="1"/>
  <c r="J1420" i="1"/>
  <c r="K1420" i="1"/>
  <c r="L1420" i="1"/>
  <c r="N1420" i="1" s="1"/>
  <c r="M1420" i="1"/>
  <c r="O1420" i="1" s="1"/>
  <c r="J2849" i="1"/>
  <c r="K2849" i="1"/>
  <c r="L2849" i="1"/>
  <c r="N2849" i="1" s="1"/>
  <c r="M2849" i="1"/>
  <c r="O2849" i="1" s="1"/>
  <c r="J2908" i="1"/>
  <c r="K2908" i="1"/>
  <c r="L2908" i="1"/>
  <c r="N2908" i="1" s="1"/>
  <c r="M2908" i="1"/>
  <c r="O2908" i="1" s="1"/>
  <c r="J2945" i="1"/>
  <c r="K2945" i="1"/>
  <c r="L2945" i="1"/>
  <c r="N2945" i="1" s="1"/>
  <c r="M2945" i="1"/>
  <c r="O2945" i="1" s="1"/>
  <c r="J2910" i="1"/>
  <c r="K2910" i="1"/>
  <c r="L2910" i="1"/>
  <c r="N2910" i="1" s="1"/>
  <c r="M2910" i="1"/>
  <c r="O2910" i="1" s="1"/>
  <c r="J2911" i="1"/>
  <c r="K2911" i="1"/>
  <c r="L2911" i="1"/>
  <c r="N2911" i="1" s="1"/>
  <c r="M2911" i="1"/>
  <c r="O2911" i="1" s="1"/>
  <c r="J2912" i="1"/>
  <c r="K2912" i="1"/>
  <c r="L2912" i="1"/>
  <c r="N2912" i="1" s="1"/>
  <c r="M2912" i="1"/>
  <c r="O2912" i="1" s="1"/>
  <c r="J2913" i="1"/>
  <c r="K2913" i="1"/>
  <c r="L2913" i="1"/>
  <c r="N2913" i="1" s="1"/>
  <c r="M2913" i="1"/>
  <c r="O2913" i="1" s="1"/>
  <c r="J2914" i="1"/>
  <c r="K2914" i="1"/>
  <c r="L2914" i="1"/>
  <c r="N2914" i="1" s="1"/>
  <c r="M2914" i="1"/>
  <c r="O2914" i="1" s="1"/>
  <c r="J2915" i="1"/>
  <c r="K2915" i="1"/>
  <c r="L2915" i="1"/>
  <c r="N2915" i="1" s="1"/>
  <c r="M2915" i="1"/>
  <c r="O2915" i="1" s="1"/>
  <c r="J2405" i="1"/>
  <c r="K2405" i="1"/>
  <c r="L2405" i="1"/>
  <c r="N2405" i="1" s="1"/>
  <c r="M2405" i="1"/>
  <c r="O2405" i="1" s="1"/>
  <c r="J2735" i="1"/>
  <c r="K2735" i="1"/>
  <c r="L2735" i="1"/>
  <c r="N2735" i="1" s="1"/>
  <c r="M2735" i="1"/>
  <c r="O2735" i="1" s="1"/>
  <c r="J2850" i="1"/>
  <c r="J2802" i="1"/>
  <c r="J2843" i="1"/>
  <c r="J2847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52" i="1"/>
  <c r="J2865" i="1"/>
  <c r="J2866" i="1"/>
  <c r="J2867" i="1"/>
  <c r="J2868" i="1"/>
  <c r="D1234" i="1"/>
  <c r="E1234" i="1"/>
  <c r="F1234" i="1"/>
  <c r="D1312" i="1"/>
  <c r="E1312" i="1"/>
  <c r="F1312" i="1"/>
  <c r="D1420" i="1"/>
  <c r="E1420" i="1"/>
  <c r="F1420" i="1"/>
  <c r="D2945" i="1"/>
  <c r="E2945" i="1"/>
  <c r="F2945" i="1"/>
  <c r="D2405" i="1"/>
  <c r="E2405" i="1"/>
  <c r="F2405" i="1"/>
  <c r="J2825" i="1"/>
  <c r="K2825" i="1"/>
  <c r="L2825" i="1"/>
  <c r="N2825" i="1" s="1"/>
  <c r="M2825" i="1"/>
  <c r="O2825" i="1" s="1"/>
  <c r="J2826" i="1"/>
  <c r="K2826" i="1"/>
  <c r="L2826" i="1"/>
  <c r="N2826" i="1" s="1"/>
  <c r="M2826" i="1"/>
  <c r="O2826" i="1" s="1"/>
  <c r="J2827" i="1"/>
  <c r="K2827" i="1"/>
  <c r="L2827" i="1"/>
  <c r="N2827" i="1" s="1"/>
  <c r="M2827" i="1"/>
  <c r="O2827" i="1" s="1"/>
  <c r="J2828" i="1"/>
  <c r="K2828" i="1"/>
  <c r="L2828" i="1"/>
  <c r="N2828" i="1" s="1"/>
  <c r="M2828" i="1"/>
  <c r="O2828" i="1" s="1"/>
  <c r="J2829" i="1"/>
  <c r="K2829" i="1"/>
  <c r="L2829" i="1"/>
  <c r="N2829" i="1" s="1"/>
  <c r="M2829" i="1"/>
  <c r="O2829" i="1" s="1"/>
  <c r="J2830" i="1"/>
  <c r="K2830" i="1"/>
  <c r="L2830" i="1"/>
  <c r="N2830" i="1" s="1"/>
  <c r="M2830" i="1"/>
  <c r="O2830" i="1" s="1"/>
  <c r="J2831" i="1"/>
  <c r="K2831" i="1"/>
  <c r="L2831" i="1"/>
  <c r="N2831" i="1" s="1"/>
  <c r="M2831" i="1"/>
  <c r="O2831" i="1" s="1"/>
  <c r="J2832" i="1"/>
  <c r="K2832" i="1"/>
  <c r="L2832" i="1"/>
  <c r="N2832" i="1" s="1"/>
  <c r="M2832" i="1"/>
  <c r="O2832" i="1" s="1"/>
  <c r="J2833" i="1"/>
  <c r="K2833" i="1"/>
  <c r="L2833" i="1"/>
  <c r="N2833" i="1" s="1"/>
  <c r="M2833" i="1"/>
  <c r="O2833" i="1" s="1"/>
  <c r="J2834" i="1"/>
  <c r="K2834" i="1"/>
  <c r="L2834" i="1"/>
  <c r="N2834" i="1" s="1"/>
  <c r="M2834" i="1"/>
  <c r="O2834" i="1" s="1"/>
  <c r="J2835" i="1"/>
  <c r="K2835" i="1"/>
  <c r="L2835" i="1"/>
  <c r="N2835" i="1" s="1"/>
  <c r="M2835" i="1"/>
  <c r="O2835" i="1" s="1"/>
  <c r="J2836" i="1"/>
  <c r="K2836" i="1"/>
  <c r="L2836" i="1"/>
  <c r="N2836" i="1" s="1"/>
  <c r="M2836" i="1"/>
  <c r="O2836" i="1" s="1"/>
  <c r="J2837" i="1"/>
  <c r="K2837" i="1"/>
  <c r="L2837" i="1"/>
  <c r="N2837" i="1" s="1"/>
  <c r="M2837" i="1"/>
  <c r="O2837" i="1" s="1"/>
  <c r="J2838" i="1"/>
  <c r="K2838" i="1"/>
  <c r="L2838" i="1"/>
  <c r="N2838" i="1" s="1"/>
  <c r="M2838" i="1"/>
  <c r="O2838" i="1" s="1"/>
  <c r="J2839" i="1"/>
  <c r="K2839" i="1"/>
  <c r="L2839" i="1"/>
  <c r="N2839" i="1" s="1"/>
  <c r="M2839" i="1"/>
  <c r="O2839" i="1" s="1"/>
  <c r="J2840" i="1"/>
  <c r="K2840" i="1"/>
  <c r="L2840" i="1"/>
  <c r="N2840" i="1" s="1"/>
  <c r="M2840" i="1"/>
  <c r="O2840" i="1" s="1"/>
  <c r="H1" i="6" l="1"/>
  <c r="H2" i="4"/>
  <c r="H1" i="4"/>
  <c r="B2991" i="1"/>
  <c r="B2992" i="1"/>
  <c r="C2949" i="1"/>
  <c r="C2948" i="1"/>
  <c r="G2405" i="1"/>
  <c r="C2405" i="1" s="1"/>
  <c r="G2945" i="1"/>
  <c r="G1234" i="1"/>
  <c r="C1234" i="1" s="1"/>
  <c r="G1420" i="1"/>
  <c r="C1420" i="1" s="1"/>
  <c r="G1312" i="1"/>
  <c r="B2945" i="1" l="1"/>
  <c r="C2945" i="1"/>
  <c r="C1312" i="1"/>
  <c r="J2762" i="1"/>
  <c r="K2762" i="1"/>
  <c r="L2762" i="1"/>
  <c r="N2762" i="1" s="1"/>
  <c r="M2762" i="1"/>
  <c r="O2762" i="1" s="1"/>
  <c r="J2767" i="1"/>
  <c r="K2767" i="1"/>
  <c r="L2767" i="1"/>
  <c r="N2767" i="1" s="1"/>
  <c r="M2767" i="1"/>
  <c r="O2767" i="1" s="1"/>
  <c r="J2780" i="1"/>
  <c r="K2780" i="1"/>
  <c r="L2780" i="1"/>
  <c r="N2780" i="1" s="1"/>
  <c r="M2780" i="1"/>
  <c r="O2780" i="1" s="1"/>
  <c r="J2781" i="1"/>
  <c r="K2781" i="1"/>
  <c r="L2781" i="1"/>
  <c r="N2781" i="1" s="1"/>
  <c r="M2781" i="1"/>
  <c r="O2781" i="1" s="1"/>
  <c r="J2782" i="1"/>
  <c r="K2782" i="1"/>
  <c r="L2782" i="1"/>
  <c r="N2782" i="1" s="1"/>
  <c r="M2782" i="1"/>
  <c r="O2782" i="1" s="1"/>
  <c r="J2783" i="1"/>
  <c r="K2783" i="1"/>
  <c r="L2783" i="1"/>
  <c r="N2783" i="1" s="1"/>
  <c r="M2783" i="1"/>
  <c r="O2783" i="1" s="1"/>
  <c r="J2784" i="1"/>
  <c r="K2784" i="1"/>
  <c r="L2784" i="1"/>
  <c r="N2784" i="1" s="1"/>
  <c r="M2784" i="1"/>
  <c r="O2784" i="1" s="1"/>
  <c r="J2785" i="1"/>
  <c r="K2785" i="1"/>
  <c r="L2785" i="1"/>
  <c r="N2785" i="1" s="1"/>
  <c r="M2785" i="1"/>
  <c r="O2785" i="1" s="1"/>
  <c r="J2786" i="1"/>
  <c r="K2786" i="1"/>
  <c r="L2786" i="1"/>
  <c r="N2786" i="1" s="1"/>
  <c r="M2786" i="1"/>
  <c r="O2786" i="1" s="1"/>
  <c r="J2797" i="1"/>
  <c r="K2797" i="1"/>
  <c r="L2797" i="1"/>
  <c r="N2797" i="1" s="1"/>
  <c r="M2797" i="1"/>
  <c r="O2797" i="1" s="1"/>
  <c r="J2798" i="1"/>
  <c r="K2798" i="1"/>
  <c r="L2798" i="1"/>
  <c r="N2798" i="1" s="1"/>
  <c r="M2798" i="1"/>
  <c r="O2798" i="1" s="1"/>
  <c r="J2514" i="1"/>
  <c r="K2514" i="1"/>
  <c r="L2514" i="1"/>
  <c r="N2514" i="1" s="1"/>
  <c r="M2514" i="1"/>
  <c r="O2514" i="1" s="1"/>
  <c r="J2907" i="1"/>
  <c r="K2907" i="1"/>
  <c r="L2907" i="1"/>
  <c r="N2907" i="1" s="1"/>
  <c r="M2907" i="1"/>
  <c r="O2907" i="1" s="1"/>
  <c r="J2768" i="1"/>
  <c r="K2768" i="1"/>
  <c r="L2768" i="1"/>
  <c r="N2768" i="1" s="1"/>
  <c r="M2768" i="1"/>
  <c r="O2768" i="1" s="1"/>
  <c r="J2769" i="1"/>
  <c r="K2769" i="1"/>
  <c r="L2769" i="1"/>
  <c r="N2769" i="1" s="1"/>
  <c r="M2769" i="1"/>
  <c r="O2769" i="1" s="1"/>
  <c r="J2766" i="1"/>
  <c r="K2766" i="1"/>
  <c r="L2766" i="1"/>
  <c r="N2766" i="1" s="1"/>
  <c r="M2766" i="1"/>
  <c r="O2766" i="1" s="1"/>
  <c r="J2770" i="1"/>
  <c r="K2770" i="1"/>
  <c r="L2770" i="1"/>
  <c r="N2770" i="1" s="1"/>
  <c r="M2770" i="1"/>
  <c r="O2770" i="1" s="1"/>
  <c r="J2777" i="1"/>
  <c r="K2777" i="1"/>
  <c r="L2777" i="1"/>
  <c r="N2777" i="1" s="1"/>
  <c r="M2777" i="1"/>
  <c r="O2777" i="1" s="1"/>
  <c r="J2787" i="1"/>
  <c r="K2787" i="1"/>
  <c r="L2787" i="1"/>
  <c r="N2787" i="1" s="1"/>
  <c r="M2787" i="1"/>
  <c r="O2787" i="1" s="1"/>
  <c r="J2788" i="1"/>
  <c r="K2788" i="1"/>
  <c r="L2788" i="1"/>
  <c r="N2788" i="1" s="1"/>
  <c r="M2788" i="1"/>
  <c r="O2788" i="1" s="1"/>
  <c r="J2789" i="1"/>
  <c r="K2789" i="1"/>
  <c r="L2789" i="1"/>
  <c r="N2789" i="1" s="1"/>
  <c r="M2789" i="1"/>
  <c r="O2789" i="1" s="1"/>
  <c r="J2790" i="1"/>
  <c r="K2790" i="1"/>
  <c r="L2790" i="1"/>
  <c r="N2790" i="1" s="1"/>
  <c r="M2790" i="1"/>
  <c r="O2790" i="1" s="1"/>
  <c r="J2791" i="1"/>
  <c r="K2791" i="1"/>
  <c r="L2791" i="1"/>
  <c r="N2791" i="1" s="1"/>
  <c r="M2791" i="1"/>
  <c r="O2791" i="1" s="1"/>
  <c r="J2792" i="1"/>
  <c r="K2792" i="1"/>
  <c r="L2792" i="1"/>
  <c r="N2792" i="1" s="1"/>
  <c r="M2792" i="1"/>
  <c r="O2792" i="1" s="1"/>
  <c r="J2793" i="1"/>
  <c r="K2793" i="1"/>
  <c r="L2793" i="1"/>
  <c r="N2793" i="1" s="1"/>
  <c r="M2793" i="1"/>
  <c r="O2793" i="1" s="1"/>
  <c r="J2794" i="1"/>
  <c r="K2794" i="1"/>
  <c r="L2794" i="1"/>
  <c r="N2794" i="1" s="1"/>
  <c r="M2794" i="1"/>
  <c r="O2794" i="1" s="1"/>
  <c r="J2795" i="1"/>
  <c r="K2795" i="1"/>
  <c r="L2795" i="1"/>
  <c r="N2795" i="1" s="1"/>
  <c r="M2795" i="1"/>
  <c r="O2795" i="1" s="1"/>
  <c r="J2799" i="1"/>
  <c r="K2799" i="1"/>
  <c r="L2799" i="1"/>
  <c r="N2799" i="1" s="1"/>
  <c r="M2799" i="1"/>
  <c r="O2799" i="1" s="1"/>
  <c r="J2803" i="1"/>
  <c r="K2803" i="1"/>
  <c r="L2803" i="1"/>
  <c r="N2803" i="1" s="1"/>
  <c r="M2803" i="1"/>
  <c r="O2803" i="1" s="1"/>
  <c r="J2808" i="1"/>
  <c r="K2808" i="1"/>
  <c r="L2808" i="1"/>
  <c r="N2808" i="1" s="1"/>
  <c r="M2808" i="1"/>
  <c r="O2808" i="1" s="1"/>
  <c r="J2809" i="1"/>
  <c r="K2809" i="1"/>
  <c r="L2809" i="1"/>
  <c r="N2809" i="1" s="1"/>
  <c r="M2809" i="1"/>
  <c r="O2809" i="1" s="1"/>
  <c r="J2810" i="1"/>
  <c r="K2810" i="1"/>
  <c r="L2810" i="1"/>
  <c r="N2810" i="1" s="1"/>
  <c r="M2810" i="1"/>
  <c r="O2810" i="1" s="1"/>
  <c r="J2814" i="1"/>
  <c r="K2814" i="1"/>
  <c r="L2814" i="1"/>
  <c r="N2814" i="1" s="1"/>
  <c r="M2814" i="1"/>
  <c r="O2814" i="1" s="1"/>
  <c r="J2815" i="1"/>
  <c r="K2815" i="1"/>
  <c r="L2815" i="1"/>
  <c r="N2815" i="1" s="1"/>
  <c r="M2815" i="1"/>
  <c r="O2815" i="1" s="1"/>
  <c r="J2796" i="1"/>
  <c r="K2796" i="1"/>
  <c r="L2796" i="1"/>
  <c r="N2796" i="1" s="1"/>
  <c r="M2796" i="1"/>
  <c r="O2796" i="1" s="1"/>
  <c r="J2819" i="1"/>
  <c r="K2819" i="1"/>
  <c r="L2819" i="1"/>
  <c r="N2819" i="1" s="1"/>
  <c r="M2819" i="1"/>
  <c r="O2819" i="1" s="1"/>
  <c r="J2820" i="1"/>
  <c r="K2820" i="1"/>
  <c r="L2820" i="1"/>
  <c r="N2820" i="1" s="1"/>
  <c r="M2820" i="1"/>
  <c r="O2820" i="1" s="1"/>
  <c r="J2821" i="1"/>
  <c r="K2821" i="1"/>
  <c r="L2821" i="1"/>
  <c r="N2821" i="1" s="1"/>
  <c r="M2821" i="1"/>
  <c r="O2821" i="1" s="1"/>
  <c r="J2822" i="1"/>
  <c r="K2822" i="1"/>
  <c r="L2822" i="1"/>
  <c r="N2822" i="1" s="1"/>
  <c r="M2822" i="1"/>
  <c r="O2822" i="1" s="1"/>
  <c r="J2823" i="1"/>
  <c r="K2823" i="1"/>
  <c r="L2823" i="1"/>
  <c r="N2823" i="1" s="1"/>
  <c r="M2823" i="1"/>
  <c r="O2823" i="1" s="1"/>
  <c r="J2824" i="1"/>
  <c r="K2824" i="1"/>
  <c r="L2824" i="1"/>
  <c r="N2824" i="1" s="1"/>
  <c r="M2824" i="1"/>
  <c r="O2824" i="1" s="1"/>
  <c r="J152" i="1"/>
  <c r="K152" i="1"/>
  <c r="L152" i="1"/>
  <c r="N152" i="1" s="1"/>
  <c r="M152" i="1"/>
  <c r="O152" i="1" s="1"/>
  <c r="J2804" i="1"/>
  <c r="K2804" i="1"/>
  <c r="L2804" i="1"/>
  <c r="N2804" i="1" s="1"/>
  <c r="M2804" i="1"/>
  <c r="O2804" i="1" s="1"/>
  <c r="J2800" i="1"/>
  <c r="K2800" i="1"/>
  <c r="L2800" i="1"/>
  <c r="N2800" i="1" s="1"/>
  <c r="M2800" i="1"/>
  <c r="O2800" i="1" s="1"/>
  <c r="J2801" i="1"/>
  <c r="K2801" i="1"/>
  <c r="L2801" i="1"/>
  <c r="N2801" i="1" s="1"/>
  <c r="M2801" i="1"/>
  <c r="O2801" i="1" s="1"/>
  <c r="J2805" i="1"/>
  <c r="K2805" i="1"/>
  <c r="L2805" i="1"/>
  <c r="N2805" i="1" s="1"/>
  <c r="M2805" i="1"/>
  <c r="O2805" i="1" s="1"/>
  <c r="J2806" i="1"/>
  <c r="K2806" i="1"/>
  <c r="L2806" i="1"/>
  <c r="N2806" i="1" s="1"/>
  <c r="M2806" i="1"/>
  <c r="O2806" i="1" s="1"/>
  <c r="J2807" i="1"/>
  <c r="K2807" i="1"/>
  <c r="L2807" i="1"/>
  <c r="N2807" i="1" s="1"/>
  <c r="M2807" i="1"/>
  <c r="O2807" i="1" s="1"/>
  <c r="J2816" i="1"/>
  <c r="K2816" i="1"/>
  <c r="L2816" i="1"/>
  <c r="N2816" i="1" s="1"/>
  <c r="M2816" i="1"/>
  <c r="O2816" i="1" s="1"/>
  <c r="J2817" i="1"/>
  <c r="K2817" i="1"/>
  <c r="L2817" i="1"/>
  <c r="N2817" i="1" s="1"/>
  <c r="M2817" i="1"/>
  <c r="O2817" i="1" s="1"/>
  <c r="J2771" i="1"/>
  <c r="K2771" i="1"/>
  <c r="L2771" i="1"/>
  <c r="N2771" i="1" s="1"/>
  <c r="M2771" i="1"/>
  <c r="O2771" i="1" s="1"/>
  <c r="J2772" i="1"/>
  <c r="K2772" i="1"/>
  <c r="L2772" i="1"/>
  <c r="N2772" i="1" s="1"/>
  <c r="M2772" i="1"/>
  <c r="O2772" i="1" s="1"/>
  <c r="J2773" i="1"/>
  <c r="K2773" i="1"/>
  <c r="L2773" i="1"/>
  <c r="N2773" i="1" s="1"/>
  <c r="M2773" i="1"/>
  <c r="O2773" i="1" s="1"/>
  <c r="J2774" i="1"/>
  <c r="K2774" i="1"/>
  <c r="L2774" i="1"/>
  <c r="N2774" i="1" s="1"/>
  <c r="M2774" i="1"/>
  <c r="O2774" i="1" s="1"/>
  <c r="J2775" i="1"/>
  <c r="K2775" i="1"/>
  <c r="L2775" i="1"/>
  <c r="N2775" i="1" s="1"/>
  <c r="M2775" i="1"/>
  <c r="O2775" i="1" s="1"/>
  <c r="J2776" i="1"/>
  <c r="K2776" i="1"/>
  <c r="L2776" i="1"/>
  <c r="N2776" i="1" s="1"/>
  <c r="M2776" i="1"/>
  <c r="O2776" i="1" s="1"/>
  <c r="J1227" i="1"/>
  <c r="K1227" i="1"/>
  <c r="L1227" i="1"/>
  <c r="N1227" i="1" s="1"/>
  <c r="M1227" i="1"/>
  <c r="O1227" i="1" s="1"/>
  <c r="D2907" i="1"/>
  <c r="E2907" i="1"/>
  <c r="F2907" i="1"/>
  <c r="D152" i="1"/>
  <c r="E152" i="1"/>
  <c r="F152" i="1"/>
  <c r="D1227" i="1"/>
  <c r="E1227" i="1"/>
  <c r="F1227" i="1"/>
  <c r="J2744" i="1"/>
  <c r="K2744" i="1"/>
  <c r="L2744" i="1"/>
  <c r="N2744" i="1" s="1"/>
  <c r="M2744" i="1"/>
  <c r="O2744" i="1" s="1"/>
  <c r="J2778" i="1"/>
  <c r="K2778" i="1"/>
  <c r="L2778" i="1"/>
  <c r="N2778" i="1" s="1"/>
  <c r="M2778" i="1"/>
  <c r="O2778" i="1" s="1"/>
  <c r="J2754" i="1"/>
  <c r="K2754" i="1"/>
  <c r="L2754" i="1"/>
  <c r="N2754" i="1" s="1"/>
  <c r="M2754" i="1"/>
  <c r="O2754" i="1" s="1"/>
  <c r="J2755" i="1"/>
  <c r="K2755" i="1"/>
  <c r="L2755" i="1"/>
  <c r="N2755" i="1" s="1"/>
  <c r="M2755" i="1"/>
  <c r="O2755" i="1" s="1"/>
  <c r="J2731" i="1"/>
  <c r="K2731" i="1"/>
  <c r="L2731" i="1"/>
  <c r="N2731" i="1" s="1"/>
  <c r="M2731" i="1"/>
  <c r="O2731" i="1" s="1"/>
  <c r="J2728" i="1"/>
  <c r="K2728" i="1"/>
  <c r="L2728" i="1"/>
  <c r="N2728" i="1" s="1"/>
  <c r="M2728" i="1"/>
  <c r="O2728" i="1" s="1"/>
  <c r="J2631" i="1"/>
  <c r="K2631" i="1"/>
  <c r="L2631" i="1"/>
  <c r="N2631" i="1" s="1"/>
  <c r="M2631" i="1"/>
  <c r="O2631" i="1" s="1"/>
  <c r="J2724" i="1"/>
  <c r="K2724" i="1"/>
  <c r="L2724" i="1"/>
  <c r="N2724" i="1" s="1"/>
  <c r="M2724" i="1"/>
  <c r="O2724" i="1" s="1"/>
  <c r="J2670" i="1"/>
  <c r="K2670" i="1"/>
  <c r="L2670" i="1"/>
  <c r="N2670" i="1" s="1"/>
  <c r="M2670" i="1"/>
  <c r="O2670" i="1" s="1"/>
  <c r="J2725" i="1"/>
  <c r="K2725" i="1"/>
  <c r="L2725" i="1"/>
  <c r="N2725" i="1" s="1"/>
  <c r="M2725" i="1"/>
  <c r="O2725" i="1" s="1"/>
  <c r="J2732" i="1"/>
  <c r="K2732" i="1"/>
  <c r="L2732" i="1"/>
  <c r="N2732" i="1" s="1"/>
  <c r="M2732" i="1"/>
  <c r="O2732" i="1" s="1"/>
  <c r="J2723" i="1"/>
  <c r="K2723" i="1"/>
  <c r="L2723" i="1"/>
  <c r="N2723" i="1" s="1"/>
  <c r="M2723" i="1"/>
  <c r="O2723" i="1" s="1"/>
  <c r="J2726" i="1"/>
  <c r="K2726" i="1"/>
  <c r="L2726" i="1"/>
  <c r="N2726" i="1" s="1"/>
  <c r="M2726" i="1"/>
  <c r="O2726" i="1" s="1"/>
  <c r="J2679" i="1"/>
  <c r="K2679" i="1"/>
  <c r="L2679" i="1"/>
  <c r="N2679" i="1" s="1"/>
  <c r="M2679" i="1"/>
  <c r="O2679" i="1" s="1"/>
  <c r="J2636" i="1"/>
  <c r="K2636" i="1"/>
  <c r="L2636" i="1"/>
  <c r="N2636" i="1" s="1"/>
  <c r="M2636" i="1"/>
  <c r="O2636" i="1" s="1"/>
  <c r="J2671" i="1"/>
  <c r="K2671" i="1"/>
  <c r="L2671" i="1"/>
  <c r="N2671" i="1" s="1"/>
  <c r="M2671" i="1"/>
  <c r="O2671" i="1" s="1"/>
  <c r="J2745" i="1"/>
  <c r="K2745" i="1"/>
  <c r="L2745" i="1"/>
  <c r="N2745" i="1" s="1"/>
  <c r="M2745" i="1"/>
  <c r="O2745" i="1" s="1"/>
  <c r="J2680" i="1"/>
  <c r="K2680" i="1"/>
  <c r="L2680" i="1"/>
  <c r="N2680" i="1" s="1"/>
  <c r="M2680" i="1"/>
  <c r="O2680" i="1" s="1"/>
  <c r="J2812" i="1"/>
  <c r="K2812" i="1"/>
  <c r="L2812" i="1"/>
  <c r="N2812" i="1" s="1"/>
  <c r="M2812" i="1"/>
  <c r="O2812" i="1" s="1"/>
  <c r="J2811" i="1"/>
  <c r="K2811" i="1"/>
  <c r="L2811" i="1"/>
  <c r="N2811" i="1" s="1"/>
  <c r="M2811" i="1"/>
  <c r="O2811" i="1" s="1"/>
  <c r="J2746" i="1"/>
  <c r="K2746" i="1"/>
  <c r="L2746" i="1"/>
  <c r="N2746" i="1" s="1"/>
  <c r="M2746" i="1"/>
  <c r="O2746" i="1" s="1"/>
  <c r="J2747" i="1"/>
  <c r="K2747" i="1"/>
  <c r="L2747" i="1"/>
  <c r="N2747" i="1" s="1"/>
  <c r="M2747" i="1"/>
  <c r="O2747" i="1" s="1"/>
  <c r="J2750" i="1"/>
  <c r="K2750" i="1"/>
  <c r="L2750" i="1"/>
  <c r="N2750" i="1" s="1"/>
  <c r="M2750" i="1"/>
  <c r="O2750" i="1" s="1"/>
  <c r="J2779" i="1"/>
  <c r="K2779" i="1"/>
  <c r="L2779" i="1"/>
  <c r="N2779" i="1" s="1"/>
  <c r="M2779" i="1"/>
  <c r="O2779" i="1" s="1"/>
  <c r="J2813" i="1"/>
  <c r="K2813" i="1"/>
  <c r="L2813" i="1"/>
  <c r="N2813" i="1" s="1"/>
  <c r="M2813" i="1"/>
  <c r="O2813" i="1" s="1"/>
  <c r="J2733" i="1"/>
  <c r="K2733" i="1"/>
  <c r="L2733" i="1"/>
  <c r="N2733" i="1" s="1"/>
  <c r="M2733" i="1"/>
  <c r="O2733" i="1" s="1"/>
  <c r="J2734" i="1"/>
  <c r="K2734" i="1"/>
  <c r="L2734" i="1"/>
  <c r="N2734" i="1" s="1"/>
  <c r="M2734" i="1"/>
  <c r="O2734" i="1" s="1"/>
  <c r="J2748" i="1"/>
  <c r="K2748" i="1"/>
  <c r="L2748" i="1"/>
  <c r="N2748" i="1" s="1"/>
  <c r="M2748" i="1"/>
  <c r="O2748" i="1" s="1"/>
  <c r="J2749" i="1"/>
  <c r="K2749" i="1"/>
  <c r="L2749" i="1"/>
  <c r="N2749" i="1" s="1"/>
  <c r="M2749" i="1"/>
  <c r="O2749" i="1" s="1"/>
  <c r="J2751" i="1"/>
  <c r="K2751" i="1"/>
  <c r="L2751" i="1"/>
  <c r="N2751" i="1" s="1"/>
  <c r="M2751" i="1"/>
  <c r="O2751" i="1" s="1"/>
  <c r="J2752" i="1"/>
  <c r="K2752" i="1"/>
  <c r="L2752" i="1"/>
  <c r="N2752" i="1" s="1"/>
  <c r="M2752" i="1"/>
  <c r="O2752" i="1" s="1"/>
  <c r="J2753" i="1"/>
  <c r="K2753" i="1"/>
  <c r="L2753" i="1"/>
  <c r="N2753" i="1" s="1"/>
  <c r="M2753" i="1"/>
  <c r="O2753" i="1" s="1"/>
  <c r="J2181" i="1"/>
  <c r="K2181" i="1"/>
  <c r="L2181" i="1"/>
  <c r="N2181" i="1" s="1"/>
  <c r="M2181" i="1"/>
  <c r="O2181" i="1" s="1"/>
  <c r="J2183" i="1"/>
  <c r="K2183" i="1"/>
  <c r="L2183" i="1"/>
  <c r="N2183" i="1" s="1"/>
  <c r="M2183" i="1"/>
  <c r="O2183" i="1" s="1"/>
  <c r="J2185" i="1"/>
  <c r="K2185" i="1"/>
  <c r="L2185" i="1"/>
  <c r="N2185" i="1" s="1"/>
  <c r="M2185" i="1"/>
  <c r="O2185" i="1" s="1"/>
  <c r="J2187" i="1"/>
  <c r="K2187" i="1"/>
  <c r="L2187" i="1"/>
  <c r="N2187" i="1" s="1"/>
  <c r="M2187" i="1"/>
  <c r="O2187" i="1" s="1"/>
  <c r="J2189" i="1"/>
  <c r="K2189" i="1"/>
  <c r="L2189" i="1"/>
  <c r="N2189" i="1" s="1"/>
  <c r="M2189" i="1"/>
  <c r="O2189" i="1" s="1"/>
  <c r="J2694" i="1"/>
  <c r="K2694" i="1"/>
  <c r="L2694" i="1"/>
  <c r="N2694" i="1" s="1"/>
  <c r="M2694" i="1"/>
  <c r="O2694" i="1" s="1"/>
  <c r="J2695" i="1"/>
  <c r="K2695" i="1"/>
  <c r="L2695" i="1"/>
  <c r="N2695" i="1" s="1"/>
  <c r="M2695" i="1"/>
  <c r="O2695" i="1" s="1"/>
  <c r="J2696" i="1"/>
  <c r="K2696" i="1"/>
  <c r="L2696" i="1"/>
  <c r="N2696" i="1" s="1"/>
  <c r="M2696" i="1"/>
  <c r="O2696" i="1" s="1"/>
  <c r="J2697" i="1"/>
  <c r="K2697" i="1"/>
  <c r="L2697" i="1"/>
  <c r="N2697" i="1" s="1"/>
  <c r="M2697" i="1"/>
  <c r="O2697" i="1" s="1"/>
  <c r="J2698" i="1"/>
  <c r="K2698" i="1"/>
  <c r="L2698" i="1"/>
  <c r="N2698" i="1" s="1"/>
  <c r="M2698" i="1"/>
  <c r="O2698" i="1" s="1"/>
  <c r="J2689" i="1"/>
  <c r="K2689" i="1"/>
  <c r="L2689" i="1"/>
  <c r="N2689" i="1" s="1"/>
  <c r="M2689" i="1"/>
  <c r="O2689" i="1" s="1"/>
  <c r="J2690" i="1"/>
  <c r="K2690" i="1"/>
  <c r="L2690" i="1"/>
  <c r="N2690" i="1" s="1"/>
  <c r="M2690" i="1"/>
  <c r="O2690" i="1" s="1"/>
  <c r="J2702" i="1"/>
  <c r="K2702" i="1"/>
  <c r="L2702" i="1"/>
  <c r="N2702" i="1" s="1"/>
  <c r="M2702" i="1"/>
  <c r="O2702" i="1" s="1"/>
  <c r="J2703" i="1"/>
  <c r="K2703" i="1"/>
  <c r="L2703" i="1"/>
  <c r="N2703" i="1" s="1"/>
  <c r="M2703" i="1"/>
  <c r="O2703" i="1" s="1"/>
  <c r="J2704" i="1"/>
  <c r="K2704" i="1"/>
  <c r="L2704" i="1"/>
  <c r="N2704" i="1" s="1"/>
  <c r="M2704" i="1"/>
  <c r="O2704" i="1" s="1"/>
  <c r="J2705" i="1"/>
  <c r="K2705" i="1"/>
  <c r="L2705" i="1"/>
  <c r="N2705" i="1" s="1"/>
  <c r="M2705" i="1"/>
  <c r="O2705" i="1" s="1"/>
  <c r="J2706" i="1"/>
  <c r="K2706" i="1"/>
  <c r="L2706" i="1"/>
  <c r="N2706" i="1" s="1"/>
  <c r="M2706" i="1"/>
  <c r="O2706" i="1" s="1"/>
  <c r="J2707" i="1"/>
  <c r="K2707" i="1"/>
  <c r="L2707" i="1"/>
  <c r="N2707" i="1" s="1"/>
  <c r="M2707" i="1"/>
  <c r="O2707" i="1" s="1"/>
  <c r="J2708" i="1"/>
  <c r="K2708" i="1"/>
  <c r="L2708" i="1"/>
  <c r="N2708" i="1" s="1"/>
  <c r="M2708" i="1"/>
  <c r="O2708" i="1" s="1"/>
  <c r="J2709" i="1"/>
  <c r="K2709" i="1"/>
  <c r="L2709" i="1"/>
  <c r="N2709" i="1" s="1"/>
  <c r="M2709" i="1"/>
  <c r="O2709" i="1" s="1"/>
  <c r="J2710" i="1"/>
  <c r="K2710" i="1"/>
  <c r="L2710" i="1"/>
  <c r="N2710" i="1" s="1"/>
  <c r="M2710" i="1"/>
  <c r="O2710" i="1" s="1"/>
  <c r="J2711" i="1"/>
  <c r="K2711" i="1"/>
  <c r="L2711" i="1"/>
  <c r="N2711" i="1" s="1"/>
  <c r="M2711" i="1"/>
  <c r="O2711" i="1" s="1"/>
  <c r="J2712" i="1"/>
  <c r="K2712" i="1"/>
  <c r="L2712" i="1"/>
  <c r="N2712" i="1" s="1"/>
  <c r="M2712" i="1"/>
  <c r="O2712" i="1" s="1"/>
  <c r="J2713" i="1"/>
  <c r="K2713" i="1"/>
  <c r="L2713" i="1"/>
  <c r="N2713" i="1" s="1"/>
  <c r="M2713" i="1"/>
  <c r="O2713" i="1" s="1"/>
  <c r="J2714" i="1"/>
  <c r="K2714" i="1"/>
  <c r="L2714" i="1"/>
  <c r="N2714" i="1" s="1"/>
  <c r="M2714" i="1"/>
  <c r="O2714" i="1" s="1"/>
  <c r="J2715" i="1"/>
  <c r="K2715" i="1"/>
  <c r="L2715" i="1"/>
  <c r="N2715" i="1" s="1"/>
  <c r="M2715" i="1"/>
  <c r="O2715" i="1" s="1"/>
  <c r="J2716" i="1"/>
  <c r="K2716" i="1"/>
  <c r="L2716" i="1"/>
  <c r="N2716" i="1" s="1"/>
  <c r="M2716" i="1"/>
  <c r="O2716" i="1" s="1"/>
  <c r="J2717" i="1"/>
  <c r="K2717" i="1"/>
  <c r="L2717" i="1"/>
  <c r="N2717" i="1" s="1"/>
  <c r="M2717" i="1"/>
  <c r="O2717" i="1" s="1"/>
  <c r="J2718" i="1"/>
  <c r="K2718" i="1"/>
  <c r="L2718" i="1"/>
  <c r="N2718" i="1" s="1"/>
  <c r="M2718" i="1"/>
  <c r="O2718" i="1" s="1"/>
  <c r="J2719" i="1"/>
  <c r="K2719" i="1"/>
  <c r="L2719" i="1"/>
  <c r="N2719" i="1" s="1"/>
  <c r="M2719" i="1"/>
  <c r="O2719" i="1" s="1"/>
  <c r="J2720" i="1"/>
  <c r="K2720" i="1"/>
  <c r="L2720" i="1"/>
  <c r="N2720" i="1" s="1"/>
  <c r="M2720" i="1"/>
  <c r="O2720" i="1" s="1"/>
  <c r="J2765" i="1"/>
  <c r="K2765" i="1"/>
  <c r="L2765" i="1"/>
  <c r="N2765" i="1" s="1"/>
  <c r="M2765" i="1"/>
  <c r="O2765" i="1" s="1"/>
  <c r="J2764" i="1"/>
  <c r="K2764" i="1"/>
  <c r="L2764" i="1"/>
  <c r="N2764" i="1" s="1"/>
  <c r="M2764" i="1"/>
  <c r="O2764" i="1" s="1"/>
  <c r="J2756" i="1"/>
  <c r="K2756" i="1"/>
  <c r="L2756" i="1"/>
  <c r="N2756" i="1" s="1"/>
  <c r="M2756" i="1"/>
  <c r="O2756" i="1" s="1"/>
  <c r="J2761" i="1"/>
  <c r="K2761" i="1"/>
  <c r="L2761" i="1"/>
  <c r="N2761" i="1" s="1"/>
  <c r="M2761" i="1"/>
  <c r="O2761" i="1" s="1"/>
  <c r="J2759" i="1"/>
  <c r="K2759" i="1"/>
  <c r="L2759" i="1"/>
  <c r="N2759" i="1" s="1"/>
  <c r="M2759" i="1"/>
  <c r="O2759" i="1" s="1"/>
  <c r="J2760" i="1"/>
  <c r="K2760" i="1"/>
  <c r="L2760" i="1"/>
  <c r="N2760" i="1" s="1"/>
  <c r="M2760" i="1"/>
  <c r="O2760" i="1" s="1"/>
  <c r="J2758" i="1"/>
  <c r="K2758" i="1"/>
  <c r="L2758" i="1"/>
  <c r="N2758" i="1" s="1"/>
  <c r="M2758" i="1"/>
  <c r="O2758" i="1" s="1"/>
  <c r="J2736" i="1"/>
  <c r="K2736" i="1"/>
  <c r="L2736" i="1"/>
  <c r="N2736" i="1" s="1"/>
  <c r="M2736" i="1"/>
  <c r="O2736" i="1" s="1"/>
  <c r="J2737" i="1"/>
  <c r="K2737" i="1"/>
  <c r="L2737" i="1"/>
  <c r="N2737" i="1" s="1"/>
  <c r="M2737" i="1"/>
  <c r="O2737" i="1" s="1"/>
  <c r="J2738" i="1"/>
  <c r="K2738" i="1"/>
  <c r="L2738" i="1"/>
  <c r="N2738" i="1" s="1"/>
  <c r="M2738" i="1"/>
  <c r="O2738" i="1" s="1"/>
  <c r="J2699" i="1"/>
  <c r="K2699" i="1"/>
  <c r="L2699" i="1"/>
  <c r="N2699" i="1" s="1"/>
  <c r="M2699" i="1"/>
  <c r="O2699" i="1" s="1"/>
  <c r="J2729" i="1"/>
  <c r="K2729" i="1"/>
  <c r="L2729" i="1"/>
  <c r="N2729" i="1" s="1"/>
  <c r="M2729" i="1"/>
  <c r="O2729" i="1" s="1"/>
  <c r="J2730" i="1"/>
  <c r="K2730" i="1"/>
  <c r="L2730" i="1"/>
  <c r="N2730" i="1" s="1"/>
  <c r="M2730" i="1"/>
  <c r="O2730" i="1" s="1"/>
  <c r="J1345" i="1"/>
  <c r="K1345" i="1"/>
  <c r="L1345" i="1"/>
  <c r="N1345" i="1" s="1"/>
  <c r="M1345" i="1"/>
  <c r="O1345" i="1" s="1"/>
  <c r="J2493" i="1"/>
  <c r="K2493" i="1"/>
  <c r="L2493" i="1"/>
  <c r="N2493" i="1" s="1"/>
  <c r="M2493" i="1"/>
  <c r="O2493" i="1" s="1"/>
  <c r="J2502" i="1"/>
  <c r="K2502" i="1"/>
  <c r="L2502" i="1"/>
  <c r="N2502" i="1" s="1"/>
  <c r="M2502" i="1"/>
  <c r="O2502" i="1" s="1"/>
  <c r="J2505" i="1"/>
  <c r="K2505" i="1"/>
  <c r="L2505" i="1"/>
  <c r="N2505" i="1" s="1"/>
  <c r="M2505" i="1"/>
  <c r="O2505" i="1" s="1"/>
  <c r="J2511" i="1"/>
  <c r="K2511" i="1"/>
  <c r="L2511" i="1"/>
  <c r="N2511" i="1" s="1"/>
  <c r="M2511" i="1"/>
  <c r="O2511" i="1" s="1"/>
  <c r="J2539" i="1"/>
  <c r="K2539" i="1"/>
  <c r="L2539" i="1"/>
  <c r="N2539" i="1" s="1"/>
  <c r="M2539" i="1"/>
  <c r="O2539" i="1" s="1"/>
  <c r="J2543" i="1"/>
  <c r="K2543" i="1"/>
  <c r="L2543" i="1"/>
  <c r="N2543" i="1" s="1"/>
  <c r="M2543" i="1"/>
  <c r="O2543" i="1" s="1"/>
  <c r="J2571" i="1"/>
  <c r="K2571" i="1"/>
  <c r="L2571" i="1"/>
  <c r="N2571" i="1" s="1"/>
  <c r="M2571" i="1"/>
  <c r="O2571" i="1" s="1"/>
  <c r="J2630" i="1"/>
  <c r="K2630" i="1"/>
  <c r="L2630" i="1"/>
  <c r="N2630" i="1" s="1"/>
  <c r="M2630" i="1"/>
  <c r="O2630" i="1" s="1"/>
  <c r="J2664" i="1"/>
  <c r="K2664" i="1"/>
  <c r="L2664" i="1"/>
  <c r="N2664" i="1" s="1"/>
  <c r="M2664" i="1"/>
  <c r="O2664" i="1" s="1"/>
  <c r="J2678" i="1"/>
  <c r="K2678" i="1"/>
  <c r="L2678" i="1"/>
  <c r="N2678" i="1" s="1"/>
  <c r="M2678" i="1"/>
  <c r="O2678" i="1" s="1"/>
  <c r="J2686" i="1"/>
  <c r="K2686" i="1"/>
  <c r="L2686" i="1"/>
  <c r="N2686" i="1" s="1"/>
  <c r="M2686" i="1"/>
  <c r="O2686" i="1" s="1"/>
  <c r="J2687" i="1"/>
  <c r="K2687" i="1"/>
  <c r="L2687" i="1"/>
  <c r="N2687" i="1" s="1"/>
  <c r="M2687" i="1"/>
  <c r="O2687" i="1" s="1"/>
  <c r="J2691" i="1"/>
  <c r="K2691" i="1"/>
  <c r="L2691" i="1"/>
  <c r="N2691" i="1" s="1"/>
  <c r="M2691" i="1"/>
  <c r="O2691" i="1" s="1"/>
  <c r="J2700" i="1"/>
  <c r="K2700" i="1"/>
  <c r="L2700" i="1"/>
  <c r="N2700" i="1" s="1"/>
  <c r="M2700" i="1"/>
  <c r="O2700" i="1" s="1"/>
  <c r="J2721" i="1"/>
  <c r="K2721" i="1"/>
  <c r="L2721" i="1"/>
  <c r="N2721" i="1" s="1"/>
  <c r="M2721" i="1"/>
  <c r="O2721" i="1" s="1"/>
  <c r="J2722" i="1"/>
  <c r="K2722" i="1"/>
  <c r="L2722" i="1"/>
  <c r="N2722" i="1" s="1"/>
  <c r="M2722" i="1"/>
  <c r="O2722" i="1" s="1"/>
  <c r="J2739" i="1"/>
  <c r="K2739" i="1"/>
  <c r="L2739" i="1"/>
  <c r="N2739" i="1" s="1"/>
  <c r="M2739" i="1"/>
  <c r="O2739" i="1" s="1"/>
  <c r="J2740" i="1"/>
  <c r="K2740" i="1"/>
  <c r="L2740" i="1"/>
  <c r="N2740" i="1" s="1"/>
  <c r="M2740" i="1"/>
  <c r="O2740" i="1" s="1"/>
  <c r="J2741" i="1"/>
  <c r="K2741" i="1"/>
  <c r="L2741" i="1"/>
  <c r="N2741" i="1" s="1"/>
  <c r="M2741" i="1"/>
  <c r="O2741" i="1" s="1"/>
  <c r="J2742" i="1"/>
  <c r="K2742" i="1"/>
  <c r="L2742" i="1"/>
  <c r="N2742" i="1" s="1"/>
  <c r="M2742" i="1"/>
  <c r="O2742" i="1" s="1"/>
  <c r="J2743" i="1"/>
  <c r="K2743" i="1"/>
  <c r="L2743" i="1"/>
  <c r="N2743" i="1" s="1"/>
  <c r="M2743" i="1"/>
  <c r="O2743" i="1" s="1"/>
  <c r="D2757" i="1"/>
  <c r="D148" i="1"/>
  <c r="F2757" i="1"/>
  <c r="F148" i="1"/>
  <c r="E2757" i="1"/>
  <c r="E148" i="1"/>
  <c r="J2616" i="1"/>
  <c r="K2616" i="1"/>
  <c r="L2616" i="1"/>
  <c r="N2616" i="1" s="1"/>
  <c r="M2616" i="1"/>
  <c r="O2616" i="1" s="1"/>
  <c r="J2617" i="1"/>
  <c r="K2617" i="1"/>
  <c r="L2617" i="1"/>
  <c r="N2617" i="1" s="1"/>
  <c r="M2617" i="1"/>
  <c r="O2617" i="1" s="1"/>
  <c r="J2618" i="1"/>
  <c r="K2618" i="1"/>
  <c r="L2618" i="1"/>
  <c r="N2618" i="1" s="1"/>
  <c r="M2618" i="1"/>
  <c r="O2618" i="1" s="1"/>
  <c r="J2619" i="1"/>
  <c r="K2619" i="1"/>
  <c r="L2619" i="1"/>
  <c r="N2619" i="1" s="1"/>
  <c r="M2619" i="1"/>
  <c r="O2619" i="1" s="1"/>
  <c r="J2624" i="1"/>
  <c r="K2624" i="1"/>
  <c r="L2624" i="1"/>
  <c r="N2624" i="1" s="1"/>
  <c r="M2624" i="1"/>
  <c r="O2624" i="1" s="1"/>
  <c r="J2665" i="1"/>
  <c r="K2665" i="1"/>
  <c r="L2665" i="1"/>
  <c r="N2665" i="1" s="1"/>
  <c r="M2665" i="1"/>
  <c r="O2665" i="1" s="1"/>
  <c r="J2757" i="1"/>
  <c r="K2757" i="1"/>
  <c r="L2757" i="1"/>
  <c r="N2757" i="1" s="1"/>
  <c r="M2757" i="1"/>
  <c r="O2757" i="1" s="1"/>
  <c r="J2621" i="1"/>
  <c r="K2621" i="1"/>
  <c r="L2621" i="1"/>
  <c r="N2621" i="1" s="1"/>
  <c r="M2621" i="1"/>
  <c r="O2621" i="1" s="1"/>
  <c r="J2622" i="1"/>
  <c r="K2622" i="1"/>
  <c r="L2622" i="1"/>
  <c r="N2622" i="1" s="1"/>
  <c r="M2622" i="1"/>
  <c r="O2622" i="1" s="1"/>
  <c r="J2625" i="1"/>
  <c r="K2625" i="1"/>
  <c r="L2625" i="1"/>
  <c r="N2625" i="1" s="1"/>
  <c r="M2625" i="1"/>
  <c r="O2625" i="1" s="1"/>
  <c r="J2626" i="1"/>
  <c r="K2626" i="1"/>
  <c r="L2626" i="1"/>
  <c r="N2626" i="1" s="1"/>
  <c r="M2626" i="1"/>
  <c r="O2626" i="1" s="1"/>
  <c r="J2627" i="1"/>
  <c r="K2627" i="1"/>
  <c r="L2627" i="1"/>
  <c r="N2627" i="1" s="1"/>
  <c r="M2627" i="1"/>
  <c r="O2627" i="1" s="1"/>
  <c r="J2632" i="1"/>
  <c r="K2632" i="1"/>
  <c r="L2632" i="1"/>
  <c r="N2632" i="1" s="1"/>
  <c r="M2632" i="1"/>
  <c r="O2632" i="1" s="1"/>
  <c r="J2633" i="1"/>
  <c r="K2633" i="1"/>
  <c r="L2633" i="1"/>
  <c r="N2633" i="1" s="1"/>
  <c r="M2633" i="1"/>
  <c r="O2633" i="1" s="1"/>
  <c r="J2637" i="1"/>
  <c r="K2637" i="1"/>
  <c r="L2637" i="1"/>
  <c r="N2637" i="1" s="1"/>
  <c r="M2637" i="1"/>
  <c r="O2637" i="1" s="1"/>
  <c r="J2638" i="1"/>
  <c r="K2638" i="1"/>
  <c r="L2638" i="1"/>
  <c r="N2638" i="1" s="1"/>
  <c r="M2638" i="1"/>
  <c r="O2638" i="1" s="1"/>
  <c r="J2659" i="1"/>
  <c r="K2659" i="1"/>
  <c r="L2659" i="1"/>
  <c r="N2659" i="1" s="1"/>
  <c r="M2659" i="1"/>
  <c r="O2659" i="1" s="1"/>
  <c r="J2628" i="1"/>
  <c r="K2628" i="1"/>
  <c r="L2628" i="1"/>
  <c r="N2628" i="1" s="1"/>
  <c r="M2628" i="1"/>
  <c r="O2628" i="1" s="1"/>
  <c r="J2660" i="1"/>
  <c r="K2660" i="1"/>
  <c r="L2660" i="1"/>
  <c r="N2660" i="1" s="1"/>
  <c r="M2660" i="1"/>
  <c r="O2660" i="1" s="1"/>
  <c r="J2661" i="1"/>
  <c r="K2661" i="1"/>
  <c r="L2661" i="1"/>
  <c r="N2661" i="1" s="1"/>
  <c r="M2661" i="1"/>
  <c r="O2661" i="1" s="1"/>
  <c r="J2667" i="1"/>
  <c r="K2667" i="1"/>
  <c r="L2667" i="1"/>
  <c r="N2667" i="1" s="1"/>
  <c r="M2667" i="1"/>
  <c r="O2667" i="1" s="1"/>
  <c r="J2666" i="1"/>
  <c r="K2666" i="1"/>
  <c r="L2666" i="1"/>
  <c r="N2666" i="1" s="1"/>
  <c r="M2666" i="1"/>
  <c r="O2666" i="1" s="1"/>
  <c r="J2519" i="1"/>
  <c r="K2519" i="1"/>
  <c r="L2519" i="1"/>
  <c r="N2519" i="1" s="1"/>
  <c r="M2519" i="1"/>
  <c r="O2519" i="1" s="1"/>
  <c r="J2520" i="1"/>
  <c r="K2520" i="1"/>
  <c r="L2520" i="1"/>
  <c r="N2520" i="1" s="1"/>
  <c r="M2520" i="1"/>
  <c r="O2520" i="1" s="1"/>
  <c r="J2521" i="1"/>
  <c r="K2521" i="1"/>
  <c r="L2521" i="1"/>
  <c r="N2521" i="1" s="1"/>
  <c r="M2521" i="1"/>
  <c r="O2521" i="1" s="1"/>
  <c r="J2522" i="1"/>
  <c r="K2522" i="1"/>
  <c r="L2522" i="1"/>
  <c r="N2522" i="1" s="1"/>
  <c r="M2522" i="1"/>
  <c r="O2522" i="1" s="1"/>
  <c r="J2523" i="1"/>
  <c r="K2523" i="1"/>
  <c r="L2523" i="1"/>
  <c r="N2523" i="1" s="1"/>
  <c r="M2523" i="1"/>
  <c r="O2523" i="1" s="1"/>
  <c r="J2524" i="1"/>
  <c r="K2524" i="1"/>
  <c r="L2524" i="1"/>
  <c r="N2524" i="1" s="1"/>
  <c r="M2524" i="1"/>
  <c r="O2524" i="1" s="1"/>
  <c r="J2525" i="1"/>
  <c r="K2525" i="1"/>
  <c r="L2525" i="1"/>
  <c r="N2525" i="1" s="1"/>
  <c r="M2525" i="1"/>
  <c r="O2525" i="1" s="1"/>
  <c r="J2526" i="1"/>
  <c r="K2526" i="1"/>
  <c r="L2526" i="1"/>
  <c r="N2526" i="1" s="1"/>
  <c r="M2526" i="1"/>
  <c r="O2526" i="1" s="1"/>
  <c r="J2527" i="1"/>
  <c r="K2527" i="1"/>
  <c r="L2527" i="1"/>
  <c r="N2527" i="1" s="1"/>
  <c r="M2527" i="1"/>
  <c r="O2527" i="1" s="1"/>
  <c r="J2528" i="1"/>
  <c r="K2528" i="1"/>
  <c r="L2528" i="1"/>
  <c r="N2528" i="1" s="1"/>
  <c r="M2528" i="1"/>
  <c r="O2528" i="1" s="1"/>
  <c r="J2529" i="1"/>
  <c r="K2529" i="1"/>
  <c r="L2529" i="1"/>
  <c r="N2529" i="1" s="1"/>
  <c r="M2529" i="1"/>
  <c r="O2529" i="1" s="1"/>
  <c r="J2530" i="1"/>
  <c r="K2530" i="1"/>
  <c r="L2530" i="1"/>
  <c r="N2530" i="1" s="1"/>
  <c r="M2530" i="1"/>
  <c r="O2530" i="1" s="1"/>
  <c r="J2531" i="1"/>
  <c r="K2531" i="1"/>
  <c r="L2531" i="1"/>
  <c r="N2531" i="1" s="1"/>
  <c r="M2531" i="1"/>
  <c r="O2531" i="1" s="1"/>
  <c r="J2532" i="1"/>
  <c r="K2532" i="1"/>
  <c r="L2532" i="1"/>
  <c r="N2532" i="1" s="1"/>
  <c r="M2532" i="1"/>
  <c r="O2532" i="1" s="1"/>
  <c r="J2533" i="1"/>
  <c r="K2533" i="1"/>
  <c r="L2533" i="1"/>
  <c r="N2533" i="1" s="1"/>
  <c r="M2533" i="1"/>
  <c r="O2533" i="1" s="1"/>
  <c r="J2534" i="1"/>
  <c r="K2534" i="1"/>
  <c r="L2534" i="1"/>
  <c r="N2534" i="1" s="1"/>
  <c r="M2534" i="1"/>
  <c r="O2534" i="1" s="1"/>
  <c r="J2535" i="1"/>
  <c r="K2535" i="1"/>
  <c r="L2535" i="1"/>
  <c r="N2535" i="1" s="1"/>
  <c r="M2535" i="1"/>
  <c r="O2535" i="1" s="1"/>
  <c r="J2536" i="1"/>
  <c r="K2536" i="1"/>
  <c r="L2536" i="1"/>
  <c r="N2536" i="1" s="1"/>
  <c r="M2536" i="1"/>
  <c r="O2536" i="1" s="1"/>
  <c r="J2583" i="1"/>
  <c r="K2583" i="1"/>
  <c r="L2583" i="1"/>
  <c r="N2583" i="1" s="1"/>
  <c r="M2583" i="1"/>
  <c r="O2583" i="1" s="1"/>
  <c r="J2584" i="1"/>
  <c r="K2584" i="1"/>
  <c r="L2584" i="1"/>
  <c r="N2584" i="1" s="1"/>
  <c r="M2584" i="1"/>
  <c r="O2584" i="1" s="1"/>
  <c r="J2585" i="1"/>
  <c r="K2585" i="1"/>
  <c r="L2585" i="1"/>
  <c r="N2585" i="1" s="1"/>
  <c r="M2585" i="1"/>
  <c r="O2585" i="1" s="1"/>
  <c r="J2586" i="1"/>
  <c r="K2586" i="1"/>
  <c r="L2586" i="1"/>
  <c r="N2586" i="1" s="1"/>
  <c r="M2586" i="1"/>
  <c r="O2586" i="1" s="1"/>
  <c r="J2587" i="1"/>
  <c r="K2587" i="1"/>
  <c r="L2587" i="1"/>
  <c r="N2587" i="1" s="1"/>
  <c r="M2587" i="1"/>
  <c r="O2587" i="1" s="1"/>
  <c r="J2588" i="1"/>
  <c r="K2588" i="1"/>
  <c r="L2588" i="1"/>
  <c r="N2588" i="1" s="1"/>
  <c r="M2588" i="1"/>
  <c r="O2588" i="1" s="1"/>
  <c r="J2589" i="1"/>
  <c r="K2589" i="1"/>
  <c r="L2589" i="1"/>
  <c r="N2589" i="1" s="1"/>
  <c r="M2589" i="1"/>
  <c r="O2589" i="1" s="1"/>
  <c r="J2590" i="1"/>
  <c r="K2590" i="1"/>
  <c r="L2590" i="1"/>
  <c r="N2590" i="1" s="1"/>
  <c r="M2590" i="1"/>
  <c r="O2590" i="1" s="1"/>
  <c r="J2591" i="1"/>
  <c r="K2591" i="1"/>
  <c r="L2591" i="1"/>
  <c r="N2591" i="1" s="1"/>
  <c r="M2591" i="1"/>
  <c r="O2591" i="1" s="1"/>
  <c r="J2592" i="1"/>
  <c r="K2592" i="1"/>
  <c r="L2592" i="1"/>
  <c r="N2592" i="1" s="1"/>
  <c r="M2592" i="1"/>
  <c r="O2592" i="1" s="1"/>
  <c r="J2593" i="1"/>
  <c r="K2593" i="1"/>
  <c r="L2593" i="1"/>
  <c r="N2593" i="1" s="1"/>
  <c r="M2593" i="1"/>
  <c r="O2593" i="1" s="1"/>
  <c r="J2594" i="1"/>
  <c r="K2594" i="1"/>
  <c r="L2594" i="1"/>
  <c r="N2594" i="1" s="1"/>
  <c r="M2594" i="1"/>
  <c r="O2594" i="1" s="1"/>
  <c r="J2595" i="1"/>
  <c r="K2595" i="1"/>
  <c r="L2595" i="1"/>
  <c r="N2595" i="1" s="1"/>
  <c r="M2595" i="1"/>
  <c r="O2595" i="1" s="1"/>
  <c r="J2596" i="1"/>
  <c r="K2596" i="1"/>
  <c r="L2596" i="1"/>
  <c r="N2596" i="1" s="1"/>
  <c r="M2596" i="1"/>
  <c r="O2596" i="1" s="1"/>
  <c r="J2597" i="1"/>
  <c r="K2597" i="1"/>
  <c r="L2597" i="1"/>
  <c r="N2597" i="1" s="1"/>
  <c r="M2597" i="1"/>
  <c r="O2597" i="1" s="1"/>
  <c r="J2598" i="1"/>
  <c r="K2598" i="1"/>
  <c r="L2598" i="1"/>
  <c r="N2598" i="1" s="1"/>
  <c r="M2598" i="1"/>
  <c r="O2598" i="1" s="1"/>
  <c r="J2599" i="1"/>
  <c r="K2599" i="1"/>
  <c r="L2599" i="1"/>
  <c r="N2599" i="1" s="1"/>
  <c r="M2599" i="1"/>
  <c r="O2599" i="1" s="1"/>
  <c r="J2639" i="1"/>
  <c r="K2639" i="1"/>
  <c r="L2639" i="1"/>
  <c r="N2639" i="1" s="1"/>
  <c r="M2639" i="1"/>
  <c r="O2639" i="1" s="1"/>
  <c r="J2640" i="1"/>
  <c r="K2640" i="1"/>
  <c r="L2640" i="1"/>
  <c r="N2640" i="1" s="1"/>
  <c r="M2640" i="1"/>
  <c r="O2640" i="1" s="1"/>
  <c r="J2641" i="1"/>
  <c r="K2641" i="1"/>
  <c r="L2641" i="1"/>
  <c r="N2641" i="1" s="1"/>
  <c r="M2641" i="1"/>
  <c r="O2641" i="1" s="1"/>
  <c r="J2642" i="1"/>
  <c r="K2642" i="1"/>
  <c r="L2642" i="1"/>
  <c r="N2642" i="1" s="1"/>
  <c r="M2642" i="1"/>
  <c r="O2642" i="1" s="1"/>
  <c r="J2643" i="1"/>
  <c r="K2643" i="1"/>
  <c r="L2643" i="1"/>
  <c r="N2643" i="1" s="1"/>
  <c r="M2643" i="1"/>
  <c r="O2643" i="1" s="1"/>
  <c r="J2644" i="1"/>
  <c r="K2644" i="1"/>
  <c r="L2644" i="1"/>
  <c r="N2644" i="1" s="1"/>
  <c r="M2644" i="1"/>
  <c r="O2644" i="1" s="1"/>
  <c r="J2645" i="1"/>
  <c r="K2645" i="1"/>
  <c r="L2645" i="1"/>
  <c r="N2645" i="1" s="1"/>
  <c r="M2645" i="1"/>
  <c r="O2645" i="1" s="1"/>
  <c r="J2646" i="1"/>
  <c r="K2646" i="1"/>
  <c r="L2646" i="1"/>
  <c r="N2646" i="1" s="1"/>
  <c r="M2646" i="1"/>
  <c r="O2646" i="1" s="1"/>
  <c r="J2647" i="1"/>
  <c r="K2647" i="1"/>
  <c r="L2647" i="1"/>
  <c r="N2647" i="1" s="1"/>
  <c r="M2647" i="1"/>
  <c r="O2647" i="1" s="1"/>
  <c r="J2648" i="1"/>
  <c r="K2648" i="1"/>
  <c r="L2648" i="1"/>
  <c r="N2648" i="1" s="1"/>
  <c r="M2648" i="1"/>
  <c r="O2648" i="1" s="1"/>
  <c r="J2649" i="1"/>
  <c r="K2649" i="1"/>
  <c r="L2649" i="1"/>
  <c r="N2649" i="1" s="1"/>
  <c r="M2649" i="1"/>
  <c r="O2649" i="1" s="1"/>
  <c r="J2650" i="1"/>
  <c r="K2650" i="1"/>
  <c r="L2650" i="1"/>
  <c r="N2650" i="1" s="1"/>
  <c r="M2650" i="1"/>
  <c r="O2650" i="1" s="1"/>
  <c r="J2651" i="1"/>
  <c r="K2651" i="1"/>
  <c r="L2651" i="1"/>
  <c r="N2651" i="1" s="1"/>
  <c r="M2651" i="1"/>
  <c r="O2651" i="1" s="1"/>
  <c r="J2652" i="1"/>
  <c r="K2652" i="1"/>
  <c r="L2652" i="1"/>
  <c r="N2652" i="1" s="1"/>
  <c r="M2652" i="1"/>
  <c r="O2652" i="1" s="1"/>
  <c r="J2653" i="1"/>
  <c r="K2653" i="1"/>
  <c r="L2653" i="1"/>
  <c r="N2653" i="1" s="1"/>
  <c r="M2653" i="1"/>
  <c r="O2653" i="1" s="1"/>
  <c r="J2654" i="1"/>
  <c r="K2654" i="1"/>
  <c r="L2654" i="1"/>
  <c r="N2654" i="1" s="1"/>
  <c r="M2654" i="1"/>
  <c r="O2654" i="1" s="1"/>
  <c r="J2655" i="1"/>
  <c r="K2655" i="1"/>
  <c r="L2655" i="1"/>
  <c r="N2655" i="1" s="1"/>
  <c r="M2655" i="1"/>
  <c r="O2655" i="1" s="1"/>
  <c r="J2656" i="1"/>
  <c r="K2656" i="1"/>
  <c r="L2656" i="1"/>
  <c r="N2656" i="1" s="1"/>
  <c r="M2656" i="1"/>
  <c r="O2656" i="1" s="1"/>
  <c r="J2657" i="1"/>
  <c r="K2657" i="1"/>
  <c r="L2657" i="1"/>
  <c r="N2657" i="1" s="1"/>
  <c r="M2657" i="1"/>
  <c r="O2657" i="1" s="1"/>
  <c r="J2658" i="1"/>
  <c r="K2658" i="1"/>
  <c r="L2658" i="1"/>
  <c r="N2658" i="1" s="1"/>
  <c r="M2658" i="1"/>
  <c r="O2658" i="1" s="1"/>
  <c r="J2561" i="1"/>
  <c r="K2561" i="1"/>
  <c r="L2561" i="1"/>
  <c r="N2561" i="1" s="1"/>
  <c r="M2561" i="1"/>
  <c r="O2561" i="1" s="1"/>
  <c r="J2562" i="1"/>
  <c r="K2562" i="1"/>
  <c r="L2562" i="1"/>
  <c r="N2562" i="1" s="1"/>
  <c r="M2562" i="1"/>
  <c r="O2562" i="1" s="1"/>
  <c r="J2563" i="1"/>
  <c r="K2563" i="1"/>
  <c r="L2563" i="1"/>
  <c r="N2563" i="1" s="1"/>
  <c r="M2563" i="1"/>
  <c r="O2563" i="1" s="1"/>
  <c r="J2564" i="1"/>
  <c r="K2564" i="1"/>
  <c r="L2564" i="1"/>
  <c r="N2564" i="1" s="1"/>
  <c r="M2564" i="1"/>
  <c r="O2564" i="1" s="1"/>
  <c r="J2565" i="1"/>
  <c r="K2565" i="1"/>
  <c r="L2565" i="1"/>
  <c r="N2565" i="1" s="1"/>
  <c r="M2565" i="1"/>
  <c r="O2565" i="1" s="1"/>
  <c r="J2566" i="1"/>
  <c r="K2566" i="1"/>
  <c r="L2566" i="1"/>
  <c r="N2566" i="1" s="1"/>
  <c r="M2566" i="1"/>
  <c r="O2566" i="1" s="1"/>
  <c r="J2567" i="1"/>
  <c r="K2567" i="1"/>
  <c r="L2567" i="1"/>
  <c r="N2567" i="1" s="1"/>
  <c r="M2567" i="1"/>
  <c r="O2567" i="1" s="1"/>
  <c r="J2568" i="1"/>
  <c r="K2568" i="1"/>
  <c r="L2568" i="1"/>
  <c r="N2568" i="1" s="1"/>
  <c r="M2568" i="1"/>
  <c r="O2568" i="1" s="1"/>
  <c r="J2537" i="1"/>
  <c r="K2537" i="1"/>
  <c r="L2537" i="1"/>
  <c r="N2537" i="1" s="1"/>
  <c r="M2537" i="1"/>
  <c r="O2537" i="1" s="1"/>
  <c r="J2538" i="1"/>
  <c r="K2538" i="1"/>
  <c r="L2538" i="1"/>
  <c r="N2538" i="1" s="1"/>
  <c r="M2538" i="1"/>
  <c r="O2538" i="1" s="1"/>
  <c r="J2542" i="1"/>
  <c r="K2542" i="1"/>
  <c r="L2542" i="1"/>
  <c r="N2542" i="1" s="1"/>
  <c r="M2542" i="1"/>
  <c r="O2542" i="1" s="1"/>
  <c r="J2500" i="1"/>
  <c r="K2500" i="1"/>
  <c r="L2500" i="1"/>
  <c r="N2500" i="1" s="1"/>
  <c r="M2500" i="1"/>
  <c r="O2500" i="1" s="1"/>
  <c r="J2501" i="1"/>
  <c r="K2501" i="1"/>
  <c r="L2501" i="1"/>
  <c r="N2501" i="1" s="1"/>
  <c r="M2501" i="1"/>
  <c r="O2501" i="1" s="1"/>
  <c r="J1517" i="1"/>
  <c r="K1517" i="1"/>
  <c r="L1517" i="1"/>
  <c r="N1517" i="1" s="1"/>
  <c r="M1517" i="1"/>
  <c r="O1517" i="1" s="1"/>
  <c r="J2600" i="1"/>
  <c r="K2600" i="1"/>
  <c r="L2600" i="1"/>
  <c r="N2600" i="1" s="1"/>
  <c r="M2600" i="1"/>
  <c r="O2600" i="1" s="1"/>
  <c r="J2605" i="1"/>
  <c r="K2605" i="1"/>
  <c r="L2605" i="1"/>
  <c r="N2605" i="1" s="1"/>
  <c r="M2605" i="1"/>
  <c r="O2605" i="1" s="1"/>
  <c r="J2629" i="1"/>
  <c r="K2629" i="1"/>
  <c r="L2629" i="1"/>
  <c r="N2629" i="1" s="1"/>
  <c r="M2629" i="1"/>
  <c r="O2629" i="1" s="1"/>
  <c r="J2662" i="1"/>
  <c r="K2662" i="1"/>
  <c r="L2662" i="1"/>
  <c r="N2662" i="1" s="1"/>
  <c r="M2662" i="1"/>
  <c r="O2662" i="1" s="1"/>
  <c r="J2663" i="1"/>
  <c r="K2663" i="1"/>
  <c r="L2663" i="1"/>
  <c r="N2663" i="1" s="1"/>
  <c r="M2663" i="1"/>
  <c r="O2663" i="1" s="1"/>
  <c r="J2606" i="1"/>
  <c r="K2606" i="1"/>
  <c r="L2606" i="1"/>
  <c r="N2606" i="1" s="1"/>
  <c r="M2606" i="1"/>
  <c r="O2606" i="1" s="1"/>
  <c r="J2607" i="1"/>
  <c r="K2607" i="1"/>
  <c r="L2607" i="1"/>
  <c r="N2607" i="1" s="1"/>
  <c r="M2607" i="1"/>
  <c r="O2607" i="1" s="1"/>
  <c r="J2623" i="1"/>
  <c r="K2623" i="1"/>
  <c r="L2623" i="1"/>
  <c r="N2623" i="1" s="1"/>
  <c r="M2623" i="1"/>
  <c r="O2623" i="1" s="1"/>
  <c r="J2634" i="1"/>
  <c r="K2634" i="1"/>
  <c r="L2634" i="1"/>
  <c r="N2634" i="1" s="1"/>
  <c r="M2634" i="1"/>
  <c r="O2634" i="1" s="1"/>
  <c r="J2668" i="1"/>
  <c r="K2668" i="1"/>
  <c r="L2668" i="1"/>
  <c r="N2668" i="1" s="1"/>
  <c r="M2668" i="1"/>
  <c r="O2668" i="1" s="1"/>
  <c r="J2612" i="1"/>
  <c r="K2612" i="1"/>
  <c r="L2612" i="1"/>
  <c r="N2612" i="1" s="1"/>
  <c r="M2612" i="1"/>
  <c r="O2612" i="1" s="1"/>
  <c r="J2669" i="1"/>
  <c r="K2669" i="1"/>
  <c r="L2669" i="1"/>
  <c r="N2669" i="1" s="1"/>
  <c r="M2669" i="1"/>
  <c r="O2669" i="1" s="1"/>
  <c r="J2672" i="1"/>
  <c r="K2672" i="1"/>
  <c r="L2672" i="1"/>
  <c r="N2672" i="1" s="1"/>
  <c r="M2672" i="1"/>
  <c r="O2672" i="1" s="1"/>
  <c r="J2673" i="1"/>
  <c r="K2673" i="1"/>
  <c r="L2673" i="1"/>
  <c r="N2673" i="1" s="1"/>
  <c r="M2673" i="1"/>
  <c r="O2673" i="1" s="1"/>
  <c r="J2674" i="1"/>
  <c r="K2674" i="1"/>
  <c r="L2674" i="1"/>
  <c r="N2674" i="1" s="1"/>
  <c r="M2674" i="1"/>
  <c r="O2674" i="1" s="1"/>
  <c r="J2675" i="1"/>
  <c r="K2675" i="1"/>
  <c r="L2675" i="1"/>
  <c r="N2675" i="1" s="1"/>
  <c r="M2675" i="1"/>
  <c r="O2675" i="1" s="1"/>
  <c r="J2682" i="1"/>
  <c r="K2682" i="1"/>
  <c r="L2682" i="1"/>
  <c r="N2682" i="1" s="1"/>
  <c r="M2682" i="1"/>
  <c r="O2682" i="1" s="1"/>
  <c r="J2683" i="1"/>
  <c r="K2683" i="1"/>
  <c r="L2683" i="1"/>
  <c r="N2683" i="1" s="1"/>
  <c r="M2683" i="1"/>
  <c r="O2683" i="1" s="1"/>
  <c r="J2579" i="1"/>
  <c r="K2579" i="1"/>
  <c r="L2579" i="1"/>
  <c r="N2579" i="1" s="1"/>
  <c r="M2579" i="1"/>
  <c r="O2579" i="1" s="1"/>
  <c r="J2635" i="1"/>
  <c r="K2635" i="1"/>
  <c r="L2635" i="1"/>
  <c r="N2635" i="1" s="1"/>
  <c r="M2635" i="1"/>
  <c r="O2635" i="1" s="1"/>
  <c r="J2676" i="1"/>
  <c r="K2676" i="1"/>
  <c r="L2676" i="1"/>
  <c r="N2676" i="1" s="1"/>
  <c r="M2676" i="1"/>
  <c r="O2676" i="1" s="1"/>
  <c r="J2684" i="1"/>
  <c r="K2684" i="1"/>
  <c r="L2684" i="1"/>
  <c r="N2684" i="1" s="1"/>
  <c r="M2684" i="1"/>
  <c r="O2684" i="1" s="1"/>
  <c r="J2677" i="1"/>
  <c r="K2677" i="1"/>
  <c r="L2677" i="1"/>
  <c r="N2677" i="1" s="1"/>
  <c r="M2677" i="1"/>
  <c r="O2677" i="1" s="1"/>
  <c r="J2685" i="1"/>
  <c r="K2685" i="1"/>
  <c r="L2685" i="1"/>
  <c r="N2685" i="1" s="1"/>
  <c r="M2685" i="1"/>
  <c r="O2685" i="1" s="1"/>
  <c r="J2688" i="1"/>
  <c r="K2688" i="1"/>
  <c r="L2688" i="1"/>
  <c r="N2688" i="1" s="1"/>
  <c r="M2688" i="1"/>
  <c r="O2688" i="1" s="1"/>
  <c r="J148" i="1"/>
  <c r="K148" i="1"/>
  <c r="L148" i="1"/>
  <c r="N148" i="1" s="1"/>
  <c r="M148" i="1"/>
  <c r="O148" i="1" s="1"/>
  <c r="J2693" i="1"/>
  <c r="K2693" i="1"/>
  <c r="L2693" i="1"/>
  <c r="N2693" i="1" s="1"/>
  <c r="M2693" i="1"/>
  <c r="O2693" i="1" s="1"/>
  <c r="E2692" i="1"/>
  <c r="E2701" i="1"/>
  <c r="F2692" i="1"/>
  <c r="F2701" i="1"/>
  <c r="D2701" i="1"/>
  <c r="D2692" i="1"/>
  <c r="J2443" i="1"/>
  <c r="K2443" i="1"/>
  <c r="L2443" i="1"/>
  <c r="N2443" i="1" s="1"/>
  <c r="M2443" i="1"/>
  <c r="O2443" i="1" s="1"/>
  <c r="J2503" i="1"/>
  <c r="K2503" i="1"/>
  <c r="L2503" i="1"/>
  <c r="N2503" i="1" s="1"/>
  <c r="M2503" i="1"/>
  <c r="O2503" i="1" s="1"/>
  <c r="J2506" i="1"/>
  <c r="K2506" i="1"/>
  <c r="L2506" i="1"/>
  <c r="N2506" i="1" s="1"/>
  <c r="M2506" i="1"/>
  <c r="O2506" i="1" s="1"/>
  <c r="J2507" i="1"/>
  <c r="K2507" i="1"/>
  <c r="L2507" i="1"/>
  <c r="N2507" i="1" s="1"/>
  <c r="M2507" i="1"/>
  <c r="O2507" i="1" s="1"/>
  <c r="J2508" i="1"/>
  <c r="K2508" i="1"/>
  <c r="L2508" i="1"/>
  <c r="N2508" i="1" s="1"/>
  <c r="M2508" i="1"/>
  <c r="O2508" i="1" s="1"/>
  <c r="J2509" i="1"/>
  <c r="K2509" i="1"/>
  <c r="L2509" i="1"/>
  <c r="N2509" i="1" s="1"/>
  <c r="M2509" i="1"/>
  <c r="O2509" i="1" s="1"/>
  <c r="J2510" i="1"/>
  <c r="K2510" i="1"/>
  <c r="L2510" i="1"/>
  <c r="N2510" i="1" s="1"/>
  <c r="M2510" i="1"/>
  <c r="O2510" i="1" s="1"/>
  <c r="J2512" i="1"/>
  <c r="K2512" i="1"/>
  <c r="L2512" i="1"/>
  <c r="N2512" i="1" s="1"/>
  <c r="M2512" i="1"/>
  <c r="O2512" i="1" s="1"/>
  <c r="J2515" i="1"/>
  <c r="K2515" i="1"/>
  <c r="L2515" i="1"/>
  <c r="N2515" i="1" s="1"/>
  <c r="M2515" i="1"/>
  <c r="O2515" i="1" s="1"/>
  <c r="J2516" i="1"/>
  <c r="K2516" i="1"/>
  <c r="L2516" i="1"/>
  <c r="N2516" i="1" s="1"/>
  <c r="M2516" i="1"/>
  <c r="O2516" i="1" s="1"/>
  <c r="J2517" i="1"/>
  <c r="K2517" i="1"/>
  <c r="L2517" i="1"/>
  <c r="N2517" i="1" s="1"/>
  <c r="M2517" i="1"/>
  <c r="O2517" i="1" s="1"/>
  <c r="J2544" i="1"/>
  <c r="K2544" i="1"/>
  <c r="L2544" i="1"/>
  <c r="N2544" i="1" s="1"/>
  <c r="M2544" i="1"/>
  <c r="O2544" i="1" s="1"/>
  <c r="J2545" i="1"/>
  <c r="K2545" i="1"/>
  <c r="L2545" i="1"/>
  <c r="N2545" i="1" s="1"/>
  <c r="M2545" i="1"/>
  <c r="O2545" i="1" s="1"/>
  <c r="J2546" i="1"/>
  <c r="K2546" i="1"/>
  <c r="L2546" i="1"/>
  <c r="N2546" i="1" s="1"/>
  <c r="M2546" i="1"/>
  <c r="O2546" i="1" s="1"/>
  <c r="J2547" i="1"/>
  <c r="K2547" i="1"/>
  <c r="L2547" i="1"/>
  <c r="N2547" i="1" s="1"/>
  <c r="M2547" i="1"/>
  <c r="O2547" i="1" s="1"/>
  <c r="J2548" i="1"/>
  <c r="K2548" i="1"/>
  <c r="L2548" i="1"/>
  <c r="N2548" i="1" s="1"/>
  <c r="M2548" i="1"/>
  <c r="O2548" i="1" s="1"/>
  <c r="J2549" i="1"/>
  <c r="K2549" i="1"/>
  <c r="L2549" i="1"/>
  <c r="N2549" i="1" s="1"/>
  <c r="M2549" i="1"/>
  <c r="O2549" i="1" s="1"/>
  <c r="J2540" i="1"/>
  <c r="K2540" i="1"/>
  <c r="L2540" i="1"/>
  <c r="N2540" i="1" s="1"/>
  <c r="M2540" i="1"/>
  <c r="O2540" i="1" s="1"/>
  <c r="J2553" i="1"/>
  <c r="K2553" i="1"/>
  <c r="L2553" i="1"/>
  <c r="N2553" i="1" s="1"/>
  <c r="M2553" i="1"/>
  <c r="O2553" i="1" s="1"/>
  <c r="J2554" i="1"/>
  <c r="K2554" i="1"/>
  <c r="L2554" i="1"/>
  <c r="N2554" i="1" s="1"/>
  <c r="M2554" i="1"/>
  <c r="O2554" i="1" s="1"/>
  <c r="J2555" i="1"/>
  <c r="K2555" i="1"/>
  <c r="L2555" i="1"/>
  <c r="N2555" i="1" s="1"/>
  <c r="M2555" i="1"/>
  <c r="O2555" i="1" s="1"/>
  <c r="J2560" i="1"/>
  <c r="K2560" i="1"/>
  <c r="L2560" i="1"/>
  <c r="N2560" i="1" s="1"/>
  <c r="M2560" i="1"/>
  <c r="O2560" i="1" s="1"/>
  <c r="J2557" i="1"/>
  <c r="K2557" i="1"/>
  <c r="L2557" i="1"/>
  <c r="N2557" i="1" s="1"/>
  <c r="M2557" i="1"/>
  <c r="O2557" i="1" s="1"/>
  <c r="J2558" i="1"/>
  <c r="K2558" i="1"/>
  <c r="L2558" i="1"/>
  <c r="N2558" i="1" s="1"/>
  <c r="M2558" i="1"/>
  <c r="O2558" i="1" s="1"/>
  <c r="J2570" i="1"/>
  <c r="K2570" i="1"/>
  <c r="L2570" i="1"/>
  <c r="N2570" i="1" s="1"/>
  <c r="M2570" i="1"/>
  <c r="O2570" i="1" s="1"/>
  <c r="J2569" i="1"/>
  <c r="K2569" i="1"/>
  <c r="L2569" i="1"/>
  <c r="N2569" i="1" s="1"/>
  <c r="M2569" i="1"/>
  <c r="O2569" i="1" s="1"/>
  <c r="J2572" i="1"/>
  <c r="K2572" i="1"/>
  <c r="L2572" i="1"/>
  <c r="N2572" i="1" s="1"/>
  <c r="M2572" i="1"/>
  <c r="O2572" i="1" s="1"/>
  <c r="J2573" i="1"/>
  <c r="K2573" i="1"/>
  <c r="L2573" i="1"/>
  <c r="N2573" i="1" s="1"/>
  <c r="M2573" i="1"/>
  <c r="O2573" i="1" s="1"/>
  <c r="J2580" i="1"/>
  <c r="K2580" i="1"/>
  <c r="L2580" i="1"/>
  <c r="N2580" i="1" s="1"/>
  <c r="M2580" i="1"/>
  <c r="O2580" i="1" s="1"/>
  <c r="J2581" i="1"/>
  <c r="K2581" i="1"/>
  <c r="L2581" i="1"/>
  <c r="N2581" i="1" s="1"/>
  <c r="M2581" i="1"/>
  <c r="O2581" i="1" s="1"/>
  <c r="J2601" i="1"/>
  <c r="K2601" i="1"/>
  <c r="L2601" i="1"/>
  <c r="N2601" i="1" s="1"/>
  <c r="M2601" i="1"/>
  <c r="O2601" i="1" s="1"/>
  <c r="J2602" i="1"/>
  <c r="K2602" i="1"/>
  <c r="L2602" i="1"/>
  <c r="N2602" i="1" s="1"/>
  <c r="M2602" i="1"/>
  <c r="O2602" i="1" s="1"/>
  <c r="J2603" i="1"/>
  <c r="K2603" i="1"/>
  <c r="L2603" i="1"/>
  <c r="N2603" i="1" s="1"/>
  <c r="M2603" i="1"/>
  <c r="O2603" i="1" s="1"/>
  <c r="J2604" i="1"/>
  <c r="K2604" i="1"/>
  <c r="L2604" i="1"/>
  <c r="N2604" i="1" s="1"/>
  <c r="M2604" i="1"/>
  <c r="O2604" i="1" s="1"/>
  <c r="J2608" i="1"/>
  <c r="K2608" i="1"/>
  <c r="L2608" i="1"/>
  <c r="N2608" i="1" s="1"/>
  <c r="M2608" i="1"/>
  <c r="O2608" i="1" s="1"/>
  <c r="J2609" i="1"/>
  <c r="K2609" i="1"/>
  <c r="L2609" i="1"/>
  <c r="N2609" i="1" s="1"/>
  <c r="M2609" i="1"/>
  <c r="O2609" i="1" s="1"/>
  <c r="J2092" i="1"/>
  <c r="K2092" i="1"/>
  <c r="L2092" i="1"/>
  <c r="N2092" i="1" s="1"/>
  <c r="M2092" i="1"/>
  <c r="O2092" i="1" s="1"/>
  <c r="J2093" i="1"/>
  <c r="K2093" i="1"/>
  <c r="L2093" i="1"/>
  <c r="N2093" i="1" s="1"/>
  <c r="M2093" i="1"/>
  <c r="O2093" i="1" s="1"/>
  <c r="J2357" i="1"/>
  <c r="K2357" i="1"/>
  <c r="L2357" i="1"/>
  <c r="N2357" i="1" s="1"/>
  <c r="M2357" i="1"/>
  <c r="O2357" i="1" s="1"/>
  <c r="J2413" i="1"/>
  <c r="K2413" i="1"/>
  <c r="L2413" i="1"/>
  <c r="N2413" i="1" s="1"/>
  <c r="M2413" i="1"/>
  <c r="O2413" i="1" s="1"/>
  <c r="J2427" i="1"/>
  <c r="K2427" i="1"/>
  <c r="L2427" i="1"/>
  <c r="N2427" i="1" s="1"/>
  <c r="M2427" i="1"/>
  <c r="O2427" i="1" s="1"/>
  <c r="J2463" i="1"/>
  <c r="K2463" i="1"/>
  <c r="L2463" i="1"/>
  <c r="N2463" i="1" s="1"/>
  <c r="M2463" i="1"/>
  <c r="O2463" i="1" s="1"/>
  <c r="J2469" i="1"/>
  <c r="K2469" i="1"/>
  <c r="L2469" i="1"/>
  <c r="N2469" i="1" s="1"/>
  <c r="M2469" i="1"/>
  <c r="O2469" i="1" s="1"/>
  <c r="J2504" i="1"/>
  <c r="K2504" i="1"/>
  <c r="L2504" i="1"/>
  <c r="N2504" i="1" s="1"/>
  <c r="M2504" i="1"/>
  <c r="O2504" i="1" s="1"/>
  <c r="J2692" i="1"/>
  <c r="K2692" i="1"/>
  <c r="L2692" i="1"/>
  <c r="N2692" i="1" s="1"/>
  <c r="M2692" i="1"/>
  <c r="O2692" i="1" s="1"/>
  <c r="J2518" i="1"/>
  <c r="K2518" i="1"/>
  <c r="L2518" i="1"/>
  <c r="N2518" i="1" s="1"/>
  <c r="M2518" i="1"/>
  <c r="O2518" i="1" s="1"/>
  <c r="J2701" i="1"/>
  <c r="K2701" i="1"/>
  <c r="L2701" i="1"/>
  <c r="N2701" i="1" s="1"/>
  <c r="M2701" i="1"/>
  <c r="O2701" i="1" s="1"/>
  <c r="J2550" i="1"/>
  <c r="K2550" i="1"/>
  <c r="L2550" i="1"/>
  <c r="N2550" i="1" s="1"/>
  <c r="M2550" i="1"/>
  <c r="O2550" i="1" s="1"/>
  <c r="J2551" i="1"/>
  <c r="K2551" i="1"/>
  <c r="L2551" i="1"/>
  <c r="N2551" i="1" s="1"/>
  <c r="M2551" i="1"/>
  <c r="O2551" i="1" s="1"/>
  <c r="J2552" i="1"/>
  <c r="K2552" i="1"/>
  <c r="L2552" i="1"/>
  <c r="N2552" i="1" s="1"/>
  <c r="M2552" i="1"/>
  <c r="O2552" i="1" s="1"/>
  <c r="J2556" i="1"/>
  <c r="K2556" i="1"/>
  <c r="L2556" i="1"/>
  <c r="N2556" i="1" s="1"/>
  <c r="M2556" i="1"/>
  <c r="O2556" i="1" s="1"/>
  <c r="J2559" i="1"/>
  <c r="K2559" i="1"/>
  <c r="L2559" i="1"/>
  <c r="N2559" i="1" s="1"/>
  <c r="M2559" i="1"/>
  <c r="O2559" i="1" s="1"/>
  <c r="J2574" i="1"/>
  <c r="K2574" i="1"/>
  <c r="L2574" i="1"/>
  <c r="N2574" i="1" s="1"/>
  <c r="M2574" i="1"/>
  <c r="O2574" i="1" s="1"/>
  <c r="J2575" i="1"/>
  <c r="K2575" i="1"/>
  <c r="L2575" i="1"/>
  <c r="N2575" i="1" s="1"/>
  <c r="M2575" i="1"/>
  <c r="O2575" i="1" s="1"/>
  <c r="J2576" i="1"/>
  <c r="K2576" i="1"/>
  <c r="L2576" i="1"/>
  <c r="N2576" i="1" s="1"/>
  <c r="M2576" i="1"/>
  <c r="O2576" i="1" s="1"/>
  <c r="J2582" i="1"/>
  <c r="K2582" i="1"/>
  <c r="L2582" i="1"/>
  <c r="N2582" i="1" s="1"/>
  <c r="M2582" i="1"/>
  <c r="O2582" i="1" s="1"/>
  <c r="J2577" i="1"/>
  <c r="K2577" i="1"/>
  <c r="L2577" i="1"/>
  <c r="N2577" i="1" s="1"/>
  <c r="M2577" i="1"/>
  <c r="O2577" i="1" s="1"/>
  <c r="J2578" i="1"/>
  <c r="K2578" i="1"/>
  <c r="L2578" i="1"/>
  <c r="N2578" i="1" s="1"/>
  <c r="M2578" i="1"/>
  <c r="O2578" i="1" s="1"/>
  <c r="J2610" i="1"/>
  <c r="K2610" i="1"/>
  <c r="L2610" i="1"/>
  <c r="N2610" i="1" s="1"/>
  <c r="M2610" i="1"/>
  <c r="O2610" i="1" s="1"/>
  <c r="J2611" i="1"/>
  <c r="K2611" i="1"/>
  <c r="L2611" i="1"/>
  <c r="N2611" i="1" s="1"/>
  <c r="M2611" i="1"/>
  <c r="O2611" i="1" s="1"/>
  <c r="J2613" i="1"/>
  <c r="K2613" i="1"/>
  <c r="L2613" i="1"/>
  <c r="N2613" i="1" s="1"/>
  <c r="M2613" i="1"/>
  <c r="O2613" i="1" s="1"/>
  <c r="J2614" i="1"/>
  <c r="K2614" i="1"/>
  <c r="L2614" i="1"/>
  <c r="N2614" i="1" s="1"/>
  <c r="M2614" i="1"/>
  <c r="O2614" i="1" s="1"/>
  <c r="J2615" i="1"/>
  <c r="K2615" i="1"/>
  <c r="L2615" i="1"/>
  <c r="N2615" i="1" s="1"/>
  <c r="M2615" i="1"/>
  <c r="O2615" i="1" s="1"/>
  <c r="D2261" i="1"/>
  <c r="S1200" i="1"/>
  <c r="S279" i="1"/>
  <c r="S1202" i="1"/>
  <c r="S1203" i="1"/>
  <c r="S1204" i="1"/>
  <c r="S1188" i="1"/>
  <c r="S1189" i="1"/>
  <c r="S1190" i="1"/>
  <c r="S1191" i="1"/>
  <c r="S51" i="1"/>
  <c r="S1316" i="1"/>
  <c r="S1194" i="1"/>
  <c r="S1195" i="1"/>
  <c r="S1196" i="1"/>
  <c r="S1197" i="1"/>
  <c r="S1198" i="1"/>
  <c r="S1320" i="1"/>
  <c r="G2907" i="1" l="1"/>
  <c r="C2907" i="1" s="1"/>
  <c r="G1227" i="1"/>
  <c r="G152" i="1"/>
  <c r="C152" i="1" s="1"/>
  <c r="G148" i="1"/>
  <c r="C148" i="1" s="1"/>
  <c r="G2757" i="1"/>
  <c r="C2757" i="1" s="1"/>
  <c r="G2701" i="1"/>
  <c r="G2692" i="1"/>
  <c r="P612" i="1"/>
  <c r="S585" i="1"/>
  <c r="P321" i="1"/>
  <c r="Q72" i="1"/>
  <c r="S1145" i="1"/>
  <c r="D274" i="1"/>
  <c r="K267" i="1"/>
  <c r="L267" i="1"/>
  <c r="N267" i="1" s="1"/>
  <c r="M267" i="1"/>
  <c r="O267" i="1" s="1"/>
  <c r="K896" i="1"/>
  <c r="L896" i="1"/>
  <c r="N896" i="1" s="1"/>
  <c r="M896" i="1"/>
  <c r="O896" i="1" s="1"/>
  <c r="Q141" i="1"/>
  <c r="S562" i="1"/>
  <c r="S561" i="1"/>
  <c r="S465" i="1"/>
  <c r="P462" i="1"/>
  <c r="S462" i="1" s="1"/>
  <c r="K231" i="1"/>
  <c r="L231" i="1"/>
  <c r="N231" i="1" s="1"/>
  <c r="M231" i="1"/>
  <c r="O231" i="1" s="1"/>
  <c r="S69" i="1"/>
  <c r="S1118" i="1"/>
  <c r="M1118" i="1"/>
  <c r="O1118" i="1" s="1"/>
  <c r="L1118" i="1"/>
  <c r="N1118" i="1" s="1"/>
  <c r="K1118" i="1"/>
  <c r="J1118" i="1"/>
  <c r="D167" i="1"/>
  <c r="E167" i="1"/>
  <c r="D225" i="1"/>
  <c r="E225" i="1"/>
  <c r="F167" i="1"/>
  <c r="F225" i="1"/>
  <c r="J167" i="1"/>
  <c r="K167" i="1"/>
  <c r="L167" i="1"/>
  <c r="N167" i="1" s="1"/>
  <c r="M167" i="1"/>
  <c r="O167" i="1" s="1"/>
  <c r="J225" i="1"/>
  <c r="K225" i="1"/>
  <c r="L225" i="1"/>
  <c r="N225" i="1" s="1"/>
  <c r="M225" i="1"/>
  <c r="O225" i="1" s="1"/>
  <c r="D2358" i="1"/>
  <c r="E2358" i="1"/>
  <c r="F2358" i="1"/>
  <c r="D2376" i="1"/>
  <c r="E2376" i="1"/>
  <c r="F2376" i="1"/>
  <c r="D2380" i="1"/>
  <c r="E2380" i="1"/>
  <c r="F2380" i="1"/>
  <c r="D2381" i="1"/>
  <c r="E2381" i="1"/>
  <c r="F2381" i="1"/>
  <c r="D2382" i="1"/>
  <c r="E2382" i="1"/>
  <c r="F2382" i="1"/>
  <c r="D2387" i="1"/>
  <c r="E2387" i="1"/>
  <c r="F2387" i="1"/>
  <c r="D67" i="1"/>
  <c r="E67" i="1"/>
  <c r="F67" i="1"/>
  <c r="D2391" i="1"/>
  <c r="E2391" i="1"/>
  <c r="F2391" i="1"/>
  <c r="D71" i="1"/>
  <c r="E71" i="1"/>
  <c r="F71" i="1"/>
  <c r="D2396" i="1"/>
  <c r="E2396" i="1"/>
  <c r="F2396" i="1"/>
  <c r="D2397" i="1"/>
  <c r="E2397" i="1"/>
  <c r="F2397" i="1"/>
  <c r="D2406" i="1"/>
  <c r="E2406" i="1"/>
  <c r="F2406" i="1"/>
  <c r="D2409" i="1"/>
  <c r="E2409" i="1"/>
  <c r="F2409" i="1"/>
  <c r="D2428" i="1"/>
  <c r="E2428" i="1"/>
  <c r="F2428" i="1"/>
  <c r="D2429" i="1"/>
  <c r="E2429" i="1"/>
  <c r="F2429" i="1"/>
  <c r="D2432" i="1"/>
  <c r="E2432" i="1"/>
  <c r="F2432" i="1"/>
  <c r="D2448" i="1"/>
  <c r="E2448" i="1"/>
  <c r="F2448" i="1"/>
  <c r="D2449" i="1"/>
  <c r="E2449" i="1"/>
  <c r="F2449" i="1"/>
  <c r="D2450" i="1"/>
  <c r="E2450" i="1"/>
  <c r="F2450" i="1"/>
  <c r="D2473" i="1"/>
  <c r="E2473" i="1"/>
  <c r="F2473" i="1"/>
  <c r="D2479" i="1"/>
  <c r="E2479" i="1"/>
  <c r="F2479" i="1"/>
  <c r="D2487" i="1"/>
  <c r="E2487" i="1"/>
  <c r="F2487" i="1"/>
  <c r="D2498" i="1"/>
  <c r="E2498" i="1"/>
  <c r="F2498" i="1"/>
  <c r="D2513" i="1"/>
  <c r="E2513" i="1"/>
  <c r="F2513" i="1"/>
  <c r="D2541" i="1"/>
  <c r="E2541" i="1"/>
  <c r="F2541" i="1"/>
  <c r="D2620" i="1"/>
  <c r="E2620" i="1"/>
  <c r="F2620" i="1"/>
  <c r="D2681" i="1"/>
  <c r="E2681" i="1"/>
  <c r="F2681" i="1"/>
  <c r="M2291" i="1"/>
  <c r="O2291" i="1" s="1"/>
  <c r="L2291" i="1"/>
  <c r="N2291" i="1" s="1"/>
  <c r="K2291" i="1"/>
  <c r="J2291" i="1"/>
  <c r="D2194" i="1"/>
  <c r="E2194" i="1"/>
  <c r="F2194" i="1"/>
  <c r="D2195" i="1"/>
  <c r="E2195" i="1"/>
  <c r="F2195" i="1"/>
  <c r="D2202" i="1"/>
  <c r="E2202" i="1"/>
  <c r="F2202" i="1"/>
  <c r="D2204" i="1"/>
  <c r="E2204" i="1"/>
  <c r="F2204" i="1"/>
  <c r="D2205" i="1"/>
  <c r="E2205" i="1"/>
  <c r="F2205" i="1"/>
  <c r="D2208" i="1"/>
  <c r="E2208" i="1"/>
  <c r="F2208" i="1"/>
  <c r="D2209" i="1"/>
  <c r="E2209" i="1"/>
  <c r="F2209" i="1"/>
  <c r="D2227" i="1"/>
  <c r="E2227" i="1"/>
  <c r="F2227" i="1"/>
  <c r="D2228" i="1"/>
  <c r="E2228" i="1"/>
  <c r="F2228" i="1"/>
  <c r="D2233" i="1"/>
  <c r="E2233" i="1"/>
  <c r="F2233" i="1"/>
  <c r="D2241" i="1"/>
  <c r="E2241" i="1"/>
  <c r="F2241" i="1"/>
  <c r="D2254" i="1"/>
  <c r="E2254" i="1"/>
  <c r="F2254" i="1"/>
  <c r="D2259" i="1"/>
  <c r="E2259" i="1"/>
  <c r="F2259" i="1"/>
  <c r="D2262" i="1"/>
  <c r="E2262" i="1"/>
  <c r="F2262" i="1"/>
  <c r="D2263" i="1"/>
  <c r="E2263" i="1"/>
  <c r="F2263" i="1"/>
  <c r="D2307" i="1"/>
  <c r="E2307" i="1"/>
  <c r="F2307" i="1"/>
  <c r="D2320" i="1"/>
  <c r="E2320" i="1"/>
  <c r="F2320" i="1"/>
  <c r="D2325" i="1"/>
  <c r="E2325" i="1"/>
  <c r="F2325" i="1"/>
  <c r="D2326" i="1"/>
  <c r="E2326" i="1"/>
  <c r="F2326" i="1"/>
  <c r="D2327" i="1"/>
  <c r="E2327" i="1"/>
  <c r="F2327" i="1"/>
  <c r="D2344" i="1"/>
  <c r="E2344" i="1"/>
  <c r="F2344" i="1"/>
  <c r="D2353" i="1"/>
  <c r="E2353" i="1"/>
  <c r="F2353" i="1"/>
  <c r="M2149" i="1"/>
  <c r="O2149" i="1" s="1"/>
  <c r="L2149" i="1"/>
  <c r="N2149" i="1" s="1"/>
  <c r="K2149" i="1"/>
  <c r="J2149" i="1"/>
  <c r="D1862" i="1"/>
  <c r="E1862" i="1"/>
  <c r="F1862" i="1"/>
  <c r="D123" i="1"/>
  <c r="E123" i="1"/>
  <c r="F123" i="1"/>
  <c r="D1865" i="1"/>
  <c r="E1865" i="1"/>
  <c r="F1865" i="1"/>
  <c r="D1868" i="1"/>
  <c r="E1868" i="1"/>
  <c r="F1868" i="1"/>
  <c r="D1870" i="1"/>
  <c r="E1870" i="1"/>
  <c r="F1870" i="1"/>
  <c r="D1872" i="1"/>
  <c r="E1872" i="1"/>
  <c r="F1872" i="1"/>
  <c r="D1895" i="1"/>
  <c r="E1895" i="1"/>
  <c r="F1895" i="1"/>
  <c r="D1896" i="1"/>
  <c r="E1896" i="1"/>
  <c r="F1896" i="1"/>
  <c r="D1897" i="1"/>
  <c r="E1897" i="1"/>
  <c r="F1897" i="1"/>
  <c r="D1902" i="1"/>
  <c r="E1902" i="1"/>
  <c r="F1902" i="1"/>
  <c r="D1918" i="1"/>
  <c r="E1918" i="1"/>
  <c r="F1918" i="1"/>
  <c r="D1919" i="1"/>
  <c r="E1919" i="1"/>
  <c r="F1919" i="1"/>
  <c r="D1928" i="1"/>
  <c r="E1928" i="1"/>
  <c r="F1928" i="1"/>
  <c r="D1951" i="1"/>
  <c r="E1951" i="1"/>
  <c r="F1951" i="1"/>
  <c r="D1952" i="1"/>
  <c r="E1952" i="1"/>
  <c r="F1952" i="1"/>
  <c r="D1953" i="1"/>
  <c r="E1953" i="1"/>
  <c r="F1953" i="1"/>
  <c r="D201" i="1"/>
  <c r="E201" i="1"/>
  <c r="F201" i="1"/>
  <c r="D1955" i="1"/>
  <c r="E1955" i="1"/>
  <c r="F1955" i="1"/>
  <c r="D1956" i="1"/>
  <c r="E1956" i="1"/>
  <c r="F1956" i="1"/>
  <c r="D1957" i="1"/>
  <c r="E1957" i="1"/>
  <c r="F1957" i="1"/>
  <c r="D1958" i="1"/>
  <c r="E1958" i="1"/>
  <c r="F1958" i="1"/>
  <c r="D1959" i="1"/>
  <c r="E1959" i="1"/>
  <c r="F1959" i="1"/>
  <c r="D1960" i="1"/>
  <c r="E1960" i="1"/>
  <c r="F1960" i="1"/>
  <c r="D1967" i="1"/>
  <c r="E1967" i="1"/>
  <c r="F1967" i="1"/>
  <c r="D1999" i="1"/>
  <c r="E1999" i="1"/>
  <c r="F1999" i="1"/>
  <c r="D2010" i="1"/>
  <c r="E2010" i="1"/>
  <c r="F2010" i="1"/>
  <c r="D2023" i="1"/>
  <c r="E2023" i="1"/>
  <c r="F2023" i="1"/>
  <c r="D2031" i="1"/>
  <c r="E2031" i="1"/>
  <c r="F2031" i="1"/>
  <c r="D2032" i="1"/>
  <c r="E2032" i="1"/>
  <c r="F2032" i="1"/>
  <c r="D2033" i="1"/>
  <c r="E2033" i="1"/>
  <c r="F2033" i="1"/>
  <c r="D2036" i="1"/>
  <c r="E2036" i="1"/>
  <c r="F2036" i="1"/>
  <c r="D2037" i="1"/>
  <c r="E2037" i="1"/>
  <c r="F2037" i="1"/>
  <c r="D2038" i="1"/>
  <c r="E2038" i="1"/>
  <c r="F2038" i="1"/>
  <c r="D2039" i="1"/>
  <c r="E2039" i="1"/>
  <c r="F2039" i="1"/>
  <c r="D2040" i="1"/>
  <c r="E2040" i="1"/>
  <c r="F2040" i="1"/>
  <c r="D2067" i="1"/>
  <c r="E2067" i="1"/>
  <c r="F2067" i="1"/>
  <c r="D2068" i="1"/>
  <c r="E2068" i="1"/>
  <c r="F2068" i="1"/>
  <c r="D2069" i="1"/>
  <c r="E2069" i="1"/>
  <c r="F2069" i="1"/>
  <c r="D2070" i="1"/>
  <c r="E2070" i="1"/>
  <c r="F2070" i="1"/>
  <c r="D2071" i="1"/>
  <c r="E2071" i="1"/>
  <c r="F2071" i="1"/>
  <c r="D2072" i="1"/>
  <c r="E2072" i="1"/>
  <c r="F2072" i="1"/>
  <c r="D2077" i="1"/>
  <c r="E2077" i="1"/>
  <c r="F2077" i="1"/>
  <c r="D2087" i="1"/>
  <c r="E2087" i="1"/>
  <c r="F2087" i="1"/>
  <c r="D2116" i="1"/>
  <c r="E2116" i="1"/>
  <c r="F2116" i="1"/>
  <c r="D2117" i="1"/>
  <c r="E2117" i="1"/>
  <c r="F2117" i="1"/>
  <c r="D2121" i="1"/>
  <c r="E2121" i="1"/>
  <c r="F2121" i="1"/>
  <c r="D2122" i="1"/>
  <c r="E2122" i="1"/>
  <c r="F2122" i="1"/>
  <c r="D2123" i="1"/>
  <c r="E2123" i="1"/>
  <c r="F2123" i="1"/>
  <c r="D2124" i="1"/>
  <c r="E2124" i="1"/>
  <c r="F2124" i="1"/>
  <c r="D2125" i="1"/>
  <c r="E2125" i="1"/>
  <c r="F2125" i="1"/>
  <c r="D2167" i="1"/>
  <c r="E2167" i="1"/>
  <c r="F2167" i="1"/>
  <c r="D2168" i="1"/>
  <c r="E2168" i="1"/>
  <c r="F2168" i="1"/>
  <c r="D2169" i="1"/>
  <c r="E2169" i="1"/>
  <c r="F2169" i="1"/>
  <c r="D2173" i="1"/>
  <c r="E2173" i="1"/>
  <c r="F2173" i="1"/>
  <c r="D2184" i="1"/>
  <c r="E2184" i="1"/>
  <c r="F2184" i="1"/>
  <c r="D2192" i="1"/>
  <c r="E2192" i="1"/>
  <c r="F2192" i="1"/>
  <c r="D2193" i="1"/>
  <c r="E2193" i="1"/>
  <c r="F2193" i="1"/>
  <c r="D1857" i="1"/>
  <c r="E1857" i="1"/>
  <c r="F1857" i="1"/>
  <c r="D1859" i="1"/>
  <c r="E1859" i="1"/>
  <c r="F1859" i="1"/>
  <c r="D1860" i="1"/>
  <c r="E1860" i="1"/>
  <c r="F1860" i="1"/>
  <c r="D1861" i="1"/>
  <c r="E1861" i="1"/>
  <c r="F1861" i="1"/>
  <c r="M1813" i="1"/>
  <c r="O1813" i="1" s="1"/>
  <c r="L1813" i="1"/>
  <c r="N1813" i="1" s="1"/>
  <c r="K1813" i="1"/>
  <c r="J1813" i="1"/>
  <c r="D169" i="1"/>
  <c r="E169" i="1"/>
  <c r="F169" i="1"/>
  <c r="D294" i="1"/>
  <c r="E294" i="1"/>
  <c r="F294" i="1"/>
  <c r="D207" i="1"/>
  <c r="E207" i="1"/>
  <c r="F207" i="1"/>
  <c r="D176" i="1"/>
  <c r="E176" i="1"/>
  <c r="F176" i="1"/>
  <c r="D1808" i="1"/>
  <c r="E1808" i="1"/>
  <c r="F1808" i="1"/>
  <c r="D134" i="1"/>
  <c r="E134" i="1"/>
  <c r="F134" i="1"/>
  <c r="D1823" i="1"/>
  <c r="E1823" i="1"/>
  <c r="F1823" i="1"/>
  <c r="D1824" i="1"/>
  <c r="E1824" i="1"/>
  <c r="F1824" i="1"/>
  <c r="D1829" i="1"/>
  <c r="E1829" i="1"/>
  <c r="F1829" i="1"/>
  <c r="D1841" i="1"/>
  <c r="E1841" i="1"/>
  <c r="F1841" i="1"/>
  <c r="D1846" i="1"/>
  <c r="E1846" i="1"/>
  <c r="F1846" i="1"/>
  <c r="D1848" i="1"/>
  <c r="E1848" i="1"/>
  <c r="F1848" i="1"/>
  <c r="D1849" i="1"/>
  <c r="E1849" i="1"/>
  <c r="F1849" i="1"/>
  <c r="D1854" i="1"/>
  <c r="E1854" i="1"/>
  <c r="F1854" i="1"/>
  <c r="D1855" i="1"/>
  <c r="E1855" i="1"/>
  <c r="F1855" i="1"/>
  <c r="D1856" i="1"/>
  <c r="E1856" i="1"/>
  <c r="F1856" i="1"/>
  <c r="D1742" i="1"/>
  <c r="E1742" i="1"/>
  <c r="F1742" i="1"/>
  <c r="D1758" i="1"/>
  <c r="E1758" i="1"/>
  <c r="F1758" i="1"/>
  <c r="D1759" i="1"/>
  <c r="E1759" i="1"/>
  <c r="F1759" i="1"/>
  <c r="D1760" i="1"/>
  <c r="E1760" i="1"/>
  <c r="F1760" i="1"/>
  <c r="D1761" i="1"/>
  <c r="E1761" i="1"/>
  <c r="F1761" i="1"/>
  <c r="D1774" i="1"/>
  <c r="E1774" i="1"/>
  <c r="F1774" i="1"/>
  <c r="D1779" i="1"/>
  <c r="E1779" i="1"/>
  <c r="F1779" i="1"/>
  <c r="D1780" i="1"/>
  <c r="E1780" i="1"/>
  <c r="F1780" i="1"/>
  <c r="D1785" i="1"/>
  <c r="E1785" i="1"/>
  <c r="F1785" i="1"/>
  <c r="D1786" i="1"/>
  <c r="E1786" i="1"/>
  <c r="F1786" i="1"/>
  <c r="D1787" i="1"/>
  <c r="E1787" i="1"/>
  <c r="F1787" i="1"/>
  <c r="D1788" i="1"/>
  <c r="E1788" i="1"/>
  <c r="F1788" i="1"/>
  <c r="D1790" i="1"/>
  <c r="E1790" i="1"/>
  <c r="F1790" i="1"/>
  <c r="D1791" i="1"/>
  <c r="E1791" i="1"/>
  <c r="F1791" i="1"/>
  <c r="D1792" i="1"/>
  <c r="E1792" i="1"/>
  <c r="F1792" i="1"/>
  <c r="D1796" i="1"/>
  <c r="E1796" i="1"/>
  <c r="F1796" i="1"/>
  <c r="E72" i="1"/>
  <c r="F72" i="1"/>
  <c r="D1799" i="1"/>
  <c r="E1799" i="1"/>
  <c r="F1799" i="1"/>
  <c r="D285" i="1"/>
  <c r="E285" i="1"/>
  <c r="F285" i="1"/>
  <c r="E49" i="1"/>
  <c r="F49" i="1"/>
  <c r="E300" i="1"/>
  <c r="F300" i="1"/>
  <c r="E302" i="1"/>
  <c r="F302" i="1"/>
  <c r="E304" i="1"/>
  <c r="F304" i="1"/>
  <c r="E305" i="1"/>
  <c r="F305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21" i="1"/>
  <c r="F321" i="1"/>
  <c r="E322" i="1"/>
  <c r="F322" i="1"/>
  <c r="E323" i="1"/>
  <c r="F323" i="1"/>
  <c r="E227" i="1"/>
  <c r="F227" i="1"/>
  <c r="E324" i="1"/>
  <c r="F324" i="1"/>
  <c r="E325" i="1"/>
  <c r="F325" i="1"/>
  <c r="E326" i="1"/>
  <c r="F326" i="1"/>
  <c r="E327" i="1"/>
  <c r="F327" i="1"/>
  <c r="E328" i="1"/>
  <c r="F328" i="1"/>
  <c r="E92" i="1"/>
  <c r="F92" i="1"/>
  <c r="E329" i="1"/>
  <c r="F329" i="1"/>
  <c r="E330" i="1"/>
  <c r="F330" i="1"/>
  <c r="E337" i="1"/>
  <c r="F337" i="1"/>
  <c r="E338" i="1"/>
  <c r="F338" i="1"/>
  <c r="E339" i="1"/>
  <c r="F339" i="1"/>
  <c r="E349" i="1"/>
  <c r="F349" i="1"/>
  <c r="E350" i="1"/>
  <c r="F350" i="1"/>
  <c r="E351" i="1"/>
  <c r="F351" i="1"/>
  <c r="E352" i="1"/>
  <c r="F352" i="1"/>
  <c r="E356" i="1"/>
  <c r="F356" i="1"/>
  <c r="E363" i="1"/>
  <c r="F363" i="1"/>
  <c r="E364" i="1"/>
  <c r="F364" i="1"/>
  <c r="E365" i="1"/>
  <c r="F365" i="1"/>
  <c r="E42" i="1"/>
  <c r="F42" i="1"/>
  <c r="E366" i="1"/>
  <c r="F366" i="1"/>
  <c r="E369" i="1"/>
  <c r="F369" i="1"/>
  <c r="E370" i="1"/>
  <c r="F370" i="1"/>
  <c r="E372" i="1"/>
  <c r="F372" i="1"/>
  <c r="E374" i="1"/>
  <c r="F374" i="1"/>
  <c r="E375" i="1"/>
  <c r="F375" i="1"/>
  <c r="E377" i="1"/>
  <c r="F377" i="1"/>
  <c r="E378" i="1"/>
  <c r="F378" i="1"/>
  <c r="E379" i="1"/>
  <c r="F379" i="1"/>
  <c r="E380" i="1"/>
  <c r="F380" i="1"/>
  <c r="E381" i="1"/>
  <c r="F381" i="1"/>
  <c r="E382" i="1"/>
  <c r="F382" i="1"/>
  <c r="E384" i="1"/>
  <c r="F384" i="1"/>
  <c r="E385" i="1"/>
  <c r="F385" i="1"/>
  <c r="E386" i="1"/>
  <c r="F386" i="1"/>
  <c r="E390" i="1"/>
  <c r="F390" i="1"/>
  <c r="E391" i="1"/>
  <c r="F391" i="1"/>
  <c r="E392" i="1"/>
  <c r="F392" i="1"/>
  <c r="E396" i="1"/>
  <c r="F396" i="1"/>
  <c r="E399" i="1"/>
  <c r="F399" i="1"/>
  <c r="E402" i="1"/>
  <c r="F402" i="1"/>
  <c r="E43" i="1"/>
  <c r="F43" i="1"/>
  <c r="E405" i="1"/>
  <c r="F405" i="1"/>
  <c r="E196" i="1"/>
  <c r="F196" i="1"/>
  <c r="E409" i="1"/>
  <c r="F409" i="1"/>
  <c r="E414" i="1"/>
  <c r="F414" i="1"/>
  <c r="E415" i="1"/>
  <c r="F415" i="1"/>
  <c r="E110" i="1"/>
  <c r="F110" i="1"/>
  <c r="E420" i="1"/>
  <c r="F420" i="1"/>
  <c r="E424" i="1"/>
  <c r="F424" i="1"/>
  <c r="E428" i="1"/>
  <c r="F428" i="1"/>
  <c r="E429" i="1"/>
  <c r="F429" i="1"/>
  <c r="E436" i="1"/>
  <c r="F436" i="1"/>
  <c r="E437" i="1"/>
  <c r="F437" i="1"/>
  <c r="E438" i="1"/>
  <c r="F438" i="1"/>
  <c r="E441" i="1"/>
  <c r="F441" i="1"/>
  <c r="E443" i="1"/>
  <c r="F443" i="1"/>
  <c r="E444" i="1"/>
  <c r="F444" i="1"/>
  <c r="E445" i="1"/>
  <c r="F445" i="1"/>
  <c r="E451" i="1"/>
  <c r="F451" i="1"/>
  <c r="E452" i="1"/>
  <c r="F452" i="1"/>
  <c r="E453" i="1"/>
  <c r="F453" i="1"/>
  <c r="E462" i="1"/>
  <c r="F462" i="1"/>
  <c r="E465" i="1"/>
  <c r="F465" i="1"/>
  <c r="E466" i="1"/>
  <c r="F466" i="1"/>
  <c r="E471" i="1"/>
  <c r="F471" i="1"/>
  <c r="E472" i="1"/>
  <c r="F472" i="1"/>
  <c r="E473" i="1"/>
  <c r="F473" i="1"/>
  <c r="E481" i="1"/>
  <c r="F481" i="1"/>
  <c r="E482" i="1"/>
  <c r="F482" i="1"/>
  <c r="E483" i="1"/>
  <c r="F483" i="1"/>
  <c r="E484" i="1"/>
  <c r="F484" i="1"/>
  <c r="E155" i="1"/>
  <c r="F155" i="1"/>
  <c r="E490" i="1"/>
  <c r="F490" i="1"/>
  <c r="E491" i="1"/>
  <c r="F491" i="1"/>
  <c r="E18" i="1"/>
  <c r="F18" i="1"/>
  <c r="E496" i="1"/>
  <c r="F496" i="1"/>
  <c r="E497" i="1"/>
  <c r="F497" i="1"/>
  <c r="E502" i="1"/>
  <c r="F502" i="1"/>
  <c r="E503" i="1"/>
  <c r="F503" i="1"/>
  <c r="E504" i="1"/>
  <c r="F504" i="1"/>
  <c r="E505" i="1"/>
  <c r="F505" i="1"/>
  <c r="E506" i="1"/>
  <c r="F506" i="1"/>
  <c r="E511" i="1"/>
  <c r="F511" i="1"/>
  <c r="E516" i="1"/>
  <c r="F516" i="1"/>
  <c r="E517" i="1"/>
  <c r="F517" i="1"/>
  <c r="E521" i="1"/>
  <c r="F521" i="1"/>
  <c r="E522" i="1"/>
  <c r="F522" i="1"/>
  <c r="E523" i="1"/>
  <c r="F523" i="1"/>
  <c r="E526" i="1"/>
  <c r="F526" i="1"/>
  <c r="E536" i="1"/>
  <c r="F536" i="1"/>
  <c r="E537" i="1"/>
  <c r="F537" i="1"/>
  <c r="E538" i="1"/>
  <c r="F538" i="1"/>
  <c r="E539" i="1"/>
  <c r="F539" i="1"/>
  <c r="E542" i="1"/>
  <c r="F542" i="1"/>
  <c r="E543" i="1"/>
  <c r="F543" i="1"/>
  <c r="E544" i="1"/>
  <c r="F544" i="1"/>
  <c r="E549" i="1"/>
  <c r="F549" i="1"/>
  <c r="E551" i="1"/>
  <c r="F551" i="1"/>
  <c r="E557" i="1"/>
  <c r="F557" i="1"/>
  <c r="E558" i="1"/>
  <c r="F558" i="1"/>
  <c r="E559" i="1"/>
  <c r="F559" i="1"/>
  <c r="E560" i="1"/>
  <c r="F560" i="1"/>
  <c r="E561" i="1"/>
  <c r="F561" i="1"/>
  <c r="E153" i="1"/>
  <c r="F153" i="1"/>
  <c r="E210" i="1"/>
  <c r="F210" i="1"/>
  <c r="E562" i="1"/>
  <c r="F562" i="1"/>
  <c r="E564" i="1"/>
  <c r="F564" i="1"/>
  <c r="E570" i="1"/>
  <c r="F570" i="1"/>
  <c r="E571" i="1"/>
  <c r="F571" i="1"/>
  <c r="E572" i="1"/>
  <c r="F572" i="1"/>
  <c r="E573" i="1"/>
  <c r="F573" i="1"/>
  <c r="E585" i="1"/>
  <c r="F585" i="1"/>
  <c r="E587" i="1"/>
  <c r="F587" i="1"/>
  <c r="E588" i="1"/>
  <c r="F588" i="1"/>
  <c r="E589" i="1"/>
  <c r="F589" i="1"/>
  <c r="E590" i="1"/>
  <c r="F590" i="1"/>
  <c r="E596" i="1"/>
  <c r="F596" i="1"/>
  <c r="E597" i="1"/>
  <c r="F597" i="1"/>
  <c r="E600" i="1"/>
  <c r="F600" i="1"/>
  <c r="E605" i="1"/>
  <c r="F605" i="1"/>
  <c r="E610" i="1"/>
  <c r="F610" i="1"/>
  <c r="E611" i="1"/>
  <c r="F611" i="1"/>
  <c r="E612" i="1"/>
  <c r="F612" i="1"/>
  <c r="E613" i="1"/>
  <c r="F613" i="1"/>
  <c r="E614" i="1"/>
  <c r="F614" i="1"/>
  <c r="E616" i="1"/>
  <c r="F616" i="1"/>
  <c r="E617" i="1"/>
  <c r="F617" i="1"/>
  <c r="E620" i="1"/>
  <c r="F620" i="1"/>
  <c r="E621" i="1"/>
  <c r="F621" i="1"/>
  <c r="E622" i="1"/>
  <c r="F622" i="1"/>
  <c r="E625" i="1"/>
  <c r="F625" i="1"/>
  <c r="E626" i="1"/>
  <c r="F626" i="1"/>
  <c r="E627" i="1"/>
  <c r="F627" i="1"/>
  <c r="E632" i="1"/>
  <c r="F632" i="1"/>
  <c r="E633" i="1"/>
  <c r="F633" i="1"/>
  <c r="E634" i="1"/>
  <c r="F634" i="1"/>
  <c r="E636" i="1"/>
  <c r="F636" i="1"/>
  <c r="E26" i="1"/>
  <c r="F26" i="1"/>
  <c r="E47" i="1"/>
  <c r="F47" i="1"/>
  <c r="E113" i="1"/>
  <c r="F113" i="1"/>
  <c r="E637" i="1"/>
  <c r="F637" i="1"/>
  <c r="E638" i="1"/>
  <c r="F638" i="1"/>
  <c r="E639" i="1"/>
  <c r="F639" i="1"/>
  <c r="E640" i="1"/>
  <c r="F640" i="1"/>
  <c r="E642" i="1"/>
  <c r="F642" i="1"/>
  <c r="E100" i="1"/>
  <c r="F100" i="1"/>
  <c r="E48" i="1"/>
  <c r="F48" i="1"/>
  <c r="E132" i="1"/>
  <c r="F132" i="1"/>
  <c r="E644" i="1"/>
  <c r="F644" i="1"/>
  <c r="E649" i="1"/>
  <c r="F649" i="1"/>
  <c r="E650" i="1"/>
  <c r="F650" i="1"/>
  <c r="E651" i="1"/>
  <c r="F651" i="1"/>
  <c r="E656" i="1"/>
  <c r="F656" i="1"/>
  <c r="E657" i="1"/>
  <c r="F657" i="1"/>
  <c r="E662" i="1"/>
  <c r="F662" i="1"/>
  <c r="E663" i="1"/>
  <c r="F663" i="1"/>
  <c r="E669" i="1"/>
  <c r="F669" i="1"/>
  <c r="E675" i="1"/>
  <c r="F675" i="1"/>
  <c r="E676" i="1"/>
  <c r="F676" i="1"/>
  <c r="E681" i="1"/>
  <c r="F681" i="1"/>
  <c r="E682" i="1"/>
  <c r="F682" i="1"/>
  <c r="E683" i="1"/>
  <c r="F683" i="1"/>
  <c r="E684" i="1"/>
  <c r="F684" i="1"/>
  <c r="E685" i="1"/>
  <c r="F685" i="1"/>
  <c r="E80" i="1"/>
  <c r="F80" i="1"/>
  <c r="E195" i="1"/>
  <c r="F195" i="1"/>
  <c r="E118" i="1"/>
  <c r="F118" i="1"/>
  <c r="E11" i="1"/>
  <c r="F11" i="1"/>
  <c r="E686" i="1"/>
  <c r="F686" i="1"/>
  <c r="E687" i="1"/>
  <c r="F687" i="1"/>
  <c r="E688" i="1"/>
  <c r="F688" i="1"/>
  <c r="E693" i="1"/>
  <c r="F693" i="1"/>
  <c r="E107" i="1"/>
  <c r="F107" i="1"/>
  <c r="E704" i="1"/>
  <c r="F704" i="1"/>
  <c r="E709" i="1"/>
  <c r="F709" i="1"/>
  <c r="E710" i="1"/>
  <c r="F710" i="1"/>
  <c r="E141" i="1"/>
  <c r="F141" i="1"/>
  <c r="E714" i="1"/>
  <c r="F714" i="1"/>
  <c r="E715" i="1"/>
  <c r="F715" i="1"/>
  <c r="E716" i="1"/>
  <c r="F716" i="1"/>
  <c r="E717" i="1"/>
  <c r="F717" i="1"/>
  <c r="E719" i="1"/>
  <c r="F719" i="1"/>
  <c r="E723" i="1"/>
  <c r="F723" i="1"/>
  <c r="E725" i="1"/>
  <c r="F725" i="1"/>
  <c r="E727" i="1"/>
  <c r="F727" i="1"/>
  <c r="E730" i="1"/>
  <c r="F730" i="1"/>
  <c r="E734" i="1"/>
  <c r="F734" i="1"/>
  <c r="E741" i="1"/>
  <c r="F741" i="1"/>
  <c r="E742" i="1"/>
  <c r="F742" i="1"/>
  <c r="E283" i="1"/>
  <c r="F283" i="1"/>
  <c r="E750" i="1"/>
  <c r="F750" i="1"/>
  <c r="E751" i="1"/>
  <c r="F751" i="1"/>
  <c r="E753" i="1"/>
  <c r="F753" i="1"/>
  <c r="E754" i="1"/>
  <c r="F754" i="1"/>
  <c r="E757" i="1"/>
  <c r="F757" i="1"/>
  <c r="E760" i="1"/>
  <c r="F760" i="1"/>
  <c r="E763" i="1"/>
  <c r="F763" i="1"/>
  <c r="E764" i="1"/>
  <c r="F764" i="1"/>
  <c r="E773" i="1"/>
  <c r="F773" i="1"/>
  <c r="E774" i="1"/>
  <c r="F774" i="1"/>
  <c r="E784" i="1"/>
  <c r="F784" i="1"/>
  <c r="E785" i="1"/>
  <c r="F785" i="1"/>
  <c r="E787" i="1"/>
  <c r="F787" i="1"/>
  <c r="E788" i="1"/>
  <c r="F788" i="1"/>
  <c r="E161" i="1"/>
  <c r="F161" i="1"/>
  <c r="E789" i="1"/>
  <c r="F789" i="1"/>
  <c r="E791" i="1"/>
  <c r="F791" i="1"/>
  <c r="E793" i="1"/>
  <c r="F793" i="1"/>
  <c r="E794" i="1"/>
  <c r="F794" i="1"/>
  <c r="E795" i="1"/>
  <c r="F795" i="1"/>
  <c r="E796" i="1"/>
  <c r="F796" i="1"/>
  <c r="E797" i="1"/>
  <c r="F797" i="1"/>
  <c r="E798" i="1"/>
  <c r="F798" i="1"/>
  <c r="E801" i="1"/>
  <c r="F801" i="1"/>
  <c r="E805" i="1"/>
  <c r="F805" i="1"/>
  <c r="E807" i="1"/>
  <c r="F807" i="1"/>
  <c r="E809" i="1"/>
  <c r="F809" i="1"/>
  <c r="E810" i="1"/>
  <c r="F810" i="1"/>
  <c r="E814" i="1"/>
  <c r="F814" i="1"/>
  <c r="E819" i="1"/>
  <c r="F819" i="1"/>
  <c r="E820" i="1"/>
  <c r="F820" i="1"/>
  <c r="E821" i="1"/>
  <c r="F821" i="1"/>
  <c r="E822" i="1"/>
  <c r="F822" i="1"/>
  <c r="E826" i="1"/>
  <c r="F826" i="1"/>
  <c r="E833" i="1"/>
  <c r="F833" i="1"/>
  <c r="E837" i="1"/>
  <c r="F837" i="1"/>
  <c r="E839" i="1"/>
  <c r="F839" i="1"/>
  <c r="E842" i="1"/>
  <c r="F842" i="1"/>
  <c r="E843" i="1"/>
  <c r="F843" i="1"/>
  <c r="E852" i="1"/>
  <c r="F852" i="1"/>
  <c r="E865" i="1"/>
  <c r="F865" i="1"/>
  <c r="E866" i="1"/>
  <c r="F866" i="1"/>
  <c r="E867" i="1"/>
  <c r="F867" i="1"/>
  <c r="E869" i="1"/>
  <c r="F869" i="1"/>
  <c r="E870" i="1"/>
  <c r="F870" i="1"/>
  <c r="E871" i="1"/>
  <c r="F871" i="1"/>
  <c r="E872" i="1"/>
  <c r="F872" i="1"/>
  <c r="E873" i="1"/>
  <c r="F873" i="1"/>
  <c r="E874" i="1"/>
  <c r="F874" i="1"/>
  <c r="E875" i="1"/>
  <c r="F875" i="1"/>
  <c r="E876" i="1"/>
  <c r="F876" i="1"/>
  <c r="E879" i="1"/>
  <c r="F879" i="1"/>
  <c r="E883" i="1"/>
  <c r="F883" i="1"/>
  <c r="E885" i="1"/>
  <c r="F885" i="1"/>
  <c r="E886" i="1"/>
  <c r="F886" i="1"/>
  <c r="E889" i="1"/>
  <c r="F889" i="1"/>
  <c r="E891" i="1"/>
  <c r="F891" i="1"/>
  <c r="E892" i="1"/>
  <c r="F892" i="1"/>
  <c r="E897" i="1"/>
  <c r="F897" i="1"/>
  <c r="E905" i="1"/>
  <c r="F905" i="1"/>
  <c r="E907" i="1"/>
  <c r="F907" i="1"/>
  <c r="E41" i="1"/>
  <c r="F41" i="1"/>
  <c r="E908" i="1"/>
  <c r="F908" i="1"/>
  <c r="E912" i="1"/>
  <c r="F912" i="1"/>
  <c r="E918" i="1"/>
  <c r="F918" i="1"/>
  <c r="E919" i="1"/>
  <c r="F919" i="1"/>
  <c r="E920" i="1"/>
  <c r="F920" i="1"/>
  <c r="E921" i="1"/>
  <c r="F921" i="1"/>
  <c r="E922" i="1"/>
  <c r="F922" i="1"/>
  <c r="E925" i="1"/>
  <c r="F925" i="1"/>
  <c r="E929" i="1"/>
  <c r="F929" i="1"/>
  <c r="E930" i="1"/>
  <c r="F930" i="1"/>
  <c r="E931" i="1"/>
  <c r="F931" i="1"/>
  <c r="E932" i="1"/>
  <c r="F932" i="1"/>
  <c r="E933" i="1"/>
  <c r="F933" i="1"/>
  <c r="E935" i="1"/>
  <c r="F935" i="1"/>
  <c r="E942" i="1"/>
  <c r="F942" i="1"/>
  <c r="E943" i="1"/>
  <c r="F943" i="1"/>
  <c r="E944" i="1"/>
  <c r="F944" i="1"/>
  <c r="E945" i="1"/>
  <c r="F945" i="1"/>
  <c r="E947" i="1"/>
  <c r="F947" i="1"/>
  <c r="E948" i="1"/>
  <c r="F948" i="1"/>
  <c r="E949" i="1"/>
  <c r="F949" i="1"/>
  <c r="E951" i="1"/>
  <c r="F951" i="1"/>
  <c r="E952" i="1"/>
  <c r="F952" i="1"/>
  <c r="E164" i="1"/>
  <c r="F164" i="1"/>
  <c r="E953" i="1"/>
  <c r="F953" i="1"/>
  <c r="E108" i="1"/>
  <c r="F108" i="1"/>
  <c r="E955" i="1"/>
  <c r="F955" i="1"/>
  <c r="E956" i="1"/>
  <c r="F956" i="1"/>
  <c r="E957" i="1"/>
  <c r="F957" i="1"/>
  <c r="E958" i="1"/>
  <c r="F958" i="1"/>
  <c r="E959" i="1"/>
  <c r="F959" i="1"/>
  <c r="E960" i="1"/>
  <c r="F960" i="1"/>
  <c r="E962" i="1"/>
  <c r="F962" i="1"/>
  <c r="E965" i="1"/>
  <c r="F965" i="1"/>
  <c r="E969" i="1"/>
  <c r="F969" i="1"/>
  <c r="E970" i="1"/>
  <c r="F970" i="1"/>
  <c r="E972" i="1"/>
  <c r="F972" i="1"/>
  <c r="E976" i="1"/>
  <c r="F976" i="1"/>
  <c r="E978" i="1"/>
  <c r="F978" i="1"/>
  <c r="E981" i="1"/>
  <c r="F981" i="1"/>
  <c r="E983" i="1"/>
  <c r="F983" i="1"/>
  <c r="E984" i="1"/>
  <c r="F984" i="1"/>
  <c r="E989" i="1"/>
  <c r="F989" i="1"/>
  <c r="E990" i="1"/>
  <c r="F990" i="1"/>
  <c r="E991" i="1"/>
  <c r="F991" i="1"/>
  <c r="E1000" i="1"/>
  <c r="F1000" i="1"/>
  <c r="E1012" i="1"/>
  <c r="F1012" i="1"/>
  <c r="E1020" i="1"/>
  <c r="F1020" i="1"/>
  <c r="E1024" i="1"/>
  <c r="F1024" i="1"/>
  <c r="E1033" i="1"/>
  <c r="F1033" i="1"/>
  <c r="E1037" i="1"/>
  <c r="F1037" i="1"/>
  <c r="E1039" i="1"/>
  <c r="F1039" i="1"/>
  <c r="E1040" i="1"/>
  <c r="F1040" i="1"/>
  <c r="E1041" i="1"/>
  <c r="F1041" i="1"/>
  <c r="E1042" i="1"/>
  <c r="F1042" i="1"/>
  <c r="E1043" i="1"/>
  <c r="F1043" i="1"/>
  <c r="E1044" i="1"/>
  <c r="F1044" i="1"/>
  <c r="E1046" i="1"/>
  <c r="F1046" i="1"/>
  <c r="E1049" i="1"/>
  <c r="F1049" i="1"/>
  <c r="E1053" i="1"/>
  <c r="F1053" i="1"/>
  <c r="E1054" i="1"/>
  <c r="F1054" i="1"/>
  <c r="E1055" i="1"/>
  <c r="F1055" i="1"/>
  <c r="E1056" i="1"/>
  <c r="F1056" i="1"/>
  <c r="E1059" i="1"/>
  <c r="F1059" i="1"/>
  <c r="E1064" i="1"/>
  <c r="F1064" i="1"/>
  <c r="E1065" i="1"/>
  <c r="F1065" i="1"/>
  <c r="E1071" i="1"/>
  <c r="F1071" i="1"/>
  <c r="E1074" i="1"/>
  <c r="F1074" i="1"/>
  <c r="E1081" i="1"/>
  <c r="F1081" i="1"/>
  <c r="E1086" i="1"/>
  <c r="F1086" i="1"/>
  <c r="E1087" i="1"/>
  <c r="F1087" i="1"/>
  <c r="E1088" i="1"/>
  <c r="F1088" i="1"/>
  <c r="E96" i="1"/>
  <c r="F96" i="1"/>
  <c r="E46" i="1"/>
  <c r="F46" i="1"/>
  <c r="E1089" i="1"/>
  <c r="F1089" i="1"/>
  <c r="E1090" i="1"/>
  <c r="F1090" i="1"/>
  <c r="E1091" i="1"/>
  <c r="F1091" i="1"/>
  <c r="E1092" i="1"/>
  <c r="F1092" i="1"/>
  <c r="E1093" i="1"/>
  <c r="F1093" i="1"/>
  <c r="E1095" i="1"/>
  <c r="F1095" i="1"/>
  <c r="E1096" i="1"/>
  <c r="F1096" i="1"/>
  <c r="E1098" i="1"/>
  <c r="F1098" i="1"/>
  <c r="E1099" i="1"/>
  <c r="F1099" i="1"/>
  <c r="E1109" i="1"/>
  <c r="F1109" i="1"/>
  <c r="E1112" i="1"/>
  <c r="F1112" i="1"/>
  <c r="E1113" i="1"/>
  <c r="F1113" i="1"/>
  <c r="E1114" i="1"/>
  <c r="F1114" i="1"/>
  <c r="E1115" i="1"/>
  <c r="F1115" i="1"/>
  <c r="E1116" i="1"/>
  <c r="F1116" i="1"/>
  <c r="E1119" i="1"/>
  <c r="F1119" i="1"/>
  <c r="E1120" i="1"/>
  <c r="F1120" i="1"/>
  <c r="E1121" i="1"/>
  <c r="F1121" i="1"/>
  <c r="E1122" i="1"/>
  <c r="F1122" i="1"/>
  <c r="E1123" i="1"/>
  <c r="F1123" i="1"/>
  <c r="E1127" i="1"/>
  <c r="F1127" i="1"/>
  <c r="E1128" i="1"/>
  <c r="F1128" i="1"/>
  <c r="E1129" i="1"/>
  <c r="F1129" i="1"/>
  <c r="E1131" i="1"/>
  <c r="F1131" i="1"/>
  <c r="E1132" i="1"/>
  <c r="F1132" i="1"/>
  <c r="E1133" i="1"/>
  <c r="F1133" i="1"/>
  <c r="E1134" i="1"/>
  <c r="F1134" i="1"/>
  <c r="E1135" i="1"/>
  <c r="F1135" i="1"/>
  <c r="E1136" i="1"/>
  <c r="F1136" i="1"/>
  <c r="E1138" i="1"/>
  <c r="F1138" i="1"/>
  <c r="E1140" i="1"/>
  <c r="F1140" i="1"/>
  <c r="E1145" i="1"/>
  <c r="F1145" i="1"/>
  <c r="E1148" i="1"/>
  <c r="F1148" i="1"/>
  <c r="E1149" i="1"/>
  <c r="F1149" i="1"/>
  <c r="E1151" i="1"/>
  <c r="F1151" i="1"/>
  <c r="E1158" i="1"/>
  <c r="F1158" i="1"/>
  <c r="E1161" i="1"/>
  <c r="F1161" i="1"/>
  <c r="E1172" i="1"/>
  <c r="F1172" i="1"/>
  <c r="E1173" i="1"/>
  <c r="F1173" i="1"/>
  <c r="E1174" i="1"/>
  <c r="F1174" i="1"/>
  <c r="E1179" i="1"/>
  <c r="F1179" i="1"/>
  <c r="E1185" i="1"/>
  <c r="F1185" i="1"/>
  <c r="E1192" i="1"/>
  <c r="F1192" i="1"/>
  <c r="E1193" i="1"/>
  <c r="F1193" i="1"/>
  <c r="E1199" i="1"/>
  <c r="F1199" i="1"/>
  <c r="E1201" i="1"/>
  <c r="F1201" i="1"/>
  <c r="E1207" i="1"/>
  <c r="F1207" i="1"/>
  <c r="E1208" i="1"/>
  <c r="F1208" i="1"/>
  <c r="E1212" i="1"/>
  <c r="F1212" i="1"/>
  <c r="E1214" i="1"/>
  <c r="F1214" i="1"/>
  <c r="E162" i="1"/>
  <c r="F162" i="1"/>
  <c r="E1215" i="1"/>
  <c r="F1215" i="1"/>
  <c r="E1216" i="1"/>
  <c r="F1216" i="1"/>
  <c r="E1217" i="1"/>
  <c r="F1217" i="1"/>
  <c r="E1218" i="1"/>
  <c r="F1218" i="1"/>
  <c r="E1219" i="1"/>
  <c r="F1219" i="1"/>
  <c r="E1220" i="1"/>
  <c r="F1220" i="1"/>
  <c r="E1223" i="1"/>
  <c r="F1223" i="1"/>
  <c r="E1225" i="1"/>
  <c r="F1225" i="1"/>
  <c r="E1228" i="1"/>
  <c r="F1228" i="1"/>
  <c r="E1230" i="1"/>
  <c r="F1230" i="1"/>
  <c r="E45" i="1"/>
  <c r="F45" i="1"/>
  <c r="E50" i="1"/>
  <c r="F50" i="1"/>
  <c r="E102" i="1"/>
  <c r="F102" i="1"/>
  <c r="E1231" i="1"/>
  <c r="F1231" i="1"/>
  <c r="E1237" i="1"/>
  <c r="F1237" i="1"/>
  <c r="E1238" i="1"/>
  <c r="F1238" i="1"/>
  <c r="E1241" i="1"/>
  <c r="F1241" i="1"/>
  <c r="E1252" i="1"/>
  <c r="F1252" i="1"/>
  <c r="E1260" i="1"/>
  <c r="F1260" i="1"/>
  <c r="E1261" i="1"/>
  <c r="F1261" i="1"/>
  <c r="E1262" i="1"/>
  <c r="F1262" i="1"/>
  <c r="E1263" i="1"/>
  <c r="F1263" i="1"/>
  <c r="E1264" i="1"/>
  <c r="F1264" i="1"/>
  <c r="E1269" i="1"/>
  <c r="F1269" i="1"/>
  <c r="E1275" i="1"/>
  <c r="F1275" i="1"/>
  <c r="E1287" i="1"/>
  <c r="F1287" i="1"/>
  <c r="E1297" i="1"/>
  <c r="F1297" i="1"/>
  <c r="E1299" i="1"/>
  <c r="F1299" i="1"/>
  <c r="E1302" i="1"/>
  <c r="F1302" i="1"/>
  <c r="E1303" i="1"/>
  <c r="F1303" i="1"/>
  <c r="E1305" i="1"/>
  <c r="F1305" i="1"/>
  <c r="E1306" i="1"/>
  <c r="F1306" i="1"/>
  <c r="E1311" i="1"/>
  <c r="F1311" i="1"/>
  <c r="E1313" i="1"/>
  <c r="F1313" i="1"/>
  <c r="E1314" i="1"/>
  <c r="F1314" i="1"/>
  <c r="E51" i="1"/>
  <c r="F51" i="1"/>
  <c r="E1316" i="1"/>
  <c r="F1316" i="1"/>
  <c r="E1320" i="1"/>
  <c r="F1320" i="1"/>
  <c r="E1328" i="1"/>
  <c r="F1328" i="1"/>
  <c r="E1331" i="1"/>
  <c r="F1331" i="1"/>
  <c r="E1332" i="1"/>
  <c r="F1332" i="1"/>
  <c r="E1333" i="1"/>
  <c r="F1333" i="1"/>
  <c r="E1334" i="1"/>
  <c r="F1334" i="1"/>
  <c r="E1339" i="1"/>
  <c r="F1339" i="1"/>
  <c r="E1340" i="1"/>
  <c r="F1340" i="1"/>
  <c r="E1344" i="1"/>
  <c r="F1344" i="1"/>
  <c r="E1346" i="1"/>
  <c r="F1346" i="1"/>
  <c r="E1347" i="1"/>
  <c r="F1347" i="1"/>
  <c r="E1348" i="1"/>
  <c r="F1348" i="1"/>
  <c r="E1354" i="1"/>
  <c r="F1354" i="1"/>
  <c r="E1358" i="1"/>
  <c r="F1358" i="1"/>
  <c r="E1359" i="1"/>
  <c r="F1359" i="1"/>
  <c r="E1360" i="1"/>
  <c r="F1360" i="1"/>
  <c r="E1361" i="1"/>
  <c r="F1361" i="1"/>
  <c r="E1362" i="1"/>
  <c r="F1362" i="1"/>
  <c r="E1368" i="1"/>
  <c r="F1368" i="1"/>
  <c r="E1371" i="1"/>
  <c r="F1371" i="1"/>
  <c r="E1373" i="1"/>
  <c r="F1373" i="1"/>
  <c r="E1374" i="1"/>
  <c r="F1374" i="1"/>
  <c r="E1375" i="1"/>
  <c r="F1375" i="1"/>
  <c r="E1376" i="1"/>
  <c r="F1376" i="1"/>
  <c r="E1383" i="1"/>
  <c r="F1383" i="1"/>
  <c r="E1384" i="1"/>
  <c r="F1384" i="1"/>
  <c r="E1385" i="1"/>
  <c r="F1385" i="1"/>
  <c r="E1386" i="1"/>
  <c r="F1386" i="1"/>
  <c r="E1388" i="1"/>
  <c r="F1388" i="1"/>
  <c r="E1389" i="1"/>
  <c r="F1389" i="1"/>
  <c r="E1390" i="1"/>
  <c r="F1390" i="1"/>
  <c r="E1391" i="1"/>
  <c r="F1391" i="1"/>
  <c r="E1392" i="1"/>
  <c r="F1392" i="1"/>
  <c r="E1393" i="1"/>
  <c r="F1393" i="1"/>
  <c r="E1394" i="1"/>
  <c r="F1394" i="1"/>
  <c r="E1396" i="1"/>
  <c r="F1396" i="1"/>
  <c r="E1397" i="1"/>
  <c r="F1397" i="1"/>
  <c r="E1398" i="1"/>
  <c r="F1398" i="1"/>
  <c r="E1400" i="1"/>
  <c r="F1400" i="1"/>
  <c r="E1402" i="1"/>
  <c r="F1402" i="1"/>
  <c r="E1407" i="1"/>
  <c r="F1407" i="1"/>
  <c r="E1410" i="1"/>
  <c r="F1410" i="1"/>
  <c r="E131" i="1"/>
  <c r="F131" i="1"/>
  <c r="E1414" i="1"/>
  <c r="F1414" i="1"/>
  <c r="E1419" i="1"/>
  <c r="F1419" i="1"/>
  <c r="E1433" i="1"/>
  <c r="F1433" i="1"/>
  <c r="E1438" i="1"/>
  <c r="F1438" i="1"/>
  <c r="E1446" i="1"/>
  <c r="F1446" i="1"/>
  <c r="E1448" i="1"/>
  <c r="F1448" i="1"/>
  <c r="E1453" i="1"/>
  <c r="F1453" i="1"/>
  <c r="E163" i="1"/>
  <c r="F163" i="1"/>
  <c r="E1454" i="1"/>
  <c r="F1454" i="1"/>
  <c r="E1455" i="1"/>
  <c r="F1455" i="1"/>
  <c r="E1456" i="1"/>
  <c r="F1456" i="1"/>
  <c r="E1457" i="1"/>
  <c r="F1457" i="1"/>
  <c r="E177" i="1"/>
  <c r="F177" i="1"/>
  <c r="E1460" i="1"/>
  <c r="F1460" i="1"/>
  <c r="E1461" i="1"/>
  <c r="F1461" i="1"/>
  <c r="E1462" i="1"/>
  <c r="F1462" i="1"/>
  <c r="E133" i="1"/>
  <c r="F133" i="1"/>
  <c r="E112" i="1"/>
  <c r="F112" i="1"/>
  <c r="E1463" i="1"/>
  <c r="F1463" i="1"/>
  <c r="E1465" i="1"/>
  <c r="F1465" i="1"/>
  <c r="E1466" i="1"/>
  <c r="F1466" i="1"/>
  <c r="E1468" i="1"/>
  <c r="F1468" i="1"/>
  <c r="E1473" i="1"/>
  <c r="F1473" i="1"/>
  <c r="E1474" i="1"/>
  <c r="F1474" i="1"/>
  <c r="E1477" i="1"/>
  <c r="F1477" i="1"/>
  <c r="E1478" i="1"/>
  <c r="F1478" i="1"/>
  <c r="E1481" i="1"/>
  <c r="F1481" i="1"/>
  <c r="E1486" i="1"/>
  <c r="F1486" i="1"/>
  <c r="E1491" i="1"/>
  <c r="F1491" i="1"/>
  <c r="E1492" i="1"/>
  <c r="F1492" i="1"/>
  <c r="E1493" i="1"/>
  <c r="F1493" i="1"/>
  <c r="E1503" i="1"/>
  <c r="F1503" i="1"/>
  <c r="E1504" i="1"/>
  <c r="F1504" i="1"/>
  <c r="E143" i="1"/>
  <c r="F143" i="1"/>
  <c r="E1512" i="1"/>
  <c r="F1512" i="1"/>
  <c r="E1513" i="1"/>
  <c r="F1513" i="1"/>
  <c r="E1514" i="1"/>
  <c r="F1514" i="1"/>
  <c r="E1515" i="1"/>
  <c r="F1515" i="1"/>
  <c r="E1519" i="1"/>
  <c r="F1519" i="1"/>
  <c r="E1520" i="1"/>
  <c r="F1520" i="1"/>
  <c r="E1527" i="1"/>
  <c r="F1527" i="1"/>
  <c r="E1531" i="1"/>
  <c r="F1531" i="1"/>
  <c r="E1533" i="1"/>
  <c r="F1533" i="1"/>
  <c r="E1534" i="1"/>
  <c r="F1534" i="1"/>
  <c r="E1535" i="1"/>
  <c r="F1535" i="1"/>
  <c r="E1537" i="1"/>
  <c r="F1537" i="1"/>
  <c r="E1538" i="1"/>
  <c r="F1538" i="1"/>
  <c r="E1539" i="1"/>
  <c r="F1539" i="1"/>
  <c r="E1540" i="1"/>
  <c r="F1540" i="1"/>
  <c r="E1545" i="1"/>
  <c r="F1545" i="1"/>
  <c r="E1546" i="1"/>
  <c r="F1546" i="1"/>
  <c r="E1547" i="1"/>
  <c r="F1547" i="1"/>
  <c r="E1548" i="1"/>
  <c r="F1548" i="1"/>
  <c r="E1549" i="1"/>
  <c r="F1549" i="1"/>
  <c r="E1550" i="1"/>
  <c r="F1550" i="1"/>
  <c r="E1554" i="1"/>
  <c r="F1554" i="1"/>
  <c r="E1557" i="1"/>
  <c r="F1557" i="1"/>
  <c r="E154" i="1"/>
  <c r="F154" i="1"/>
  <c r="E1558" i="1"/>
  <c r="F1558" i="1"/>
  <c r="E1567" i="1"/>
  <c r="F1567" i="1"/>
  <c r="E1571" i="1"/>
  <c r="F1571" i="1"/>
  <c r="E1572" i="1"/>
  <c r="F1572" i="1"/>
  <c r="E1574" i="1"/>
  <c r="F1574" i="1"/>
  <c r="E1582" i="1"/>
  <c r="F1582" i="1"/>
  <c r="E1584" i="1"/>
  <c r="F1584" i="1"/>
  <c r="E202" i="1"/>
  <c r="F202" i="1"/>
  <c r="E1585" i="1"/>
  <c r="F1585" i="1"/>
  <c r="E1590" i="1"/>
  <c r="F1590" i="1"/>
  <c r="E1600" i="1"/>
  <c r="F1600" i="1"/>
  <c r="E1604" i="1"/>
  <c r="F1604" i="1"/>
  <c r="E1605" i="1"/>
  <c r="F1605" i="1"/>
  <c r="E206" i="1"/>
  <c r="F206" i="1"/>
  <c r="E1613" i="1"/>
  <c r="F1613" i="1"/>
  <c r="E109" i="1"/>
  <c r="F109" i="1"/>
  <c r="E166" i="1"/>
  <c r="F166" i="1"/>
  <c r="E1614" i="1"/>
  <c r="F1614" i="1"/>
  <c r="E1615" i="1"/>
  <c r="F1615" i="1"/>
  <c r="E1616" i="1"/>
  <c r="F1616" i="1"/>
  <c r="E1617" i="1"/>
  <c r="F1617" i="1"/>
  <c r="E1624" i="1"/>
  <c r="F1624" i="1"/>
  <c r="E1626" i="1"/>
  <c r="F1626" i="1"/>
  <c r="E1628" i="1"/>
  <c r="F1628" i="1"/>
  <c r="E1629" i="1"/>
  <c r="F1629" i="1"/>
  <c r="E1630" i="1"/>
  <c r="F1630" i="1"/>
  <c r="E1631" i="1"/>
  <c r="F1631" i="1"/>
  <c r="E1642" i="1"/>
  <c r="F1642" i="1"/>
  <c r="E1647" i="1"/>
  <c r="F1647" i="1"/>
  <c r="E1648" i="1"/>
  <c r="F1648" i="1"/>
  <c r="E1650" i="1"/>
  <c r="F1650" i="1"/>
  <c r="E1651" i="1"/>
  <c r="F1651" i="1"/>
  <c r="E1652" i="1"/>
  <c r="F1652" i="1"/>
  <c r="E1655" i="1"/>
  <c r="F1655" i="1"/>
  <c r="E1657" i="1"/>
  <c r="F1657" i="1"/>
  <c r="E103" i="1"/>
  <c r="F103" i="1"/>
  <c r="E1669" i="1"/>
  <c r="F1669" i="1"/>
  <c r="E1671" i="1"/>
  <c r="F1671" i="1"/>
  <c r="E111" i="1"/>
  <c r="F111" i="1"/>
  <c r="E1673" i="1"/>
  <c r="F1673" i="1"/>
  <c r="E1690" i="1"/>
  <c r="F1690" i="1"/>
  <c r="E1691" i="1"/>
  <c r="F1691" i="1"/>
  <c r="E1693" i="1"/>
  <c r="F1693" i="1"/>
  <c r="E1698" i="1"/>
  <c r="F1698" i="1"/>
  <c r="E1702" i="1"/>
  <c r="F1702" i="1"/>
  <c r="E1703" i="1"/>
  <c r="F1703" i="1"/>
  <c r="E1704" i="1"/>
  <c r="F1704" i="1"/>
  <c r="E1705" i="1"/>
  <c r="F1705" i="1"/>
  <c r="E1709" i="1"/>
  <c r="F1709" i="1"/>
  <c r="E1714" i="1"/>
  <c r="F1714" i="1"/>
  <c r="E1715" i="1"/>
  <c r="F1715" i="1"/>
  <c r="E1716" i="1"/>
  <c r="F1716" i="1"/>
  <c r="E1717" i="1"/>
  <c r="F1717" i="1"/>
  <c r="E1718" i="1"/>
  <c r="F1718" i="1"/>
  <c r="E165" i="1"/>
  <c r="F165" i="1"/>
  <c r="E1728" i="1"/>
  <c r="F1728" i="1"/>
  <c r="E1734" i="1"/>
  <c r="F1734" i="1"/>
  <c r="E1737" i="1"/>
  <c r="F1737" i="1"/>
  <c r="E1738" i="1"/>
  <c r="F1738" i="1"/>
  <c r="E168" i="1"/>
  <c r="F168" i="1"/>
  <c r="E1741" i="1"/>
  <c r="F1741" i="1"/>
  <c r="D49" i="1"/>
  <c r="D300" i="1"/>
  <c r="D302" i="1"/>
  <c r="D304" i="1"/>
  <c r="D305" i="1"/>
  <c r="D313" i="1"/>
  <c r="D314" i="1"/>
  <c r="D315" i="1"/>
  <c r="D316" i="1"/>
  <c r="D317" i="1"/>
  <c r="D318" i="1"/>
  <c r="D322" i="1"/>
  <c r="D323" i="1"/>
  <c r="D227" i="1"/>
  <c r="D324" i="1"/>
  <c r="D325" i="1"/>
  <c r="D326" i="1"/>
  <c r="D327" i="1"/>
  <c r="D328" i="1"/>
  <c r="D92" i="1"/>
  <c r="D329" i="1"/>
  <c r="D330" i="1"/>
  <c r="D337" i="1"/>
  <c r="D338" i="1"/>
  <c r="D339" i="1"/>
  <c r="D349" i="1"/>
  <c r="D350" i="1"/>
  <c r="D352" i="1"/>
  <c r="D356" i="1"/>
  <c r="D363" i="1"/>
  <c r="D364" i="1"/>
  <c r="D365" i="1"/>
  <c r="D366" i="1"/>
  <c r="D369" i="1"/>
  <c r="D370" i="1"/>
  <c r="D372" i="1"/>
  <c r="D374" i="1"/>
  <c r="D375" i="1"/>
  <c r="D377" i="1"/>
  <c r="D378" i="1"/>
  <c r="D379" i="1"/>
  <c r="D380" i="1"/>
  <c r="D384" i="1"/>
  <c r="D390" i="1"/>
  <c r="D391" i="1"/>
  <c r="D392" i="1"/>
  <c r="D396" i="1"/>
  <c r="D399" i="1"/>
  <c r="D402" i="1"/>
  <c r="D43" i="1"/>
  <c r="D405" i="1"/>
  <c r="D196" i="1"/>
  <c r="D409" i="1"/>
  <c r="D414" i="1"/>
  <c r="D415" i="1"/>
  <c r="D110" i="1"/>
  <c r="D420" i="1"/>
  <c r="D424" i="1"/>
  <c r="D428" i="1"/>
  <c r="D436" i="1"/>
  <c r="D437" i="1"/>
  <c r="D441" i="1"/>
  <c r="D443" i="1"/>
  <c r="D445" i="1"/>
  <c r="D451" i="1"/>
  <c r="D452" i="1"/>
  <c r="D465" i="1"/>
  <c r="D466" i="1"/>
  <c r="D471" i="1"/>
  <c r="D472" i="1"/>
  <c r="D473" i="1"/>
  <c r="D481" i="1"/>
  <c r="D483" i="1"/>
  <c r="D484" i="1"/>
  <c r="D155" i="1"/>
  <c r="D490" i="1"/>
  <c r="D491" i="1"/>
  <c r="D18" i="1"/>
  <c r="D496" i="1"/>
  <c r="D497" i="1"/>
  <c r="D502" i="1"/>
  <c r="D503" i="1"/>
  <c r="D504" i="1"/>
  <c r="D505" i="1"/>
  <c r="D506" i="1"/>
  <c r="D511" i="1"/>
  <c r="D517" i="1"/>
  <c r="D521" i="1"/>
  <c r="D523" i="1"/>
  <c r="D526" i="1"/>
  <c r="D536" i="1"/>
  <c r="D537" i="1"/>
  <c r="D542" i="1"/>
  <c r="D544" i="1"/>
  <c r="D549" i="1"/>
  <c r="D557" i="1"/>
  <c r="D560" i="1"/>
  <c r="D561" i="1"/>
  <c r="D153" i="1"/>
  <c r="D210" i="1"/>
  <c r="D562" i="1"/>
  <c r="D564" i="1"/>
  <c r="D570" i="1"/>
  <c r="D571" i="1"/>
  <c r="D572" i="1"/>
  <c r="D573" i="1"/>
  <c r="D585" i="1"/>
  <c r="D587" i="1"/>
  <c r="D588" i="1"/>
  <c r="D589" i="1"/>
  <c r="D590" i="1"/>
  <c r="D596" i="1"/>
  <c r="D597" i="1"/>
  <c r="D600" i="1"/>
  <c r="D613" i="1"/>
  <c r="D614" i="1"/>
  <c r="D616" i="1"/>
  <c r="D620" i="1"/>
  <c r="D621" i="1"/>
  <c r="D622" i="1"/>
  <c r="D625" i="1"/>
  <c r="D626" i="1"/>
  <c r="D627" i="1"/>
  <c r="D632" i="1"/>
  <c r="D633" i="1"/>
  <c r="D634" i="1"/>
  <c r="D636" i="1"/>
  <c r="D26" i="1"/>
  <c r="D47" i="1"/>
  <c r="D113" i="1"/>
  <c r="D637" i="1"/>
  <c r="D638" i="1"/>
  <c r="D639" i="1"/>
  <c r="D640" i="1"/>
  <c r="D642" i="1"/>
  <c r="D100" i="1"/>
  <c r="D48" i="1"/>
  <c r="D132" i="1"/>
  <c r="D644" i="1"/>
  <c r="D651" i="1"/>
  <c r="D656" i="1"/>
  <c r="D657" i="1"/>
  <c r="D662" i="1"/>
  <c r="D663" i="1"/>
  <c r="D669" i="1"/>
  <c r="D675" i="1"/>
  <c r="D676" i="1"/>
  <c r="D681" i="1"/>
  <c r="D682" i="1"/>
  <c r="D683" i="1"/>
  <c r="D684" i="1"/>
  <c r="D685" i="1"/>
  <c r="D80" i="1"/>
  <c r="D195" i="1"/>
  <c r="D118" i="1"/>
  <c r="D11" i="1"/>
  <c r="D686" i="1"/>
  <c r="D687" i="1"/>
  <c r="D688" i="1"/>
  <c r="D693" i="1"/>
  <c r="D107" i="1"/>
  <c r="D704" i="1"/>
  <c r="D709" i="1"/>
  <c r="D710" i="1"/>
  <c r="D714" i="1"/>
  <c r="D715" i="1"/>
  <c r="D716" i="1"/>
  <c r="D717" i="1"/>
  <c r="D719" i="1"/>
  <c r="D723" i="1"/>
  <c r="D730" i="1"/>
  <c r="D734" i="1"/>
  <c r="D741" i="1"/>
  <c r="D742" i="1"/>
  <c r="D283" i="1"/>
  <c r="D750" i="1"/>
  <c r="D751" i="1"/>
  <c r="D753" i="1"/>
  <c r="D754" i="1"/>
  <c r="D757" i="1"/>
  <c r="D760" i="1"/>
  <c r="D763" i="1"/>
  <c r="D764" i="1"/>
  <c r="D773" i="1"/>
  <c r="D774" i="1"/>
  <c r="D784" i="1"/>
  <c r="D785" i="1"/>
  <c r="D787" i="1"/>
  <c r="D788" i="1"/>
  <c r="D161" i="1"/>
  <c r="D789" i="1"/>
  <c r="D791" i="1"/>
  <c r="D793" i="1"/>
  <c r="D794" i="1"/>
  <c r="D795" i="1"/>
  <c r="D796" i="1"/>
  <c r="D797" i="1"/>
  <c r="D798" i="1"/>
  <c r="D801" i="1"/>
  <c r="D805" i="1"/>
  <c r="D807" i="1"/>
  <c r="D809" i="1"/>
  <c r="D810" i="1"/>
  <c r="D819" i="1"/>
  <c r="D820" i="1"/>
  <c r="D821" i="1"/>
  <c r="D822" i="1"/>
  <c r="D826" i="1"/>
  <c r="D833" i="1"/>
  <c r="D837" i="1"/>
  <c r="D839" i="1"/>
  <c r="D842" i="1"/>
  <c r="D843" i="1"/>
  <c r="D852" i="1"/>
  <c r="D865" i="1"/>
  <c r="D866" i="1"/>
  <c r="D867" i="1"/>
  <c r="D869" i="1"/>
  <c r="D870" i="1"/>
  <c r="D871" i="1"/>
  <c r="D872" i="1"/>
  <c r="D873" i="1"/>
  <c r="D874" i="1"/>
  <c r="D875" i="1"/>
  <c r="D876" i="1"/>
  <c r="D879" i="1"/>
  <c r="D883" i="1"/>
  <c r="D885" i="1"/>
  <c r="D886" i="1"/>
  <c r="D889" i="1"/>
  <c r="D891" i="1"/>
  <c r="D892" i="1"/>
  <c r="D897" i="1"/>
  <c r="D905" i="1"/>
  <c r="D907" i="1"/>
  <c r="D41" i="1"/>
  <c r="D908" i="1"/>
  <c r="D912" i="1"/>
  <c r="D918" i="1"/>
  <c r="D919" i="1"/>
  <c r="D920" i="1"/>
  <c r="D921" i="1"/>
  <c r="D922" i="1"/>
  <c r="D925" i="1"/>
  <c r="D930" i="1"/>
  <c r="D931" i="1"/>
  <c r="D932" i="1"/>
  <c r="D933" i="1"/>
  <c r="D935" i="1"/>
  <c r="D942" i="1"/>
  <c r="D943" i="1"/>
  <c r="D944" i="1"/>
  <c r="D945" i="1"/>
  <c r="D947" i="1"/>
  <c r="D948" i="1"/>
  <c r="D949" i="1"/>
  <c r="D951" i="1"/>
  <c r="D952" i="1"/>
  <c r="D164" i="1"/>
  <c r="D953" i="1"/>
  <c r="D108" i="1"/>
  <c r="D955" i="1"/>
  <c r="D956" i="1"/>
  <c r="D957" i="1"/>
  <c r="D958" i="1"/>
  <c r="D959" i="1"/>
  <c r="D960" i="1"/>
  <c r="D962" i="1"/>
  <c r="D965" i="1"/>
  <c r="D969" i="1"/>
  <c r="D970" i="1"/>
  <c r="D972" i="1"/>
  <c r="D976" i="1"/>
  <c r="D978" i="1"/>
  <c r="D981" i="1"/>
  <c r="D983" i="1"/>
  <c r="D984" i="1"/>
  <c r="D989" i="1"/>
  <c r="D990" i="1"/>
  <c r="D991" i="1"/>
  <c r="D1000" i="1"/>
  <c r="D1012" i="1"/>
  <c r="D1020" i="1"/>
  <c r="D1024" i="1"/>
  <c r="D1033" i="1"/>
  <c r="D1037" i="1"/>
  <c r="D1039" i="1"/>
  <c r="D1040" i="1"/>
  <c r="D1041" i="1"/>
  <c r="D1042" i="1"/>
  <c r="D1043" i="1"/>
  <c r="D1044" i="1"/>
  <c r="D1046" i="1"/>
  <c r="D1049" i="1"/>
  <c r="D1053" i="1"/>
  <c r="D1054" i="1"/>
  <c r="D1055" i="1"/>
  <c r="D1056" i="1"/>
  <c r="D1059" i="1"/>
  <c r="D1064" i="1"/>
  <c r="D1065" i="1"/>
  <c r="D1071" i="1"/>
  <c r="D1074" i="1"/>
  <c r="D1081" i="1"/>
  <c r="D1086" i="1"/>
  <c r="D1087" i="1"/>
  <c r="D1088" i="1"/>
  <c r="D96" i="1"/>
  <c r="D46" i="1"/>
  <c r="D1089" i="1"/>
  <c r="D1090" i="1"/>
  <c r="D1091" i="1"/>
  <c r="D1092" i="1"/>
  <c r="D1093" i="1"/>
  <c r="D1095" i="1"/>
  <c r="D1096" i="1"/>
  <c r="D1098" i="1"/>
  <c r="D1099" i="1"/>
  <c r="D1109" i="1"/>
  <c r="D1112" i="1"/>
  <c r="D1113" i="1"/>
  <c r="D1114" i="1"/>
  <c r="D1115" i="1"/>
  <c r="D1116" i="1"/>
  <c r="D1119" i="1"/>
  <c r="D1120" i="1"/>
  <c r="D1121" i="1"/>
  <c r="D1122" i="1"/>
  <c r="D1123" i="1"/>
  <c r="D1127" i="1"/>
  <c r="D1128" i="1"/>
  <c r="D1129" i="1"/>
  <c r="D1131" i="1"/>
  <c r="D1132" i="1"/>
  <c r="D1133" i="1"/>
  <c r="D1134" i="1"/>
  <c r="D1135" i="1"/>
  <c r="D1136" i="1"/>
  <c r="D1138" i="1"/>
  <c r="D1140" i="1"/>
  <c r="D1145" i="1"/>
  <c r="D1148" i="1"/>
  <c r="D1149" i="1"/>
  <c r="D1151" i="1"/>
  <c r="D1158" i="1"/>
  <c r="D1161" i="1"/>
  <c r="D1172" i="1"/>
  <c r="D1173" i="1"/>
  <c r="D1174" i="1"/>
  <c r="D1179" i="1"/>
  <c r="D1185" i="1"/>
  <c r="D1193" i="1"/>
  <c r="D1199" i="1"/>
  <c r="D1201" i="1"/>
  <c r="D1207" i="1"/>
  <c r="D1208" i="1"/>
  <c r="D1212" i="1"/>
  <c r="D1214" i="1"/>
  <c r="D162" i="1"/>
  <c r="D1216" i="1"/>
  <c r="D1217" i="1"/>
  <c r="D1218" i="1"/>
  <c r="D1219" i="1"/>
  <c r="D1220" i="1"/>
  <c r="D1223" i="1"/>
  <c r="D1225" i="1"/>
  <c r="D1228" i="1"/>
  <c r="D1230" i="1"/>
  <c r="D45" i="1"/>
  <c r="D50" i="1"/>
  <c r="D102" i="1"/>
  <c r="D1231" i="1"/>
  <c r="D1237" i="1"/>
  <c r="D1238" i="1"/>
  <c r="D1241" i="1"/>
  <c r="D1252" i="1"/>
  <c r="D1260" i="1"/>
  <c r="D1261" i="1"/>
  <c r="D1262" i="1"/>
  <c r="D1263" i="1"/>
  <c r="D1264" i="1"/>
  <c r="D1269" i="1"/>
  <c r="D1275" i="1"/>
  <c r="D1287" i="1"/>
  <c r="D1297" i="1"/>
  <c r="D1299" i="1"/>
  <c r="D1302" i="1"/>
  <c r="D1303" i="1"/>
  <c r="D1305" i="1"/>
  <c r="D1306" i="1"/>
  <c r="D1311" i="1"/>
  <c r="D1313" i="1"/>
  <c r="D1314" i="1"/>
  <c r="D51" i="1"/>
  <c r="D1316" i="1"/>
  <c r="D1320" i="1"/>
  <c r="D1328" i="1"/>
  <c r="D1331" i="1"/>
  <c r="D1332" i="1"/>
  <c r="D1333" i="1"/>
  <c r="D1334" i="1"/>
  <c r="D1339" i="1"/>
  <c r="D1340" i="1"/>
  <c r="D1344" i="1"/>
  <c r="D1346" i="1"/>
  <c r="D1347" i="1"/>
  <c r="D1348" i="1"/>
  <c r="D1354" i="1"/>
  <c r="D1358" i="1"/>
  <c r="D1359" i="1"/>
  <c r="D1360" i="1"/>
  <c r="D1361" i="1"/>
  <c r="D1368" i="1"/>
  <c r="D1371" i="1"/>
  <c r="D1373" i="1"/>
  <c r="D1374" i="1"/>
  <c r="D1375" i="1"/>
  <c r="D1376" i="1"/>
  <c r="D1383" i="1"/>
  <c r="D1384" i="1"/>
  <c r="D1385" i="1"/>
  <c r="D1386" i="1"/>
  <c r="D1388" i="1"/>
  <c r="D1389" i="1"/>
  <c r="D1390" i="1"/>
  <c r="D1391" i="1"/>
  <c r="D1392" i="1"/>
  <c r="D1393" i="1"/>
  <c r="D1394" i="1"/>
  <c r="D1396" i="1"/>
  <c r="D1397" i="1"/>
  <c r="D1398" i="1"/>
  <c r="D1400" i="1"/>
  <c r="D1402" i="1"/>
  <c r="D1407" i="1"/>
  <c r="D1410" i="1"/>
  <c r="D131" i="1"/>
  <c r="D1414" i="1"/>
  <c r="D1419" i="1"/>
  <c r="D1433" i="1"/>
  <c r="D1438" i="1"/>
  <c r="D1446" i="1"/>
  <c r="D1448" i="1"/>
  <c r="D1453" i="1"/>
  <c r="D163" i="1"/>
  <c r="D1454" i="1"/>
  <c r="D1455" i="1"/>
  <c r="D1456" i="1"/>
  <c r="D1457" i="1"/>
  <c r="D177" i="1"/>
  <c r="D1460" i="1"/>
  <c r="D1461" i="1"/>
  <c r="D1462" i="1"/>
  <c r="D133" i="1"/>
  <c r="D112" i="1"/>
  <c r="D1463" i="1"/>
  <c r="D1465" i="1"/>
  <c r="D1466" i="1"/>
  <c r="D1468" i="1"/>
  <c r="D1473" i="1"/>
  <c r="D1474" i="1"/>
  <c r="D1477" i="1"/>
  <c r="D1478" i="1"/>
  <c r="D1481" i="1"/>
  <c r="D1486" i="1"/>
  <c r="D1491" i="1"/>
  <c r="D1492" i="1"/>
  <c r="D1504" i="1"/>
  <c r="D143" i="1"/>
  <c r="D1512" i="1"/>
  <c r="D1513" i="1"/>
  <c r="D1514" i="1"/>
  <c r="D1515" i="1"/>
  <c r="D1519" i="1"/>
  <c r="D1520" i="1"/>
  <c r="D1527" i="1"/>
  <c r="D1531" i="1"/>
  <c r="D1533" i="1"/>
  <c r="D1534" i="1"/>
  <c r="D1535" i="1"/>
  <c r="D1537" i="1"/>
  <c r="D1538" i="1"/>
  <c r="D1539" i="1"/>
  <c r="D1540" i="1"/>
  <c r="D1545" i="1"/>
  <c r="D1546" i="1"/>
  <c r="D1547" i="1"/>
  <c r="D1548" i="1"/>
  <c r="D1549" i="1"/>
  <c r="D1554" i="1"/>
  <c r="D1557" i="1"/>
  <c r="D154" i="1"/>
  <c r="D1558" i="1"/>
  <c r="D1567" i="1"/>
  <c r="D1571" i="1"/>
  <c r="D1572" i="1"/>
  <c r="D1574" i="1"/>
  <c r="D1582" i="1"/>
  <c r="D1584" i="1"/>
  <c r="D202" i="1"/>
  <c r="D1585" i="1"/>
  <c r="D1590" i="1"/>
  <c r="D1600" i="1"/>
  <c r="D1604" i="1"/>
  <c r="D1605" i="1"/>
  <c r="D206" i="1"/>
  <c r="D1613" i="1"/>
  <c r="D109" i="1"/>
  <c r="D166" i="1"/>
  <c r="D1614" i="1"/>
  <c r="D1615" i="1"/>
  <c r="D1616" i="1"/>
  <c r="D1617" i="1"/>
  <c r="D1624" i="1"/>
  <c r="D1626" i="1"/>
  <c r="D1628" i="1"/>
  <c r="D1629" i="1"/>
  <c r="D1630" i="1"/>
  <c r="D1631" i="1"/>
  <c r="D1642" i="1"/>
  <c r="D1647" i="1"/>
  <c r="D1648" i="1"/>
  <c r="D1650" i="1"/>
  <c r="D1651" i="1"/>
  <c r="D1652" i="1"/>
  <c r="D1655" i="1"/>
  <c r="D1657" i="1"/>
  <c r="D103" i="1"/>
  <c r="D1669" i="1"/>
  <c r="D1671" i="1"/>
  <c r="D111" i="1"/>
  <c r="D1673" i="1"/>
  <c r="D1690" i="1"/>
  <c r="D1691" i="1"/>
  <c r="D1693" i="1"/>
  <c r="D1698" i="1"/>
  <c r="D1702" i="1"/>
  <c r="D1703" i="1"/>
  <c r="D1704" i="1"/>
  <c r="D1705" i="1"/>
  <c r="D1709" i="1"/>
  <c r="D1714" i="1"/>
  <c r="D1715" i="1"/>
  <c r="D1716" i="1"/>
  <c r="D1717" i="1"/>
  <c r="D1718" i="1"/>
  <c r="D165" i="1"/>
  <c r="D1728" i="1"/>
  <c r="D1734" i="1"/>
  <c r="D1737" i="1"/>
  <c r="D1738" i="1"/>
  <c r="D168" i="1"/>
  <c r="D1741" i="1"/>
  <c r="M1603" i="1"/>
  <c r="O1603" i="1" s="1"/>
  <c r="L1603" i="1"/>
  <c r="N1603" i="1" s="1"/>
  <c r="K1603" i="1"/>
  <c r="J1603" i="1"/>
  <c r="M1502" i="1"/>
  <c r="O1502" i="1" s="1"/>
  <c r="L1502" i="1"/>
  <c r="N1502" i="1" s="1"/>
  <c r="K1502" i="1"/>
  <c r="J1502" i="1"/>
  <c r="M1257" i="1"/>
  <c r="O1257" i="1" s="1"/>
  <c r="L1257" i="1"/>
  <c r="N1257" i="1" s="1"/>
  <c r="K1257" i="1"/>
  <c r="J1257" i="1"/>
  <c r="M1256" i="1"/>
  <c r="O1256" i="1" s="1"/>
  <c r="L1256" i="1"/>
  <c r="N1256" i="1" s="1"/>
  <c r="K1256" i="1"/>
  <c r="J1256" i="1"/>
  <c r="M1255" i="1"/>
  <c r="O1255" i="1" s="1"/>
  <c r="L1255" i="1"/>
  <c r="N1255" i="1" s="1"/>
  <c r="K1255" i="1"/>
  <c r="J1255" i="1"/>
  <c r="M1254" i="1"/>
  <c r="O1254" i="1" s="1"/>
  <c r="L1254" i="1"/>
  <c r="N1254" i="1" s="1"/>
  <c r="K1254" i="1"/>
  <c r="J1254" i="1"/>
  <c r="M1253" i="1"/>
  <c r="O1253" i="1" s="1"/>
  <c r="L1253" i="1"/>
  <c r="N1253" i="1" s="1"/>
  <c r="K1253" i="1"/>
  <c r="J1253" i="1"/>
  <c r="M728" i="1"/>
  <c r="O728" i="1" s="1"/>
  <c r="L728" i="1"/>
  <c r="N728" i="1" s="1"/>
  <c r="K728" i="1"/>
  <c r="J728" i="1"/>
  <c r="M726" i="1"/>
  <c r="O726" i="1" s="1"/>
  <c r="L726" i="1"/>
  <c r="N726" i="1" s="1"/>
  <c r="K726" i="1"/>
  <c r="J726" i="1"/>
  <c r="M602" i="1"/>
  <c r="O602" i="1" s="1"/>
  <c r="L602" i="1"/>
  <c r="N602" i="1" s="1"/>
  <c r="K602" i="1"/>
  <c r="J602" i="1"/>
  <c r="M601" i="1"/>
  <c r="O601" i="1" s="1"/>
  <c r="L601" i="1"/>
  <c r="N601" i="1" s="1"/>
  <c r="K601" i="1"/>
  <c r="J601" i="1"/>
  <c r="M577" i="1"/>
  <c r="O577" i="1" s="1"/>
  <c r="L577" i="1"/>
  <c r="N577" i="1" s="1"/>
  <c r="K577" i="1"/>
  <c r="J577" i="1"/>
  <c r="M555" i="1"/>
  <c r="O555" i="1" s="1"/>
  <c r="L555" i="1"/>
  <c r="N555" i="1" s="1"/>
  <c r="K555" i="1"/>
  <c r="J555" i="1"/>
  <c r="M554" i="1"/>
  <c r="O554" i="1" s="1"/>
  <c r="L554" i="1"/>
  <c r="N554" i="1" s="1"/>
  <c r="K554" i="1"/>
  <c r="J554" i="1"/>
  <c r="M520" i="1"/>
  <c r="O520" i="1" s="1"/>
  <c r="L520" i="1"/>
  <c r="N520" i="1" s="1"/>
  <c r="K520" i="1"/>
  <c r="J520" i="1"/>
  <c r="M480" i="1"/>
  <c r="O480" i="1" s="1"/>
  <c r="L480" i="1"/>
  <c r="N480" i="1" s="1"/>
  <c r="K480" i="1"/>
  <c r="J480" i="1"/>
  <c r="M479" i="1"/>
  <c r="O479" i="1" s="1"/>
  <c r="L479" i="1"/>
  <c r="N479" i="1" s="1"/>
  <c r="K479" i="1"/>
  <c r="J479" i="1"/>
  <c r="M476" i="1"/>
  <c r="O476" i="1" s="1"/>
  <c r="L476" i="1"/>
  <c r="N476" i="1" s="1"/>
  <c r="K476" i="1"/>
  <c r="J476" i="1"/>
  <c r="J132" i="1"/>
  <c r="K132" i="1"/>
  <c r="L132" i="1"/>
  <c r="N132" i="1" s="1"/>
  <c r="M132" i="1"/>
  <c r="O132" i="1" s="1"/>
  <c r="M398" i="1"/>
  <c r="O398" i="1" s="1"/>
  <c r="L398" i="1"/>
  <c r="N398" i="1" s="1"/>
  <c r="K398" i="1"/>
  <c r="J398" i="1"/>
  <c r="M284" i="1"/>
  <c r="O284" i="1" s="1"/>
  <c r="L284" i="1"/>
  <c r="N284" i="1" s="1"/>
  <c r="K284" i="1"/>
  <c r="J284" i="1"/>
  <c r="K473" i="1"/>
  <c r="L473" i="1"/>
  <c r="N473" i="1" s="1"/>
  <c r="M473" i="1"/>
  <c r="O473" i="1" s="1"/>
  <c r="J473" i="1"/>
  <c r="J271" i="1"/>
  <c r="K271" i="1"/>
  <c r="L271" i="1"/>
  <c r="N271" i="1" s="1"/>
  <c r="M271" i="1"/>
  <c r="O271" i="1" s="1"/>
  <c r="J203" i="1"/>
  <c r="K203" i="1"/>
  <c r="L203" i="1"/>
  <c r="N203" i="1" s="1"/>
  <c r="M203" i="1"/>
  <c r="O203" i="1" s="1"/>
  <c r="J1750" i="1"/>
  <c r="J2425" i="1"/>
  <c r="K2425" i="1"/>
  <c r="L2425" i="1"/>
  <c r="N2425" i="1" s="1"/>
  <c r="M2425" i="1"/>
  <c r="O2425" i="1" s="1"/>
  <c r="J2488" i="1"/>
  <c r="K2488" i="1"/>
  <c r="L2488" i="1"/>
  <c r="N2488" i="1" s="1"/>
  <c r="M2488" i="1"/>
  <c r="O2488" i="1" s="1"/>
  <c r="J2440" i="1"/>
  <c r="K2440" i="1"/>
  <c r="L2440" i="1"/>
  <c r="N2440" i="1" s="1"/>
  <c r="M2440" i="1"/>
  <c r="O2440" i="1" s="1"/>
  <c r="J1731" i="1"/>
  <c r="K1731" i="1"/>
  <c r="L1731" i="1"/>
  <c r="N1731" i="1" s="1"/>
  <c r="M1731" i="1"/>
  <c r="O1731" i="1" s="1"/>
  <c r="J2083" i="1"/>
  <c r="K2083" i="1"/>
  <c r="L2083" i="1"/>
  <c r="N2083" i="1" s="1"/>
  <c r="M2083" i="1"/>
  <c r="O2083" i="1" s="1"/>
  <c r="J2385" i="1"/>
  <c r="K2385" i="1"/>
  <c r="L2385" i="1"/>
  <c r="N2385" i="1" s="1"/>
  <c r="M2385" i="1"/>
  <c r="O2385" i="1" s="1"/>
  <c r="J2426" i="1"/>
  <c r="K2426" i="1"/>
  <c r="L2426" i="1"/>
  <c r="N2426" i="1" s="1"/>
  <c r="M2426" i="1"/>
  <c r="O2426" i="1" s="1"/>
  <c r="J2441" i="1"/>
  <c r="K2441" i="1"/>
  <c r="L2441" i="1"/>
  <c r="N2441" i="1" s="1"/>
  <c r="M2441" i="1"/>
  <c r="O2441" i="1" s="1"/>
  <c r="J2445" i="1"/>
  <c r="K2445" i="1"/>
  <c r="L2445" i="1"/>
  <c r="N2445" i="1" s="1"/>
  <c r="M2445" i="1"/>
  <c r="O2445" i="1" s="1"/>
  <c r="J2446" i="1"/>
  <c r="K2446" i="1"/>
  <c r="L2446" i="1"/>
  <c r="N2446" i="1" s="1"/>
  <c r="M2446" i="1"/>
  <c r="O2446" i="1" s="1"/>
  <c r="J2460" i="1"/>
  <c r="K2460" i="1"/>
  <c r="L2460" i="1"/>
  <c r="N2460" i="1" s="1"/>
  <c r="M2460" i="1"/>
  <c r="O2460" i="1" s="1"/>
  <c r="J2461" i="1"/>
  <c r="K2461" i="1"/>
  <c r="L2461" i="1"/>
  <c r="N2461" i="1" s="1"/>
  <c r="M2461" i="1"/>
  <c r="O2461" i="1" s="1"/>
  <c r="J2464" i="1"/>
  <c r="K2464" i="1"/>
  <c r="L2464" i="1"/>
  <c r="N2464" i="1" s="1"/>
  <c r="M2464" i="1"/>
  <c r="O2464" i="1" s="1"/>
  <c r="J2465" i="1"/>
  <c r="K2465" i="1"/>
  <c r="L2465" i="1"/>
  <c r="N2465" i="1" s="1"/>
  <c r="M2465" i="1"/>
  <c r="O2465" i="1" s="1"/>
  <c r="J2466" i="1"/>
  <c r="K2466" i="1"/>
  <c r="L2466" i="1"/>
  <c r="N2466" i="1" s="1"/>
  <c r="M2466" i="1"/>
  <c r="O2466" i="1" s="1"/>
  <c r="J2490" i="1"/>
  <c r="K2490" i="1"/>
  <c r="L2490" i="1"/>
  <c r="N2490" i="1" s="1"/>
  <c r="M2490" i="1"/>
  <c r="O2490" i="1" s="1"/>
  <c r="J2442" i="1"/>
  <c r="K2442" i="1"/>
  <c r="L2442" i="1"/>
  <c r="N2442" i="1" s="1"/>
  <c r="M2442" i="1"/>
  <c r="O2442" i="1" s="1"/>
  <c r="J2491" i="1"/>
  <c r="K2491" i="1"/>
  <c r="L2491" i="1"/>
  <c r="N2491" i="1" s="1"/>
  <c r="M2491" i="1"/>
  <c r="O2491" i="1" s="1"/>
  <c r="J2494" i="1"/>
  <c r="K2494" i="1"/>
  <c r="L2494" i="1"/>
  <c r="N2494" i="1" s="1"/>
  <c r="M2494" i="1"/>
  <c r="O2494" i="1" s="1"/>
  <c r="J2447" i="1"/>
  <c r="K2447" i="1"/>
  <c r="L2447" i="1"/>
  <c r="N2447" i="1" s="1"/>
  <c r="M2447" i="1"/>
  <c r="O2447" i="1" s="1"/>
  <c r="J2499" i="1"/>
  <c r="K2499" i="1"/>
  <c r="L2499" i="1"/>
  <c r="N2499" i="1" s="1"/>
  <c r="M2499" i="1"/>
  <c r="O2499" i="1" s="1"/>
  <c r="J2386" i="1"/>
  <c r="K2386" i="1"/>
  <c r="L2386" i="1"/>
  <c r="N2386" i="1" s="1"/>
  <c r="M2386" i="1"/>
  <c r="O2386" i="1" s="1"/>
  <c r="J2467" i="1"/>
  <c r="K2467" i="1"/>
  <c r="L2467" i="1"/>
  <c r="N2467" i="1" s="1"/>
  <c r="M2467" i="1"/>
  <c r="O2467" i="1" s="1"/>
  <c r="J2017" i="1"/>
  <c r="K2017" i="1"/>
  <c r="L2017" i="1"/>
  <c r="N2017" i="1" s="1"/>
  <c r="M2017" i="1"/>
  <c r="O2017" i="1" s="1"/>
  <c r="J2495" i="1"/>
  <c r="K2495" i="1"/>
  <c r="L2495" i="1"/>
  <c r="N2495" i="1" s="1"/>
  <c r="M2495" i="1"/>
  <c r="O2495" i="1" s="1"/>
  <c r="J2492" i="1"/>
  <c r="K2492" i="1"/>
  <c r="L2492" i="1"/>
  <c r="N2492" i="1" s="1"/>
  <c r="M2492" i="1"/>
  <c r="O2492" i="1" s="1"/>
  <c r="J2496" i="1"/>
  <c r="K2496" i="1"/>
  <c r="L2496" i="1"/>
  <c r="N2496" i="1" s="1"/>
  <c r="M2496" i="1"/>
  <c r="O2496" i="1" s="1"/>
  <c r="J2468" i="1"/>
  <c r="K2468" i="1"/>
  <c r="L2468" i="1"/>
  <c r="N2468" i="1" s="1"/>
  <c r="M2468" i="1"/>
  <c r="O2468" i="1" s="1"/>
  <c r="J2497" i="1"/>
  <c r="K2497" i="1"/>
  <c r="L2497" i="1"/>
  <c r="N2497" i="1" s="1"/>
  <c r="M2497" i="1"/>
  <c r="O2497" i="1" s="1"/>
  <c r="J2462" i="1"/>
  <c r="K2462" i="1"/>
  <c r="L2462" i="1"/>
  <c r="N2462" i="1" s="1"/>
  <c r="M2462" i="1"/>
  <c r="O2462" i="1" s="1"/>
  <c r="J2681" i="1"/>
  <c r="K2681" i="1"/>
  <c r="L2681" i="1"/>
  <c r="N2681" i="1" s="1"/>
  <c r="M2681" i="1"/>
  <c r="O2681" i="1" s="1"/>
  <c r="J2412" i="1"/>
  <c r="K2412" i="1"/>
  <c r="L2412" i="1"/>
  <c r="N2412" i="1" s="1"/>
  <c r="M2412" i="1"/>
  <c r="O2412" i="1" s="1"/>
  <c r="J2415" i="1"/>
  <c r="K2415" i="1"/>
  <c r="L2415" i="1"/>
  <c r="N2415" i="1" s="1"/>
  <c r="M2415" i="1"/>
  <c r="O2415" i="1" s="1"/>
  <c r="J2417" i="1"/>
  <c r="K2417" i="1"/>
  <c r="L2417" i="1"/>
  <c r="N2417" i="1" s="1"/>
  <c r="M2417" i="1"/>
  <c r="O2417" i="1" s="1"/>
  <c r="J2418" i="1"/>
  <c r="K2418" i="1"/>
  <c r="L2418" i="1"/>
  <c r="N2418" i="1" s="1"/>
  <c r="M2418" i="1"/>
  <c r="O2418" i="1" s="1"/>
  <c r="J2436" i="1"/>
  <c r="K2436" i="1"/>
  <c r="L2436" i="1"/>
  <c r="N2436" i="1" s="1"/>
  <c r="M2436" i="1"/>
  <c r="O2436" i="1" s="1"/>
  <c r="J2437" i="1"/>
  <c r="K2437" i="1"/>
  <c r="L2437" i="1"/>
  <c r="N2437" i="1" s="1"/>
  <c r="M2437" i="1"/>
  <c r="O2437" i="1" s="1"/>
  <c r="J2438" i="1"/>
  <c r="K2438" i="1"/>
  <c r="L2438" i="1"/>
  <c r="N2438" i="1" s="1"/>
  <c r="M2438" i="1"/>
  <c r="O2438" i="1" s="1"/>
  <c r="J2439" i="1"/>
  <c r="K2439" i="1"/>
  <c r="L2439" i="1"/>
  <c r="N2439" i="1" s="1"/>
  <c r="M2439" i="1"/>
  <c r="O2439" i="1" s="1"/>
  <c r="J2419" i="1"/>
  <c r="K2419" i="1"/>
  <c r="L2419" i="1"/>
  <c r="N2419" i="1" s="1"/>
  <c r="M2419" i="1"/>
  <c r="O2419" i="1" s="1"/>
  <c r="J2420" i="1"/>
  <c r="K2420" i="1"/>
  <c r="L2420" i="1"/>
  <c r="N2420" i="1" s="1"/>
  <c r="M2420" i="1"/>
  <c r="O2420" i="1" s="1"/>
  <c r="J2421" i="1"/>
  <c r="K2421" i="1"/>
  <c r="L2421" i="1"/>
  <c r="N2421" i="1" s="1"/>
  <c r="M2421" i="1"/>
  <c r="O2421" i="1" s="1"/>
  <c r="J2422" i="1"/>
  <c r="K2422" i="1"/>
  <c r="L2422" i="1"/>
  <c r="N2422" i="1" s="1"/>
  <c r="M2422" i="1"/>
  <c r="O2422" i="1" s="1"/>
  <c r="J2423" i="1"/>
  <c r="K2423" i="1"/>
  <c r="L2423" i="1"/>
  <c r="N2423" i="1" s="1"/>
  <c r="M2423" i="1"/>
  <c r="O2423" i="1" s="1"/>
  <c r="J2424" i="1"/>
  <c r="K2424" i="1"/>
  <c r="L2424" i="1"/>
  <c r="N2424" i="1" s="1"/>
  <c r="M2424" i="1"/>
  <c r="O2424" i="1" s="1"/>
  <c r="J2472" i="1"/>
  <c r="K2472" i="1"/>
  <c r="L2472" i="1"/>
  <c r="N2472" i="1" s="1"/>
  <c r="M2472" i="1"/>
  <c r="O2472" i="1" s="1"/>
  <c r="J2513" i="1"/>
  <c r="K2513" i="1"/>
  <c r="L2513" i="1"/>
  <c r="N2513" i="1" s="1"/>
  <c r="M2513" i="1"/>
  <c r="O2513" i="1" s="1"/>
  <c r="J2474" i="1"/>
  <c r="K2474" i="1"/>
  <c r="L2474" i="1"/>
  <c r="N2474" i="1" s="1"/>
  <c r="M2474" i="1"/>
  <c r="O2474" i="1" s="1"/>
  <c r="J2475" i="1"/>
  <c r="K2475" i="1"/>
  <c r="L2475" i="1"/>
  <c r="N2475" i="1" s="1"/>
  <c r="M2475" i="1"/>
  <c r="O2475" i="1" s="1"/>
  <c r="J2476" i="1"/>
  <c r="K2476" i="1"/>
  <c r="L2476" i="1"/>
  <c r="N2476" i="1" s="1"/>
  <c r="M2476" i="1"/>
  <c r="O2476" i="1" s="1"/>
  <c r="J2477" i="1"/>
  <c r="K2477" i="1"/>
  <c r="L2477" i="1"/>
  <c r="N2477" i="1" s="1"/>
  <c r="M2477" i="1"/>
  <c r="O2477" i="1" s="1"/>
  <c r="J2478" i="1"/>
  <c r="K2478" i="1"/>
  <c r="L2478" i="1"/>
  <c r="N2478" i="1" s="1"/>
  <c r="M2478" i="1"/>
  <c r="O2478" i="1" s="1"/>
  <c r="J2541" i="1"/>
  <c r="K2541" i="1"/>
  <c r="L2541" i="1"/>
  <c r="N2541" i="1" s="1"/>
  <c r="M2541" i="1"/>
  <c r="O2541" i="1" s="1"/>
  <c r="J2480" i="1"/>
  <c r="K2480" i="1"/>
  <c r="L2480" i="1"/>
  <c r="N2480" i="1" s="1"/>
  <c r="M2480" i="1"/>
  <c r="O2480" i="1" s="1"/>
  <c r="J2481" i="1"/>
  <c r="K2481" i="1"/>
  <c r="L2481" i="1"/>
  <c r="N2481" i="1" s="1"/>
  <c r="M2481" i="1"/>
  <c r="O2481" i="1" s="1"/>
  <c r="J2482" i="1"/>
  <c r="K2482" i="1"/>
  <c r="L2482" i="1"/>
  <c r="N2482" i="1" s="1"/>
  <c r="M2482" i="1"/>
  <c r="O2482" i="1" s="1"/>
  <c r="J2483" i="1"/>
  <c r="K2483" i="1"/>
  <c r="L2483" i="1"/>
  <c r="N2483" i="1" s="1"/>
  <c r="M2483" i="1"/>
  <c r="O2483" i="1" s="1"/>
  <c r="J2484" i="1"/>
  <c r="K2484" i="1"/>
  <c r="L2484" i="1"/>
  <c r="N2484" i="1" s="1"/>
  <c r="M2484" i="1"/>
  <c r="O2484" i="1" s="1"/>
  <c r="J2485" i="1"/>
  <c r="K2485" i="1"/>
  <c r="L2485" i="1"/>
  <c r="N2485" i="1" s="1"/>
  <c r="M2485" i="1"/>
  <c r="O2485" i="1" s="1"/>
  <c r="J2486" i="1"/>
  <c r="K2486" i="1"/>
  <c r="L2486" i="1"/>
  <c r="N2486" i="1" s="1"/>
  <c r="M2486" i="1"/>
  <c r="O2486" i="1" s="1"/>
  <c r="J2620" i="1"/>
  <c r="K2620" i="1"/>
  <c r="L2620" i="1"/>
  <c r="N2620" i="1" s="1"/>
  <c r="M2620" i="1"/>
  <c r="O2620" i="1" s="1"/>
  <c r="J2451" i="1"/>
  <c r="K2451" i="1"/>
  <c r="L2451" i="1"/>
  <c r="N2451" i="1" s="1"/>
  <c r="M2451" i="1"/>
  <c r="O2451" i="1" s="1"/>
  <c r="J2452" i="1"/>
  <c r="K2452" i="1"/>
  <c r="L2452" i="1"/>
  <c r="N2452" i="1" s="1"/>
  <c r="M2452" i="1"/>
  <c r="O2452" i="1" s="1"/>
  <c r="J2453" i="1"/>
  <c r="K2453" i="1"/>
  <c r="L2453" i="1"/>
  <c r="N2453" i="1" s="1"/>
  <c r="M2453" i="1"/>
  <c r="O2453" i="1" s="1"/>
  <c r="J2454" i="1"/>
  <c r="K2454" i="1"/>
  <c r="L2454" i="1"/>
  <c r="N2454" i="1" s="1"/>
  <c r="M2454" i="1"/>
  <c r="O2454" i="1" s="1"/>
  <c r="J2455" i="1"/>
  <c r="K2455" i="1"/>
  <c r="L2455" i="1"/>
  <c r="N2455" i="1" s="1"/>
  <c r="M2455" i="1"/>
  <c r="O2455" i="1" s="1"/>
  <c r="J2456" i="1"/>
  <c r="K2456" i="1"/>
  <c r="L2456" i="1"/>
  <c r="N2456" i="1" s="1"/>
  <c r="M2456" i="1"/>
  <c r="O2456" i="1" s="1"/>
  <c r="J2457" i="1"/>
  <c r="K2457" i="1"/>
  <c r="L2457" i="1"/>
  <c r="N2457" i="1" s="1"/>
  <c r="M2457" i="1"/>
  <c r="O2457" i="1" s="1"/>
  <c r="J2458" i="1"/>
  <c r="K2458" i="1"/>
  <c r="L2458" i="1"/>
  <c r="N2458" i="1" s="1"/>
  <c r="M2458" i="1"/>
  <c r="O2458" i="1" s="1"/>
  <c r="J2459" i="1"/>
  <c r="K2459" i="1"/>
  <c r="L2459" i="1"/>
  <c r="N2459" i="1" s="1"/>
  <c r="M2459" i="1"/>
  <c r="O2459" i="1" s="1"/>
  <c r="J2062" i="1"/>
  <c r="K2062" i="1"/>
  <c r="L2062" i="1"/>
  <c r="N2062" i="1" s="1"/>
  <c r="M2062" i="1"/>
  <c r="O2062" i="1" s="1"/>
  <c r="J2433" i="1"/>
  <c r="K2433" i="1"/>
  <c r="L2433" i="1"/>
  <c r="N2433" i="1" s="1"/>
  <c r="M2433" i="1"/>
  <c r="O2433" i="1" s="1"/>
  <c r="J2434" i="1"/>
  <c r="K2434" i="1"/>
  <c r="L2434" i="1"/>
  <c r="N2434" i="1" s="1"/>
  <c r="M2434" i="1"/>
  <c r="O2434" i="1" s="1"/>
  <c r="J2435" i="1"/>
  <c r="K2435" i="1"/>
  <c r="L2435" i="1"/>
  <c r="N2435" i="1" s="1"/>
  <c r="M2435" i="1"/>
  <c r="O2435" i="1" s="1"/>
  <c r="J2444" i="1"/>
  <c r="K2444" i="1"/>
  <c r="L2444" i="1"/>
  <c r="N2444" i="1" s="1"/>
  <c r="M2444" i="1"/>
  <c r="O2444" i="1" s="1"/>
  <c r="J2024" i="1"/>
  <c r="K2024" i="1"/>
  <c r="L2024" i="1"/>
  <c r="N2024" i="1" s="1"/>
  <c r="M2024" i="1"/>
  <c r="O2024" i="1" s="1"/>
  <c r="J2171" i="1"/>
  <c r="K2171" i="1"/>
  <c r="L2171" i="1"/>
  <c r="N2171" i="1" s="1"/>
  <c r="M2171" i="1"/>
  <c r="O2171" i="1" s="1"/>
  <c r="J2370" i="1"/>
  <c r="K2370" i="1"/>
  <c r="L2370" i="1"/>
  <c r="N2370" i="1" s="1"/>
  <c r="M2370" i="1"/>
  <c r="O2370" i="1" s="1"/>
  <c r="J2371" i="1"/>
  <c r="K2371" i="1"/>
  <c r="L2371" i="1"/>
  <c r="N2371" i="1" s="1"/>
  <c r="M2371" i="1"/>
  <c r="O2371" i="1" s="1"/>
  <c r="J2372" i="1"/>
  <c r="K2372" i="1"/>
  <c r="L2372" i="1"/>
  <c r="N2372" i="1" s="1"/>
  <c r="M2372" i="1"/>
  <c r="O2372" i="1" s="1"/>
  <c r="J2383" i="1"/>
  <c r="K2383" i="1"/>
  <c r="L2383" i="1"/>
  <c r="N2383" i="1" s="1"/>
  <c r="M2383" i="1"/>
  <c r="O2383" i="1" s="1"/>
  <c r="J2384" i="1"/>
  <c r="K2384" i="1"/>
  <c r="L2384" i="1"/>
  <c r="N2384" i="1" s="1"/>
  <c r="M2384" i="1"/>
  <c r="O2384" i="1" s="1"/>
  <c r="J1687" i="1"/>
  <c r="J2391" i="1"/>
  <c r="K2391" i="1"/>
  <c r="L2391" i="1"/>
  <c r="N2391" i="1" s="1"/>
  <c r="M2391" i="1"/>
  <c r="O2391" i="1" s="1"/>
  <c r="J2342" i="1"/>
  <c r="K2342" i="1"/>
  <c r="L2342" i="1"/>
  <c r="N2342" i="1" s="1"/>
  <c r="M2342" i="1"/>
  <c r="O2342" i="1" s="1"/>
  <c r="J2343" i="1"/>
  <c r="K2343" i="1"/>
  <c r="L2343" i="1"/>
  <c r="N2343" i="1" s="1"/>
  <c r="M2343" i="1"/>
  <c r="O2343" i="1" s="1"/>
  <c r="J2313" i="1"/>
  <c r="K2313" i="1"/>
  <c r="L2313" i="1"/>
  <c r="N2313" i="1" s="1"/>
  <c r="M2313" i="1"/>
  <c r="O2313" i="1" s="1"/>
  <c r="J2377" i="1"/>
  <c r="K2377" i="1"/>
  <c r="L2377" i="1"/>
  <c r="N2377" i="1" s="1"/>
  <c r="M2377" i="1"/>
  <c r="O2377" i="1" s="1"/>
  <c r="J2336" i="1"/>
  <c r="K2336" i="1"/>
  <c r="L2336" i="1"/>
  <c r="N2336" i="1" s="1"/>
  <c r="M2336" i="1"/>
  <c r="O2336" i="1" s="1"/>
  <c r="J2356" i="1"/>
  <c r="K2356" i="1"/>
  <c r="L2356" i="1"/>
  <c r="N2356" i="1" s="1"/>
  <c r="M2356" i="1"/>
  <c r="O2356" i="1" s="1"/>
  <c r="J2351" i="1"/>
  <c r="K2351" i="1"/>
  <c r="L2351" i="1"/>
  <c r="N2351" i="1" s="1"/>
  <c r="M2351" i="1"/>
  <c r="O2351" i="1" s="1"/>
  <c r="J2373" i="1"/>
  <c r="K2373" i="1"/>
  <c r="L2373" i="1"/>
  <c r="N2373" i="1" s="1"/>
  <c r="M2373" i="1"/>
  <c r="O2373" i="1" s="1"/>
  <c r="J2374" i="1"/>
  <c r="K2374" i="1"/>
  <c r="L2374" i="1"/>
  <c r="N2374" i="1" s="1"/>
  <c r="M2374" i="1"/>
  <c r="O2374" i="1" s="1"/>
  <c r="J2354" i="1"/>
  <c r="K2354" i="1"/>
  <c r="L2354" i="1"/>
  <c r="N2354" i="1" s="1"/>
  <c r="M2354" i="1"/>
  <c r="O2354" i="1" s="1"/>
  <c r="J2355" i="1"/>
  <c r="K2355" i="1"/>
  <c r="L2355" i="1"/>
  <c r="N2355" i="1" s="1"/>
  <c r="M2355" i="1"/>
  <c r="O2355" i="1" s="1"/>
  <c r="J2378" i="1"/>
  <c r="K2378" i="1"/>
  <c r="L2378" i="1"/>
  <c r="N2378" i="1" s="1"/>
  <c r="M2378" i="1"/>
  <c r="O2378" i="1" s="1"/>
  <c r="J2410" i="1"/>
  <c r="K2410" i="1"/>
  <c r="L2410" i="1"/>
  <c r="N2410" i="1" s="1"/>
  <c r="M2410" i="1"/>
  <c r="O2410" i="1" s="1"/>
  <c r="J2293" i="1"/>
  <c r="K2293" i="1"/>
  <c r="L2293" i="1"/>
  <c r="N2293" i="1" s="1"/>
  <c r="M2293" i="1"/>
  <c r="O2293" i="1" s="1"/>
  <c r="K1687" i="1"/>
  <c r="L1687" i="1"/>
  <c r="N1687" i="1" s="1"/>
  <c r="M1687" i="1"/>
  <c r="O1687" i="1" s="1"/>
  <c r="J1589" i="1"/>
  <c r="K1589" i="1"/>
  <c r="L1589" i="1"/>
  <c r="N1589" i="1" s="1"/>
  <c r="M1589" i="1"/>
  <c r="O1589" i="1" s="1"/>
  <c r="J1573" i="1"/>
  <c r="K1573" i="1"/>
  <c r="L1573" i="1"/>
  <c r="N1573" i="1" s="1"/>
  <c r="M1573" i="1"/>
  <c r="O1573" i="1" s="1"/>
  <c r="J1777" i="1"/>
  <c r="K1777" i="1"/>
  <c r="L1777" i="1"/>
  <c r="N1777" i="1" s="1"/>
  <c r="M1777" i="1"/>
  <c r="O1777" i="1" s="1"/>
  <c r="J1776" i="1"/>
  <c r="K1776" i="1"/>
  <c r="L1776" i="1"/>
  <c r="N1776" i="1" s="1"/>
  <c r="M1776" i="1"/>
  <c r="O1776" i="1" s="1"/>
  <c r="J2219" i="1"/>
  <c r="K2219" i="1"/>
  <c r="L2219" i="1"/>
  <c r="N2219" i="1" s="1"/>
  <c r="M2219" i="1"/>
  <c r="O2219" i="1" s="1"/>
  <c r="J2314" i="1"/>
  <c r="K2314" i="1"/>
  <c r="L2314" i="1"/>
  <c r="N2314" i="1" s="1"/>
  <c r="M2314" i="1"/>
  <c r="O2314" i="1" s="1"/>
  <c r="J2315" i="1"/>
  <c r="K2315" i="1"/>
  <c r="L2315" i="1"/>
  <c r="N2315" i="1" s="1"/>
  <c r="M2315" i="1"/>
  <c r="O2315" i="1" s="1"/>
  <c r="J2387" i="1"/>
  <c r="K2387" i="1"/>
  <c r="L2387" i="1"/>
  <c r="N2387" i="1" s="1"/>
  <c r="M2387" i="1"/>
  <c r="O2387" i="1" s="1"/>
  <c r="J2369" i="1"/>
  <c r="K2369" i="1"/>
  <c r="L2369" i="1"/>
  <c r="N2369" i="1" s="1"/>
  <c r="M2369" i="1"/>
  <c r="O2369" i="1" s="1"/>
  <c r="J2375" i="1"/>
  <c r="K2375" i="1"/>
  <c r="L2375" i="1"/>
  <c r="N2375" i="1" s="1"/>
  <c r="M2375" i="1"/>
  <c r="O2375" i="1" s="1"/>
  <c r="J2379" i="1"/>
  <c r="K2379" i="1"/>
  <c r="L2379" i="1"/>
  <c r="N2379" i="1" s="1"/>
  <c r="M2379" i="1"/>
  <c r="O2379" i="1" s="1"/>
  <c r="J71" i="1"/>
  <c r="K71" i="1"/>
  <c r="L71" i="1"/>
  <c r="N71" i="1" s="1"/>
  <c r="M71" i="1"/>
  <c r="O71" i="1" s="1"/>
  <c r="J2396" i="1"/>
  <c r="K2396" i="1"/>
  <c r="L2396" i="1"/>
  <c r="N2396" i="1" s="1"/>
  <c r="M2396" i="1"/>
  <c r="O2396" i="1" s="1"/>
  <c r="J2411" i="1"/>
  <c r="K2411" i="1"/>
  <c r="L2411" i="1"/>
  <c r="N2411" i="1" s="1"/>
  <c r="M2411" i="1"/>
  <c r="O2411" i="1" s="1"/>
  <c r="J2414" i="1"/>
  <c r="K2414" i="1"/>
  <c r="L2414" i="1"/>
  <c r="N2414" i="1" s="1"/>
  <c r="M2414" i="1"/>
  <c r="O2414" i="1" s="1"/>
  <c r="J2416" i="1"/>
  <c r="K2416" i="1"/>
  <c r="L2416" i="1"/>
  <c r="N2416" i="1" s="1"/>
  <c r="M2416" i="1"/>
  <c r="O2416" i="1" s="1"/>
  <c r="J2449" i="1"/>
  <c r="K2449" i="1"/>
  <c r="L2449" i="1"/>
  <c r="N2449" i="1" s="1"/>
  <c r="M2449" i="1"/>
  <c r="O2449" i="1" s="1"/>
  <c r="J2450" i="1"/>
  <c r="K2450" i="1"/>
  <c r="L2450" i="1"/>
  <c r="N2450" i="1" s="1"/>
  <c r="M2450" i="1"/>
  <c r="O2450" i="1" s="1"/>
  <c r="J2430" i="1"/>
  <c r="K2430" i="1"/>
  <c r="L2430" i="1"/>
  <c r="N2430" i="1" s="1"/>
  <c r="M2430" i="1"/>
  <c r="O2430" i="1" s="1"/>
  <c r="J2431" i="1"/>
  <c r="K2431" i="1"/>
  <c r="L2431" i="1"/>
  <c r="N2431" i="1" s="1"/>
  <c r="M2431" i="1"/>
  <c r="O2431" i="1" s="1"/>
  <c r="J2489" i="1"/>
  <c r="K2489" i="1"/>
  <c r="L2489" i="1"/>
  <c r="N2489" i="1" s="1"/>
  <c r="M2489" i="1"/>
  <c r="O2489" i="1" s="1"/>
  <c r="J2479" i="1"/>
  <c r="K2479" i="1"/>
  <c r="L2479" i="1"/>
  <c r="N2479" i="1" s="1"/>
  <c r="M2479" i="1"/>
  <c r="O2479" i="1" s="1"/>
  <c r="J2487" i="1"/>
  <c r="K2487" i="1"/>
  <c r="L2487" i="1"/>
  <c r="N2487" i="1" s="1"/>
  <c r="M2487" i="1"/>
  <c r="O2487" i="1" s="1"/>
  <c r="J2498" i="1"/>
  <c r="K2498" i="1"/>
  <c r="L2498" i="1"/>
  <c r="N2498" i="1" s="1"/>
  <c r="M2498" i="1"/>
  <c r="O2498" i="1" s="1"/>
  <c r="J2397" i="1"/>
  <c r="K2397" i="1"/>
  <c r="L2397" i="1"/>
  <c r="N2397" i="1" s="1"/>
  <c r="M2397" i="1"/>
  <c r="O2397" i="1" s="1"/>
  <c r="J2473" i="1"/>
  <c r="K2473" i="1"/>
  <c r="L2473" i="1"/>
  <c r="N2473" i="1" s="1"/>
  <c r="M2473" i="1"/>
  <c r="O2473" i="1" s="1"/>
  <c r="J2470" i="1"/>
  <c r="K2470" i="1"/>
  <c r="L2470" i="1"/>
  <c r="N2470" i="1" s="1"/>
  <c r="M2470" i="1"/>
  <c r="O2470" i="1" s="1"/>
  <c r="J2471" i="1"/>
  <c r="K2471" i="1"/>
  <c r="L2471" i="1"/>
  <c r="N2471" i="1" s="1"/>
  <c r="M2471" i="1"/>
  <c r="O2471" i="1" s="1"/>
  <c r="J2448" i="1"/>
  <c r="K2448" i="1"/>
  <c r="L2448" i="1"/>
  <c r="N2448" i="1" s="1"/>
  <c r="M2448" i="1"/>
  <c r="O2448" i="1" s="1"/>
  <c r="J2394" i="1"/>
  <c r="K2394" i="1"/>
  <c r="L2394" i="1"/>
  <c r="N2394" i="1" s="1"/>
  <c r="M2394" i="1"/>
  <c r="O2394" i="1" s="1"/>
  <c r="J2395" i="1"/>
  <c r="K2395" i="1"/>
  <c r="L2395" i="1"/>
  <c r="N2395" i="1" s="1"/>
  <c r="M2395" i="1"/>
  <c r="O2395" i="1" s="1"/>
  <c r="J2409" i="1"/>
  <c r="K2409" i="1"/>
  <c r="L2409" i="1"/>
  <c r="N2409" i="1" s="1"/>
  <c r="M2409" i="1"/>
  <c r="O2409" i="1" s="1"/>
  <c r="J2428" i="1"/>
  <c r="K2428" i="1"/>
  <c r="L2428" i="1"/>
  <c r="N2428" i="1" s="1"/>
  <c r="M2428" i="1"/>
  <c r="O2428" i="1" s="1"/>
  <c r="J2398" i="1"/>
  <c r="K2398" i="1"/>
  <c r="L2398" i="1"/>
  <c r="N2398" i="1" s="1"/>
  <c r="M2398" i="1"/>
  <c r="O2398" i="1" s="1"/>
  <c r="J2399" i="1"/>
  <c r="K2399" i="1"/>
  <c r="L2399" i="1"/>
  <c r="N2399" i="1" s="1"/>
  <c r="M2399" i="1"/>
  <c r="O2399" i="1" s="1"/>
  <c r="J2400" i="1"/>
  <c r="K2400" i="1"/>
  <c r="L2400" i="1"/>
  <c r="N2400" i="1" s="1"/>
  <c r="M2400" i="1"/>
  <c r="O2400" i="1" s="1"/>
  <c r="J2401" i="1"/>
  <c r="K2401" i="1"/>
  <c r="L2401" i="1"/>
  <c r="N2401" i="1" s="1"/>
  <c r="M2401" i="1"/>
  <c r="O2401" i="1" s="1"/>
  <c r="J2402" i="1"/>
  <c r="K2402" i="1"/>
  <c r="L2402" i="1"/>
  <c r="N2402" i="1" s="1"/>
  <c r="M2402" i="1"/>
  <c r="O2402" i="1" s="1"/>
  <c r="J2403" i="1"/>
  <c r="K2403" i="1"/>
  <c r="L2403" i="1"/>
  <c r="N2403" i="1" s="1"/>
  <c r="M2403" i="1"/>
  <c r="O2403" i="1" s="1"/>
  <c r="J2404" i="1"/>
  <c r="K2404" i="1"/>
  <c r="L2404" i="1"/>
  <c r="N2404" i="1" s="1"/>
  <c r="M2404" i="1"/>
  <c r="O2404" i="1" s="1"/>
  <c r="J2429" i="1"/>
  <c r="K2429" i="1"/>
  <c r="L2429" i="1"/>
  <c r="N2429" i="1" s="1"/>
  <c r="M2429" i="1"/>
  <c r="O2429" i="1" s="1"/>
  <c r="J2432" i="1"/>
  <c r="K2432" i="1"/>
  <c r="L2432" i="1"/>
  <c r="N2432" i="1" s="1"/>
  <c r="M2432" i="1"/>
  <c r="O2432" i="1" s="1"/>
  <c r="J2407" i="1"/>
  <c r="K2407" i="1"/>
  <c r="L2407" i="1"/>
  <c r="N2407" i="1" s="1"/>
  <c r="M2407" i="1"/>
  <c r="O2407" i="1" s="1"/>
  <c r="J2408" i="1"/>
  <c r="K2408" i="1"/>
  <c r="L2408" i="1"/>
  <c r="N2408" i="1" s="1"/>
  <c r="M2408" i="1"/>
  <c r="O2408" i="1" s="1"/>
  <c r="J2363" i="1"/>
  <c r="K2363" i="1"/>
  <c r="L2363" i="1"/>
  <c r="N2363" i="1" s="1"/>
  <c r="M2363" i="1"/>
  <c r="O2363" i="1" s="1"/>
  <c r="J2364" i="1"/>
  <c r="K2364" i="1"/>
  <c r="L2364" i="1"/>
  <c r="N2364" i="1" s="1"/>
  <c r="M2364" i="1"/>
  <c r="O2364" i="1" s="1"/>
  <c r="J2218" i="1"/>
  <c r="K2218" i="1"/>
  <c r="L2218" i="1"/>
  <c r="N2218" i="1" s="1"/>
  <c r="M2218" i="1"/>
  <c r="O2218" i="1" s="1"/>
  <c r="J67" i="1"/>
  <c r="K67" i="1"/>
  <c r="L67" i="1"/>
  <c r="N67" i="1" s="1"/>
  <c r="M67" i="1"/>
  <c r="O67" i="1" s="1"/>
  <c r="J2365" i="1"/>
  <c r="K2365" i="1"/>
  <c r="L2365" i="1"/>
  <c r="N2365" i="1" s="1"/>
  <c r="M2365" i="1"/>
  <c r="O2365" i="1" s="1"/>
  <c r="J2366" i="1"/>
  <c r="K2366" i="1"/>
  <c r="L2366" i="1"/>
  <c r="N2366" i="1" s="1"/>
  <c r="M2366" i="1"/>
  <c r="O2366" i="1" s="1"/>
  <c r="J2367" i="1"/>
  <c r="K2367" i="1"/>
  <c r="L2367" i="1"/>
  <c r="N2367" i="1" s="1"/>
  <c r="M2367" i="1"/>
  <c r="O2367" i="1" s="1"/>
  <c r="J2368" i="1"/>
  <c r="K2368" i="1"/>
  <c r="L2368" i="1"/>
  <c r="N2368" i="1" s="1"/>
  <c r="M2368" i="1"/>
  <c r="O2368" i="1" s="1"/>
  <c r="J2388" i="1"/>
  <c r="K2388" i="1"/>
  <c r="L2388" i="1"/>
  <c r="N2388" i="1" s="1"/>
  <c r="M2388" i="1"/>
  <c r="O2388" i="1" s="1"/>
  <c r="J2389" i="1"/>
  <c r="K2389" i="1"/>
  <c r="L2389" i="1"/>
  <c r="N2389" i="1" s="1"/>
  <c r="M2389" i="1"/>
  <c r="O2389" i="1" s="1"/>
  <c r="J2390" i="1"/>
  <c r="K2390" i="1"/>
  <c r="L2390" i="1"/>
  <c r="N2390" i="1" s="1"/>
  <c r="M2390" i="1"/>
  <c r="O2390" i="1" s="1"/>
  <c r="J2406" i="1"/>
  <c r="K2406" i="1"/>
  <c r="L2406" i="1"/>
  <c r="N2406" i="1" s="1"/>
  <c r="M2406" i="1"/>
  <c r="O2406" i="1" s="1"/>
  <c r="J2392" i="1"/>
  <c r="K2392" i="1"/>
  <c r="L2392" i="1"/>
  <c r="N2392" i="1" s="1"/>
  <c r="M2392" i="1"/>
  <c r="O2392" i="1" s="1"/>
  <c r="J2393" i="1"/>
  <c r="K2393" i="1"/>
  <c r="L2393" i="1"/>
  <c r="N2393" i="1" s="1"/>
  <c r="M2393" i="1"/>
  <c r="O2393" i="1" s="1"/>
  <c r="J2146" i="1"/>
  <c r="K2146" i="1"/>
  <c r="L2146" i="1"/>
  <c r="N2146" i="1" s="1"/>
  <c r="M2146" i="1"/>
  <c r="O2146" i="1" s="1"/>
  <c r="J2176" i="1"/>
  <c r="K2176" i="1"/>
  <c r="L2176" i="1"/>
  <c r="N2176" i="1" s="1"/>
  <c r="M2176" i="1"/>
  <c r="O2176" i="1" s="1"/>
  <c r="J2177" i="1"/>
  <c r="K2177" i="1"/>
  <c r="L2177" i="1"/>
  <c r="N2177" i="1" s="1"/>
  <c r="M2177" i="1"/>
  <c r="O2177" i="1" s="1"/>
  <c r="J2229" i="1"/>
  <c r="K2229" i="1"/>
  <c r="L2229" i="1"/>
  <c r="N2229" i="1" s="1"/>
  <c r="M2229" i="1"/>
  <c r="O2229" i="1" s="1"/>
  <c r="J2230" i="1"/>
  <c r="K2230" i="1"/>
  <c r="L2230" i="1"/>
  <c r="N2230" i="1" s="1"/>
  <c r="M2230" i="1"/>
  <c r="O2230" i="1" s="1"/>
  <c r="J2238" i="1"/>
  <c r="K2238" i="1"/>
  <c r="L2238" i="1"/>
  <c r="N2238" i="1" s="1"/>
  <c r="M2238" i="1"/>
  <c r="O2238" i="1" s="1"/>
  <c r="J2248" i="1"/>
  <c r="K2248" i="1"/>
  <c r="L2248" i="1"/>
  <c r="N2248" i="1" s="1"/>
  <c r="M2248" i="1"/>
  <c r="O2248" i="1" s="1"/>
  <c r="J2271" i="1"/>
  <c r="K2271" i="1"/>
  <c r="L2271" i="1"/>
  <c r="N2271" i="1" s="1"/>
  <c r="M2271" i="1"/>
  <c r="O2271" i="1" s="1"/>
  <c r="J2305" i="1"/>
  <c r="K2305" i="1"/>
  <c r="L2305" i="1"/>
  <c r="N2305" i="1" s="1"/>
  <c r="M2305" i="1"/>
  <c r="O2305" i="1" s="1"/>
  <c r="J2306" i="1"/>
  <c r="K2306" i="1"/>
  <c r="L2306" i="1"/>
  <c r="N2306" i="1" s="1"/>
  <c r="M2306" i="1"/>
  <c r="O2306" i="1" s="1"/>
  <c r="J2312" i="1"/>
  <c r="K2312" i="1"/>
  <c r="L2312" i="1"/>
  <c r="N2312" i="1" s="1"/>
  <c r="M2312" i="1"/>
  <c r="O2312" i="1" s="1"/>
  <c r="J2335" i="1"/>
  <c r="K2335" i="1"/>
  <c r="L2335" i="1"/>
  <c r="N2335" i="1" s="1"/>
  <c r="M2335" i="1"/>
  <c r="O2335" i="1" s="1"/>
  <c r="J2361" i="1"/>
  <c r="K2361" i="1"/>
  <c r="L2361" i="1"/>
  <c r="N2361" i="1" s="1"/>
  <c r="M2361" i="1"/>
  <c r="O2361" i="1" s="1"/>
  <c r="J2283" i="1"/>
  <c r="K2283" i="1"/>
  <c r="L2283" i="1"/>
  <c r="N2283" i="1" s="1"/>
  <c r="M2283" i="1"/>
  <c r="O2283" i="1" s="1"/>
  <c r="J2292" i="1"/>
  <c r="K2292" i="1"/>
  <c r="L2292" i="1"/>
  <c r="N2292" i="1" s="1"/>
  <c r="M2292" i="1"/>
  <c r="O2292" i="1" s="1"/>
  <c r="J2275" i="1"/>
  <c r="K2275" i="1"/>
  <c r="L2275" i="1"/>
  <c r="N2275" i="1" s="1"/>
  <c r="M2275" i="1"/>
  <c r="O2275" i="1" s="1"/>
  <c r="J2276" i="1"/>
  <c r="K2276" i="1"/>
  <c r="L2276" i="1"/>
  <c r="N2276" i="1" s="1"/>
  <c r="M2276" i="1"/>
  <c r="O2276" i="1" s="1"/>
  <c r="J2277" i="1"/>
  <c r="K2277" i="1"/>
  <c r="L2277" i="1"/>
  <c r="N2277" i="1" s="1"/>
  <c r="M2277" i="1"/>
  <c r="O2277" i="1" s="1"/>
  <c r="J2278" i="1"/>
  <c r="K2278" i="1"/>
  <c r="L2278" i="1"/>
  <c r="N2278" i="1" s="1"/>
  <c r="M2278" i="1"/>
  <c r="O2278" i="1" s="1"/>
  <c r="J2296" i="1"/>
  <c r="K2296" i="1"/>
  <c r="L2296" i="1"/>
  <c r="N2296" i="1" s="1"/>
  <c r="M2296" i="1"/>
  <c r="O2296" i="1" s="1"/>
  <c r="J2316" i="1"/>
  <c r="K2316" i="1"/>
  <c r="L2316" i="1"/>
  <c r="N2316" i="1" s="1"/>
  <c r="M2316" i="1"/>
  <c r="O2316" i="1" s="1"/>
  <c r="J2317" i="1"/>
  <c r="K2317" i="1"/>
  <c r="L2317" i="1"/>
  <c r="N2317" i="1" s="1"/>
  <c r="M2317" i="1"/>
  <c r="O2317" i="1" s="1"/>
  <c r="J2318" i="1"/>
  <c r="K2318" i="1"/>
  <c r="L2318" i="1"/>
  <c r="N2318" i="1" s="1"/>
  <c r="M2318" i="1"/>
  <c r="O2318" i="1" s="1"/>
  <c r="J2319" i="1"/>
  <c r="K2319" i="1"/>
  <c r="L2319" i="1"/>
  <c r="N2319" i="1" s="1"/>
  <c r="M2319" i="1"/>
  <c r="O2319" i="1" s="1"/>
  <c r="J2376" i="1"/>
  <c r="K2376" i="1"/>
  <c r="L2376" i="1"/>
  <c r="N2376" i="1" s="1"/>
  <c r="M2376" i="1"/>
  <c r="O2376" i="1" s="1"/>
  <c r="J2321" i="1"/>
  <c r="K2321" i="1"/>
  <c r="L2321" i="1"/>
  <c r="N2321" i="1" s="1"/>
  <c r="M2321" i="1"/>
  <c r="O2321" i="1" s="1"/>
  <c r="J2322" i="1"/>
  <c r="K2322" i="1"/>
  <c r="L2322" i="1"/>
  <c r="N2322" i="1" s="1"/>
  <c r="M2322" i="1"/>
  <c r="O2322" i="1" s="1"/>
  <c r="J2323" i="1"/>
  <c r="K2323" i="1"/>
  <c r="L2323" i="1"/>
  <c r="N2323" i="1" s="1"/>
  <c r="M2323" i="1"/>
  <c r="O2323" i="1" s="1"/>
  <c r="J2324" i="1"/>
  <c r="K2324" i="1"/>
  <c r="L2324" i="1"/>
  <c r="N2324" i="1" s="1"/>
  <c r="M2324" i="1"/>
  <c r="O2324" i="1" s="1"/>
  <c r="J2380" i="1"/>
  <c r="K2380" i="1"/>
  <c r="L2380" i="1"/>
  <c r="N2380" i="1" s="1"/>
  <c r="M2380" i="1"/>
  <c r="O2380" i="1" s="1"/>
  <c r="J2381" i="1"/>
  <c r="K2381" i="1"/>
  <c r="L2381" i="1"/>
  <c r="N2381" i="1" s="1"/>
  <c r="M2381" i="1"/>
  <c r="O2381" i="1" s="1"/>
  <c r="J2382" i="1"/>
  <c r="K2382" i="1"/>
  <c r="L2382" i="1"/>
  <c r="N2382" i="1" s="1"/>
  <c r="M2382" i="1"/>
  <c r="O2382" i="1" s="1"/>
  <c r="J2328" i="1"/>
  <c r="K2328" i="1"/>
  <c r="L2328" i="1"/>
  <c r="N2328" i="1" s="1"/>
  <c r="M2328" i="1"/>
  <c r="O2328" i="1" s="1"/>
  <c r="J2329" i="1"/>
  <c r="K2329" i="1"/>
  <c r="L2329" i="1"/>
  <c r="N2329" i="1" s="1"/>
  <c r="M2329" i="1"/>
  <c r="O2329" i="1" s="1"/>
  <c r="J2330" i="1"/>
  <c r="K2330" i="1"/>
  <c r="L2330" i="1"/>
  <c r="N2330" i="1" s="1"/>
  <c r="M2330" i="1"/>
  <c r="O2330" i="1" s="1"/>
  <c r="J2331" i="1"/>
  <c r="K2331" i="1"/>
  <c r="L2331" i="1"/>
  <c r="N2331" i="1" s="1"/>
  <c r="M2331" i="1"/>
  <c r="O2331" i="1" s="1"/>
  <c r="J2332" i="1"/>
  <c r="K2332" i="1"/>
  <c r="L2332" i="1"/>
  <c r="N2332" i="1" s="1"/>
  <c r="M2332" i="1"/>
  <c r="O2332" i="1" s="1"/>
  <c r="J2358" i="1"/>
  <c r="K2358" i="1"/>
  <c r="L2358" i="1"/>
  <c r="N2358" i="1" s="1"/>
  <c r="M2358" i="1"/>
  <c r="O2358" i="1" s="1"/>
  <c r="J2333" i="1"/>
  <c r="K2333" i="1"/>
  <c r="L2333" i="1"/>
  <c r="N2333" i="1" s="1"/>
  <c r="M2333" i="1"/>
  <c r="O2333" i="1" s="1"/>
  <c r="J2308" i="1"/>
  <c r="K2308" i="1"/>
  <c r="L2308" i="1"/>
  <c r="N2308" i="1" s="1"/>
  <c r="M2308" i="1"/>
  <c r="O2308" i="1" s="1"/>
  <c r="J2334" i="1"/>
  <c r="K2334" i="1"/>
  <c r="L2334" i="1"/>
  <c r="N2334" i="1" s="1"/>
  <c r="M2334" i="1"/>
  <c r="O2334" i="1" s="1"/>
  <c r="J2309" i="1"/>
  <c r="K2309" i="1"/>
  <c r="L2309" i="1"/>
  <c r="N2309" i="1" s="1"/>
  <c r="M2309" i="1"/>
  <c r="O2309" i="1" s="1"/>
  <c r="J2310" i="1"/>
  <c r="K2310" i="1"/>
  <c r="L2310" i="1"/>
  <c r="N2310" i="1" s="1"/>
  <c r="M2310" i="1"/>
  <c r="O2310" i="1" s="1"/>
  <c r="J2348" i="1"/>
  <c r="K2348" i="1"/>
  <c r="L2348" i="1"/>
  <c r="N2348" i="1" s="1"/>
  <c r="M2348" i="1"/>
  <c r="O2348" i="1" s="1"/>
  <c r="J2297" i="1"/>
  <c r="K2297" i="1"/>
  <c r="L2297" i="1"/>
  <c r="N2297" i="1" s="1"/>
  <c r="M2297" i="1"/>
  <c r="O2297" i="1" s="1"/>
  <c r="J2298" i="1"/>
  <c r="K2298" i="1"/>
  <c r="L2298" i="1"/>
  <c r="N2298" i="1" s="1"/>
  <c r="M2298" i="1"/>
  <c r="O2298" i="1" s="1"/>
  <c r="J2299" i="1"/>
  <c r="K2299" i="1"/>
  <c r="L2299" i="1"/>
  <c r="N2299" i="1" s="1"/>
  <c r="M2299" i="1"/>
  <c r="O2299" i="1" s="1"/>
  <c r="J2300" i="1"/>
  <c r="K2300" i="1"/>
  <c r="L2300" i="1"/>
  <c r="N2300" i="1" s="1"/>
  <c r="M2300" i="1"/>
  <c r="O2300" i="1" s="1"/>
  <c r="J2301" i="1"/>
  <c r="K2301" i="1"/>
  <c r="L2301" i="1"/>
  <c r="N2301" i="1" s="1"/>
  <c r="M2301" i="1"/>
  <c r="O2301" i="1" s="1"/>
  <c r="J2302" i="1"/>
  <c r="K2302" i="1"/>
  <c r="L2302" i="1"/>
  <c r="N2302" i="1" s="1"/>
  <c r="M2302" i="1"/>
  <c r="O2302" i="1" s="1"/>
  <c r="J2303" i="1"/>
  <c r="K2303" i="1"/>
  <c r="L2303" i="1"/>
  <c r="N2303" i="1" s="1"/>
  <c r="M2303" i="1"/>
  <c r="O2303" i="1" s="1"/>
  <c r="J2345" i="1"/>
  <c r="K2345" i="1"/>
  <c r="L2345" i="1"/>
  <c r="N2345" i="1" s="1"/>
  <c r="M2345" i="1"/>
  <c r="O2345" i="1" s="1"/>
  <c r="J2346" i="1"/>
  <c r="K2346" i="1"/>
  <c r="L2346" i="1"/>
  <c r="N2346" i="1" s="1"/>
  <c r="M2346" i="1"/>
  <c r="O2346" i="1" s="1"/>
  <c r="J2347" i="1"/>
  <c r="K2347" i="1"/>
  <c r="L2347" i="1"/>
  <c r="N2347" i="1" s="1"/>
  <c r="M2347" i="1"/>
  <c r="O2347" i="1" s="1"/>
  <c r="J2359" i="1"/>
  <c r="K2359" i="1"/>
  <c r="L2359" i="1"/>
  <c r="N2359" i="1" s="1"/>
  <c r="M2359" i="1"/>
  <c r="O2359" i="1" s="1"/>
  <c r="J2360" i="1"/>
  <c r="K2360" i="1"/>
  <c r="L2360" i="1"/>
  <c r="N2360" i="1" s="1"/>
  <c r="M2360" i="1"/>
  <c r="O2360" i="1" s="1"/>
  <c r="J2304" i="1"/>
  <c r="K2304" i="1"/>
  <c r="L2304" i="1"/>
  <c r="N2304" i="1" s="1"/>
  <c r="M2304" i="1"/>
  <c r="O2304" i="1" s="1"/>
  <c r="J2311" i="1"/>
  <c r="K2311" i="1"/>
  <c r="L2311" i="1"/>
  <c r="N2311" i="1" s="1"/>
  <c r="M2311" i="1"/>
  <c r="O2311" i="1" s="1"/>
  <c r="J2338" i="1"/>
  <c r="K2338" i="1"/>
  <c r="L2338" i="1"/>
  <c r="N2338" i="1" s="1"/>
  <c r="M2338" i="1"/>
  <c r="O2338" i="1" s="1"/>
  <c r="J2339" i="1"/>
  <c r="K2339" i="1"/>
  <c r="L2339" i="1"/>
  <c r="N2339" i="1" s="1"/>
  <c r="M2339" i="1"/>
  <c r="O2339" i="1" s="1"/>
  <c r="J2340" i="1"/>
  <c r="K2340" i="1"/>
  <c r="L2340" i="1"/>
  <c r="N2340" i="1" s="1"/>
  <c r="M2340" i="1"/>
  <c r="O2340" i="1" s="1"/>
  <c r="J2341" i="1"/>
  <c r="K2341" i="1"/>
  <c r="L2341" i="1"/>
  <c r="N2341" i="1" s="1"/>
  <c r="M2341" i="1"/>
  <c r="O2341" i="1" s="1"/>
  <c r="J2349" i="1"/>
  <c r="K2349" i="1"/>
  <c r="L2349" i="1"/>
  <c r="N2349" i="1" s="1"/>
  <c r="M2349" i="1"/>
  <c r="O2349" i="1" s="1"/>
  <c r="J2350" i="1"/>
  <c r="K2350" i="1"/>
  <c r="L2350" i="1"/>
  <c r="N2350" i="1" s="1"/>
  <c r="M2350" i="1"/>
  <c r="O2350" i="1" s="1"/>
  <c r="J2352" i="1"/>
  <c r="K2352" i="1"/>
  <c r="L2352" i="1"/>
  <c r="N2352" i="1" s="1"/>
  <c r="M2352" i="1"/>
  <c r="O2352" i="1" s="1"/>
  <c r="J2362" i="1"/>
  <c r="K2362" i="1"/>
  <c r="L2362" i="1"/>
  <c r="N2362" i="1" s="1"/>
  <c r="M2362" i="1"/>
  <c r="O2362" i="1" s="1"/>
  <c r="J1927" i="1"/>
  <c r="K1927" i="1"/>
  <c r="L1927" i="1"/>
  <c r="N1927" i="1" s="1"/>
  <c r="M1927" i="1"/>
  <c r="O1927" i="1" s="1"/>
  <c r="J1938" i="1"/>
  <c r="K1938" i="1"/>
  <c r="L1938" i="1"/>
  <c r="N1938" i="1" s="1"/>
  <c r="M1938" i="1"/>
  <c r="O1938" i="1" s="1"/>
  <c r="J2091" i="1"/>
  <c r="K2091" i="1"/>
  <c r="L2091" i="1"/>
  <c r="N2091" i="1" s="1"/>
  <c r="M2091" i="1"/>
  <c r="O2091" i="1" s="1"/>
  <c r="J2137" i="1"/>
  <c r="K2137" i="1"/>
  <c r="L2137" i="1"/>
  <c r="N2137" i="1" s="1"/>
  <c r="M2137" i="1"/>
  <c r="O2137" i="1" s="1"/>
  <c r="K2290" i="1"/>
  <c r="L2290" i="1"/>
  <c r="N2290" i="1" s="1"/>
  <c r="M2290" i="1"/>
  <c r="O2290" i="1" s="1"/>
  <c r="K2268" i="1"/>
  <c r="L2268" i="1"/>
  <c r="N2268" i="1" s="1"/>
  <c r="M2268" i="1"/>
  <c r="O2268" i="1" s="1"/>
  <c r="K2269" i="1"/>
  <c r="L2269" i="1"/>
  <c r="N2269" i="1" s="1"/>
  <c r="M2269" i="1"/>
  <c r="O2269" i="1" s="1"/>
  <c r="K2270" i="1"/>
  <c r="L2270" i="1"/>
  <c r="N2270" i="1" s="1"/>
  <c r="M2270" i="1"/>
  <c r="O2270" i="1" s="1"/>
  <c r="J2290" i="1"/>
  <c r="J2268" i="1"/>
  <c r="J2269" i="1"/>
  <c r="J2270" i="1"/>
  <c r="J2264" i="1"/>
  <c r="K2264" i="1"/>
  <c r="L2264" i="1"/>
  <c r="N2264" i="1" s="1"/>
  <c r="M2264" i="1"/>
  <c r="O2264" i="1" s="1"/>
  <c r="J2265" i="1"/>
  <c r="K2265" i="1"/>
  <c r="L2265" i="1"/>
  <c r="N2265" i="1" s="1"/>
  <c r="M2265" i="1"/>
  <c r="O2265" i="1" s="1"/>
  <c r="J2266" i="1"/>
  <c r="K2266" i="1"/>
  <c r="L2266" i="1"/>
  <c r="N2266" i="1" s="1"/>
  <c r="M2266" i="1"/>
  <c r="O2266" i="1" s="1"/>
  <c r="J2267" i="1"/>
  <c r="K2267" i="1"/>
  <c r="L2267" i="1"/>
  <c r="N2267" i="1" s="1"/>
  <c r="M2267" i="1"/>
  <c r="O2267" i="1" s="1"/>
  <c r="M2282" i="1"/>
  <c r="O2282" i="1" s="1"/>
  <c r="L2282" i="1"/>
  <c r="N2282" i="1" s="1"/>
  <c r="K2282" i="1"/>
  <c r="J2282" i="1"/>
  <c r="J2221" i="1"/>
  <c r="K2221" i="1"/>
  <c r="L2221" i="1"/>
  <c r="N2221" i="1" s="1"/>
  <c r="M2221" i="1"/>
  <c r="O2221" i="1" s="1"/>
  <c r="J2222" i="1"/>
  <c r="K2222" i="1"/>
  <c r="L2222" i="1"/>
  <c r="N2222" i="1" s="1"/>
  <c r="M2222" i="1"/>
  <c r="O2222" i="1" s="1"/>
  <c r="J2223" i="1"/>
  <c r="K2223" i="1"/>
  <c r="L2223" i="1"/>
  <c r="N2223" i="1" s="1"/>
  <c r="M2223" i="1"/>
  <c r="O2223" i="1" s="1"/>
  <c r="J2224" i="1"/>
  <c r="K2224" i="1"/>
  <c r="L2224" i="1"/>
  <c r="N2224" i="1" s="1"/>
  <c r="M2224" i="1"/>
  <c r="O2224" i="1" s="1"/>
  <c r="J2225" i="1"/>
  <c r="K2225" i="1"/>
  <c r="L2225" i="1"/>
  <c r="N2225" i="1" s="1"/>
  <c r="M2225" i="1"/>
  <c r="O2225" i="1" s="1"/>
  <c r="J2231" i="1"/>
  <c r="K2231" i="1"/>
  <c r="L2231" i="1"/>
  <c r="N2231" i="1" s="1"/>
  <c r="M2231" i="1"/>
  <c r="O2231" i="1" s="1"/>
  <c r="J2307" i="1"/>
  <c r="K2307" i="1"/>
  <c r="L2307" i="1"/>
  <c r="N2307" i="1" s="1"/>
  <c r="M2307" i="1"/>
  <c r="O2307" i="1" s="1"/>
  <c r="J2234" i="1"/>
  <c r="K2234" i="1"/>
  <c r="L2234" i="1"/>
  <c r="N2234" i="1" s="1"/>
  <c r="M2234" i="1"/>
  <c r="O2234" i="1" s="1"/>
  <c r="J2239" i="1"/>
  <c r="K2239" i="1"/>
  <c r="L2239" i="1"/>
  <c r="N2239" i="1" s="1"/>
  <c r="M2239" i="1"/>
  <c r="O2239" i="1" s="1"/>
  <c r="J2249" i="1"/>
  <c r="K2249" i="1"/>
  <c r="L2249" i="1"/>
  <c r="N2249" i="1" s="1"/>
  <c r="M2249" i="1"/>
  <c r="O2249" i="1" s="1"/>
  <c r="J2235" i="1"/>
  <c r="K2235" i="1"/>
  <c r="L2235" i="1"/>
  <c r="N2235" i="1" s="1"/>
  <c r="M2235" i="1"/>
  <c r="O2235" i="1" s="1"/>
  <c r="J2236" i="1"/>
  <c r="K2236" i="1"/>
  <c r="L2236" i="1"/>
  <c r="N2236" i="1" s="1"/>
  <c r="M2236" i="1"/>
  <c r="O2236" i="1" s="1"/>
  <c r="J2237" i="1"/>
  <c r="K2237" i="1"/>
  <c r="L2237" i="1"/>
  <c r="N2237" i="1" s="1"/>
  <c r="M2237" i="1"/>
  <c r="O2237" i="1" s="1"/>
  <c r="J2240" i="1"/>
  <c r="K2240" i="1"/>
  <c r="L2240" i="1"/>
  <c r="N2240" i="1" s="1"/>
  <c r="M2240" i="1"/>
  <c r="O2240" i="1" s="1"/>
  <c r="J2320" i="1"/>
  <c r="K2320" i="1"/>
  <c r="L2320" i="1"/>
  <c r="N2320" i="1" s="1"/>
  <c r="M2320" i="1"/>
  <c r="O2320" i="1" s="1"/>
  <c r="J2242" i="1"/>
  <c r="K2242" i="1"/>
  <c r="L2242" i="1"/>
  <c r="N2242" i="1" s="1"/>
  <c r="M2242" i="1"/>
  <c r="O2242" i="1" s="1"/>
  <c r="J2243" i="1"/>
  <c r="K2243" i="1"/>
  <c r="L2243" i="1"/>
  <c r="N2243" i="1" s="1"/>
  <c r="M2243" i="1"/>
  <c r="O2243" i="1" s="1"/>
  <c r="J2244" i="1"/>
  <c r="K2244" i="1"/>
  <c r="L2244" i="1"/>
  <c r="N2244" i="1" s="1"/>
  <c r="M2244" i="1"/>
  <c r="O2244" i="1" s="1"/>
  <c r="J2245" i="1"/>
  <c r="K2245" i="1"/>
  <c r="L2245" i="1"/>
  <c r="N2245" i="1" s="1"/>
  <c r="M2245" i="1"/>
  <c r="O2245" i="1" s="1"/>
  <c r="J2272" i="1"/>
  <c r="K2272" i="1"/>
  <c r="L2272" i="1"/>
  <c r="N2272" i="1" s="1"/>
  <c r="M2272" i="1"/>
  <c r="O2272" i="1" s="1"/>
  <c r="J2273" i="1"/>
  <c r="K2273" i="1"/>
  <c r="L2273" i="1"/>
  <c r="N2273" i="1" s="1"/>
  <c r="M2273" i="1"/>
  <c r="O2273" i="1" s="1"/>
  <c r="J2274" i="1"/>
  <c r="K2274" i="1"/>
  <c r="L2274" i="1"/>
  <c r="N2274" i="1" s="1"/>
  <c r="M2274" i="1"/>
  <c r="O2274" i="1" s="1"/>
  <c r="J2279" i="1"/>
  <c r="K2279" i="1"/>
  <c r="L2279" i="1"/>
  <c r="N2279" i="1" s="1"/>
  <c r="M2279" i="1"/>
  <c r="O2279" i="1" s="1"/>
  <c r="J2280" i="1"/>
  <c r="K2280" i="1"/>
  <c r="L2280" i="1"/>
  <c r="N2280" i="1" s="1"/>
  <c r="M2280" i="1"/>
  <c r="O2280" i="1" s="1"/>
  <c r="J2281" i="1"/>
  <c r="K2281" i="1"/>
  <c r="L2281" i="1"/>
  <c r="N2281" i="1" s="1"/>
  <c r="M2281" i="1"/>
  <c r="O2281" i="1" s="1"/>
  <c r="J2284" i="1"/>
  <c r="K2284" i="1"/>
  <c r="L2284" i="1"/>
  <c r="N2284" i="1" s="1"/>
  <c r="M2284" i="1"/>
  <c r="O2284" i="1" s="1"/>
  <c r="J2246" i="1"/>
  <c r="K2246" i="1"/>
  <c r="L2246" i="1"/>
  <c r="N2246" i="1" s="1"/>
  <c r="M2246" i="1"/>
  <c r="O2246" i="1" s="1"/>
  <c r="J2285" i="1"/>
  <c r="K2285" i="1"/>
  <c r="L2285" i="1"/>
  <c r="N2285" i="1" s="1"/>
  <c r="M2285" i="1"/>
  <c r="O2285" i="1" s="1"/>
  <c r="J2286" i="1"/>
  <c r="K2286" i="1"/>
  <c r="L2286" i="1"/>
  <c r="N2286" i="1" s="1"/>
  <c r="M2286" i="1"/>
  <c r="O2286" i="1" s="1"/>
  <c r="J2287" i="1"/>
  <c r="K2287" i="1"/>
  <c r="L2287" i="1"/>
  <c r="N2287" i="1" s="1"/>
  <c r="M2287" i="1"/>
  <c r="O2287" i="1" s="1"/>
  <c r="J2288" i="1"/>
  <c r="K2288" i="1"/>
  <c r="L2288" i="1"/>
  <c r="N2288" i="1" s="1"/>
  <c r="M2288" i="1"/>
  <c r="O2288" i="1" s="1"/>
  <c r="J2289" i="1"/>
  <c r="K2289" i="1"/>
  <c r="L2289" i="1"/>
  <c r="N2289" i="1" s="1"/>
  <c r="M2289" i="1"/>
  <c r="O2289" i="1" s="1"/>
  <c r="J2294" i="1"/>
  <c r="K2294" i="1"/>
  <c r="L2294" i="1"/>
  <c r="N2294" i="1" s="1"/>
  <c r="M2294" i="1"/>
  <c r="O2294" i="1" s="1"/>
  <c r="J2295" i="1"/>
  <c r="K2295" i="1"/>
  <c r="L2295" i="1"/>
  <c r="N2295" i="1" s="1"/>
  <c r="M2295" i="1"/>
  <c r="O2295" i="1" s="1"/>
  <c r="J2226" i="1"/>
  <c r="K2226" i="1"/>
  <c r="L2226" i="1"/>
  <c r="N2226" i="1" s="1"/>
  <c r="M2226" i="1"/>
  <c r="O2226" i="1" s="1"/>
  <c r="J2262" i="1"/>
  <c r="K2262" i="1"/>
  <c r="L2262" i="1"/>
  <c r="N2262" i="1" s="1"/>
  <c r="M2262" i="1"/>
  <c r="O2262" i="1" s="1"/>
  <c r="J2263" i="1"/>
  <c r="K2263" i="1"/>
  <c r="L2263" i="1"/>
  <c r="N2263" i="1" s="1"/>
  <c r="M2263" i="1"/>
  <c r="O2263" i="1" s="1"/>
  <c r="J2232" i="1"/>
  <c r="K2232" i="1"/>
  <c r="L2232" i="1"/>
  <c r="N2232" i="1" s="1"/>
  <c r="M2232" i="1"/>
  <c r="O2232" i="1" s="1"/>
  <c r="J2247" i="1"/>
  <c r="K2247" i="1"/>
  <c r="L2247" i="1"/>
  <c r="N2247" i="1" s="1"/>
  <c r="M2247" i="1"/>
  <c r="O2247" i="1" s="1"/>
  <c r="J2250" i="1"/>
  <c r="K2250" i="1"/>
  <c r="L2250" i="1"/>
  <c r="N2250" i="1" s="1"/>
  <c r="M2250" i="1"/>
  <c r="O2250" i="1" s="1"/>
  <c r="J2251" i="1"/>
  <c r="K2251" i="1"/>
  <c r="L2251" i="1"/>
  <c r="N2251" i="1" s="1"/>
  <c r="M2251" i="1"/>
  <c r="O2251" i="1" s="1"/>
  <c r="J2252" i="1"/>
  <c r="K2252" i="1"/>
  <c r="L2252" i="1"/>
  <c r="N2252" i="1" s="1"/>
  <c r="M2252" i="1"/>
  <c r="O2252" i="1" s="1"/>
  <c r="J2253" i="1"/>
  <c r="K2253" i="1"/>
  <c r="L2253" i="1"/>
  <c r="N2253" i="1" s="1"/>
  <c r="M2253" i="1"/>
  <c r="O2253" i="1" s="1"/>
  <c r="J2325" i="1"/>
  <c r="K2325" i="1"/>
  <c r="L2325" i="1"/>
  <c r="N2325" i="1" s="1"/>
  <c r="M2325" i="1"/>
  <c r="O2325" i="1" s="1"/>
  <c r="J2255" i="1"/>
  <c r="K2255" i="1"/>
  <c r="L2255" i="1"/>
  <c r="N2255" i="1" s="1"/>
  <c r="M2255" i="1"/>
  <c r="O2255" i="1" s="1"/>
  <c r="J2256" i="1"/>
  <c r="K2256" i="1"/>
  <c r="L2256" i="1"/>
  <c r="N2256" i="1" s="1"/>
  <c r="M2256" i="1"/>
  <c r="O2256" i="1" s="1"/>
  <c r="J2257" i="1"/>
  <c r="K2257" i="1"/>
  <c r="L2257" i="1"/>
  <c r="N2257" i="1" s="1"/>
  <c r="M2257" i="1"/>
  <c r="O2257" i="1" s="1"/>
  <c r="J2258" i="1"/>
  <c r="K2258" i="1"/>
  <c r="L2258" i="1"/>
  <c r="N2258" i="1" s="1"/>
  <c r="M2258" i="1"/>
  <c r="O2258" i="1" s="1"/>
  <c r="J2326" i="1"/>
  <c r="K2326" i="1"/>
  <c r="L2326" i="1"/>
  <c r="N2326" i="1" s="1"/>
  <c r="M2326" i="1"/>
  <c r="O2326" i="1" s="1"/>
  <c r="J2327" i="1"/>
  <c r="K2327" i="1"/>
  <c r="L2327" i="1"/>
  <c r="N2327" i="1" s="1"/>
  <c r="M2327" i="1"/>
  <c r="O2327" i="1" s="1"/>
  <c r="J2344" i="1"/>
  <c r="K2344" i="1"/>
  <c r="L2344" i="1"/>
  <c r="N2344" i="1" s="1"/>
  <c r="M2344" i="1"/>
  <c r="O2344" i="1" s="1"/>
  <c r="J2353" i="1"/>
  <c r="K2353" i="1"/>
  <c r="L2353" i="1"/>
  <c r="N2353" i="1" s="1"/>
  <c r="M2353" i="1"/>
  <c r="O2353" i="1" s="1"/>
  <c r="S1442" i="1"/>
  <c r="S1446" i="1"/>
  <c r="S1515" i="1"/>
  <c r="S1388" i="1"/>
  <c r="S2217" i="1"/>
  <c r="S2164" i="1"/>
  <c r="S2165" i="1"/>
  <c r="S2220" i="1"/>
  <c r="S2163" i="1"/>
  <c r="J1442" i="1"/>
  <c r="K1442" i="1"/>
  <c r="L1442" i="1"/>
  <c r="N1442" i="1" s="1"/>
  <c r="M1442" i="1"/>
  <c r="O1442" i="1" s="1"/>
  <c r="J1446" i="1"/>
  <c r="K1446" i="1"/>
  <c r="L1446" i="1"/>
  <c r="N1446" i="1" s="1"/>
  <c r="M1446" i="1"/>
  <c r="O1446" i="1" s="1"/>
  <c r="J1515" i="1"/>
  <c r="K1515" i="1"/>
  <c r="L1515" i="1"/>
  <c r="N1515" i="1" s="1"/>
  <c r="M1515" i="1"/>
  <c r="O1515" i="1" s="1"/>
  <c r="J1388" i="1"/>
  <c r="K1388" i="1"/>
  <c r="L1388" i="1"/>
  <c r="N1388" i="1" s="1"/>
  <c r="M1388" i="1"/>
  <c r="O1388" i="1" s="1"/>
  <c r="J2217" i="1"/>
  <c r="K2217" i="1"/>
  <c r="L2217" i="1"/>
  <c r="N2217" i="1" s="1"/>
  <c r="M2217" i="1"/>
  <c r="O2217" i="1" s="1"/>
  <c r="J2164" i="1"/>
  <c r="K2164" i="1"/>
  <c r="L2164" i="1"/>
  <c r="N2164" i="1" s="1"/>
  <c r="M2164" i="1"/>
  <c r="O2164" i="1" s="1"/>
  <c r="J2165" i="1"/>
  <c r="K2165" i="1"/>
  <c r="L2165" i="1"/>
  <c r="N2165" i="1" s="1"/>
  <c r="M2165" i="1"/>
  <c r="O2165" i="1" s="1"/>
  <c r="S2144" i="1"/>
  <c r="S2145" i="1"/>
  <c r="S2147" i="1"/>
  <c r="S2148" i="1"/>
  <c r="S1775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6" i="1"/>
  <c r="S2162" i="1"/>
  <c r="S2194" i="1"/>
  <c r="S2195" i="1"/>
  <c r="S2202" i="1"/>
  <c r="S2170" i="1"/>
  <c r="S2172" i="1"/>
  <c r="S2204" i="1"/>
  <c r="S2174" i="1"/>
  <c r="S2175" i="1"/>
  <c r="S2178" i="1"/>
  <c r="S2179" i="1"/>
  <c r="S2180" i="1"/>
  <c r="S2182" i="1"/>
  <c r="S2205" i="1"/>
  <c r="S2186" i="1"/>
  <c r="S2188" i="1"/>
  <c r="S2190" i="1"/>
  <c r="S2191" i="1"/>
  <c r="S2208" i="1"/>
  <c r="S2209" i="1"/>
  <c r="S2227" i="1"/>
  <c r="S2228" i="1"/>
  <c r="S2196" i="1"/>
  <c r="S2197" i="1"/>
  <c r="S2198" i="1"/>
  <c r="S2199" i="1"/>
  <c r="S2200" i="1"/>
  <c r="S2201" i="1"/>
  <c r="S2233" i="1"/>
  <c r="S2203" i="1"/>
  <c r="S2241" i="1"/>
  <c r="S2254" i="1"/>
  <c r="S2206" i="1"/>
  <c r="S2207" i="1"/>
  <c r="S2259" i="1"/>
  <c r="S2210" i="1"/>
  <c r="S2211" i="1"/>
  <c r="S2212" i="1"/>
  <c r="S2213" i="1"/>
  <c r="S2214" i="1"/>
  <c r="S2215" i="1"/>
  <c r="S2216" i="1"/>
  <c r="S2098" i="1"/>
  <c r="S2099" i="1"/>
  <c r="S2100" i="1"/>
  <c r="S2101" i="1"/>
  <c r="S2102" i="1"/>
  <c r="S2103" i="1"/>
  <c r="S2105" i="1"/>
  <c r="S2106" i="1"/>
  <c r="S2107" i="1"/>
  <c r="S2108" i="1"/>
  <c r="S2109" i="1"/>
  <c r="S2110" i="1"/>
  <c r="S2111" i="1"/>
  <c r="S2112" i="1"/>
  <c r="S2113" i="1"/>
  <c r="S2114" i="1"/>
  <c r="S2115" i="1"/>
  <c r="S2167" i="1"/>
  <c r="S2168" i="1"/>
  <c r="S2118" i="1"/>
  <c r="S2119" i="1"/>
  <c r="S2120" i="1"/>
  <c r="S2169" i="1"/>
  <c r="S2173" i="1"/>
  <c r="S2184" i="1"/>
  <c r="S2192" i="1"/>
  <c r="S2193" i="1"/>
  <c r="S2126" i="1"/>
  <c r="S2127" i="1"/>
  <c r="S2128" i="1"/>
  <c r="S2129" i="1"/>
  <c r="S2130" i="1"/>
  <c r="S2131" i="1"/>
  <c r="S2132" i="1"/>
  <c r="S2133" i="1"/>
  <c r="S2134" i="1"/>
  <c r="S2135" i="1"/>
  <c r="S2136" i="1"/>
  <c r="S2086" i="1"/>
  <c r="S2125" i="1"/>
  <c r="S2088" i="1"/>
  <c r="S2089" i="1"/>
  <c r="S2090" i="1"/>
  <c r="S2094" i="1"/>
  <c r="S2076" i="1"/>
  <c r="S2124" i="1"/>
  <c r="S2078" i="1"/>
  <c r="S2079" i="1"/>
  <c r="S2080" i="1"/>
  <c r="S2081" i="1"/>
  <c r="S2082" i="1"/>
  <c r="S2066" i="1"/>
  <c r="S2087" i="1"/>
  <c r="S2116" i="1"/>
  <c r="S2117" i="1"/>
  <c r="S2121" i="1"/>
  <c r="S2122" i="1"/>
  <c r="S2123" i="1"/>
  <c r="S2073" i="1"/>
  <c r="J2201" i="1"/>
  <c r="K2201" i="1"/>
  <c r="L2201" i="1"/>
  <c r="N2201" i="1" s="1"/>
  <c r="M2201" i="1"/>
  <c r="O2201" i="1" s="1"/>
  <c r="J2233" i="1"/>
  <c r="K2233" i="1"/>
  <c r="L2233" i="1"/>
  <c r="N2233" i="1" s="1"/>
  <c r="M2233" i="1"/>
  <c r="O2233" i="1" s="1"/>
  <c r="J2204" i="1"/>
  <c r="K2204" i="1"/>
  <c r="L2204" i="1"/>
  <c r="N2204" i="1" s="1"/>
  <c r="M2204" i="1"/>
  <c r="O2204" i="1" s="1"/>
  <c r="J2174" i="1"/>
  <c r="K2174" i="1"/>
  <c r="L2174" i="1"/>
  <c r="N2174" i="1" s="1"/>
  <c r="M2174" i="1"/>
  <c r="O2174" i="1" s="1"/>
  <c r="J2175" i="1"/>
  <c r="K2175" i="1"/>
  <c r="L2175" i="1"/>
  <c r="N2175" i="1" s="1"/>
  <c r="M2175" i="1"/>
  <c r="O2175" i="1" s="1"/>
  <c r="J2203" i="1"/>
  <c r="K2203" i="1"/>
  <c r="L2203" i="1"/>
  <c r="N2203" i="1" s="1"/>
  <c r="M2203" i="1"/>
  <c r="O2203" i="1" s="1"/>
  <c r="J2241" i="1"/>
  <c r="K2241" i="1"/>
  <c r="L2241" i="1"/>
  <c r="N2241" i="1" s="1"/>
  <c r="M2241" i="1"/>
  <c r="O2241" i="1" s="1"/>
  <c r="J2254" i="1"/>
  <c r="K2254" i="1"/>
  <c r="L2254" i="1"/>
  <c r="N2254" i="1" s="1"/>
  <c r="M2254" i="1"/>
  <c r="O2254" i="1" s="1"/>
  <c r="J2206" i="1"/>
  <c r="K2206" i="1"/>
  <c r="L2206" i="1"/>
  <c r="N2206" i="1" s="1"/>
  <c r="M2206" i="1"/>
  <c r="O2206" i="1" s="1"/>
  <c r="J2207" i="1"/>
  <c r="K2207" i="1"/>
  <c r="L2207" i="1"/>
  <c r="N2207" i="1" s="1"/>
  <c r="M2207" i="1"/>
  <c r="O2207" i="1" s="1"/>
  <c r="J2210" i="1"/>
  <c r="K2210" i="1"/>
  <c r="L2210" i="1"/>
  <c r="N2210" i="1" s="1"/>
  <c r="M2210" i="1"/>
  <c r="O2210" i="1" s="1"/>
  <c r="J2211" i="1"/>
  <c r="K2211" i="1"/>
  <c r="L2211" i="1"/>
  <c r="N2211" i="1" s="1"/>
  <c r="M2211" i="1"/>
  <c r="O2211" i="1" s="1"/>
  <c r="J2212" i="1"/>
  <c r="K2212" i="1"/>
  <c r="L2212" i="1"/>
  <c r="N2212" i="1" s="1"/>
  <c r="M2212" i="1"/>
  <c r="O2212" i="1" s="1"/>
  <c r="J2213" i="1"/>
  <c r="K2213" i="1"/>
  <c r="L2213" i="1"/>
  <c r="N2213" i="1" s="1"/>
  <c r="M2213" i="1"/>
  <c r="O2213" i="1" s="1"/>
  <c r="J2214" i="1"/>
  <c r="K2214" i="1"/>
  <c r="L2214" i="1"/>
  <c r="N2214" i="1" s="1"/>
  <c r="M2214" i="1"/>
  <c r="O2214" i="1" s="1"/>
  <c r="J2259" i="1"/>
  <c r="K2259" i="1"/>
  <c r="L2259" i="1"/>
  <c r="N2259" i="1" s="1"/>
  <c r="M2259" i="1"/>
  <c r="O2259" i="1" s="1"/>
  <c r="J2215" i="1"/>
  <c r="K2215" i="1"/>
  <c r="L2215" i="1"/>
  <c r="N2215" i="1" s="1"/>
  <c r="M2215" i="1"/>
  <c r="O2215" i="1" s="1"/>
  <c r="J2216" i="1"/>
  <c r="K2216" i="1"/>
  <c r="L2216" i="1"/>
  <c r="N2216" i="1" s="1"/>
  <c r="M2216" i="1"/>
  <c r="O2216" i="1" s="1"/>
  <c r="J2220" i="1"/>
  <c r="K2220" i="1"/>
  <c r="L2220" i="1"/>
  <c r="N2220" i="1" s="1"/>
  <c r="M2220" i="1"/>
  <c r="O2220" i="1" s="1"/>
  <c r="J2163" i="1"/>
  <c r="K2163" i="1"/>
  <c r="L2163" i="1"/>
  <c r="N2163" i="1" s="1"/>
  <c r="M2163" i="1"/>
  <c r="O2163" i="1" s="1"/>
  <c r="J2179" i="1"/>
  <c r="K2179" i="1"/>
  <c r="L2179" i="1"/>
  <c r="N2179" i="1" s="1"/>
  <c r="M2179" i="1"/>
  <c r="O2179" i="1" s="1"/>
  <c r="J2180" i="1"/>
  <c r="K2180" i="1"/>
  <c r="L2180" i="1"/>
  <c r="N2180" i="1" s="1"/>
  <c r="M2180" i="1"/>
  <c r="O2180" i="1" s="1"/>
  <c r="J2182" i="1"/>
  <c r="K2182" i="1"/>
  <c r="L2182" i="1"/>
  <c r="N2182" i="1" s="1"/>
  <c r="M2182" i="1"/>
  <c r="O2182" i="1" s="1"/>
  <c r="J2205" i="1"/>
  <c r="K2205" i="1"/>
  <c r="L2205" i="1"/>
  <c r="N2205" i="1" s="1"/>
  <c r="M2205" i="1"/>
  <c r="O2205" i="1" s="1"/>
  <c r="J2186" i="1"/>
  <c r="K2186" i="1"/>
  <c r="L2186" i="1"/>
  <c r="N2186" i="1" s="1"/>
  <c r="M2186" i="1"/>
  <c r="O2186" i="1" s="1"/>
  <c r="J2188" i="1"/>
  <c r="K2188" i="1"/>
  <c r="L2188" i="1"/>
  <c r="N2188" i="1" s="1"/>
  <c r="M2188" i="1"/>
  <c r="O2188" i="1" s="1"/>
  <c r="J2190" i="1"/>
  <c r="K2190" i="1"/>
  <c r="L2190" i="1"/>
  <c r="N2190" i="1" s="1"/>
  <c r="M2190" i="1"/>
  <c r="O2190" i="1" s="1"/>
  <c r="J2191" i="1"/>
  <c r="K2191" i="1"/>
  <c r="L2191" i="1"/>
  <c r="N2191" i="1" s="1"/>
  <c r="M2191" i="1"/>
  <c r="O2191" i="1" s="1"/>
  <c r="J2208" i="1"/>
  <c r="K2208" i="1"/>
  <c r="L2208" i="1"/>
  <c r="N2208" i="1" s="1"/>
  <c r="M2208" i="1"/>
  <c r="O2208" i="1" s="1"/>
  <c r="J2209" i="1"/>
  <c r="K2209" i="1"/>
  <c r="L2209" i="1"/>
  <c r="N2209" i="1" s="1"/>
  <c r="M2209" i="1"/>
  <c r="O2209" i="1" s="1"/>
  <c r="J2227" i="1"/>
  <c r="K2227" i="1"/>
  <c r="L2227" i="1"/>
  <c r="N2227" i="1" s="1"/>
  <c r="M2227" i="1"/>
  <c r="O2227" i="1" s="1"/>
  <c r="J2228" i="1"/>
  <c r="K2228" i="1"/>
  <c r="L2228" i="1"/>
  <c r="N2228" i="1" s="1"/>
  <c r="M2228" i="1"/>
  <c r="O2228" i="1" s="1"/>
  <c r="J2196" i="1"/>
  <c r="K2196" i="1"/>
  <c r="L2196" i="1"/>
  <c r="N2196" i="1" s="1"/>
  <c r="M2196" i="1"/>
  <c r="O2196" i="1" s="1"/>
  <c r="J2197" i="1"/>
  <c r="K2197" i="1"/>
  <c r="L2197" i="1"/>
  <c r="N2197" i="1" s="1"/>
  <c r="M2197" i="1"/>
  <c r="O2197" i="1" s="1"/>
  <c r="J2198" i="1"/>
  <c r="K2198" i="1"/>
  <c r="L2198" i="1"/>
  <c r="N2198" i="1" s="1"/>
  <c r="M2198" i="1"/>
  <c r="O2198" i="1" s="1"/>
  <c r="J2199" i="1"/>
  <c r="K2199" i="1"/>
  <c r="L2199" i="1"/>
  <c r="N2199" i="1" s="1"/>
  <c r="M2199" i="1"/>
  <c r="O2199" i="1" s="1"/>
  <c r="J2200" i="1"/>
  <c r="K2200" i="1"/>
  <c r="L2200" i="1"/>
  <c r="N2200" i="1" s="1"/>
  <c r="M2200" i="1"/>
  <c r="O2200" i="1" s="1"/>
  <c r="J2114" i="1"/>
  <c r="K2114" i="1"/>
  <c r="L2114" i="1"/>
  <c r="N2114" i="1" s="1"/>
  <c r="M2114" i="1"/>
  <c r="O2114" i="1" s="1"/>
  <c r="J2115" i="1"/>
  <c r="K2115" i="1"/>
  <c r="L2115" i="1"/>
  <c r="N2115" i="1" s="1"/>
  <c r="M2115" i="1"/>
  <c r="O2115" i="1" s="1"/>
  <c r="J2167" i="1"/>
  <c r="K2167" i="1"/>
  <c r="L2167" i="1"/>
  <c r="N2167" i="1" s="1"/>
  <c r="M2167" i="1"/>
  <c r="O2167" i="1" s="1"/>
  <c r="J2168" i="1"/>
  <c r="K2168" i="1"/>
  <c r="L2168" i="1"/>
  <c r="N2168" i="1" s="1"/>
  <c r="M2168" i="1"/>
  <c r="O2168" i="1" s="1"/>
  <c r="J2118" i="1"/>
  <c r="K2118" i="1"/>
  <c r="L2118" i="1"/>
  <c r="N2118" i="1" s="1"/>
  <c r="M2118" i="1"/>
  <c r="O2118" i="1" s="1"/>
  <c r="J2119" i="1"/>
  <c r="K2119" i="1"/>
  <c r="L2119" i="1"/>
  <c r="N2119" i="1" s="1"/>
  <c r="M2119" i="1"/>
  <c r="O2119" i="1" s="1"/>
  <c r="J2120" i="1"/>
  <c r="K2120" i="1"/>
  <c r="L2120" i="1"/>
  <c r="N2120" i="1" s="1"/>
  <c r="M2120" i="1"/>
  <c r="O2120" i="1" s="1"/>
  <c r="J2169" i="1"/>
  <c r="K2169" i="1"/>
  <c r="L2169" i="1"/>
  <c r="N2169" i="1" s="1"/>
  <c r="M2169" i="1"/>
  <c r="O2169" i="1" s="1"/>
  <c r="J2173" i="1"/>
  <c r="K2173" i="1"/>
  <c r="L2173" i="1"/>
  <c r="N2173" i="1" s="1"/>
  <c r="M2173" i="1"/>
  <c r="O2173" i="1" s="1"/>
  <c r="J2184" i="1"/>
  <c r="K2184" i="1"/>
  <c r="L2184" i="1"/>
  <c r="N2184" i="1" s="1"/>
  <c r="M2184" i="1"/>
  <c r="O2184" i="1" s="1"/>
  <c r="J2192" i="1"/>
  <c r="K2192" i="1"/>
  <c r="L2192" i="1"/>
  <c r="N2192" i="1" s="1"/>
  <c r="M2192" i="1"/>
  <c r="O2192" i="1" s="1"/>
  <c r="J2193" i="1"/>
  <c r="K2193" i="1"/>
  <c r="L2193" i="1"/>
  <c r="N2193" i="1" s="1"/>
  <c r="M2193" i="1"/>
  <c r="O2193" i="1" s="1"/>
  <c r="J2126" i="1"/>
  <c r="K2126" i="1"/>
  <c r="L2126" i="1"/>
  <c r="N2126" i="1" s="1"/>
  <c r="M2126" i="1"/>
  <c r="O2126" i="1" s="1"/>
  <c r="J2127" i="1"/>
  <c r="K2127" i="1"/>
  <c r="L2127" i="1"/>
  <c r="N2127" i="1" s="1"/>
  <c r="M2127" i="1"/>
  <c r="O2127" i="1" s="1"/>
  <c r="J2128" i="1"/>
  <c r="K2128" i="1"/>
  <c r="L2128" i="1"/>
  <c r="N2128" i="1" s="1"/>
  <c r="M2128" i="1"/>
  <c r="O2128" i="1" s="1"/>
  <c r="J2129" i="1"/>
  <c r="K2129" i="1"/>
  <c r="L2129" i="1"/>
  <c r="N2129" i="1" s="1"/>
  <c r="M2129" i="1"/>
  <c r="O2129" i="1" s="1"/>
  <c r="J2130" i="1"/>
  <c r="K2130" i="1"/>
  <c r="L2130" i="1"/>
  <c r="N2130" i="1" s="1"/>
  <c r="M2130" i="1"/>
  <c r="O2130" i="1" s="1"/>
  <c r="J2131" i="1"/>
  <c r="K2131" i="1"/>
  <c r="L2131" i="1"/>
  <c r="N2131" i="1" s="1"/>
  <c r="M2131" i="1"/>
  <c r="O2131" i="1" s="1"/>
  <c r="J2132" i="1"/>
  <c r="K2132" i="1"/>
  <c r="L2132" i="1"/>
  <c r="N2132" i="1" s="1"/>
  <c r="M2132" i="1"/>
  <c r="O2132" i="1" s="1"/>
  <c r="J2133" i="1"/>
  <c r="K2133" i="1"/>
  <c r="L2133" i="1"/>
  <c r="N2133" i="1" s="1"/>
  <c r="M2133" i="1"/>
  <c r="O2133" i="1" s="1"/>
  <c r="J2134" i="1"/>
  <c r="K2134" i="1"/>
  <c r="L2134" i="1"/>
  <c r="N2134" i="1" s="1"/>
  <c r="M2134" i="1"/>
  <c r="O2134" i="1" s="1"/>
  <c r="J2138" i="1"/>
  <c r="K2138" i="1"/>
  <c r="L2138" i="1"/>
  <c r="N2138" i="1" s="1"/>
  <c r="M2138" i="1"/>
  <c r="O2138" i="1" s="1"/>
  <c r="J2081" i="1"/>
  <c r="K2081" i="1"/>
  <c r="L2081" i="1"/>
  <c r="N2081" i="1" s="1"/>
  <c r="M2081" i="1"/>
  <c r="O2081" i="1" s="1"/>
  <c r="J2086" i="1"/>
  <c r="K2086" i="1"/>
  <c r="L2086" i="1"/>
  <c r="N2086" i="1" s="1"/>
  <c r="M2086" i="1"/>
  <c r="O2086" i="1" s="1"/>
  <c r="J2082" i="1"/>
  <c r="K2082" i="1"/>
  <c r="L2082" i="1"/>
  <c r="N2082" i="1" s="1"/>
  <c r="M2082" i="1"/>
  <c r="O2082" i="1" s="1"/>
  <c r="J2087" i="1"/>
  <c r="K2087" i="1"/>
  <c r="L2087" i="1"/>
  <c r="N2087" i="1" s="1"/>
  <c r="M2087" i="1"/>
  <c r="O2087" i="1" s="1"/>
  <c r="J2116" i="1"/>
  <c r="K2116" i="1"/>
  <c r="L2116" i="1"/>
  <c r="N2116" i="1" s="1"/>
  <c r="M2116" i="1"/>
  <c r="O2116" i="1" s="1"/>
  <c r="J2125" i="1"/>
  <c r="K2125" i="1"/>
  <c r="L2125" i="1"/>
  <c r="N2125" i="1" s="1"/>
  <c r="M2125" i="1"/>
  <c r="O2125" i="1" s="1"/>
  <c r="J2039" i="1"/>
  <c r="K2039" i="1"/>
  <c r="L2039" i="1"/>
  <c r="N2039" i="1" s="1"/>
  <c r="M2039" i="1"/>
  <c r="O2039" i="1" s="1"/>
  <c r="J2038" i="1"/>
  <c r="K2038" i="1"/>
  <c r="L2038" i="1"/>
  <c r="N2038" i="1" s="1"/>
  <c r="M2038" i="1"/>
  <c r="O2038" i="1" s="1"/>
  <c r="J2037" i="1"/>
  <c r="K2037" i="1"/>
  <c r="L2037" i="1"/>
  <c r="N2037" i="1" s="1"/>
  <c r="M2037" i="1"/>
  <c r="O2037" i="1" s="1"/>
  <c r="J2036" i="1"/>
  <c r="K2036" i="1"/>
  <c r="L2036" i="1"/>
  <c r="N2036" i="1" s="1"/>
  <c r="M2036" i="1"/>
  <c r="O2036" i="1" s="1"/>
  <c r="J1744" i="1"/>
  <c r="K1744" i="1"/>
  <c r="L1744" i="1"/>
  <c r="N1744" i="1" s="1"/>
  <c r="M1744" i="1"/>
  <c r="O1744" i="1" s="1"/>
  <c r="J2117" i="1"/>
  <c r="K2117" i="1"/>
  <c r="L2117" i="1"/>
  <c r="N2117" i="1" s="1"/>
  <c r="M2117" i="1"/>
  <c r="O2117" i="1" s="1"/>
  <c r="J2121" i="1"/>
  <c r="K2121" i="1"/>
  <c r="L2121" i="1"/>
  <c r="N2121" i="1" s="1"/>
  <c r="M2121" i="1"/>
  <c r="O2121" i="1" s="1"/>
  <c r="J2122" i="1"/>
  <c r="K2122" i="1"/>
  <c r="L2122" i="1"/>
  <c r="N2122" i="1" s="1"/>
  <c r="M2122" i="1"/>
  <c r="O2122" i="1" s="1"/>
  <c r="J2123" i="1"/>
  <c r="K2123" i="1"/>
  <c r="L2123" i="1"/>
  <c r="N2123" i="1" s="1"/>
  <c r="M2123" i="1"/>
  <c r="O2123" i="1" s="1"/>
  <c r="J2098" i="1"/>
  <c r="K2098" i="1"/>
  <c r="L2098" i="1"/>
  <c r="N2098" i="1" s="1"/>
  <c r="M2098" i="1"/>
  <c r="O2098" i="1" s="1"/>
  <c r="J2161" i="1"/>
  <c r="K2161" i="1"/>
  <c r="L2161" i="1"/>
  <c r="N2161" i="1" s="1"/>
  <c r="M2161" i="1"/>
  <c r="O2161" i="1" s="1"/>
  <c r="J2162" i="1"/>
  <c r="K2162" i="1"/>
  <c r="L2162" i="1"/>
  <c r="N2162" i="1" s="1"/>
  <c r="M2162" i="1"/>
  <c r="O2162" i="1" s="1"/>
  <c r="J2135" i="1"/>
  <c r="K2135" i="1"/>
  <c r="L2135" i="1"/>
  <c r="N2135" i="1" s="1"/>
  <c r="M2135" i="1"/>
  <c r="O2135" i="1" s="1"/>
  <c r="J2088" i="1"/>
  <c r="K2088" i="1"/>
  <c r="L2088" i="1"/>
  <c r="N2088" i="1" s="1"/>
  <c r="M2088" i="1"/>
  <c r="O2088" i="1" s="1"/>
  <c r="J1988" i="1"/>
  <c r="K1988" i="1"/>
  <c r="L1988" i="1"/>
  <c r="N1988" i="1" s="1"/>
  <c r="M1988" i="1"/>
  <c r="O1988" i="1" s="1"/>
  <c r="J2000" i="1"/>
  <c r="K2000" i="1"/>
  <c r="L2000" i="1"/>
  <c r="N2000" i="1" s="1"/>
  <c r="M2000" i="1"/>
  <c r="O2000" i="1" s="1"/>
  <c r="J1989" i="1"/>
  <c r="K1989" i="1"/>
  <c r="L1989" i="1"/>
  <c r="N1989" i="1" s="1"/>
  <c r="M1989" i="1"/>
  <c r="O1989" i="1" s="1"/>
  <c r="J1904" i="1"/>
  <c r="K1904" i="1"/>
  <c r="L1904" i="1"/>
  <c r="N1904" i="1" s="1"/>
  <c r="M1904" i="1"/>
  <c r="O1904" i="1" s="1"/>
  <c r="J2011" i="1"/>
  <c r="K2011" i="1"/>
  <c r="L2011" i="1"/>
  <c r="N2011" i="1" s="1"/>
  <c r="M2011" i="1"/>
  <c r="O2011" i="1" s="1"/>
  <c r="J1968" i="1"/>
  <c r="K1968" i="1"/>
  <c r="L1968" i="1"/>
  <c r="N1968" i="1" s="1"/>
  <c r="M1968" i="1"/>
  <c r="O1968" i="1" s="1"/>
  <c r="J2089" i="1"/>
  <c r="K2089" i="1"/>
  <c r="L2089" i="1"/>
  <c r="N2089" i="1" s="1"/>
  <c r="M2089" i="1"/>
  <c r="O2089" i="1" s="1"/>
  <c r="J2136" i="1"/>
  <c r="K2136" i="1"/>
  <c r="L2136" i="1"/>
  <c r="N2136" i="1" s="1"/>
  <c r="M2136" i="1"/>
  <c r="O2136" i="1" s="1"/>
  <c r="J2090" i="1"/>
  <c r="K2090" i="1"/>
  <c r="L2090" i="1"/>
  <c r="N2090" i="1" s="1"/>
  <c r="M2090" i="1"/>
  <c r="O2090" i="1" s="1"/>
  <c r="J2073" i="1"/>
  <c r="K2073" i="1"/>
  <c r="L2073" i="1"/>
  <c r="N2073" i="1" s="1"/>
  <c r="M2073" i="1"/>
  <c r="O2073" i="1" s="1"/>
  <c r="J2166" i="1"/>
  <c r="K2166" i="1"/>
  <c r="L2166" i="1"/>
  <c r="N2166" i="1" s="1"/>
  <c r="M2166" i="1"/>
  <c r="O2166" i="1" s="1"/>
  <c r="J2172" i="1"/>
  <c r="K2172" i="1"/>
  <c r="L2172" i="1"/>
  <c r="N2172" i="1" s="1"/>
  <c r="M2172" i="1"/>
  <c r="O2172" i="1" s="1"/>
  <c r="J2178" i="1"/>
  <c r="K2178" i="1"/>
  <c r="L2178" i="1"/>
  <c r="N2178" i="1" s="1"/>
  <c r="M2178" i="1"/>
  <c r="O2178" i="1" s="1"/>
  <c r="K2074" i="1"/>
  <c r="K2075" i="1"/>
  <c r="M2113" i="1"/>
  <c r="O2113" i="1" s="1"/>
  <c r="L2113" i="1"/>
  <c r="N2113" i="1" s="1"/>
  <c r="K2113" i="1"/>
  <c r="J2113" i="1"/>
  <c r="M2112" i="1"/>
  <c r="O2112" i="1" s="1"/>
  <c r="L2112" i="1"/>
  <c r="N2112" i="1" s="1"/>
  <c r="K2112" i="1"/>
  <c r="J2112" i="1"/>
  <c r="M2111" i="1"/>
  <c r="O2111" i="1" s="1"/>
  <c r="L2111" i="1"/>
  <c r="N2111" i="1" s="1"/>
  <c r="K2111" i="1"/>
  <c r="J2111" i="1"/>
  <c r="M2110" i="1"/>
  <c r="O2110" i="1" s="1"/>
  <c r="L2110" i="1"/>
  <c r="N2110" i="1" s="1"/>
  <c r="K2110" i="1"/>
  <c r="J2110" i="1"/>
  <c r="M2109" i="1"/>
  <c r="O2109" i="1" s="1"/>
  <c r="L2109" i="1"/>
  <c r="N2109" i="1" s="1"/>
  <c r="K2109" i="1"/>
  <c r="J2109" i="1"/>
  <c r="M2108" i="1"/>
  <c r="O2108" i="1" s="1"/>
  <c r="L2108" i="1"/>
  <c r="N2108" i="1" s="1"/>
  <c r="K2108" i="1"/>
  <c r="J2108" i="1"/>
  <c r="M2107" i="1"/>
  <c r="O2107" i="1" s="1"/>
  <c r="L2107" i="1"/>
  <c r="N2107" i="1" s="1"/>
  <c r="K2107" i="1"/>
  <c r="J2107" i="1"/>
  <c r="M2106" i="1"/>
  <c r="O2106" i="1" s="1"/>
  <c r="L2106" i="1"/>
  <c r="N2106" i="1" s="1"/>
  <c r="K2106" i="1"/>
  <c r="J2106" i="1"/>
  <c r="M2105" i="1"/>
  <c r="O2105" i="1" s="1"/>
  <c r="L2105" i="1"/>
  <c r="N2105" i="1" s="1"/>
  <c r="K2105" i="1"/>
  <c r="J2105" i="1"/>
  <c r="M2080" i="1"/>
  <c r="O2080" i="1" s="1"/>
  <c r="L2080" i="1"/>
  <c r="N2080" i="1" s="1"/>
  <c r="K2080" i="1"/>
  <c r="J2080" i="1"/>
  <c r="M2104" i="1"/>
  <c r="O2104" i="1" s="1"/>
  <c r="L2104" i="1"/>
  <c r="N2104" i="1" s="1"/>
  <c r="K2104" i="1"/>
  <c r="J2104" i="1"/>
  <c r="M2103" i="1"/>
  <c r="O2103" i="1" s="1"/>
  <c r="L2103" i="1"/>
  <c r="N2103" i="1" s="1"/>
  <c r="K2103" i="1"/>
  <c r="J2103" i="1"/>
  <c r="M2102" i="1"/>
  <c r="O2102" i="1" s="1"/>
  <c r="L2102" i="1"/>
  <c r="N2102" i="1" s="1"/>
  <c r="K2102" i="1"/>
  <c r="J2102" i="1"/>
  <c r="M2101" i="1"/>
  <c r="O2101" i="1" s="1"/>
  <c r="L2101" i="1"/>
  <c r="N2101" i="1" s="1"/>
  <c r="K2101" i="1"/>
  <c r="J2101" i="1"/>
  <c r="M2100" i="1"/>
  <c r="O2100" i="1" s="1"/>
  <c r="L2100" i="1"/>
  <c r="N2100" i="1" s="1"/>
  <c r="K2100" i="1"/>
  <c r="J2100" i="1"/>
  <c r="M2099" i="1"/>
  <c r="O2099" i="1" s="1"/>
  <c r="L2099" i="1"/>
  <c r="N2099" i="1" s="1"/>
  <c r="K2099" i="1"/>
  <c r="J2099" i="1"/>
  <c r="M2079" i="1"/>
  <c r="O2079" i="1" s="1"/>
  <c r="L2079" i="1"/>
  <c r="N2079" i="1" s="1"/>
  <c r="K2079" i="1"/>
  <c r="J2079" i="1"/>
  <c r="M2160" i="1"/>
  <c r="O2160" i="1" s="1"/>
  <c r="L2160" i="1"/>
  <c r="N2160" i="1" s="1"/>
  <c r="K2160" i="1"/>
  <c r="J2160" i="1"/>
  <c r="M2078" i="1"/>
  <c r="O2078" i="1" s="1"/>
  <c r="L2078" i="1"/>
  <c r="N2078" i="1" s="1"/>
  <c r="K2078" i="1"/>
  <c r="J2078" i="1"/>
  <c r="M2124" i="1"/>
  <c r="O2124" i="1" s="1"/>
  <c r="L2124" i="1"/>
  <c r="N2124" i="1" s="1"/>
  <c r="K2124" i="1"/>
  <c r="J2124" i="1"/>
  <c r="M2076" i="1"/>
  <c r="O2076" i="1" s="1"/>
  <c r="L2076" i="1"/>
  <c r="N2076" i="1" s="1"/>
  <c r="K2076" i="1"/>
  <c r="J2076" i="1"/>
  <c r="M2066" i="1"/>
  <c r="O2066" i="1" s="1"/>
  <c r="L2066" i="1"/>
  <c r="N2066" i="1" s="1"/>
  <c r="K2066" i="1"/>
  <c r="J2066" i="1"/>
  <c r="M2170" i="1"/>
  <c r="O2170" i="1" s="1"/>
  <c r="L2170" i="1"/>
  <c r="N2170" i="1" s="1"/>
  <c r="K2170" i="1"/>
  <c r="J2170" i="1"/>
  <c r="M2159" i="1"/>
  <c r="O2159" i="1" s="1"/>
  <c r="L2159" i="1"/>
  <c r="N2159" i="1" s="1"/>
  <c r="K2159" i="1"/>
  <c r="J2159" i="1"/>
  <c r="M2145" i="1"/>
  <c r="O2145" i="1" s="1"/>
  <c r="L2145" i="1"/>
  <c r="N2145" i="1" s="1"/>
  <c r="K2145" i="1"/>
  <c r="J2145" i="1"/>
  <c r="M2144" i="1"/>
  <c r="O2144" i="1" s="1"/>
  <c r="L2144" i="1"/>
  <c r="N2144" i="1" s="1"/>
  <c r="K2144" i="1"/>
  <c r="J2144" i="1"/>
  <c r="M2158" i="1"/>
  <c r="O2158" i="1" s="1"/>
  <c r="L2158" i="1"/>
  <c r="N2158" i="1" s="1"/>
  <c r="K2158" i="1"/>
  <c r="J2158" i="1"/>
  <c r="M2202" i="1"/>
  <c r="O2202" i="1" s="1"/>
  <c r="L2202" i="1"/>
  <c r="N2202" i="1" s="1"/>
  <c r="K2202" i="1"/>
  <c r="J2202" i="1"/>
  <c r="M2195" i="1"/>
  <c r="O2195" i="1" s="1"/>
  <c r="L2195" i="1"/>
  <c r="N2195" i="1" s="1"/>
  <c r="K2195" i="1"/>
  <c r="J2195" i="1"/>
  <c r="M2194" i="1"/>
  <c r="O2194" i="1" s="1"/>
  <c r="L2194" i="1"/>
  <c r="N2194" i="1" s="1"/>
  <c r="K2194" i="1"/>
  <c r="J2194" i="1"/>
  <c r="M2157" i="1"/>
  <c r="O2157" i="1" s="1"/>
  <c r="L2157" i="1"/>
  <c r="N2157" i="1" s="1"/>
  <c r="K2157" i="1"/>
  <c r="J2157" i="1"/>
  <c r="M2156" i="1"/>
  <c r="O2156" i="1" s="1"/>
  <c r="L2156" i="1"/>
  <c r="N2156" i="1" s="1"/>
  <c r="K2156" i="1"/>
  <c r="J2156" i="1"/>
  <c r="M2150" i="1"/>
  <c r="O2150" i="1" s="1"/>
  <c r="L2150" i="1"/>
  <c r="N2150" i="1" s="1"/>
  <c r="K2150" i="1"/>
  <c r="J2150" i="1"/>
  <c r="M2155" i="1"/>
  <c r="O2155" i="1" s="1"/>
  <c r="L2155" i="1"/>
  <c r="N2155" i="1" s="1"/>
  <c r="K2155" i="1"/>
  <c r="J2155" i="1"/>
  <c r="M1775" i="1"/>
  <c r="O1775" i="1" s="1"/>
  <c r="L1775" i="1"/>
  <c r="N1775" i="1" s="1"/>
  <c r="K1775" i="1"/>
  <c r="J1775" i="1"/>
  <c r="M2148" i="1"/>
  <c r="O2148" i="1" s="1"/>
  <c r="L2148" i="1"/>
  <c r="N2148" i="1" s="1"/>
  <c r="K2148" i="1"/>
  <c r="J2148" i="1"/>
  <c r="M2147" i="1"/>
  <c r="O2147" i="1" s="1"/>
  <c r="L2147" i="1"/>
  <c r="N2147" i="1" s="1"/>
  <c r="K2147" i="1"/>
  <c r="J2147" i="1"/>
  <c r="M2154" i="1"/>
  <c r="O2154" i="1" s="1"/>
  <c r="L2154" i="1"/>
  <c r="N2154" i="1" s="1"/>
  <c r="K2154" i="1"/>
  <c r="J2154" i="1"/>
  <c r="M2153" i="1"/>
  <c r="O2153" i="1" s="1"/>
  <c r="L2153" i="1"/>
  <c r="N2153" i="1" s="1"/>
  <c r="K2153" i="1"/>
  <c r="J2153" i="1"/>
  <c r="M2152" i="1"/>
  <c r="O2152" i="1" s="1"/>
  <c r="L2152" i="1"/>
  <c r="N2152" i="1" s="1"/>
  <c r="K2152" i="1"/>
  <c r="J2152" i="1"/>
  <c r="M2151" i="1"/>
  <c r="O2151" i="1" s="1"/>
  <c r="L2151" i="1"/>
  <c r="N2151" i="1" s="1"/>
  <c r="K2151" i="1"/>
  <c r="J2151" i="1"/>
  <c r="M2094" i="1"/>
  <c r="O2094" i="1" s="1"/>
  <c r="L2094" i="1"/>
  <c r="N2094" i="1" s="1"/>
  <c r="K2094" i="1"/>
  <c r="J2094" i="1"/>
  <c r="J2064" i="1"/>
  <c r="K2064" i="1"/>
  <c r="L2064" i="1"/>
  <c r="N2064" i="1" s="1"/>
  <c r="M2064" i="1"/>
  <c r="O2064" i="1" s="1"/>
  <c r="S714" i="1"/>
  <c r="S715" i="1"/>
  <c r="S716" i="1"/>
  <c r="S717" i="1"/>
  <c r="S719" i="1"/>
  <c r="S563" i="1"/>
  <c r="S723" i="1"/>
  <c r="S565" i="1"/>
  <c r="S566" i="1"/>
  <c r="S567" i="1"/>
  <c r="S730" i="1"/>
  <c r="S734" i="1"/>
  <c r="S574" i="1"/>
  <c r="S575" i="1"/>
  <c r="S576" i="1"/>
  <c r="S578" i="1"/>
  <c r="S579" i="1"/>
  <c r="S580" i="1"/>
  <c r="S581" i="1"/>
  <c r="S582" i="1"/>
  <c r="S583" i="1"/>
  <c r="S584" i="1"/>
  <c r="S741" i="1"/>
  <c r="S586" i="1"/>
  <c r="S742" i="1"/>
  <c r="S283" i="1"/>
  <c r="S750" i="1"/>
  <c r="S751" i="1"/>
  <c r="S591" i="1"/>
  <c r="S592" i="1"/>
  <c r="S593" i="1"/>
  <c r="S594" i="1"/>
  <c r="S595" i="1"/>
  <c r="S753" i="1"/>
  <c r="S754" i="1"/>
  <c r="S598" i="1"/>
  <c r="S599" i="1"/>
  <c r="S757" i="1"/>
  <c r="S603" i="1"/>
  <c r="S604" i="1"/>
  <c r="S760" i="1"/>
  <c r="S606" i="1"/>
  <c r="S607" i="1"/>
  <c r="S608" i="1"/>
  <c r="S609" i="1"/>
  <c r="S763" i="1"/>
  <c r="S764" i="1"/>
  <c r="S773" i="1"/>
  <c r="S774" i="1"/>
  <c r="S784" i="1"/>
  <c r="S615" i="1"/>
  <c r="S785" i="1"/>
  <c r="S787" i="1"/>
  <c r="S618" i="1"/>
  <c r="S788" i="1"/>
  <c r="S161" i="1"/>
  <c r="S623" i="1"/>
  <c r="S624" i="1"/>
  <c r="S789" i="1"/>
  <c r="S791" i="1"/>
  <c r="S793" i="1"/>
  <c r="S628" i="1"/>
  <c r="S629" i="1"/>
  <c r="S630" i="1"/>
  <c r="S631" i="1"/>
  <c r="S794" i="1"/>
  <c r="S795" i="1"/>
  <c r="S796" i="1"/>
  <c r="S635" i="1"/>
  <c r="S797" i="1"/>
  <c r="S798" i="1"/>
  <c r="S801" i="1"/>
  <c r="S805" i="1"/>
  <c r="S807" i="1"/>
  <c r="S641" i="1"/>
  <c r="S809" i="1"/>
  <c r="S643" i="1"/>
  <c r="S810" i="1"/>
  <c r="S645" i="1"/>
  <c r="S646" i="1"/>
  <c r="S647" i="1"/>
  <c r="S819" i="1"/>
  <c r="S820" i="1"/>
  <c r="S652" i="1"/>
  <c r="S653" i="1"/>
  <c r="S654" i="1"/>
  <c r="S655" i="1"/>
  <c r="S821" i="1"/>
  <c r="S822" i="1"/>
  <c r="S658" i="1"/>
  <c r="S659" i="1"/>
  <c r="S660" i="1"/>
  <c r="S661" i="1"/>
  <c r="S826" i="1"/>
  <c r="S833" i="1"/>
  <c r="S664" i="1"/>
  <c r="S665" i="1"/>
  <c r="S666" i="1"/>
  <c r="S667" i="1"/>
  <c r="S668" i="1"/>
  <c r="S837" i="1"/>
  <c r="S670" i="1"/>
  <c r="S671" i="1"/>
  <c r="S672" i="1"/>
  <c r="S673" i="1"/>
  <c r="S674" i="1"/>
  <c r="S839" i="1"/>
  <c r="S842" i="1"/>
  <c r="S677" i="1"/>
  <c r="S679" i="1"/>
  <c r="S680" i="1"/>
  <c r="S843" i="1"/>
  <c r="S852" i="1"/>
  <c r="S865" i="1"/>
  <c r="S866" i="1"/>
  <c r="S867" i="1"/>
  <c r="S869" i="1"/>
  <c r="S870" i="1"/>
  <c r="S871" i="1"/>
  <c r="S689" i="1"/>
  <c r="S690" i="1"/>
  <c r="S691" i="1"/>
  <c r="S692" i="1"/>
  <c r="S872" i="1"/>
  <c r="S694" i="1"/>
  <c r="S695" i="1"/>
  <c r="S696" i="1"/>
  <c r="S697" i="1"/>
  <c r="S698" i="1"/>
  <c r="S699" i="1"/>
  <c r="S700" i="1"/>
  <c r="S701" i="1"/>
  <c r="S702" i="1"/>
  <c r="S703" i="1"/>
  <c r="S873" i="1"/>
  <c r="S705" i="1"/>
  <c r="S706" i="1"/>
  <c r="S707" i="1"/>
  <c r="S708" i="1"/>
  <c r="S874" i="1"/>
  <c r="S875" i="1"/>
  <c r="S711" i="1"/>
  <c r="S712" i="1"/>
  <c r="S713" i="1"/>
  <c r="S876" i="1"/>
  <c r="S879" i="1"/>
  <c r="S883" i="1"/>
  <c r="S885" i="1"/>
  <c r="S718" i="1"/>
  <c r="S886" i="1"/>
  <c r="S720" i="1"/>
  <c r="S721" i="1"/>
  <c r="S722" i="1"/>
  <c r="S889" i="1"/>
  <c r="S724" i="1"/>
  <c r="S891" i="1"/>
  <c r="S892" i="1"/>
  <c r="S897" i="1"/>
  <c r="S731" i="1"/>
  <c r="S732" i="1"/>
  <c r="S733" i="1"/>
  <c r="S905" i="1"/>
  <c r="S735" i="1"/>
  <c r="S736" i="1"/>
  <c r="S737" i="1"/>
  <c r="S738" i="1"/>
  <c r="S739" i="1"/>
  <c r="S740" i="1"/>
  <c r="S907" i="1"/>
  <c r="S41" i="1"/>
  <c r="S743" i="1"/>
  <c r="S744" i="1"/>
  <c r="S745" i="1"/>
  <c r="S746" i="1"/>
  <c r="S747" i="1"/>
  <c r="S748" i="1"/>
  <c r="S749" i="1"/>
  <c r="S752" i="1"/>
  <c r="S908" i="1"/>
  <c r="S912" i="1"/>
  <c r="S755" i="1"/>
  <c r="S756" i="1"/>
  <c r="S918" i="1"/>
  <c r="S758" i="1"/>
  <c r="S759" i="1"/>
  <c r="S919" i="1"/>
  <c r="S761" i="1"/>
  <c r="S762" i="1"/>
  <c r="S920" i="1"/>
  <c r="S765" i="1"/>
  <c r="S766" i="1"/>
  <c r="S767" i="1"/>
  <c r="S768" i="1"/>
  <c r="S769" i="1"/>
  <c r="S770" i="1"/>
  <c r="S771" i="1"/>
  <c r="S772" i="1"/>
  <c r="S921" i="1"/>
  <c r="S922" i="1"/>
  <c r="S775" i="1"/>
  <c r="S776" i="1"/>
  <c r="S777" i="1"/>
  <c r="S778" i="1"/>
  <c r="S779" i="1"/>
  <c r="S780" i="1"/>
  <c r="S781" i="1"/>
  <c r="S782" i="1"/>
  <c r="S783" i="1"/>
  <c r="S925" i="1"/>
  <c r="S786" i="1"/>
  <c r="S930" i="1"/>
  <c r="S931" i="1"/>
  <c r="S932" i="1"/>
  <c r="S790" i="1"/>
  <c r="S933" i="1"/>
  <c r="S792" i="1"/>
  <c r="S935" i="1"/>
  <c r="S942" i="1"/>
  <c r="S943" i="1"/>
  <c r="S944" i="1"/>
  <c r="S945" i="1"/>
  <c r="S947" i="1"/>
  <c r="S799" i="1"/>
  <c r="S800" i="1"/>
  <c r="S948" i="1"/>
  <c r="S802" i="1"/>
  <c r="S803" i="1"/>
  <c r="S804" i="1"/>
  <c r="S949" i="1"/>
  <c r="S806" i="1"/>
  <c r="S951" i="1"/>
  <c r="S952" i="1"/>
  <c r="S164" i="1"/>
  <c r="S811" i="1"/>
  <c r="S812" i="1"/>
  <c r="S813" i="1"/>
  <c r="S953" i="1"/>
  <c r="S815" i="1"/>
  <c r="S816" i="1"/>
  <c r="S817" i="1"/>
  <c r="S818" i="1"/>
  <c r="S108" i="1"/>
  <c r="S955" i="1"/>
  <c r="S956" i="1"/>
  <c r="S957" i="1"/>
  <c r="S823" i="1"/>
  <c r="S824" i="1"/>
  <c r="S825" i="1"/>
  <c r="S958" i="1"/>
  <c r="S827" i="1"/>
  <c r="S828" i="1"/>
  <c r="S829" i="1"/>
  <c r="S830" i="1"/>
  <c r="S831" i="1"/>
  <c r="S832" i="1"/>
  <c r="S959" i="1"/>
  <c r="S834" i="1"/>
  <c r="S835" i="1"/>
  <c r="S836" i="1"/>
  <c r="S960" i="1"/>
  <c r="S838" i="1"/>
  <c r="S962" i="1"/>
  <c r="S840" i="1"/>
  <c r="S841" i="1"/>
  <c r="S965" i="1"/>
  <c r="S969" i="1"/>
  <c r="S847" i="1"/>
  <c r="S849" i="1"/>
  <c r="S850" i="1"/>
  <c r="S851" i="1"/>
  <c r="S970" i="1"/>
  <c r="S853" i="1"/>
  <c r="S854" i="1"/>
  <c r="S855" i="1"/>
  <c r="S856" i="1"/>
  <c r="S857" i="1"/>
  <c r="S858" i="1"/>
  <c r="S859" i="1"/>
  <c r="S860" i="1"/>
  <c r="S861" i="1"/>
  <c r="S862" i="1"/>
  <c r="S864" i="1"/>
  <c r="S972" i="1"/>
  <c r="S976" i="1"/>
  <c r="S978" i="1"/>
  <c r="S868" i="1"/>
  <c r="S981" i="1"/>
  <c r="S984" i="1"/>
  <c r="S989" i="1"/>
  <c r="S990" i="1"/>
  <c r="S991" i="1"/>
  <c r="S1000" i="1"/>
  <c r="S1012" i="1"/>
  <c r="S877" i="1"/>
  <c r="S878" i="1"/>
  <c r="S1020" i="1"/>
  <c r="S880" i="1"/>
  <c r="S881" i="1"/>
  <c r="S882" i="1"/>
  <c r="S1024" i="1"/>
  <c r="S884" i="1"/>
  <c r="S1033" i="1"/>
  <c r="S1037" i="1"/>
  <c r="S1039" i="1"/>
  <c r="S890" i="1"/>
  <c r="S1040" i="1"/>
  <c r="S1041" i="1"/>
  <c r="S893" i="1"/>
  <c r="S894" i="1"/>
  <c r="S895" i="1"/>
  <c r="S1042" i="1"/>
  <c r="S898" i="1"/>
  <c r="S899" i="1"/>
  <c r="S900" i="1"/>
  <c r="S901" i="1"/>
  <c r="S902" i="1"/>
  <c r="S903" i="1"/>
  <c r="S904" i="1"/>
  <c r="S1043" i="1"/>
  <c r="S906" i="1"/>
  <c r="S1044" i="1"/>
  <c r="S1046" i="1"/>
  <c r="S909" i="1"/>
  <c r="S910" i="1"/>
  <c r="S911" i="1"/>
  <c r="S1049" i="1"/>
  <c r="S913" i="1"/>
  <c r="S914" i="1"/>
  <c r="S915" i="1"/>
  <c r="S916" i="1"/>
  <c r="S917" i="1"/>
  <c r="S1053" i="1"/>
  <c r="S1054" i="1"/>
  <c r="S1055" i="1"/>
  <c r="S1056" i="1"/>
  <c r="S1059" i="1"/>
  <c r="S923" i="1"/>
  <c r="S924" i="1"/>
  <c r="S1064" i="1"/>
  <c r="S926" i="1"/>
  <c r="S927" i="1"/>
  <c r="S928" i="1"/>
  <c r="S1065" i="1"/>
  <c r="S1071" i="1"/>
  <c r="S1074" i="1"/>
  <c r="S1081" i="1"/>
  <c r="S1086" i="1"/>
  <c r="S934" i="1"/>
  <c r="S1087" i="1"/>
  <c r="S936" i="1"/>
  <c r="S937" i="1"/>
  <c r="S938" i="1"/>
  <c r="S939" i="1"/>
  <c r="S940" i="1"/>
  <c r="S1088" i="1"/>
  <c r="S96" i="1"/>
  <c r="S46" i="1"/>
  <c r="S1089" i="1"/>
  <c r="S946" i="1"/>
  <c r="S1009" i="1"/>
  <c r="S1010" i="1"/>
  <c r="S1011" i="1"/>
  <c r="S1133" i="1"/>
  <c r="S1013" i="1"/>
  <c r="S1014" i="1"/>
  <c r="S1015" i="1"/>
  <c r="S1016" i="1"/>
  <c r="S1017" i="1"/>
  <c r="S1018" i="1"/>
  <c r="S1019" i="1"/>
  <c r="S1134" i="1"/>
  <c r="S1021" i="1"/>
  <c r="S1022" i="1"/>
  <c r="S1023" i="1"/>
  <c r="S1135" i="1"/>
  <c r="S1026" i="1"/>
  <c r="S1028" i="1"/>
  <c r="S1029" i="1"/>
  <c r="S1030" i="1"/>
  <c r="S1031" i="1"/>
  <c r="S1032" i="1"/>
  <c r="S1136" i="1"/>
  <c r="S1034" i="1"/>
  <c r="S1035" i="1"/>
  <c r="S1036" i="1"/>
  <c r="S1138" i="1"/>
  <c r="S1140" i="1"/>
  <c r="S1148" i="1"/>
  <c r="S1149" i="1"/>
  <c r="S1151" i="1"/>
  <c r="S1158" i="1"/>
  <c r="S1045" i="1"/>
  <c r="S1161" i="1"/>
  <c r="S1047" i="1"/>
  <c r="S1048" i="1"/>
  <c r="S1172" i="1"/>
  <c r="S1050" i="1"/>
  <c r="S1051" i="1"/>
  <c r="S1052" i="1"/>
  <c r="S1173" i="1"/>
  <c r="S1174" i="1"/>
  <c r="S1179" i="1"/>
  <c r="S1185" i="1"/>
  <c r="S1057" i="1"/>
  <c r="S1058" i="1"/>
  <c r="S1060" i="1"/>
  <c r="S1061" i="1"/>
  <c r="S1062" i="1"/>
  <c r="S1063" i="1"/>
  <c r="S1193" i="1"/>
  <c r="S1199" i="1"/>
  <c r="S1066" i="1"/>
  <c r="S1067" i="1"/>
  <c r="S1068" i="1"/>
  <c r="S1069" i="1"/>
  <c r="S1070" i="1"/>
  <c r="S1201" i="1"/>
  <c r="S1072" i="1"/>
  <c r="S1073" i="1"/>
  <c r="S1207" i="1"/>
  <c r="S1077" i="1"/>
  <c r="S1078" i="1"/>
  <c r="S1079" i="1"/>
  <c r="S1080" i="1"/>
  <c r="S1208" i="1"/>
  <c r="S1082" i="1"/>
  <c r="S1084" i="1"/>
  <c r="S1212" i="1"/>
  <c r="S1214" i="1"/>
  <c r="S162" i="1"/>
  <c r="S1216" i="1"/>
  <c r="S1217" i="1"/>
  <c r="S1218" i="1"/>
  <c r="S1219" i="1"/>
  <c r="S1094" i="1"/>
  <c r="S1220" i="1"/>
  <c r="S1223" i="1"/>
  <c r="S1097" i="1"/>
  <c r="S1225" i="1"/>
  <c r="S1102" i="1"/>
  <c r="S1103" i="1"/>
  <c r="S1104" i="1"/>
  <c r="S1105" i="1"/>
  <c r="S1106" i="1"/>
  <c r="S1107" i="1"/>
  <c r="S1108" i="1"/>
  <c r="S1228" i="1"/>
  <c r="S1110" i="1"/>
  <c r="S1111" i="1"/>
  <c r="S1230" i="1"/>
  <c r="S45" i="1"/>
  <c r="S50" i="1"/>
  <c r="S102" i="1"/>
  <c r="S1231" i="1"/>
  <c r="S1124" i="1"/>
  <c r="S1125" i="1"/>
  <c r="S1126" i="1"/>
  <c r="S1237" i="1"/>
  <c r="S1238" i="1"/>
  <c r="S1241" i="1"/>
  <c r="S1130" i="1"/>
  <c r="S1252" i="1"/>
  <c r="S1260" i="1"/>
  <c r="S1261" i="1"/>
  <c r="S1262" i="1"/>
  <c r="S1263" i="1"/>
  <c r="S1264" i="1"/>
  <c r="S1137" i="1"/>
  <c r="S1269" i="1"/>
  <c r="S1139" i="1"/>
  <c r="S1275" i="1"/>
  <c r="S1141" i="1"/>
  <c r="S1142" i="1"/>
  <c r="S1143" i="1"/>
  <c r="S1144" i="1"/>
  <c r="S1287" i="1"/>
  <c r="S1146" i="1"/>
  <c r="S1147" i="1"/>
  <c r="S1297" i="1"/>
  <c r="S1299" i="1"/>
  <c r="S1302" i="1"/>
  <c r="S1152" i="1"/>
  <c r="S1153" i="1"/>
  <c r="S1154" i="1"/>
  <c r="S1155" i="1"/>
  <c r="S1156" i="1"/>
  <c r="S1157" i="1"/>
  <c r="S1303" i="1"/>
  <c r="S1159" i="1"/>
  <c r="S1305" i="1"/>
  <c r="S1162" i="1"/>
  <c r="S1163" i="1"/>
  <c r="S1164" i="1"/>
  <c r="S1165" i="1"/>
  <c r="S1166" i="1"/>
  <c r="S1167" i="1"/>
  <c r="S1168" i="1"/>
  <c r="S1169" i="1"/>
  <c r="S1170" i="1"/>
  <c r="S1171" i="1"/>
  <c r="S1306" i="1"/>
  <c r="S1311" i="1"/>
  <c r="S1175" i="1"/>
  <c r="S1176" i="1"/>
  <c r="S1177" i="1"/>
  <c r="S1178" i="1"/>
  <c r="S1313" i="1"/>
  <c r="S1180" i="1"/>
  <c r="S1181" i="1"/>
  <c r="S1183" i="1"/>
  <c r="S1184" i="1"/>
  <c r="S1314" i="1"/>
  <c r="S1186" i="1"/>
  <c r="S1187" i="1"/>
  <c r="S1205" i="1"/>
  <c r="S1206" i="1"/>
  <c r="S1455" i="1"/>
  <c r="S1456" i="1"/>
  <c r="S1352" i="1"/>
  <c r="S1342" i="1"/>
  <c r="S1343" i="1"/>
  <c r="S1419" i="1"/>
  <c r="S1325" i="1"/>
  <c r="S1326" i="1"/>
  <c r="S1327" i="1"/>
  <c r="S1318" i="1"/>
  <c r="S1319" i="1"/>
  <c r="S1321" i="1"/>
  <c r="S1410" i="1"/>
  <c r="S1295" i="1"/>
  <c r="S1291" i="1"/>
  <c r="S1279" i="1"/>
  <c r="S1274" i="1"/>
  <c r="S1259" i="1"/>
  <c r="S1375" i="1"/>
  <c r="S1376" i="1"/>
  <c r="S1242" i="1"/>
  <c r="S1243" i="1"/>
  <c r="S1245" i="1"/>
  <c r="S1246" i="1"/>
  <c r="S1247" i="1"/>
  <c r="S1248" i="1"/>
  <c r="S1249" i="1"/>
  <c r="S1250" i="1"/>
  <c r="S1251" i="1"/>
  <c r="S1332" i="1"/>
  <c r="S1213" i="1"/>
  <c r="S1333" i="1"/>
  <c r="S1334" i="1"/>
  <c r="S1339" i="1"/>
  <c r="S1340" i="1"/>
  <c r="S1344" i="1"/>
  <c r="S1346" i="1"/>
  <c r="S1347" i="1"/>
  <c r="S1221" i="1"/>
  <c r="S1222" i="1"/>
  <c r="S1348" i="1"/>
  <c r="S1224" i="1"/>
  <c r="S1354" i="1"/>
  <c r="S1226" i="1"/>
  <c r="S1358" i="1"/>
  <c r="S1359" i="1"/>
  <c r="S1229" i="1"/>
  <c r="S1360" i="1"/>
  <c r="S1361" i="1"/>
  <c r="S1232" i="1"/>
  <c r="S1233" i="1"/>
  <c r="S1235" i="1"/>
  <c r="S1759" i="1"/>
  <c r="S1694" i="1"/>
  <c r="S1695" i="1"/>
  <c r="S1649" i="1"/>
  <c r="S1610" i="1"/>
  <c r="S1611" i="1"/>
  <c r="S1612" i="1"/>
  <c r="S1581" i="1"/>
  <c r="S1657" i="1"/>
  <c r="S1583" i="1"/>
  <c r="S1570" i="1"/>
  <c r="S1651" i="1"/>
  <c r="S1652" i="1"/>
  <c r="S1562" i="1"/>
  <c r="S1563" i="1"/>
  <c r="S1564" i="1"/>
  <c r="S1416" i="1"/>
  <c r="S1417" i="1"/>
  <c r="S1418" i="1"/>
  <c r="S1462" i="1"/>
  <c r="S1372" i="1"/>
  <c r="S1401" i="1"/>
  <c r="S143" i="1"/>
  <c r="S1409" i="1"/>
  <c r="S1444" i="1"/>
  <c r="S1445" i="1"/>
  <c r="S1440" i="1"/>
  <c r="S1441" i="1"/>
  <c r="S1567" i="1"/>
  <c r="S1483" i="1"/>
  <c r="S1482" i="1"/>
  <c r="S1572" i="1"/>
  <c r="S1574" i="1"/>
  <c r="S1582" i="1"/>
  <c r="S1494" i="1"/>
  <c r="S1495" i="1"/>
  <c r="S1496" i="1"/>
  <c r="S1590" i="1"/>
  <c r="S1600" i="1"/>
  <c r="S1604" i="1"/>
  <c r="S1516" i="1"/>
  <c r="S1525" i="1"/>
  <c r="S1526" i="1"/>
  <c r="S1528" i="1"/>
  <c r="S1529" i="1"/>
  <c r="S1530" i="1"/>
  <c r="S1613" i="1"/>
  <c r="S1648" i="1"/>
  <c r="S1761" i="1"/>
  <c r="S1774" i="1"/>
  <c r="S1779" i="1"/>
  <c r="S1780" i="1"/>
  <c r="S1706" i="1"/>
  <c r="S1707" i="1"/>
  <c r="S1708" i="1"/>
  <c r="S1785" i="1"/>
  <c r="S1710" i="1"/>
  <c r="S1711" i="1"/>
  <c r="S1712" i="1"/>
  <c r="S1713" i="1"/>
  <c r="S1786" i="1"/>
  <c r="S1787" i="1"/>
  <c r="S1788" i="1"/>
  <c r="S1790" i="1"/>
  <c r="S1791" i="1"/>
  <c r="S1719" i="1"/>
  <c r="S1720" i="1"/>
  <c r="S1721" i="1"/>
  <c r="S1722" i="1"/>
  <c r="S1724" i="1"/>
  <c r="S1725" i="1"/>
  <c r="S1726" i="1"/>
  <c r="S1727" i="1"/>
  <c r="S1792" i="1"/>
  <c r="S1729" i="1"/>
  <c r="S1730" i="1"/>
  <c r="S1732" i="1"/>
  <c r="S1733" i="1"/>
  <c r="S1796" i="1"/>
  <c r="S1735" i="1"/>
  <c r="S1736" i="1"/>
  <c r="S72" i="1"/>
  <c r="S1739" i="1"/>
  <c r="S1740" i="1"/>
  <c r="S1799" i="1"/>
  <c r="S285" i="1"/>
  <c r="S1743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69" i="1"/>
  <c r="S294" i="1"/>
  <c r="S207" i="1"/>
  <c r="S176" i="1"/>
  <c r="S1762" i="1"/>
  <c r="S1763" i="1"/>
  <c r="S1778" i="1"/>
  <c r="S1764" i="1"/>
  <c r="S1765" i="1"/>
  <c r="S1766" i="1"/>
  <c r="S1767" i="1"/>
  <c r="S1768" i="1"/>
  <c r="S1769" i="1"/>
  <c r="S1770" i="1"/>
  <c r="S1771" i="1"/>
  <c r="S1772" i="1"/>
  <c r="S1773" i="1"/>
  <c r="S1808" i="1"/>
  <c r="S134" i="1"/>
  <c r="S1823" i="1"/>
  <c r="S1781" i="1"/>
  <c r="S1782" i="1"/>
  <c r="S1783" i="1"/>
  <c r="S1784" i="1"/>
  <c r="S1824" i="1"/>
  <c r="S1829" i="1"/>
  <c r="S1841" i="1"/>
  <c r="S1846" i="1"/>
  <c r="S1789" i="1"/>
  <c r="S1848" i="1"/>
  <c r="S1849" i="1"/>
  <c r="S1854" i="1"/>
  <c r="S1793" i="1"/>
  <c r="S1794" i="1"/>
  <c r="S1795" i="1"/>
  <c r="S1855" i="1"/>
  <c r="S1797" i="1"/>
  <c r="S1798" i="1"/>
  <c r="S1856" i="1"/>
  <c r="S1801" i="1"/>
  <c r="S1802" i="1"/>
  <c r="S1803" i="1"/>
  <c r="S1804" i="1"/>
  <c r="S1805" i="1"/>
  <c r="S1806" i="1"/>
  <c r="S1807" i="1"/>
  <c r="S1809" i="1"/>
  <c r="S1810" i="1"/>
  <c r="S1811" i="1"/>
  <c r="S1812" i="1"/>
  <c r="S1814" i="1"/>
  <c r="S1815" i="1"/>
  <c r="S1816" i="1"/>
  <c r="S1817" i="1"/>
  <c r="S1819" i="1"/>
  <c r="S1820" i="1"/>
  <c r="S1821" i="1"/>
  <c r="S1822" i="1"/>
  <c r="S1857" i="1"/>
  <c r="S1859" i="1"/>
  <c r="S1825" i="1"/>
  <c r="S1826" i="1"/>
  <c r="S1827" i="1"/>
  <c r="S1828" i="1"/>
  <c r="S1860" i="1"/>
  <c r="S1830" i="1"/>
  <c r="S1831" i="1"/>
  <c r="S1832" i="1"/>
  <c r="S1833" i="1"/>
  <c r="S1834" i="1"/>
  <c r="S1835" i="1"/>
  <c r="S1836" i="1"/>
  <c r="S1837" i="1"/>
  <c r="S1838" i="1"/>
  <c r="S1839" i="1"/>
  <c r="S1840" i="1"/>
  <c r="S1861" i="1"/>
  <c r="S1842" i="1"/>
  <c r="S1843" i="1"/>
  <c r="S1845" i="1"/>
  <c r="S1862" i="1"/>
  <c r="S1847" i="1"/>
  <c r="S123" i="1"/>
  <c r="S1865" i="1"/>
  <c r="S1850" i="1"/>
  <c r="S1851" i="1"/>
  <c r="S1852" i="1"/>
  <c r="S1853" i="1"/>
  <c r="S1868" i="1"/>
  <c r="S1870" i="1"/>
  <c r="S1872" i="1"/>
  <c r="S1895" i="1"/>
  <c r="S1858" i="1"/>
  <c r="S1896" i="1"/>
  <c r="S1897" i="1"/>
  <c r="S1902" i="1"/>
  <c r="S1918" i="1"/>
  <c r="S1863" i="1"/>
  <c r="S1864" i="1"/>
  <c r="S1919" i="1"/>
  <c r="S1866" i="1"/>
  <c r="S1867" i="1"/>
  <c r="S1928" i="1"/>
  <c r="S1869" i="1"/>
  <c r="S1951" i="1"/>
  <c r="S1873" i="1"/>
  <c r="S1874" i="1"/>
  <c r="S1875" i="1"/>
  <c r="S1876" i="1"/>
  <c r="S1877" i="1"/>
  <c r="S1878" i="1"/>
  <c r="S1887" i="1"/>
  <c r="S1879" i="1"/>
  <c r="S1880" i="1"/>
  <c r="S1881" i="1"/>
  <c r="S1882" i="1"/>
  <c r="S1883" i="1"/>
  <c r="S1884" i="1"/>
  <c r="S1885" i="1"/>
  <c r="S1886" i="1"/>
  <c r="S1905" i="1"/>
  <c r="S1888" i="1"/>
  <c r="S1889" i="1"/>
  <c r="S1890" i="1"/>
  <c r="S1891" i="1"/>
  <c r="S1892" i="1"/>
  <c r="S1893" i="1"/>
  <c r="S1894" i="1"/>
  <c r="S1952" i="1"/>
  <c r="S1953" i="1"/>
  <c r="S201" i="1"/>
  <c r="S1898" i="1"/>
  <c r="S1899" i="1"/>
  <c r="S1900" i="1"/>
  <c r="S1901" i="1"/>
  <c r="S1955" i="1"/>
  <c r="S1903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56" i="1"/>
  <c r="S1957" i="1"/>
  <c r="S1920" i="1"/>
  <c r="S1921" i="1"/>
  <c r="S1922" i="1"/>
  <c r="S1923" i="1"/>
  <c r="S1925" i="1"/>
  <c r="S1926" i="1"/>
  <c r="S1958" i="1"/>
  <c r="S1929" i="1"/>
  <c r="S1930" i="1"/>
  <c r="S1931" i="1"/>
  <c r="S1932" i="1"/>
  <c r="S1933" i="1"/>
  <c r="S1934" i="1"/>
  <c r="S1935" i="1"/>
  <c r="S1936" i="1"/>
  <c r="S1937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9" i="1"/>
  <c r="S1960" i="1"/>
  <c r="S1967" i="1"/>
  <c r="S1954" i="1"/>
  <c r="S1999" i="1"/>
  <c r="S2010" i="1"/>
  <c r="S2023" i="1"/>
  <c r="S2031" i="1"/>
  <c r="S2032" i="1"/>
  <c r="S2033" i="1"/>
  <c r="S1961" i="1"/>
  <c r="S1962" i="1"/>
  <c r="S1963" i="1"/>
  <c r="S1964" i="1"/>
  <c r="S1965" i="1"/>
  <c r="S1966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90" i="1"/>
  <c r="S1991" i="1"/>
  <c r="S1992" i="1"/>
  <c r="S1993" i="1"/>
  <c r="S1994" i="1"/>
  <c r="S1997" i="1"/>
  <c r="S1998" i="1"/>
  <c r="S2005" i="1"/>
  <c r="S2006" i="1"/>
  <c r="S2007" i="1"/>
  <c r="S2008" i="1"/>
  <c r="S2015" i="1"/>
  <c r="S2016" i="1"/>
  <c r="S2018" i="1"/>
  <c r="S2019" i="1"/>
  <c r="S2020" i="1"/>
  <c r="S2021" i="1"/>
  <c r="S2022" i="1"/>
  <c r="S2025" i="1"/>
  <c r="S2026" i="1"/>
  <c r="S2027" i="1"/>
  <c r="S2028" i="1"/>
  <c r="S2029" i="1"/>
  <c r="S2030" i="1"/>
  <c r="S2040" i="1"/>
  <c r="S2067" i="1"/>
  <c r="S2068" i="1"/>
  <c r="S2034" i="1"/>
  <c r="S2035" i="1"/>
  <c r="S2069" i="1"/>
  <c r="S2070" i="1"/>
  <c r="S2071" i="1"/>
  <c r="S2072" i="1"/>
  <c r="S2077" i="1"/>
  <c r="S2041" i="1"/>
  <c r="S2042" i="1"/>
  <c r="S2043" i="1"/>
  <c r="S2044" i="1"/>
  <c r="S2045" i="1"/>
  <c r="S2046" i="1"/>
  <c r="S2047" i="1"/>
  <c r="S2048" i="1"/>
  <c r="S2049" i="1"/>
  <c r="S2051" i="1"/>
  <c r="S2052" i="1"/>
  <c r="S2053" i="1"/>
  <c r="S2054" i="1"/>
  <c r="S2055" i="1"/>
  <c r="S2056" i="1"/>
  <c r="S2057" i="1"/>
  <c r="S2058" i="1"/>
  <c r="S2059" i="1"/>
  <c r="S2060" i="1"/>
  <c r="S2061" i="1"/>
  <c r="S2063" i="1"/>
  <c r="S2064" i="1"/>
  <c r="S1844" i="1"/>
  <c r="S2065" i="1"/>
  <c r="S2074" i="1"/>
  <c r="S2075" i="1"/>
  <c r="S2084" i="1"/>
  <c r="S2095" i="1"/>
  <c r="S2096" i="1"/>
  <c r="S2097" i="1"/>
  <c r="S2139" i="1"/>
  <c r="S2140" i="1"/>
  <c r="S2141" i="1"/>
  <c r="S2142" i="1"/>
  <c r="S2143" i="1"/>
  <c r="S1683" i="1"/>
  <c r="S1688" i="1"/>
  <c r="S1689" i="1"/>
  <c r="S1684" i="1"/>
  <c r="S1685" i="1"/>
  <c r="S1686" i="1"/>
  <c r="S1667" i="1"/>
  <c r="S1668" i="1"/>
  <c r="S168" i="1"/>
  <c r="S1670" i="1"/>
  <c r="S1741" i="1"/>
  <c r="S1672" i="1"/>
  <c r="K79" i="1"/>
  <c r="L79" i="1"/>
  <c r="N79" i="1" s="1"/>
  <c r="M79" i="1"/>
  <c r="O79" i="1" s="1"/>
  <c r="J79" i="1"/>
  <c r="B2964" i="1" l="1"/>
  <c r="C1227" i="1"/>
  <c r="C2692" i="1"/>
  <c r="C2701" i="1"/>
  <c r="G167" i="1"/>
  <c r="C167" i="1" s="1"/>
  <c r="G225" i="1"/>
  <c r="S2104" i="1"/>
  <c r="S2085" i="1"/>
  <c r="S2138" i="1"/>
  <c r="H4" i="1"/>
  <c r="H5" i="1"/>
  <c r="G132" i="1"/>
  <c r="G473" i="1"/>
  <c r="G2681" i="1"/>
  <c r="G2541" i="1"/>
  <c r="G2513" i="1"/>
  <c r="G2498" i="1"/>
  <c r="G2450" i="1"/>
  <c r="G2479" i="1"/>
  <c r="G2620" i="1"/>
  <c r="G2487" i="1"/>
  <c r="G2397" i="1"/>
  <c r="G2473" i="1"/>
  <c r="G2449" i="1"/>
  <c r="G2396" i="1"/>
  <c r="G71" i="1"/>
  <c r="G2387" i="1"/>
  <c r="G2391" i="1"/>
  <c r="G2432" i="1"/>
  <c r="G67" i="1"/>
  <c r="G2448" i="1"/>
  <c r="G2428" i="1"/>
  <c r="G2429" i="1"/>
  <c r="G2409" i="1"/>
  <c r="G2406" i="1"/>
  <c r="G2382" i="1"/>
  <c r="G2376" i="1"/>
  <c r="G2358" i="1"/>
  <c r="G2381" i="1"/>
  <c r="G2380" i="1"/>
  <c r="G2326" i="1"/>
  <c r="G2327" i="1"/>
  <c r="G2325" i="1"/>
  <c r="G2353" i="1"/>
  <c r="G2344" i="1"/>
  <c r="G2262" i="1"/>
  <c r="G2263" i="1"/>
  <c r="G2320" i="1"/>
  <c r="G1388" i="1"/>
  <c r="G1515" i="1"/>
  <c r="G2307" i="1"/>
  <c r="G1446" i="1"/>
  <c r="G2254" i="1"/>
  <c r="G2241" i="1"/>
  <c r="G2204" i="1"/>
  <c r="G2233" i="1"/>
  <c r="G2259" i="1"/>
  <c r="G2228" i="1"/>
  <c r="G2227" i="1"/>
  <c r="G2209" i="1"/>
  <c r="G2205" i="1"/>
  <c r="G2208" i="1"/>
  <c r="G2039" i="1"/>
  <c r="G2036" i="1"/>
  <c r="G2123" i="1"/>
  <c r="G2117" i="1"/>
  <c r="G2122" i="1"/>
  <c r="G2121" i="1"/>
  <c r="G2037" i="1"/>
  <c r="G2038" i="1"/>
  <c r="G2125" i="1"/>
  <c r="G2116" i="1"/>
  <c r="G2087" i="1"/>
  <c r="G2169" i="1"/>
  <c r="G2173" i="1"/>
  <c r="G2167" i="1"/>
  <c r="G2193" i="1"/>
  <c r="G2192" i="1"/>
  <c r="G2184" i="1"/>
  <c r="G2168" i="1"/>
  <c r="G2124" i="1"/>
  <c r="G2202" i="1"/>
  <c r="G2195" i="1"/>
  <c r="G2194" i="1"/>
  <c r="K1334" i="1"/>
  <c r="L1334" i="1"/>
  <c r="N1334" i="1" s="1"/>
  <c r="M1334" i="1"/>
  <c r="O1334" i="1" s="1"/>
  <c r="J1334" i="1"/>
  <c r="K1333" i="1"/>
  <c r="L1333" i="1"/>
  <c r="N1333" i="1" s="1"/>
  <c r="M1333" i="1"/>
  <c r="O1333" i="1" s="1"/>
  <c r="J1333" i="1"/>
  <c r="J1983" i="1"/>
  <c r="K1983" i="1"/>
  <c r="L1983" i="1"/>
  <c r="N1983" i="1" s="1"/>
  <c r="M1983" i="1"/>
  <c r="O1983" i="1" s="1"/>
  <c r="J1984" i="1"/>
  <c r="K1984" i="1"/>
  <c r="L1984" i="1"/>
  <c r="N1984" i="1" s="1"/>
  <c r="M1984" i="1"/>
  <c r="O1984" i="1" s="1"/>
  <c r="J1985" i="1"/>
  <c r="K1985" i="1"/>
  <c r="L1985" i="1"/>
  <c r="N1985" i="1" s="1"/>
  <c r="M1985" i="1"/>
  <c r="O1985" i="1" s="1"/>
  <c r="J1986" i="1"/>
  <c r="K1986" i="1"/>
  <c r="L1986" i="1"/>
  <c r="N1986" i="1" s="1"/>
  <c r="M1986" i="1"/>
  <c r="O1986" i="1" s="1"/>
  <c r="J1987" i="1"/>
  <c r="K1987" i="1"/>
  <c r="L1987" i="1"/>
  <c r="N1987" i="1" s="1"/>
  <c r="M1987" i="1"/>
  <c r="O1987" i="1" s="1"/>
  <c r="J2016" i="1"/>
  <c r="K2016" i="1"/>
  <c r="L2016" i="1"/>
  <c r="N2016" i="1" s="1"/>
  <c r="M2016" i="1"/>
  <c r="O2016" i="1" s="1"/>
  <c r="J2022" i="1"/>
  <c r="K2022" i="1"/>
  <c r="L2022" i="1"/>
  <c r="N2022" i="1" s="1"/>
  <c r="M2022" i="1"/>
  <c r="O2022" i="1" s="1"/>
  <c r="J2057" i="1"/>
  <c r="K2057" i="1"/>
  <c r="L2057" i="1"/>
  <c r="N2057" i="1" s="1"/>
  <c r="M2057" i="1"/>
  <c r="O2057" i="1" s="1"/>
  <c r="J2061" i="1"/>
  <c r="K2061" i="1"/>
  <c r="L2061" i="1"/>
  <c r="N2061" i="1" s="1"/>
  <c r="M2061" i="1"/>
  <c r="O2061" i="1" s="1"/>
  <c r="J2063" i="1"/>
  <c r="K2063" i="1"/>
  <c r="L2063" i="1"/>
  <c r="N2063" i="1" s="1"/>
  <c r="M2063" i="1"/>
  <c r="O2063" i="1" s="1"/>
  <c r="J1923" i="1"/>
  <c r="K1923" i="1"/>
  <c r="L1923" i="1"/>
  <c r="N1923" i="1" s="1"/>
  <c r="M1923" i="1"/>
  <c r="O1923" i="1" s="1"/>
  <c r="J1937" i="1"/>
  <c r="K1937" i="1"/>
  <c r="L1937" i="1"/>
  <c r="N1937" i="1" s="1"/>
  <c r="M1937" i="1"/>
  <c r="O1937" i="1" s="1"/>
  <c r="J1843" i="1"/>
  <c r="K1843" i="1"/>
  <c r="L1843" i="1"/>
  <c r="N1843" i="1" s="1"/>
  <c r="M1843" i="1"/>
  <c r="O1843" i="1" s="1"/>
  <c r="J1844" i="1"/>
  <c r="K1844" i="1"/>
  <c r="L1844" i="1"/>
  <c r="N1844" i="1" s="1"/>
  <c r="M1844" i="1"/>
  <c r="O1844" i="1" s="1"/>
  <c r="J2065" i="1"/>
  <c r="K2065" i="1"/>
  <c r="L2065" i="1"/>
  <c r="N2065" i="1" s="1"/>
  <c r="M2065" i="1"/>
  <c r="O2065" i="1" s="1"/>
  <c r="J2074" i="1"/>
  <c r="L2074" i="1"/>
  <c r="N2074" i="1" s="1"/>
  <c r="M2074" i="1"/>
  <c r="O2074" i="1" s="1"/>
  <c r="J2075" i="1"/>
  <c r="L2075" i="1"/>
  <c r="N2075" i="1" s="1"/>
  <c r="M2075" i="1"/>
  <c r="O2075" i="1" s="1"/>
  <c r="J2084" i="1"/>
  <c r="K2084" i="1"/>
  <c r="L2084" i="1"/>
  <c r="N2084" i="1" s="1"/>
  <c r="M2084" i="1"/>
  <c r="O2084" i="1" s="1"/>
  <c r="J2085" i="1"/>
  <c r="K2085" i="1"/>
  <c r="L2085" i="1"/>
  <c r="N2085" i="1" s="1"/>
  <c r="M2085" i="1"/>
  <c r="O2085" i="1" s="1"/>
  <c r="J2095" i="1"/>
  <c r="K2095" i="1"/>
  <c r="L2095" i="1"/>
  <c r="N2095" i="1" s="1"/>
  <c r="M2095" i="1"/>
  <c r="O2095" i="1" s="1"/>
  <c r="J2096" i="1"/>
  <c r="K2096" i="1"/>
  <c r="L2096" i="1"/>
  <c r="N2096" i="1" s="1"/>
  <c r="M2096" i="1"/>
  <c r="O2096" i="1" s="1"/>
  <c r="J2097" i="1"/>
  <c r="K2097" i="1"/>
  <c r="L2097" i="1"/>
  <c r="N2097" i="1" s="1"/>
  <c r="M2097" i="1"/>
  <c r="O2097" i="1" s="1"/>
  <c r="J2139" i="1"/>
  <c r="K2139" i="1"/>
  <c r="L2139" i="1"/>
  <c r="N2139" i="1" s="1"/>
  <c r="M2139" i="1"/>
  <c r="O2139" i="1" s="1"/>
  <c r="J2140" i="1"/>
  <c r="K2140" i="1"/>
  <c r="L2140" i="1"/>
  <c r="N2140" i="1" s="1"/>
  <c r="M2140" i="1"/>
  <c r="O2140" i="1" s="1"/>
  <c r="J2141" i="1"/>
  <c r="K2141" i="1"/>
  <c r="L2141" i="1"/>
  <c r="N2141" i="1" s="1"/>
  <c r="M2141" i="1"/>
  <c r="O2141" i="1" s="1"/>
  <c r="J2142" i="1"/>
  <c r="K2142" i="1"/>
  <c r="L2142" i="1"/>
  <c r="N2142" i="1" s="1"/>
  <c r="M2142" i="1"/>
  <c r="O2142" i="1" s="1"/>
  <c r="J2143" i="1"/>
  <c r="K2143" i="1"/>
  <c r="L2143" i="1"/>
  <c r="N2143" i="1" s="1"/>
  <c r="M2143" i="1"/>
  <c r="O2143" i="1" s="1"/>
  <c r="J1945" i="1"/>
  <c r="K1945" i="1"/>
  <c r="L1945" i="1"/>
  <c r="N1945" i="1" s="1"/>
  <c r="M1945" i="1"/>
  <c r="O1945" i="1" s="1"/>
  <c r="J1946" i="1"/>
  <c r="K1946" i="1"/>
  <c r="L1946" i="1"/>
  <c r="N1946" i="1" s="1"/>
  <c r="M1946" i="1"/>
  <c r="O1946" i="1" s="1"/>
  <c r="J1999" i="1"/>
  <c r="K1999" i="1"/>
  <c r="L1999" i="1"/>
  <c r="N1999" i="1" s="1"/>
  <c r="M1999" i="1"/>
  <c r="O1999" i="1" s="1"/>
  <c r="J2010" i="1"/>
  <c r="K2010" i="1"/>
  <c r="L2010" i="1"/>
  <c r="N2010" i="1" s="1"/>
  <c r="M2010" i="1"/>
  <c r="O2010" i="1" s="1"/>
  <c r="J2023" i="1"/>
  <c r="K2023" i="1"/>
  <c r="L2023" i="1"/>
  <c r="N2023" i="1" s="1"/>
  <c r="M2023" i="1"/>
  <c r="O2023" i="1" s="1"/>
  <c r="J2031" i="1"/>
  <c r="K2031" i="1"/>
  <c r="L2031" i="1"/>
  <c r="N2031" i="1" s="1"/>
  <c r="M2031" i="1"/>
  <c r="O2031" i="1" s="1"/>
  <c r="J2032" i="1"/>
  <c r="K2032" i="1"/>
  <c r="L2032" i="1"/>
  <c r="N2032" i="1" s="1"/>
  <c r="M2032" i="1"/>
  <c r="O2032" i="1" s="1"/>
  <c r="J2033" i="1"/>
  <c r="K2033" i="1"/>
  <c r="L2033" i="1"/>
  <c r="N2033" i="1" s="1"/>
  <c r="M2033" i="1"/>
  <c r="O2033" i="1" s="1"/>
  <c r="J1961" i="1"/>
  <c r="K1961" i="1"/>
  <c r="L1961" i="1"/>
  <c r="N1961" i="1" s="1"/>
  <c r="M1961" i="1"/>
  <c r="O1961" i="1" s="1"/>
  <c r="J1962" i="1"/>
  <c r="K1962" i="1"/>
  <c r="L1962" i="1"/>
  <c r="N1962" i="1" s="1"/>
  <c r="M1962" i="1"/>
  <c r="O1962" i="1" s="1"/>
  <c r="J1963" i="1"/>
  <c r="K1963" i="1"/>
  <c r="L1963" i="1"/>
  <c r="N1963" i="1" s="1"/>
  <c r="M1963" i="1"/>
  <c r="O1963" i="1" s="1"/>
  <c r="J1964" i="1"/>
  <c r="K1964" i="1"/>
  <c r="L1964" i="1"/>
  <c r="N1964" i="1" s="1"/>
  <c r="M1964" i="1"/>
  <c r="O1964" i="1" s="1"/>
  <c r="J1965" i="1"/>
  <c r="K1965" i="1"/>
  <c r="L1965" i="1"/>
  <c r="N1965" i="1" s="1"/>
  <c r="M1965" i="1"/>
  <c r="O1965" i="1" s="1"/>
  <c r="J1966" i="1"/>
  <c r="K1966" i="1"/>
  <c r="L1966" i="1"/>
  <c r="N1966" i="1" s="1"/>
  <c r="M1966" i="1"/>
  <c r="O1966" i="1" s="1"/>
  <c r="J1979" i="1"/>
  <c r="K1979" i="1"/>
  <c r="L1979" i="1"/>
  <c r="N1979" i="1" s="1"/>
  <c r="M1979" i="1"/>
  <c r="O1979" i="1" s="1"/>
  <c r="J1980" i="1"/>
  <c r="K1980" i="1"/>
  <c r="L1980" i="1"/>
  <c r="N1980" i="1" s="1"/>
  <c r="M1980" i="1"/>
  <c r="O1980" i="1" s="1"/>
  <c r="J1981" i="1"/>
  <c r="K1981" i="1"/>
  <c r="L1981" i="1"/>
  <c r="N1981" i="1" s="1"/>
  <c r="M1981" i="1"/>
  <c r="O1981" i="1" s="1"/>
  <c r="J1982" i="1"/>
  <c r="K1982" i="1"/>
  <c r="L1982" i="1"/>
  <c r="N1982" i="1" s="1"/>
  <c r="M1982" i="1"/>
  <c r="O1982" i="1" s="1"/>
  <c r="C225" i="1" l="1"/>
  <c r="C2409" i="1"/>
  <c r="C2498" i="1"/>
  <c r="C2380" i="1"/>
  <c r="C2358" i="1"/>
  <c r="C2429" i="1"/>
  <c r="C2432" i="1"/>
  <c r="C71" i="1"/>
  <c r="B71" i="1"/>
  <c r="C2479" i="1"/>
  <c r="C2376" i="1"/>
  <c r="C2448" i="1"/>
  <c r="B67" i="1"/>
  <c r="C67" i="1"/>
  <c r="C2449" i="1"/>
  <c r="C2487" i="1"/>
  <c r="C2513" i="1"/>
  <c r="C2381" i="1"/>
  <c r="C2382" i="1"/>
  <c r="C2428" i="1"/>
  <c r="C2387" i="1"/>
  <c r="C2396" i="1"/>
  <c r="C2473" i="1"/>
  <c r="C2620" i="1"/>
  <c r="B2541" i="1"/>
  <c r="C2541" i="1"/>
  <c r="B2406" i="1"/>
  <c r="C2406" i="1"/>
  <c r="C2391" i="1"/>
  <c r="C2397" i="1"/>
  <c r="C2450" i="1"/>
  <c r="C2681" i="1"/>
  <c r="C2209" i="1"/>
  <c r="C2241" i="1"/>
  <c r="C2353" i="1"/>
  <c r="B2353" i="1"/>
  <c r="B2327" i="1"/>
  <c r="C2327" i="1"/>
  <c r="C2195" i="1"/>
  <c r="C2233" i="1"/>
  <c r="C2254" i="1"/>
  <c r="C2320" i="1"/>
  <c r="C2263" i="1"/>
  <c r="C2325" i="1"/>
  <c r="C2326" i="1"/>
  <c r="C2202" i="1"/>
  <c r="C2208" i="1"/>
  <c r="C2228" i="1"/>
  <c r="C2262" i="1"/>
  <c r="C2194" i="1"/>
  <c r="C2307" i="1"/>
  <c r="C2227" i="1"/>
  <c r="C2259" i="1"/>
  <c r="C2204" i="1"/>
  <c r="B2205" i="1"/>
  <c r="C2205" i="1"/>
  <c r="B2344" i="1"/>
  <c r="C2344" i="1"/>
  <c r="C2168" i="1"/>
  <c r="C2173" i="1"/>
  <c r="C2167" i="1"/>
  <c r="C2169" i="1"/>
  <c r="C2038" i="1"/>
  <c r="C2122" i="1"/>
  <c r="C2117" i="1"/>
  <c r="C2039" i="1"/>
  <c r="C2192" i="1"/>
  <c r="C2121" i="1"/>
  <c r="C2036" i="1"/>
  <c r="C2124" i="1"/>
  <c r="C2184" i="1"/>
  <c r="C2193" i="1"/>
  <c r="C2087" i="1"/>
  <c r="C2037" i="1"/>
  <c r="C2123" i="1"/>
  <c r="C2125" i="1"/>
  <c r="C2116" i="1"/>
  <c r="S2009" i="1"/>
  <c r="C1388" i="1"/>
  <c r="C1446" i="1"/>
  <c r="C1515" i="1"/>
  <c r="C132" i="1"/>
  <c r="C473" i="1"/>
  <c r="G1334" i="1"/>
  <c r="G1333" i="1"/>
  <c r="G2010" i="1"/>
  <c r="G2033" i="1"/>
  <c r="G2023" i="1"/>
  <c r="G2031" i="1"/>
  <c r="G2032" i="1"/>
  <c r="B2193" i="1"/>
  <c r="G1999" i="1"/>
  <c r="C2032" i="1" l="1"/>
  <c r="C2010" i="1"/>
  <c r="C2031" i="1"/>
  <c r="C2033" i="1"/>
  <c r="C1999" i="1"/>
  <c r="C2023" i="1"/>
  <c r="S2014" i="1"/>
  <c r="S2002" i="1"/>
  <c r="S2012" i="1"/>
  <c r="S2004" i="1"/>
  <c r="S1996" i="1"/>
  <c r="S2003" i="1"/>
  <c r="S1995" i="1"/>
  <c r="S2013" i="1"/>
  <c r="S2001" i="1"/>
  <c r="C1334" i="1"/>
  <c r="C1333" i="1"/>
  <c r="S2050" i="1" l="1"/>
  <c r="J1685" i="1"/>
  <c r="K1685" i="1"/>
  <c r="L1685" i="1"/>
  <c r="N1685" i="1" s="1"/>
  <c r="M1685" i="1"/>
  <c r="O1685" i="1" s="1"/>
  <c r="J1749" i="1"/>
  <c r="K1749" i="1"/>
  <c r="L1749" i="1"/>
  <c r="N1749" i="1" s="1"/>
  <c r="M1749" i="1"/>
  <c r="O1749" i="1" s="1"/>
  <c r="J1762" i="1"/>
  <c r="K1762" i="1"/>
  <c r="L1762" i="1"/>
  <c r="N1762" i="1" s="1"/>
  <c r="M1762" i="1"/>
  <c r="O1762" i="1" s="1"/>
  <c r="J1638" i="1"/>
  <c r="K1638" i="1"/>
  <c r="L1638" i="1"/>
  <c r="N1638" i="1" s="1"/>
  <c r="M1638" i="1"/>
  <c r="O1638" i="1" s="1"/>
  <c r="J1741" i="1"/>
  <c r="K1741" i="1"/>
  <c r="L1741" i="1"/>
  <c r="N1741" i="1" s="1"/>
  <c r="M1741" i="1"/>
  <c r="O1741" i="1" s="1"/>
  <c r="J1121" i="1"/>
  <c r="K1121" i="1"/>
  <c r="L1121" i="1"/>
  <c r="N1121" i="1" s="1"/>
  <c r="M1121" i="1"/>
  <c r="O1121" i="1" s="1"/>
  <c r="J1792" i="1"/>
  <c r="K1792" i="1"/>
  <c r="L1792" i="1"/>
  <c r="N1792" i="1" s="1"/>
  <c r="M1792" i="1"/>
  <c r="O1792" i="1" s="1"/>
  <c r="J1590" i="1"/>
  <c r="K1590" i="1"/>
  <c r="L1590" i="1"/>
  <c r="N1590" i="1" s="1"/>
  <c r="M1590" i="1"/>
  <c r="O1590" i="1" s="1"/>
  <c r="J1613" i="1"/>
  <c r="K1613" i="1"/>
  <c r="L1613" i="1"/>
  <c r="N1613" i="1" s="1"/>
  <c r="M1613" i="1"/>
  <c r="O1613" i="1" s="1"/>
  <c r="J1651" i="1"/>
  <c r="K1651" i="1"/>
  <c r="L1651" i="1"/>
  <c r="N1651" i="1" s="1"/>
  <c r="M1651" i="1"/>
  <c r="O1651" i="1" s="1"/>
  <c r="J1600" i="1"/>
  <c r="K1600" i="1"/>
  <c r="L1600" i="1"/>
  <c r="N1600" i="1" s="1"/>
  <c r="M1600" i="1"/>
  <c r="O1600" i="1" s="1"/>
  <c r="J1648" i="1"/>
  <c r="K1648" i="1"/>
  <c r="L1648" i="1"/>
  <c r="N1648" i="1" s="1"/>
  <c r="M1648" i="1"/>
  <c r="O1648" i="1" s="1"/>
  <c r="J1657" i="1"/>
  <c r="K1657" i="1"/>
  <c r="L1657" i="1"/>
  <c r="N1657" i="1" s="1"/>
  <c r="M1657" i="1"/>
  <c r="O1657" i="1" s="1"/>
  <c r="J1652" i="1"/>
  <c r="K1652" i="1"/>
  <c r="L1652" i="1"/>
  <c r="N1652" i="1" s="1"/>
  <c r="M1652" i="1"/>
  <c r="O1652" i="1" s="1"/>
  <c r="J1572" i="1"/>
  <c r="K1572" i="1"/>
  <c r="L1572" i="1"/>
  <c r="N1572" i="1" s="1"/>
  <c r="M1572" i="1"/>
  <c r="O1572" i="1" s="1"/>
  <c r="J1604" i="1"/>
  <c r="K1604" i="1"/>
  <c r="L1604" i="1"/>
  <c r="N1604" i="1" s="1"/>
  <c r="M1604" i="1"/>
  <c r="O1604" i="1" s="1"/>
  <c r="J1574" i="1"/>
  <c r="K1574" i="1"/>
  <c r="L1574" i="1"/>
  <c r="N1574" i="1" s="1"/>
  <c r="M1574" i="1"/>
  <c r="O1574" i="1" s="1"/>
  <c r="J1567" i="1"/>
  <c r="K1567" i="1"/>
  <c r="L1567" i="1"/>
  <c r="N1567" i="1" s="1"/>
  <c r="M1567" i="1"/>
  <c r="O1567" i="1" s="1"/>
  <c r="J1554" i="1"/>
  <c r="K1554" i="1"/>
  <c r="L1554" i="1"/>
  <c r="N1554" i="1" s="1"/>
  <c r="M1554" i="1"/>
  <c r="O1554" i="1" s="1"/>
  <c r="J1582" i="1"/>
  <c r="K1582" i="1"/>
  <c r="L1582" i="1"/>
  <c r="N1582" i="1" s="1"/>
  <c r="M1582" i="1"/>
  <c r="O1582" i="1" s="1"/>
  <c r="J1494" i="1"/>
  <c r="K1494" i="1"/>
  <c r="L1494" i="1"/>
  <c r="N1494" i="1" s="1"/>
  <c r="M1494" i="1"/>
  <c r="O1494" i="1" s="1"/>
  <c r="J1564" i="1"/>
  <c r="K1564" i="1"/>
  <c r="L1564" i="1"/>
  <c r="N1564" i="1" s="1"/>
  <c r="M1564" i="1"/>
  <c r="O1564" i="1" s="1"/>
  <c r="J1495" i="1"/>
  <c r="K1495" i="1"/>
  <c r="L1495" i="1"/>
  <c r="N1495" i="1" s="1"/>
  <c r="M1495" i="1"/>
  <c r="O1495" i="1" s="1"/>
  <c r="J1496" i="1"/>
  <c r="K1496" i="1"/>
  <c r="L1496" i="1"/>
  <c r="N1496" i="1" s="1"/>
  <c r="M1496" i="1"/>
  <c r="O1496" i="1" s="1"/>
  <c r="J1483" i="1"/>
  <c r="K1483" i="1"/>
  <c r="L1483" i="1"/>
  <c r="N1483" i="1" s="1"/>
  <c r="M1483" i="1"/>
  <c r="O1483" i="1" s="1"/>
  <c r="J1610" i="1"/>
  <c r="K1610" i="1"/>
  <c r="L1610" i="1"/>
  <c r="N1610" i="1" s="1"/>
  <c r="M1610" i="1"/>
  <c r="O1610" i="1" s="1"/>
  <c r="J1920" i="1"/>
  <c r="K1920" i="1"/>
  <c r="L1920" i="1"/>
  <c r="N1920" i="1" s="1"/>
  <c r="M1920" i="1"/>
  <c r="O1920" i="1" s="1"/>
  <c r="J1903" i="1"/>
  <c r="K1903" i="1"/>
  <c r="L1903" i="1"/>
  <c r="N1903" i="1" s="1"/>
  <c r="M1903" i="1"/>
  <c r="O1903" i="1" s="1"/>
  <c r="J1834" i="1"/>
  <c r="K1834" i="1"/>
  <c r="L1834" i="1"/>
  <c r="N1834" i="1" s="1"/>
  <c r="M1834" i="1"/>
  <c r="O1834" i="1" s="1"/>
  <c r="J1825" i="1"/>
  <c r="K1825" i="1"/>
  <c r="L1825" i="1"/>
  <c r="N1825" i="1" s="1"/>
  <c r="M1825" i="1"/>
  <c r="O1825" i="1" s="1"/>
  <c r="J1516" i="1"/>
  <c r="K1516" i="1"/>
  <c r="L1516" i="1"/>
  <c r="N1516" i="1" s="1"/>
  <c r="M1516" i="1"/>
  <c r="O1516" i="1" s="1"/>
  <c r="J1649" i="1"/>
  <c r="K1649" i="1"/>
  <c r="L1649" i="1"/>
  <c r="N1649" i="1" s="1"/>
  <c r="M1649" i="1"/>
  <c r="O1649" i="1" s="1"/>
  <c r="J1611" i="1"/>
  <c r="K1611" i="1"/>
  <c r="L1611" i="1"/>
  <c r="N1611" i="1" s="1"/>
  <c r="M1611" i="1"/>
  <c r="O1611" i="1" s="1"/>
  <c r="J1686" i="1"/>
  <c r="K1686" i="1"/>
  <c r="L1686" i="1"/>
  <c r="N1686" i="1" s="1"/>
  <c r="M1686" i="1"/>
  <c r="O1686" i="1" s="1"/>
  <c r="J1672" i="1"/>
  <c r="K1672" i="1"/>
  <c r="L1672" i="1"/>
  <c r="N1672" i="1" s="1"/>
  <c r="M1672" i="1"/>
  <c r="O1672" i="1" s="1"/>
  <c r="J1743" i="1"/>
  <c r="K1743" i="1"/>
  <c r="L1743" i="1"/>
  <c r="N1743" i="1" s="1"/>
  <c r="M1743" i="1"/>
  <c r="O1743" i="1" s="1"/>
  <c r="J1482" i="1"/>
  <c r="K1482" i="1"/>
  <c r="L1482" i="1"/>
  <c r="N1482" i="1" s="1"/>
  <c r="M1482" i="1"/>
  <c r="O1482" i="1" s="1"/>
  <c r="J1583" i="1"/>
  <c r="K1583" i="1"/>
  <c r="L1583" i="1"/>
  <c r="N1583" i="1" s="1"/>
  <c r="M1583" i="1"/>
  <c r="O1583" i="1" s="1"/>
  <c r="J1525" i="1"/>
  <c r="K1525" i="1"/>
  <c r="L1525" i="1"/>
  <c r="N1525" i="1" s="1"/>
  <c r="M1525" i="1"/>
  <c r="O1525" i="1" s="1"/>
  <c r="J1763" i="1"/>
  <c r="K1763" i="1"/>
  <c r="L1763" i="1"/>
  <c r="N1763" i="1" s="1"/>
  <c r="M1763" i="1"/>
  <c r="O1763" i="1" s="1"/>
  <c r="J1319" i="1"/>
  <c r="K1319" i="1"/>
  <c r="L1319" i="1"/>
  <c r="N1319" i="1" s="1"/>
  <c r="M1319" i="1"/>
  <c r="O1319" i="1" s="1"/>
  <c r="J1321" i="1"/>
  <c r="K1321" i="1"/>
  <c r="L1321" i="1"/>
  <c r="N1321" i="1" s="1"/>
  <c r="M1321" i="1"/>
  <c r="O1321" i="1" s="1"/>
  <c r="J1751" i="1"/>
  <c r="K1751" i="1"/>
  <c r="L1751" i="1"/>
  <c r="N1751" i="1" s="1"/>
  <c r="M1751" i="1"/>
  <c r="O1751" i="1" s="1"/>
  <c r="J1921" i="1"/>
  <c r="K1921" i="1"/>
  <c r="L1921" i="1"/>
  <c r="N1921" i="1" s="1"/>
  <c r="M1921" i="1"/>
  <c r="O1921" i="1" s="1"/>
  <c r="J1925" i="1"/>
  <c r="K1925" i="1"/>
  <c r="L1925" i="1"/>
  <c r="N1925" i="1" s="1"/>
  <c r="M1925" i="1"/>
  <c r="O1925" i="1" s="1"/>
  <c r="J1933" i="1"/>
  <c r="K1933" i="1"/>
  <c r="L1933" i="1"/>
  <c r="N1933" i="1" s="1"/>
  <c r="M1933" i="1"/>
  <c r="O1933" i="1" s="1"/>
  <c r="J1597" i="1"/>
  <c r="K1597" i="1"/>
  <c r="L1597" i="1"/>
  <c r="N1597" i="1" s="1"/>
  <c r="M1597" i="1"/>
  <c r="O1597" i="1" s="1"/>
  <c r="J1752" i="1"/>
  <c r="K1752" i="1"/>
  <c r="L1752" i="1"/>
  <c r="N1752" i="1" s="1"/>
  <c r="M1752" i="1"/>
  <c r="O1752" i="1" s="1"/>
  <c r="J1612" i="1"/>
  <c r="K1612" i="1"/>
  <c r="L1612" i="1"/>
  <c r="N1612" i="1" s="1"/>
  <c r="M1612" i="1"/>
  <c r="O1612" i="1" s="1"/>
  <c r="J1526" i="1"/>
  <c r="K1526" i="1"/>
  <c r="L1526" i="1"/>
  <c r="N1526" i="1" s="1"/>
  <c r="M1526" i="1"/>
  <c r="O1526" i="1" s="1"/>
  <c r="J1418" i="1"/>
  <c r="K1418" i="1"/>
  <c r="L1418" i="1"/>
  <c r="N1418" i="1" s="1"/>
  <c r="M1418" i="1"/>
  <c r="O1418" i="1" s="1"/>
  <c r="J1410" i="1"/>
  <c r="K1410" i="1"/>
  <c r="L1410" i="1"/>
  <c r="N1410" i="1" s="1"/>
  <c r="M1410" i="1"/>
  <c r="O1410" i="1" s="1"/>
  <c r="J1432" i="1"/>
  <c r="K1432" i="1"/>
  <c r="L1432" i="1"/>
  <c r="N1432" i="1" s="1"/>
  <c r="M1432" i="1"/>
  <c r="O1432" i="1" s="1"/>
  <c r="J1419" i="1"/>
  <c r="K1419" i="1"/>
  <c r="L1419" i="1"/>
  <c r="N1419" i="1" s="1"/>
  <c r="M1419" i="1"/>
  <c r="O1419" i="1" s="1"/>
  <c r="J1462" i="1"/>
  <c r="K1462" i="1"/>
  <c r="L1462" i="1"/>
  <c r="N1462" i="1" s="1"/>
  <c r="M1462" i="1"/>
  <c r="O1462" i="1" s="1"/>
  <c r="J1372" i="1"/>
  <c r="K1372" i="1"/>
  <c r="L1372" i="1"/>
  <c r="N1372" i="1" s="1"/>
  <c r="M1372" i="1"/>
  <c r="O1372" i="1" s="1"/>
  <c r="J1455" i="1"/>
  <c r="K1455" i="1"/>
  <c r="L1455" i="1"/>
  <c r="N1455" i="1" s="1"/>
  <c r="M1455" i="1"/>
  <c r="O1455" i="1" s="1"/>
  <c r="J1456" i="1"/>
  <c r="K1456" i="1"/>
  <c r="L1456" i="1"/>
  <c r="N1456" i="1" s="1"/>
  <c r="M1456" i="1"/>
  <c r="O1456" i="1" s="1"/>
  <c r="J2025" i="1"/>
  <c r="K2025" i="1"/>
  <c r="L2025" i="1"/>
  <c r="N2025" i="1" s="1"/>
  <c r="M2025" i="1"/>
  <c r="O2025" i="1" s="1"/>
  <c r="J2026" i="1"/>
  <c r="K2026" i="1"/>
  <c r="L2026" i="1"/>
  <c r="N2026" i="1" s="1"/>
  <c r="M2026" i="1"/>
  <c r="O2026" i="1" s="1"/>
  <c r="J2027" i="1"/>
  <c r="K2027" i="1"/>
  <c r="L2027" i="1"/>
  <c r="N2027" i="1" s="1"/>
  <c r="M2027" i="1"/>
  <c r="O2027" i="1" s="1"/>
  <c r="J2028" i="1"/>
  <c r="K2028" i="1"/>
  <c r="L2028" i="1"/>
  <c r="N2028" i="1" s="1"/>
  <c r="M2028" i="1"/>
  <c r="O2028" i="1" s="1"/>
  <c r="J2029" i="1"/>
  <c r="K2029" i="1"/>
  <c r="L2029" i="1"/>
  <c r="N2029" i="1" s="1"/>
  <c r="M2029" i="1"/>
  <c r="O2029" i="1" s="1"/>
  <c r="J2030" i="1"/>
  <c r="K2030" i="1"/>
  <c r="L2030" i="1"/>
  <c r="N2030" i="1" s="1"/>
  <c r="M2030" i="1"/>
  <c r="O2030" i="1" s="1"/>
  <c r="J2040" i="1"/>
  <c r="K2040" i="1"/>
  <c r="L2040" i="1"/>
  <c r="N2040" i="1" s="1"/>
  <c r="M2040" i="1"/>
  <c r="O2040" i="1" s="1"/>
  <c r="J2067" i="1"/>
  <c r="K2067" i="1"/>
  <c r="L2067" i="1"/>
  <c r="N2067" i="1" s="1"/>
  <c r="M2067" i="1"/>
  <c r="O2067" i="1" s="1"/>
  <c r="J2068" i="1"/>
  <c r="K2068" i="1"/>
  <c r="L2068" i="1"/>
  <c r="N2068" i="1" s="1"/>
  <c r="M2068" i="1"/>
  <c r="O2068" i="1" s="1"/>
  <c r="J2034" i="1"/>
  <c r="K2034" i="1"/>
  <c r="L2034" i="1"/>
  <c r="N2034" i="1" s="1"/>
  <c r="M2034" i="1"/>
  <c r="O2034" i="1" s="1"/>
  <c r="J2035" i="1"/>
  <c r="K2035" i="1"/>
  <c r="L2035" i="1"/>
  <c r="N2035" i="1" s="1"/>
  <c r="M2035" i="1"/>
  <c r="O2035" i="1" s="1"/>
  <c r="J2069" i="1"/>
  <c r="K2069" i="1"/>
  <c r="L2069" i="1"/>
  <c r="N2069" i="1" s="1"/>
  <c r="M2069" i="1"/>
  <c r="O2069" i="1" s="1"/>
  <c r="J2070" i="1"/>
  <c r="K2070" i="1"/>
  <c r="L2070" i="1"/>
  <c r="N2070" i="1" s="1"/>
  <c r="M2070" i="1"/>
  <c r="O2070" i="1" s="1"/>
  <c r="J2071" i="1"/>
  <c r="K2071" i="1"/>
  <c r="L2071" i="1"/>
  <c r="N2071" i="1" s="1"/>
  <c r="M2071" i="1"/>
  <c r="O2071" i="1" s="1"/>
  <c r="J2072" i="1"/>
  <c r="K2072" i="1"/>
  <c r="L2072" i="1"/>
  <c r="N2072" i="1" s="1"/>
  <c r="M2072" i="1"/>
  <c r="O2072" i="1" s="1"/>
  <c r="J2077" i="1"/>
  <c r="K2077" i="1"/>
  <c r="L2077" i="1"/>
  <c r="N2077" i="1" s="1"/>
  <c r="M2077" i="1"/>
  <c r="O2077" i="1" s="1"/>
  <c r="J2041" i="1"/>
  <c r="K2041" i="1"/>
  <c r="L2041" i="1"/>
  <c r="N2041" i="1" s="1"/>
  <c r="M2041" i="1"/>
  <c r="O2041" i="1" s="1"/>
  <c r="J2042" i="1"/>
  <c r="K2042" i="1"/>
  <c r="L2042" i="1"/>
  <c r="N2042" i="1" s="1"/>
  <c r="M2042" i="1"/>
  <c r="O2042" i="1" s="1"/>
  <c r="J2043" i="1"/>
  <c r="K2043" i="1"/>
  <c r="L2043" i="1"/>
  <c r="N2043" i="1" s="1"/>
  <c r="M2043" i="1"/>
  <c r="O2043" i="1" s="1"/>
  <c r="J2044" i="1"/>
  <c r="K2044" i="1"/>
  <c r="L2044" i="1"/>
  <c r="N2044" i="1" s="1"/>
  <c r="M2044" i="1"/>
  <c r="O2044" i="1" s="1"/>
  <c r="J2045" i="1"/>
  <c r="K2045" i="1"/>
  <c r="L2045" i="1"/>
  <c r="N2045" i="1" s="1"/>
  <c r="M2045" i="1"/>
  <c r="O2045" i="1" s="1"/>
  <c r="J2046" i="1"/>
  <c r="K2046" i="1"/>
  <c r="L2046" i="1"/>
  <c r="N2046" i="1" s="1"/>
  <c r="M2046" i="1"/>
  <c r="O2046" i="1" s="1"/>
  <c r="J2047" i="1"/>
  <c r="K2047" i="1"/>
  <c r="L2047" i="1"/>
  <c r="N2047" i="1" s="1"/>
  <c r="M2047" i="1"/>
  <c r="O2047" i="1" s="1"/>
  <c r="J2050" i="1"/>
  <c r="K2050" i="1"/>
  <c r="L2050" i="1"/>
  <c r="N2050" i="1" s="1"/>
  <c r="M2050" i="1"/>
  <c r="O2050" i="1" s="1"/>
  <c r="J2058" i="1"/>
  <c r="K2058" i="1"/>
  <c r="L2058" i="1"/>
  <c r="N2058" i="1" s="1"/>
  <c r="M2058" i="1"/>
  <c r="O2058" i="1" s="1"/>
  <c r="J2018" i="1"/>
  <c r="K2018" i="1"/>
  <c r="L2018" i="1"/>
  <c r="N2018" i="1" s="1"/>
  <c r="M2018" i="1"/>
  <c r="O2018" i="1" s="1"/>
  <c r="J2019" i="1"/>
  <c r="K2019" i="1"/>
  <c r="L2019" i="1"/>
  <c r="N2019" i="1" s="1"/>
  <c r="M2019" i="1"/>
  <c r="O2019" i="1" s="1"/>
  <c r="J1990" i="1"/>
  <c r="K1990" i="1"/>
  <c r="L1990" i="1"/>
  <c r="N1990" i="1" s="1"/>
  <c r="M1990" i="1"/>
  <c r="O1990" i="1" s="1"/>
  <c r="J1991" i="1"/>
  <c r="K1991" i="1"/>
  <c r="L1991" i="1"/>
  <c r="N1991" i="1" s="1"/>
  <c r="M1991" i="1"/>
  <c r="O1991" i="1" s="1"/>
  <c r="J1992" i="1"/>
  <c r="K1992" i="1"/>
  <c r="L1992" i="1"/>
  <c r="N1992" i="1" s="1"/>
  <c r="M1992" i="1"/>
  <c r="O1992" i="1" s="1"/>
  <c r="J1993" i="1"/>
  <c r="K1993" i="1"/>
  <c r="L1993" i="1"/>
  <c r="N1993" i="1" s="1"/>
  <c r="M1993" i="1"/>
  <c r="O1993" i="1" s="1"/>
  <c r="J1994" i="1"/>
  <c r="K1994" i="1"/>
  <c r="L1994" i="1"/>
  <c r="N1994" i="1" s="1"/>
  <c r="M1994" i="1"/>
  <c r="O1994" i="1" s="1"/>
  <c r="J2051" i="1"/>
  <c r="K2051" i="1"/>
  <c r="L2051" i="1"/>
  <c r="N2051" i="1" s="1"/>
  <c r="M2051" i="1"/>
  <c r="O2051" i="1" s="1"/>
  <c r="J1971" i="1"/>
  <c r="K1971" i="1"/>
  <c r="L1971" i="1"/>
  <c r="N1971" i="1" s="1"/>
  <c r="M1971" i="1"/>
  <c r="O1971" i="1" s="1"/>
  <c r="J1972" i="1"/>
  <c r="K1972" i="1"/>
  <c r="L1972" i="1"/>
  <c r="N1972" i="1" s="1"/>
  <c r="M1972" i="1"/>
  <c r="O1972" i="1" s="1"/>
  <c r="J2052" i="1"/>
  <c r="K2052" i="1"/>
  <c r="L2052" i="1"/>
  <c r="N2052" i="1" s="1"/>
  <c r="M2052" i="1"/>
  <c r="O2052" i="1" s="1"/>
  <c r="J1939" i="1"/>
  <c r="K1939" i="1"/>
  <c r="L1939" i="1"/>
  <c r="N1939" i="1" s="1"/>
  <c r="M1939" i="1"/>
  <c r="O1939" i="1" s="1"/>
  <c r="J1807" i="1"/>
  <c r="K1807" i="1"/>
  <c r="L1807" i="1"/>
  <c r="N1807" i="1" s="1"/>
  <c r="M1807" i="1"/>
  <c r="O1807" i="1" s="1"/>
  <c r="J2053" i="1"/>
  <c r="K2053" i="1"/>
  <c r="L2053" i="1"/>
  <c r="N2053" i="1" s="1"/>
  <c r="M2053" i="1"/>
  <c r="O2053" i="1" s="1"/>
  <c r="J1995" i="1"/>
  <c r="K1995" i="1"/>
  <c r="L1995" i="1"/>
  <c r="N1995" i="1" s="1"/>
  <c r="M1995" i="1"/>
  <c r="O1995" i="1" s="1"/>
  <c r="J2020" i="1"/>
  <c r="K2020" i="1"/>
  <c r="L2020" i="1"/>
  <c r="N2020" i="1" s="1"/>
  <c r="M2020" i="1"/>
  <c r="O2020" i="1" s="1"/>
  <c r="J1996" i="1"/>
  <c r="K1996" i="1"/>
  <c r="L1996" i="1"/>
  <c r="N1996" i="1" s="1"/>
  <c r="M1996" i="1"/>
  <c r="O1996" i="1" s="1"/>
  <c r="J1291" i="1"/>
  <c r="K1291" i="1"/>
  <c r="L1291" i="1"/>
  <c r="N1291" i="1" s="1"/>
  <c r="M1291" i="1"/>
  <c r="O1291" i="1" s="1"/>
  <c r="J2002" i="1"/>
  <c r="K2002" i="1"/>
  <c r="L2002" i="1"/>
  <c r="N2002" i="1" s="1"/>
  <c r="M2002" i="1"/>
  <c r="O2002" i="1" s="1"/>
  <c r="J2012" i="1"/>
  <c r="K2012" i="1"/>
  <c r="L2012" i="1"/>
  <c r="N2012" i="1" s="1"/>
  <c r="M2012" i="1"/>
  <c r="O2012" i="1" s="1"/>
  <c r="J2013" i="1"/>
  <c r="K2013" i="1"/>
  <c r="L2013" i="1"/>
  <c r="N2013" i="1" s="1"/>
  <c r="M2013" i="1"/>
  <c r="O2013" i="1" s="1"/>
  <c r="J2003" i="1"/>
  <c r="K2003" i="1"/>
  <c r="L2003" i="1"/>
  <c r="N2003" i="1" s="1"/>
  <c r="M2003" i="1"/>
  <c r="O2003" i="1" s="1"/>
  <c r="J2014" i="1"/>
  <c r="K2014" i="1"/>
  <c r="L2014" i="1"/>
  <c r="N2014" i="1" s="1"/>
  <c r="M2014" i="1"/>
  <c r="O2014" i="1" s="1"/>
  <c r="J2004" i="1"/>
  <c r="K2004" i="1"/>
  <c r="L2004" i="1"/>
  <c r="N2004" i="1" s="1"/>
  <c r="M2004" i="1"/>
  <c r="O2004" i="1" s="1"/>
  <c r="J2001" i="1"/>
  <c r="K2001" i="1"/>
  <c r="L2001" i="1"/>
  <c r="N2001" i="1" s="1"/>
  <c r="M2001" i="1"/>
  <c r="O2001" i="1" s="1"/>
  <c r="J1997" i="1"/>
  <c r="K1997" i="1"/>
  <c r="L1997" i="1"/>
  <c r="N1997" i="1" s="1"/>
  <c r="M1997" i="1"/>
  <c r="O1997" i="1" s="1"/>
  <c r="J1998" i="1"/>
  <c r="K1998" i="1"/>
  <c r="L1998" i="1"/>
  <c r="N1998" i="1" s="1"/>
  <c r="M1998" i="1"/>
  <c r="O1998" i="1" s="1"/>
  <c r="J2059" i="1"/>
  <c r="K2059" i="1"/>
  <c r="L2059" i="1"/>
  <c r="N2059" i="1" s="1"/>
  <c r="M2059" i="1"/>
  <c r="O2059" i="1" s="1"/>
  <c r="J1826" i="1"/>
  <c r="K1826" i="1"/>
  <c r="L1826" i="1"/>
  <c r="N1826" i="1" s="1"/>
  <c r="M1826" i="1"/>
  <c r="O1826" i="1" s="1"/>
  <c r="J1827" i="1"/>
  <c r="K1827" i="1"/>
  <c r="L1827" i="1"/>
  <c r="N1827" i="1" s="1"/>
  <c r="M1827" i="1"/>
  <c r="O1827" i="1" s="1"/>
  <c r="J1828" i="1"/>
  <c r="K1828" i="1"/>
  <c r="L1828" i="1"/>
  <c r="N1828" i="1" s="1"/>
  <c r="M1828" i="1"/>
  <c r="O1828" i="1" s="1"/>
  <c r="J1922" i="1"/>
  <c r="K1922" i="1"/>
  <c r="L1922" i="1"/>
  <c r="N1922" i="1" s="1"/>
  <c r="M1922" i="1"/>
  <c r="O1922" i="1" s="1"/>
  <c r="J1926" i="1"/>
  <c r="K1926" i="1"/>
  <c r="L1926" i="1"/>
  <c r="N1926" i="1" s="1"/>
  <c r="M1926" i="1"/>
  <c r="O1926" i="1" s="1"/>
  <c r="J1934" i="1"/>
  <c r="K1934" i="1"/>
  <c r="L1934" i="1"/>
  <c r="N1934" i="1" s="1"/>
  <c r="M1934" i="1"/>
  <c r="O1934" i="1" s="1"/>
  <c r="J1935" i="1"/>
  <c r="K1935" i="1"/>
  <c r="L1935" i="1"/>
  <c r="N1935" i="1" s="1"/>
  <c r="M1935" i="1"/>
  <c r="O1935" i="1" s="1"/>
  <c r="J1936" i="1"/>
  <c r="K1936" i="1"/>
  <c r="L1936" i="1"/>
  <c r="N1936" i="1" s="1"/>
  <c r="M1936" i="1"/>
  <c r="O1936" i="1" s="1"/>
  <c r="J1940" i="1"/>
  <c r="K1940" i="1"/>
  <c r="L1940" i="1"/>
  <c r="N1940" i="1" s="1"/>
  <c r="M1940" i="1"/>
  <c r="O1940" i="1" s="1"/>
  <c r="J1941" i="1"/>
  <c r="K1941" i="1"/>
  <c r="L1941" i="1"/>
  <c r="N1941" i="1" s="1"/>
  <c r="M1941" i="1"/>
  <c r="O1941" i="1" s="1"/>
  <c r="J1942" i="1"/>
  <c r="K1942" i="1"/>
  <c r="L1942" i="1"/>
  <c r="N1942" i="1" s="1"/>
  <c r="M1942" i="1"/>
  <c r="O1942" i="1" s="1"/>
  <c r="J1970" i="1"/>
  <c r="K1970" i="1"/>
  <c r="L1970" i="1"/>
  <c r="N1970" i="1" s="1"/>
  <c r="M1970" i="1"/>
  <c r="O1970" i="1" s="1"/>
  <c r="J1973" i="1"/>
  <c r="K1973" i="1"/>
  <c r="L1973" i="1"/>
  <c r="N1973" i="1" s="1"/>
  <c r="M1973" i="1"/>
  <c r="O1973" i="1" s="1"/>
  <c r="J1974" i="1"/>
  <c r="K1974" i="1"/>
  <c r="L1974" i="1"/>
  <c r="N1974" i="1" s="1"/>
  <c r="M1974" i="1"/>
  <c r="O1974" i="1" s="1"/>
  <c r="J1975" i="1"/>
  <c r="K1975" i="1"/>
  <c r="L1975" i="1"/>
  <c r="N1975" i="1" s="1"/>
  <c r="M1975" i="1"/>
  <c r="O1975" i="1" s="1"/>
  <c r="J1976" i="1"/>
  <c r="K1976" i="1"/>
  <c r="L1976" i="1"/>
  <c r="N1976" i="1" s="1"/>
  <c r="M1976" i="1"/>
  <c r="O1976" i="1" s="1"/>
  <c r="J1977" i="1"/>
  <c r="K1977" i="1"/>
  <c r="L1977" i="1"/>
  <c r="N1977" i="1" s="1"/>
  <c r="M1977" i="1"/>
  <c r="O1977" i="1" s="1"/>
  <c r="J2005" i="1"/>
  <c r="K2005" i="1"/>
  <c r="L2005" i="1"/>
  <c r="N2005" i="1" s="1"/>
  <c r="M2005" i="1"/>
  <c r="O2005" i="1" s="1"/>
  <c r="J2006" i="1"/>
  <c r="K2006" i="1"/>
  <c r="L2006" i="1"/>
  <c r="N2006" i="1" s="1"/>
  <c r="M2006" i="1"/>
  <c r="O2006" i="1" s="1"/>
  <c r="J2007" i="1"/>
  <c r="K2007" i="1"/>
  <c r="L2007" i="1"/>
  <c r="N2007" i="1" s="1"/>
  <c r="M2007" i="1"/>
  <c r="O2007" i="1" s="1"/>
  <c r="J2008" i="1"/>
  <c r="K2008" i="1"/>
  <c r="L2008" i="1"/>
  <c r="N2008" i="1" s="1"/>
  <c r="M2008" i="1"/>
  <c r="O2008" i="1" s="1"/>
  <c r="J2009" i="1"/>
  <c r="K2009" i="1"/>
  <c r="L2009" i="1"/>
  <c r="N2009" i="1" s="1"/>
  <c r="M2009" i="1"/>
  <c r="O2009" i="1" s="1"/>
  <c r="J2021" i="1"/>
  <c r="K2021" i="1"/>
  <c r="L2021" i="1"/>
  <c r="N2021" i="1" s="1"/>
  <c r="M2021" i="1"/>
  <c r="O2021" i="1" s="1"/>
  <c r="J2048" i="1"/>
  <c r="K2048" i="1"/>
  <c r="L2048" i="1"/>
  <c r="N2048" i="1" s="1"/>
  <c r="M2048" i="1"/>
  <c r="O2048" i="1" s="1"/>
  <c r="J2049" i="1"/>
  <c r="K2049" i="1"/>
  <c r="L2049" i="1"/>
  <c r="N2049" i="1" s="1"/>
  <c r="M2049" i="1"/>
  <c r="O2049" i="1" s="1"/>
  <c r="J2054" i="1"/>
  <c r="K2054" i="1"/>
  <c r="L2054" i="1"/>
  <c r="N2054" i="1" s="1"/>
  <c r="M2054" i="1"/>
  <c r="O2054" i="1" s="1"/>
  <c r="J2055" i="1"/>
  <c r="K2055" i="1"/>
  <c r="L2055" i="1"/>
  <c r="N2055" i="1" s="1"/>
  <c r="M2055" i="1"/>
  <c r="O2055" i="1" s="1"/>
  <c r="J2056" i="1"/>
  <c r="K2056" i="1"/>
  <c r="L2056" i="1"/>
  <c r="N2056" i="1" s="1"/>
  <c r="M2056" i="1"/>
  <c r="O2056" i="1" s="1"/>
  <c r="J2060" i="1"/>
  <c r="K2060" i="1"/>
  <c r="L2060" i="1"/>
  <c r="N2060" i="1" s="1"/>
  <c r="M2060" i="1"/>
  <c r="O2060" i="1" s="1"/>
  <c r="J2015" i="1"/>
  <c r="K2015" i="1"/>
  <c r="L2015" i="1"/>
  <c r="N2015" i="1" s="1"/>
  <c r="M2015" i="1"/>
  <c r="O2015" i="1" s="1"/>
  <c r="J1978" i="1"/>
  <c r="K1978" i="1"/>
  <c r="L1978" i="1"/>
  <c r="N1978" i="1" s="1"/>
  <c r="M1978" i="1"/>
  <c r="O1978" i="1" s="1"/>
  <c r="J1943" i="1"/>
  <c r="K1943" i="1"/>
  <c r="L1943" i="1"/>
  <c r="N1943" i="1" s="1"/>
  <c r="M1943" i="1"/>
  <c r="O1943" i="1" s="1"/>
  <c r="J1944" i="1"/>
  <c r="K1944" i="1"/>
  <c r="L1944" i="1"/>
  <c r="N1944" i="1" s="1"/>
  <c r="M1944" i="1"/>
  <c r="O1944" i="1" s="1"/>
  <c r="J1947" i="1"/>
  <c r="K1947" i="1"/>
  <c r="L1947" i="1"/>
  <c r="N1947" i="1" s="1"/>
  <c r="M1947" i="1"/>
  <c r="O1947" i="1" s="1"/>
  <c r="J1948" i="1"/>
  <c r="K1948" i="1"/>
  <c r="L1948" i="1"/>
  <c r="N1948" i="1" s="1"/>
  <c r="M1948" i="1"/>
  <c r="O1948" i="1" s="1"/>
  <c r="J1949" i="1"/>
  <c r="K1949" i="1"/>
  <c r="L1949" i="1"/>
  <c r="N1949" i="1" s="1"/>
  <c r="M1949" i="1"/>
  <c r="O1949" i="1" s="1"/>
  <c r="J1950" i="1"/>
  <c r="K1950" i="1"/>
  <c r="L1950" i="1"/>
  <c r="N1950" i="1" s="1"/>
  <c r="M1950" i="1"/>
  <c r="O1950" i="1" s="1"/>
  <c r="J1959" i="1"/>
  <c r="K1959" i="1"/>
  <c r="L1959" i="1"/>
  <c r="N1959" i="1" s="1"/>
  <c r="M1959" i="1"/>
  <c r="O1959" i="1" s="1"/>
  <c r="J1960" i="1"/>
  <c r="K1960" i="1"/>
  <c r="L1960" i="1"/>
  <c r="N1960" i="1" s="1"/>
  <c r="M1960" i="1"/>
  <c r="O1960" i="1" s="1"/>
  <c r="J1967" i="1"/>
  <c r="K1967" i="1"/>
  <c r="L1967" i="1"/>
  <c r="N1967" i="1" s="1"/>
  <c r="M1967" i="1"/>
  <c r="O1967" i="1" s="1"/>
  <c r="J1954" i="1"/>
  <c r="K1954" i="1"/>
  <c r="L1954" i="1"/>
  <c r="N1954" i="1" s="1"/>
  <c r="M1954" i="1"/>
  <c r="O1954" i="1" s="1"/>
  <c r="J1598" i="1"/>
  <c r="K1598" i="1"/>
  <c r="L1598" i="1"/>
  <c r="N1598" i="1" s="1"/>
  <c r="M1598" i="1"/>
  <c r="O1598" i="1" s="1"/>
  <c r="S1598" i="1"/>
  <c r="J1773" i="1"/>
  <c r="K1773" i="1"/>
  <c r="L1773" i="1"/>
  <c r="N1773" i="1" s="1"/>
  <c r="M1773" i="1"/>
  <c r="O1773" i="1" s="1"/>
  <c r="J1956" i="1"/>
  <c r="K1956" i="1"/>
  <c r="L1956" i="1"/>
  <c r="N1956" i="1" s="1"/>
  <c r="M1956" i="1"/>
  <c r="O1956" i="1" s="1"/>
  <c r="J1955" i="1"/>
  <c r="K1955" i="1"/>
  <c r="L1955" i="1"/>
  <c r="N1955" i="1" s="1"/>
  <c r="M1955" i="1"/>
  <c r="O1955" i="1" s="1"/>
  <c r="J1857" i="1"/>
  <c r="K1857" i="1"/>
  <c r="L1857" i="1"/>
  <c r="N1857" i="1" s="1"/>
  <c r="M1857" i="1"/>
  <c r="O1857" i="1" s="1"/>
  <c r="J1951" i="1"/>
  <c r="K1951" i="1"/>
  <c r="L1951" i="1"/>
  <c r="N1951" i="1" s="1"/>
  <c r="M1951" i="1"/>
  <c r="O1951" i="1" s="1"/>
  <c r="J1808" i="1"/>
  <c r="K1808" i="1"/>
  <c r="L1808" i="1"/>
  <c r="N1808" i="1" s="1"/>
  <c r="M1808" i="1"/>
  <c r="O1808" i="1" s="1"/>
  <c r="J1859" i="1"/>
  <c r="K1859" i="1"/>
  <c r="L1859" i="1"/>
  <c r="N1859" i="1" s="1"/>
  <c r="M1859" i="1"/>
  <c r="O1859" i="1" s="1"/>
  <c r="J1957" i="1"/>
  <c r="K1957" i="1"/>
  <c r="L1957" i="1"/>
  <c r="N1957" i="1" s="1"/>
  <c r="M1957" i="1"/>
  <c r="O1957" i="1" s="1"/>
  <c r="J1694" i="1"/>
  <c r="K1694" i="1"/>
  <c r="L1694" i="1"/>
  <c r="N1694" i="1" s="1"/>
  <c r="M1694" i="1"/>
  <c r="O1694" i="1" s="1"/>
  <c r="J1596" i="1"/>
  <c r="K1596" i="1"/>
  <c r="L1596" i="1"/>
  <c r="N1596" i="1" s="1"/>
  <c r="M1596" i="1"/>
  <c r="O1596" i="1" s="1"/>
  <c r="K1750" i="1"/>
  <c r="L1750" i="1"/>
  <c r="N1750" i="1" s="1"/>
  <c r="M1750" i="1"/>
  <c r="O1750" i="1" s="1"/>
  <c r="J1670" i="1"/>
  <c r="K1670" i="1"/>
  <c r="L1670" i="1"/>
  <c r="N1670" i="1" s="1"/>
  <c r="M1670" i="1"/>
  <c r="O1670" i="1" s="1"/>
  <c r="J1695" i="1"/>
  <c r="K1695" i="1"/>
  <c r="L1695" i="1"/>
  <c r="N1695" i="1" s="1"/>
  <c r="M1695" i="1"/>
  <c r="O1695" i="1" s="1"/>
  <c r="J1684" i="1"/>
  <c r="K1684" i="1"/>
  <c r="L1684" i="1"/>
  <c r="N1684" i="1" s="1"/>
  <c r="M1684" i="1"/>
  <c r="O1684" i="1" s="1"/>
  <c r="J1851" i="1"/>
  <c r="K1851" i="1"/>
  <c r="L1851" i="1"/>
  <c r="N1851" i="1" s="1"/>
  <c r="M1851" i="1"/>
  <c r="O1851" i="1" s="1"/>
  <c r="J1852" i="1"/>
  <c r="K1852" i="1"/>
  <c r="L1852" i="1"/>
  <c r="N1852" i="1" s="1"/>
  <c r="M1852" i="1"/>
  <c r="O1852" i="1" s="1"/>
  <c r="J1853" i="1"/>
  <c r="K1853" i="1"/>
  <c r="L1853" i="1"/>
  <c r="N1853" i="1" s="1"/>
  <c r="M1853" i="1"/>
  <c r="O1853" i="1" s="1"/>
  <c r="J1868" i="1"/>
  <c r="K1868" i="1"/>
  <c r="L1868" i="1"/>
  <c r="N1868" i="1" s="1"/>
  <c r="M1868" i="1"/>
  <c r="O1868" i="1" s="1"/>
  <c r="J1870" i="1"/>
  <c r="K1870" i="1"/>
  <c r="L1870" i="1"/>
  <c r="N1870" i="1" s="1"/>
  <c r="M1870" i="1"/>
  <c r="O1870" i="1" s="1"/>
  <c r="J1872" i="1"/>
  <c r="K1872" i="1"/>
  <c r="L1872" i="1"/>
  <c r="N1872" i="1" s="1"/>
  <c r="M1872" i="1"/>
  <c r="O1872" i="1" s="1"/>
  <c r="J1895" i="1"/>
  <c r="K1895" i="1"/>
  <c r="L1895" i="1"/>
  <c r="N1895" i="1" s="1"/>
  <c r="M1895" i="1"/>
  <c r="O1895" i="1" s="1"/>
  <c r="J1858" i="1"/>
  <c r="K1858" i="1"/>
  <c r="L1858" i="1"/>
  <c r="N1858" i="1" s="1"/>
  <c r="M1858" i="1"/>
  <c r="O1858" i="1" s="1"/>
  <c r="J1896" i="1"/>
  <c r="K1896" i="1"/>
  <c r="L1896" i="1"/>
  <c r="N1896" i="1" s="1"/>
  <c r="M1896" i="1"/>
  <c r="O1896" i="1" s="1"/>
  <c r="J1897" i="1"/>
  <c r="K1897" i="1"/>
  <c r="L1897" i="1"/>
  <c r="N1897" i="1" s="1"/>
  <c r="M1897" i="1"/>
  <c r="O1897" i="1" s="1"/>
  <c r="J1902" i="1"/>
  <c r="K1902" i="1"/>
  <c r="L1902" i="1"/>
  <c r="N1902" i="1" s="1"/>
  <c r="M1902" i="1"/>
  <c r="O1902" i="1" s="1"/>
  <c r="J1918" i="1"/>
  <c r="K1918" i="1"/>
  <c r="L1918" i="1"/>
  <c r="N1918" i="1" s="1"/>
  <c r="M1918" i="1"/>
  <c r="O1918" i="1" s="1"/>
  <c r="J1863" i="1"/>
  <c r="K1863" i="1"/>
  <c r="L1863" i="1"/>
  <c r="N1863" i="1" s="1"/>
  <c r="M1863" i="1"/>
  <c r="O1863" i="1" s="1"/>
  <c r="J1864" i="1"/>
  <c r="K1864" i="1"/>
  <c r="L1864" i="1"/>
  <c r="N1864" i="1" s="1"/>
  <c r="M1864" i="1"/>
  <c r="O1864" i="1" s="1"/>
  <c r="J1919" i="1"/>
  <c r="K1919" i="1"/>
  <c r="L1919" i="1"/>
  <c r="N1919" i="1" s="1"/>
  <c r="M1919" i="1"/>
  <c r="O1919" i="1" s="1"/>
  <c r="J1866" i="1"/>
  <c r="K1866" i="1"/>
  <c r="L1866" i="1"/>
  <c r="N1866" i="1" s="1"/>
  <c r="M1866" i="1"/>
  <c r="O1866" i="1" s="1"/>
  <c r="J1867" i="1"/>
  <c r="K1867" i="1"/>
  <c r="L1867" i="1"/>
  <c r="N1867" i="1" s="1"/>
  <c r="M1867" i="1"/>
  <c r="O1867" i="1" s="1"/>
  <c r="J1928" i="1"/>
  <c r="K1928" i="1"/>
  <c r="L1928" i="1"/>
  <c r="N1928" i="1" s="1"/>
  <c r="M1928" i="1"/>
  <c r="O1928" i="1" s="1"/>
  <c r="J1869" i="1"/>
  <c r="K1869" i="1"/>
  <c r="L1869" i="1"/>
  <c r="N1869" i="1" s="1"/>
  <c r="M1869" i="1"/>
  <c r="O1869" i="1" s="1"/>
  <c r="J1871" i="1"/>
  <c r="K1871" i="1"/>
  <c r="L1871" i="1"/>
  <c r="N1871" i="1" s="1"/>
  <c r="M1871" i="1"/>
  <c r="O1871" i="1" s="1"/>
  <c r="J1882" i="1"/>
  <c r="K1882" i="1"/>
  <c r="L1882" i="1"/>
  <c r="N1882" i="1" s="1"/>
  <c r="M1882" i="1"/>
  <c r="O1882" i="1" s="1"/>
  <c r="J1883" i="1"/>
  <c r="K1883" i="1"/>
  <c r="L1883" i="1"/>
  <c r="N1883" i="1" s="1"/>
  <c r="M1883" i="1"/>
  <c r="O1883" i="1" s="1"/>
  <c r="J1884" i="1"/>
  <c r="K1884" i="1"/>
  <c r="L1884" i="1"/>
  <c r="N1884" i="1" s="1"/>
  <c r="M1884" i="1"/>
  <c r="O1884" i="1" s="1"/>
  <c r="J1885" i="1"/>
  <c r="K1885" i="1"/>
  <c r="L1885" i="1"/>
  <c r="N1885" i="1" s="1"/>
  <c r="M1885" i="1"/>
  <c r="O1885" i="1" s="1"/>
  <c r="J1894" i="1"/>
  <c r="K1894" i="1"/>
  <c r="L1894" i="1"/>
  <c r="N1894" i="1" s="1"/>
  <c r="M1894" i="1"/>
  <c r="O1894" i="1" s="1"/>
  <c r="J1952" i="1"/>
  <c r="K1952" i="1"/>
  <c r="L1952" i="1"/>
  <c r="N1952" i="1" s="1"/>
  <c r="M1952" i="1"/>
  <c r="O1952" i="1" s="1"/>
  <c r="J1953" i="1"/>
  <c r="K1953" i="1"/>
  <c r="L1953" i="1"/>
  <c r="N1953" i="1" s="1"/>
  <c r="M1953" i="1"/>
  <c r="O1953" i="1" s="1"/>
  <c r="J201" i="1"/>
  <c r="K201" i="1"/>
  <c r="L201" i="1"/>
  <c r="N201" i="1" s="1"/>
  <c r="M201" i="1"/>
  <c r="O201" i="1" s="1"/>
  <c r="J1898" i="1"/>
  <c r="K1898" i="1"/>
  <c r="L1898" i="1"/>
  <c r="N1898" i="1" s="1"/>
  <c r="M1898" i="1"/>
  <c r="O1898" i="1" s="1"/>
  <c r="J1899" i="1"/>
  <c r="K1899" i="1"/>
  <c r="L1899" i="1"/>
  <c r="N1899" i="1" s="1"/>
  <c r="M1899" i="1"/>
  <c r="O1899" i="1" s="1"/>
  <c r="J1900" i="1"/>
  <c r="K1900" i="1"/>
  <c r="L1900" i="1"/>
  <c r="N1900" i="1" s="1"/>
  <c r="M1900" i="1"/>
  <c r="O1900" i="1" s="1"/>
  <c r="J1901" i="1"/>
  <c r="K1901" i="1"/>
  <c r="L1901" i="1"/>
  <c r="N1901" i="1" s="1"/>
  <c r="M1901" i="1"/>
  <c r="O1901" i="1" s="1"/>
  <c r="J1908" i="1"/>
  <c r="K1908" i="1"/>
  <c r="L1908" i="1"/>
  <c r="N1908" i="1" s="1"/>
  <c r="M1908" i="1"/>
  <c r="O1908" i="1" s="1"/>
  <c r="J1909" i="1"/>
  <c r="K1909" i="1"/>
  <c r="L1909" i="1"/>
  <c r="N1909" i="1" s="1"/>
  <c r="M1909" i="1"/>
  <c r="O1909" i="1" s="1"/>
  <c r="J1910" i="1"/>
  <c r="K1910" i="1"/>
  <c r="L1910" i="1"/>
  <c r="N1910" i="1" s="1"/>
  <c r="M1910" i="1"/>
  <c r="O1910" i="1" s="1"/>
  <c r="J1911" i="1"/>
  <c r="K1911" i="1"/>
  <c r="L1911" i="1"/>
  <c r="N1911" i="1" s="1"/>
  <c r="M1911" i="1"/>
  <c r="O1911" i="1" s="1"/>
  <c r="J1912" i="1"/>
  <c r="K1912" i="1"/>
  <c r="L1912" i="1"/>
  <c r="N1912" i="1" s="1"/>
  <c r="M1912" i="1"/>
  <c r="O1912" i="1" s="1"/>
  <c r="J1913" i="1"/>
  <c r="K1913" i="1"/>
  <c r="L1913" i="1"/>
  <c r="N1913" i="1" s="1"/>
  <c r="M1913" i="1"/>
  <c r="O1913" i="1" s="1"/>
  <c r="J1914" i="1"/>
  <c r="K1914" i="1"/>
  <c r="L1914" i="1"/>
  <c r="N1914" i="1" s="1"/>
  <c r="M1914" i="1"/>
  <c r="O1914" i="1" s="1"/>
  <c r="J1915" i="1"/>
  <c r="K1915" i="1"/>
  <c r="L1915" i="1"/>
  <c r="N1915" i="1" s="1"/>
  <c r="M1915" i="1"/>
  <c r="O1915" i="1" s="1"/>
  <c r="J1924" i="1"/>
  <c r="K1924" i="1"/>
  <c r="L1924" i="1"/>
  <c r="N1924" i="1" s="1"/>
  <c r="M1924" i="1"/>
  <c r="O1924" i="1" s="1"/>
  <c r="J1958" i="1"/>
  <c r="K1958" i="1"/>
  <c r="L1958" i="1"/>
  <c r="N1958" i="1" s="1"/>
  <c r="M1958" i="1"/>
  <c r="O1958" i="1" s="1"/>
  <c r="J1929" i="1"/>
  <c r="K1929" i="1"/>
  <c r="L1929" i="1"/>
  <c r="N1929" i="1" s="1"/>
  <c r="M1929" i="1"/>
  <c r="O1929" i="1" s="1"/>
  <c r="J1916" i="1"/>
  <c r="K1916" i="1"/>
  <c r="L1916" i="1"/>
  <c r="N1916" i="1" s="1"/>
  <c r="M1916" i="1"/>
  <c r="O1916" i="1" s="1"/>
  <c r="J1917" i="1"/>
  <c r="K1917" i="1"/>
  <c r="L1917" i="1"/>
  <c r="N1917" i="1" s="1"/>
  <c r="M1917" i="1"/>
  <c r="O1917" i="1" s="1"/>
  <c r="J1930" i="1"/>
  <c r="K1930" i="1"/>
  <c r="L1930" i="1"/>
  <c r="N1930" i="1" s="1"/>
  <c r="M1930" i="1"/>
  <c r="O1930" i="1" s="1"/>
  <c r="J1931" i="1"/>
  <c r="K1931" i="1"/>
  <c r="L1931" i="1"/>
  <c r="N1931" i="1" s="1"/>
  <c r="M1931" i="1"/>
  <c r="O1931" i="1" s="1"/>
  <c r="J1932" i="1"/>
  <c r="K1932" i="1"/>
  <c r="L1932" i="1"/>
  <c r="N1932" i="1" s="1"/>
  <c r="M1932" i="1"/>
  <c r="O1932" i="1" s="1"/>
  <c r="J1804" i="1"/>
  <c r="K1804" i="1"/>
  <c r="L1804" i="1"/>
  <c r="N1804" i="1" s="1"/>
  <c r="M1804" i="1"/>
  <c r="O1804" i="1" s="1"/>
  <c r="J1805" i="1"/>
  <c r="K1805" i="1"/>
  <c r="L1805" i="1"/>
  <c r="N1805" i="1" s="1"/>
  <c r="M1805" i="1"/>
  <c r="O1805" i="1" s="1"/>
  <c r="J1806" i="1"/>
  <c r="K1806" i="1"/>
  <c r="L1806" i="1"/>
  <c r="N1806" i="1" s="1"/>
  <c r="M1806" i="1"/>
  <c r="O1806" i="1" s="1"/>
  <c r="J1878" i="1"/>
  <c r="K1878" i="1"/>
  <c r="L1878" i="1"/>
  <c r="N1878" i="1" s="1"/>
  <c r="M1878" i="1"/>
  <c r="O1878" i="1" s="1"/>
  <c r="J894" i="1"/>
  <c r="K894" i="1"/>
  <c r="L894" i="1"/>
  <c r="N894" i="1" s="1"/>
  <c r="M894" i="1"/>
  <c r="O894" i="1" s="1"/>
  <c r="J1770" i="1"/>
  <c r="K1770" i="1"/>
  <c r="L1770" i="1"/>
  <c r="N1770" i="1" s="1"/>
  <c r="M1770" i="1"/>
  <c r="O1770" i="1" s="1"/>
  <c r="S1871" i="1" l="1"/>
  <c r="S1924" i="1"/>
  <c r="G1960" i="1"/>
  <c r="G1959" i="1"/>
  <c r="B2405" i="1"/>
  <c r="G2067" i="1"/>
  <c r="G2077" i="1"/>
  <c r="G2070" i="1"/>
  <c r="G2040" i="1"/>
  <c r="G2069" i="1"/>
  <c r="G2072" i="1"/>
  <c r="G2071" i="1"/>
  <c r="G2068" i="1"/>
  <c r="G1967" i="1"/>
  <c r="G1462" i="1"/>
  <c r="G1410" i="1"/>
  <c r="G1456" i="1"/>
  <c r="G1455" i="1"/>
  <c r="G1419" i="1"/>
  <c r="G1792" i="1"/>
  <c r="G1554" i="1"/>
  <c r="G1567" i="1"/>
  <c r="G1582" i="1"/>
  <c r="G1604" i="1"/>
  <c r="G1657" i="1"/>
  <c r="G1574" i="1"/>
  <c r="G1651" i="1"/>
  <c r="G1741" i="1"/>
  <c r="G1652" i="1"/>
  <c r="G1600" i="1"/>
  <c r="G1590" i="1"/>
  <c r="G1572" i="1"/>
  <c r="G1648" i="1"/>
  <c r="G1613" i="1"/>
  <c r="G1121" i="1"/>
  <c r="G1957" i="1"/>
  <c r="G1951" i="1"/>
  <c r="G1956" i="1"/>
  <c r="G1857" i="1"/>
  <c r="G1808" i="1"/>
  <c r="G1955" i="1"/>
  <c r="G1859" i="1"/>
  <c r="G1958" i="1"/>
  <c r="G1953" i="1"/>
  <c r="G1952" i="1"/>
  <c r="G201" i="1"/>
  <c r="B2031" i="1"/>
  <c r="G1902" i="1"/>
  <c r="G1897" i="1"/>
  <c r="G1895" i="1"/>
  <c r="G1868" i="1"/>
  <c r="G1872" i="1"/>
  <c r="B2382" i="1" s="1"/>
  <c r="G1928" i="1"/>
  <c r="G1919" i="1"/>
  <c r="G1918" i="1"/>
  <c r="G1896" i="1"/>
  <c r="G1870" i="1"/>
  <c r="B2381" i="1" s="1"/>
  <c r="J1875" i="1"/>
  <c r="K1875" i="1"/>
  <c r="L1875" i="1"/>
  <c r="N1875" i="1" s="1"/>
  <c r="M1875" i="1"/>
  <c r="O1875" i="1" s="1"/>
  <c r="J1876" i="1"/>
  <c r="K1876" i="1"/>
  <c r="L1876" i="1"/>
  <c r="N1876" i="1" s="1"/>
  <c r="M1876" i="1"/>
  <c r="O1876" i="1" s="1"/>
  <c r="J1877" i="1"/>
  <c r="K1877" i="1"/>
  <c r="L1877" i="1"/>
  <c r="N1877" i="1" s="1"/>
  <c r="M1877" i="1"/>
  <c r="O1877" i="1" s="1"/>
  <c r="J1879" i="1"/>
  <c r="K1879" i="1"/>
  <c r="L1879" i="1"/>
  <c r="N1879" i="1" s="1"/>
  <c r="M1879" i="1"/>
  <c r="O1879" i="1" s="1"/>
  <c r="J1880" i="1"/>
  <c r="K1880" i="1"/>
  <c r="L1880" i="1"/>
  <c r="N1880" i="1" s="1"/>
  <c r="M1880" i="1"/>
  <c r="O1880" i="1" s="1"/>
  <c r="J1822" i="1"/>
  <c r="K1822" i="1"/>
  <c r="L1822" i="1"/>
  <c r="N1822" i="1" s="1"/>
  <c r="M1822" i="1"/>
  <c r="O1822" i="1" s="1"/>
  <c r="J1888" i="1"/>
  <c r="K1888" i="1"/>
  <c r="L1888" i="1"/>
  <c r="N1888" i="1" s="1"/>
  <c r="M1888" i="1"/>
  <c r="O1888" i="1" s="1"/>
  <c r="J1889" i="1"/>
  <c r="K1889" i="1"/>
  <c r="L1889" i="1"/>
  <c r="N1889" i="1" s="1"/>
  <c r="M1889" i="1"/>
  <c r="O1889" i="1" s="1"/>
  <c r="J1890" i="1"/>
  <c r="K1890" i="1"/>
  <c r="L1890" i="1"/>
  <c r="N1890" i="1" s="1"/>
  <c r="M1890" i="1"/>
  <c r="O1890" i="1" s="1"/>
  <c r="J1891" i="1"/>
  <c r="K1891" i="1"/>
  <c r="L1891" i="1"/>
  <c r="N1891" i="1" s="1"/>
  <c r="M1891" i="1"/>
  <c r="O1891" i="1" s="1"/>
  <c r="J1892" i="1"/>
  <c r="K1892" i="1"/>
  <c r="L1892" i="1"/>
  <c r="N1892" i="1" s="1"/>
  <c r="M1892" i="1"/>
  <c r="O1892" i="1" s="1"/>
  <c r="J1906" i="1"/>
  <c r="K1906" i="1"/>
  <c r="L1906" i="1"/>
  <c r="N1906" i="1" s="1"/>
  <c r="M1906" i="1"/>
  <c r="O1906" i="1" s="1"/>
  <c r="J1907" i="1"/>
  <c r="K1907" i="1"/>
  <c r="L1907" i="1"/>
  <c r="N1907" i="1" s="1"/>
  <c r="M1907" i="1"/>
  <c r="O1907" i="1" s="1"/>
  <c r="J1730" i="1"/>
  <c r="K1730" i="1"/>
  <c r="L1730" i="1"/>
  <c r="N1730" i="1" s="1"/>
  <c r="M1730" i="1"/>
  <c r="O1730" i="1" s="1"/>
  <c r="J1748" i="1"/>
  <c r="K1748" i="1"/>
  <c r="L1748" i="1"/>
  <c r="N1748" i="1" s="1"/>
  <c r="M1748" i="1"/>
  <c r="O1748" i="1" s="1"/>
  <c r="J1771" i="1"/>
  <c r="K1771" i="1"/>
  <c r="L1771" i="1"/>
  <c r="N1771" i="1" s="1"/>
  <c r="M1771" i="1"/>
  <c r="O1771" i="1" s="1"/>
  <c r="J1772" i="1"/>
  <c r="K1772" i="1"/>
  <c r="L1772" i="1"/>
  <c r="N1772" i="1" s="1"/>
  <c r="M1772" i="1"/>
  <c r="O1772" i="1" s="1"/>
  <c r="J1842" i="1"/>
  <c r="K1842" i="1"/>
  <c r="L1842" i="1"/>
  <c r="N1842" i="1" s="1"/>
  <c r="M1842" i="1"/>
  <c r="O1842" i="1" s="1"/>
  <c r="J1865" i="1"/>
  <c r="K1865" i="1"/>
  <c r="L1865" i="1"/>
  <c r="N1865" i="1" s="1"/>
  <c r="M1865" i="1"/>
  <c r="O1865" i="1" s="1"/>
  <c r="J1850" i="1"/>
  <c r="K1850" i="1"/>
  <c r="L1850" i="1"/>
  <c r="N1850" i="1" s="1"/>
  <c r="M1850" i="1"/>
  <c r="O1850" i="1" s="1"/>
  <c r="J1832" i="1"/>
  <c r="K1832" i="1"/>
  <c r="L1832" i="1"/>
  <c r="N1832" i="1" s="1"/>
  <c r="M1832" i="1"/>
  <c r="O1832" i="1" s="1"/>
  <c r="J1835" i="1"/>
  <c r="K1835" i="1"/>
  <c r="L1835" i="1"/>
  <c r="N1835" i="1" s="1"/>
  <c r="M1835" i="1"/>
  <c r="O1835" i="1" s="1"/>
  <c r="J1836" i="1"/>
  <c r="K1836" i="1"/>
  <c r="L1836" i="1"/>
  <c r="N1836" i="1" s="1"/>
  <c r="M1836" i="1"/>
  <c r="O1836" i="1" s="1"/>
  <c r="J1837" i="1"/>
  <c r="K1837" i="1"/>
  <c r="L1837" i="1"/>
  <c r="N1837" i="1" s="1"/>
  <c r="M1837" i="1"/>
  <c r="O1837" i="1" s="1"/>
  <c r="J1833" i="1"/>
  <c r="K1833" i="1"/>
  <c r="L1833" i="1"/>
  <c r="N1833" i="1" s="1"/>
  <c r="M1833" i="1"/>
  <c r="O1833" i="1" s="1"/>
  <c r="J1845" i="1"/>
  <c r="K1845" i="1"/>
  <c r="L1845" i="1"/>
  <c r="N1845" i="1" s="1"/>
  <c r="M1845" i="1"/>
  <c r="O1845" i="1" s="1"/>
  <c r="J1810" i="1"/>
  <c r="K1810" i="1"/>
  <c r="L1810" i="1"/>
  <c r="N1810" i="1" s="1"/>
  <c r="M1810" i="1"/>
  <c r="O1810" i="1" s="1"/>
  <c r="J1821" i="1"/>
  <c r="K1821" i="1"/>
  <c r="L1821" i="1"/>
  <c r="N1821" i="1" s="1"/>
  <c r="M1821" i="1"/>
  <c r="O1821" i="1" s="1"/>
  <c r="J1838" i="1"/>
  <c r="K1838" i="1"/>
  <c r="L1838" i="1"/>
  <c r="N1838" i="1" s="1"/>
  <c r="M1838" i="1"/>
  <c r="O1838" i="1" s="1"/>
  <c r="J1862" i="1"/>
  <c r="K1862" i="1"/>
  <c r="L1862" i="1"/>
  <c r="N1862" i="1" s="1"/>
  <c r="M1862" i="1"/>
  <c r="O1862" i="1" s="1"/>
  <c r="J1847" i="1"/>
  <c r="K1847" i="1"/>
  <c r="L1847" i="1"/>
  <c r="N1847" i="1" s="1"/>
  <c r="M1847" i="1"/>
  <c r="O1847" i="1" s="1"/>
  <c r="J123" i="1"/>
  <c r="K123" i="1"/>
  <c r="L123" i="1"/>
  <c r="N123" i="1" s="1"/>
  <c r="M123" i="1"/>
  <c r="O123" i="1" s="1"/>
  <c r="J1778" i="1"/>
  <c r="K1778" i="1"/>
  <c r="L1778" i="1"/>
  <c r="N1778" i="1" s="1"/>
  <c r="M1778" i="1"/>
  <c r="O1778" i="1" s="1"/>
  <c r="J1886" i="1"/>
  <c r="K1886" i="1"/>
  <c r="L1886" i="1"/>
  <c r="N1886" i="1" s="1"/>
  <c r="M1886" i="1"/>
  <c r="O1886" i="1" s="1"/>
  <c r="J1887" i="1"/>
  <c r="K1887" i="1"/>
  <c r="L1887" i="1"/>
  <c r="N1887" i="1" s="1"/>
  <c r="M1887" i="1"/>
  <c r="O1887" i="1" s="1"/>
  <c r="J1881" i="1"/>
  <c r="K1881" i="1"/>
  <c r="L1881" i="1"/>
  <c r="N1881" i="1" s="1"/>
  <c r="M1881" i="1"/>
  <c r="O1881" i="1" s="1"/>
  <c r="J1893" i="1"/>
  <c r="K1893" i="1"/>
  <c r="L1893" i="1"/>
  <c r="N1893" i="1" s="1"/>
  <c r="M1893" i="1"/>
  <c r="O1893" i="1" s="1"/>
  <c r="J1905" i="1"/>
  <c r="K1905" i="1"/>
  <c r="L1905" i="1"/>
  <c r="N1905" i="1" s="1"/>
  <c r="M1905" i="1"/>
  <c r="O1905" i="1" s="1"/>
  <c r="J1873" i="1"/>
  <c r="K1873" i="1"/>
  <c r="L1873" i="1"/>
  <c r="N1873" i="1" s="1"/>
  <c r="M1873" i="1"/>
  <c r="O1873" i="1" s="1"/>
  <c r="J1874" i="1"/>
  <c r="K1874" i="1"/>
  <c r="L1874" i="1"/>
  <c r="N1874" i="1" s="1"/>
  <c r="M1874" i="1"/>
  <c r="O1874" i="1" s="1"/>
  <c r="K1740" i="1"/>
  <c r="L1740" i="1"/>
  <c r="N1740" i="1" s="1"/>
  <c r="M1740" i="1"/>
  <c r="O1740" i="1" s="1"/>
  <c r="J1740" i="1"/>
  <c r="K72" i="1"/>
  <c r="L72" i="1"/>
  <c r="N72" i="1" s="1"/>
  <c r="M72" i="1"/>
  <c r="O72" i="1" s="1"/>
  <c r="D72" i="1"/>
  <c r="J72" i="1"/>
  <c r="J1739" i="1"/>
  <c r="K1739" i="1"/>
  <c r="L1739" i="1"/>
  <c r="N1739" i="1" s="1"/>
  <c r="M1739" i="1"/>
  <c r="O1739" i="1" s="1"/>
  <c r="K1683" i="1"/>
  <c r="L1683" i="1"/>
  <c r="N1683" i="1" s="1"/>
  <c r="M1683" i="1"/>
  <c r="O1683" i="1" s="1"/>
  <c r="J1683" i="1"/>
  <c r="K1668" i="1"/>
  <c r="L1668" i="1"/>
  <c r="N1668" i="1" s="1"/>
  <c r="M1668" i="1"/>
  <c r="O1668" i="1" s="1"/>
  <c r="J1668" i="1"/>
  <c r="J1570" i="1"/>
  <c r="K1570" i="1"/>
  <c r="L1570" i="1"/>
  <c r="N1570" i="1" s="1"/>
  <c r="M1570" i="1"/>
  <c r="O1570" i="1" s="1"/>
  <c r="K1530" i="1"/>
  <c r="L1530" i="1"/>
  <c r="N1530" i="1" s="1"/>
  <c r="M1530" i="1"/>
  <c r="O1530" i="1" s="1"/>
  <c r="J1530" i="1"/>
  <c r="J1721" i="1"/>
  <c r="K1721" i="1"/>
  <c r="L1721" i="1"/>
  <c r="N1721" i="1" s="1"/>
  <c r="M1721" i="1"/>
  <c r="O1721" i="1" s="1"/>
  <c r="J1722" i="1"/>
  <c r="K1722" i="1"/>
  <c r="L1722" i="1"/>
  <c r="N1722" i="1" s="1"/>
  <c r="M1722" i="1"/>
  <c r="O1722" i="1" s="1"/>
  <c r="J1723" i="1"/>
  <c r="K1723" i="1"/>
  <c r="L1723" i="1"/>
  <c r="N1723" i="1" s="1"/>
  <c r="M1723" i="1"/>
  <c r="O1723" i="1" s="1"/>
  <c r="J1732" i="1"/>
  <c r="K1732" i="1"/>
  <c r="L1732" i="1"/>
  <c r="N1732" i="1" s="1"/>
  <c r="M1732" i="1"/>
  <c r="O1732" i="1" s="1"/>
  <c r="J1733" i="1"/>
  <c r="K1733" i="1"/>
  <c r="L1733" i="1"/>
  <c r="N1733" i="1" s="1"/>
  <c r="M1733" i="1"/>
  <c r="O1733" i="1" s="1"/>
  <c r="J1688" i="1"/>
  <c r="K1688" i="1"/>
  <c r="L1688" i="1"/>
  <c r="N1688" i="1" s="1"/>
  <c r="M1688" i="1"/>
  <c r="O1688" i="1" s="1"/>
  <c r="J1759" i="1"/>
  <c r="K1759" i="1"/>
  <c r="L1759" i="1"/>
  <c r="N1759" i="1" s="1"/>
  <c r="M1759" i="1"/>
  <c r="O1759" i="1" s="1"/>
  <c r="J1724" i="1"/>
  <c r="K1724" i="1"/>
  <c r="L1724" i="1"/>
  <c r="N1724" i="1" s="1"/>
  <c r="M1724" i="1"/>
  <c r="O1724" i="1" s="1"/>
  <c r="J1725" i="1"/>
  <c r="K1725" i="1"/>
  <c r="L1725" i="1"/>
  <c r="N1725" i="1" s="1"/>
  <c r="M1725" i="1"/>
  <c r="O1725" i="1" s="1"/>
  <c r="J1726" i="1"/>
  <c r="K1726" i="1"/>
  <c r="L1726" i="1"/>
  <c r="N1726" i="1" s="1"/>
  <c r="M1726" i="1"/>
  <c r="O1726" i="1" s="1"/>
  <c r="J1727" i="1"/>
  <c r="K1727" i="1"/>
  <c r="L1727" i="1"/>
  <c r="N1727" i="1" s="1"/>
  <c r="M1727" i="1"/>
  <c r="O1727" i="1" s="1"/>
  <c r="J1729" i="1"/>
  <c r="K1729" i="1"/>
  <c r="L1729" i="1"/>
  <c r="N1729" i="1" s="1"/>
  <c r="M1729" i="1"/>
  <c r="O1729" i="1" s="1"/>
  <c r="J1796" i="1"/>
  <c r="K1796" i="1"/>
  <c r="L1796" i="1"/>
  <c r="N1796" i="1" s="1"/>
  <c r="M1796" i="1"/>
  <c r="O1796" i="1" s="1"/>
  <c r="J1735" i="1"/>
  <c r="K1735" i="1"/>
  <c r="L1735" i="1"/>
  <c r="N1735" i="1" s="1"/>
  <c r="M1735" i="1"/>
  <c r="O1735" i="1" s="1"/>
  <c r="J1736" i="1"/>
  <c r="K1736" i="1"/>
  <c r="L1736" i="1"/>
  <c r="N1736" i="1" s="1"/>
  <c r="M1736" i="1"/>
  <c r="O1736" i="1" s="1"/>
  <c r="J1745" i="1"/>
  <c r="K1745" i="1"/>
  <c r="L1745" i="1"/>
  <c r="N1745" i="1" s="1"/>
  <c r="M1745" i="1"/>
  <c r="O1745" i="1" s="1"/>
  <c r="J1746" i="1"/>
  <c r="K1746" i="1"/>
  <c r="L1746" i="1"/>
  <c r="N1746" i="1" s="1"/>
  <c r="M1746" i="1"/>
  <c r="O1746" i="1" s="1"/>
  <c r="J1747" i="1"/>
  <c r="K1747" i="1"/>
  <c r="L1747" i="1"/>
  <c r="N1747" i="1" s="1"/>
  <c r="M1747" i="1"/>
  <c r="O1747" i="1" s="1"/>
  <c r="J1753" i="1"/>
  <c r="K1753" i="1"/>
  <c r="L1753" i="1"/>
  <c r="N1753" i="1" s="1"/>
  <c r="M1753" i="1"/>
  <c r="O1753" i="1" s="1"/>
  <c r="J1754" i="1"/>
  <c r="K1754" i="1"/>
  <c r="L1754" i="1"/>
  <c r="N1754" i="1" s="1"/>
  <c r="M1754" i="1"/>
  <c r="O1754" i="1" s="1"/>
  <c r="J1764" i="1"/>
  <c r="K1764" i="1"/>
  <c r="L1764" i="1"/>
  <c r="N1764" i="1" s="1"/>
  <c r="M1764" i="1"/>
  <c r="O1764" i="1" s="1"/>
  <c r="J1765" i="1"/>
  <c r="K1765" i="1"/>
  <c r="L1765" i="1"/>
  <c r="N1765" i="1" s="1"/>
  <c r="M1765" i="1"/>
  <c r="O1765" i="1" s="1"/>
  <c r="J1755" i="1"/>
  <c r="K1755" i="1"/>
  <c r="L1755" i="1"/>
  <c r="N1755" i="1" s="1"/>
  <c r="M1755" i="1"/>
  <c r="O1755" i="1" s="1"/>
  <c r="J1756" i="1"/>
  <c r="K1756" i="1"/>
  <c r="L1756" i="1"/>
  <c r="N1756" i="1" s="1"/>
  <c r="M1756" i="1"/>
  <c r="O1756" i="1" s="1"/>
  <c r="J134" i="1"/>
  <c r="K134" i="1"/>
  <c r="L134" i="1"/>
  <c r="N134" i="1" s="1"/>
  <c r="M134" i="1"/>
  <c r="O134" i="1" s="1"/>
  <c r="J1766" i="1"/>
  <c r="K1766" i="1"/>
  <c r="L1766" i="1"/>
  <c r="N1766" i="1" s="1"/>
  <c r="M1766" i="1"/>
  <c r="O1766" i="1" s="1"/>
  <c r="J1767" i="1"/>
  <c r="K1767" i="1"/>
  <c r="L1767" i="1"/>
  <c r="N1767" i="1" s="1"/>
  <c r="M1767" i="1"/>
  <c r="O1767" i="1" s="1"/>
  <c r="J1811" i="1"/>
  <c r="K1811" i="1"/>
  <c r="L1811" i="1"/>
  <c r="N1811" i="1" s="1"/>
  <c r="M1811" i="1"/>
  <c r="O1811" i="1" s="1"/>
  <c r="J1812" i="1"/>
  <c r="K1812" i="1"/>
  <c r="L1812" i="1"/>
  <c r="N1812" i="1" s="1"/>
  <c r="M1812" i="1"/>
  <c r="O1812" i="1" s="1"/>
  <c r="J1814" i="1"/>
  <c r="K1814" i="1"/>
  <c r="L1814" i="1"/>
  <c r="N1814" i="1" s="1"/>
  <c r="M1814" i="1"/>
  <c r="O1814" i="1" s="1"/>
  <c r="J1815" i="1"/>
  <c r="K1815" i="1"/>
  <c r="L1815" i="1"/>
  <c r="N1815" i="1" s="1"/>
  <c r="M1815" i="1"/>
  <c r="O1815" i="1" s="1"/>
  <c r="J1816" i="1"/>
  <c r="K1816" i="1"/>
  <c r="L1816" i="1"/>
  <c r="N1816" i="1" s="1"/>
  <c r="M1816" i="1"/>
  <c r="O1816" i="1" s="1"/>
  <c r="J1818" i="1"/>
  <c r="K1818" i="1"/>
  <c r="L1818" i="1"/>
  <c r="N1818" i="1" s="1"/>
  <c r="M1818" i="1"/>
  <c r="O1818" i="1" s="1"/>
  <c r="J1823" i="1"/>
  <c r="K1823" i="1"/>
  <c r="L1823" i="1"/>
  <c r="N1823" i="1" s="1"/>
  <c r="M1823" i="1"/>
  <c r="O1823" i="1" s="1"/>
  <c r="J1781" i="1"/>
  <c r="K1781" i="1"/>
  <c r="L1781" i="1"/>
  <c r="N1781" i="1" s="1"/>
  <c r="M1781" i="1"/>
  <c r="O1781" i="1" s="1"/>
  <c r="J1782" i="1"/>
  <c r="K1782" i="1"/>
  <c r="L1782" i="1"/>
  <c r="N1782" i="1" s="1"/>
  <c r="M1782" i="1"/>
  <c r="O1782" i="1" s="1"/>
  <c r="J1783" i="1"/>
  <c r="K1783" i="1"/>
  <c r="L1783" i="1"/>
  <c r="N1783" i="1" s="1"/>
  <c r="M1783" i="1"/>
  <c r="O1783" i="1" s="1"/>
  <c r="J1784" i="1"/>
  <c r="K1784" i="1"/>
  <c r="L1784" i="1"/>
  <c r="N1784" i="1" s="1"/>
  <c r="M1784" i="1"/>
  <c r="O1784" i="1" s="1"/>
  <c r="J1824" i="1"/>
  <c r="K1824" i="1"/>
  <c r="L1824" i="1"/>
  <c r="N1824" i="1" s="1"/>
  <c r="M1824" i="1"/>
  <c r="O1824" i="1" s="1"/>
  <c r="J1829" i="1"/>
  <c r="K1829" i="1"/>
  <c r="L1829" i="1"/>
  <c r="N1829" i="1" s="1"/>
  <c r="M1829" i="1"/>
  <c r="O1829" i="1" s="1"/>
  <c r="J1841" i="1"/>
  <c r="K1841" i="1"/>
  <c r="L1841" i="1"/>
  <c r="N1841" i="1" s="1"/>
  <c r="M1841" i="1"/>
  <c r="O1841" i="1" s="1"/>
  <c r="J1846" i="1"/>
  <c r="K1846" i="1"/>
  <c r="L1846" i="1"/>
  <c r="N1846" i="1" s="1"/>
  <c r="M1846" i="1"/>
  <c r="O1846" i="1" s="1"/>
  <c r="J1789" i="1"/>
  <c r="K1789" i="1"/>
  <c r="L1789" i="1"/>
  <c r="N1789" i="1" s="1"/>
  <c r="M1789" i="1"/>
  <c r="O1789" i="1" s="1"/>
  <c r="J1848" i="1"/>
  <c r="K1848" i="1"/>
  <c r="L1848" i="1"/>
  <c r="N1848" i="1" s="1"/>
  <c r="M1848" i="1"/>
  <c r="O1848" i="1" s="1"/>
  <c r="J1849" i="1"/>
  <c r="K1849" i="1"/>
  <c r="L1849" i="1"/>
  <c r="N1849" i="1" s="1"/>
  <c r="M1849" i="1"/>
  <c r="O1849" i="1" s="1"/>
  <c r="J1854" i="1"/>
  <c r="K1854" i="1"/>
  <c r="L1854" i="1"/>
  <c r="N1854" i="1" s="1"/>
  <c r="M1854" i="1"/>
  <c r="O1854" i="1" s="1"/>
  <c r="J1793" i="1"/>
  <c r="K1793" i="1"/>
  <c r="L1793" i="1"/>
  <c r="N1793" i="1" s="1"/>
  <c r="M1793" i="1"/>
  <c r="O1793" i="1" s="1"/>
  <c r="J1794" i="1"/>
  <c r="K1794" i="1"/>
  <c r="L1794" i="1"/>
  <c r="N1794" i="1" s="1"/>
  <c r="M1794" i="1"/>
  <c r="O1794" i="1" s="1"/>
  <c r="J1795" i="1"/>
  <c r="K1795" i="1"/>
  <c r="L1795" i="1"/>
  <c r="N1795" i="1" s="1"/>
  <c r="M1795" i="1"/>
  <c r="O1795" i="1" s="1"/>
  <c r="J1855" i="1"/>
  <c r="K1855" i="1"/>
  <c r="L1855" i="1"/>
  <c r="N1855" i="1" s="1"/>
  <c r="M1855" i="1"/>
  <c r="O1855" i="1" s="1"/>
  <c r="J1797" i="1"/>
  <c r="K1797" i="1"/>
  <c r="L1797" i="1"/>
  <c r="N1797" i="1" s="1"/>
  <c r="M1797" i="1"/>
  <c r="O1797" i="1" s="1"/>
  <c r="J1798" i="1"/>
  <c r="K1798" i="1"/>
  <c r="L1798" i="1"/>
  <c r="N1798" i="1" s="1"/>
  <c r="M1798" i="1"/>
  <c r="O1798" i="1" s="1"/>
  <c r="J1856" i="1"/>
  <c r="K1856" i="1"/>
  <c r="L1856" i="1"/>
  <c r="N1856" i="1" s="1"/>
  <c r="M1856" i="1"/>
  <c r="O1856" i="1" s="1"/>
  <c r="J1800" i="1"/>
  <c r="K1800" i="1"/>
  <c r="L1800" i="1"/>
  <c r="N1800" i="1" s="1"/>
  <c r="M1800" i="1"/>
  <c r="O1800" i="1" s="1"/>
  <c r="J168" i="1"/>
  <c r="K168" i="1"/>
  <c r="L168" i="1"/>
  <c r="N168" i="1" s="1"/>
  <c r="M168" i="1"/>
  <c r="O168" i="1" s="1"/>
  <c r="J1799" i="1"/>
  <c r="K1799" i="1"/>
  <c r="L1799" i="1"/>
  <c r="N1799" i="1" s="1"/>
  <c r="M1799" i="1"/>
  <c r="O1799" i="1" s="1"/>
  <c r="J285" i="1"/>
  <c r="K285" i="1"/>
  <c r="L285" i="1"/>
  <c r="N285" i="1" s="1"/>
  <c r="M285" i="1"/>
  <c r="O285" i="1" s="1"/>
  <c r="J1757" i="1"/>
  <c r="K1757" i="1"/>
  <c r="L1757" i="1"/>
  <c r="N1757" i="1" s="1"/>
  <c r="M1757" i="1"/>
  <c r="O1757" i="1" s="1"/>
  <c r="J169" i="1"/>
  <c r="K169" i="1"/>
  <c r="L169" i="1"/>
  <c r="N169" i="1" s="1"/>
  <c r="M169" i="1"/>
  <c r="O169" i="1" s="1"/>
  <c r="J294" i="1"/>
  <c r="K294" i="1"/>
  <c r="L294" i="1"/>
  <c r="N294" i="1" s="1"/>
  <c r="M294" i="1"/>
  <c r="O294" i="1" s="1"/>
  <c r="J207" i="1"/>
  <c r="K207" i="1"/>
  <c r="L207" i="1"/>
  <c r="N207" i="1" s="1"/>
  <c r="M207" i="1"/>
  <c r="O207" i="1" s="1"/>
  <c r="J176" i="1"/>
  <c r="K176" i="1"/>
  <c r="L176" i="1"/>
  <c r="N176" i="1" s="1"/>
  <c r="M176" i="1"/>
  <c r="O176" i="1" s="1"/>
  <c r="J1768" i="1"/>
  <c r="K1768" i="1"/>
  <c r="L1768" i="1"/>
  <c r="N1768" i="1" s="1"/>
  <c r="M1768" i="1"/>
  <c r="O1768" i="1" s="1"/>
  <c r="J1801" i="1"/>
  <c r="K1801" i="1"/>
  <c r="L1801" i="1"/>
  <c r="N1801" i="1" s="1"/>
  <c r="M1801" i="1"/>
  <c r="O1801" i="1" s="1"/>
  <c r="J1802" i="1"/>
  <c r="K1802" i="1"/>
  <c r="L1802" i="1"/>
  <c r="N1802" i="1" s="1"/>
  <c r="M1802" i="1"/>
  <c r="O1802" i="1" s="1"/>
  <c r="J1803" i="1"/>
  <c r="K1803" i="1"/>
  <c r="L1803" i="1"/>
  <c r="N1803" i="1" s="1"/>
  <c r="M1803" i="1"/>
  <c r="O1803" i="1" s="1"/>
  <c r="J1817" i="1"/>
  <c r="K1817" i="1"/>
  <c r="L1817" i="1"/>
  <c r="N1817" i="1" s="1"/>
  <c r="M1817" i="1"/>
  <c r="O1817" i="1" s="1"/>
  <c r="J1769" i="1"/>
  <c r="K1769" i="1"/>
  <c r="L1769" i="1"/>
  <c r="N1769" i="1" s="1"/>
  <c r="M1769" i="1"/>
  <c r="O1769" i="1" s="1"/>
  <c r="J1819" i="1"/>
  <c r="K1819" i="1"/>
  <c r="L1819" i="1"/>
  <c r="N1819" i="1" s="1"/>
  <c r="M1819" i="1"/>
  <c r="O1819" i="1" s="1"/>
  <c r="J1860" i="1"/>
  <c r="K1860" i="1"/>
  <c r="L1860" i="1"/>
  <c r="N1860" i="1" s="1"/>
  <c r="M1860" i="1"/>
  <c r="O1860" i="1" s="1"/>
  <c r="J1830" i="1"/>
  <c r="K1830" i="1"/>
  <c r="L1830" i="1"/>
  <c r="N1830" i="1" s="1"/>
  <c r="M1830" i="1"/>
  <c r="O1830" i="1" s="1"/>
  <c r="J1839" i="1"/>
  <c r="K1839" i="1"/>
  <c r="L1839" i="1"/>
  <c r="N1839" i="1" s="1"/>
  <c r="M1839" i="1"/>
  <c r="O1839" i="1" s="1"/>
  <c r="J1840" i="1"/>
  <c r="K1840" i="1"/>
  <c r="L1840" i="1"/>
  <c r="N1840" i="1" s="1"/>
  <c r="M1840" i="1"/>
  <c r="O1840" i="1" s="1"/>
  <c r="J1861" i="1"/>
  <c r="K1861" i="1"/>
  <c r="L1861" i="1"/>
  <c r="N1861" i="1" s="1"/>
  <c r="M1861" i="1"/>
  <c r="O1861" i="1" s="1"/>
  <c r="J1809" i="1"/>
  <c r="K1809" i="1"/>
  <c r="L1809" i="1"/>
  <c r="N1809" i="1" s="1"/>
  <c r="M1809" i="1"/>
  <c r="O1809" i="1" s="1"/>
  <c r="J1820" i="1"/>
  <c r="K1820" i="1"/>
  <c r="L1820" i="1"/>
  <c r="N1820" i="1" s="1"/>
  <c r="M1820" i="1"/>
  <c r="O1820" i="1" s="1"/>
  <c r="J1831" i="1"/>
  <c r="K1831" i="1"/>
  <c r="L1831" i="1"/>
  <c r="N1831" i="1" s="1"/>
  <c r="M1831" i="1"/>
  <c r="O1831" i="1" s="1"/>
  <c r="S1701" i="1"/>
  <c r="S1700" i="1"/>
  <c r="S1699" i="1"/>
  <c r="S1760" i="1"/>
  <c r="S1697" i="1"/>
  <c r="S1696" i="1"/>
  <c r="J1689" i="1"/>
  <c r="K1689" i="1"/>
  <c r="L1689" i="1"/>
  <c r="N1689" i="1" s="1"/>
  <c r="M1689" i="1"/>
  <c r="O1689" i="1" s="1"/>
  <c r="J1696" i="1"/>
  <c r="K1696" i="1"/>
  <c r="L1696" i="1"/>
  <c r="N1696" i="1" s="1"/>
  <c r="M1696" i="1"/>
  <c r="O1696" i="1" s="1"/>
  <c r="J1697" i="1"/>
  <c r="K1697" i="1"/>
  <c r="L1697" i="1"/>
  <c r="N1697" i="1" s="1"/>
  <c r="M1697" i="1"/>
  <c r="O1697" i="1" s="1"/>
  <c r="J1760" i="1"/>
  <c r="K1760" i="1"/>
  <c r="L1760" i="1"/>
  <c r="N1760" i="1" s="1"/>
  <c r="M1760" i="1"/>
  <c r="O1760" i="1" s="1"/>
  <c r="J1699" i="1"/>
  <c r="K1699" i="1"/>
  <c r="L1699" i="1"/>
  <c r="N1699" i="1" s="1"/>
  <c r="M1699" i="1"/>
  <c r="O1699" i="1" s="1"/>
  <c r="J1700" i="1"/>
  <c r="K1700" i="1"/>
  <c r="L1700" i="1"/>
  <c r="N1700" i="1" s="1"/>
  <c r="M1700" i="1"/>
  <c r="O1700" i="1" s="1"/>
  <c r="J1701" i="1"/>
  <c r="K1701" i="1"/>
  <c r="L1701" i="1"/>
  <c r="N1701" i="1" s="1"/>
  <c r="M1701" i="1"/>
  <c r="O1701" i="1" s="1"/>
  <c r="J1761" i="1"/>
  <c r="K1761" i="1"/>
  <c r="L1761" i="1"/>
  <c r="N1761" i="1" s="1"/>
  <c r="M1761" i="1"/>
  <c r="O1761" i="1" s="1"/>
  <c r="J1774" i="1"/>
  <c r="K1774" i="1"/>
  <c r="L1774" i="1"/>
  <c r="N1774" i="1" s="1"/>
  <c r="M1774" i="1"/>
  <c r="O1774" i="1" s="1"/>
  <c r="J1779" i="1"/>
  <c r="K1779" i="1"/>
  <c r="L1779" i="1"/>
  <c r="N1779" i="1" s="1"/>
  <c r="M1779" i="1"/>
  <c r="O1779" i="1" s="1"/>
  <c r="J1780" i="1"/>
  <c r="K1780" i="1"/>
  <c r="L1780" i="1"/>
  <c r="N1780" i="1" s="1"/>
  <c r="M1780" i="1"/>
  <c r="O1780" i="1" s="1"/>
  <c r="J1706" i="1"/>
  <c r="K1706" i="1"/>
  <c r="L1706" i="1"/>
  <c r="N1706" i="1" s="1"/>
  <c r="M1706" i="1"/>
  <c r="O1706" i="1" s="1"/>
  <c r="J1707" i="1"/>
  <c r="K1707" i="1"/>
  <c r="L1707" i="1"/>
  <c r="N1707" i="1" s="1"/>
  <c r="M1707" i="1"/>
  <c r="O1707" i="1" s="1"/>
  <c r="J1708" i="1"/>
  <c r="K1708" i="1"/>
  <c r="L1708" i="1"/>
  <c r="N1708" i="1" s="1"/>
  <c r="M1708" i="1"/>
  <c r="O1708" i="1" s="1"/>
  <c r="J1785" i="1"/>
  <c r="K1785" i="1"/>
  <c r="L1785" i="1"/>
  <c r="N1785" i="1" s="1"/>
  <c r="M1785" i="1"/>
  <c r="O1785" i="1" s="1"/>
  <c r="J1710" i="1"/>
  <c r="K1710" i="1"/>
  <c r="L1710" i="1"/>
  <c r="N1710" i="1" s="1"/>
  <c r="M1710" i="1"/>
  <c r="O1710" i="1" s="1"/>
  <c r="J1711" i="1"/>
  <c r="K1711" i="1"/>
  <c r="L1711" i="1"/>
  <c r="N1711" i="1" s="1"/>
  <c r="M1711" i="1"/>
  <c r="O1711" i="1" s="1"/>
  <c r="J1712" i="1"/>
  <c r="K1712" i="1"/>
  <c r="L1712" i="1"/>
  <c r="N1712" i="1" s="1"/>
  <c r="M1712" i="1"/>
  <c r="O1712" i="1" s="1"/>
  <c r="J1713" i="1"/>
  <c r="K1713" i="1"/>
  <c r="L1713" i="1"/>
  <c r="N1713" i="1" s="1"/>
  <c r="M1713" i="1"/>
  <c r="O1713" i="1" s="1"/>
  <c r="J1786" i="1"/>
  <c r="K1786" i="1"/>
  <c r="L1786" i="1"/>
  <c r="N1786" i="1" s="1"/>
  <c r="M1786" i="1"/>
  <c r="O1786" i="1" s="1"/>
  <c r="J1787" i="1"/>
  <c r="K1787" i="1"/>
  <c r="L1787" i="1"/>
  <c r="N1787" i="1" s="1"/>
  <c r="M1787" i="1"/>
  <c r="O1787" i="1" s="1"/>
  <c r="J1788" i="1"/>
  <c r="K1788" i="1"/>
  <c r="L1788" i="1"/>
  <c r="N1788" i="1" s="1"/>
  <c r="M1788" i="1"/>
  <c r="O1788" i="1" s="1"/>
  <c r="J1790" i="1"/>
  <c r="K1790" i="1"/>
  <c r="L1790" i="1"/>
  <c r="N1790" i="1" s="1"/>
  <c r="M1790" i="1"/>
  <c r="O1790" i="1" s="1"/>
  <c r="J1791" i="1"/>
  <c r="K1791" i="1"/>
  <c r="L1791" i="1"/>
  <c r="N1791" i="1" s="1"/>
  <c r="M1791" i="1"/>
  <c r="O1791" i="1" s="1"/>
  <c r="J1719" i="1"/>
  <c r="K1719" i="1"/>
  <c r="L1719" i="1"/>
  <c r="N1719" i="1" s="1"/>
  <c r="M1719" i="1"/>
  <c r="O1719" i="1" s="1"/>
  <c r="J1720" i="1"/>
  <c r="K1720" i="1"/>
  <c r="L1720" i="1"/>
  <c r="N1720" i="1" s="1"/>
  <c r="M1720" i="1"/>
  <c r="O1720" i="1" s="1"/>
  <c r="K1529" i="1"/>
  <c r="L1529" i="1"/>
  <c r="N1529" i="1" s="1"/>
  <c r="M1529" i="1"/>
  <c r="O1529" i="1" s="1"/>
  <c r="J1529" i="1"/>
  <c r="K1667" i="1"/>
  <c r="L1667" i="1"/>
  <c r="N1667" i="1" s="1"/>
  <c r="M1667" i="1"/>
  <c r="O1667" i="1" s="1"/>
  <c r="J1667" i="1"/>
  <c r="J1528" i="1"/>
  <c r="K1528" i="1"/>
  <c r="L1528" i="1"/>
  <c r="N1528" i="1" s="1"/>
  <c r="M1528" i="1"/>
  <c r="O1528" i="1" s="1"/>
  <c r="K1595" i="1"/>
  <c r="L1595" i="1"/>
  <c r="N1595" i="1" s="1"/>
  <c r="M1595" i="1"/>
  <c r="O1595" i="1" s="1"/>
  <c r="S1595" i="1"/>
  <c r="J1595" i="1"/>
  <c r="K1641" i="1"/>
  <c r="L1641" i="1"/>
  <c r="N1641" i="1" s="1"/>
  <c r="M1641" i="1"/>
  <c r="O1641" i="1" s="1"/>
  <c r="J1641" i="1"/>
  <c r="K1441" i="1"/>
  <c r="L1441" i="1"/>
  <c r="N1441" i="1" s="1"/>
  <c r="M1441" i="1"/>
  <c r="O1441" i="1" s="1"/>
  <c r="J1441" i="1"/>
  <c r="K1581" i="1"/>
  <c r="L1581" i="1"/>
  <c r="N1581" i="1" s="1"/>
  <c r="M1581" i="1"/>
  <c r="O1581" i="1" s="1"/>
  <c r="J1581" i="1"/>
  <c r="K1352" i="1"/>
  <c r="L1352" i="1"/>
  <c r="N1352" i="1" s="1"/>
  <c r="M1352" i="1"/>
  <c r="O1352" i="1" s="1"/>
  <c r="J1352" i="1"/>
  <c r="K1409" i="1"/>
  <c r="L1409" i="1"/>
  <c r="N1409" i="1" s="1"/>
  <c r="M1409" i="1"/>
  <c r="O1409" i="1" s="1"/>
  <c r="J1409" i="1"/>
  <c r="K1327" i="1"/>
  <c r="L1327" i="1"/>
  <c r="N1327" i="1" s="1"/>
  <c r="M1327" i="1"/>
  <c r="O1327" i="1" s="1"/>
  <c r="J1327" i="1"/>
  <c r="K1445" i="1"/>
  <c r="L1445" i="1"/>
  <c r="N1445" i="1" s="1"/>
  <c r="M1445" i="1"/>
  <c r="O1445" i="1" s="1"/>
  <c r="J1445" i="1"/>
  <c r="K1326" i="1"/>
  <c r="L1326" i="1"/>
  <c r="N1326" i="1" s="1"/>
  <c r="M1326" i="1"/>
  <c r="O1326" i="1" s="1"/>
  <c r="J1326" i="1"/>
  <c r="K1325" i="1"/>
  <c r="L1325" i="1"/>
  <c r="N1325" i="1" s="1"/>
  <c r="M1325" i="1"/>
  <c r="O1325" i="1" s="1"/>
  <c r="J1325" i="1"/>
  <c r="K1343" i="1"/>
  <c r="L1343" i="1"/>
  <c r="N1343" i="1" s="1"/>
  <c r="M1343" i="1"/>
  <c r="O1343" i="1" s="1"/>
  <c r="J1343" i="1"/>
  <c r="J1401" i="1"/>
  <c r="K1401" i="1"/>
  <c r="L1401" i="1"/>
  <c r="N1401" i="1" s="1"/>
  <c r="M1401" i="1"/>
  <c r="O1401" i="1" s="1"/>
  <c r="K1295" i="1"/>
  <c r="L1295" i="1"/>
  <c r="N1295" i="1" s="1"/>
  <c r="M1295" i="1"/>
  <c r="O1295" i="1" s="1"/>
  <c r="J1295" i="1"/>
  <c r="K1213" i="1"/>
  <c r="L1213" i="1"/>
  <c r="N1213" i="1" s="1"/>
  <c r="M1213" i="1"/>
  <c r="O1213" i="1" s="1"/>
  <c r="J1213" i="1"/>
  <c r="K1274" i="1"/>
  <c r="L1274" i="1"/>
  <c r="N1274" i="1" s="1"/>
  <c r="M1274" i="1"/>
  <c r="O1274" i="1" s="1"/>
  <c r="J1274" i="1"/>
  <c r="K1279" i="1"/>
  <c r="L1279" i="1"/>
  <c r="N1279" i="1" s="1"/>
  <c r="M1279" i="1"/>
  <c r="O1279" i="1" s="1"/>
  <c r="J1279" i="1"/>
  <c r="K1563" i="1"/>
  <c r="L1563" i="1"/>
  <c r="N1563" i="1" s="1"/>
  <c r="M1563" i="1"/>
  <c r="O1563" i="1" s="1"/>
  <c r="J1563" i="1"/>
  <c r="K1562" i="1"/>
  <c r="L1562" i="1"/>
  <c r="N1562" i="1" s="1"/>
  <c r="M1562" i="1"/>
  <c r="O1562" i="1" s="1"/>
  <c r="J1562" i="1"/>
  <c r="K1342" i="1"/>
  <c r="L1342" i="1"/>
  <c r="N1342" i="1" s="1"/>
  <c r="M1342" i="1"/>
  <c r="O1342" i="1" s="1"/>
  <c r="J1342" i="1"/>
  <c r="K1318" i="1"/>
  <c r="L1318" i="1"/>
  <c r="N1318" i="1" s="1"/>
  <c r="M1318" i="1"/>
  <c r="O1318" i="1" s="1"/>
  <c r="J1318" i="1"/>
  <c r="S1588" i="1"/>
  <c r="K1588" i="1"/>
  <c r="L1588" i="1"/>
  <c r="N1588" i="1" s="1"/>
  <c r="M1588" i="1"/>
  <c r="O1588" i="1" s="1"/>
  <c r="J1588" i="1"/>
  <c r="K1444" i="1"/>
  <c r="L1444" i="1"/>
  <c r="N1444" i="1" s="1"/>
  <c r="M1444" i="1"/>
  <c r="O1444" i="1" s="1"/>
  <c r="J1444" i="1"/>
  <c r="K1440" i="1"/>
  <c r="L1440" i="1"/>
  <c r="N1440" i="1" s="1"/>
  <c r="M1440" i="1"/>
  <c r="O1440" i="1" s="1"/>
  <c r="J1440" i="1"/>
  <c r="K1417" i="1"/>
  <c r="L1417" i="1"/>
  <c r="N1417" i="1" s="1"/>
  <c r="M1417" i="1"/>
  <c r="O1417" i="1" s="1"/>
  <c r="J1417" i="1"/>
  <c r="J1416" i="1"/>
  <c r="K1416" i="1"/>
  <c r="L1416" i="1"/>
  <c r="N1416" i="1" s="1"/>
  <c r="M1416" i="1"/>
  <c r="O1416" i="1" s="1"/>
  <c r="S1454" i="1"/>
  <c r="S1355" i="1"/>
  <c r="S1356" i="1"/>
  <c r="S1357" i="1"/>
  <c r="S1457" i="1"/>
  <c r="S177" i="1"/>
  <c r="S1460" i="1"/>
  <c r="S1363" i="1"/>
  <c r="S1364" i="1"/>
  <c r="S1365" i="1"/>
  <c r="S1366" i="1"/>
  <c r="S1367" i="1"/>
  <c r="S1461" i="1"/>
  <c r="S1369" i="1"/>
  <c r="S1370" i="1"/>
  <c r="S133" i="1"/>
  <c r="S112" i="1"/>
  <c r="S1463" i="1"/>
  <c r="S1377" i="1"/>
  <c r="S1378" i="1"/>
  <c r="S1379" i="1"/>
  <c r="S1380" i="1"/>
  <c r="S1382" i="1"/>
  <c r="S1465" i="1"/>
  <c r="S1466" i="1"/>
  <c r="S1468" i="1"/>
  <c r="S1473" i="1"/>
  <c r="S1387" i="1"/>
  <c r="S1474" i="1"/>
  <c r="S1477" i="1"/>
  <c r="S1478" i="1"/>
  <c r="S1481" i="1"/>
  <c r="S1486" i="1"/>
  <c r="S1491" i="1"/>
  <c r="S1492" i="1"/>
  <c r="S1395" i="1"/>
  <c r="S1504" i="1"/>
  <c r="S1403" i="1"/>
  <c r="S1404" i="1"/>
  <c r="S1406" i="1"/>
  <c r="S1512" i="1"/>
  <c r="S1408" i="1"/>
  <c r="S1513" i="1"/>
  <c r="S1411" i="1"/>
  <c r="S1412" i="1"/>
  <c r="S1413" i="1"/>
  <c r="S1514" i="1"/>
  <c r="S1415" i="1"/>
  <c r="S1519" i="1"/>
  <c r="S1421" i="1"/>
  <c r="S1422" i="1"/>
  <c r="S1423" i="1"/>
  <c r="S1424" i="1"/>
  <c r="S1425" i="1"/>
  <c r="S1426" i="1"/>
  <c r="S1427" i="1"/>
  <c r="S1428" i="1"/>
  <c r="S1429" i="1"/>
  <c r="S1430" i="1"/>
  <c r="S1431" i="1"/>
  <c r="S1520" i="1"/>
  <c r="S1434" i="1"/>
  <c r="S1435" i="1"/>
  <c r="S1436" i="1"/>
  <c r="S1437" i="1"/>
  <c r="S1527" i="1"/>
  <c r="S1439" i="1"/>
  <c r="S1443" i="1"/>
  <c r="S1531" i="1"/>
  <c r="S1447" i="1"/>
  <c r="S1533" i="1"/>
  <c r="S1449" i="1"/>
  <c r="S1450" i="1"/>
  <c r="S1451" i="1"/>
  <c r="S1452" i="1"/>
  <c r="S1534" i="1"/>
  <c r="S1535" i="1"/>
  <c r="S1537" i="1"/>
  <c r="S1538" i="1"/>
  <c r="S1539" i="1"/>
  <c r="S1458" i="1"/>
  <c r="S1459" i="1"/>
  <c r="S1540" i="1"/>
  <c r="S1545" i="1"/>
  <c r="S1546" i="1"/>
  <c r="S1547" i="1"/>
  <c r="S1464" i="1"/>
  <c r="S1548" i="1"/>
  <c r="S1549" i="1"/>
  <c r="S1467" i="1"/>
  <c r="S1470" i="1"/>
  <c r="S1471" i="1"/>
  <c r="S1557" i="1"/>
  <c r="S1475" i="1"/>
  <c r="S1476" i="1"/>
  <c r="S154" i="1"/>
  <c r="S1558" i="1"/>
  <c r="S1479" i="1"/>
  <c r="S1480" i="1"/>
  <c r="S1484" i="1"/>
  <c r="S1497" i="1"/>
  <c r="S1485" i="1"/>
  <c r="S1571" i="1"/>
  <c r="S1487" i="1"/>
  <c r="S1488" i="1"/>
  <c r="S1489" i="1"/>
  <c r="S1490" i="1"/>
  <c r="S1498" i="1"/>
  <c r="S1499" i="1"/>
  <c r="S1500" i="1"/>
  <c r="S1501" i="1"/>
  <c r="S1584" i="1"/>
  <c r="S202" i="1"/>
  <c r="S1505" i="1"/>
  <c r="S1506" i="1"/>
  <c r="S1507" i="1"/>
  <c r="S1508" i="1"/>
  <c r="S1509" i="1"/>
  <c r="S1510" i="1"/>
  <c r="S1511" i="1"/>
  <c r="S1585" i="1"/>
  <c r="S1518" i="1"/>
  <c r="S1605" i="1"/>
  <c r="S206" i="1"/>
  <c r="S1521" i="1"/>
  <c r="S1522" i="1"/>
  <c r="S1523" i="1"/>
  <c r="S1524" i="1"/>
  <c r="S1532" i="1"/>
  <c r="S109" i="1"/>
  <c r="S166" i="1"/>
  <c r="S1614" i="1"/>
  <c r="S1536" i="1"/>
  <c r="S1615" i="1"/>
  <c r="S1616" i="1"/>
  <c r="S1617" i="1"/>
  <c r="S1624" i="1"/>
  <c r="S1541" i="1"/>
  <c r="S1542" i="1"/>
  <c r="S1543" i="1"/>
  <c r="S1544" i="1"/>
  <c r="S1626" i="1"/>
  <c r="S1628" i="1"/>
  <c r="S1629" i="1"/>
  <c r="S1630" i="1"/>
  <c r="S1631" i="1"/>
  <c r="S1642" i="1"/>
  <c r="S1551" i="1"/>
  <c r="S1552" i="1"/>
  <c r="S1553" i="1"/>
  <c r="S1647" i="1"/>
  <c r="S1555" i="1"/>
  <c r="S1559" i="1"/>
  <c r="S1560" i="1"/>
  <c r="S1561" i="1"/>
  <c r="S1566" i="1"/>
  <c r="S1650" i="1"/>
  <c r="S1568" i="1"/>
  <c r="S1569" i="1"/>
  <c r="S1655" i="1"/>
  <c r="S1575" i="1"/>
  <c r="S1576" i="1"/>
  <c r="S1577" i="1"/>
  <c r="S1578" i="1"/>
  <c r="S1579" i="1"/>
  <c r="S1580" i="1"/>
  <c r="S111" i="1"/>
  <c r="S1669" i="1"/>
  <c r="S1586" i="1"/>
  <c r="S103" i="1"/>
  <c r="S1587" i="1"/>
  <c r="S1591" i="1"/>
  <c r="S1592" i="1"/>
  <c r="S1593" i="1"/>
  <c r="S1594" i="1"/>
  <c r="S1599" i="1"/>
  <c r="S1671" i="1"/>
  <c r="S1601" i="1"/>
  <c r="S1673" i="1"/>
  <c r="S1606" i="1"/>
  <c r="S1607" i="1"/>
  <c r="S1608" i="1"/>
  <c r="S1609" i="1"/>
  <c r="S1690" i="1"/>
  <c r="S1691" i="1"/>
  <c r="S1693" i="1"/>
  <c r="S1698" i="1"/>
  <c r="S1702" i="1"/>
  <c r="S1618" i="1"/>
  <c r="S1619" i="1"/>
  <c r="S1620" i="1"/>
  <c r="S1622" i="1"/>
  <c r="S1623" i="1"/>
  <c r="S1703" i="1"/>
  <c r="S1625" i="1"/>
  <c r="S1704" i="1"/>
  <c r="S1627" i="1"/>
  <c r="S1705" i="1"/>
  <c r="S1709" i="1"/>
  <c r="S1714" i="1"/>
  <c r="S1715" i="1"/>
  <c r="S1632" i="1"/>
  <c r="S1633" i="1"/>
  <c r="S1634" i="1"/>
  <c r="S1636" i="1"/>
  <c r="S1637" i="1"/>
  <c r="S1639" i="1"/>
  <c r="S1640" i="1"/>
  <c r="S1716" i="1"/>
  <c r="S1643" i="1"/>
  <c r="S1644" i="1"/>
  <c r="S1645" i="1"/>
  <c r="S1646" i="1"/>
  <c r="S1717" i="1"/>
  <c r="S1718" i="1"/>
  <c r="S165" i="1"/>
  <c r="S1728" i="1"/>
  <c r="S1734" i="1"/>
  <c r="S1653" i="1"/>
  <c r="S1654" i="1"/>
  <c r="S1737" i="1"/>
  <c r="S1656" i="1"/>
  <c r="S1738" i="1"/>
  <c r="S1658" i="1"/>
  <c r="S1659" i="1"/>
  <c r="S1660" i="1"/>
  <c r="S1661" i="1"/>
  <c r="S1662" i="1"/>
  <c r="S1663" i="1"/>
  <c r="S1664" i="1"/>
  <c r="S1665" i="1"/>
  <c r="S1666" i="1"/>
  <c r="S1674" i="1"/>
  <c r="S1675" i="1"/>
  <c r="S1677" i="1"/>
  <c r="S1678" i="1"/>
  <c r="S1679" i="1"/>
  <c r="S1680" i="1"/>
  <c r="S1682" i="1"/>
  <c r="S1472" i="1"/>
  <c r="S1742" i="1"/>
  <c r="S1758" i="1"/>
  <c r="S1692" i="1"/>
  <c r="J1662" i="1"/>
  <c r="K1662" i="1"/>
  <c r="L1662" i="1"/>
  <c r="N1662" i="1" s="1"/>
  <c r="M1662" i="1"/>
  <c r="O1662" i="1" s="1"/>
  <c r="J1663" i="1"/>
  <c r="K1663" i="1"/>
  <c r="L1663" i="1"/>
  <c r="N1663" i="1" s="1"/>
  <c r="M1663" i="1"/>
  <c r="O1663" i="1" s="1"/>
  <c r="J1664" i="1"/>
  <c r="K1664" i="1"/>
  <c r="L1664" i="1"/>
  <c r="N1664" i="1" s="1"/>
  <c r="M1664" i="1"/>
  <c r="O1664" i="1" s="1"/>
  <c r="J1665" i="1"/>
  <c r="K1665" i="1"/>
  <c r="L1665" i="1"/>
  <c r="N1665" i="1" s="1"/>
  <c r="M1665" i="1"/>
  <c r="O1665" i="1" s="1"/>
  <c r="J1666" i="1"/>
  <c r="K1666" i="1"/>
  <c r="L1666" i="1"/>
  <c r="N1666" i="1" s="1"/>
  <c r="M1666" i="1"/>
  <c r="O1666" i="1" s="1"/>
  <c r="J1675" i="1"/>
  <c r="K1675" i="1"/>
  <c r="L1675" i="1"/>
  <c r="N1675" i="1" s="1"/>
  <c r="M1675" i="1"/>
  <c r="O1675" i="1" s="1"/>
  <c r="J1676" i="1"/>
  <c r="K1676" i="1"/>
  <c r="L1676" i="1"/>
  <c r="N1676" i="1" s="1"/>
  <c r="M1676" i="1"/>
  <c r="O1676" i="1" s="1"/>
  <c r="J1677" i="1"/>
  <c r="K1677" i="1"/>
  <c r="L1677" i="1"/>
  <c r="N1677" i="1" s="1"/>
  <c r="M1677" i="1"/>
  <c r="O1677" i="1" s="1"/>
  <c r="J1678" i="1"/>
  <c r="K1678" i="1"/>
  <c r="L1678" i="1"/>
  <c r="N1678" i="1" s="1"/>
  <c r="M1678" i="1"/>
  <c r="O1678" i="1" s="1"/>
  <c r="J1679" i="1"/>
  <c r="K1679" i="1"/>
  <c r="L1679" i="1"/>
  <c r="N1679" i="1" s="1"/>
  <c r="M1679" i="1"/>
  <c r="O1679" i="1" s="1"/>
  <c r="J1680" i="1"/>
  <c r="K1680" i="1"/>
  <c r="L1680" i="1"/>
  <c r="N1680" i="1" s="1"/>
  <c r="M1680" i="1"/>
  <c r="O1680" i="1" s="1"/>
  <c r="J1681" i="1"/>
  <c r="K1681" i="1"/>
  <c r="L1681" i="1"/>
  <c r="N1681" i="1" s="1"/>
  <c r="M1681" i="1"/>
  <c r="O1681" i="1" s="1"/>
  <c r="J1682" i="1"/>
  <c r="K1682" i="1"/>
  <c r="L1682" i="1"/>
  <c r="N1682" i="1" s="1"/>
  <c r="M1682" i="1"/>
  <c r="O1682" i="1" s="1"/>
  <c r="J1742" i="1"/>
  <c r="K1742" i="1"/>
  <c r="L1742" i="1"/>
  <c r="N1742" i="1" s="1"/>
  <c r="M1742" i="1"/>
  <c r="O1742" i="1" s="1"/>
  <c r="J1758" i="1"/>
  <c r="K1758" i="1"/>
  <c r="L1758" i="1"/>
  <c r="N1758" i="1" s="1"/>
  <c r="M1758" i="1"/>
  <c r="O1758" i="1" s="1"/>
  <c r="J1692" i="1"/>
  <c r="K1692" i="1"/>
  <c r="L1692" i="1"/>
  <c r="N1692" i="1" s="1"/>
  <c r="M1692" i="1"/>
  <c r="O1692" i="1" s="1"/>
  <c r="J1646" i="1"/>
  <c r="K1646" i="1"/>
  <c r="L1646" i="1"/>
  <c r="N1646" i="1" s="1"/>
  <c r="M1646" i="1"/>
  <c r="O1646" i="1" s="1"/>
  <c r="J111" i="1"/>
  <c r="K111" i="1"/>
  <c r="L111" i="1"/>
  <c r="N111" i="1" s="1"/>
  <c r="M111" i="1"/>
  <c r="O111" i="1" s="1"/>
  <c r="J1608" i="1"/>
  <c r="K1608" i="1"/>
  <c r="L1608" i="1"/>
  <c r="N1608" i="1" s="1"/>
  <c r="M1608" i="1"/>
  <c r="O1608" i="1" s="1"/>
  <c r="J1609" i="1"/>
  <c r="K1609" i="1"/>
  <c r="L1609" i="1"/>
  <c r="N1609" i="1" s="1"/>
  <c r="M1609" i="1"/>
  <c r="O1609" i="1" s="1"/>
  <c r="J1671" i="1"/>
  <c r="K1671" i="1"/>
  <c r="L1671" i="1"/>
  <c r="N1671" i="1" s="1"/>
  <c r="M1671" i="1"/>
  <c r="O1671" i="1" s="1"/>
  <c r="J1717" i="1"/>
  <c r="K1717" i="1"/>
  <c r="L1717" i="1"/>
  <c r="N1717" i="1" s="1"/>
  <c r="M1717" i="1"/>
  <c r="O1717" i="1" s="1"/>
  <c r="J1718" i="1"/>
  <c r="K1718" i="1"/>
  <c r="L1718" i="1"/>
  <c r="N1718" i="1" s="1"/>
  <c r="M1718" i="1"/>
  <c r="O1718" i="1" s="1"/>
  <c r="J165" i="1"/>
  <c r="K165" i="1"/>
  <c r="L165" i="1"/>
  <c r="N165" i="1" s="1"/>
  <c r="M165" i="1"/>
  <c r="O165" i="1" s="1"/>
  <c r="J1728" i="1"/>
  <c r="K1728" i="1"/>
  <c r="L1728" i="1"/>
  <c r="N1728" i="1" s="1"/>
  <c r="M1728" i="1"/>
  <c r="O1728" i="1" s="1"/>
  <c r="J1734" i="1"/>
  <c r="K1734" i="1"/>
  <c r="L1734" i="1"/>
  <c r="N1734" i="1" s="1"/>
  <c r="M1734" i="1"/>
  <c r="O1734" i="1" s="1"/>
  <c r="J1653" i="1"/>
  <c r="K1653" i="1"/>
  <c r="L1653" i="1"/>
  <c r="N1653" i="1" s="1"/>
  <c r="M1653" i="1"/>
  <c r="O1653" i="1" s="1"/>
  <c r="J1654" i="1"/>
  <c r="K1654" i="1"/>
  <c r="L1654" i="1"/>
  <c r="N1654" i="1" s="1"/>
  <c r="M1654" i="1"/>
  <c r="O1654" i="1" s="1"/>
  <c r="J1737" i="1"/>
  <c r="K1737" i="1"/>
  <c r="L1737" i="1"/>
  <c r="N1737" i="1" s="1"/>
  <c r="M1737" i="1"/>
  <c r="O1737" i="1" s="1"/>
  <c r="J1656" i="1"/>
  <c r="K1656" i="1"/>
  <c r="L1656" i="1"/>
  <c r="N1656" i="1" s="1"/>
  <c r="M1656" i="1"/>
  <c r="O1656" i="1" s="1"/>
  <c r="J1674" i="1"/>
  <c r="K1674" i="1"/>
  <c r="L1674" i="1"/>
  <c r="N1674" i="1" s="1"/>
  <c r="M1674" i="1"/>
  <c r="O1674" i="1" s="1"/>
  <c r="J1738" i="1"/>
  <c r="K1738" i="1"/>
  <c r="L1738" i="1"/>
  <c r="N1738" i="1" s="1"/>
  <c r="M1738" i="1"/>
  <c r="O1738" i="1" s="1"/>
  <c r="J1658" i="1"/>
  <c r="K1658" i="1"/>
  <c r="L1658" i="1"/>
  <c r="N1658" i="1" s="1"/>
  <c r="M1658" i="1"/>
  <c r="O1658" i="1" s="1"/>
  <c r="J1659" i="1"/>
  <c r="K1659" i="1"/>
  <c r="L1659" i="1"/>
  <c r="N1659" i="1" s="1"/>
  <c r="M1659" i="1"/>
  <c r="O1659" i="1" s="1"/>
  <c r="J1660" i="1"/>
  <c r="K1660" i="1"/>
  <c r="L1660" i="1"/>
  <c r="N1660" i="1" s="1"/>
  <c r="M1660" i="1"/>
  <c r="O1660" i="1" s="1"/>
  <c r="J1661" i="1"/>
  <c r="K1661" i="1"/>
  <c r="L1661" i="1"/>
  <c r="N1661" i="1" s="1"/>
  <c r="M1661" i="1"/>
  <c r="O1661" i="1" s="1"/>
  <c r="J1640" i="1"/>
  <c r="K1640" i="1"/>
  <c r="L1640" i="1"/>
  <c r="N1640" i="1" s="1"/>
  <c r="M1640" i="1"/>
  <c r="O1640" i="1" s="1"/>
  <c r="J103" i="1"/>
  <c r="K103" i="1"/>
  <c r="L103" i="1"/>
  <c r="N103" i="1" s="1"/>
  <c r="M103" i="1"/>
  <c r="O103" i="1" s="1"/>
  <c r="J1579" i="1"/>
  <c r="K1579" i="1"/>
  <c r="L1579" i="1"/>
  <c r="N1579" i="1" s="1"/>
  <c r="M1579" i="1"/>
  <c r="O1579" i="1" s="1"/>
  <c r="J1593" i="1"/>
  <c r="K1593" i="1"/>
  <c r="L1593" i="1"/>
  <c r="N1593" i="1" s="1"/>
  <c r="M1593" i="1"/>
  <c r="O1593" i="1" s="1"/>
  <c r="J1594" i="1"/>
  <c r="K1594" i="1"/>
  <c r="L1594" i="1"/>
  <c r="N1594" i="1" s="1"/>
  <c r="M1594" i="1"/>
  <c r="O1594" i="1" s="1"/>
  <c r="J1568" i="1"/>
  <c r="K1568" i="1"/>
  <c r="L1568" i="1"/>
  <c r="N1568" i="1" s="1"/>
  <c r="M1568" i="1"/>
  <c r="O1568" i="1" s="1"/>
  <c r="J1585" i="1"/>
  <c r="K1585" i="1"/>
  <c r="L1585" i="1"/>
  <c r="N1585" i="1" s="1"/>
  <c r="M1585" i="1"/>
  <c r="O1585" i="1" s="1"/>
  <c r="J1569" i="1"/>
  <c r="K1569" i="1"/>
  <c r="L1569" i="1"/>
  <c r="N1569" i="1" s="1"/>
  <c r="M1569" i="1"/>
  <c r="O1569" i="1" s="1"/>
  <c r="J1645" i="1"/>
  <c r="K1645" i="1"/>
  <c r="L1645" i="1"/>
  <c r="N1645" i="1" s="1"/>
  <c r="M1645" i="1"/>
  <c r="O1645" i="1" s="1"/>
  <c r="J1587" i="1"/>
  <c r="K1587" i="1"/>
  <c r="L1587" i="1"/>
  <c r="N1587" i="1" s="1"/>
  <c r="M1587" i="1"/>
  <c r="O1587" i="1" s="1"/>
  <c r="J1580" i="1"/>
  <c r="K1580" i="1"/>
  <c r="L1580" i="1"/>
  <c r="N1580" i="1" s="1"/>
  <c r="M1580" i="1"/>
  <c r="O1580" i="1" s="1"/>
  <c r="J1578" i="1"/>
  <c r="K1578" i="1"/>
  <c r="L1578" i="1"/>
  <c r="N1578" i="1" s="1"/>
  <c r="M1578" i="1"/>
  <c r="O1578" i="1" s="1"/>
  <c r="J1650" i="1"/>
  <c r="K1650" i="1"/>
  <c r="L1650" i="1"/>
  <c r="N1650" i="1" s="1"/>
  <c r="M1650" i="1"/>
  <c r="O1650" i="1" s="1"/>
  <c r="J1561" i="1"/>
  <c r="K1561" i="1"/>
  <c r="L1561" i="1"/>
  <c r="N1561" i="1" s="1"/>
  <c r="M1561" i="1"/>
  <c r="O1561" i="1" s="1"/>
  <c r="M1639" i="1"/>
  <c r="O1639" i="1" s="1"/>
  <c r="L1639" i="1"/>
  <c r="N1639" i="1" s="1"/>
  <c r="K1639" i="1"/>
  <c r="J1639" i="1"/>
  <c r="J1621" i="1"/>
  <c r="K1621" i="1"/>
  <c r="L1621" i="1"/>
  <c r="N1621" i="1" s="1"/>
  <c r="M1621" i="1"/>
  <c r="O1621" i="1" s="1"/>
  <c r="J1622" i="1"/>
  <c r="K1622" i="1"/>
  <c r="L1622" i="1"/>
  <c r="N1622" i="1" s="1"/>
  <c r="M1622" i="1"/>
  <c r="O1622" i="1" s="1"/>
  <c r="K1332" i="1"/>
  <c r="L1332" i="1"/>
  <c r="N1332" i="1" s="1"/>
  <c r="M1332" i="1"/>
  <c r="O1332" i="1" s="1"/>
  <c r="J1332" i="1"/>
  <c r="K828" i="1"/>
  <c r="L828" i="1"/>
  <c r="N828" i="1" s="1"/>
  <c r="M828" i="1"/>
  <c r="O828" i="1" s="1"/>
  <c r="J828" i="1"/>
  <c r="P1550" i="1"/>
  <c r="J1364" i="1"/>
  <c r="K1364" i="1"/>
  <c r="L1364" i="1"/>
  <c r="N1364" i="1" s="1"/>
  <c r="M1364" i="1"/>
  <c r="O1364" i="1" s="1"/>
  <c r="J1365" i="1"/>
  <c r="K1365" i="1"/>
  <c r="L1365" i="1"/>
  <c r="N1365" i="1" s="1"/>
  <c r="M1365" i="1"/>
  <c r="O1365" i="1" s="1"/>
  <c r="J133" i="1"/>
  <c r="K133" i="1"/>
  <c r="L133" i="1"/>
  <c r="N133" i="1" s="1"/>
  <c r="M133" i="1"/>
  <c r="O133" i="1" s="1"/>
  <c r="J143" i="1"/>
  <c r="K143" i="1"/>
  <c r="L143" i="1"/>
  <c r="N143" i="1" s="1"/>
  <c r="M143" i="1"/>
  <c r="O143" i="1" s="1"/>
  <c r="J1513" i="1"/>
  <c r="K1513" i="1"/>
  <c r="L1513" i="1"/>
  <c r="N1513" i="1" s="1"/>
  <c r="M1513" i="1"/>
  <c r="O1513" i="1" s="1"/>
  <c r="J1512" i="1"/>
  <c r="K1512" i="1"/>
  <c r="L1512" i="1"/>
  <c r="N1512" i="1" s="1"/>
  <c r="M1512" i="1"/>
  <c r="O1512" i="1" s="1"/>
  <c r="J1366" i="1"/>
  <c r="K1366" i="1"/>
  <c r="L1366" i="1"/>
  <c r="N1366" i="1" s="1"/>
  <c r="M1366" i="1"/>
  <c r="O1366" i="1" s="1"/>
  <c r="J1408" i="1"/>
  <c r="K1408" i="1"/>
  <c r="L1408" i="1"/>
  <c r="N1408" i="1" s="1"/>
  <c r="M1408" i="1"/>
  <c r="O1408" i="1" s="1"/>
  <c r="J1411" i="1"/>
  <c r="K1411" i="1"/>
  <c r="L1411" i="1"/>
  <c r="N1411" i="1" s="1"/>
  <c r="M1411" i="1"/>
  <c r="O1411" i="1" s="1"/>
  <c r="J1412" i="1"/>
  <c r="K1412" i="1"/>
  <c r="L1412" i="1"/>
  <c r="N1412" i="1" s="1"/>
  <c r="M1412" i="1"/>
  <c r="O1412" i="1" s="1"/>
  <c r="J1413" i="1"/>
  <c r="K1413" i="1"/>
  <c r="L1413" i="1"/>
  <c r="N1413" i="1" s="1"/>
  <c r="M1413" i="1"/>
  <c r="O1413" i="1" s="1"/>
  <c r="J1514" i="1"/>
  <c r="K1514" i="1"/>
  <c r="L1514" i="1"/>
  <c r="N1514" i="1" s="1"/>
  <c r="M1514" i="1"/>
  <c r="O1514" i="1" s="1"/>
  <c r="J1415" i="1"/>
  <c r="K1415" i="1"/>
  <c r="L1415" i="1"/>
  <c r="N1415" i="1" s="1"/>
  <c r="M1415" i="1"/>
  <c r="O1415" i="1" s="1"/>
  <c r="J1367" i="1"/>
  <c r="K1367" i="1"/>
  <c r="L1367" i="1"/>
  <c r="N1367" i="1" s="1"/>
  <c r="M1367" i="1"/>
  <c r="O1367" i="1" s="1"/>
  <c r="J1461" i="1"/>
  <c r="K1461" i="1"/>
  <c r="L1461" i="1"/>
  <c r="N1461" i="1" s="1"/>
  <c r="M1461" i="1"/>
  <c r="O1461" i="1" s="1"/>
  <c r="J1355" i="1"/>
  <c r="K1355" i="1"/>
  <c r="L1355" i="1"/>
  <c r="N1355" i="1" s="1"/>
  <c r="M1355" i="1"/>
  <c r="O1355" i="1" s="1"/>
  <c r="J1356" i="1"/>
  <c r="K1356" i="1"/>
  <c r="L1356" i="1"/>
  <c r="N1356" i="1" s="1"/>
  <c r="M1356" i="1"/>
  <c r="O1356" i="1" s="1"/>
  <c r="J1369" i="1"/>
  <c r="K1369" i="1"/>
  <c r="L1369" i="1"/>
  <c r="N1369" i="1" s="1"/>
  <c r="M1369" i="1"/>
  <c r="O1369" i="1" s="1"/>
  <c r="J1531" i="1"/>
  <c r="K1531" i="1"/>
  <c r="L1531" i="1"/>
  <c r="N1531" i="1" s="1"/>
  <c r="M1531" i="1"/>
  <c r="O1531" i="1" s="1"/>
  <c r="J1447" i="1"/>
  <c r="K1447" i="1"/>
  <c r="L1447" i="1"/>
  <c r="N1447" i="1" s="1"/>
  <c r="M1447" i="1"/>
  <c r="O1447" i="1" s="1"/>
  <c r="J1533" i="1"/>
  <c r="K1533" i="1"/>
  <c r="L1533" i="1"/>
  <c r="N1533" i="1" s="1"/>
  <c r="M1533" i="1"/>
  <c r="O1533" i="1" s="1"/>
  <c r="J1449" i="1"/>
  <c r="K1449" i="1"/>
  <c r="L1449" i="1"/>
  <c r="N1449" i="1" s="1"/>
  <c r="M1449" i="1"/>
  <c r="O1449" i="1" s="1"/>
  <c r="J1450" i="1"/>
  <c r="K1450" i="1"/>
  <c r="L1450" i="1"/>
  <c r="N1450" i="1" s="1"/>
  <c r="M1450" i="1"/>
  <c r="O1450" i="1" s="1"/>
  <c r="J1451" i="1"/>
  <c r="K1451" i="1"/>
  <c r="L1451" i="1"/>
  <c r="N1451" i="1" s="1"/>
  <c r="M1451" i="1"/>
  <c r="O1451" i="1" s="1"/>
  <c r="J1452" i="1"/>
  <c r="K1452" i="1"/>
  <c r="L1452" i="1"/>
  <c r="N1452" i="1" s="1"/>
  <c r="M1452" i="1"/>
  <c r="O1452" i="1" s="1"/>
  <c r="J1534" i="1"/>
  <c r="K1534" i="1"/>
  <c r="L1534" i="1"/>
  <c r="N1534" i="1" s="1"/>
  <c r="M1534" i="1"/>
  <c r="O1534" i="1" s="1"/>
  <c r="J1535" i="1"/>
  <c r="K1535" i="1"/>
  <c r="L1535" i="1"/>
  <c r="N1535" i="1" s="1"/>
  <c r="M1535" i="1"/>
  <c r="O1535" i="1" s="1"/>
  <c r="J1537" i="1"/>
  <c r="K1537" i="1"/>
  <c r="L1537" i="1"/>
  <c r="N1537" i="1" s="1"/>
  <c r="M1537" i="1"/>
  <c r="O1537" i="1" s="1"/>
  <c r="J1538" i="1"/>
  <c r="K1538" i="1"/>
  <c r="L1538" i="1"/>
  <c r="N1538" i="1" s="1"/>
  <c r="M1538" i="1"/>
  <c r="O1538" i="1" s="1"/>
  <c r="J1539" i="1"/>
  <c r="K1539" i="1"/>
  <c r="L1539" i="1"/>
  <c r="N1539" i="1" s="1"/>
  <c r="M1539" i="1"/>
  <c r="O1539" i="1" s="1"/>
  <c r="J1458" i="1"/>
  <c r="K1458" i="1"/>
  <c r="L1458" i="1"/>
  <c r="N1458" i="1" s="1"/>
  <c r="M1458" i="1"/>
  <c r="O1458" i="1" s="1"/>
  <c r="J1459" i="1"/>
  <c r="K1459" i="1"/>
  <c r="L1459" i="1"/>
  <c r="N1459" i="1" s="1"/>
  <c r="M1459" i="1"/>
  <c r="O1459" i="1" s="1"/>
  <c r="J1540" i="1"/>
  <c r="K1540" i="1"/>
  <c r="L1540" i="1"/>
  <c r="N1540" i="1" s="1"/>
  <c r="M1540" i="1"/>
  <c r="O1540" i="1" s="1"/>
  <c r="J1545" i="1"/>
  <c r="K1545" i="1"/>
  <c r="L1545" i="1"/>
  <c r="N1545" i="1" s="1"/>
  <c r="M1545" i="1"/>
  <c r="O1545" i="1" s="1"/>
  <c r="J1546" i="1"/>
  <c r="K1546" i="1"/>
  <c r="L1546" i="1"/>
  <c r="N1546" i="1" s="1"/>
  <c r="M1546" i="1"/>
  <c r="O1546" i="1" s="1"/>
  <c r="J1547" i="1"/>
  <c r="K1547" i="1"/>
  <c r="L1547" i="1"/>
  <c r="N1547" i="1" s="1"/>
  <c r="M1547" i="1"/>
  <c r="O1547" i="1" s="1"/>
  <c r="J1464" i="1"/>
  <c r="K1464" i="1"/>
  <c r="L1464" i="1"/>
  <c r="N1464" i="1" s="1"/>
  <c r="M1464" i="1"/>
  <c r="O1464" i="1" s="1"/>
  <c r="J1548" i="1"/>
  <c r="K1548" i="1"/>
  <c r="L1548" i="1"/>
  <c r="N1548" i="1" s="1"/>
  <c r="M1548" i="1"/>
  <c r="O1548" i="1" s="1"/>
  <c r="J1549" i="1"/>
  <c r="K1549" i="1"/>
  <c r="L1549" i="1"/>
  <c r="N1549" i="1" s="1"/>
  <c r="M1549" i="1"/>
  <c r="O1549" i="1" s="1"/>
  <c r="J1467" i="1"/>
  <c r="K1467" i="1"/>
  <c r="L1467" i="1"/>
  <c r="N1467" i="1" s="1"/>
  <c r="M1467" i="1"/>
  <c r="O1467" i="1" s="1"/>
  <c r="J1550" i="1"/>
  <c r="K1550" i="1"/>
  <c r="L1550" i="1"/>
  <c r="N1550" i="1" s="1"/>
  <c r="M1550" i="1"/>
  <c r="O1550" i="1" s="1"/>
  <c r="J1469" i="1"/>
  <c r="K1469" i="1"/>
  <c r="L1469" i="1"/>
  <c r="N1469" i="1" s="1"/>
  <c r="M1469" i="1"/>
  <c r="O1469" i="1" s="1"/>
  <c r="J1357" i="1"/>
  <c r="K1357" i="1"/>
  <c r="L1357" i="1"/>
  <c r="N1357" i="1" s="1"/>
  <c r="M1357" i="1"/>
  <c r="O1357" i="1" s="1"/>
  <c r="J1519" i="1"/>
  <c r="K1519" i="1"/>
  <c r="L1519" i="1"/>
  <c r="N1519" i="1" s="1"/>
  <c r="M1519" i="1"/>
  <c r="O1519" i="1" s="1"/>
  <c r="J1421" i="1"/>
  <c r="K1421" i="1"/>
  <c r="L1421" i="1"/>
  <c r="N1421" i="1" s="1"/>
  <c r="M1421" i="1"/>
  <c r="O1421" i="1" s="1"/>
  <c r="J1422" i="1"/>
  <c r="K1422" i="1"/>
  <c r="L1422" i="1"/>
  <c r="N1422" i="1" s="1"/>
  <c r="M1422" i="1"/>
  <c r="O1422" i="1" s="1"/>
  <c r="J1423" i="1"/>
  <c r="K1423" i="1"/>
  <c r="L1423" i="1"/>
  <c r="N1423" i="1" s="1"/>
  <c r="M1423" i="1"/>
  <c r="O1423" i="1" s="1"/>
  <c r="J1424" i="1"/>
  <c r="K1424" i="1"/>
  <c r="L1424" i="1"/>
  <c r="N1424" i="1" s="1"/>
  <c r="M1424" i="1"/>
  <c r="O1424" i="1" s="1"/>
  <c r="J1425" i="1"/>
  <c r="K1425" i="1"/>
  <c r="L1425" i="1"/>
  <c r="N1425" i="1" s="1"/>
  <c r="M1425" i="1"/>
  <c r="O1425" i="1" s="1"/>
  <c r="J1426" i="1"/>
  <c r="K1426" i="1"/>
  <c r="L1426" i="1"/>
  <c r="N1426" i="1" s="1"/>
  <c r="M1426" i="1"/>
  <c r="O1426" i="1" s="1"/>
  <c r="J1427" i="1"/>
  <c r="K1427" i="1"/>
  <c r="L1427" i="1"/>
  <c r="N1427" i="1" s="1"/>
  <c r="M1427" i="1"/>
  <c r="O1427" i="1" s="1"/>
  <c r="J1428" i="1"/>
  <c r="K1428" i="1"/>
  <c r="L1428" i="1"/>
  <c r="N1428" i="1" s="1"/>
  <c r="M1428" i="1"/>
  <c r="O1428" i="1" s="1"/>
  <c r="J1429" i="1"/>
  <c r="K1429" i="1"/>
  <c r="L1429" i="1"/>
  <c r="N1429" i="1" s="1"/>
  <c r="M1429" i="1"/>
  <c r="O1429" i="1" s="1"/>
  <c r="J1430" i="1"/>
  <c r="K1430" i="1"/>
  <c r="L1430" i="1"/>
  <c r="N1430" i="1" s="1"/>
  <c r="M1430" i="1"/>
  <c r="O1430" i="1" s="1"/>
  <c r="J1431" i="1"/>
  <c r="K1431" i="1"/>
  <c r="L1431" i="1"/>
  <c r="N1431" i="1" s="1"/>
  <c r="M1431" i="1"/>
  <c r="O1431" i="1" s="1"/>
  <c r="J1520" i="1"/>
  <c r="K1520" i="1"/>
  <c r="L1520" i="1"/>
  <c r="N1520" i="1" s="1"/>
  <c r="M1520" i="1"/>
  <c r="O1520" i="1" s="1"/>
  <c r="J1434" i="1"/>
  <c r="K1434" i="1"/>
  <c r="L1434" i="1"/>
  <c r="N1434" i="1" s="1"/>
  <c r="M1434" i="1"/>
  <c r="O1434" i="1" s="1"/>
  <c r="J1435" i="1"/>
  <c r="K1435" i="1"/>
  <c r="L1435" i="1"/>
  <c r="N1435" i="1" s="1"/>
  <c r="M1435" i="1"/>
  <c r="O1435" i="1" s="1"/>
  <c r="J1472" i="1"/>
  <c r="K1472" i="1"/>
  <c r="L1472" i="1"/>
  <c r="N1472" i="1" s="1"/>
  <c r="M1472" i="1"/>
  <c r="O1472" i="1" s="1"/>
  <c r="J1436" i="1"/>
  <c r="K1436" i="1"/>
  <c r="L1436" i="1"/>
  <c r="N1436" i="1" s="1"/>
  <c r="M1436" i="1"/>
  <c r="O1436" i="1" s="1"/>
  <c r="J1437" i="1"/>
  <c r="K1437" i="1"/>
  <c r="L1437" i="1"/>
  <c r="N1437" i="1" s="1"/>
  <c r="M1437" i="1"/>
  <c r="O1437" i="1" s="1"/>
  <c r="J1470" i="1"/>
  <c r="K1470" i="1"/>
  <c r="L1470" i="1"/>
  <c r="N1470" i="1" s="1"/>
  <c r="M1470" i="1"/>
  <c r="O1470" i="1" s="1"/>
  <c r="J1471" i="1"/>
  <c r="K1471" i="1"/>
  <c r="L1471" i="1"/>
  <c r="N1471" i="1" s="1"/>
  <c r="M1471" i="1"/>
  <c r="O1471" i="1" s="1"/>
  <c r="J1557" i="1"/>
  <c r="K1557" i="1"/>
  <c r="L1557" i="1"/>
  <c r="N1557" i="1" s="1"/>
  <c r="M1557" i="1"/>
  <c r="O1557" i="1" s="1"/>
  <c r="J1475" i="1"/>
  <c r="K1475" i="1"/>
  <c r="L1475" i="1"/>
  <c r="N1475" i="1" s="1"/>
  <c r="M1475" i="1"/>
  <c r="O1475" i="1" s="1"/>
  <c r="J1476" i="1"/>
  <c r="K1476" i="1"/>
  <c r="L1476" i="1"/>
  <c r="N1476" i="1" s="1"/>
  <c r="M1476" i="1"/>
  <c r="O1476" i="1" s="1"/>
  <c r="J1370" i="1"/>
  <c r="K1370" i="1"/>
  <c r="L1370" i="1"/>
  <c r="N1370" i="1" s="1"/>
  <c r="M1370" i="1"/>
  <c r="O1370" i="1" s="1"/>
  <c r="J1527" i="1"/>
  <c r="K1527" i="1"/>
  <c r="L1527" i="1"/>
  <c r="N1527" i="1" s="1"/>
  <c r="M1527" i="1"/>
  <c r="O1527" i="1" s="1"/>
  <c r="J1439" i="1"/>
  <c r="K1439" i="1"/>
  <c r="L1439" i="1"/>
  <c r="N1439" i="1" s="1"/>
  <c r="M1439" i="1"/>
  <c r="O1439" i="1" s="1"/>
  <c r="J1443" i="1"/>
  <c r="K1443" i="1"/>
  <c r="L1443" i="1"/>
  <c r="N1443" i="1" s="1"/>
  <c r="M1443" i="1"/>
  <c r="O1443" i="1" s="1"/>
  <c r="J154" i="1"/>
  <c r="K154" i="1"/>
  <c r="L154" i="1"/>
  <c r="N154" i="1" s="1"/>
  <c r="M154" i="1"/>
  <c r="O154" i="1" s="1"/>
  <c r="J1484" i="1"/>
  <c r="K1484" i="1"/>
  <c r="L1484" i="1"/>
  <c r="N1484" i="1" s="1"/>
  <c r="M1484" i="1"/>
  <c r="O1484" i="1" s="1"/>
  <c r="J1558" i="1"/>
  <c r="K1558" i="1"/>
  <c r="L1558" i="1"/>
  <c r="N1558" i="1" s="1"/>
  <c r="M1558" i="1"/>
  <c r="O1558" i="1" s="1"/>
  <c r="J1498" i="1"/>
  <c r="K1498" i="1"/>
  <c r="L1498" i="1"/>
  <c r="N1498" i="1" s="1"/>
  <c r="M1498" i="1"/>
  <c r="O1498" i="1" s="1"/>
  <c r="J1499" i="1"/>
  <c r="K1499" i="1"/>
  <c r="L1499" i="1"/>
  <c r="N1499" i="1" s="1"/>
  <c r="M1499" i="1"/>
  <c r="O1499" i="1" s="1"/>
  <c r="J1500" i="1"/>
  <c r="K1500" i="1"/>
  <c r="L1500" i="1"/>
  <c r="N1500" i="1" s="1"/>
  <c r="M1500" i="1"/>
  <c r="O1500" i="1" s="1"/>
  <c r="J1501" i="1"/>
  <c r="K1501" i="1"/>
  <c r="L1501" i="1"/>
  <c r="N1501" i="1" s="1"/>
  <c r="M1501" i="1"/>
  <c r="O1501" i="1" s="1"/>
  <c r="J1584" i="1"/>
  <c r="K1584" i="1"/>
  <c r="L1584" i="1"/>
  <c r="N1584" i="1" s="1"/>
  <c r="M1584" i="1"/>
  <c r="O1584" i="1" s="1"/>
  <c r="J202" i="1"/>
  <c r="K202" i="1"/>
  <c r="L202" i="1"/>
  <c r="N202" i="1" s="1"/>
  <c r="M202" i="1"/>
  <c r="O202" i="1" s="1"/>
  <c r="J1532" i="1"/>
  <c r="K1532" i="1"/>
  <c r="L1532" i="1"/>
  <c r="N1532" i="1" s="1"/>
  <c r="M1532" i="1"/>
  <c r="O1532" i="1" s="1"/>
  <c r="J109" i="1"/>
  <c r="K109" i="1"/>
  <c r="L109" i="1"/>
  <c r="N109" i="1" s="1"/>
  <c r="M109" i="1"/>
  <c r="O109" i="1" s="1"/>
  <c r="J166" i="1"/>
  <c r="K166" i="1"/>
  <c r="L166" i="1"/>
  <c r="N166" i="1" s="1"/>
  <c r="M166" i="1"/>
  <c r="O166" i="1" s="1"/>
  <c r="J1614" i="1"/>
  <c r="K1614" i="1"/>
  <c r="L1614" i="1"/>
  <c r="N1614" i="1" s="1"/>
  <c r="M1614" i="1"/>
  <c r="O1614" i="1" s="1"/>
  <c r="J1536" i="1"/>
  <c r="K1536" i="1"/>
  <c r="L1536" i="1"/>
  <c r="N1536" i="1" s="1"/>
  <c r="M1536" i="1"/>
  <c r="O1536" i="1" s="1"/>
  <c r="J1615" i="1"/>
  <c r="K1615" i="1"/>
  <c r="L1615" i="1"/>
  <c r="N1615" i="1" s="1"/>
  <c r="M1615" i="1"/>
  <c r="O1615" i="1" s="1"/>
  <c r="J1616" i="1"/>
  <c r="K1616" i="1"/>
  <c r="L1616" i="1"/>
  <c r="N1616" i="1" s="1"/>
  <c r="M1616" i="1"/>
  <c r="O1616" i="1" s="1"/>
  <c r="J1617" i="1"/>
  <c r="K1617" i="1"/>
  <c r="L1617" i="1"/>
  <c r="N1617" i="1" s="1"/>
  <c r="M1617" i="1"/>
  <c r="O1617" i="1" s="1"/>
  <c r="J1624" i="1"/>
  <c r="K1624" i="1"/>
  <c r="L1624" i="1"/>
  <c r="N1624" i="1" s="1"/>
  <c r="M1624" i="1"/>
  <c r="O1624" i="1" s="1"/>
  <c r="J1541" i="1"/>
  <c r="K1541" i="1"/>
  <c r="L1541" i="1"/>
  <c r="N1541" i="1" s="1"/>
  <c r="M1541" i="1"/>
  <c r="O1541" i="1" s="1"/>
  <c r="J1542" i="1"/>
  <c r="K1542" i="1"/>
  <c r="L1542" i="1"/>
  <c r="N1542" i="1" s="1"/>
  <c r="M1542" i="1"/>
  <c r="O1542" i="1" s="1"/>
  <c r="J1543" i="1"/>
  <c r="K1543" i="1"/>
  <c r="L1543" i="1"/>
  <c r="N1543" i="1" s="1"/>
  <c r="M1543" i="1"/>
  <c r="O1543" i="1" s="1"/>
  <c r="J1544" i="1"/>
  <c r="K1544" i="1"/>
  <c r="L1544" i="1"/>
  <c r="N1544" i="1" s="1"/>
  <c r="M1544" i="1"/>
  <c r="O1544" i="1" s="1"/>
  <c r="J1626" i="1"/>
  <c r="K1626" i="1"/>
  <c r="L1626" i="1"/>
  <c r="N1626" i="1" s="1"/>
  <c r="M1626" i="1"/>
  <c r="O1626" i="1" s="1"/>
  <c r="J1628" i="1"/>
  <c r="K1628" i="1"/>
  <c r="L1628" i="1"/>
  <c r="N1628" i="1" s="1"/>
  <c r="M1628" i="1"/>
  <c r="O1628" i="1" s="1"/>
  <c r="J1629" i="1"/>
  <c r="K1629" i="1"/>
  <c r="L1629" i="1"/>
  <c r="N1629" i="1" s="1"/>
  <c r="M1629" i="1"/>
  <c r="O1629" i="1" s="1"/>
  <c r="J1630" i="1"/>
  <c r="K1630" i="1"/>
  <c r="L1630" i="1"/>
  <c r="N1630" i="1" s="1"/>
  <c r="M1630" i="1"/>
  <c r="O1630" i="1" s="1"/>
  <c r="J1631" i="1"/>
  <c r="K1631" i="1"/>
  <c r="L1631" i="1"/>
  <c r="N1631" i="1" s="1"/>
  <c r="M1631" i="1"/>
  <c r="O1631" i="1" s="1"/>
  <c r="J1642" i="1"/>
  <c r="K1642" i="1"/>
  <c r="L1642" i="1"/>
  <c r="N1642" i="1" s="1"/>
  <c r="M1642" i="1"/>
  <c r="O1642" i="1" s="1"/>
  <c r="J1551" i="1"/>
  <c r="K1551" i="1"/>
  <c r="L1551" i="1"/>
  <c r="N1551" i="1" s="1"/>
  <c r="M1551" i="1"/>
  <c r="O1551" i="1" s="1"/>
  <c r="J1552" i="1"/>
  <c r="K1552" i="1"/>
  <c r="L1552" i="1"/>
  <c r="N1552" i="1" s="1"/>
  <c r="M1552" i="1"/>
  <c r="O1552" i="1" s="1"/>
  <c r="J1553" i="1"/>
  <c r="K1553" i="1"/>
  <c r="L1553" i="1"/>
  <c r="N1553" i="1" s="1"/>
  <c r="M1553" i="1"/>
  <c r="O1553" i="1" s="1"/>
  <c r="J1647" i="1"/>
  <c r="K1647" i="1"/>
  <c r="L1647" i="1"/>
  <c r="N1647" i="1" s="1"/>
  <c r="M1647" i="1"/>
  <c r="O1647" i="1" s="1"/>
  <c r="J1555" i="1"/>
  <c r="K1555" i="1"/>
  <c r="L1555" i="1"/>
  <c r="N1555" i="1" s="1"/>
  <c r="M1555" i="1"/>
  <c r="O1555" i="1" s="1"/>
  <c r="J1556" i="1"/>
  <c r="K1556" i="1"/>
  <c r="L1556" i="1"/>
  <c r="N1556" i="1" s="1"/>
  <c r="M1556" i="1"/>
  <c r="O1556" i="1" s="1"/>
  <c r="J1690" i="1"/>
  <c r="K1690" i="1"/>
  <c r="L1690" i="1"/>
  <c r="N1690" i="1" s="1"/>
  <c r="M1690" i="1"/>
  <c r="O1690" i="1" s="1"/>
  <c r="J1691" i="1"/>
  <c r="K1691" i="1"/>
  <c r="L1691" i="1"/>
  <c r="N1691" i="1" s="1"/>
  <c r="M1691" i="1"/>
  <c r="O1691" i="1" s="1"/>
  <c r="J1693" i="1"/>
  <c r="K1693" i="1"/>
  <c r="L1693" i="1"/>
  <c r="N1693" i="1" s="1"/>
  <c r="M1693" i="1"/>
  <c r="O1693" i="1" s="1"/>
  <c r="J1698" i="1"/>
  <c r="K1698" i="1"/>
  <c r="L1698" i="1"/>
  <c r="N1698" i="1" s="1"/>
  <c r="M1698" i="1"/>
  <c r="O1698" i="1" s="1"/>
  <c r="J1702" i="1"/>
  <c r="K1702" i="1"/>
  <c r="L1702" i="1"/>
  <c r="N1702" i="1" s="1"/>
  <c r="M1702" i="1"/>
  <c r="O1702" i="1" s="1"/>
  <c r="J1618" i="1"/>
  <c r="K1618" i="1"/>
  <c r="L1618" i="1"/>
  <c r="N1618" i="1" s="1"/>
  <c r="M1618" i="1"/>
  <c r="O1618" i="1" s="1"/>
  <c r="J1619" i="1"/>
  <c r="K1619" i="1"/>
  <c r="L1619" i="1"/>
  <c r="N1619" i="1" s="1"/>
  <c r="M1619" i="1"/>
  <c r="O1619" i="1" s="1"/>
  <c r="J1620" i="1"/>
  <c r="K1620" i="1"/>
  <c r="L1620" i="1"/>
  <c r="N1620" i="1" s="1"/>
  <c r="M1620" i="1"/>
  <c r="O1620" i="1" s="1"/>
  <c r="J1623" i="1"/>
  <c r="K1623" i="1"/>
  <c r="L1623" i="1"/>
  <c r="N1623" i="1" s="1"/>
  <c r="M1623" i="1"/>
  <c r="O1623" i="1" s="1"/>
  <c r="J1703" i="1"/>
  <c r="K1703" i="1"/>
  <c r="L1703" i="1"/>
  <c r="N1703" i="1" s="1"/>
  <c r="M1703" i="1"/>
  <c r="O1703" i="1" s="1"/>
  <c r="J1625" i="1"/>
  <c r="K1625" i="1"/>
  <c r="L1625" i="1"/>
  <c r="N1625" i="1" s="1"/>
  <c r="M1625" i="1"/>
  <c r="O1625" i="1" s="1"/>
  <c r="J1704" i="1"/>
  <c r="K1704" i="1"/>
  <c r="L1704" i="1"/>
  <c r="N1704" i="1" s="1"/>
  <c r="M1704" i="1"/>
  <c r="O1704" i="1" s="1"/>
  <c r="J1627" i="1"/>
  <c r="K1627" i="1"/>
  <c r="L1627" i="1"/>
  <c r="N1627" i="1" s="1"/>
  <c r="M1627" i="1"/>
  <c r="O1627" i="1" s="1"/>
  <c r="J1705" i="1"/>
  <c r="K1705" i="1"/>
  <c r="L1705" i="1"/>
  <c r="N1705" i="1" s="1"/>
  <c r="M1705" i="1"/>
  <c r="O1705" i="1" s="1"/>
  <c r="J1709" i="1"/>
  <c r="K1709" i="1"/>
  <c r="L1709" i="1"/>
  <c r="N1709" i="1" s="1"/>
  <c r="M1709" i="1"/>
  <c r="O1709" i="1" s="1"/>
  <c r="J1714" i="1"/>
  <c r="K1714" i="1"/>
  <c r="L1714" i="1"/>
  <c r="N1714" i="1" s="1"/>
  <c r="M1714" i="1"/>
  <c r="O1714" i="1" s="1"/>
  <c r="J1715" i="1"/>
  <c r="K1715" i="1"/>
  <c r="L1715" i="1"/>
  <c r="N1715" i="1" s="1"/>
  <c r="M1715" i="1"/>
  <c r="O1715" i="1" s="1"/>
  <c r="J1632" i="1"/>
  <c r="K1632" i="1"/>
  <c r="L1632" i="1"/>
  <c r="N1632" i="1" s="1"/>
  <c r="M1632" i="1"/>
  <c r="O1632" i="1" s="1"/>
  <c r="J1633" i="1"/>
  <c r="K1633" i="1"/>
  <c r="L1633" i="1"/>
  <c r="N1633" i="1" s="1"/>
  <c r="M1633" i="1"/>
  <c r="O1633" i="1" s="1"/>
  <c r="J1634" i="1"/>
  <c r="K1634" i="1"/>
  <c r="L1634" i="1"/>
  <c r="N1634" i="1" s="1"/>
  <c r="M1634" i="1"/>
  <c r="O1634" i="1" s="1"/>
  <c r="J1635" i="1"/>
  <c r="K1635" i="1"/>
  <c r="L1635" i="1"/>
  <c r="N1635" i="1" s="1"/>
  <c r="M1635" i="1"/>
  <c r="O1635" i="1" s="1"/>
  <c r="J1599" i="1"/>
  <c r="K1599" i="1"/>
  <c r="L1599" i="1"/>
  <c r="N1599" i="1" s="1"/>
  <c r="M1599" i="1"/>
  <c r="O1599" i="1" s="1"/>
  <c r="J1669" i="1"/>
  <c r="K1669" i="1"/>
  <c r="L1669" i="1"/>
  <c r="N1669" i="1" s="1"/>
  <c r="M1669" i="1"/>
  <c r="O1669" i="1" s="1"/>
  <c r="J1601" i="1"/>
  <c r="K1601" i="1"/>
  <c r="L1601" i="1"/>
  <c r="N1601" i="1" s="1"/>
  <c r="M1601" i="1"/>
  <c r="O1601" i="1" s="1"/>
  <c r="J1602" i="1"/>
  <c r="K1602" i="1"/>
  <c r="L1602" i="1"/>
  <c r="N1602" i="1" s="1"/>
  <c r="M1602" i="1"/>
  <c r="O1602" i="1" s="1"/>
  <c r="J1673" i="1"/>
  <c r="K1673" i="1"/>
  <c r="L1673" i="1"/>
  <c r="N1673" i="1" s="1"/>
  <c r="M1673" i="1"/>
  <c r="O1673" i="1" s="1"/>
  <c r="J1606" i="1"/>
  <c r="K1606" i="1"/>
  <c r="L1606" i="1"/>
  <c r="N1606" i="1" s="1"/>
  <c r="M1606" i="1"/>
  <c r="O1606" i="1" s="1"/>
  <c r="J1607" i="1"/>
  <c r="K1607" i="1"/>
  <c r="L1607" i="1"/>
  <c r="N1607" i="1" s="1"/>
  <c r="M1607" i="1"/>
  <c r="O1607" i="1" s="1"/>
  <c r="J1497" i="1"/>
  <c r="K1497" i="1"/>
  <c r="L1497" i="1"/>
  <c r="N1497" i="1" s="1"/>
  <c r="M1497" i="1"/>
  <c r="O1497" i="1" s="1"/>
  <c r="J1479" i="1"/>
  <c r="K1479" i="1"/>
  <c r="L1479" i="1"/>
  <c r="N1479" i="1" s="1"/>
  <c r="M1479" i="1"/>
  <c r="O1479" i="1" s="1"/>
  <c r="J1485" i="1"/>
  <c r="K1485" i="1"/>
  <c r="L1485" i="1"/>
  <c r="N1485" i="1" s="1"/>
  <c r="M1485" i="1"/>
  <c r="O1485" i="1" s="1"/>
  <c r="J1480" i="1"/>
  <c r="K1480" i="1"/>
  <c r="L1480" i="1"/>
  <c r="N1480" i="1" s="1"/>
  <c r="M1480" i="1"/>
  <c r="O1480" i="1" s="1"/>
  <c r="J1571" i="1"/>
  <c r="K1571" i="1"/>
  <c r="L1571" i="1"/>
  <c r="N1571" i="1" s="1"/>
  <c r="M1571" i="1"/>
  <c r="O1571" i="1" s="1"/>
  <c r="J1487" i="1"/>
  <c r="K1487" i="1"/>
  <c r="L1487" i="1"/>
  <c r="N1487" i="1" s="1"/>
  <c r="M1487" i="1"/>
  <c r="O1487" i="1" s="1"/>
  <c r="J1505" i="1"/>
  <c r="K1505" i="1"/>
  <c r="L1505" i="1"/>
  <c r="N1505" i="1" s="1"/>
  <c r="M1505" i="1"/>
  <c r="O1505" i="1" s="1"/>
  <c r="J1506" i="1"/>
  <c r="K1506" i="1"/>
  <c r="L1506" i="1"/>
  <c r="N1506" i="1" s="1"/>
  <c r="M1506" i="1"/>
  <c r="O1506" i="1" s="1"/>
  <c r="J1507" i="1"/>
  <c r="K1507" i="1"/>
  <c r="L1507" i="1"/>
  <c r="N1507" i="1" s="1"/>
  <c r="M1507" i="1"/>
  <c r="O1507" i="1" s="1"/>
  <c r="J1518" i="1"/>
  <c r="K1518" i="1"/>
  <c r="L1518" i="1"/>
  <c r="N1518" i="1" s="1"/>
  <c r="M1518" i="1"/>
  <c r="O1518" i="1" s="1"/>
  <c r="J1605" i="1"/>
  <c r="K1605" i="1"/>
  <c r="L1605" i="1"/>
  <c r="N1605" i="1" s="1"/>
  <c r="M1605" i="1"/>
  <c r="O1605" i="1" s="1"/>
  <c r="J206" i="1"/>
  <c r="K206" i="1"/>
  <c r="L206" i="1"/>
  <c r="N206" i="1" s="1"/>
  <c r="M206" i="1"/>
  <c r="O206" i="1" s="1"/>
  <c r="J1521" i="1"/>
  <c r="K1521" i="1"/>
  <c r="L1521" i="1"/>
  <c r="N1521" i="1" s="1"/>
  <c r="M1521" i="1"/>
  <c r="O1521" i="1" s="1"/>
  <c r="J1522" i="1"/>
  <c r="K1522" i="1"/>
  <c r="L1522" i="1"/>
  <c r="N1522" i="1" s="1"/>
  <c r="M1522" i="1"/>
  <c r="O1522" i="1" s="1"/>
  <c r="J1523" i="1"/>
  <c r="K1523" i="1"/>
  <c r="L1523" i="1"/>
  <c r="N1523" i="1" s="1"/>
  <c r="M1523" i="1"/>
  <c r="O1523" i="1" s="1"/>
  <c r="J1559" i="1"/>
  <c r="K1559" i="1"/>
  <c r="L1559" i="1"/>
  <c r="N1559" i="1" s="1"/>
  <c r="M1559" i="1"/>
  <c r="O1559" i="1" s="1"/>
  <c r="J1560" i="1"/>
  <c r="K1560" i="1"/>
  <c r="L1560" i="1"/>
  <c r="N1560" i="1" s="1"/>
  <c r="M1560" i="1"/>
  <c r="O1560" i="1" s="1"/>
  <c r="J1566" i="1"/>
  <c r="K1566" i="1"/>
  <c r="L1566" i="1"/>
  <c r="N1566" i="1" s="1"/>
  <c r="M1566" i="1"/>
  <c r="O1566" i="1" s="1"/>
  <c r="J1655" i="1"/>
  <c r="K1655" i="1"/>
  <c r="L1655" i="1"/>
  <c r="N1655" i="1" s="1"/>
  <c r="M1655" i="1"/>
  <c r="O1655" i="1" s="1"/>
  <c r="J1575" i="1"/>
  <c r="K1575" i="1"/>
  <c r="L1575" i="1"/>
  <c r="N1575" i="1" s="1"/>
  <c r="M1575" i="1"/>
  <c r="O1575" i="1" s="1"/>
  <c r="J1576" i="1"/>
  <c r="K1576" i="1"/>
  <c r="L1576" i="1"/>
  <c r="N1576" i="1" s="1"/>
  <c r="M1576" i="1"/>
  <c r="O1576" i="1" s="1"/>
  <c r="J1577" i="1"/>
  <c r="K1577" i="1"/>
  <c r="L1577" i="1"/>
  <c r="N1577" i="1" s="1"/>
  <c r="M1577" i="1"/>
  <c r="O1577" i="1" s="1"/>
  <c r="J1586" i="1"/>
  <c r="K1586" i="1"/>
  <c r="L1586" i="1"/>
  <c r="N1586" i="1" s="1"/>
  <c r="M1586" i="1"/>
  <c r="O1586" i="1" s="1"/>
  <c r="J1591" i="1"/>
  <c r="K1591" i="1"/>
  <c r="L1591" i="1"/>
  <c r="N1591" i="1" s="1"/>
  <c r="M1591" i="1"/>
  <c r="O1591" i="1" s="1"/>
  <c r="J1592" i="1"/>
  <c r="K1592" i="1"/>
  <c r="L1592" i="1"/>
  <c r="N1592" i="1" s="1"/>
  <c r="M1592" i="1"/>
  <c r="O1592" i="1" s="1"/>
  <c r="J1636" i="1"/>
  <c r="K1636" i="1"/>
  <c r="L1636" i="1"/>
  <c r="N1636" i="1" s="1"/>
  <c r="M1636" i="1"/>
  <c r="O1636" i="1" s="1"/>
  <c r="J1637" i="1"/>
  <c r="K1637" i="1"/>
  <c r="L1637" i="1"/>
  <c r="N1637" i="1" s="1"/>
  <c r="M1637" i="1"/>
  <c r="O1637" i="1" s="1"/>
  <c r="J1716" i="1"/>
  <c r="K1716" i="1"/>
  <c r="L1716" i="1"/>
  <c r="N1716" i="1" s="1"/>
  <c r="M1716" i="1"/>
  <c r="O1716" i="1" s="1"/>
  <c r="J1643" i="1"/>
  <c r="K1643" i="1"/>
  <c r="L1643" i="1"/>
  <c r="N1643" i="1" s="1"/>
  <c r="M1643" i="1"/>
  <c r="O1643" i="1" s="1"/>
  <c r="J1644" i="1"/>
  <c r="K1644" i="1"/>
  <c r="L1644" i="1"/>
  <c r="N1644" i="1" s="1"/>
  <c r="M1644" i="1"/>
  <c r="O1644" i="1" s="1"/>
  <c r="J1488" i="1"/>
  <c r="K1488" i="1"/>
  <c r="L1488" i="1"/>
  <c r="N1488" i="1" s="1"/>
  <c r="M1488" i="1"/>
  <c r="O1488" i="1" s="1"/>
  <c r="J1489" i="1"/>
  <c r="K1489" i="1"/>
  <c r="L1489" i="1"/>
  <c r="N1489" i="1" s="1"/>
  <c r="M1489" i="1"/>
  <c r="O1489" i="1" s="1"/>
  <c r="J1490" i="1"/>
  <c r="K1490" i="1"/>
  <c r="L1490" i="1"/>
  <c r="N1490" i="1" s="1"/>
  <c r="M1490" i="1"/>
  <c r="O1490" i="1" s="1"/>
  <c r="J1508" i="1"/>
  <c r="K1508" i="1"/>
  <c r="L1508" i="1"/>
  <c r="N1508" i="1" s="1"/>
  <c r="M1508" i="1"/>
  <c r="O1508" i="1" s="1"/>
  <c r="J1509" i="1"/>
  <c r="K1509" i="1"/>
  <c r="L1509" i="1"/>
  <c r="N1509" i="1" s="1"/>
  <c r="M1509" i="1"/>
  <c r="O1509" i="1" s="1"/>
  <c r="J1510" i="1"/>
  <c r="K1510" i="1"/>
  <c r="L1510" i="1"/>
  <c r="N1510" i="1" s="1"/>
  <c r="M1510" i="1"/>
  <c r="O1510" i="1" s="1"/>
  <c r="J1511" i="1"/>
  <c r="K1511" i="1"/>
  <c r="L1511" i="1"/>
  <c r="N1511" i="1" s="1"/>
  <c r="M1511" i="1"/>
  <c r="O1511" i="1" s="1"/>
  <c r="J1524" i="1"/>
  <c r="K1524" i="1"/>
  <c r="L1524" i="1"/>
  <c r="N1524" i="1" s="1"/>
  <c r="M1524" i="1"/>
  <c r="O1524" i="1" s="1"/>
  <c r="S1405" i="1"/>
  <c r="P1503" i="1"/>
  <c r="P1493" i="1"/>
  <c r="J1200" i="1"/>
  <c r="K1200" i="1"/>
  <c r="L1200" i="1"/>
  <c r="N1200" i="1" s="1"/>
  <c r="M1200" i="1"/>
  <c r="O1200" i="1" s="1"/>
  <c r="S1414" i="1"/>
  <c r="S1330" i="1"/>
  <c r="S1351" i="1"/>
  <c r="J1351" i="1"/>
  <c r="K1351" i="1"/>
  <c r="L1351" i="1"/>
  <c r="N1351" i="1" s="1"/>
  <c r="M1351" i="1"/>
  <c r="O1351" i="1" s="1"/>
  <c r="J1330" i="1"/>
  <c r="K1330" i="1"/>
  <c r="L1330" i="1"/>
  <c r="N1330" i="1" s="1"/>
  <c r="M1330" i="1"/>
  <c r="O1330" i="1" s="1"/>
  <c r="J1414" i="1"/>
  <c r="K1414" i="1"/>
  <c r="L1414" i="1"/>
  <c r="N1414" i="1" s="1"/>
  <c r="M1414" i="1"/>
  <c r="O1414" i="1" s="1"/>
  <c r="J112" i="1"/>
  <c r="K112" i="1"/>
  <c r="L112" i="1"/>
  <c r="N112" i="1" s="1"/>
  <c r="M112" i="1"/>
  <c r="O112" i="1" s="1"/>
  <c r="J1463" i="1"/>
  <c r="K1463" i="1"/>
  <c r="L1463" i="1"/>
  <c r="N1463" i="1" s="1"/>
  <c r="M1463" i="1"/>
  <c r="O1463" i="1" s="1"/>
  <c r="J1481" i="1"/>
  <c r="K1481" i="1"/>
  <c r="L1481" i="1"/>
  <c r="N1481" i="1" s="1"/>
  <c r="M1481" i="1"/>
  <c r="O1481" i="1" s="1"/>
  <c r="J1465" i="1"/>
  <c r="K1465" i="1"/>
  <c r="L1465" i="1"/>
  <c r="N1465" i="1" s="1"/>
  <c r="M1465" i="1"/>
  <c r="O1465" i="1" s="1"/>
  <c r="J1466" i="1"/>
  <c r="K1466" i="1"/>
  <c r="L1466" i="1"/>
  <c r="N1466" i="1" s="1"/>
  <c r="M1466" i="1"/>
  <c r="O1466" i="1" s="1"/>
  <c r="J1468" i="1"/>
  <c r="K1468" i="1"/>
  <c r="L1468" i="1"/>
  <c r="N1468" i="1" s="1"/>
  <c r="M1468" i="1"/>
  <c r="O1468" i="1" s="1"/>
  <c r="J1473" i="1"/>
  <c r="K1473" i="1"/>
  <c r="L1473" i="1"/>
  <c r="N1473" i="1" s="1"/>
  <c r="M1473" i="1"/>
  <c r="O1473" i="1" s="1"/>
  <c r="J1486" i="1"/>
  <c r="K1486" i="1"/>
  <c r="L1486" i="1"/>
  <c r="N1486" i="1" s="1"/>
  <c r="M1486" i="1"/>
  <c r="O1486" i="1" s="1"/>
  <c r="J1491" i="1"/>
  <c r="K1491" i="1"/>
  <c r="L1491" i="1"/>
  <c r="N1491" i="1" s="1"/>
  <c r="M1491" i="1"/>
  <c r="O1491" i="1" s="1"/>
  <c r="J1492" i="1"/>
  <c r="K1492" i="1"/>
  <c r="L1492" i="1"/>
  <c r="N1492" i="1" s="1"/>
  <c r="M1492" i="1"/>
  <c r="O1492" i="1" s="1"/>
  <c r="J1474" i="1"/>
  <c r="K1474" i="1"/>
  <c r="L1474" i="1"/>
  <c r="N1474" i="1" s="1"/>
  <c r="M1474" i="1"/>
  <c r="O1474" i="1" s="1"/>
  <c r="J1378" i="1"/>
  <c r="K1378" i="1"/>
  <c r="L1378" i="1"/>
  <c r="N1378" i="1" s="1"/>
  <c r="M1378" i="1"/>
  <c r="O1378" i="1" s="1"/>
  <c r="J1395" i="1"/>
  <c r="K1395" i="1"/>
  <c r="L1395" i="1"/>
  <c r="N1395" i="1" s="1"/>
  <c r="M1395" i="1"/>
  <c r="O1395" i="1" s="1"/>
  <c r="J1387" i="1"/>
  <c r="K1387" i="1"/>
  <c r="L1387" i="1"/>
  <c r="N1387" i="1" s="1"/>
  <c r="M1387" i="1"/>
  <c r="O1387" i="1" s="1"/>
  <c r="J1379" i="1"/>
  <c r="K1379" i="1"/>
  <c r="L1379" i="1"/>
  <c r="N1379" i="1" s="1"/>
  <c r="M1379" i="1"/>
  <c r="O1379" i="1" s="1"/>
  <c r="J1377" i="1"/>
  <c r="K1377" i="1"/>
  <c r="L1377" i="1"/>
  <c r="N1377" i="1" s="1"/>
  <c r="M1377" i="1"/>
  <c r="O1377" i="1" s="1"/>
  <c r="J1380" i="1"/>
  <c r="K1380" i="1"/>
  <c r="L1380" i="1"/>
  <c r="N1380" i="1" s="1"/>
  <c r="M1380" i="1"/>
  <c r="O1380" i="1" s="1"/>
  <c r="J1381" i="1"/>
  <c r="K1381" i="1"/>
  <c r="L1381" i="1"/>
  <c r="N1381" i="1" s="1"/>
  <c r="M1381" i="1"/>
  <c r="O1381" i="1" s="1"/>
  <c r="J1382" i="1"/>
  <c r="K1382" i="1"/>
  <c r="L1382" i="1"/>
  <c r="N1382" i="1" s="1"/>
  <c r="M1382" i="1"/>
  <c r="O1382" i="1" s="1"/>
  <c r="J1493" i="1"/>
  <c r="K1493" i="1"/>
  <c r="L1493" i="1"/>
  <c r="N1493" i="1" s="1"/>
  <c r="M1493" i="1"/>
  <c r="O1493" i="1" s="1"/>
  <c r="J1503" i="1"/>
  <c r="K1503" i="1"/>
  <c r="L1503" i="1"/>
  <c r="N1503" i="1" s="1"/>
  <c r="M1503" i="1"/>
  <c r="O1503" i="1" s="1"/>
  <c r="J1477" i="1"/>
  <c r="K1477" i="1"/>
  <c r="L1477" i="1"/>
  <c r="N1477" i="1" s="1"/>
  <c r="M1477" i="1"/>
  <c r="O1477" i="1" s="1"/>
  <c r="J1478" i="1"/>
  <c r="K1478" i="1"/>
  <c r="L1478" i="1"/>
  <c r="N1478" i="1" s="1"/>
  <c r="M1478" i="1"/>
  <c r="O1478" i="1" s="1"/>
  <c r="J1504" i="1"/>
  <c r="K1504" i="1"/>
  <c r="L1504" i="1"/>
  <c r="N1504" i="1" s="1"/>
  <c r="M1504" i="1"/>
  <c r="O1504" i="1" s="1"/>
  <c r="J1399" i="1"/>
  <c r="K1399" i="1"/>
  <c r="L1399" i="1"/>
  <c r="N1399" i="1" s="1"/>
  <c r="M1399" i="1"/>
  <c r="O1399" i="1" s="1"/>
  <c r="J1403" i="1"/>
  <c r="K1403" i="1"/>
  <c r="L1403" i="1"/>
  <c r="N1403" i="1" s="1"/>
  <c r="M1403" i="1"/>
  <c r="O1403" i="1" s="1"/>
  <c r="J1404" i="1"/>
  <c r="K1404" i="1"/>
  <c r="L1404" i="1"/>
  <c r="N1404" i="1" s="1"/>
  <c r="M1404" i="1"/>
  <c r="O1404" i="1" s="1"/>
  <c r="J1405" i="1"/>
  <c r="K1405" i="1"/>
  <c r="L1405" i="1"/>
  <c r="N1405" i="1" s="1"/>
  <c r="M1405" i="1"/>
  <c r="O1405" i="1" s="1"/>
  <c r="J1406" i="1"/>
  <c r="K1406" i="1"/>
  <c r="L1406" i="1"/>
  <c r="N1406" i="1" s="1"/>
  <c r="M1406" i="1"/>
  <c r="O1406" i="1" s="1"/>
  <c r="J1454" i="1"/>
  <c r="K1454" i="1"/>
  <c r="L1454" i="1"/>
  <c r="N1454" i="1" s="1"/>
  <c r="M1454" i="1"/>
  <c r="O1454" i="1" s="1"/>
  <c r="J1457" i="1"/>
  <c r="K1457" i="1"/>
  <c r="L1457" i="1"/>
  <c r="N1457" i="1" s="1"/>
  <c r="M1457" i="1"/>
  <c r="O1457" i="1" s="1"/>
  <c r="J177" i="1"/>
  <c r="K177" i="1"/>
  <c r="L177" i="1"/>
  <c r="N177" i="1" s="1"/>
  <c r="M177" i="1"/>
  <c r="O177" i="1" s="1"/>
  <c r="J1460" i="1"/>
  <c r="K1460" i="1"/>
  <c r="L1460" i="1"/>
  <c r="N1460" i="1" s="1"/>
  <c r="M1460" i="1"/>
  <c r="O1460" i="1" s="1"/>
  <c r="J1363" i="1"/>
  <c r="K1363" i="1"/>
  <c r="L1363" i="1"/>
  <c r="N1363" i="1" s="1"/>
  <c r="M1363" i="1"/>
  <c r="O1363" i="1" s="1"/>
  <c r="J1338" i="1"/>
  <c r="K1338" i="1"/>
  <c r="L1338" i="1"/>
  <c r="N1338" i="1" s="1"/>
  <c r="M1338" i="1"/>
  <c r="O1338" i="1" s="1"/>
  <c r="S1336" i="1"/>
  <c r="S1337" i="1"/>
  <c r="B2124" i="1" l="1"/>
  <c r="B2010" i="1"/>
  <c r="B2204" i="1"/>
  <c r="C1928" i="1"/>
  <c r="C1857" i="1"/>
  <c r="C1967" i="1"/>
  <c r="C2069" i="1"/>
  <c r="B1999" i="1"/>
  <c r="C1896" i="1"/>
  <c r="C1872" i="1"/>
  <c r="C201" i="1"/>
  <c r="C1953" i="1"/>
  <c r="B2071" i="1"/>
  <c r="C2071" i="1"/>
  <c r="C2067" i="1"/>
  <c r="C1960" i="1"/>
  <c r="C1870" i="1"/>
  <c r="C1897" i="1"/>
  <c r="C1952" i="1"/>
  <c r="C1955" i="1"/>
  <c r="C1957" i="1"/>
  <c r="C1918" i="1"/>
  <c r="C1868" i="1"/>
  <c r="C1958" i="1"/>
  <c r="C1859" i="1"/>
  <c r="C1956" i="1"/>
  <c r="B2072" i="1"/>
  <c r="C2072" i="1"/>
  <c r="C2040" i="1"/>
  <c r="C2070" i="1"/>
  <c r="B2070" i="1"/>
  <c r="C1919" i="1"/>
  <c r="C1895" i="1"/>
  <c r="C1902" i="1"/>
  <c r="C1951" i="1"/>
  <c r="C2068" i="1"/>
  <c r="B2077" i="1"/>
  <c r="C2077" i="1"/>
  <c r="B1959" i="1"/>
  <c r="C1959" i="1"/>
  <c r="S1493" i="1"/>
  <c r="D1493" i="1"/>
  <c r="S1550" i="1"/>
  <c r="D1550" i="1"/>
  <c r="S1621" i="1"/>
  <c r="C1808" i="1"/>
  <c r="S1556" i="1"/>
  <c r="S1681" i="1"/>
  <c r="S1503" i="1"/>
  <c r="D1503" i="1"/>
  <c r="S1469" i="1"/>
  <c r="S1635" i="1"/>
  <c r="S1676" i="1"/>
  <c r="S1818" i="1"/>
  <c r="S1338" i="1"/>
  <c r="S1381" i="1"/>
  <c r="S1399" i="1"/>
  <c r="S1602" i="1"/>
  <c r="S1723" i="1"/>
  <c r="S1800" i="1"/>
  <c r="C1792" i="1"/>
  <c r="C1741" i="1"/>
  <c r="C1590" i="1"/>
  <c r="C1652" i="1"/>
  <c r="C1657" i="1"/>
  <c r="C1600" i="1"/>
  <c r="C1613" i="1"/>
  <c r="C1648" i="1"/>
  <c r="C1651" i="1"/>
  <c r="C1604" i="1"/>
  <c r="C1572" i="1"/>
  <c r="C1574" i="1"/>
  <c r="C1419" i="1"/>
  <c r="C1455" i="1"/>
  <c r="C1462" i="1"/>
  <c r="C1582" i="1"/>
  <c r="C1410" i="1"/>
  <c r="C1567" i="1"/>
  <c r="C1456" i="1"/>
  <c r="C1554" i="1"/>
  <c r="C1121" i="1"/>
  <c r="G1865" i="1"/>
  <c r="B2036" i="1"/>
  <c r="G123" i="1"/>
  <c r="G1862" i="1"/>
  <c r="G1861" i="1"/>
  <c r="G1860" i="1"/>
  <c r="G285" i="1"/>
  <c r="G1799" i="1"/>
  <c r="B1859" i="1"/>
  <c r="G176" i="1"/>
  <c r="G207" i="1"/>
  <c r="G294" i="1"/>
  <c r="G169" i="1"/>
  <c r="G168" i="1"/>
  <c r="G1848" i="1"/>
  <c r="B2227" i="1" s="1"/>
  <c r="G1854" i="1"/>
  <c r="G1829" i="1"/>
  <c r="G1849" i="1"/>
  <c r="B2228" i="1" s="1"/>
  <c r="G1846" i="1"/>
  <c r="G1856" i="1"/>
  <c r="G1841" i="1"/>
  <c r="G1824" i="1"/>
  <c r="G1855" i="1"/>
  <c r="B1918" i="1" s="1"/>
  <c r="G1823" i="1"/>
  <c r="G134" i="1"/>
  <c r="G72" i="1"/>
  <c r="G1796" i="1"/>
  <c r="G1759" i="1"/>
  <c r="G1788" i="1"/>
  <c r="G1791" i="1"/>
  <c r="B2169" i="1" s="1"/>
  <c r="G1787" i="1"/>
  <c r="G1785" i="1"/>
  <c r="G1761" i="1"/>
  <c r="G1790" i="1"/>
  <c r="G1786" i="1"/>
  <c r="B2168" i="1" s="1"/>
  <c r="G1760" i="1"/>
  <c r="B2173" i="1"/>
  <c r="G1779" i="1"/>
  <c r="G1774" i="1"/>
  <c r="G1780" i="1"/>
  <c r="B2428" i="1" s="1"/>
  <c r="G1758" i="1"/>
  <c r="G1742" i="1"/>
  <c r="B1456" i="1"/>
  <c r="B1420" i="1"/>
  <c r="G1738" i="1"/>
  <c r="G1737" i="1"/>
  <c r="G1734" i="1"/>
  <c r="G1728" i="1"/>
  <c r="G165" i="1"/>
  <c r="G1718" i="1"/>
  <c r="G1717" i="1"/>
  <c r="G1671" i="1"/>
  <c r="G111" i="1"/>
  <c r="G1585" i="1"/>
  <c r="G1650" i="1"/>
  <c r="G1716" i="1"/>
  <c r="G103" i="1"/>
  <c r="G1655" i="1"/>
  <c r="G206" i="1"/>
  <c r="G1605" i="1"/>
  <c r="G1571" i="1"/>
  <c r="B2195" i="1" s="1"/>
  <c r="G109" i="1"/>
  <c r="G1673" i="1"/>
  <c r="G1669" i="1"/>
  <c r="G1702" i="1"/>
  <c r="G1704" i="1"/>
  <c r="G1693" i="1"/>
  <c r="G1690" i="1"/>
  <c r="G1705" i="1"/>
  <c r="G166" i="1"/>
  <c r="G1715" i="1"/>
  <c r="G1691" i="1"/>
  <c r="G1709" i="1"/>
  <c r="G1628" i="1"/>
  <c r="G1714" i="1"/>
  <c r="G1703" i="1"/>
  <c r="G1698" i="1"/>
  <c r="G1616" i="1"/>
  <c r="G1615" i="1"/>
  <c r="B2325" i="1" s="1"/>
  <c r="G1642" i="1"/>
  <c r="G1629" i="1"/>
  <c r="G1631" i="1"/>
  <c r="G1624" i="1"/>
  <c r="B2068" i="1" s="1"/>
  <c r="G1647" i="1"/>
  <c r="G1626" i="1"/>
  <c r="G1630" i="1"/>
  <c r="G1617" i="1"/>
  <c r="G1614" i="1"/>
  <c r="G1557" i="1"/>
  <c r="G1332" i="1"/>
  <c r="G202" i="1"/>
  <c r="G1584" i="1"/>
  <c r="G1558" i="1"/>
  <c r="G1527" i="1"/>
  <c r="G154" i="1"/>
  <c r="G1520" i="1"/>
  <c r="G1540" i="1"/>
  <c r="G1549" i="1"/>
  <c r="G1539" i="1"/>
  <c r="G1535" i="1"/>
  <c r="G1533" i="1"/>
  <c r="G1548" i="1"/>
  <c r="G1538" i="1"/>
  <c r="G1546" i="1"/>
  <c r="G1545" i="1"/>
  <c r="G1519" i="1"/>
  <c r="G1534" i="1"/>
  <c r="G1550" i="1"/>
  <c r="G1537" i="1"/>
  <c r="G1547" i="1"/>
  <c r="G1513" i="1"/>
  <c r="G1461" i="1"/>
  <c r="G1514" i="1"/>
  <c r="G1531" i="1"/>
  <c r="G1512" i="1"/>
  <c r="G1504" i="1"/>
  <c r="G1468" i="1"/>
  <c r="G1457" i="1"/>
  <c r="G143" i="1"/>
  <c r="G133" i="1"/>
  <c r="G1460" i="1"/>
  <c r="G177" i="1"/>
  <c r="G1454" i="1"/>
  <c r="G1493" i="1"/>
  <c r="G1477" i="1"/>
  <c r="G1503" i="1"/>
  <c r="G1478" i="1"/>
  <c r="G1486" i="1"/>
  <c r="G1491" i="1"/>
  <c r="G1481" i="1"/>
  <c r="G1473" i="1"/>
  <c r="G1465" i="1"/>
  <c r="G1466" i="1"/>
  <c r="G1474" i="1"/>
  <c r="G1463" i="1"/>
  <c r="G112" i="1"/>
  <c r="G1492" i="1"/>
  <c r="G1414" i="1"/>
  <c r="B2949" i="1" l="1"/>
  <c r="B2960" i="1"/>
  <c r="B1960" i="1"/>
  <c r="B2448" i="1"/>
  <c r="B2233" i="1"/>
  <c r="B2040" i="1"/>
  <c r="B1515" i="1"/>
  <c r="B1868" i="1"/>
  <c r="B2069" i="1"/>
  <c r="B1870" i="1"/>
  <c r="B2023" i="1"/>
  <c r="B2473" i="1"/>
  <c r="B2208" i="1"/>
  <c r="B1902" i="1"/>
  <c r="B1896" i="1"/>
  <c r="B1919" i="1"/>
  <c r="B1928" i="1"/>
  <c r="B1613" i="1"/>
  <c r="C1862" i="1"/>
  <c r="C123" i="1"/>
  <c r="C1865" i="1"/>
  <c r="C1861" i="1"/>
  <c r="C1860" i="1"/>
  <c r="B1848" i="1"/>
  <c r="C1848" i="1"/>
  <c r="C1855" i="1"/>
  <c r="B1855" i="1"/>
  <c r="B1841" i="1"/>
  <c r="C1841" i="1"/>
  <c r="C1846" i="1"/>
  <c r="B1846" i="1"/>
  <c r="C134" i="1"/>
  <c r="C1823" i="1"/>
  <c r="B1824" i="1"/>
  <c r="C1824" i="1"/>
  <c r="B1856" i="1"/>
  <c r="C1856" i="1"/>
  <c r="B1849" i="1"/>
  <c r="C1849" i="1"/>
  <c r="C1854" i="1"/>
  <c r="B1854" i="1"/>
  <c r="B176" i="1"/>
  <c r="C176" i="1"/>
  <c r="B1829" i="1"/>
  <c r="C1829" i="1"/>
  <c r="C294" i="1"/>
  <c r="C207" i="1"/>
  <c r="B169" i="1"/>
  <c r="C169" i="1"/>
  <c r="B1774" i="1"/>
  <c r="C1774" i="1"/>
  <c r="C1742" i="1"/>
  <c r="B1779" i="1"/>
  <c r="C1779" i="1"/>
  <c r="C1760" i="1"/>
  <c r="C1785" i="1"/>
  <c r="B1790" i="1"/>
  <c r="C1790" i="1"/>
  <c r="C1796" i="1"/>
  <c r="C1758" i="1"/>
  <c r="B1780" i="1"/>
  <c r="C1780" i="1"/>
  <c r="B1787" i="1"/>
  <c r="C1787" i="1"/>
  <c r="C1791" i="1"/>
  <c r="C1759" i="1"/>
  <c r="C1799" i="1"/>
  <c r="C1786" i="1"/>
  <c r="B1786" i="1"/>
  <c r="C1761" i="1"/>
  <c r="B1761" i="1"/>
  <c r="B1788" i="1"/>
  <c r="C1788" i="1"/>
  <c r="C72" i="1"/>
  <c r="C285" i="1"/>
  <c r="B1714" i="1"/>
  <c r="C1714" i="1"/>
  <c r="C1671" i="1"/>
  <c r="B1698" i="1"/>
  <c r="C1698" i="1"/>
  <c r="C1709" i="1"/>
  <c r="C1715" i="1"/>
  <c r="C1690" i="1"/>
  <c r="C1717" i="1"/>
  <c r="C1728" i="1"/>
  <c r="C1734" i="1"/>
  <c r="C1737" i="1"/>
  <c r="C168" i="1"/>
  <c r="C1705" i="1"/>
  <c r="C165" i="1"/>
  <c r="B1704" i="1"/>
  <c r="C1704" i="1"/>
  <c r="C1673" i="1"/>
  <c r="C1703" i="1"/>
  <c r="B1691" i="1"/>
  <c r="C1691" i="1"/>
  <c r="B1693" i="1"/>
  <c r="C1693" i="1"/>
  <c r="C1702" i="1"/>
  <c r="C1716" i="1"/>
  <c r="C1718" i="1"/>
  <c r="C1738" i="1"/>
  <c r="C111" i="1"/>
  <c r="C1616" i="1"/>
  <c r="B1650" i="1"/>
  <c r="C1650" i="1"/>
  <c r="C1585" i="1"/>
  <c r="B1617" i="1"/>
  <c r="C1617" i="1"/>
  <c r="B1631" i="1"/>
  <c r="C1631" i="1"/>
  <c r="B1629" i="1"/>
  <c r="C1629" i="1"/>
  <c r="C109" i="1"/>
  <c r="B206" i="1"/>
  <c r="C206" i="1"/>
  <c r="C202" i="1"/>
  <c r="B1628" i="1"/>
  <c r="C1628" i="1"/>
  <c r="C103" i="1"/>
  <c r="C1614" i="1"/>
  <c r="B1630" i="1"/>
  <c r="C1630" i="1"/>
  <c r="C1626" i="1"/>
  <c r="C1642" i="1"/>
  <c r="C166" i="1"/>
  <c r="B1624" i="1"/>
  <c r="C1624" i="1"/>
  <c r="C1584" i="1"/>
  <c r="C1647" i="1"/>
  <c r="B1615" i="1"/>
  <c r="C1615" i="1"/>
  <c r="C1669" i="1"/>
  <c r="C1605" i="1"/>
  <c r="C1655" i="1"/>
  <c r="C1466" i="1"/>
  <c r="C1478" i="1"/>
  <c r="C1514" i="1"/>
  <c r="C1538" i="1"/>
  <c r="C1540" i="1"/>
  <c r="C1492" i="1"/>
  <c r="C1465" i="1"/>
  <c r="C1503" i="1"/>
  <c r="C1454" i="1"/>
  <c r="C1468" i="1"/>
  <c r="B1461" i="1"/>
  <c r="C1461" i="1"/>
  <c r="C1547" i="1"/>
  <c r="C1519" i="1"/>
  <c r="C1539" i="1"/>
  <c r="C1558" i="1"/>
  <c r="C1414" i="1"/>
  <c r="C1491" i="1"/>
  <c r="C1512" i="1"/>
  <c r="C1535" i="1"/>
  <c r="B1535" i="1"/>
  <c r="C1557" i="1"/>
  <c r="C1571" i="1"/>
  <c r="C1463" i="1"/>
  <c r="C1473" i="1"/>
  <c r="C1477" i="1"/>
  <c r="C177" i="1"/>
  <c r="C143" i="1"/>
  <c r="C1504" i="1"/>
  <c r="C1513" i="1"/>
  <c r="C1550" i="1"/>
  <c r="C1545" i="1"/>
  <c r="C1548" i="1"/>
  <c r="C1549" i="1"/>
  <c r="C154" i="1"/>
  <c r="C112" i="1"/>
  <c r="C1474" i="1"/>
  <c r="C1481" i="1"/>
  <c r="C1486" i="1"/>
  <c r="C1493" i="1"/>
  <c r="C1460" i="1"/>
  <c r="B133" i="1"/>
  <c r="C133" i="1"/>
  <c r="C1457" i="1"/>
  <c r="C1531" i="1"/>
  <c r="B1537" i="1"/>
  <c r="C1537" i="1"/>
  <c r="C1534" i="1"/>
  <c r="C1546" i="1"/>
  <c r="C1533" i="1"/>
  <c r="C1520" i="1"/>
  <c r="C1527" i="1"/>
  <c r="C1332" i="1"/>
  <c r="J1448" i="1"/>
  <c r="K1448" i="1"/>
  <c r="L1448" i="1"/>
  <c r="N1448" i="1" s="1"/>
  <c r="M1448" i="1"/>
  <c r="O1448" i="1" s="1"/>
  <c r="S1448" i="1"/>
  <c r="J1182" i="1"/>
  <c r="K1182" i="1"/>
  <c r="L1182" i="1"/>
  <c r="N1182" i="1" s="1"/>
  <c r="M1182" i="1"/>
  <c r="O1182" i="1" s="1"/>
  <c r="S1182" i="1"/>
  <c r="J1211" i="1"/>
  <c r="K1211" i="1"/>
  <c r="L1211" i="1"/>
  <c r="N1211" i="1" s="1"/>
  <c r="M1211" i="1"/>
  <c r="O1211" i="1" s="1"/>
  <c r="S1211" i="1"/>
  <c r="J1294" i="1"/>
  <c r="K1294" i="1"/>
  <c r="L1294" i="1"/>
  <c r="N1294" i="1" s="1"/>
  <c r="M1294" i="1"/>
  <c r="O1294" i="1" s="1"/>
  <c r="S1294" i="1"/>
  <c r="J131" i="1"/>
  <c r="K131" i="1"/>
  <c r="L131" i="1"/>
  <c r="N131" i="1" s="1"/>
  <c r="M131" i="1"/>
  <c r="O131" i="1" s="1"/>
  <c r="S131" i="1"/>
  <c r="J1329" i="1"/>
  <c r="K1329" i="1"/>
  <c r="L1329" i="1"/>
  <c r="N1329" i="1" s="1"/>
  <c r="M1329" i="1"/>
  <c r="O1329" i="1" s="1"/>
  <c r="S1329" i="1"/>
  <c r="J1433" i="1"/>
  <c r="K1433" i="1"/>
  <c r="L1433" i="1"/>
  <c r="N1433" i="1" s="1"/>
  <c r="M1433" i="1"/>
  <c r="O1433" i="1" s="1"/>
  <c r="S1433" i="1"/>
  <c r="J1438" i="1"/>
  <c r="K1438" i="1"/>
  <c r="L1438" i="1"/>
  <c r="N1438" i="1" s="1"/>
  <c r="M1438" i="1"/>
  <c r="O1438" i="1" s="1"/>
  <c r="S1438" i="1"/>
  <c r="J1341" i="1"/>
  <c r="K1341" i="1"/>
  <c r="L1341" i="1"/>
  <c r="N1341" i="1" s="1"/>
  <c r="M1341" i="1"/>
  <c r="O1341" i="1" s="1"/>
  <c r="S1341" i="1"/>
  <c r="J1453" i="1"/>
  <c r="K1453" i="1"/>
  <c r="L1453" i="1"/>
  <c r="N1453" i="1" s="1"/>
  <c r="M1453" i="1"/>
  <c r="O1453" i="1" s="1"/>
  <c r="S1453" i="1"/>
  <c r="J163" i="1"/>
  <c r="K163" i="1"/>
  <c r="L163" i="1"/>
  <c r="N163" i="1" s="1"/>
  <c r="M163" i="1"/>
  <c r="O163" i="1" s="1"/>
  <c r="S163" i="1"/>
  <c r="J1349" i="1"/>
  <c r="K1349" i="1"/>
  <c r="L1349" i="1"/>
  <c r="N1349" i="1" s="1"/>
  <c r="M1349" i="1"/>
  <c r="O1349" i="1" s="1"/>
  <c r="S1349" i="1"/>
  <c r="J1350" i="1"/>
  <c r="K1350" i="1"/>
  <c r="L1350" i="1"/>
  <c r="N1350" i="1" s="1"/>
  <c r="M1350" i="1"/>
  <c r="O1350" i="1" s="1"/>
  <c r="S1350" i="1"/>
  <c r="J1353" i="1"/>
  <c r="K1353" i="1"/>
  <c r="L1353" i="1"/>
  <c r="N1353" i="1" s="1"/>
  <c r="M1353" i="1"/>
  <c r="O1353" i="1" s="1"/>
  <c r="S1353" i="1"/>
  <c r="J1273" i="1"/>
  <c r="K1273" i="1"/>
  <c r="L1273" i="1"/>
  <c r="N1273" i="1" s="1"/>
  <c r="M1273" i="1"/>
  <c r="O1273" i="1" s="1"/>
  <c r="S1273" i="1"/>
  <c r="J8" i="1"/>
  <c r="K8" i="1"/>
  <c r="L8" i="1"/>
  <c r="N8" i="1" s="1"/>
  <c r="M8" i="1"/>
  <c r="O8" i="1" s="1"/>
  <c r="J9" i="1"/>
  <c r="K9" i="1"/>
  <c r="L9" i="1"/>
  <c r="N9" i="1" s="1"/>
  <c r="M9" i="1"/>
  <c r="O9" i="1" s="1"/>
  <c r="J14" i="1"/>
  <c r="K14" i="1"/>
  <c r="L14" i="1"/>
  <c r="N14" i="1" s="1"/>
  <c r="M14" i="1"/>
  <c r="O14" i="1" s="1"/>
  <c r="J15" i="1"/>
  <c r="K15" i="1"/>
  <c r="L15" i="1"/>
  <c r="N15" i="1" s="1"/>
  <c r="M15" i="1"/>
  <c r="O15" i="1" s="1"/>
  <c r="J16" i="1"/>
  <c r="K16" i="1"/>
  <c r="L16" i="1"/>
  <c r="N16" i="1" s="1"/>
  <c r="M16" i="1"/>
  <c r="O16" i="1" s="1"/>
  <c r="J17" i="1"/>
  <c r="K17" i="1"/>
  <c r="L17" i="1"/>
  <c r="N17" i="1" s="1"/>
  <c r="M17" i="1"/>
  <c r="O17" i="1" s="1"/>
  <c r="J49" i="1"/>
  <c r="K49" i="1"/>
  <c r="L49" i="1"/>
  <c r="N49" i="1" s="1"/>
  <c r="M49" i="1"/>
  <c r="O49" i="1" s="1"/>
  <c r="J19" i="1"/>
  <c r="K19" i="1"/>
  <c r="L19" i="1"/>
  <c r="N19" i="1" s="1"/>
  <c r="M19" i="1"/>
  <c r="O19" i="1" s="1"/>
  <c r="J20" i="1"/>
  <c r="K20" i="1"/>
  <c r="L20" i="1"/>
  <c r="N20" i="1" s="1"/>
  <c r="M20" i="1"/>
  <c r="O20" i="1" s="1"/>
  <c r="J21" i="1"/>
  <c r="K21" i="1"/>
  <c r="L21" i="1"/>
  <c r="N21" i="1" s="1"/>
  <c r="M21" i="1"/>
  <c r="O21" i="1" s="1"/>
  <c r="J22" i="1"/>
  <c r="K22" i="1"/>
  <c r="L22" i="1"/>
  <c r="N22" i="1" s="1"/>
  <c r="M22" i="1"/>
  <c r="O22" i="1" s="1"/>
  <c r="J23" i="1"/>
  <c r="K23" i="1"/>
  <c r="L23" i="1"/>
  <c r="N23" i="1" s="1"/>
  <c r="M23" i="1"/>
  <c r="O23" i="1" s="1"/>
  <c r="J24" i="1"/>
  <c r="K24" i="1"/>
  <c r="L24" i="1"/>
  <c r="N24" i="1" s="1"/>
  <c r="M24" i="1"/>
  <c r="O24" i="1" s="1"/>
  <c r="J25" i="1"/>
  <c r="K25" i="1"/>
  <c r="L25" i="1"/>
  <c r="N25" i="1" s="1"/>
  <c r="M25" i="1"/>
  <c r="O25" i="1" s="1"/>
  <c r="J27" i="1"/>
  <c r="K27" i="1"/>
  <c r="L27" i="1"/>
  <c r="N27" i="1" s="1"/>
  <c r="M27" i="1"/>
  <c r="O27" i="1" s="1"/>
  <c r="J28" i="1"/>
  <c r="K28" i="1"/>
  <c r="L28" i="1"/>
  <c r="N28" i="1" s="1"/>
  <c r="M28" i="1"/>
  <c r="O28" i="1" s="1"/>
  <c r="J29" i="1"/>
  <c r="K29" i="1"/>
  <c r="L29" i="1"/>
  <c r="N29" i="1" s="1"/>
  <c r="M29" i="1"/>
  <c r="O29" i="1" s="1"/>
  <c r="J30" i="1"/>
  <c r="K30" i="1"/>
  <c r="L30" i="1"/>
  <c r="N30" i="1" s="1"/>
  <c r="M30" i="1"/>
  <c r="O30" i="1" s="1"/>
  <c r="J31" i="1"/>
  <c r="K31" i="1"/>
  <c r="L31" i="1"/>
  <c r="N31" i="1" s="1"/>
  <c r="M31" i="1"/>
  <c r="O31" i="1" s="1"/>
  <c r="J32" i="1"/>
  <c r="K32" i="1"/>
  <c r="L32" i="1"/>
  <c r="N32" i="1" s="1"/>
  <c r="M32" i="1"/>
  <c r="O32" i="1" s="1"/>
  <c r="J33" i="1"/>
  <c r="K33" i="1"/>
  <c r="L33" i="1"/>
  <c r="N33" i="1" s="1"/>
  <c r="M33" i="1"/>
  <c r="O33" i="1" s="1"/>
  <c r="J34" i="1"/>
  <c r="K34" i="1"/>
  <c r="L34" i="1"/>
  <c r="N34" i="1" s="1"/>
  <c r="M34" i="1"/>
  <c r="O34" i="1" s="1"/>
  <c r="J35" i="1"/>
  <c r="K35" i="1"/>
  <c r="L35" i="1"/>
  <c r="N35" i="1" s="1"/>
  <c r="M35" i="1"/>
  <c r="O35" i="1" s="1"/>
  <c r="J36" i="1"/>
  <c r="K36" i="1"/>
  <c r="L36" i="1"/>
  <c r="N36" i="1" s="1"/>
  <c r="M36" i="1"/>
  <c r="O36" i="1" s="1"/>
  <c r="J37" i="1"/>
  <c r="K37" i="1"/>
  <c r="L37" i="1"/>
  <c r="N37" i="1" s="1"/>
  <c r="M37" i="1"/>
  <c r="O37" i="1" s="1"/>
  <c r="J38" i="1"/>
  <c r="K38" i="1"/>
  <c r="L38" i="1"/>
  <c r="N38" i="1" s="1"/>
  <c r="M38" i="1"/>
  <c r="O38" i="1" s="1"/>
  <c r="J39" i="1"/>
  <c r="K39" i="1"/>
  <c r="L39" i="1"/>
  <c r="N39" i="1" s="1"/>
  <c r="M39" i="1"/>
  <c r="O39" i="1" s="1"/>
  <c r="J40" i="1"/>
  <c r="K40" i="1"/>
  <c r="L40" i="1"/>
  <c r="N40" i="1" s="1"/>
  <c r="M40" i="1"/>
  <c r="O40" i="1" s="1"/>
  <c r="J300" i="1"/>
  <c r="K300" i="1"/>
  <c r="L300" i="1"/>
  <c r="N300" i="1" s="1"/>
  <c r="M300" i="1"/>
  <c r="O300" i="1" s="1"/>
  <c r="J302" i="1"/>
  <c r="K302" i="1"/>
  <c r="L302" i="1"/>
  <c r="N302" i="1" s="1"/>
  <c r="M302" i="1"/>
  <c r="O302" i="1" s="1"/>
  <c r="J304" i="1"/>
  <c r="K304" i="1"/>
  <c r="L304" i="1"/>
  <c r="N304" i="1" s="1"/>
  <c r="M304" i="1"/>
  <c r="O304" i="1" s="1"/>
  <c r="J305" i="1"/>
  <c r="K305" i="1"/>
  <c r="L305" i="1"/>
  <c r="N305" i="1" s="1"/>
  <c r="M305" i="1"/>
  <c r="O305" i="1" s="1"/>
  <c r="J313" i="1"/>
  <c r="K313" i="1"/>
  <c r="L313" i="1"/>
  <c r="N313" i="1" s="1"/>
  <c r="M313" i="1"/>
  <c r="O313" i="1" s="1"/>
  <c r="J314" i="1"/>
  <c r="K314" i="1"/>
  <c r="L314" i="1"/>
  <c r="N314" i="1" s="1"/>
  <c r="M314" i="1"/>
  <c r="O314" i="1" s="1"/>
  <c r="J315" i="1"/>
  <c r="K315" i="1"/>
  <c r="L315" i="1"/>
  <c r="N315" i="1" s="1"/>
  <c r="M315" i="1"/>
  <c r="O315" i="1" s="1"/>
  <c r="J316" i="1"/>
  <c r="K316" i="1"/>
  <c r="L316" i="1"/>
  <c r="N316" i="1" s="1"/>
  <c r="M316" i="1"/>
  <c r="O316" i="1" s="1"/>
  <c r="J317" i="1"/>
  <c r="K317" i="1"/>
  <c r="L317" i="1"/>
  <c r="N317" i="1" s="1"/>
  <c r="M317" i="1"/>
  <c r="O317" i="1" s="1"/>
  <c r="J318" i="1"/>
  <c r="K318" i="1"/>
  <c r="L318" i="1"/>
  <c r="N318" i="1" s="1"/>
  <c r="M318" i="1"/>
  <c r="O318" i="1" s="1"/>
  <c r="J321" i="1"/>
  <c r="K321" i="1"/>
  <c r="L321" i="1"/>
  <c r="N321" i="1" s="1"/>
  <c r="M321" i="1"/>
  <c r="O321" i="1" s="1"/>
  <c r="J52" i="1"/>
  <c r="K52" i="1"/>
  <c r="L52" i="1"/>
  <c r="N52" i="1" s="1"/>
  <c r="M52" i="1"/>
  <c r="O52" i="1" s="1"/>
  <c r="J53" i="1"/>
  <c r="K53" i="1"/>
  <c r="L53" i="1"/>
  <c r="N53" i="1" s="1"/>
  <c r="M53" i="1"/>
  <c r="O53" i="1" s="1"/>
  <c r="J54" i="1"/>
  <c r="K54" i="1"/>
  <c r="L54" i="1"/>
  <c r="N54" i="1" s="1"/>
  <c r="M54" i="1"/>
  <c r="O54" i="1" s="1"/>
  <c r="J55" i="1"/>
  <c r="K55" i="1"/>
  <c r="L55" i="1"/>
  <c r="N55" i="1" s="1"/>
  <c r="M55" i="1"/>
  <c r="O55" i="1" s="1"/>
  <c r="J56" i="1"/>
  <c r="K56" i="1"/>
  <c r="L56" i="1"/>
  <c r="N56" i="1" s="1"/>
  <c r="M56" i="1"/>
  <c r="O56" i="1" s="1"/>
  <c r="J57" i="1"/>
  <c r="K57" i="1"/>
  <c r="L57" i="1"/>
  <c r="N57" i="1" s="1"/>
  <c r="M57" i="1"/>
  <c r="O57" i="1" s="1"/>
  <c r="J58" i="1"/>
  <c r="K58" i="1"/>
  <c r="L58" i="1"/>
  <c r="N58" i="1" s="1"/>
  <c r="M58" i="1"/>
  <c r="O58" i="1" s="1"/>
  <c r="J59" i="1"/>
  <c r="K59" i="1"/>
  <c r="L59" i="1"/>
  <c r="N59" i="1" s="1"/>
  <c r="M59" i="1"/>
  <c r="O59" i="1" s="1"/>
  <c r="J60" i="1"/>
  <c r="K60" i="1"/>
  <c r="L60" i="1"/>
  <c r="N60" i="1" s="1"/>
  <c r="M60" i="1"/>
  <c r="O60" i="1" s="1"/>
  <c r="J61" i="1"/>
  <c r="K61" i="1"/>
  <c r="L61" i="1"/>
  <c r="N61" i="1" s="1"/>
  <c r="M61" i="1"/>
  <c r="O61" i="1" s="1"/>
  <c r="J62" i="1"/>
  <c r="K62" i="1"/>
  <c r="L62" i="1"/>
  <c r="N62" i="1" s="1"/>
  <c r="M62" i="1"/>
  <c r="O62" i="1" s="1"/>
  <c r="J63" i="1"/>
  <c r="K63" i="1"/>
  <c r="L63" i="1"/>
  <c r="N63" i="1" s="1"/>
  <c r="M63" i="1"/>
  <c r="O63" i="1" s="1"/>
  <c r="J64" i="1"/>
  <c r="K64" i="1"/>
  <c r="L64" i="1"/>
  <c r="N64" i="1" s="1"/>
  <c r="M64" i="1"/>
  <c r="O64" i="1" s="1"/>
  <c r="J65" i="1"/>
  <c r="K65" i="1"/>
  <c r="L65" i="1"/>
  <c r="N65" i="1" s="1"/>
  <c r="M65" i="1"/>
  <c r="O65" i="1" s="1"/>
  <c r="J66" i="1"/>
  <c r="K66" i="1"/>
  <c r="L66" i="1"/>
  <c r="N66" i="1" s="1"/>
  <c r="M66" i="1"/>
  <c r="O66" i="1" s="1"/>
  <c r="J322" i="1"/>
  <c r="K322" i="1"/>
  <c r="L322" i="1"/>
  <c r="N322" i="1" s="1"/>
  <c r="M322" i="1"/>
  <c r="O322" i="1" s="1"/>
  <c r="J68" i="1"/>
  <c r="K68" i="1"/>
  <c r="L68" i="1"/>
  <c r="N68" i="1" s="1"/>
  <c r="M68" i="1"/>
  <c r="O68" i="1" s="1"/>
  <c r="J69" i="1"/>
  <c r="K69" i="1"/>
  <c r="L69" i="1"/>
  <c r="N69" i="1" s="1"/>
  <c r="M69" i="1"/>
  <c r="O69" i="1" s="1"/>
  <c r="J70" i="1"/>
  <c r="K70" i="1"/>
  <c r="L70" i="1"/>
  <c r="N70" i="1" s="1"/>
  <c r="M70" i="1"/>
  <c r="O70" i="1" s="1"/>
  <c r="J323" i="1"/>
  <c r="K323" i="1"/>
  <c r="L323" i="1"/>
  <c r="N323" i="1" s="1"/>
  <c r="M323" i="1"/>
  <c r="O323" i="1" s="1"/>
  <c r="J227" i="1"/>
  <c r="K227" i="1"/>
  <c r="L227" i="1"/>
  <c r="N227" i="1" s="1"/>
  <c r="M227" i="1"/>
  <c r="O227" i="1" s="1"/>
  <c r="J73" i="1"/>
  <c r="K73" i="1"/>
  <c r="L73" i="1"/>
  <c r="N73" i="1" s="1"/>
  <c r="M73" i="1"/>
  <c r="O73" i="1" s="1"/>
  <c r="J74" i="1"/>
  <c r="K74" i="1"/>
  <c r="L74" i="1"/>
  <c r="N74" i="1" s="1"/>
  <c r="M74" i="1"/>
  <c r="O74" i="1" s="1"/>
  <c r="J75" i="1"/>
  <c r="K75" i="1"/>
  <c r="L75" i="1"/>
  <c r="N75" i="1" s="1"/>
  <c r="M75" i="1"/>
  <c r="O75" i="1" s="1"/>
  <c r="J76" i="1"/>
  <c r="K76" i="1"/>
  <c r="L76" i="1"/>
  <c r="N76" i="1" s="1"/>
  <c r="M76" i="1"/>
  <c r="O76" i="1" s="1"/>
  <c r="J77" i="1"/>
  <c r="K77" i="1"/>
  <c r="L77" i="1"/>
  <c r="N77" i="1" s="1"/>
  <c r="M77" i="1"/>
  <c r="O77" i="1" s="1"/>
  <c r="J78" i="1"/>
  <c r="K78" i="1"/>
  <c r="L78" i="1"/>
  <c r="N78" i="1" s="1"/>
  <c r="M78" i="1"/>
  <c r="O78" i="1" s="1"/>
  <c r="J324" i="1"/>
  <c r="K324" i="1"/>
  <c r="L324" i="1"/>
  <c r="N324" i="1" s="1"/>
  <c r="M324" i="1"/>
  <c r="O324" i="1" s="1"/>
  <c r="J81" i="1"/>
  <c r="K81" i="1"/>
  <c r="L81" i="1"/>
  <c r="N81" i="1" s="1"/>
  <c r="M81" i="1"/>
  <c r="O81" i="1" s="1"/>
  <c r="J82" i="1"/>
  <c r="K82" i="1"/>
  <c r="L82" i="1"/>
  <c r="N82" i="1" s="1"/>
  <c r="M82" i="1"/>
  <c r="O82" i="1" s="1"/>
  <c r="J83" i="1"/>
  <c r="K83" i="1"/>
  <c r="L83" i="1"/>
  <c r="N83" i="1" s="1"/>
  <c r="M83" i="1"/>
  <c r="O83" i="1" s="1"/>
  <c r="J84" i="1"/>
  <c r="K84" i="1"/>
  <c r="L84" i="1"/>
  <c r="N84" i="1" s="1"/>
  <c r="M84" i="1"/>
  <c r="O84" i="1" s="1"/>
  <c r="J85" i="1"/>
  <c r="K85" i="1"/>
  <c r="L85" i="1"/>
  <c r="N85" i="1" s="1"/>
  <c r="M85" i="1"/>
  <c r="O85" i="1" s="1"/>
  <c r="J86" i="1"/>
  <c r="K86" i="1"/>
  <c r="L86" i="1"/>
  <c r="N86" i="1" s="1"/>
  <c r="M86" i="1"/>
  <c r="O86" i="1" s="1"/>
  <c r="J87" i="1"/>
  <c r="K87" i="1"/>
  <c r="L87" i="1"/>
  <c r="N87" i="1" s="1"/>
  <c r="M87" i="1"/>
  <c r="O87" i="1" s="1"/>
  <c r="J88" i="1"/>
  <c r="K88" i="1"/>
  <c r="L88" i="1"/>
  <c r="N88" i="1" s="1"/>
  <c r="M88" i="1"/>
  <c r="O88" i="1" s="1"/>
  <c r="J89" i="1"/>
  <c r="K89" i="1"/>
  <c r="L89" i="1"/>
  <c r="N89" i="1" s="1"/>
  <c r="M89" i="1"/>
  <c r="O89" i="1" s="1"/>
  <c r="J90" i="1"/>
  <c r="K90" i="1"/>
  <c r="L90" i="1"/>
  <c r="N90" i="1" s="1"/>
  <c r="M90" i="1"/>
  <c r="O90" i="1" s="1"/>
  <c r="J91" i="1"/>
  <c r="K91" i="1"/>
  <c r="L91" i="1"/>
  <c r="N91" i="1" s="1"/>
  <c r="M91" i="1"/>
  <c r="O91" i="1" s="1"/>
  <c r="J325" i="1"/>
  <c r="K325" i="1"/>
  <c r="L325" i="1"/>
  <c r="N325" i="1" s="1"/>
  <c r="M325" i="1"/>
  <c r="O325" i="1" s="1"/>
  <c r="J93" i="1"/>
  <c r="K93" i="1"/>
  <c r="L93" i="1"/>
  <c r="N93" i="1" s="1"/>
  <c r="M93" i="1"/>
  <c r="O93" i="1" s="1"/>
  <c r="J94" i="1"/>
  <c r="K94" i="1"/>
  <c r="L94" i="1"/>
  <c r="N94" i="1" s="1"/>
  <c r="M94" i="1"/>
  <c r="O94" i="1" s="1"/>
  <c r="J95" i="1"/>
  <c r="K95" i="1"/>
  <c r="L95" i="1"/>
  <c r="N95" i="1" s="1"/>
  <c r="M95" i="1"/>
  <c r="O95" i="1" s="1"/>
  <c r="J326" i="1"/>
  <c r="K326" i="1"/>
  <c r="L326" i="1"/>
  <c r="N326" i="1" s="1"/>
  <c r="M326" i="1"/>
  <c r="O326" i="1" s="1"/>
  <c r="J97" i="1"/>
  <c r="K97" i="1"/>
  <c r="L97" i="1"/>
  <c r="N97" i="1" s="1"/>
  <c r="M97" i="1"/>
  <c r="O97" i="1" s="1"/>
  <c r="J98" i="1"/>
  <c r="K98" i="1"/>
  <c r="L98" i="1"/>
  <c r="N98" i="1" s="1"/>
  <c r="M98" i="1"/>
  <c r="O98" i="1" s="1"/>
  <c r="J99" i="1"/>
  <c r="K99" i="1"/>
  <c r="L99" i="1"/>
  <c r="N99" i="1" s="1"/>
  <c r="M99" i="1"/>
  <c r="O99" i="1" s="1"/>
  <c r="J327" i="1"/>
  <c r="K327" i="1"/>
  <c r="L327" i="1"/>
  <c r="N327" i="1" s="1"/>
  <c r="M327" i="1"/>
  <c r="O327" i="1" s="1"/>
  <c r="J101" i="1"/>
  <c r="K101" i="1"/>
  <c r="L101" i="1"/>
  <c r="N101" i="1" s="1"/>
  <c r="M101" i="1"/>
  <c r="O101" i="1" s="1"/>
  <c r="J328" i="1"/>
  <c r="K328" i="1"/>
  <c r="L328" i="1"/>
  <c r="N328" i="1" s="1"/>
  <c r="M328" i="1"/>
  <c r="O328" i="1" s="1"/>
  <c r="J92" i="1"/>
  <c r="K92" i="1"/>
  <c r="L92" i="1"/>
  <c r="N92" i="1" s="1"/>
  <c r="M92" i="1"/>
  <c r="O92" i="1" s="1"/>
  <c r="J104" i="1"/>
  <c r="K104" i="1"/>
  <c r="L104" i="1"/>
  <c r="N104" i="1" s="1"/>
  <c r="M104" i="1"/>
  <c r="O104" i="1" s="1"/>
  <c r="J105" i="1"/>
  <c r="K105" i="1"/>
  <c r="L105" i="1"/>
  <c r="N105" i="1" s="1"/>
  <c r="M105" i="1"/>
  <c r="O105" i="1" s="1"/>
  <c r="J106" i="1"/>
  <c r="K106" i="1"/>
  <c r="L106" i="1"/>
  <c r="N106" i="1" s="1"/>
  <c r="M106" i="1"/>
  <c r="O106" i="1" s="1"/>
  <c r="J329" i="1"/>
  <c r="K329" i="1"/>
  <c r="L329" i="1"/>
  <c r="N329" i="1" s="1"/>
  <c r="M329" i="1"/>
  <c r="O329" i="1" s="1"/>
  <c r="J330" i="1"/>
  <c r="K330" i="1"/>
  <c r="L330" i="1"/>
  <c r="N330" i="1" s="1"/>
  <c r="M330" i="1"/>
  <c r="O330" i="1" s="1"/>
  <c r="J337" i="1"/>
  <c r="K337" i="1"/>
  <c r="L337" i="1"/>
  <c r="N337" i="1" s="1"/>
  <c r="M337" i="1"/>
  <c r="O337" i="1" s="1"/>
  <c r="J338" i="1"/>
  <c r="K338" i="1"/>
  <c r="L338" i="1"/>
  <c r="N338" i="1" s="1"/>
  <c r="M338" i="1"/>
  <c r="O338" i="1" s="1"/>
  <c r="J339" i="1"/>
  <c r="K339" i="1"/>
  <c r="L339" i="1"/>
  <c r="N339" i="1" s="1"/>
  <c r="M339" i="1"/>
  <c r="O339" i="1" s="1"/>
  <c r="J349" i="1"/>
  <c r="K349" i="1"/>
  <c r="L349" i="1"/>
  <c r="N349" i="1" s="1"/>
  <c r="M349" i="1"/>
  <c r="O349" i="1" s="1"/>
  <c r="J350" i="1"/>
  <c r="K350" i="1"/>
  <c r="L350" i="1"/>
  <c r="N350" i="1" s="1"/>
  <c r="M350" i="1"/>
  <c r="O350" i="1" s="1"/>
  <c r="J114" i="1"/>
  <c r="K114" i="1"/>
  <c r="L114" i="1"/>
  <c r="N114" i="1" s="1"/>
  <c r="M114" i="1"/>
  <c r="O114" i="1" s="1"/>
  <c r="J115" i="1"/>
  <c r="K115" i="1"/>
  <c r="L115" i="1"/>
  <c r="N115" i="1" s="1"/>
  <c r="M115" i="1"/>
  <c r="O115" i="1" s="1"/>
  <c r="J116" i="1"/>
  <c r="K116" i="1"/>
  <c r="L116" i="1"/>
  <c r="N116" i="1" s="1"/>
  <c r="M116" i="1"/>
  <c r="O116" i="1" s="1"/>
  <c r="J117" i="1"/>
  <c r="K117" i="1"/>
  <c r="L117" i="1"/>
  <c r="N117" i="1" s="1"/>
  <c r="M117" i="1"/>
  <c r="O117" i="1" s="1"/>
  <c r="J351" i="1"/>
  <c r="K351" i="1"/>
  <c r="L351" i="1"/>
  <c r="N351" i="1" s="1"/>
  <c r="M351" i="1"/>
  <c r="O351" i="1" s="1"/>
  <c r="J119" i="1"/>
  <c r="K119" i="1"/>
  <c r="L119" i="1"/>
  <c r="N119" i="1" s="1"/>
  <c r="M119" i="1"/>
  <c r="O119" i="1" s="1"/>
  <c r="J120" i="1"/>
  <c r="K120" i="1"/>
  <c r="L120" i="1"/>
  <c r="N120" i="1" s="1"/>
  <c r="M120" i="1"/>
  <c r="O120" i="1" s="1"/>
  <c r="J121" i="1"/>
  <c r="K121" i="1"/>
  <c r="L121" i="1"/>
  <c r="N121" i="1" s="1"/>
  <c r="M121" i="1"/>
  <c r="O121" i="1" s="1"/>
  <c r="J122" i="1"/>
  <c r="K122" i="1"/>
  <c r="L122" i="1"/>
  <c r="N122" i="1" s="1"/>
  <c r="M122" i="1"/>
  <c r="O122" i="1" s="1"/>
  <c r="J352" i="1"/>
  <c r="K352" i="1"/>
  <c r="L352" i="1"/>
  <c r="N352" i="1" s="1"/>
  <c r="M352" i="1"/>
  <c r="O352" i="1" s="1"/>
  <c r="J124" i="1"/>
  <c r="K124" i="1"/>
  <c r="L124" i="1"/>
  <c r="N124" i="1" s="1"/>
  <c r="M124" i="1"/>
  <c r="O124" i="1" s="1"/>
  <c r="J125" i="1"/>
  <c r="K125" i="1"/>
  <c r="L125" i="1"/>
  <c r="N125" i="1" s="1"/>
  <c r="M125" i="1"/>
  <c r="O125" i="1" s="1"/>
  <c r="J126" i="1"/>
  <c r="K126" i="1"/>
  <c r="L126" i="1"/>
  <c r="N126" i="1" s="1"/>
  <c r="M126" i="1"/>
  <c r="O126" i="1" s="1"/>
  <c r="J127" i="1"/>
  <c r="K127" i="1"/>
  <c r="L127" i="1"/>
  <c r="N127" i="1" s="1"/>
  <c r="M127" i="1"/>
  <c r="O127" i="1" s="1"/>
  <c r="J128" i="1"/>
  <c r="K128" i="1"/>
  <c r="L128" i="1"/>
  <c r="N128" i="1" s="1"/>
  <c r="M128" i="1"/>
  <c r="O128" i="1" s="1"/>
  <c r="J129" i="1"/>
  <c r="K129" i="1"/>
  <c r="L129" i="1"/>
  <c r="N129" i="1" s="1"/>
  <c r="M129" i="1"/>
  <c r="O129" i="1" s="1"/>
  <c r="J130" i="1"/>
  <c r="K130" i="1"/>
  <c r="L130" i="1"/>
  <c r="N130" i="1" s="1"/>
  <c r="M130" i="1"/>
  <c r="O130" i="1" s="1"/>
  <c r="J356" i="1"/>
  <c r="K356" i="1"/>
  <c r="L356" i="1"/>
  <c r="N356" i="1" s="1"/>
  <c r="M356" i="1"/>
  <c r="O356" i="1" s="1"/>
  <c r="J363" i="1"/>
  <c r="K363" i="1"/>
  <c r="L363" i="1"/>
  <c r="N363" i="1" s="1"/>
  <c r="M363" i="1"/>
  <c r="O363" i="1" s="1"/>
  <c r="J364" i="1"/>
  <c r="K364" i="1"/>
  <c r="L364" i="1"/>
  <c r="N364" i="1" s="1"/>
  <c r="M364" i="1"/>
  <c r="O364" i="1" s="1"/>
  <c r="J365" i="1"/>
  <c r="K365" i="1"/>
  <c r="L365" i="1"/>
  <c r="N365" i="1" s="1"/>
  <c r="M365" i="1"/>
  <c r="O365" i="1" s="1"/>
  <c r="J135" i="1"/>
  <c r="K135" i="1"/>
  <c r="L135" i="1"/>
  <c r="N135" i="1" s="1"/>
  <c r="M135" i="1"/>
  <c r="O135" i="1" s="1"/>
  <c r="J136" i="1"/>
  <c r="K136" i="1"/>
  <c r="L136" i="1"/>
  <c r="N136" i="1" s="1"/>
  <c r="M136" i="1"/>
  <c r="O136" i="1" s="1"/>
  <c r="J137" i="1"/>
  <c r="K137" i="1"/>
  <c r="L137" i="1"/>
  <c r="N137" i="1" s="1"/>
  <c r="M137" i="1"/>
  <c r="O137" i="1" s="1"/>
  <c r="J138" i="1"/>
  <c r="K138" i="1"/>
  <c r="L138" i="1"/>
  <c r="N138" i="1" s="1"/>
  <c r="M138" i="1"/>
  <c r="O138" i="1" s="1"/>
  <c r="J139" i="1"/>
  <c r="K139" i="1"/>
  <c r="L139" i="1"/>
  <c r="N139" i="1" s="1"/>
  <c r="M139" i="1"/>
  <c r="O139" i="1" s="1"/>
  <c r="J140" i="1"/>
  <c r="K140" i="1"/>
  <c r="L140" i="1"/>
  <c r="N140" i="1" s="1"/>
  <c r="M140" i="1"/>
  <c r="O140" i="1" s="1"/>
  <c r="J42" i="1"/>
  <c r="K42" i="1"/>
  <c r="L42" i="1"/>
  <c r="N42" i="1" s="1"/>
  <c r="M42" i="1"/>
  <c r="O42" i="1" s="1"/>
  <c r="J142" i="1"/>
  <c r="K142" i="1"/>
  <c r="L142" i="1"/>
  <c r="N142" i="1" s="1"/>
  <c r="M142" i="1"/>
  <c r="O142" i="1" s="1"/>
  <c r="J366" i="1"/>
  <c r="K366" i="1"/>
  <c r="L366" i="1"/>
  <c r="N366" i="1" s="1"/>
  <c r="M366" i="1"/>
  <c r="O366" i="1" s="1"/>
  <c r="J144" i="1"/>
  <c r="K144" i="1"/>
  <c r="L144" i="1"/>
  <c r="N144" i="1" s="1"/>
  <c r="M144" i="1"/>
  <c r="O144" i="1" s="1"/>
  <c r="J145" i="1"/>
  <c r="K145" i="1"/>
  <c r="L145" i="1"/>
  <c r="N145" i="1" s="1"/>
  <c r="M145" i="1"/>
  <c r="O145" i="1" s="1"/>
  <c r="J146" i="1"/>
  <c r="K146" i="1"/>
  <c r="L146" i="1"/>
  <c r="N146" i="1" s="1"/>
  <c r="M146" i="1"/>
  <c r="O146" i="1" s="1"/>
  <c r="J147" i="1"/>
  <c r="K147" i="1"/>
  <c r="L147" i="1"/>
  <c r="N147" i="1" s="1"/>
  <c r="M147" i="1"/>
  <c r="O147" i="1" s="1"/>
  <c r="J369" i="1"/>
  <c r="K369" i="1"/>
  <c r="L369" i="1"/>
  <c r="N369" i="1" s="1"/>
  <c r="M369" i="1"/>
  <c r="O369" i="1" s="1"/>
  <c r="J149" i="1"/>
  <c r="K149" i="1"/>
  <c r="L149" i="1"/>
  <c r="N149" i="1" s="1"/>
  <c r="M149" i="1"/>
  <c r="O149" i="1" s="1"/>
  <c r="J150" i="1"/>
  <c r="K150" i="1"/>
  <c r="L150" i="1"/>
  <c r="N150" i="1" s="1"/>
  <c r="M150" i="1"/>
  <c r="O150" i="1" s="1"/>
  <c r="J151" i="1"/>
  <c r="K151" i="1"/>
  <c r="L151" i="1"/>
  <c r="N151" i="1" s="1"/>
  <c r="M151" i="1"/>
  <c r="O151" i="1" s="1"/>
  <c r="J370" i="1"/>
  <c r="K370" i="1"/>
  <c r="L370" i="1"/>
  <c r="N370" i="1" s="1"/>
  <c r="M370" i="1"/>
  <c r="O370" i="1" s="1"/>
  <c r="J372" i="1"/>
  <c r="K372" i="1"/>
  <c r="L372" i="1"/>
  <c r="N372" i="1" s="1"/>
  <c r="M372" i="1"/>
  <c r="O372" i="1" s="1"/>
  <c r="J374" i="1"/>
  <c r="K374" i="1"/>
  <c r="L374" i="1"/>
  <c r="N374" i="1" s="1"/>
  <c r="M374" i="1"/>
  <c r="O374" i="1" s="1"/>
  <c r="J375" i="1"/>
  <c r="K375" i="1"/>
  <c r="L375" i="1"/>
  <c r="N375" i="1" s="1"/>
  <c r="M375" i="1"/>
  <c r="O375" i="1" s="1"/>
  <c r="J156" i="1"/>
  <c r="K156" i="1"/>
  <c r="L156" i="1"/>
  <c r="N156" i="1" s="1"/>
  <c r="M156" i="1"/>
  <c r="O156" i="1" s="1"/>
  <c r="J157" i="1"/>
  <c r="K157" i="1"/>
  <c r="L157" i="1"/>
  <c r="N157" i="1" s="1"/>
  <c r="M157" i="1"/>
  <c r="O157" i="1" s="1"/>
  <c r="J158" i="1"/>
  <c r="K158" i="1"/>
  <c r="L158" i="1"/>
  <c r="N158" i="1" s="1"/>
  <c r="M158" i="1"/>
  <c r="O158" i="1" s="1"/>
  <c r="J159" i="1"/>
  <c r="K159" i="1"/>
  <c r="L159" i="1"/>
  <c r="N159" i="1" s="1"/>
  <c r="M159" i="1"/>
  <c r="O159" i="1" s="1"/>
  <c r="J160" i="1"/>
  <c r="K160" i="1"/>
  <c r="L160" i="1"/>
  <c r="N160" i="1" s="1"/>
  <c r="M160" i="1"/>
  <c r="O160" i="1" s="1"/>
  <c r="J377" i="1"/>
  <c r="K377" i="1"/>
  <c r="L377" i="1"/>
  <c r="N377" i="1" s="1"/>
  <c r="M377" i="1"/>
  <c r="O377" i="1" s="1"/>
  <c r="J378" i="1"/>
  <c r="K378" i="1"/>
  <c r="L378" i="1"/>
  <c r="N378" i="1" s="1"/>
  <c r="M378" i="1"/>
  <c r="O378" i="1" s="1"/>
  <c r="J379" i="1"/>
  <c r="K379" i="1"/>
  <c r="L379" i="1"/>
  <c r="N379" i="1" s="1"/>
  <c r="M379" i="1"/>
  <c r="O379" i="1" s="1"/>
  <c r="J380" i="1"/>
  <c r="K380" i="1"/>
  <c r="L380" i="1"/>
  <c r="N380" i="1" s="1"/>
  <c r="M380" i="1"/>
  <c r="O380" i="1" s="1"/>
  <c r="J381" i="1"/>
  <c r="K381" i="1"/>
  <c r="L381" i="1"/>
  <c r="N381" i="1" s="1"/>
  <c r="M381" i="1"/>
  <c r="O381" i="1" s="1"/>
  <c r="J382" i="1"/>
  <c r="K382" i="1"/>
  <c r="L382" i="1"/>
  <c r="N382" i="1" s="1"/>
  <c r="M382" i="1"/>
  <c r="O382" i="1" s="1"/>
  <c r="J384" i="1"/>
  <c r="K384" i="1"/>
  <c r="L384" i="1"/>
  <c r="N384" i="1" s="1"/>
  <c r="M384" i="1"/>
  <c r="O384" i="1" s="1"/>
  <c r="J385" i="1"/>
  <c r="K385" i="1"/>
  <c r="L385" i="1"/>
  <c r="N385" i="1" s="1"/>
  <c r="M385" i="1"/>
  <c r="O385" i="1" s="1"/>
  <c r="J386" i="1"/>
  <c r="K386" i="1"/>
  <c r="L386" i="1"/>
  <c r="N386" i="1" s="1"/>
  <c r="M386" i="1"/>
  <c r="O386" i="1" s="1"/>
  <c r="J170" i="1"/>
  <c r="K170" i="1"/>
  <c r="L170" i="1"/>
  <c r="N170" i="1" s="1"/>
  <c r="M170" i="1"/>
  <c r="O170" i="1" s="1"/>
  <c r="J171" i="1"/>
  <c r="K171" i="1"/>
  <c r="L171" i="1"/>
  <c r="N171" i="1" s="1"/>
  <c r="M171" i="1"/>
  <c r="O171" i="1" s="1"/>
  <c r="J172" i="1"/>
  <c r="K172" i="1"/>
  <c r="L172" i="1"/>
  <c r="N172" i="1" s="1"/>
  <c r="M172" i="1"/>
  <c r="O172" i="1" s="1"/>
  <c r="J173" i="1"/>
  <c r="K173" i="1"/>
  <c r="L173" i="1"/>
  <c r="N173" i="1" s="1"/>
  <c r="M173" i="1"/>
  <c r="O173" i="1" s="1"/>
  <c r="J174" i="1"/>
  <c r="K174" i="1"/>
  <c r="L174" i="1"/>
  <c r="N174" i="1" s="1"/>
  <c r="M174" i="1"/>
  <c r="O174" i="1" s="1"/>
  <c r="J175" i="1"/>
  <c r="K175" i="1"/>
  <c r="L175" i="1"/>
  <c r="N175" i="1" s="1"/>
  <c r="M175" i="1"/>
  <c r="O175" i="1" s="1"/>
  <c r="J390" i="1"/>
  <c r="K390" i="1"/>
  <c r="L390" i="1"/>
  <c r="N390" i="1" s="1"/>
  <c r="M390" i="1"/>
  <c r="O390" i="1" s="1"/>
  <c r="J391" i="1"/>
  <c r="K391" i="1"/>
  <c r="L391" i="1"/>
  <c r="N391" i="1" s="1"/>
  <c r="M391" i="1"/>
  <c r="O391" i="1" s="1"/>
  <c r="J178" i="1"/>
  <c r="K178" i="1"/>
  <c r="L178" i="1"/>
  <c r="N178" i="1" s="1"/>
  <c r="M178" i="1"/>
  <c r="O178" i="1" s="1"/>
  <c r="J179" i="1"/>
  <c r="K179" i="1"/>
  <c r="L179" i="1"/>
  <c r="N179" i="1" s="1"/>
  <c r="M179" i="1"/>
  <c r="O179" i="1" s="1"/>
  <c r="J180" i="1"/>
  <c r="K180" i="1"/>
  <c r="L180" i="1"/>
  <c r="N180" i="1" s="1"/>
  <c r="M180" i="1"/>
  <c r="O180" i="1" s="1"/>
  <c r="J181" i="1"/>
  <c r="K181" i="1"/>
  <c r="L181" i="1"/>
  <c r="N181" i="1" s="1"/>
  <c r="M181" i="1"/>
  <c r="O181" i="1" s="1"/>
  <c r="J182" i="1"/>
  <c r="K182" i="1"/>
  <c r="L182" i="1"/>
  <c r="N182" i="1" s="1"/>
  <c r="M182" i="1"/>
  <c r="O182" i="1" s="1"/>
  <c r="J183" i="1"/>
  <c r="K183" i="1"/>
  <c r="L183" i="1"/>
  <c r="N183" i="1" s="1"/>
  <c r="M183" i="1"/>
  <c r="O183" i="1" s="1"/>
  <c r="J184" i="1"/>
  <c r="K184" i="1"/>
  <c r="L184" i="1"/>
  <c r="N184" i="1" s="1"/>
  <c r="M184" i="1"/>
  <c r="O184" i="1" s="1"/>
  <c r="J185" i="1"/>
  <c r="K185" i="1"/>
  <c r="L185" i="1"/>
  <c r="N185" i="1" s="1"/>
  <c r="M185" i="1"/>
  <c r="O185" i="1" s="1"/>
  <c r="J186" i="1"/>
  <c r="K186" i="1"/>
  <c r="L186" i="1"/>
  <c r="N186" i="1" s="1"/>
  <c r="M186" i="1"/>
  <c r="O186" i="1" s="1"/>
  <c r="J187" i="1"/>
  <c r="K187" i="1"/>
  <c r="L187" i="1"/>
  <c r="N187" i="1" s="1"/>
  <c r="M187" i="1"/>
  <c r="O187" i="1" s="1"/>
  <c r="J188" i="1"/>
  <c r="K188" i="1"/>
  <c r="L188" i="1"/>
  <c r="N188" i="1" s="1"/>
  <c r="M188" i="1"/>
  <c r="O188" i="1" s="1"/>
  <c r="J189" i="1"/>
  <c r="K189" i="1"/>
  <c r="L189" i="1"/>
  <c r="N189" i="1" s="1"/>
  <c r="M189" i="1"/>
  <c r="O189" i="1" s="1"/>
  <c r="J190" i="1"/>
  <c r="K190" i="1"/>
  <c r="L190" i="1"/>
  <c r="N190" i="1" s="1"/>
  <c r="M190" i="1"/>
  <c r="O190" i="1" s="1"/>
  <c r="J191" i="1"/>
  <c r="K191" i="1"/>
  <c r="L191" i="1"/>
  <c r="N191" i="1" s="1"/>
  <c r="M191" i="1"/>
  <c r="O191" i="1" s="1"/>
  <c r="J192" i="1"/>
  <c r="K192" i="1"/>
  <c r="L192" i="1"/>
  <c r="N192" i="1" s="1"/>
  <c r="M192" i="1"/>
  <c r="O192" i="1" s="1"/>
  <c r="J193" i="1"/>
  <c r="K193" i="1"/>
  <c r="L193" i="1"/>
  <c r="N193" i="1" s="1"/>
  <c r="M193" i="1"/>
  <c r="O193" i="1" s="1"/>
  <c r="J194" i="1"/>
  <c r="K194" i="1"/>
  <c r="L194" i="1"/>
  <c r="N194" i="1" s="1"/>
  <c r="M194" i="1"/>
  <c r="O194" i="1" s="1"/>
  <c r="J392" i="1"/>
  <c r="K392" i="1"/>
  <c r="L392" i="1"/>
  <c r="N392" i="1" s="1"/>
  <c r="M392" i="1"/>
  <c r="O392" i="1" s="1"/>
  <c r="J396" i="1"/>
  <c r="K396" i="1"/>
  <c r="L396" i="1"/>
  <c r="N396" i="1" s="1"/>
  <c r="M396" i="1"/>
  <c r="O396" i="1" s="1"/>
  <c r="J197" i="1"/>
  <c r="K197" i="1"/>
  <c r="L197" i="1"/>
  <c r="N197" i="1" s="1"/>
  <c r="M197" i="1"/>
  <c r="O197" i="1" s="1"/>
  <c r="J198" i="1"/>
  <c r="K198" i="1"/>
  <c r="L198" i="1"/>
  <c r="N198" i="1" s="1"/>
  <c r="M198" i="1"/>
  <c r="O198" i="1" s="1"/>
  <c r="J199" i="1"/>
  <c r="K199" i="1"/>
  <c r="L199" i="1"/>
  <c r="N199" i="1" s="1"/>
  <c r="M199" i="1"/>
  <c r="O199" i="1" s="1"/>
  <c r="J200" i="1"/>
  <c r="K200" i="1"/>
  <c r="L200" i="1"/>
  <c r="N200" i="1" s="1"/>
  <c r="M200" i="1"/>
  <c r="O200" i="1" s="1"/>
  <c r="J399" i="1"/>
  <c r="K399" i="1"/>
  <c r="L399" i="1"/>
  <c r="N399" i="1" s="1"/>
  <c r="M399" i="1"/>
  <c r="O399" i="1" s="1"/>
  <c r="J402" i="1"/>
  <c r="K402" i="1"/>
  <c r="L402" i="1"/>
  <c r="N402" i="1" s="1"/>
  <c r="M402" i="1"/>
  <c r="O402" i="1" s="1"/>
  <c r="J204" i="1"/>
  <c r="K204" i="1"/>
  <c r="L204" i="1"/>
  <c r="N204" i="1" s="1"/>
  <c r="M204" i="1"/>
  <c r="O204" i="1" s="1"/>
  <c r="J205" i="1"/>
  <c r="K205" i="1"/>
  <c r="L205" i="1"/>
  <c r="N205" i="1" s="1"/>
  <c r="M205" i="1"/>
  <c r="O205" i="1" s="1"/>
  <c r="J43" i="1"/>
  <c r="K43" i="1"/>
  <c r="L43" i="1"/>
  <c r="N43" i="1" s="1"/>
  <c r="M43" i="1"/>
  <c r="O43" i="1" s="1"/>
  <c r="J405" i="1"/>
  <c r="K405" i="1"/>
  <c r="L405" i="1"/>
  <c r="N405" i="1" s="1"/>
  <c r="M405" i="1"/>
  <c r="O405" i="1" s="1"/>
  <c r="J208" i="1"/>
  <c r="K208" i="1"/>
  <c r="L208" i="1"/>
  <c r="N208" i="1" s="1"/>
  <c r="M208" i="1"/>
  <c r="O208" i="1" s="1"/>
  <c r="J209" i="1"/>
  <c r="K209" i="1"/>
  <c r="L209" i="1"/>
  <c r="N209" i="1" s="1"/>
  <c r="M209" i="1"/>
  <c r="O209" i="1" s="1"/>
  <c r="J211" i="1"/>
  <c r="K211" i="1"/>
  <c r="L211" i="1"/>
  <c r="N211" i="1" s="1"/>
  <c r="M211" i="1"/>
  <c r="O211" i="1" s="1"/>
  <c r="J212" i="1"/>
  <c r="K212" i="1"/>
  <c r="L212" i="1"/>
  <c r="N212" i="1" s="1"/>
  <c r="M212" i="1"/>
  <c r="O212" i="1" s="1"/>
  <c r="J213" i="1"/>
  <c r="K213" i="1"/>
  <c r="L213" i="1"/>
  <c r="N213" i="1" s="1"/>
  <c r="M213" i="1"/>
  <c r="O213" i="1" s="1"/>
  <c r="J214" i="1"/>
  <c r="K214" i="1"/>
  <c r="L214" i="1"/>
  <c r="N214" i="1" s="1"/>
  <c r="M214" i="1"/>
  <c r="O214" i="1" s="1"/>
  <c r="J215" i="1"/>
  <c r="K215" i="1"/>
  <c r="L215" i="1"/>
  <c r="N215" i="1" s="1"/>
  <c r="M215" i="1"/>
  <c r="O215" i="1" s="1"/>
  <c r="J216" i="1"/>
  <c r="K216" i="1"/>
  <c r="L216" i="1"/>
  <c r="N216" i="1" s="1"/>
  <c r="M216" i="1"/>
  <c r="O216" i="1" s="1"/>
  <c r="J217" i="1"/>
  <c r="K217" i="1"/>
  <c r="L217" i="1"/>
  <c r="N217" i="1" s="1"/>
  <c r="M217" i="1"/>
  <c r="O217" i="1" s="1"/>
  <c r="J218" i="1"/>
  <c r="K218" i="1"/>
  <c r="L218" i="1"/>
  <c r="N218" i="1" s="1"/>
  <c r="M218" i="1"/>
  <c r="O218" i="1" s="1"/>
  <c r="J219" i="1"/>
  <c r="K219" i="1"/>
  <c r="L219" i="1"/>
  <c r="N219" i="1" s="1"/>
  <c r="M219" i="1"/>
  <c r="O219" i="1" s="1"/>
  <c r="J220" i="1"/>
  <c r="K220" i="1"/>
  <c r="L220" i="1"/>
  <c r="N220" i="1" s="1"/>
  <c r="M220" i="1"/>
  <c r="O220" i="1" s="1"/>
  <c r="J196" i="1"/>
  <c r="K196" i="1"/>
  <c r="L196" i="1"/>
  <c r="N196" i="1" s="1"/>
  <c r="M196" i="1"/>
  <c r="O196" i="1" s="1"/>
  <c r="J409" i="1"/>
  <c r="K409" i="1"/>
  <c r="L409" i="1"/>
  <c r="N409" i="1" s="1"/>
  <c r="M409" i="1"/>
  <c r="O409" i="1" s="1"/>
  <c r="J224" i="1"/>
  <c r="K224" i="1"/>
  <c r="L224" i="1"/>
  <c r="N224" i="1" s="1"/>
  <c r="M224" i="1"/>
  <c r="O224" i="1" s="1"/>
  <c r="J221" i="1"/>
  <c r="K221" i="1"/>
  <c r="L221" i="1"/>
  <c r="N221" i="1" s="1"/>
  <c r="M221" i="1"/>
  <c r="O221" i="1" s="1"/>
  <c r="J414" i="1"/>
  <c r="K414" i="1"/>
  <c r="L414" i="1"/>
  <c r="N414" i="1" s="1"/>
  <c r="M414" i="1"/>
  <c r="O414" i="1" s="1"/>
  <c r="J415" i="1"/>
  <c r="K415" i="1"/>
  <c r="L415" i="1"/>
  <c r="N415" i="1" s="1"/>
  <c r="M415" i="1"/>
  <c r="O415" i="1" s="1"/>
  <c r="J110" i="1"/>
  <c r="K110" i="1"/>
  <c r="L110" i="1"/>
  <c r="N110" i="1" s="1"/>
  <c r="M110" i="1"/>
  <c r="O110" i="1" s="1"/>
  <c r="J420" i="1"/>
  <c r="K420" i="1"/>
  <c r="L420" i="1"/>
  <c r="N420" i="1" s="1"/>
  <c r="M420" i="1"/>
  <c r="O420" i="1" s="1"/>
  <c r="J229" i="1"/>
  <c r="K229" i="1"/>
  <c r="L229" i="1"/>
  <c r="N229" i="1" s="1"/>
  <c r="M229" i="1"/>
  <c r="O229" i="1" s="1"/>
  <c r="J230" i="1"/>
  <c r="K230" i="1"/>
  <c r="L230" i="1"/>
  <c r="N230" i="1" s="1"/>
  <c r="M230" i="1"/>
  <c r="O230" i="1" s="1"/>
  <c r="J424" i="1"/>
  <c r="K424" i="1"/>
  <c r="L424" i="1"/>
  <c r="N424" i="1" s="1"/>
  <c r="M424" i="1"/>
  <c r="O424" i="1" s="1"/>
  <c r="J428" i="1"/>
  <c r="K428" i="1"/>
  <c r="L428" i="1"/>
  <c r="N428" i="1" s="1"/>
  <c r="M428" i="1"/>
  <c r="O428" i="1" s="1"/>
  <c r="J233" i="1"/>
  <c r="K233" i="1"/>
  <c r="L233" i="1"/>
  <c r="N233" i="1" s="1"/>
  <c r="M233" i="1"/>
  <c r="O233" i="1" s="1"/>
  <c r="J235" i="1"/>
  <c r="K235" i="1"/>
  <c r="L235" i="1"/>
  <c r="N235" i="1" s="1"/>
  <c r="M235" i="1"/>
  <c r="O235" i="1" s="1"/>
  <c r="J429" i="1"/>
  <c r="K429" i="1"/>
  <c r="L429" i="1"/>
  <c r="N429" i="1" s="1"/>
  <c r="M429" i="1"/>
  <c r="O429" i="1" s="1"/>
  <c r="J436" i="1"/>
  <c r="K436" i="1"/>
  <c r="L436" i="1"/>
  <c r="N436" i="1" s="1"/>
  <c r="M436" i="1"/>
  <c r="O436" i="1" s="1"/>
  <c r="J437" i="1"/>
  <c r="K437" i="1"/>
  <c r="L437" i="1"/>
  <c r="N437" i="1" s="1"/>
  <c r="M437" i="1"/>
  <c r="O437" i="1" s="1"/>
  <c r="J438" i="1"/>
  <c r="K438" i="1"/>
  <c r="L438" i="1"/>
  <c r="N438" i="1" s="1"/>
  <c r="M438" i="1"/>
  <c r="O438" i="1" s="1"/>
  <c r="J441" i="1"/>
  <c r="K441" i="1"/>
  <c r="L441" i="1"/>
  <c r="N441" i="1" s="1"/>
  <c r="M441" i="1"/>
  <c r="O441" i="1" s="1"/>
  <c r="J443" i="1"/>
  <c r="K443" i="1"/>
  <c r="L443" i="1"/>
  <c r="N443" i="1" s="1"/>
  <c r="M443" i="1"/>
  <c r="O443" i="1" s="1"/>
  <c r="J444" i="1"/>
  <c r="K444" i="1"/>
  <c r="L444" i="1"/>
  <c r="N444" i="1" s="1"/>
  <c r="M444" i="1"/>
  <c r="O444" i="1" s="1"/>
  <c r="J243" i="1"/>
  <c r="K243" i="1"/>
  <c r="L243" i="1"/>
  <c r="N243" i="1" s="1"/>
  <c r="M243" i="1"/>
  <c r="O243" i="1" s="1"/>
  <c r="J244" i="1"/>
  <c r="K244" i="1"/>
  <c r="L244" i="1"/>
  <c r="N244" i="1" s="1"/>
  <c r="M244" i="1"/>
  <c r="O244" i="1" s="1"/>
  <c r="J245" i="1"/>
  <c r="K245" i="1"/>
  <c r="L245" i="1"/>
  <c r="N245" i="1" s="1"/>
  <c r="M245" i="1"/>
  <c r="O245" i="1" s="1"/>
  <c r="J246" i="1"/>
  <c r="K246" i="1"/>
  <c r="L246" i="1"/>
  <c r="N246" i="1" s="1"/>
  <c r="M246" i="1"/>
  <c r="O246" i="1" s="1"/>
  <c r="J247" i="1"/>
  <c r="K247" i="1"/>
  <c r="L247" i="1"/>
  <c r="N247" i="1" s="1"/>
  <c r="M247" i="1"/>
  <c r="O247" i="1" s="1"/>
  <c r="J248" i="1"/>
  <c r="K248" i="1"/>
  <c r="L248" i="1"/>
  <c r="N248" i="1" s="1"/>
  <c r="M248" i="1"/>
  <c r="O248" i="1" s="1"/>
  <c r="J249" i="1"/>
  <c r="K249" i="1"/>
  <c r="L249" i="1"/>
  <c r="N249" i="1" s="1"/>
  <c r="M249" i="1"/>
  <c r="O249" i="1" s="1"/>
  <c r="J250" i="1"/>
  <c r="K250" i="1"/>
  <c r="L250" i="1"/>
  <c r="N250" i="1" s="1"/>
  <c r="M250" i="1"/>
  <c r="O250" i="1" s="1"/>
  <c r="J251" i="1"/>
  <c r="K251" i="1"/>
  <c r="L251" i="1"/>
  <c r="N251" i="1" s="1"/>
  <c r="M251" i="1"/>
  <c r="O251" i="1" s="1"/>
  <c r="J445" i="1"/>
  <c r="K445" i="1"/>
  <c r="L445" i="1"/>
  <c r="N445" i="1" s="1"/>
  <c r="M445" i="1"/>
  <c r="O445" i="1" s="1"/>
  <c r="J451" i="1"/>
  <c r="K451" i="1"/>
  <c r="L451" i="1"/>
  <c r="N451" i="1" s="1"/>
  <c r="M451" i="1"/>
  <c r="O451" i="1" s="1"/>
  <c r="J254" i="1"/>
  <c r="K254" i="1"/>
  <c r="L254" i="1"/>
  <c r="N254" i="1" s="1"/>
  <c r="M254" i="1"/>
  <c r="O254" i="1" s="1"/>
  <c r="J255" i="1"/>
  <c r="K255" i="1"/>
  <c r="L255" i="1"/>
  <c r="N255" i="1" s="1"/>
  <c r="M255" i="1"/>
  <c r="O255" i="1" s="1"/>
  <c r="J256" i="1"/>
  <c r="K256" i="1"/>
  <c r="L256" i="1"/>
  <c r="N256" i="1" s="1"/>
  <c r="M256" i="1"/>
  <c r="O256" i="1" s="1"/>
  <c r="J452" i="1"/>
  <c r="K452" i="1"/>
  <c r="L452" i="1"/>
  <c r="N452" i="1" s="1"/>
  <c r="M452" i="1"/>
  <c r="O452" i="1" s="1"/>
  <c r="J258" i="1"/>
  <c r="K258" i="1"/>
  <c r="L258" i="1"/>
  <c r="N258" i="1" s="1"/>
  <c r="M258" i="1"/>
  <c r="O258" i="1" s="1"/>
  <c r="J259" i="1"/>
  <c r="K259" i="1"/>
  <c r="L259" i="1"/>
  <c r="N259" i="1" s="1"/>
  <c r="M259" i="1"/>
  <c r="O259" i="1" s="1"/>
  <c r="J260" i="1"/>
  <c r="K260" i="1"/>
  <c r="L260" i="1"/>
  <c r="N260" i="1" s="1"/>
  <c r="M260" i="1"/>
  <c r="O260" i="1" s="1"/>
  <c r="J261" i="1"/>
  <c r="K261" i="1"/>
  <c r="L261" i="1"/>
  <c r="N261" i="1" s="1"/>
  <c r="M261" i="1"/>
  <c r="O261" i="1" s="1"/>
  <c r="J262" i="1"/>
  <c r="K262" i="1"/>
  <c r="L262" i="1"/>
  <c r="N262" i="1" s="1"/>
  <c r="M262" i="1"/>
  <c r="O262" i="1" s="1"/>
  <c r="J263" i="1"/>
  <c r="K263" i="1"/>
  <c r="L263" i="1"/>
  <c r="N263" i="1" s="1"/>
  <c r="M263" i="1"/>
  <c r="O263" i="1" s="1"/>
  <c r="J453" i="1"/>
  <c r="K453" i="1"/>
  <c r="L453" i="1"/>
  <c r="N453" i="1" s="1"/>
  <c r="M453" i="1"/>
  <c r="O453" i="1" s="1"/>
  <c r="J462" i="1"/>
  <c r="K462" i="1"/>
  <c r="L462" i="1"/>
  <c r="N462" i="1" s="1"/>
  <c r="M462" i="1"/>
  <c r="O462" i="1" s="1"/>
  <c r="J465" i="1"/>
  <c r="K465" i="1"/>
  <c r="L465" i="1"/>
  <c r="N465" i="1" s="1"/>
  <c r="M465" i="1"/>
  <c r="O465" i="1" s="1"/>
  <c r="J466" i="1"/>
  <c r="K466" i="1"/>
  <c r="L466" i="1"/>
  <c r="N466" i="1" s="1"/>
  <c r="M466" i="1"/>
  <c r="O466" i="1" s="1"/>
  <c r="J471" i="1"/>
  <c r="K471" i="1"/>
  <c r="L471" i="1"/>
  <c r="N471" i="1" s="1"/>
  <c r="M471" i="1"/>
  <c r="O471" i="1" s="1"/>
  <c r="J472" i="1"/>
  <c r="K472" i="1"/>
  <c r="L472" i="1"/>
  <c r="N472" i="1" s="1"/>
  <c r="M472" i="1"/>
  <c r="O472" i="1" s="1"/>
  <c r="J275" i="1"/>
  <c r="K275" i="1"/>
  <c r="L275" i="1"/>
  <c r="N275" i="1" s="1"/>
  <c r="M275" i="1"/>
  <c r="O275" i="1" s="1"/>
  <c r="J276" i="1"/>
  <c r="K276" i="1"/>
  <c r="L276" i="1"/>
  <c r="N276" i="1" s="1"/>
  <c r="M276" i="1"/>
  <c r="O276" i="1" s="1"/>
  <c r="J277" i="1"/>
  <c r="K277" i="1"/>
  <c r="L277" i="1"/>
  <c r="N277" i="1" s="1"/>
  <c r="M277" i="1"/>
  <c r="O277" i="1" s="1"/>
  <c r="J278" i="1"/>
  <c r="K278" i="1"/>
  <c r="L278" i="1"/>
  <c r="N278" i="1" s="1"/>
  <c r="M278" i="1"/>
  <c r="O278" i="1" s="1"/>
  <c r="J481" i="1"/>
  <c r="K481" i="1"/>
  <c r="L481" i="1"/>
  <c r="N481" i="1" s="1"/>
  <c r="M481" i="1"/>
  <c r="O481" i="1" s="1"/>
  <c r="J280" i="1"/>
  <c r="K280" i="1"/>
  <c r="L280" i="1"/>
  <c r="N280" i="1" s="1"/>
  <c r="M280" i="1"/>
  <c r="O280" i="1" s="1"/>
  <c r="J482" i="1"/>
  <c r="K482" i="1"/>
  <c r="L482" i="1"/>
  <c r="N482" i="1" s="1"/>
  <c r="M482" i="1"/>
  <c r="O482" i="1" s="1"/>
  <c r="J483" i="1"/>
  <c r="K483" i="1"/>
  <c r="L483" i="1"/>
  <c r="N483" i="1" s="1"/>
  <c r="M483" i="1"/>
  <c r="O483" i="1" s="1"/>
  <c r="J484" i="1"/>
  <c r="K484" i="1"/>
  <c r="L484" i="1"/>
  <c r="N484" i="1" s="1"/>
  <c r="M484" i="1"/>
  <c r="O484" i="1" s="1"/>
  <c r="J155" i="1"/>
  <c r="K155" i="1"/>
  <c r="L155" i="1"/>
  <c r="N155" i="1" s="1"/>
  <c r="M155" i="1"/>
  <c r="O155" i="1" s="1"/>
  <c r="J286" i="1"/>
  <c r="K286" i="1"/>
  <c r="L286" i="1"/>
  <c r="N286" i="1" s="1"/>
  <c r="M286" i="1"/>
  <c r="O286" i="1" s="1"/>
  <c r="J287" i="1"/>
  <c r="K287" i="1"/>
  <c r="L287" i="1"/>
  <c r="N287" i="1" s="1"/>
  <c r="M287" i="1"/>
  <c r="O287" i="1" s="1"/>
  <c r="J288" i="1"/>
  <c r="K288" i="1"/>
  <c r="L288" i="1"/>
  <c r="N288" i="1" s="1"/>
  <c r="M288" i="1"/>
  <c r="O288" i="1" s="1"/>
  <c r="J289" i="1"/>
  <c r="K289" i="1"/>
  <c r="L289" i="1"/>
  <c r="N289" i="1" s="1"/>
  <c r="M289" i="1"/>
  <c r="O289" i="1" s="1"/>
  <c r="J290" i="1"/>
  <c r="K290" i="1"/>
  <c r="L290" i="1"/>
  <c r="N290" i="1" s="1"/>
  <c r="M290" i="1"/>
  <c r="O290" i="1" s="1"/>
  <c r="J291" i="1"/>
  <c r="K291" i="1"/>
  <c r="L291" i="1"/>
  <c r="N291" i="1" s="1"/>
  <c r="M291" i="1"/>
  <c r="O291" i="1" s="1"/>
  <c r="J292" i="1"/>
  <c r="K292" i="1"/>
  <c r="L292" i="1"/>
  <c r="N292" i="1" s="1"/>
  <c r="M292" i="1"/>
  <c r="O292" i="1" s="1"/>
  <c r="J293" i="1"/>
  <c r="K293" i="1"/>
  <c r="L293" i="1"/>
  <c r="N293" i="1" s="1"/>
  <c r="M293" i="1"/>
  <c r="O293" i="1" s="1"/>
  <c r="J490" i="1"/>
  <c r="K490" i="1"/>
  <c r="L490" i="1"/>
  <c r="N490" i="1" s="1"/>
  <c r="M490" i="1"/>
  <c r="O490" i="1" s="1"/>
  <c r="J295" i="1"/>
  <c r="K295" i="1"/>
  <c r="L295" i="1"/>
  <c r="N295" i="1" s="1"/>
  <c r="M295" i="1"/>
  <c r="O295" i="1" s="1"/>
  <c r="J296" i="1"/>
  <c r="K296" i="1"/>
  <c r="L296" i="1"/>
  <c r="N296" i="1" s="1"/>
  <c r="M296" i="1"/>
  <c r="O296" i="1" s="1"/>
  <c r="J297" i="1"/>
  <c r="K297" i="1"/>
  <c r="L297" i="1"/>
  <c r="N297" i="1" s="1"/>
  <c r="M297" i="1"/>
  <c r="O297" i="1" s="1"/>
  <c r="J298" i="1"/>
  <c r="K298" i="1"/>
  <c r="L298" i="1"/>
  <c r="N298" i="1" s="1"/>
  <c r="M298" i="1"/>
  <c r="O298" i="1" s="1"/>
  <c r="J299" i="1"/>
  <c r="K299" i="1"/>
  <c r="L299" i="1"/>
  <c r="N299" i="1" s="1"/>
  <c r="M299" i="1"/>
  <c r="O299" i="1" s="1"/>
  <c r="J491" i="1"/>
  <c r="K491" i="1"/>
  <c r="L491" i="1"/>
  <c r="N491" i="1" s="1"/>
  <c r="M491" i="1"/>
  <c r="O491" i="1" s="1"/>
  <c r="J301" i="1"/>
  <c r="K301" i="1"/>
  <c r="L301" i="1"/>
  <c r="N301" i="1" s="1"/>
  <c r="M301" i="1"/>
  <c r="O301" i="1" s="1"/>
  <c r="J18" i="1"/>
  <c r="K18" i="1"/>
  <c r="L18" i="1"/>
  <c r="N18" i="1" s="1"/>
  <c r="M18" i="1"/>
  <c r="O18" i="1" s="1"/>
  <c r="J303" i="1"/>
  <c r="K303" i="1"/>
  <c r="L303" i="1"/>
  <c r="N303" i="1" s="1"/>
  <c r="M303" i="1"/>
  <c r="O303" i="1" s="1"/>
  <c r="J496" i="1"/>
  <c r="K496" i="1"/>
  <c r="L496" i="1"/>
  <c r="N496" i="1" s="1"/>
  <c r="M496" i="1"/>
  <c r="O496" i="1" s="1"/>
  <c r="J497" i="1"/>
  <c r="K497" i="1"/>
  <c r="L497" i="1"/>
  <c r="N497" i="1" s="1"/>
  <c r="M497" i="1"/>
  <c r="O497" i="1" s="1"/>
  <c r="J306" i="1"/>
  <c r="K306" i="1"/>
  <c r="L306" i="1"/>
  <c r="N306" i="1" s="1"/>
  <c r="M306" i="1"/>
  <c r="O306" i="1" s="1"/>
  <c r="J307" i="1"/>
  <c r="K307" i="1"/>
  <c r="L307" i="1"/>
  <c r="N307" i="1" s="1"/>
  <c r="M307" i="1"/>
  <c r="O307" i="1" s="1"/>
  <c r="J308" i="1"/>
  <c r="K308" i="1"/>
  <c r="L308" i="1"/>
  <c r="N308" i="1" s="1"/>
  <c r="M308" i="1"/>
  <c r="O308" i="1" s="1"/>
  <c r="J309" i="1"/>
  <c r="K309" i="1"/>
  <c r="L309" i="1"/>
  <c r="N309" i="1" s="1"/>
  <c r="M309" i="1"/>
  <c r="O309" i="1" s="1"/>
  <c r="J310" i="1"/>
  <c r="K310" i="1"/>
  <c r="L310" i="1"/>
  <c r="N310" i="1" s="1"/>
  <c r="M310" i="1"/>
  <c r="O310" i="1" s="1"/>
  <c r="J311" i="1"/>
  <c r="K311" i="1"/>
  <c r="L311" i="1"/>
  <c r="N311" i="1" s="1"/>
  <c r="M311" i="1"/>
  <c r="O311" i="1" s="1"/>
  <c r="J312" i="1"/>
  <c r="K312" i="1"/>
  <c r="L312" i="1"/>
  <c r="N312" i="1" s="1"/>
  <c r="M312" i="1"/>
  <c r="O312" i="1" s="1"/>
  <c r="J502" i="1"/>
  <c r="K502" i="1"/>
  <c r="L502" i="1"/>
  <c r="N502" i="1" s="1"/>
  <c r="M502" i="1"/>
  <c r="O502" i="1" s="1"/>
  <c r="J503" i="1"/>
  <c r="K503" i="1"/>
  <c r="L503" i="1"/>
  <c r="N503" i="1" s="1"/>
  <c r="M503" i="1"/>
  <c r="O503" i="1" s="1"/>
  <c r="J504" i="1"/>
  <c r="K504" i="1"/>
  <c r="L504" i="1"/>
  <c r="N504" i="1" s="1"/>
  <c r="M504" i="1"/>
  <c r="O504" i="1" s="1"/>
  <c r="J505" i="1"/>
  <c r="K505" i="1"/>
  <c r="L505" i="1"/>
  <c r="N505" i="1" s="1"/>
  <c r="M505" i="1"/>
  <c r="O505" i="1" s="1"/>
  <c r="J506" i="1"/>
  <c r="K506" i="1"/>
  <c r="L506" i="1"/>
  <c r="N506" i="1" s="1"/>
  <c r="M506" i="1"/>
  <c r="O506" i="1" s="1"/>
  <c r="J511" i="1"/>
  <c r="K511" i="1"/>
  <c r="L511" i="1"/>
  <c r="N511" i="1" s="1"/>
  <c r="M511" i="1"/>
  <c r="O511" i="1" s="1"/>
  <c r="J319" i="1"/>
  <c r="K319" i="1"/>
  <c r="L319" i="1"/>
  <c r="N319" i="1" s="1"/>
  <c r="M319" i="1"/>
  <c r="O319" i="1" s="1"/>
  <c r="J320" i="1"/>
  <c r="K320" i="1"/>
  <c r="L320" i="1"/>
  <c r="N320" i="1" s="1"/>
  <c r="M320" i="1"/>
  <c r="O320" i="1" s="1"/>
  <c r="J516" i="1"/>
  <c r="K516" i="1"/>
  <c r="L516" i="1"/>
  <c r="N516" i="1" s="1"/>
  <c r="M516" i="1"/>
  <c r="O516" i="1" s="1"/>
  <c r="J517" i="1"/>
  <c r="K517" i="1"/>
  <c r="L517" i="1"/>
  <c r="N517" i="1" s="1"/>
  <c r="M517" i="1"/>
  <c r="O517" i="1" s="1"/>
  <c r="J521" i="1"/>
  <c r="K521" i="1"/>
  <c r="L521" i="1"/>
  <c r="N521" i="1" s="1"/>
  <c r="M521" i="1"/>
  <c r="O521" i="1" s="1"/>
  <c r="J522" i="1"/>
  <c r="K522" i="1"/>
  <c r="L522" i="1"/>
  <c r="N522" i="1" s="1"/>
  <c r="M522" i="1"/>
  <c r="O522" i="1" s="1"/>
  <c r="J523" i="1"/>
  <c r="K523" i="1"/>
  <c r="L523" i="1"/>
  <c r="N523" i="1" s="1"/>
  <c r="M523" i="1"/>
  <c r="O523" i="1" s="1"/>
  <c r="J526" i="1"/>
  <c r="K526" i="1"/>
  <c r="L526" i="1"/>
  <c r="N526" i="1" s="1"/>
  <c r="M526" i="1"/>
  <c r="O526" i="1" s="1"/>
  <c r="J536" i="1"/>
  <c r="K536" i="1"/>
  <c r="L536" i="1"/>
  <c r="N536" i="1" s="1"/>
  <c r="M536" i="1"/>
  <c r="O536" i="1" s="1"/>
  <c r="J537" i="1"/>
  <c r="K537" i="1"/>
  <c r="L537" i="1"/>
  <c r="N537" i="1" s="1"/>
  <c r="M537" i="1"/>
  <c r="O537" i="1" s="1"/>
  <c r="J538" i="1"/>
  <c r="K538" i="1"/>
  <c r="L538" i="1"/>
  <c r="N538" i="1" s="1"/>
  <c r="M538" i="1"/>
  <c r="O538" i="1" s="1"/>
  <c r="J539" i="1"/>
  <c r="K539" i="1"/>
  <c r="L539" i="1"/>
  <c r="N539" i="1" s="1"/>
  <c r="M539" i="1"/>
  <c r="O539" i="1" s="1"/>
  <c r="J331" i="1"/>
  <c r="K331" i="1"/>
  <c r="L331" i="1"/>
  <c r="N331" i="1" s="1"/>
  <c r="M331" i="1"/>
  <c r="O331" i="1" s="1"/>
  <c r="J332" i="1"/>
  <c r="K332" i="1"/>
  <c r="L332" i="1"/>
  <c r="N332" i="1" s="1"/>
  <c r="M332" i="1"/>
  <c r="O332" i="1" s="1"/>
  <c r="J333" i="1"/>
  <c r="K333" i="1"/>
  <c r="L333" i="1"/>
  <c r="N333" i="1" s="1"/>
  <c r="M333" i="1"/>
  <c r="O333" i="1" s="1"/>
  <c r="J334" i="1"/>
  <c r="K334" i="1"/>
  <c r="L334" i="1"/>
  <c r="N334" i="1" s="1"/>
  <c r="M334" i="1"/>
  <c r="O334" i="1" s="1"/>
  <c r="J335" i="1"/>
  <c r="K335" i="1"/>
  <c r="L335" i="1"/>
  <c r="N335" i="1" s="1"/>
  <c r="M335" i="1"/>
  <c r="O335" i="1" s="1"/>
  <c r="J336" i="1"/>
  <c r="K336" i="1"/>
  <c r="L336" i="1"/>
  <c r="N336" i="1" s="1"/>
  <c r="M336" i="1"/>
  <c r="O336" i="1" s="1"/>
  <c r="J542" i="1"/>
  <c r="K542" i="1"/>
  <c r="L542" i="1"/>
  <c r="N542" i="1" s="1"/>
  <c r="M542" i="1"/>
  <c r="O542" i="1" s="1"/>
  <c r="J543" i="1"/>
  <c r="K543" i="1"/>
  <c r="L543" i="1"/>
  <c r="N543" i="1" s="1"/>
  <c r="M543" i="1"/>
  <c r="O543" i="1" s="1"/>
  <c r="J544" i="1"/>
  <c r="K544" i="1"/>
  <c r="L544" i="1"/>
  <c r="N544" i="1" s="1"/>
  <c r="M544" i="1"/>
  <c r="O544" i="1" s="1"/>
  <c r="J340" i="1"/>
  <c r="K340" i="1"/>
  <c r="L340" i="1"/>
  <c r="N340" i="1" s="1"/>
  <c r="M340" i="1"/>
  <c r="O340" i="1" s="1"/>
  <c r="J341" i="1"/>
  <c r="K341" i="1"/>
  <c r="L341" i="1"/>
  <c r="N341" i="1" s="1"/>
  <c r="M341" i="1"/>
  <c r="O341" i="1" s="1"/>
  <c r="J342" i="1"/>
  <c r="K342" i="1"/>
  <c r="L342" i="1"/>
  <c r="N342" i="1" s="1"/>
  <c r="M342" i="1"/>
  <c r="O342" i="1" s="1"/>
  <c r="J343" i="1"/>
  <c r="K343" i="1"/>
  <c r="L343" i="1"/>
  <c r="N343" i="1" s="1"/>
  <c r="M343" i="1"/>
  <c r="O343" i="1" s="1"/>
  <c r="J344" i="1"/>
  <c r="K344" i="1"/>
  <c r="L344" i="1"/>
  <c r="N344" i="1" s="1"/>
  <c r="M344" i="1"/>
  <c r="O344" i="1" s="1"/>
  <c r="J345" i="1"/>
  <c r="K345" i="1"/>
  <c r="L345" i="1"/>
  <c r="N345" i="1" s="1"/>
  <c r="M345" i="1"/>
  <c r="O345" i="1" s="1"/>
  <c r="J346" i="1"/>
  <c r="K346" i="1"/>
  <c r="L346" i="1"/>
  <c r="N346" i="1" s="1"/>
  <c r="M346" i="1"/>
  <c r="O346" i="1" s="1"/>
  <c r="J347" i="1"/>
  <c r="K347" i="1"/>
  <c r="L347" i="1"/>
  <c r="N347" i="1" s="1"/>
  <c r="M347" i="1"/>
  <c r="O347" i="1" s="1"/>
  <c r="J348" i="1"/>
  <c r="K348" i="1"/>
  <c r="L348" i="1"/>
  <c r="N348" i="1" s="1"/>
  <c r="M348" i="1"/>
  <c r="O348" i="1" s="1"/>
  <c r="J549" i="1"/>
  <c r="K549" i="1"/>
  <c r="L549" i="1"/>
  <c r="N549" i="1" s="1"/>
  <c r="M549" i="1"/>
  <c r="O549" i="1" s="1"/>
  <c r="J551" i="1"/>
  <c r="K551" i="1"/>
  <c r="L551" i="1"/>
  <c r="N551" i="1" s="1"/>
  <c r="M551" i="1"/>
  <c r="O551" i="1" s="1"/>
  <c r="J557" i="1"/>
  <c r="K557" i="1"/>
  <c r="L557" i="1"/>
  <c r="N557" i="1" s="1"/>
  <c r="M557" i="1"/>
  <c r="O557" i="1" s="1"/>
  <c r="J558" i="1"/>
  <c r="K558" i="1"/>
  <c r="L558" i="1"/>
  <c r="N558" i="1" s="1"/>
  <c r="M558" i="1"/>
  <c r="O558" i="1" s="1"/>
  <c r="J353" i="1"/>
  <c r="K353" i="1"/>
  <c r="L353" i="1"/>
  <c r="N353" i="1" s="1"/>
  <c r="M353" i="1"/>
  <c r="O353" i="1" s="1"/>
  <c r="J354" i="1"/>
  <c r="K354" i="1"/>
  <c r="L354" i="1"/>
  <c r="N354" i="1" s="1"/>
  <c r="M354" i="1"/>
  <c r="O354" i="1" s="1"/>
  <c r="J355" i="1"/>
  <c r="K355" i="1"/>
  <c r="L355" i="1"/>
  <c r="N355" i="1" s="1"/>
  <c r="M355" i="1"/>
  <c r="O355" i="1" s="1"/>
  <c r="J559" i="1"/>
  <c r="K559" i="1"/>
  <c r="L559" i="1"/>
  <c r="N559" i="1" s="1"/>
  <c r="M559" i="1"/>
  <c r="O559" i="1" s="1"/>
  <c r="J357" i="1"/>
  <c r="K357" i="1"/>
  <c r="L357" i="1"/>
  <c r="N357" i="1" s="1"/>
  <c r="M357" i="1"/>
  <c r="O357" i="1" s="1"/>
  <c r="J358" i="1"/>
  <c r="K358" i="1"/>
  <c r="L358" i="1"/>
  <c r="N358" i="1" s="1"/>
  <c r="M358" i="1"/>
  <c r="O358" i="1" s="1"/>
  <c r="J359" i="1"/>
  <c r="K359" i="1"/>
  <c r="L359" i="1"/>
  <c r="N359" i="1" s="1"/>
  <c r="M359" i="1"/>
  <c r="O359" i="1" s="1"/>
  <c r="J360" i="1"/>
  <c r="K360" i="1"/>
  <c r="L360" i="1"/>
  <c r="N360" i="1" s="1"/>
  <c r="M360" i="1"/>
  <c r="O360" i="1" s="1"/>
  <c r="J361" i="1"/>
  <c r="K361" i="1"/>
  <c r="L361" i="1"/>
  <c r="N361" i="1" s="1"/>
  <c r="M361" i="1"/>
  <c r="O361" i="1" s="1"/>
  <c r="J362" i="1"/>
  <c r="K362" i="1"/>
  <c r="L362" i="1"/>
  <c r="N362" i="1" s="1"/>
  <c r="M362" i="1"/>
  <c r="O362" i="1" s="1"/>
  <c r="J560" i="1"/>
  <c r="K560" i="1"/>
  <c r="L560" i="1"/>
  <c r="N560" i="1" s="1"/>
  <c r="M560" i="1"/>
  <c r="O560" i="1" s="1"/>
  <c r="J561" i="1"/>
  <c r="K561" i="1"/>
  <c r="L561" i="1"/>
  <c r="N561" i="1" s="1"/>
  <c r="M561" i="1"/>
  <c r="O561" i="1" s="1"/>
  <c r="J153" i="1"/>
  <c r="K153" i="1"/>
  <c r="L153" i="1"/>
  <c r="N153" i="1" s="1"/>
  <c r="M153" i="1"/>
  <c r="O153" i="1" s="1"/>
  <c r="J210" i="1"/>
  <c r="K210" i="1"/>
  <c r="L210" i="1"/>
  <c r="N210" i="1" s="1"/>
  <c r="M210" i="1"/>
  <c r="O210" i="1" s="1"/>
  <c r="J367" i="1"/>
  <c r="K367" i="1"/>
  <c r="L367" i="1"/>
  <c r="N367" i="1" s="1"/>
  <c r="M367" i="1"/>
  <c r="O367" i="1" s="1"/>
  <c r="J368" i="1"/>
  <c r="K368" i="1"/>
  <c r="L368" i="1"/>
  <c r="N368" i="1" s="1"/>
  <c r="M368" i="1"/>
  <c r="O368" i="1" s="1"/>
  <c r="J562" i="1"/>
  <c r="K562" i="1"/>
  <c r="L562" i="1"/>
  <c r="N562" i="1" s="1"/>
  <c r="M562" i="1"/>
  <c r="O562" i="1" s="1"/>
  <c r="J564" i="1"/>
  <c r="K564" i="1"/>
  <c r="L564" i="1"/>
  <c r="N564" i="1" s="1"/>
  <c r="M564" i="1"/>
  <c r="O564" i="1" s="1"/>
  <c r="J371" i="1"/>
  <c r="K371" i="1"/>
  <c r="L371" i="1"/>
  <c r="N371" i="1" s="1"/>
  <c r="M371" i="1"/>
  <c r="O371" i="1" s="1"/>
  <c r="J570" i="1"/>
  <c r="K570" i="1"/>
  <c r="L570" i="1"/>
  <c r="N570" i="1" s="1"/>
  <c r="M570" i="1"/>
  <c r="O570" i="1" s="1"/>
  <c r="J373" i="1"/>
  <c r="K373" i="1"/>
  <c r="L373" i="1"/>
  <c r="N373" i="1" s="1"/>
  <c r="M373" i="1"/>
  <c r="O373" i="1" s="1"/>
  <c r="J571" i="1"/>
  <c r="K571" i="1"/>
  <c r="L571" i="1"/>
  <c r="N571" i="1" s="1"/>
  <c r="M571" i="1"/>
  <c r="O571" i="1" s="1"/>
  <c r="J572" i="1"/>
  <c r="K572" i="1"/>
  <c r="L572" i="1"/>
  <c r="N572" i="1" s="1"/>
  <c r="M572" i="1"/>
  <c r="O572" i="1" s="1"/>
  <c r="J376" i="1"/>
  <c r="K376" i="1"/>
  <c r="L376" i="1"/>
  <c r="N376" i="1" s="1"/>
  <c r="M376" i="1"/>
  <c r="O376" i="1" s="1"/>
  <c r="J573" i="1"/>
  <c r="K573" i="1"/>
  <c r="L573" i="1"/>
  <c r="N573" i="1" s="1"/>
  <c r="M573" i="1"/>
  <c r="O573" i="1" s="1"/>
  <c r="J585" i="1"/>
  <c r="K585" i="1"/>
  <c r="L585" i="1"/>
  <c r="N585" i="1" s="1"/>
  <c r="M585" i="1"/>
  <c r="O585" i="1" s="1"/>
  <c r="J587" i="1"/>
  <c r="K587" i="1"/>
  <c r="L587" i="1"/>
  <c r="N587" i="1" s="1"/>
  <c r="M587" i="1"/>
  <c r="O587" i="1" s="1"/>
  <c r="J588" i="1"/>
  <c r="K588" i="1"/>
  <c r="L588" i="1"/>
  <c r="N588" i="1" s="1"/>
  <c r="M588" i="1"/>
  <c r="O588" i="1" s="1"/>
  <c r="J589" i="1"/>
  <c r="K589" i="1"/>
  <c r="L589" i="1"/>
  <c r="N589" i="1" s="1"/>
  <c r="M589" i="1"/>
  <c r="O589" i="1" s="1"/>
  <c r="J383" i="1"/>
  <c r="K383" i="1"/>
  <c r="L383" i="1"/>
  <c r="N383" i="1" s="1"/>
  <c r="M383" i="1"/>
  <c r="O383" i="1" s="1"/>
  <c r="J590" i="1"/>
  <c r="K590" i="1"/>
  <c r="L590" i="1"/>
  <c r="N590" i="1" s="1"/>
  <c r="M590" i="1"/>
  <c r="O590" i="1" s="1"/>
  <c r="J596" i="1"/>
  <c r="K596" i="1"/>
  <c r="L596" i="1"/>
  <c r="N596" i="1" s="1"/>
  <c r="M596" i="1"/>
  <c r="O596" i="1" s="1"/>
  <c r="J597" i="1"/>
  <c r="K597" i="1"/>
  <c r="L597" i="1"/>
  <c r="N597" i="1" s="1"/>
  <c r="M597" i="1"/>
  <c r="O597" i="1" s="1"/>
  <c r="J387" i="1"/>
  <c r="K387" i="1"/>
  <c r="L387" i="1"/>
  <c r="N387" i="1" s="1"/>
  <c r="M387" i="1"/>
  <c r="O387" i="1" s="1"/>
  <c r="J388" i="1"/>
  <c r="K388" i="1"/>
  <c r="L388" i="1"/>
  <c r="N388" i="1" s="1"/>
  <c r="M388" i="1"/>
  <c r="O388" i="1" s="1"/>
  <c r="J389" i="1"/>
  <c r="K389" i="1"/>
  <c r="L389" i="1"/>
  <c r="N389" i="1" s="1"/>
  <c r="M389" i="1"/>
  <c r="O389" i="1" s="1"/>
  <c r="J600" i="1"/>
  <c r="K600" i="1"/>
  <c r="L600" i="1"/>
  <c r="N600" i="1" s="1"/>
  <c r="M600" i="1"/>
  <c r="O600" i="1" s="1"/>
  <c r="J605" i="1"/>
  <c r="K605" i="1"/>
  <c r="L605" i="1"/>
  <c r="N605" i="1" s="1"/>
  <c r="M605" i="1"/>
  <c r="O605" i="1" s="1"/>
  <c r="J610" i="1"/>
  <c r="K610" i="1"/>
  <c r="L610" i="1"/>
  <c r="N610" i="1" s="1"/>
  <c r="M610" i="1"/>
  <c r="O610" i="1" s="1"/>
  <c r="J393" i="1"/>
  <c r="K393" i="1"/>
  <c r="L393" i="1"/>
  <c r="N393" i="1" s="1"/>
  <c r="M393" i="1"/>
  <c r="O393" i="1" s="1"/>
  <c r="J394" i="1"/>
  <c r="K394" i="1"/>
  <c r="L394" i="1"/>
  <c r="N394" i="1" s="1"/>
  <c r="M394" i="1"/>
  <c r="O394" i="1" s="1"/>
  <c r="J395" i="1"/>
  <c r="K395" i="1"/>
  <c r="L395" i="1"/>
  <c r="N395" i="1" s="1"/>
  <c r="M395" i="1"/>
  <c r="O395" i="1" s="1"/>
  <c r="J611" i="1"/>
  <c r="K611" i="1"/>
  <c r="L611" i="1"/>
  <c r="N611" i="1" s="1"/>
  <c r="M611" i="1"/>
  <c r="O611" i="1" s="1"/>
  <c r="J397" i="1"/>
  <c r="K397" i="1"/>
  <c r="L397" i="1"/>
  <c r="N397" i="1" s="1"/>
  <c r="M397" i="1"/>
  <c r="O397" i="1" s="1"/>
  <c r="J612" i="1"/>
  <c r="K612" i="1"/>
  <c r="L612" i="1"/>
  <c r="N612" i="1" s="1"/>
  <c r="M612" i="1"/>
  <c r="O612" i="1" s="1"/>
  <c r="J400" i="1"/>
  <c r="K400" i="1"/>
  <c r="L400" i="1"/>
  <c r="N400" i="1" s="1"/>
  <c r="M400" i="1"/>
  <c r="O400" i="1" s="1"/>
  <c r="J401" i="1"/>
  <c r="K401" i="1"/>
  <c r="L401" i="1"/>
  <c r="N401" i="1" s="1"/>
  <c r="M401" i="1"/>
  <c r="O401" i="1" s="1"/>
  <c r="J613" i="1"/>
  <c r="K613" i="1"/>
  <c r="L613" i="1"/>
  <c r="N613" i="1" s="1"/>
  <c r="M613" i="1"/>
  <c r="O613" i="1" s="1"/>
  <c r="J403" i="1"/>
  <c r="K403" i="1"/>
  <c r="L403" i="1"/>
  <c r="N403" i="1" s="1"/>
  <c r="M403" i="1"/>
  <c r="O403" i="1" s="1"/>
  <c r="J404" i="1"/>
  <c r="K404" i="1"/>
  <c r="L404" i="1"/>
  <c r="N404" i="1" s="1"/>
  <c r="M404" i="1"/>
  <c r="O404" i="1" s="1"/>
  <c r="J614" i="1"/>
  <c r="K614" i="1"/>
  <c r="L614" i="1"/>
  <c r="N614" i="1" s="1"/>
  <c r="M614" i="1"/>
  <c r="O614" i="1" s="1"/>
  <c r="J406" i="1"/>
  <c r="K406" i="1"/>
  <c r="L406" i="1"/>
  <c r="N406" i="1" s="1"/>
  <c r="M406" i="1"/>
  <c r="O406" i="1" s="1"/>
  <c r="J407" i="1"/>
  <c r="K407" i="1"/>
  <c r="L407" i="1"/>
  <c r="N407" i="1" s="1"/>
  <c r="M407" i="1"/>
  <c r="O407" i="1" s="1"/>
  <c r="J408" i="1"/>
  <c r="K408" i="1"/>
  <c r="L408" i="1"/>
  <c r="N408" i="1" s="1"/>
  <c r="M408" i="1"/>
  <c r="O408" i="1" s="1"/>
  <c r="J616" i="1"/>
  <c r="K616" i="1"/>
  <c r="L616" i="1"/>
  <c r="N616" i="1" s="1"/>
  <c r="M616" i="1"/>
  <c r="O616" i="1" s="1"/>
  <c r="J410" i="1"/>
  <c r="K410" i="1"/>
  <c r="L410" i="1"/>
  <c r="N410" i="1" s="1"/>
  <c r="M410" i="1"/>
  <c r="O410" i="1" s="1"/>
  <c r="J411" i="1"/>
  <c r="K411" i="1"/>
  <c r="L411" i="1"/>
  <c r="N411" i="1" s="1"/>
  <c r="M411" i="1"/>
  <c r="O411" i="1" s="1"/>
  <c r="J412" i="1"/>
  <c r="K412" i="1"/>
  <c r="L412" i="1"/>
  <c r="N412" i="1" s="1"/>
  <c r="M412" i="1"/>
  <c r="O412" i="1" s="1"/>
  <c r="J413" i="1"/>
  <c r="K413" i="1"/>
  <c r="L413" i="1"/>
  <c r="N413" i="1" s="1"/>
  <c r="M413" i="1"/>
  <c r="O413" i="1" s="1"/>
  <c r="J617" i="1"/>
  <c r="K617" i="1"/>
  <c r="L617" i="1"/>
  <c r="N617" i="1" s="1"/>
  <c r="M617" i="1"/>
  <c r="O617" i="1" s="1"/>
  <c r="J620" i="1"/>
  <c r="K620" i="1"/>
  <c r="L620" i="1"/>
  <c r="N620" i="1" s="1"/>
  <c r="M620" i="1"/>
  <c r="O620" i="1" s="1"/>
  <c r="J416" i="1"/>
  <c r="K416" i="1"/>
  <c r="L416" i="1"/>
  <c r="N416" i="1" s="1"/>
  <c r="M416" i="1"/>
  <c r="O416" i="1" s="1"/>
  <c r="J417" i="1"/>
  <c r="K417" i="1"/>
  <c r="L417" i="1"/>
  <c r="N417" i="1" s="1"/>
  <c r="M417" i="1"/>
  <c r="O417" i="1" s="1"/>
  <c r="J418" i="1"/>
  <c r="K418" i="1"/>
  <c r="L418" i="1"/>
  <c r="N418" i="1" s="1"/>
  <c r="M418" i="1"/>
  <c r="O418" i="1" s="1"/>
  <c r="J419" i="1"/>
  <c r="K419" i="1"/>
  <c r="L419" i="1"/>
  <c r="N419" i="1" s="1"/>
  <c r="M419" i="1"/>
  <c r="O419" i="1" s="1"/>
  <c r="J621" i="1"/>
  <c r="K621" i="1"/>
  <c r="L621" i="1"/>
  <c r="N621" i="1" s="1"/>
  <c r="M621" i="1"/>
  <c r="O621" i="1" s="1"/>
  <c r="J421" i="1"/>
  <c r="K421" i="1"/>
  <c r="L421" i="1"/>
  <c r="N421" i="1" s="1"/>
  <c r="M421" i="1"/>
  <c r="O421" i="1" s="1"/>
  <c r="J422" i="1"/>
  <c r="K422" i="1"/>
  <c r="L422" i="1"/>
  <c r="N422" i="1" s="1"/>
  <c r="M422" i="1"/>
  <c r="O422" i="1" s="1"/>
  <c r="J423" i="1"/>
  <c r="K423" i="1"/>
  <c r="L423" i="1"/>
  <c r="N423" i="1" s="1"/>
  <c r="M423" i="1"/>
  <c r="O423" i="1" s="1"/>
  <c r="J622" i="1"/>
  <c r="K622" i="1"/>
  <c r="L622" i="1"/>
  <c r="N622" i="1" s="1"/>
  <c r="M622" i="1"/>
  <c r="O622" i="1" s="1"/>
  <c r="J425" i="1"/>
  <c r="K425" i="1"/>
  <c r="L425" i="1"/>
  <c r="N425" i="1" s="1"/>
  <c r="M425" i="1"/>
  <c r="O425" i="1" s="1"/>
  <c r="J426" i="1"/>
  <c r="K426" i="1"/>
  <c r="L426" i="1"/>
  <c r="N426" i="1" s="1"/>
  <c r="M426" i="1"/>
  <c r="O426" i="1" s="1"/>
  <c r="J427" i="1"/>
  <c r="K427" i="1"/>
  <c r="L427" i="1"/>
  <c r="N427" i="1" s="1"/>
  <c r="M427" i="1"/>
  <c r="O427" i="1" s="1"/>
  <c r="J625" i="1"/>
  <c r="K625" i="1"/>
  <c r="L625" i="1"/>
  <c r="N625" i="1" s="1"/>
  <c r="M625" i="1"/>
  <c r="O625" i="1" s="1"/>
  <c r="J626" i="1"/>
  <c r="K626" i="1"/>
  <c r="L626" i="1"/>
  <c r="N626" i="1" s="1"/>
  <c r="M626" i="1"/>
  <c r="O626" i="1" s="1"/>
  <c r="J430" i="1"/>
  <c r="K430" i="1"/>
  <c r="L430" i="1"/>
  <c r="N430" i="1" s="1"/>
  <c r="M430" i="1"/>
  <c r="O430" i="1" s="1"/>
  <c r="J431" i="1"/>
  <c r="K431" i="1"/>
  <c r="L431" i="1"/>
  <c r="N431" i="1" s="1"/>
  <c r="M431" i="1"/>
  <c r="O431" i="1" s="1"/>
  <c r="J432" i="1"/>
  <c r="K432" i="1"/>
  <c r="L432" i="1"/>
  <c r="N432" i="1" s="1"/>
  <c r="M432" i="1"/>
  <c r="O432" i="1" s="1"/>
  <c r="J433" i="1"/>
  <c r="K433" i="1"/>
  <c r="L433" i="1"/>
  <c r="N433" i="1" s="1"/>
  <c r="M433" i="1"/>
  <c r="O433" i="1" s="1"/>
  <c r="J434" i="1"/>
  <c r="K434" i="1"/>
  <c r="L434" i="1"/>
  <c r="N434" i="1" s="1"/>
  <c r="M434" i="1"/>
  <c r="O434" i="1" s="1"/>
  <c r="J435" i="1"/>
  <c r="K435" i="1"/>
  <c r="L435" i="1"/>
  <c r="N435" i="1" s="1"/>
  <c r="M435" i="1"/>
  <c r="O435" i="1" s="1"/>
  <c r="J627" i="1"/>
  <c r="K627" i="1"/>
  <c r="L627" i="1"/>
  <c r="N627" i="1" s="1"/>
  <c r="M627" i="1"/>
  <c r="O627" i="1" s="1"/>
  <c r="J632" i="1"/>
  <c r="K632" i="1"/>
  <c r="L632" i="1"/>
  <c r="N632" i="1" s="1"/>
  <c r="M632" i="1"/>
  <c r="O632" i="1" s="1"/>
  <c r="J633" i="1"/>
  <c r="K633" i="1"/>
  <c r="L633" i="1"/>
  <c r="N633" i="1" s="1"/>
  <c r="M633" i="1"/>
  <c r="O633" i="1" s="1"/>
  <c r="J439" i="1"/>
  <c r="K439" i="1"/>
  <c r="L439" i="1"/>
  <c r="N439" i="1" s="1"/>
  <c r="M439" i="1"/>
  <c r="O439" i="1" s="1"/>
  <c r="J634" i="1"/>
  <c r="K634" i="1"/>
  <c r="L634" i="1"/>
  <c r="N634" i="1" s="1"/>
  <c r="M634" i="1"/>
  <c r="O634" i="1" s="1"/>
  <c r="J442" i="1"/>
  <c r="K442" i="1"/>
  <c r="L442" i="1"/>
  <c r="N442" i="1" s="1"/>
  <c r="M442" i="1"/>
  <c r="O442" i="1" s="1"/>
  <c r="J636" i="1"/>
  <c r="K636" i="1"/>
  <c r="L636" i="1"/>
  <c r="N636" i="1" s="1"/>
  <c r="M636" i="1"/>
  <c r="O636" i="1" s="1"/>
  <c r="J26" i="1"/>
  <c r="K26" i="1"/>
  <c r="L26" i="1"/>
  <c r="N26" i="1" s="1"/>
  <c r="M26" i="1"/>
  <c r="O26" i="1" s="1"/>
  <c r="J47" i="1"/>
  <c r="K47" i="1"/>
  <c r="L47" i="1"/>
  <c r="N47" i="1" s="1"/>
  <c r="M47" i="1"/>
  <c r="O47" i="1" s="1"/>
  <c r="J446" i="1"/>
  <c r="K446" i="1"/>
  <c r="L446" i="1"/>
  <c r="N446" i="1" s="1"/>
  <c r="M446" i="1"/>
  <c r="O446" i="1" s="1"/>
  <c r="J447" i="1"/>
  <c r="K447" i="1"/>
  <c r="L447" i="1"/>
  <c r="N447" i="1" s="1"/>
  <c r="M447" i="1"/>
  <c r="O447" i="1" s="1"/>
  <c r="J448" i="1"/>
  <c r="K448" i="1"/>
  <c r="L448" i="1"/>
  <c r="N448" i="1" s="1"/>
  <c r="M448" i="1"/>
  <c r="O448" i="1" s="1"/>
  <c r="J449" i="1"/>
  <c r="K449" i="1"/>
  <c r="L449" i="1"/>
  <c r="N449" i="1" s="1"/>
  <c r="M449" i="1"/>
  <c r="O449" i="1" s="1"/>
  <c r="J450" i="1"/>
  <c r="K450" i="1"/>
  <c r="L450" i="1"/>
  <c r="N450" i="1" s="1"/>
  <c r="M450" i="1"/>
  <c r="O450" i="1" s="1"/>
  <c r="J113" i="1"/>
  <c r="K113" i="1"/>
  <c r="L113" i="1"/>
  <c r="N113" i="1" s="1"/>
  <c r="M113" i="1"/>
  <c r="O113" i="1" s="1"/>
  <c r="J637" i="1"/>
  <c r="K637" i="1"/>
  <c r="L637" i="1"/>
  <c r="N637" i="1" s="1"/>
  <c r="M637" i="1"/>
  <c r="O637" i="1" s="1"/>
  <c r="J638" i="1"/>
  <c r="K638" i="1"/>
  <c r="L638" i="1"/>
  <c r="N638" i="1" s="1"/>
  <c r="M638" i="1"/>
  <c r="O638" i="1" s="1"/>
  <c r="J454" i="1"/>
  <c r="K454" i="1"/>
  <c r="L454" i="1"/>
  <c r="N454" i="1" s="1"/>
  <c r="M454" i="1"/>
  <c r="O454" i="1" s="1"/>
  <c r="J455" i="1"/>
  <c r="K455" i="1"/>
  <c r="L455" i="1"/>
  <c r="N455" i="1" s="1"/>
  <c r="M455" i="1"/>
  <c r="O455" i="1" s="1"/>
  <c r="J456" i="1"/>
  <c r="K456" i="1"/>
  <c r="L456" i="1"/>
  <c r="N456" i="1" s="1"/>
  <c r="M456" i="1"/>
  <c r="O456" i="1" s="1"/>
  <c r="J457" i="1"/>
  <c r="K457" i="1"/>
  <c r="L457" i="1"/>
  <c r="N457" i="1" s="1"/>
  <c r="M457" i="1"/>
  <c r="O457" i="1" s="1"/>
  <c r="J458" i="1"/>
  <c r="K458" i="1"/>
  <c r="L458" i="1"/>
  <c r="N458" i="1" s="1"/>
  <c r="M458" i="1"/>
  <c r="O458" i="1" s="1"/>
  <c r="J459" i="1"/>
  <c r="K459" i="1"/>
  <c r="L459" i="1"/>
  <c r="N459" i="1" s="1"/>
  <c r="M459" i="1"/>
  <c r="O459" i="1" s="1"/>
  <c r="J460" i="1"/>
  <c r="K460" i="1"/>
  <c r="L460" i="1"/>
  <c r="N460" i="1" s="1"/>
  <c r="M460" i="1"/>
  <c r="O460" i="1" s="1"/>
  <c r="J461" i="1"/>
  <c r="K461" i="1"/>
  <c r="L461" i="1"/>
  <c r="N461" i="1" s="1"/>
  <c r="M461" i="1"/>
  <c r="O461" i="1" s="1"/>
  <c r="J639" i="1"/>
  <c r="K639" i="1"/>
  <c r="L639" i="1"/>
  <c r="N639" i="1" s="1"/>
  <c r="M639" i="1"/>
  <c r="O639" i="1" s="1"/>
  <c r="J463" i="1"/>
  <c r="K463" i="1"/>
  <c r="L463" i="1"/>
  <c r="N463" i="1" s="1"/>
  <c r="M463" i="1"/>
  <c r="O463" i="1" s="1"/>
  <c r="J464" i="1"/>
  <c r="K464" i="1"/>
  <c r="L464" i="1"/>
  <c r="N464" i="1" s="1"/>
  <c r="M464" i="1"/>
  <c r="O464" i="1" s="1"/>
  <c r="J640" i="1"/>
  <c r="K640" i="1"/>
  <c r="L640" i="1"/>
  <c r="N640" i="1" s="1"/>
  <c r="M640" i="1"/>
  <c r="O640" i="1" s="1"/>
  <c r="J467" i="1"/>
  <c r="K467" i="1"/>
  <c r="L467" i="1"/>
  <c r="N467" i="1" s="1"/>
  <c r="M467" i="1"/>
  <c r="O467" i="1" s="1"/>
  <c r="J468" i="1"/>
  <c r="K468" i="1"/>
  <c r="L468" i="1"/>
  <c r="N468" i="1" s="1"/>
  <c r="M468" i="1"/>
  <c r="O468" i="1" s="1"/>
  <c r="J469" i="1"/>
  <c r="K469" i="1"/>
  <c r="L469" i="1"/>
  <c r="N469" i="1" s="1"/>
  <c r="M469" i="1"/>
  <c r="O469" i="1" s="1"/>
  <c r="J470" i="1"/>
  <c r="K470" i="1"/>
  <c r="L470" i="1"/>
  <c r="N470" i="1" s="1"/>
  <c r="M470" i="1"/>
  <c r="O470" i="1" s="1"/>
  <c r="J642" i="1"/>
  <c r="K642" i="1"/>
  <c r="L642" i="1"/>
  <c r="N642" i="1" s="1"/>
  <c r="M642" i="1"/>
  <c r="O642" i="1" s="1"/>
  <c r="J100" i="1"/>
  <c r="K100" i="1"/>
  <c r="L100" i="1"/>
  <c r="N100" i="1" s="1"/>
  <c r="M100" i="1"/>
  <c r="O100" i="1" s="1"/>
  <c r="J48" i="1"/>
  <c r="K48" i="1"/>
  <c r="L48" i="1"/>
  <c r="N48" i="1" s="1"/>
  <c r="M48" i="1"/>
  <c r="O48" i="1" s="1"/>
  <c r="J474" i="1"/>
  <c r="K474" i="1"/>
  <c r="L474" i="1"/>
  <c r="N474" i="1" s="1"/>
  <c r="M474" i="1"/>
  <c r="O474" i="1" s="1"/>
  <c r="J475" i="1"/>
  <c r="K475" i="1"/>
  <c r="L475" i="1"/>
  <c r="N475" i="1" s="1"/>
  <c r="M475" i="1"/>
  <c r="O475" i="1" s="1"/>
  <c r="J478" i="1"/>
  <c r="K478" i="1"/>
  <c r="L478" i="1"/>
  <c r="N478" i="1" s="1"/>
  <c r="M478" i="1"/>
  <c r="O478" i="1" s="1"/>
  <c r="J644" i="1"/>
  <c r="K644" i="1"/>
  <c r="L644" i="1"/>
  <c r="N644" i="1" s="1"/>
  <c r="M644" i="1"/>
  <c r="O644" i="1" s="1"/>
  <c r="J649" i="1"/>
  <c r="K649" i="1"/>
  <c r="L649" i="1"/>
  <c r="N649" i="1" s="1"/>
  <c r="M649" i="1"/>
  <c r="O649" i="1" s="1"/>
  <c r="J650" i="1"/>
  <c r="K650" i="1"/>
  <c r="L650" i="1"/>
  <c r="N650" i="1" s="1"/>
  <c r="M650" i="1"/>
  <c r="O650" i="1" s="1"/>
  <c r="J651" i="1"/>
  <c r="K651" i="1"/>
  <c r="L651" i="1"/>
  <c r="N651" i="1" s="1"/>
  <c r="M651" i="1"/>
  <c r="O651" i="1" s="1"/>
  <c r="J485" i="1"/>
  <c r="K485" i="1"/>
  <c r="L485" i="1"/>
  <c r="N485" i="1" s="1"/>
  <c r="M485" i="1"/>
  <c r="O485" i="1" s="1"/>
  <c r="J486" i="1"/>
  <c r="K486" i="1"/>
  <c r="L486" i="1"/>
  <c r="N486" i="1" s="1"/>
  <c r="M486" i="1"/>
  <c r="O486" i="1" s="1"/>
  <c r="J487" i="1"/>
  <c r="K487" i="1"/>
  <c r="L487" i="1"/>
  <c r="N487" i="1" s="1"/>
  <c r="M487" i="1"/>
  <c r="O487" i="1" s="1"/>
  <c r="J488" i="1"/>
  <c r="K488" i="1"/>
  <c r="L488" i="1"/>
  <c r="N488" i="1" s="1"/>
  <c r="M488" i="1"/>
  <c r="O488" i="1" s="1"/>
  <c r="J489" i="1"/>
  <c r="K489" i="1"/>
  <c r="L489" i="1"/>
  <c r="N489" i="1" s="1"/>
  <c r="M489" i="1"/>
  <c r="O489" i="1" s="1"/>
  <c r="J656" i="1"/>
  <c r="K656" i="1"/>
  <c r="L656" i="1"/>
  <c r="N656" i="1" s="1"/>
  <c r="M656" i="1"/>
  <c r="O656" i="1" s="1"/>
  <c r="J657" i="1"/>
  <c r="K657" i="1"/>
  <c r="L657" i="1"/>
  <c r="N657" i="1" s="1"/>
  <c r="M657" i="1"/>
  <c r="O657" i="1" s="1"/>
  <c r="J492" i="1"/>
  <c r="K492" i="1"/>
  <c r="L492" i="1"/>
  <c r="N492" i="1" s="1"/>
  <c r="M492" i="1"/>
  <c r="O492" i="1" s="1"/>
  <c r="J493" i="1"/>
  <c r="K493" i="1"/>
  <c r="L493" i="1"/>
  <c r="N493" i="1" s="1"/>
  <c r="M493" i="1"/>
  <c r="O493" i="1" s="1"/>
  <c r="J494" i="1"/>
  <c r="K494" i="1"/>
  <c r="L494" i="1"/>
  <c r="N494" i="1" s="1"/>
  <c r="M494" i="1"/>
  <c r="O494" i="1" s="1"/>
  <c r="J495" i="1"/>
  <c r="K495" i="1"/>
  <c r="L495" i="1"/>
  <c r="N495" i="1" s="1"/>
  <c r="M495" i="1"/>
  <c r="O495" i="1" s="1"/>
  <c r="J662" i="1"/>
  <c r="K662" i="1"/>
  <c r="L662" i="1"/>
  <c r="N662" i="1" s="1"/>
  <c r="M662" i="1"/>
  <c r="O662" i="1" s="1"/>
  <c r="J663" i="1"/>
  <c r="K663" i="1"/>
  <c r="L663" i="1"/>
  <c r="N663" i="1" s="1"/>
  <c r="M663" i="1"/>
  <c r="O663" i="1" s="1"/>
  <c r="J498" i="1"/>
  <c r="K498" i="1"/>
  <c r="L498" i="1"/>
  <c r="N498" i="1" s="1"/>
  <c r="M498" i="1"/>
  <c r="O498" i="1" s="1"/>
  <c r="J499" i="1"/>
  <c r="K499" i="1"/>
  <c r="L499" i="1"/>
  <c r="N499" i="1" s="1"/>
  <c r="M499" i="1"/>
  <c r="O499" i="1" s="1"/>
  <c r="J500" i="1"/>
  <c r="K500" i="1"/>
  <c r="L500" i="1"/>
  <c r="N500" i="1" s="1"/>
  <c r="M500" i="1"/>
  <c r="O500" i="1" s="1"/>
  <c r="J501" i="1"/>
  <c r="K501" i="1"/>
  <c r="L501" i="1"/>
  <c r="N501" i="1" s="1"/>
  <c r="M501" i="1"/>
  <c r="O501" i="1" s="1"/>
  <c r="J669" i="1"/>
  <c r="K669" i="1"/>
  <c r="L669" i="1"/>
  <c r="N669" i="1" s="1"/>
  <c r="M669" i="1"/>
  <c r="O669" i="1" s="1"/>
  <c r="J675" i="1"/>
  <c r="K675" i="1"/>
  <c r="L675" i="1"/>
  <c r="N675" i="1" s="1"/>
  <c r="M675" i="1"/>
  <c r="O675" i="1" s="1"/>
  <c r="J676" i="1"/>
  <c r="K676" i="1"/>
  <c r="L676" i="1"/>
  <c r="N676" i="1" s="1"/>
  <c r="M676" i="1"/>
  <c r="O676" i="1" s="1"/>
  <c r="J681" i="1"/>
  <c r="K681" i="1"/>
  <c r="L681" i="1"/>
  <c r="N681" i="1" s="1"/>
  <c r="M681" i="1"/>
  <c r="O681" i="1" s="1"/>
  <c r="J682" i="1"/>
  <c r="K682" i="1"/>
  <c r="L682" i="1"/>
  <c r="N682" i="1" s="1"/>
  <c r="M682" i="1"/>
  <c r="O682" i="1" s="1"/>
  <c r="J507" i="1"/>
  <c r="K507" i="1"/>
  <c r="L507" i="1"/>
  <c r="N507" i="1" s="1"/>
  <c r="M507" i="1"/>
  <c r="O507" i="1" s="1"/>
  <c r="J508" i="1"/>
  <c r="K508" i="1"/>
  <c r="L508" i="1"/>
  <c r="N508" i="1" s="1"/>
  <c r="M508" i="1"/>
  <c r="O508" i="1" s="1"/>
  <c r="J509" i="1"/>
  <c r="K509" i="1"/>
  <c r="L509" i="1"/>
  <c r="N509" i="1" s="1"/>
  <c r="M509" i="1"/>
  <c r="O509" i="1" s="1"/>
  <c r="J510" i="1"/>
  <c r="K510" i="1"/>
  <c r="L510" i="1"/>
  <c r="N510" i="1" s="1"/>
  <c r="M510" i="1"/>
  <c r="O510" i="1" s="1"/>
  <c r="J683" i="1"/>
  <c r="K683" i="1"/>
  <c r="L683" i="1"/>
  <c r="N683" i="1" s="1"/>
  <c r="M683" i="1"/>
  <c r="O683" i="1" s="1"/>
  <c r="J512" i="1"/>
  <c r="K512" i="1"/>
  <c r="L512" i="1"/>
  <c r="N512" i="1" s="1"/>
  <c r="M512" i="1"/>
  <c r="O512" i="1" s="1"/>
  <c r="J513" i="1"/>
  <c r="K513" i="1"/>
  <c r="L513" i="1"/>
  <c r="N513" i="1" s="1"/>
  <c r="M513" i="1"/>
  <c r="O513" i="1" s="1"/>
  <c r="J514" i="1"/>
  <c r="K514" i="1"/>
  <c r="L514" i="1"/>
  <c r="N514" i="1" s="1"/>
  <c r="M514" i="1"/>
  <c r="O514" i="1" s="1"/>
  <c r="J515" i="1"/>
  <c r="K515" i="1"/>
  <c r="L515" i="1"/>
  <c r="N515" i="1" s="1"/>
  <c r="M515" i="1"/>
  <c r="O515" i="1" s="1"/>
  <c r="J684" i="1"/>
  <c r="K684" i="1"/>
  <c r="L684" i="1"/>
  <c r="N684" i="1" s="1"/>
  <c r="M684" i="1"/>
  <c r="O684" i="1" s="1"/>
  <c r="J685" i="1"/>
  <c r="K685" i="1"/>
  <c r="L685" i="1"/>
  <c r="N685" i="1" s="1"/>
  <c r="M685" i="1"/>
  <c r="O685" i="1" s="1"/>
  <c r="J518" i="1"/>
  <c r="K518" i="1"/>
  <c r="L518" i="1"/>
  <c r="N518" i="1" s="1"/>
  <c r="M518" i="1"/>
  <c r="O518" i="1" s="1"/>
  <c r="J519" i="1"/>
  <c r="K519" i="1"/>
  <c r="L519" i="1"/>
  <c r="N519" i="1" s="1"/>
  <c r="M519" i="1"/>
  <c r="O519" i="1" s="1"/>
  <c r="J80" i="1"/>
  <c r="K80" i="1"/>
  <c r="L80" i="1"/>
  <c r="N80" i="1" s="1"/>
  <c r="M80" i="1"/>
  <c r="O80" i="1" s="1"/>
  <c r="J195" i="1"/>
  <c r="K195" i="1"/>
  <c r="L195" i="1"/>
  <c r="N195" i="1" s="1"/>
  <c r="M195" i="1"/>
  <c r="O195" i="1" s="1"/>
  <c r="J118" i="1"/>
  <c r="K118" i="1"/>
  <c r="L118" i="1"/>
  <c r="N118" i="1" s="1"/>
  <c r="M118" i="1"/>
  <c r="O118" i="1" s="1"/>
  <c r="J524" i="1"/>
  <c r="K524" i="1"/>
  <c r="L524" i="1"/>
  <c r="N524" i="1" s="1"/>
  <c r="M524" i="1"/>
  <c r="O524" i="1" s="1"/>
  <c r="J525" i="1"/>
  <c r="K525" i="1"/>
  <c r="L525" i="1"/>
  <c r="N525" i="1" s="1"/>
  <c r="M525" i="1"/>
  <c r="O525" i="1" s="1"/>
  <c r="J11" i="1"/>
  <c r="K11" i="1"/>
  <c r="L11" i="1"/>
  <c r="N11" i="1" s="1"/>
  <c r="M11" i="1"/>
  <c r="O11" i="1" s="1"/>
  <c r="J527" i="1"/>
  <c r="K527" i="1"/>
  <c r="L527" i="1"/>
  <c r="N527" i="1" s="1"/>
  <c r="M527" i="1"/>
  <c r="O527" i="1" s="1"/>
  <c r="J528" i="1"/>
  <c r="K528" i="1"/>
  <c r="L528" i="1"/>
  <c r="N528" i="1" s="1"/>
  <c r="M528" i="1"/>
  <c r="O528" i="1" s="1"/>
  <c r="J529" i="1"/>
  <c r="K529" i="1"/>
  <c r="L529" i="1"/>
  <c r="N529" i="1" s="1"/>
  <c r="M529" i="1"/>
  <c r="O529" i="1" s="1"/>
  <c r="J530" i="1"/>
  <c r="K530" i="1"/>
  <c r="L530" i="1"/>
  <c r="N530" i="1" s="1"/>
  <c r="M530" i="1"/>
  <c r="O530" i="1" s="1"/>
  <c r="J531" i="1"/>
  <c r="K531" i="1"/>
  <c r="L531" i="1"/>
  <c r="N531" i="1" s="1"/>
  <c r="M531" i="1"/>
  <c r="O531" i="1" s="1"/>
  <c r="J532" i="1"/>
  <c r="K532" i="1"/>
  <c r="L532" i="1"/>
  <c r="N532" i="1" s="1"/>
  <c r="M532" i="1"/>
  <c r="O532" i="1" s="1"/>
  <c r="J533" i="1"/>
  <c r="K533" i="1"/>
  <c r="L533" i="1"/>
  <c r="N533" i="1" s="1"/>
  <c r="M533" i="1"/>
  <c r="O533" i="1" s="1"/>
  <c r="J534" i="1"/>
  <c r="K534" i="1"/>
  <c r="L534" i="1"/>
  <c r="N534" i="1" s="1"/>
  <c r="M534" i="1"/>
  <c r="O534" i="1" s="1"/>
  <c r="J535" i="1"/>
  <c r="K535" i="1"/>
  <c r="L535" i="1"/>
  <c r="N535" i="1" s="1"/>
  <c r="M535" i="1"/>
  <c r="O535" i="1" s="1"/>
  <c r="J686" i="1"/>
  <c r="K686" i="1"/>
  <c r="L686" i="1"/>
  <c r="N686" i="1" s="1"/>
  <c r="M686" i="1"/>
  <c r="O686" i="1" s="1"/>
  <c r="J687" i="1"/>
  <c r="K687" i="1"/>
  <c r="L687" i="1"/>
  <c r="N687" i="1" s="1"/>
  <c r="M687" i="1"/>
  <c r="O687" i="1" s="1"/>
  <c r="J688" i="1"/>
  <c r="K688" i="1"/>
  <c r="L688" i="1"/>
  <c r="N688" i="1" s="1"/>
  <c r="M688" i="1"/>
  <c r="O688" i="1" s="1"/>
  <c r="J693" i="1"/>
  <c r="K693" i="1"/>
  <c r="L693" i="1"/>
  <c r="N693" i="1" s="1"/>
  <c r="M693" i="1"/>
  <c r="O693" i="1" s="1"/>
  <c r="J540" i="1"/>
  <c r="K540" i="1"/>
  <c r="L540" i="1"/>
  <c r="N540" i="1" s="1"/>
  <c r="M540" i="1"/>
  <c r="O540" i="1" s="1"/>
  <c r="J541" i="1"/>
  <c r="K541" i="1"/>
  <c r="L541" i="1"/>
  <c r="N541" i="1" s="1"/>
  <c r="M541" i="1"/>
  <c r="O541" i="1" s="1"/>
  <c r="J107" i="1"/>
  <c r="K107" i="1"/>
  <c r="L107" i="1"/>
  <c r="N107" i="1" s="1"/>
  <c r="M107" i="1"/>
  <c r="O107" i="1" s="1"/>
  <c r="J704" i="1"/>
  <c r="K704" i="1"/>
  <c r="L704" i="1"/>
  <c r="N704" i="1" s="1"/>
  <c r="M704" i="1"/>
  <c r="O704" i="1" s="1"/>
  <c r="J709" i="1"/>
  <c r="K709" i="1"/>
  <c r="L709" i="1"/>
  <c r="N709" i="1" s="1"/>
  <c r="M709" i="1"/>
  <c r="O709" i="1" s="1"/>
  <c r="J545" i="1"/>
  <c r="K545" i="1"/>
  <c r="L545" i="1"/>
  <c r="N545" i="1" s="1"/>
  <c r="M545" i="1"/>
  <c r="O545" i="1" s="1"/>
  <c r="J546" i="1"/>
  <c r="K546" i="1"/>
  <c r="L546" i="1"/>
  <c r="N546" i="1" s="1"/>
  <c r="M546" i="1"/>
  <c r="O546" i="1" s="1"/>
  <c r="J547" i="1"/>
  <c r="K547" i="1"/>
  <c r="L547" i="1"/>
  <c r="N547" i="1" s="1"/>
  <c r="M547" i="1"/>
  <c r="O547" i="1" s="1"/>
  <c r="J548" i="1"/>
  <c r="K548" i="1"/>
  <c r="L548" i="1"/>
  <c r="N548" i="1" s="1"/>
  <c r="M548" i="1"/>
  <c r="O548" i="1" s="1"/>
  <c r="J710" i="1"/>
  <c r="K710" i="1"/>
  <c r="L710" i="1"/>
  <c r="N710" i="1" s="1"/>
  <c r="M710" i="1"/>
  <c r="O710" i="1" s="1"/>
  <c r="J550" i="1"/>
  <c r="K550" i="1"/>
  <c r="L550" i="1"/>
  <c r="N550" i="1" s="1"/>
  <c r="M550" i="1"/>
  <c r="O550" i="1" s="1"/>
  <c r="J141" i="1"/>
  <c r="K141" i="1"/>
  <c r="L141" i="1"/>
  <c r="N141" i="1" s="1"/>
  <c r="M141" i="1"/>
  <c r="O141" i="1" s="1"/>
  <c r="J552" i="1"/>
  <c r="K552" i="1"/>
  <c r="L552" i="1"/>
  <c r="N552" i="1" s="1"/>
  <c r="M552" i="1"/>
  <c r="O552" i="1" s="1"/>
  <c r="J553" i="1"/>
  <c r="K553" i="1"/>
  <c r="L553" i="1"/>
  <c r="N553" i="1" s="1"/>
  <c r="M553" i="1"/>
  <c r="O553" i="1" s="1"/>
  <c r="J556" i="1"/>
  <c r="K556" i="1"/>
  <c r="L556" i="1"/>
  <c r="N556" i="1" s="1"/>
  <c r="M556" i="1"/>
  <c r="O556" i="1" s="1"/>
  <c r="J714" i="1"/>
  <c r="K714" i="1"/>
  <c r="L714" i="1"/>
  <c r="N714" i="1" s="1"/>
  <c r="M714" i="1"/>
  <c r="O714" i="1" s="1"/>
  <c r="J715" i="1"/>
  <c r="K715" i="1"/>
  <c r="L715" i="1"/>
  <c r="N715" i="1" s="1"/>
  <c r="M715" i="1"/>
  <c r="O715" i="1" s="1"/>
  <c r="J716" i="1"/>
  <c r="K716" i="1"/>
  <c r="L716" i="1"/>
  <c r="N716" i="1" s="1"/>
  <c r="M716" i="1"/>
  <c r="O716" i="1" s="1"/>
  <c r="J717" i="1"/>
  <c r="K717" i="1"/>
  <c r="L717" i="1"/>
  <c r="N717" i="1" s="1"/>
  <c r="M717" i="1"/>
  <c r="O717" i="1" s="1"/>
  <c r="J719" i="1"/>
  <c r="K719" i="1"/>
  <c r="L719" i="1"/>
  <c r="N719" i="1" s="1"/>
  <c r="M719" i="1"/>
  <c r="O719" i="1" s="1"/>
  <c r="J563" i="1"/>
  <c r="K563" i="1"/>
  <c r="L563" i="1"/>
  <c r="N563" i="1" s="1"/>
  <c r="M563" i="1"/>
  <c r="O563" i="1" s="1"/>
  <c r="J723" i="1"/>
  <c r="K723" i="1"/>
  <c r="L723" i="1"/>
  <c r="N723" i="1" s="1"/>
  <c r="M723" i="1"/>
  <c r="O723" i="1" s="1"/>
  <c r="J565" i="1"/>
  <c r="K565" i="1"/>
  <c r="L565" i="1"/>
  <c r="N565" i="1" s="1"/>
  <c r="M565" i="1"/>
  <c r="O565" i="1" s="1"/>
  <c r="J566" i="1"/>
  <c r="K566" i="1"/>
  <c r="L566" i="1"/>
  <c r="N566" i="1" s="1"/>
  <c r="M566" i="1"/>
  <c r="O566" i="1" s="1"/>
  <c r="J567" i="1"/>
  <c r="K567" i="1"/>
  <c r="L567" i="1"/>
  <c r="N567" i="1" s="1"/>
  <c r="M567" i="1"/>
  <c r="O567" i="1" s="1"/>
  <c r="J568" i="1"/>
  <c r="K568" i="1"/>
  <c r="L568" i="1"/>
  <c r="N568" i="1" s="1"/>
  <c r="M568" i="1"/>
  <c r="O568" i="1" s="1"/>
  <c r="J569" i="1"/>
  <c r="K569" i="1"/>
  <c r="L569" i="1"/>
  <c r="N569" i="1" s="1"/>
  <c r="M569" i="1"/>
  <c r="O569" i="1" s="1"/>
  <c r="J725" i="1"/>
  <c r="K725" i="1"/>
  <c r="L725" i="1"/>
  <c r="N725" i="1" s="1"/>
  <c r="M725" i="1"/>
  <c r="O725" i="1" s="1"/>
  <c r="J727" i="1"/>
  <c r="K727" i="1"/>
  <c r="L727" i="1"/>
  <c r="N727" i="1" s="1"/>
  <c r="M727" i="1"/>
  <c r="O727" i="1" s="1"/>
  <c r="J730" i="1"/>
  <c r="K730" i="1"/>
  <c r="L730" i="1"/>
  <c r="N730" i="1" s="1"/>
  <c r="M730" i="1"/>
  <c r="O730" i="1" s="1"/>
  <c r="J734" i="1"/>
  <c r="K734" i="1"/>
  <c r="L734" i="1"/>
  <c r="N734" i="1" s="1"/>
  <c r="M734" i="1"/>
  <c r="O734" i="1" s="1"/>
  <c r="J574" i="1"/>
  <c r="K574" i="1"/>
  <c r="L574" i="1"/>
  <c r="N574" i="1" s="1"/>
  <c r="M574" i="1"/>
  <c r="O574" i="1" s="1"/>
  <c r="J575" i="1"/>
  <c r="K575" i="1"/>
  <c r="L575" i="1"/>
  <c r="N575" i="1" s="1"/>
  <c r="M575" i="1"/>
  <c r="O575" i="1" s="1"/>
  <c r="J576" i="1"/>
  <c r="K576" i="1"/>
  <c r="L576" i="1"/>
  <c r="N576" i="1" s="1"/>
  <c r="M576" i="1"/>
  <c r="O576" i="1" s="1"/>
  <c r="J578" i="1"/>
  <c r="K578" i="1"/>
  <c r="L578" i="1"/>
  <c r="N578" i="1" s="1"/>
  <c r="M578" i="1"/>
  <c r="O578" i="1" s="1"/>
  <c r="J579" i="1"/>
  <c r="K579" i="1"/>
  <c r="L579" i="1"/>
  <c r="N579" i="1" s="1"/>
  <c r="M579" i="1"/>
  <c r="O579" i="1" s="1"/>
  <c r="J580" i="1"/>
  <c r="K580" i="1"/>
  <c r="L580" i="1"/>
  <c r="N580" i="1" s="1"/>
  <c r="M580" i="1"/>
  <c r="O580" i="1" s="1"/>
  <c r="J581" i="1"/>
  <c r="K581" i="1"/>
  <c r="L581" i="1"/>
  <c r="N581" i="1" s="1"/>
  <c r="M581" i="1"/>
  <c r="O581" i="1" s="1"/>
  <c r="J582" i="1"/>
  <c r="K582" i="1"/>
  <c r="L582" i="1"/>
  <c r="N582" i="1" s="1"/>
  <c r="M582" i="1"/>
  <c r="O582" i="1" s="1"/>
  <c r="J583" i="1"/>
  <c r="K583" i="1"/>
  <c r="L583" i="1"/>
  <c r="N583" i="1" s="1"/>
  <c r="M583" i="1"/>
  <c r="O583" i="1" s="1"/>
  <c r="J584" i="1"/>
  <c r="K584" i="1"/>
  <c r="L584" i="1"/>
  <c r="N584" i="1" s="1"/>
  <c r="M584" i="1"/>
  <c r="O584" i="1" s="1"/>
  <c r="J741" i="1"/>
  <c r="K741" i="1"/>
  <c r="L741" i="1"/>
  <c r="N741" i="1" s="1"/>
  <c r="M741" i="1"/>
  <c r="O741" i="1" s="1"/>
  <c r="J586" i="1"/>
  <c r="K586" i="1"/>
  <c r="L586" i="1"/>
  <c r="N586" i="1" s="1"/>
  <c r="M586" i="1"/>
  <c r="O586" i="1" s="1"/>
  <c r="J742" i="1"/>
  <c r="K742" i="1"/>
  <c r="L742" i="1"/>
  <c r="N742" i="1" s="1"/>
  <c r="M742" i="1"/>
  <c r="O742" i="1" s="1"/>
  <c r="J283" i="1"/>
  <c r="K283" i="1"/>
  <c r="L283" i="1"/>
  <c r="N283" i="1" s="1"/>
  <c r="M283" i="1"/>
  <c r="O283" i="1" s="1"/>
  <c r="J750" i="1"/>
  <c r="K750" i="1"/>
  <c r="L750" i="1"/>
  <c r="N750" i="1" s="1"/>
  <c r="M750" i="1"/>
  <c r="O750" i="1" s="1"/>
  <c r="J751" i="1"/>
  <c r="K751" i="1"/>
  <c r="L751" i="1"/>
  <c r="N751" i="1" s="1"/>
  <c r="M751" i="1"/>
  <c r="O751" i="1" s="1"/>
  <c r="J591" i="1"/>
  <c r="K591" i="1"/>
  <c r="L591" i="1"/>
  <c r="N591" i="1" s="1"/>
  <c r="M591" i="1"/>
  <c r="O591" i="1" s="1"/>
  <c r="J592" i="1"/>
  <c r="K592" i="1"/>
  <c r="L592" i="1"/>
  <c r="N592" i="1" s="1"/>
  <c r="M592" i="1"/>
  <c r="O592" i="1" s="1"/>
  <c r="J593" i="1"/>
  <c r="K593" i="1"/>
  <c r="L593" i="1"/>
  <c r="N593" i="1" s="1"/>
  <c r="M593" i="1"/>
  <c r="O593" i="1" s="1"/>
  <c r="J594" i="1"/>
  <c r="K594" i="1"/>
  <c r="L594" i="1"/>
  <c r="N594" i="1" s="1"/>
  <c r="M594" i="1"/>
  <c r="O594" i="1" s="1"/>
  <c r="J595" i="1"/>
  <c r="K595" i="1"/>
  <c r="L595" i="1"/>
  <c r="N595" i="1" s="1"/>
  <c r="M595" i="1"/>
  <c r="O595" i="1" s="1"/>
  <c r="J753" i="1"/>
  <c r="K753" i="1"/>
  <c r="L753" i="1"/>
  <c r="N753" i="1" s="1"/>
  <c r="M753" i="1"/>
  <c r="O753" i="1" s="1"/>
  <c r="J754" i="1"/>
  <c r="K754" i="1"/>
  <c r="L754" i="1"/>
  <c r="N754" i="1" s="1"/>
  <c r="M754" i="1"/>
  <c r="O754" i="1" s="1"/>
  <c r="J598" i="1"/>
  <c r="K598" i="1"/>
  <c r="L598" i="1"/>
  <c r="N598" i="1" s="1"/>
  <c r="M598" i="1"/>
  <c r="O598" i="1" s="1"/>
  <c r="J599" i="1"/>
  <c r="K599" i="1"/>
  <c r="L599" i="1"/>
  <c r="N599" i="1" s="1"/>
  <c r="M599" i="1"/>
  <c r="O599" i="1" s="1"/>
  <c r="J757" i="1"/>
  <c r="K757" i="1"/>
  <c r="L757" i="1"/>
  <c r="N757" i="1" s="1"/>
  <c r="M757" i="1"/>
  <c r="O757" i="1" s="1"/>
  <c r="J603" i="1"/>
  <c r="K603" i="1"/>
  <c r="L603" i="1"/>
  <c r="N603" i="1" s="1"/>
  <c r="M603" i="1"/>
  <c r="O603" i="1" s="1"/>
  <c r="J604" i="1"/>
  <c r="K604" i="1"/>
  <c r="L604" i="1"/>
  <c r="N604" i="1" s="1"/>
  <c r="M604" i="1"/>
  <c r="O604" i="1" s="1"/>
  <c r="J760" i="1"/>
  <c r="K760" i="1"/>
  <c r="L760" i="1"/>
  <c r="N760" i="1" s="1"/>
  <c r="M760" i="1"/>
  <c r="O760" i="1" s="1"/>
  <c r="J606" i="1"/>
  <c r="K606" i="1"/>
  <c r="L606" i="1"/>
  <c r="N606" i="1" s="1"/>
  <c r="M606" i="1"/>
  <c r="O606" i="1" s="1"/>
  <c r="J607" i="1"/>
  <c r="K607" i="1"/>
  <c r="L607" i="1"/>
  <c r="N607" i="1" s="1"/>
  <c r="M607" i="1"/>
  <c r="O607" i="1" s="1"/>
  <c r="J608" i="1"/>
  <c r="K608" i="1"/>
  <c r="L608" i="1"/>
  <c r="N608" i="1" s="1"/>
  <c r="M608" i="1"/>
  <c r="O608" i="1" s="1"/>
  <c r="J609" i="1"/>
  <c r="K609" i="1"/>
  <c r="L609" i="1"/>
  <c r="N609" i="1" s="1"/>
  <c r="M609" i="1"/>
  <c r="O609" i="1" s="1"/>
  <c r="J763" i="1"/>
  <c r="K763" i="1"/>
  <c r="L763" i="1"/>
  <c r="N763" i="1" s="1"/>
  <c r="M763" i="1"/>
  <c r="O763" i="1" s="1"/>
  <c r="J764" i="1"/>
  <c r="K764" i="1"/>
  <c r="L764" i="1"/>
  <c r="N764" i="1" s="1"/>
  <c r="M764" i="1"/>
  <c r="O764" i="1" s="1"/>
  <c r="J773" i="1"/>
  <c r="K773" i="1"/>
  <c r="L773" i="1"/>
  <c r="N773" i="1" s="1"/>
  <c r="M773" i="1"/>
  <c r="O773" i="1" s="1"/>
  <c r="J774" i="1"/>
  <c r="K774" i="1"/>
  <c r="L774" i="1"/>
  <c r="N774" i="1" s="1"/>
  <c r="M774" i="1"/>
  <c r="O774" i="1" s="1"/>
  <c r="J784" i="1"/>
  <c r="K784" i="1"/>
  <c r="L784" i="1"/>
  <c r="N784" i="1" s="1"/>
  <c r="M784" i="1"/>
  <c r="O784" i="1" s="1"/>
  <c r="J615" i="1"/>
  <c r="K615" i="1"/>
  <c r="L615" i="1"/>
  <c r="N615" i="1" s="1"/>
  <c r="M615" i="1"/>
  <c r="O615" i="1" s="1"/>
  <c r="J785" i="1"/>
  <c r="K785" i="1"/>
  <c r="L785" i="1"/>
  <c r="N785" i="1" s="1"/>
  <c r="M785" i="1"/>
  <c r="O785" i="1" s="1"/>
  <c r="J787" i="1"/>
  <c r="K787" i="1"/>
  <c r="L787" i="1"/>
  <c r="N787" i="1" s="1"/>
  <c r="M787" i="1"/>
  <c r="O787" i="1" s="1"/>
  <c r="J618" i="1"/>
  <c r="K618" i="1"/>
  <c r="L618" i="1"/>
  <c r="N618" i="1" s="1"/>
  <c r="M618" i="1"/>
  <c r="O618" i="1" s="1"/>
  <c r="J788" i="1"/>
  <c r="K788" i="1"/>
  <c r="L788" i="1"/>
  <c r="N788" i="1" s="1"/>
  <c r="M788" i="1"/>
  <c r="O788" i="1" s="1"/>
  <c r="J161" i="1"/>
  <c r="K161" i="1"/>
  <c r="L161" i="1"/>
  <c r="N161" i="1" s="1"/>
  <c r="M161" i="1"/>
  <c r="O161" i="1" s="1"/>
  <c r="J623" i="1"/>
  <c r="K623" i="1"/>
  <c r="L623" i="1"/>
  <c r="N623" i="1" s="1"/>
  <c r="M623" i="1"/>
  <c r="O623" i="1" s="1"/>
  <c r="J624" i="1"/>
  <c r="K624" i="1"/>
  <c r="L624" i="1"/>
  <c r="N624" i="1" s="1"/>
  <c r="M624" i="1"/>
  <c r="O624" i="1" s="1"/>
  <c r="J789" i="1"/>
  <c r="K789" i="1"/>
  <c r="L789" i="1"/>
  <c r="N789" i="1" s="1"/>
  <c r="M789" i="1"/>
  <c r="O789" i="1" s="1"/>
  <c r="J791" i="1"/>
  <c r="K791" i="1"/>
  <c r="L791" i="1"/>
  <c r="N791" i="1" s="1"/>
  <c r="M791" i="1"/>
  <c r="O791" i="1" s="1"/>
  <c r="J793" i="1"/>
  <c r="K793" i="1"/>
  <c r="L793" i="1"/>
  <c r="N793" i="1" s="1"/>
  <c r="M793" i="1"/>
  <c r="O793" i="1" s="1"/>
  <c r="J628" i="1"/>
  <c r="K628" i="1"/>
  <c r="L628" i="1"/>
  <c r="N628" i="1" s="1"/>
  <c r="M628" i="1"/>
  <c r="O628" i="1" s="1"/>
  <c r="J629" i="1"/>
  <c r="K629" i="1"/>
  <c r="L629" i="1"/>
  <c r="N629" i="1" s="1"/>
  <c r="M629" i="1"/>
  <c r="O629" i="1" s="1"/>
  <c r="J630" i="1"/>
  <c r="K630" i="1"/>
  <c r="L630" i="1"/>
  <c r="N630" i="1" s="1"/>
  <c r="M630" i="1"/>
  <c r="O630" i="1" s="1"/>
  <c r="J631" i="1"/>
  <c r="K631" i="1"/>
  <c r="L631" i="1"/>
  <c r="N631" i="1" s="1"/>
  <c r="M631" i="1"/>
  <c r="O631" i="1" s="1"/>
  <c r="J794" i="1"/>
  <c r="K794" i="1"/>
  <c r="L794" i="1"/>
  <c r="N794" i="1" s="1"/>
  <c r="M794" i="1"/>
  <c r="O794" i="1" s="1"/>
  <c r="J795" i="1"/>
  <c r="K795" i="1"/>
  <c r="L795" i="1"/>
  <c r="N795" i="1" s="1"/>
  <c r="M795" i="1"/>
  <c r="O795" i="1" s="1"/>
  <c r="J796" i="1"/>
  <c r="K796" i="1"/>
  <c r="L796" i="1"/>
  <c r="N796" i="1" s="1"/>
  <c r="M796" i="1"/>
  <c r="O796" i="1" s="1"/>
  <c r="J635" i="1"/>
  <c r="K635" i="1"/>
  <c r="L635" i="1"/>
  <c r="N635" i="1" s="1"/>
  <c r="M635" i="1"/>
  <c r="O635" i="1" s="1"/>
  <c r="J797" i="1"/>
  <c r="K797" i="1"/>
  <c r="L797" i="1"/>
  <c r="N797" i="1" s="1"/>
  <c r="M797" i="1"/>
  <c r="O797" i="1" s="1"/>
  <c r="J798" i="1"/>
  <c r="K798" i="1"/>
  <c r="L798" i="1"/>
  <c r="N798" i="1" s="1"/>
  <c r="M798" i="1"/>
  <c r="O798" i="1" s="1"/>
  <c r="J801" i="1"/>
  <c r="K801" i="1"/>
  <c r="L801" i="1"/>
  <c r="N801" i="1" s="1"/>
  <c r="M801" i="1"/>
  <c r="O801" i="1" s="1"/>
  <c r="J805" i="1"/>
  <c r="K805" i="1"/>
  <c r="L805" i="1"/>
  <c r="N805" i="1" s="1"/>
  <c r="M805" i="1"/>
  <c r="O805" i="1" s="1"/>
  <c r="J807" i="1"/>
  <c r="K807" i="1"/>
  <c r="L807" i="1"/>
  <c r="N807" i="1" s="1"/>
  <c r="M807" i="1"/>
  <c r="O807" i="1" s="1"/>
  <c r="J641" i="1"/>
  <c r="K641" i="1"/>
  <c r="L641" i="1"/>
  <c r="N641" i="1" s="1"/>
  <c r="M641" i="1"/>
  <c r="O641" i="1" s="1"/>
  <c r="J809" i="1"/>
  <c r="K809" i="1"/>
  <c r="L809" i="1"/>
  <c r="N809" i="1" s="1"/>
  <c r="M809" i="1"/>
  <c r="O809" i="1" s="1"/>
  <c r="J643" i="1"/>
  <c r="K643" i="1"/>
  <c r="L643" i="1"/>
  <c r="N643" i="1" s="1"/>
  <c r="M643" i="1"/>
  <c r="O643" i="1" s="1"/>
  <c r="J810" i="1"/>
  <c r="K810" i="1"/>
  <c r="L810" i="1"/>
  <c r="N810" i="1" s="1"/>
  <c r="M810" i="1"/>
  <c r="O810" i="1" s="1"/>
  <c r="J645" i="1"/>
  <c r="K645" i="1"/>
  <c r="L645" i="1"/>
  <c r="N645" i="1" s="1"/>
  <c r="M645" i="1"/>
  <c r="O645" i="1" s="1"/>
  <c r="J646" i="1"/>
  <c r="K646" i="1"/>
  <c r="L646" i="1"/>
  <c r="N646" i="1" s="1"/>
  <c r="M646" i="1"/>
  <c r="O646" i="1" s="1"/>
  <c r="J647" i="1"/>
  <c r="K647" i="1"/>
  <c r="L647" i="1"/>
  <c r="N647" i="1" s="1"/>
  <c r="M647" i="1"/>
  <c r="O647" i="1" s="1"/>
  <c r="J648" i="1"/>
  <c r="K648" i="1"/>
  <c r="L648" i="1"/>
  <c r="N648" i="1" s="1"/>
  <c r="M648" i="1"/>
  <c r="O648" i="1" s="1"/>
  <c r="J814" i="1"/>
  <c r="K814" i="1"/>
  <c r="L814" i="1"/>
  <c r="N814" i="1" s="1"/>
  <c r="M814" i="1"/>
  <c r="O814" i="1" s="1"/>
  <c r="J819" i="1"/>
  <c r="K819" i="1"/>
  <c r="L819" i="1"/>
  <c r="N819" i="1" s="1"/>
  <c r="M819" i="1"/>
  <c r="O819" i="1" s="1"/>
  <c r="J820" i="1"/>
  <c r="K820" i="1"/>
  <c r="L820" i="1"/>
  <c r="N820" i="1" s="1"/>
  <c r="M820" i="1"/>
  <c r="O820" i="1" s="1"/>
  <c r="J652" i="1"/>
  <c r="K652" i="1"/>
  <c r="L652" i="1"/>
  <c r="N652" i="1" s="1"/>
  <c r="M652" i="1"/>
  <c r="O652" i="1" s="1"/>
  <c r="J653" i="1"/>
  <c r="K653" i="1"/>
  <c r="L653" i="1"/>
  <c r="N653" i="1" s="1"/>
  <c r="M653" i="1"/>
  <c r="O653" i="1" s="1"/>
  <c r="J654" i="1"/>
  <c r="K654" i="1"/>
  <c r="L654" i="1"/>
  <c r="N654" i="1" s="1"/>
  <c r="M654" i="1"/>
  <c r="O654" i="1" s="1"/>
  <c r="J655" i="1"/>
  <c r="K655" i="1"/>
  <c r="L655" i="1"/>
  <c r="N655" i="1" s="1"/>
  <c r="M655" i="1"/>
  <c r="O655" i="1" s="1"/>
  <c r="J821" i="1"/>
  <c r="K821" i="1"/>
  <c r="L821" i="1"/>
  <c r="N821" i="1" s="1"/>
  <c r="M821" i="1"/>
  <c r="O821" i="1" s="1"/>
  <c r="J822" i="1"/>
  <c r="K822" i="1"/>
  <c r="L822" i="1"/>
  <c r="N822" i="1" s="1"/>
  <c r="M822" i="1"/>
  <c r="O822" i="1" s="1"/>
  <c r="J658" i="1"/>
  <c r="K658" i="1"/>
  <c r="L658" i="1"/>
  <c r="N658" i="1" s="1"/>
  <c r="M658" i="1"/>
  <c r="O658" i="1" s="1"/>
  <c r="J659" i="1"/>
  <c r="K659" i="1"/>
  <c r="L659" i="1"/>
  <c r="N659" i="1" s="1"/>
  <c r="M659" i="1"/>
  <c r="O659" i="1" s="1"/>
  <c r="J660" i="1"/>
  <c r="K660" i="1"/>
  <c r="L660" i="1"/>
  <c r="N660" i="1" s="1"/>
  <c r="M660" i="1"/>
  <c r="O660" i="1" s="1"/>
  <c r="J661" i="1"/>
  <c r="K661" i="1"/>
  <c r="L661" i="1"/>
  <c r="N661" i="1" s="1"/>
  <c r="M661" i="1"/>
  <c r="O661" i="1" s="1"/>
  <c r="J826" i="1"/>
  <c r="K826" i="1"/>
  <c r="L826" i="1"/>
  <c r="N826" i="1" s="1"/>
  <c r="M826" i="1"/>
  <c r="O826" i="1" s="1"/>
  <c r="J833" i="1"/>
  <c r="K833" i="1"/>
  <c r="L833" i="1"/>
  <c r="N833" i="1" s="1"/>
  <c r="M833" i="1"/>
  <c r="O833" i="1" s="1"/>
  <c r="J664" i="1"/>
  <c r="K664" i="1"/>
  <c r="L664" i="1"/>
  <c r="N664" i="1" s="1"/>
  <c r="M664" i="1"/>
  <c r="O664" i="1" s="1"/>
  <c r="J665" i="1"/>
  <c r="K665" i="1"/>
  <c r="L665" i="1"/>
  <c r="N665" i="1" s="1"/>
  <c r="M665" i="1"/>
  <c r="O665" i="1" s="1"/>
  <c r="J666" i="1"/>
  <c r="K666" i="1"/>
  <c r="L666" i="1"/>
  <c r="N666" i="1" s="1"/>
  <c r="M666" i="1"/>
  <c r="O666" i="1" s="1"/>
  <c r="J667" i="1"/>
  <c r="K667" i="1"/>
  <c r="L667" i="1"/>
  <c r="N667" i="1" s="1"/>
  <c r="M667" i="1"/>
  <c r="O667" i="1" s="1"/>
  <c r="J668" i="1"/>
  <c r="K668" i="1"/>
  <c r="L668" i="1"/>
  <c r="N668" i="1" s="1"/>
  <c r="M668" i="1"/>
  <c r="O668" i="1" s="1"/>
  <c r="J837" i="1"/>
  <c r="K837" i="1"/>
  <c r="L837" i="1"/>
  <c r="N837" i="1" s="1"/>
  <c r="M837" i="1"/>
  <c r="O837" i="1" s="1"/>
  <c r="J670" i="1"/>
  <c r="K670" i="1"/>
  <c r="L670" i="1"/>
  <c r="N670" i="1" s="1"/>
  <c r="M670" i="1"/>
  <c r="O670" i="1" s="1"/>
  <c r="J671" i="1"/>
  <c r="K671" i="1"/>
  <c r="L671" i="1"/>
  <c r="N671" i="1" s="1"/>
  <c r="M671" i="1"/>
  <c r="O671" i="1" s="1"/>
  <c r="J672" i="1"/>
  <c r="K672" i="1"/>
  <c r="L672" i="1"/>
  <c r="N672" i="1" s="1"/>
  <c r="M672" i="1"/>
  <c r="O672" i="1" s="1"/>
  <c r="J673" i="1"/>
  <c r="K673" i="1"/>
  <c r="L673" i="1"/>
  <c r="N673" i="1" s="1"/>
  <c r="M673" i="1"/>
  <c r="O673" i="1" s="1"/>
  <c r="J674" i="1"/>
  <c r="K674" i="1"/>
  <c r="L674" i="1"/>
  <c r="N674" i="1" s="1"/>
  <c r="M674" i="1"/>
  <c r="O674" i="1" s="1"/>
  <c r="J839" i="1"/>
  <c r="K839" i="1"/>
  <c r="L839" i="1"/>
  <c r="N839" i="1" s="1"/>
  <c r="M839" i="1"/>
  <c r="O839" i="1" s="1"/>
  <c r="J842" i="1"/>
  <c r="K842" i="1"/>
  <c r="L842" i="1"/>
  <c r="N842" i="1" s="1"/>
  <c r="M842" i="1"/>
  <c r="O842" i="1" s="1"/>
  <c r="J677" i="1"/>
  <c r="K677" i="1"/>
  <c r="L677" i="1"/>
  <c r="N677" i="1" s="1"/>
  <c r="M677" i="1"/>
  <c r="O677" i="1" s="1"/>
  <c r="J678" i="1"/>
  <c r="K678" i="1"/>
  <c r="L678" i="1"/>
  <c r="N678" i="1" s="1"/>
  <c r="M678" i="1"/>
  <c r="O678" i="1" s="1"/>
  <c r="J679" i="1"/>
  <c r="K679" i="1"/>
  <c r="L679" i="1"/>
  <c r="N679" i="1" s="1"/>
  <c r="M679" i="1"/>
  <c r="O679" i="1" s="1"/>
  <c r="J680" i="1"/>
  <c r="K680" i="1"/>
  <c r="L680" i="1"/>
  <c r="N680" i="1" s="1"/>
  <c r="M680" i="1"/>
  <c r="O680" i="1" s="1"/>
  <c r="J843" i="1"/>
  <c r="K843" i="1"/>
  <c r="L843" i="1"/>
  <c r="N843" i="1" s="1"/>
  <c r="M843" i="1"/>
  <c r="O843" i="1" s="1"/>
  <c r="J852" i="1"/>
  <c r="K852" i="1"/>
  <c r="L852" i="1"/>
  <c r="N852" i="1" s="1"/>
  <c r="M852" i="1"/>
  <c r="O852" i="1" s="1"/>
  <c r="J865" i="1"/>
  <c r="K865" i="1"/>
  <c r="L865" i="1"/>
  <c r="N865" i="1" s="1"/>
  <c r="M865" i="1"/>
  <c r="O865" i="1" s="1"/>
  <c r="J866" i="1"/>
  <c r="K866" i="1"/>
  <c r="L866" i="1"/>
  <c r="N866" i="1" s="1"/>
  <c r="M866" i="1"/>
  <c r="O866" i="1" s="1"/>
  <c r="J867" i="1"/>
  <c r="K867" i="1"/>
  <c r="L867" i="1"/>
  <c r="N867" i="1" s="1"/>
  <c r="M867" i="1"/>
  <c r="O867" i="1" s="1"/>
  <c r="J869" i="1"/>
  <c r="K869" i="1"/>
  <c r="L869" i="1"/>
  <c r="N869" i="1" s="1"/>
  <c r="M869" i="1"/>
  <c r="O869" i="1" s="1"/>
  <c r="J870" i="1"/>
  <c r="K870" i="1"/>
  <c r="L870" i="1"/>
  <c r="N870" i="1" s="1"/>
  <c r="M870" i="1"/>
  <c r="O870" i="1" s="1"/>
  <c r="J871" i="1"/>
  <c r="K871" i="1"/>
  <c r="L871" i="1"/>
  <c r="N871" i="1" s="1"/>
  <c r="M871" i="1"/>
  <c r="O871" i="1" s="1"/>
  <c r="J689" i="1"/>
  <c r="K689" i="1"/>
  <c r="L689" i="1"/>
  <c r="N689" i="1" s="1"/>
  <c r="M689" i="1"/>
  <c r="O689" i="1" s="1"/>
  <c r="J690" i="1"/>
  <c r="K690" i="1"/>
  <c r="L690" i="1"/>
  <c r="N690" i="1" s="1"/>
  <c r="M690" i="1"/>
  <c r="O690" i="1" s="1"/>
  <c r="J691" i="1"/>
  <c r="K691" i="1"/>
  <c r="L691" i="1"/>
  <c r="N691" i="1" s="1"/>
  <c r="M691" i="1"/>
  <c r="O691" i="1" s="1"/>
  <c r="J692" i="1"/>
  <c r="K692" i="1"/>
  <c r="L692" i="1"/>
  <c r="N692" i="1" s="1"/>
  <c r="M692" i="1"/>
  <c r="O692" i="1" s="1"/>
  <c r="J872" i="1"/>
  <c r="K872" i="1"/>
  <c r="L872" i="1"/>
  <c r="N872" i="1" s="1"/>
  <c r="M872" i="1"/>
  <c r="O872" i="1" s="1"/>
  <c r="J694" i="1"/>
  <c r="K694" i="1"/>
  <c r="L694" i="1"/>
  <c r="N694" i="1" s="1"/>
  <c r="M694" i="1"/>
  <c r="O694" i="1" s="1"/>
  <c r="J695" i="1"/>
  <c r="K695" i="1"/>
  <c r="L695" i="1"/>
  <c r="N695" i="1" s="1"/>
  <c r="M695" i="1"/>
  <c r="O695" i="1" s="1"/>
  <c r="J696" i="1"/>
  <c r="K696" i="1"/>
  <c r="L696" i="1"/>
  <c r="N696" i="1" s="1"/>
  <c r="M696" i="1"/>
  <c r="O696" i="1" s="1"/>
  <c r="J697" i="1"/>
  <c r="K697" i="1"/>
  <c r="L697" i="1"/>
  <c r="N697" i="1" s="1"/>
  <c r="M697" i="1"/>
  <c r="O697" i="1" s="1"/>
  <c r="J698" i="1"/>
  <c r="K698" i="1"/>
  <c r="L698" i="1"/>
  <c r="N698" i="1" s="1"/>
  <c r="M698" i="1"/>
  <c r="O698" i="1" s="1"/>
  <c r="J699" i="1"/>
  <c r="K699" i="1"/>
  <c r="L699" i="1"/>
  <c r="N699" i="1" s="1"/>
  <c r="M699" i="1"/>
  <c r="O699" i="1" s="1"/>
  <c r="J700" i="1"/>
  <c r="K700" i="1"/>
  <c r="L700" i="1"/>
  <c r="N700" i="1" s="1"/>
  <c r="M700" i="1"/>
  <c r="O700" i="1" s="1"/>
  <c r="J701" i="1"/>
  <c r="K701" i="1"/>
  <c r="L701" i="1"/>
  <c r="N701" i="1" s="1"/>
  <c r="M701" i="1"/>
  <c r="O701" i="1" s="1"/>
  <c r="J702" i="1"/>
  <c r="K702" i="1"/>
  <c r="L702" i="1"/>
  <c r="N702" i="1" s="1"/>
  <c r="M702" i="1"/>
  <c r="O702" i="1" s="1"/>
  <c r="J703" i="1"/>
  <c r="K703" i="1"/>
  <c r="L703" i="1"/>
  <c r="N703" i="1" s="1"/>
  <c r="M703" i="1"/>
  <c r="O703" i="1" s="1"/>
  <c r="J873" i="1"/>
  <c r="K873" i="1"/>
  <c r="L873" i="1"/>
  <c r="N873" i="1" s="1"/>
  <c r="M873" i="1"/>
  <c r="O873" i="1" s="1"/>
  <c r="J705" i="1"/>
  <c r="K705" i="1"/>
  <c r="L705" i="1"/>
  <c r="N705" i="1" s="1"/>
  <c r="M705" i="1"/>
  <c r="O705" i="1" s="1"/>
  <c r="J706" i="1"/>
  <c r="K706" i="1"/>
  <c r="L706" i="1"/>
  <c r="N706" i="1" s="1"/>
  <c r="M706" i="1"/>
  <c r="O706" i="1" s="1"/>
  <c r="J707" i="1"/>
  <c r="K707" i="1"/>
  <c r="L707" i="1"/>
  <c r="N707" i="1" s="1"/>
  <c r="M707" i="1"/>
  <c r="O707" i="1" s="1"/>
  <c r="J708" i="1"/>
  <c r="K708" i="1"/>
  <c r="L708" i="1"/>
  <c r="N708" i="1" s="1"/>
  <c r="M708" i="1"/>
  <c r="O708" i="1" s="1"/>
  <c r="J874" i="1"/>
  <c r="K874" i="1"/>
  <c r="L874" i="1"/>
  <c r="N874" i="1" s="1"/>
  <c r="M874" i="1"/>
  <c r="O874" i="1" s="1"/>
  <c r="J875" i="1"/>
  <c r="K875" i="1"/>
  <c r="L875" i="1"/>
  <c r="N875" i="1" s="1"/>
  <c r="M875" i="1"/>
  <c r="O875" i="1" s="1"/>
  <c r="J711" i="1"/>
  <c r="K711" i="1"/>
  <c r="L711" i="1"/>
  <c r="N711" i="1" s="1"/>
  <c r="M711" i="1"/>
  <c r="O711" i="1" s="1"/>
  <c r="J712" i="1"/>
  <c r="K712" i="1"/>
  <c r="L712" i="1"/>
  <c r="N712" i="1" s="1"/>
  <c r="M712" i="1"/>
  <c r="O712" i="1" s="1"/>
  <c r="J713" i="1"/>
  <c r="K713" i="1"/>
  <c r="L713" i="1"/>
  <c r="N713" i="1" s="1"/>
  <c r="M713" i="1"/>
  <c r="O713" i="1" s="1"/>
  <c r="J876" i="1"/>
  <c r="K876" i="1"/>
  <c r="L876" i="1"/>
  <c r="N876" i="1" s="1"/>
  <c r="M876" i="1"/>
  <c r="O876" i="1" s="1"/>
  <c r="J879" i="1"/>
  <c r="K879" i="1"/>
  <c r="L879" i="1"/>
  <c r="N879" i="1" s="1"/>
  <c r="M879" i="1"/>
  <c r="O879" i="1" s="1"/>
  <c r="J883" i="1"/>
  <c r="K883" i="1"/>
  <c r="L883" i="1"/>
  <c r="N883" i="1" s="1"/>
  <c r="M883" i="1"/>
  <c r="O883" i="1" s="1"/>
  <c r="J885" i="1"/>
  <c r="K885" i="1"/>
  <c r="L885" i="1"/>
  <c r="N885" i="1" s="1"/>
  <c r="M885" i="1"/>
  <c r="O885" i="1" s="1"/>
  <c r="J718" i="1"/>
  <c r="K718" i="1"/>
  <c r="L718" i="1"/>
  <c r="N718" i="1" s="1"/>
  <c r="M718" i="1"/>
  <c r="O718" i="1" s="1"/>
  <c r="J886" i="1"/>
  <c r="K886" i="1"/>
  <c r="L886" i="1"/>
  <c r="N886" i="1" s="1"/>
  <c r="M886" i="1"/>
  <c r="O886" i="1" s="1"/>
  <c r="J720" i="1"/>
  <c r="K720" i="1"/>
  <c r="L720" i="1"/>
  <c r="N720" i="1" s="1"/>
  <c r="M720" i="1"/>
  <c r="O720" i="1" s="1"/>
  <c r="J721" i="1"/>
  <c r="K721" i="1"/>
  <c r="L721" i="1"/>
  <c r="N721" i="1" s="1"/>
  <c r="M721" i="1"/>
  <c r="O721" i="1" s="1"/>
  <c r="J722" i="1"/>
  <c r="K722" i="1"/>
  <c r="L722" i="1"/>
  <c r="N722" i="1" s="1"/>
  <c r="M722" i="1"/>
  <c r="O722" i="1" s="1"/>
  <c r="J889" i="1"/>
  <c r="K889" i="1"/>
  <c r="L889" i="1"/>
  <c r="N889" i="1" s="1"/>
  <c r="M889" i="1"/>
  <c r="O889" i="1" s="1"/>
  <c r="J724" i="1"/>
  <c r="K724" i="1"/>
  <c r="L724" i="1"/>
  <c r="N724" i="1" s="1"/>
  <c r="M724" i="1"/>
  <c r="O724" i="1" s="1"/>
  <c r="J891" i="1"/>
  <c r="K891" i="1"/>
  <c r="L891" i="1"/>
  <c r="N891" i="1" s="1"/>
  <c r="M891" i="1"/>
  <c r="O891" i="1" s="1"/>
  <c r="J892" i="1"/>
  <c r="K892" i="1"/>
  <c r="L892" i="1"/>
  <c r="N892" i="1" s="1"/>
  <c r="M892" i="1"/>
  <c r="O892" i="1" s="1"/>
  <c r="J729" i="1"/>
  <c r="K729" i="1"/>
  <c r="L729" i="1"/>
  <c r="N729" i="1" s="1"/>
  <c r="M729" i="1"/>
  <c r="O729" i="1" s="1"/>
  <c r="J897" i="1"/>
  <c r="K897" i="1"/>
  <c r="L897" i="1"/>
  <c r="N897" i="1" s="1"/>
  <c r="M897" i="1"/>
  <c r="O897" i="1" s="1"/>
  <c r="J731" i="1"/>
  <c r="K731" i="1"/>
  <c r="L731" i="1"/>
  <c r="N731" i="1" s="1"/>
  <c r="M731" i="1"/>
  <c r="O731" i="1" s="1"/>
  <c r="J732" i="1"/>
  <c r="K732" i="1"/>
  <c r="L732" i="1"/>
  <c r="N732" i="1" s="1"/>
  <c r="M732" i="1"/>
  <c r="O732" i="1" s="1"/>
  <c r="J733" i="1"/>
  <c r="K733" i="1"/>
  <c r="L733" i="1"/>
  <c r="N733" i="1" s="1"/>
  <c r="M733" i="1"/>
  <c r="O733" i="1" s="1"/>
  <c r="J905" i="1"/>
  <c r="K905" i="1"/>
  <c r="L905" i="1"/>
  <c r="N905" i="1" s="1"/>
  <c r="M905" i="1"/>
  <c r="O905" i="1" s="1"/>
  <c r="J735" i="1"/>
  <c r="K735" i="1"/>
  <c r="L735" i="1"/>
  <c r="N735" i="1" s="1"/>
  <c r="M735" i="1"/>
  <c r="O735" i="1" s="1"/>
  <c r="J736" i="1"/>
  <c r="K736" i="1"/>
  <c r="L736" i="1"/>
  <c r="N736" i="1" s="1"/>
  <c r="M736" i="1"/>
  <c r="O736" i="1" s="1"/>
  <c r="J737" i="1"/>
  <c r="K737" i="1"/>
  <c r="L737" i="1"/>
  <c r="N737" i="1" s="1"/>
  <c r="M737" i="1"/>
  <c r="O737" i="1" s="1"/>
  <c r="J738" i="1"/>
  <c r="K738" i="1"/>
  <c r="L738" i="1"/>
  <c r="N738" i="1" s="1"/>
  <c r="M738" i="1"/>
  <c r="O738" i="1" s="1"/>
  <c r="J739" i="1"/>
  <c r="K739" i="1"/>
  <c r="L739" i="1"/>
  <c r="N739" i="1" s="1"/>
  <c r="M739" i="1"/>
  <c r="O739" i="1" s="1"/>
  <c r="J740" i="1"/>
  <c r="K740" i="1"/>
  <c r="L740" i="1"/>
  <c r="N740" i="1" s="1"/>
  <c r="M740" i="1"/>
  <c r="O740" i="1" s="1"/>
  <c r="J907" i="1"/>
  <c r="K907" i="1"/>
  <c r="L907" i="1"/>
  <c r="N907" i="1" s="1"/>
  <c r="M907" i="1"/>
  <c r="O907" i="1" s="1"/>
  <c r="J41" i="1"/>
  <c r="K41" i="1"/>
  <c r="L41" i="1"/>
  <c r="N41" i="1" s="1"/>
  <c r="M41" i="1"/>
  <c r="O41" i="1" s="1"/>
  <c r="J743" i="1"/>
  <c r="K743" i="1"/>
  <c r="L743" i="1"/>
  <c r="N743" i="1" s="1"/>
  <c r="M743" i="1"/>
  <c r="O743" i="1" s="1"/>
  <c r="J744" i="1"/>
  <c r="K744" i="1"/>
  <c r="L744" i="1"/>
  <c r="N744" i="1" s="1"/>
  <c r="M744" i="1"/>
  <c r="O744" i="1" s="1"/>
  <c r="J745" i="1"/>
  <c r="K745" i="1"/>
  <c r="L745" i="1"/>
  <c r="N745" i="1" s="1"/>
  <c r="M745" i="1"/>
  <c r="O745" i="1" s="1"/>
  <c r="J746" i="1"/>
  <c r="K746" i="1"/>
  <c r="L746" i="1"/>
  <c r="N746" i="1" s="1"/>
  <c r="M746" i="1"/>
  <c r="O746" i="1" s="1"/>
  <c r="J747" i="1"/>
  <c r="K747" i="1"/>
  <c r="L747" i="1"/>
  <c r="N747" i="1" s="1"/>
  <c r="M747" i="1"/>
  <c r="O747" i="1" s="1"/>
  <c r="J748" i="1"/>
  <c r="K748" i="1"/>
  <c r="L748" i="1"/>
  <c r="N748" i="1" s="1"/>
  <c r="M748" i="1"/>
  <c r="O748" i="1" s="1"/>
  <c r="J749" i="1"/>
  <c r="K749" i="1"/>
  <c r="L749" i="1"/>
  <c r="N749" i="1" s="1"/>
  <c r="M749" i="1"/>
  <c r="O749" i="1" s="1"/>
  <c r="J752" i="1"/>
  <c r="K752" i="1"/>
  <c r="L752" i="1"/>
  <c r="N752" i="1" s="1"/>
  <c r="M752" i="1"/>
  <c r="O752" i="1" s="1"/>
  <c r="J908" i="1"/>
  <c r="K908" i="1"/>
  <c r="L908" i="1"/>
  <c r="N908" i="1" s="1"/>
  <c r="M908" i="1"/>
  <c r="O908" i="1" s="1"/>
  <c r="J912" i="1"/>
  <c r="K912" i="1"/>
  <c r="L912" i="1"/>
  <c r="N912" i="1" s="1"/>
  <c r="M912" i="1"/>
  <c r="O912" i="1" s="1"/>
  <c r="J755" i="1"/>
  <c r="K755" i="1"/>
  <c r="L755" i="1"/>
  <c r="N755" i="1" s="1"/>
  <c r="M755" i="1"/>
  <c r="O755" i="1" s="1"/>
  <c r="J756" i="1"/>
  <c r="K756" i="1"/>
  <c r="L756" i="1"/>
  <c r="N756" i="1" s="1"/>
  <c r="M756" i="1"/>
  <c r="O756" i="1" s="1"/>
  <c r="J918" i="1"/>
  <c r="K918" i="1"/>
  <c r="L918" i="1"/>
  <c r="N918" i="1" s="1"/>
  <c r="M918" i="1"/>
  <c r="O918" i="1" s="1"/>
  <c r="J758" i="1"/>
  <c r="K758" i="1"/>
  <c r="L758" i="1"/>
  <c r="N758" i="1" s="1"/>
  <c r="M758" i="1"/>
  <c r="O758" i="1" s="1"/>
  <c r="J759" i="1"/>
  <c r="K759" i="1"/>
  <c r="L759" i="1"/>
  <c r="N759" i="1" s="1"/>
  <c r="M759" i="1"/>
  <c r="O759" i="1" s="1"/>
  <c r="J919" i="1"/>
  <c r="K919" i="1"/>
  <c r="L919" i="1"/>
  <c r="N919" i="1" s="1"/>
  <c r="M919" i="1"/>
  <c r="O919" i="1" s="1"/>
  <c r="J761" i="1"/>
  <c r="K761" i="1"/>
  <c r="L761" i="1"/>
  <c r="N761" i="1" s="1"/>
  <c r="M761" i="1"/>
  <c r="O761" i="1" s="1"/>
  <c r="J762" i="1"/>
  <c r="K762" i="1"/>
  <c r="L762" i="1"/>
  <c r="N762" i="1" s="1"/>
  <c r="M762" i="1"/>
  <c r="O762" i="1" s="1"/>
  <c r="J920" i="1"/>
  <c r="K920" i="1"/>
  <c r="L920" i="1"/>
  <c r="N920" i="1" s="1"/>
  <c r="M920" i="1"/>
  <c r="O920" i="1" s="1"/>
  <c r="J765" i="1"/>
  <c r="K765" i="1"/>
  <c r="L765" i="1"/>
  <c r="N765" i="1" s="1"/>
  <c r="M765" i="1"/>
  <c r="O765" i="1" s="1"/>
  <c r="J766" i="1"/>
  <c r="K766" i="1"/>
  <c r="L766" i="1"/>
  <c r="N766" i="1" s="1"/>
  <c r="M766" i="1"/>
  <c r="O766" i="1" s="1"/>
  <c r="J767" i="1"/>
  <c r="K767" i="1"/>
  <c r="L767" i="1"/>
  <c r="N767" i="1" s="1"/>
  <c r="M767" i="1"/>
  <c r="O767" i="1" s="1"/>
  <c r="J768" i="1"/>
  <c r="K768" i="1"/>
  <c r="L768" i="1"/>
  <c r="N768" i="1" s="1"/>
  <c r="M768" i="1"/>
  <c r="O768" i="1" s="1"/>
  <c r="J769" i="1"/>
  <c r="K769" i="1"/>
  <c r="L769" i="1"/>
  <c r="N769" i="1" s="1"/>
  <c r="M769" i="1"/>
  <c r="O769" i="1" s="1"/>
  <c r="J770" i="1"/>
  <c r="K770" i="1"/>
  <c r="L770" i="1"/>
  <c r="N770" i="1" s="1"/>
  <c r="M770" i="1"/>
  <c r="O770" i="1" s="1"/>
  <c r="J771" i="1"/>
  <c r="K771" i="1"/>
  <c r="L771" i="1"/>
  <c r="N771" i="1" s="1"/>
  <c r="M771" i="1"/>
  <c r="O771" i="1" s="1"/>
  <c r="J772" i="1"/>
  <c r="K772" i="1"/>
  <c r="L772" i="1"/>
  <c r="N772" i="1" s="1"/>
  <c r="M772" i="1"/>
  <c r="O772" i="1" s="1"/>
  <c r="J921" i="1"/>
  <c r="K921" i="1"/>
  <c r="L921" i="1"/>
  <c r="N921" i="1" s="1"/>
  <c r="M921" i="1"/>
  <c r="O921" i="1" s="1"/>
  <c r="J922" i="1"/>
  <c r="K922" i="1"/>
  <c r="L922" i="1"/>
  <c r="N922" i="1" s="1"/>
  <c r="M922" i="1"/>
  <c r="O922" i="1" s="1"/>
  <c r="J775" i="1"/>
  <c r="K775" i="1"/>
  <c r="L775" i="1"/>
  <c r="N775" i="1" s="1"/>
  <c r="M775" i="1"/>
  <c r="O775" i="1" s="1"/>
  <c r="J776" i="1"/>
  <c r="K776" i="1"/>
  <c r="L776" i="1"/>
  <c r="N776" i="1" s="1"/>
  <c r="M776" i="1"/>
  <c r="O776" i="1" s="1"/>
  <c r="J777" i="1"/>
  <c r="K777" i="1"/>
  <c r="L777" i="1"/>
  <c r="N777" i="1" s="1"/>
  <c r="M777" i="1"/>
  <c r="O777" i="1" s="1"/>
  <c r="J778" i="1"/>
  <c r="K778" i="1"/>
  <c r="L778" i="1"/>
  <c r="N778" i="1" s="1"/>
  <c r="M778" i="1"/>
  <c r="O778" i="1" s="1"/>
  <c r="J779" i="1"/>
  <c r="K779" i="1"/>
  <c r="L779" i="1"/>
  <c r="N779" i="1" s="1"/>
  <c r="M779" i="1"/>
  <c r="O779" i="1" s="1"/>
  <c r="J780" i="1"/>
  <c r="K780" i="1"/>
  <c r="L780" i="1"/>
  <c r="N780" i="1" s="1"/>
  <c r="M780" i="1"/>
  <c r="O780" i="1" s="1"/>
  <c r="J781" i="1"/>
  <c r="K781" i="1"/>
  <c r="L781" i="1"/>
  <c r="N781" i="1" s="1"/>
  <c r="M781" i="1"/>
  <c r="O781" i="1" s="1"/>
  <c r="J782" i="1"/>
  <c r="K782" i="1"/>
  <c r="L782" i="1"/>
  <c r="N782" i="1" s="1"/>
  <c r="M782" i="1"/>
  <c r="O782" i="1" s="1"/>
  <c r="J783" i="1"/>
  <c r="K783" i="1"/>
  <c r="L783" i="1"/>
  <c r="N783" i="1" s="1"/>
  <c r="M783" i="1"/>
  <c r="O783" i="1" s="1"/>
  <c r="J925" i="1"/>
  <c r="K925" i="1"/>
  <c r="L925" i="1"/>
  <c r="N925" i="1" s="1"/>
  <c r="M925" i="1"/>
  <c r="O925" i="1" s="1"/>
  <c r="J929" i="1"/>
  <c r="K929" i="1"/>
  <c r="L929" i="1"/>
  <c r="N929" i="1" s="1"/>
  <c r="M929" i="1"/>
  <c r="O929" i="1" s="1"/>
  <c r="J786" i="1"/>
  <c r="K786" i="1"/>
  <c r="L786" i="1"/>
  <c r="N786" i="1" s="1"/>
  <c r="M786" i="1"/>
  <c r="O786" i="1" s="1"/>
  <c r="J930" i="1"/>
  <c r="K930" i="1"/>
  <c r="L930" i="1"/>
  <c r="N930" i="1" s="1"/>
  <c r="M930" i="1"/>
  <c r="O930" i="1" s="1"/>
  <c r="J931" i="1"/>
  <c r="K931" i="1"/>
  <c r="L931" i="1"/>
  <c r="N931" i="1" s="1"/>
  <c r="M931" i="1"/>
  <c r="O931" i="1" s="1"/>
  <c r="J932" i="1"/>
  <c r="K932" i="1"/>
  <c r="L932" i="1"/>
  <c r="N932" i="1" s="1"/>
  <c r="M932" i="1"/>
  <c r="O932" i="1" s="1"/>
  <c r="J790" i="1"/>
  <c r="K790" i="1"/>
  <c r="L790" i="1"/>
  <c r="N790" i="1" s="1"/>
  <c r="M790" i="1"/>
  <c r="O790" i="1" s="1"/>
  <c r="J933" i="1"/>
  <c r="K933" i="1"/>
  <c r="L933" i="1"/>
  <c r="N933" i="1" s="1"/>
  <c r="M933" i="1"/>
  <c r="O933" i="1" s="1"/>
  <c r="J792" i="1"/>
  <c r="K792" i="1"/>
  <c r="L792" i="1"/>
  <c r="N792" i="1" s="1"/>
  <c r="M792" i="1"/>
  <c r="O792" i="1" s="1"/>
  <c r="J935" i="1"/>
  <c r="K935" i="1"/>
  <c r="L935" i="1"/>
  <c r="N935" i="1" s="1"/>
  <c r="M935" i="1"/>
  <c r="O935" i="1" s="1"/>
  <c r="J942" i="1"/>
  <c r="K942" i="1"/>
  <c r="L942" i="1"/>
  <c r="N942" i="1" s="1"/>
  <c r="M942" i="1"/>
  <c r="O942" i="1" s="1"/>
  <c r="J943" i="1"/>
  <c r="K943" i="1"/>
  <c r="L943" i="1"/>
  <c r="N943" i="1" s="1"/>
  <c r="M943" i="1"/>
  <c r="O943" i="1" s="1"/>
  <c r="J944" i="1"/>
  <c r="K944" i="1"/>
  <c r="L944" i="1"/>
  <c r="N944" i="1" s="1"/>
  <c r="M944" i="1"/>
  <c r="O944" i="1" s="1"/>
  <c r="J945" i="1"/>
  <c r="K945" i="1"/>
  <c r="L945" i="1"/>
  <c r="N945" i="1" s="1"/>
  <c r="M945" i="1"/>
  <c r="O945" i="1" s="1"/>
  <c r="J947" i="1"/>
  <c r="K947" i="1"/>
  <c r="L947" i="1"/>
  <c r="N947" i="1" s="1"/>
  <c r="M947" i="1"/>
  <c r="O947" i="1" s="1"/>
  <c r="J799" i="1"/>
  <c r="K799" i="1"/>
  <c r="L799" i="1"/>
  <c r="N799" i="1" s="1"/>
  <c r="M799" i="1"/>
  <c r="O799" i="1" s="1"/>
  <c r="J800" i="1"/>
  <c r="K800" i="1"/>
  <c r="L800" i="1"/>
  <c r="N800" i="1" s="1"/>
  <c r="M800" i="1"/>
  <c r="O800" i="1" s="1"/>
  <c r="J948" i="1"/>
  <c r="K948" i="1"/>
  <c r="L948" i="1"/>
  <c r="N948" i="1" s="1"/>
  <c r="M948" i="1"/>
  <c r="O948" i="1" s="1"/>
  <c r="J802" i="1"/>
  <c r="K802" i="1"/>
  <c r="L802" i="1"/>
  <c r="N802" i="1" s="1"/>
  <c r="M802" i="1"/>
  <c r="O802" i="1" s="1"/>
  <c r="J803" i="1"/>
  <c r="K803" i="1"/>
  <c r="L803" i="1"/>
  <c r="N803" i="1" s="1"/>
  <c r="M803" i="1"/>
  <c r="O803" i="1" s="1"/>
  <c r="J804" i="1"/>
  <c r="K804" i="1"/>
  <c r="L804" i="1"/>
  <c r="N804" i="1" s="1"/>
  <c r="M804" i="1"/>
  <c r="O804" i="1" s="1"/>
  <c r="J949" i="1"/>
  <c r="K949" i="1"/>
  <c r="L949" i="1"/>
  <c r="N949" i="1" s="1"/>
  <c r="M949" i="1"/>
  <c r="O949" i="1" s="1"/>
  <c r="J806" i="1"/>
  <c r="K806" i="1"/>
  <c r="L806" i="1"/>
  <c r="N806" i="1" s="1"/>
  <c r="M806" i="1"/>
  <c r="O806" i="1" s="1"/>
  <c r="J951" i="1"/>
  <c r="K951" i="1"/>
  <c r="L951" i="1"/>
  <c r="N951" i="1" s="1"/>
  <c r="M951" i="1"/>
  <c r="O951" i="1" s="1"/>
  <c r="J808" i="1"/>
  <c r="K808" i="1"/>
  <c r="L808" i="1"/>
  <c r="N808" i="1" s="1"/>
  <c r="M808" i="1"/>
  <c r="O808" i="1" s="1"/>
  <c r="J952" i="1"/>
  <c r="K952" i="1"/>
  <c r="L952" i="1"/>
  <c r="N952" i="1" s="1"/>
  <c r="M952" i="1"/>
  <c r="O952" i="1" s="1"/>
  <c r="J164" i="1"/>
  <c r="K164" i="1"/>
  <c r="L164" i="1"/>
  <c r="N164" i="1" s="1"/>
  <c r="M164" i="1"/>
  <c r="O164" i="1" s="1"/>
  <c r="J811" i="1"/>
  <c r="K811" i="1"/>
  <c r="L811" i="1"/>
  <c r="N811" i="1" s="1"/>
  <c r="M811" i="1"/>
  <c r="O811" i="1" s="1"/>
  <c r="J812" i="1"/>
  <c r="K812" i="1"/>
  <c r="L812" i="1"/>
  <c r="N812" i="1" s="1"/>
  <c r="M812" i="1"/>
  <c r="O812" i="1" s="1"/>
  <c r="J813" i="1"/>
  <c r="K813" i="1"/>
  <c r="L813" i="1"/>
  <c r="N813" i="1" s="1"/>
  <c r="M813" i="1"/>
  <c r="O813" i="1" s="1"/>
  <c r="J953" i="1"/>
  <c r="K953" i="1"/>
  <c r="L953" i="1"/>
  <c r="N953" i="1" s="1"/>
  <c r="M953" i="1"/>
  <c r="O953" i="1" s="1"/>
  <c r="J815" i="1"/>
  <c r="K815" i="1"/>
  <c r="L815" i="1"/>
  <c r="N815" i="1" s="1"/>
  <c r="M815" i="1"/>
  <c r="O815" i="1" s="1"/>
  <c r="J816" i="1"/>
  <c r="K816" i="1"/>
  <c r="L816" i="1"/>
  <c r="N816" i="1" s="1"/>
  <c r="M816" i="1"/>
  <c r="O816" i="1" s="1"/>
  <c r="J817" i="1"/>
  <c r="K817" i="1"/>
  <c r="L817" i="1"/>
  <c r="N817" i="1" s="1"/>
  <c r="M817" i="1"/>
  <c r="O817" i="1" s="1"/>
  <c r="J818" i="1"/>
  <c r="K818" i="1"/>
  <c r="L818" i="1"/>
  <c r="N818" i="1" s="1"/>
  <c r="M818" i="1"/>
  <c r="O818" i="1" s="1"/>
  <c r="J108" i="1"/>
  <c r="K108" i="1"/>
  <c r="L108" i="1"/>
  <c r="N108" i="1" s="1"/>
  <c r="M108" i="1"/>
  <c r="O108" i="1" s="1"/>
  <c r="J955" i="1"/>
  <c r="K955" i="1"/>
  <c r="L955" i="1"/>
  <c r="N955" i="1" s="1"/>
  <c r="M955" i="1"/>
  <c r="O955" i="1" s="1"/>
  <c r="J956" i="1"/>
  <c r="K956" i="1"/>
  <c r="L956" i="1"/>
  <c r="N956" i="1" s="1"/>
  <c r="M956" i="1"/>
  <c r="O956" i="1" s="1"/>
  <c r="J957" i="1"/>
  <c r="K957" i="1"/>
  <c r="L957" i="1"/>
  <c r="N957" i="1" s="1"/>
  <c r="M957" i="1"/>
  <c r="O957" i="1" s="1"/>
  <c r="J823" i="1"/>
  <c r="K823" i="1"/>
  <c r="L823" i="1"/>
  <c r="N823" i="1" s="1"/>
  <c r="M823" i="1"/>
  <c r="O823" i="1" s="1"/>
  <c r="J824" i="1"/>
  <c r="K824" i="1"/>
  <c r="L824" i="1"/>
  <c r="N824" i="1" s="1"/>
  <c r="M824" i="1"/>
  <c r="O824" i="1" s="1"/>
  <c r="J825" i="1"/>
  <c r="K825" i="1"/>
  <c r="L825" i="1"/>
  <c r="N825" i="1" s="1"/>
  <c r="M825" i="1"/>
  <c r="O825" i="1" s="1"/>
  <c r="J958" i="1"/>
  <c r="K958" i="1"/>
  <c r="L958" i="1"/>
  <c r="N958" i="1" s="1"/>
  <c r="M958" i="1"/>
  <c r="O958" i="1" s="1"/>
  <c r="J827" i="1"/>
  <c r="K827" i="1"/>
  <c r="L827" i="1"/>
  <c r="N827" i="1" s="1"/>
  <c r="M827" i="1"/>
  <c r="O827" i="1" s="1"/>
  <c r="J829" i="1"/>
  <c r="K829" i="1"/>
  <c r="L829" i="1"/>
  <c r="N829" i="1" s="1"/>
  <c r="M829" i="1"/>
  <c r="O829" i="1" s="1"/>
  <c r="J830" i="1"/>
  <c r="K830" i="1"/>
  <c r="L830" i="1"/>
  <c r="N830" i="1" s="1"/>
  <c r="M830" i="1"/>
  <c r="O830" i="1" s="1"/>
  <c r="J831" i="1"/>
  <c r="K831" i="1"/>
  <c r="L831" i="1"/>
  <c r="N831" i="1" s="1"/>
  <c r="M831" i="1"/>
  <c r="O831" i="1" s="1"/>
  <c r="J832" i="1"/>
  <c r="K832" i="1"/>
  <c r="L832" i="1"/>
  <c r="N832" i="1" s="1"/>
  <c r="M832" i="1"/>
  <c r="O832" i="1" s="1"/>
  <c r="J959" i="1"/>
  <c r="K959" i="1"/>
  <c r="L959" i="1"/>
  <c r="N959" i="1" s="1"/>
  <c r="M959" i="1"/>
  <c r="O959" i="1" s="1"/>
  <c r="J834" i="1"/>
  <c r="K834" i="1"/>
  <c r="L834" i="1"/>
  <c r="N834" i="1" s="1"/>
  <c r="M834" i="1"/>
  <c r="O834" i="1" s="1"/>
  <c r="J835" i="1"/>
  <c r="K835" i="1"/>
  <c r="L835" i="1"/>
  <c r="N835" i="1" s="1"/>
  <c r="M835" i="1"/>
  <c r="O835" i="1" s="1"/>
  <c r="J836" i="1"/>
  <c r="K836" i="1"/>
  <c r="L836" i="1"/>
  <c r="N836" i="1" s="1"/>
  <c r="M836" i="1"/>
  <c r="O836" i="1" s="1"/>
  <c r="J960" i="1"/>
  <c r="K960" i="1"/>
  <c r="L960" i="1"/>
  <c r="N960" i="1" s="1"/>
  <c r="M960" i="1"/>
  <c r="O960" i="1" s="1"/>
  <c r="J838" i="1"/>
  <c r="K838" i="1"/>
  <c r="L838" i="1"/>
  <c r="N838" i="1" s="1"/>
  <c r="M838" i="1"/>
  <c r="O838" i="1" s="1"/>
  <c r="J962" i="1"/>
  <c r="K962" i="1"/>
  <c r="L962" i="1"/>
  <c r="N962" i="1" s="1"/>
  <c r="M962" i="1"/>
  <c r="O962" i="1" s="1"/>
  <c r="J840" i="1"/>
  <c r="K840" i="1"/>
  <c r="L840" i="1"/>
  <c r="N840" i="1" s="1"/>
  <c r="M840" i="1"/>
  <c r="O840" i="1" s="1"/>
  <c r="J841" i="1"/>
  <c r="K841" i="1"/>
  <c r="L841" i="1"/>
  <c r="N841" i="1" s="1"/>
  <c r="M841" i="1"/>
  <c r="O841" i="1" s="1"/>
  <c r="J965" i="1"/>
  <c r="K965" i="1"/>
  <c r="L965" i="1"/>
  <c r="N965" i="1" s="1"/>
  <c r="M965" i="1"/>
  <c r="O965" i="1" s="1"/>
  <c r="J969" i="1"/>
  <c r="K969" i="1"/>
  <c r="L969" i="1"/>
  <c r="N969" i="1" s="1"/>
  <c r="M969" i="1"/>
  <c r="O969" i="1" s="1"/>
  <c r="J844" i="1"/>
  <c r="K844" i="1"/>
  <c r="L844" i="1"/>
  <c r="N844" i="1" s="1"/>
  <c r="M844" i="1"/>
  <c r="O844" i="1" s="1"/>
  <c r="J845" i="1"/>
  <c r="K845" i="1"/>
  <c r="L845" i="1"/>
  <c r="N845" i="1" s="1"/>
  <c r="M845" i="1"/>
  <c r="O845" i="1" s="1"/>
  <c r="J846" i="1"/>
  <c r="K846" i="1"/>
  <c r="L846" i="1"/>
  <c r="N846" i="1" s="1"/>
  <c r="M846" i="1"/>
  <c r="O846" i="1" s="1"/>
  <c r="J847" i="1"/>
  <c r="K847" i="1"/>
  <c r="L847" i="1"/>
  <c r="N847" i="1" s="1"/>
  <c r="M847" i="1"/>
  <c r="O847" i="1" s="1"/>
  <c r="J848" i="1"/>
  <c r="K848" i="1"/>
  <c r="L848" i="1"/>
  <c r="N848" i="1" s="1"/>
  <c r="M848" i="1"/>
  <c r="O848" i="1" s="1"/>
  <c r="J849" i="1"/>
  <c r="K849" i="1"/>
  <c r="L849" i="1"/>
  <c r="N849" i="1" s="1"/>
  <c r="M849" i="1"/>
  <c r="O849" i="1" s="1"/>
  <c r="J850" i="1"/>
  <c r="K850" i="1"/>
  <c r="L850" i="1"/>
  <c r="N850" i="1" s="1"/>
  <c r="M850" i="1"/>
  <c r="O850" i="1" s="1"/>
  <c r="J851" i="1"/>
  <c r="K851" i="1"/>
  <c r="L851" i="1"/>
  <c r="N851" i="1" s="1"/>
  <c r="M851" i="1"/>
  <c r="O851" i="1" s="1"/>
  <c r="J970" i="1"/>
  <c r="K970" i="1"/>
  <c r="L970" i="1"/>
  <c r="N970" i="1" s="1"/>
  <c r="M970" i="1"/>
  <c r="O970" i="1" s="1"/>
  <c r="J853" i="1"/>
  <c r="K853" i="1"/>
  <c r="L853" i="1"/>
  <c r="N853" i="1" s="1"/>
  <c r="M853" i="1"/>
  <c r="O853" i="1" s="1"/>
  <c r="J854" i="1"/>
  <c r="K854" i="1"/>
  <c r="L854" i="1"/>
  <c r="N854" i="1" s="1"/>
  <c r="M854" i="1"/>
  <c r="O854" i="1" s="1"/>
  <c r="J855" i="1"/>
  <c r="K855" i="1"/>
  <c r="L855" i="1"/>
  <c r="N855" i="1" s="1"/>
  <c r="M855" i="1"/>
  <c r="O855" i="1" s="1"/>
  <c r="J856" i="1"/>
  <c r="K856" i="1"/>
  <c r="L856" i="1"/>
  <c r="N856" i="1" s="1"/>
  <c r="M856" i="1"/>
  <c r="O856" i="1" s="1"/>
  <c r="J857" i="1"/>
  <c r="K857" i="1"/>
  <c r="L857" i="1"/>
  <c r="N857" i="1" s="1"/>
  <c r="M857" i="1"/>
  <c r="O857" i="1" s="1"/>
  <c r="J858" i="1"/>
  <c r="K858" i="1"/>
  <c r="L858" i="1"/>
  <c r="N858" i="1" s="1"/>
  <c r="M858" i="1"/>
  <c r="O858" i="1" s="1"/>
  <c r="J859" i="1"/>
  <c r="K859" i="1"/>
  <c r="L859" i="1"/>
  <c r="N859" i="1" s="1"/>
  <c r="M859" i="1"/>
  <c r="O859" i="1" s="1"/>
  <c r="J860" i="1"/>
  <c r="K860" i="1"/>
  <c r="L860" i="1"/>
  <c r="N860" i="1" s="1"/>
  <c r="M860" i="1"/>
  <c r="O860" i="1" s="1"/>
  <c r="J861" i="1"/>
  <c r="K861" i="1"/>
  <c r="L861" i="1"/>
  <c r="N861" i="1" s="1"/>
  <c r="M861" i="1"/>
  <c r="O861" i="1" s="1"/>
  <c r="J862" i="1"/>
  <c r="K862" i="1"/>
  <c r="L862" i="1"/>
  <c r="N862" i="1" s="1"/>
  <c r="M862" i="1"/>
  <c r="O862" i="1" s="1"/>
  <c r="J863" i="1"/>
  <c r="K863" i="1"/>
  <c r="L863" i="1"/>
  <c r="N863" i="1" s="1"/>
  <c r="M863" i="1"/>
  <c r="O863" i="1" s="1"/>
  <c r="J864" i="1"/>
  <c r="K864" i="1"/>
  <c r="L864" i="1"/>
  <c r="N864" i="1" s="1"/>
  <c r="M864" i="1"/>
  <c r="O864" i="1" s="1"/>
  <c r="J972" i="1"/>
  <c r="K972" i="1"/>
  <c r="L972" i="1"/>
  <c r="N972" i="1" s="1"/>
  <c r="M972" i="1"/>
  <c r="O972" i="1" s="1"/>
  <c r="J976" i="1"/>
  <c r="K976" i="1"/>
  <c r="L976" i="1"/>
  <c r="N976" i="1" s="1"/>
  <c r="M976" i="1"/>
  <c r="O976" i="1" s="1"/>
  <c r="J978" i="1"/>
  <c r="K978" i="1"/>
  <c r="L978" i="1"/>
  <c r="N978" i="1" s="1"/>
  <c r="M978" i="1"/>
  <c r="O978" i="1" s="1"/>
  <c r="J868" i="1"/>
  <c r="K868" i="1"/>
  <c r="L868" i="1"/>
  <c r="N868" i="1" s="1"/>
  <c r="M868" i="1"/>
  <c r="O868" i="1" s="1"/>
  <c r="J981" i="1"/>
  <c r="K981" i="1"/>
  <c r="L981" i="1"/>
  <c r="N981" i="1" s="1"/>
  <c r="M981" i="1"/>
  <c r="O981" i="1" s="1"/>
  <c r="J983" i="1"/>
  <c r="K983" i="1"/>
  <c r="L983" i="1"/>
  <c r="N983" i="1" s="1"/>
  <c r="M983" i="1"/>
  <c r="O983" i="1" s="1"/>
  <c r="J984" i="1"/>
  <c r="K984" i="1"/>
  <c r="L984" i="1"/>
  <c r="N984" i="1" s="1"/>
  <c r="M984" i="1"/>
  <c r="O984" i="1" s="1"/>
  <c r="J989" i="1"/>
  <c r="K989" i="1"/>
  <c r="L989" i="1"/>
  <c r="N989" i="1" s="1"/>
  <c r="M989" i="1"/>
  <c r="O989" i="1" s="1"/>
  <c r="J990" i="1"/>
  <c r="K990" i="1"/>
  <c r="L990" i="1"/>
  <c r="N990" i="1" s="1"/>
  <c r="M990" i="1"/>
  <c r="O990" i="1" s="1"/>
  <c r="J991" i="1"/>
  <c r="K991" i="1"/>
  <c r="L991" i="1"/>
  <c r="N991" i="1" s="1"/>
  <c r="M991" i="1"/>
  <c r="O991" i="1" s="1"/>
  <c r="J1000" i="1"/>
  <c r="K1000" i="1"/>
  <c r="L1000" i="1"/>
  <c r="N1000" i="1" s="1"/>
  <c r="M1000" i="1"/>
  <c r="O1000" i="1" s="1"/>
  <c r="J1012" i="1"/>
  <c r="K1012" i="1"/>
  <c r="L1012" i="1"/>
  <c r="N1012" i="1" s="1"/>
  <c r="M1012" i="1"/>
  <c r="O1012" i="1" s="1"/>
  <c r="J877" i="1"/>
  <c r="K877" i="1"/>
  <c r="L877" i="1"/>
  <c r="N877" i="1" s="1"/>
  <c r="M877" i="1"/>
  <c r="O877" i="1" s="1"/>
  <c r="J878" i="1"/>
  <c r="K878" i="1"/>
  <c r="L878" i="1"/>
  <c r="N878" i="1" s="1"/>
  <c r="M878" i="1"/>
  <c r="O878" i="1" s="1"/>
  <c r="J1020" i="1"/>
  <c r="K1020" i="1"/>
  <c r="L1020" i="1"/>
  <c r="N1020" i="1" s="1"/>
  <c r="M1020" i="1"/>
  <c r="O1020" i="1" s="1"/>
  <c r="J880" i="1"/>
  <c r="K880" i="1"/>
  <c r="L880" i="1"/>
  <c r="N880" i="1" s="1"/>
  <c r="M880" i="1"/>
  <c r="O880" i="1" s="1"/>
  <c r="J881" i="1"/>
  <c r="K881" i="1"/>
  <c r="L881" i="1"/>
  <c r="N881" i="1" s="1"/>
  <c r="M881" i="1"/>
  <c r="O881" i="1" s="1"/>
  <c r="J882" i="1"/>
  <c r="K882" i="1"/>
  <c r="L882" i="1"/>
  <c r="N882" i="1" s="1"/>
  <c r="M882" i="1"/>
  <c r="O882" i="1" s="1"/>
  <c r="J1024" i="1"/>
  <c r="K1024" i="1"/>
  <c r="L1024" i="1"/>
  <c r="N1024" i="1" s="1"/>
  <c r="M1024" i="1"/>
  <c r="O1024" i="1" s="1"/>
  <c r="J884" i="1"/>
  <c r="K884" i="1"/>
  <c r="L884" i="1"/>
  <c r="N884" i="1" s="1"/>
  <c r="M884" i="1"/>
  <c r="O884" i="1" s="1"/>
  <c r="J1033" i="1"/>
  <c r="K1033" i="1"/>
  <c r="L1033" i="1"/>
  <c r="N1033" i="1" s="1"/>
  <c r="M1033" i="1"/>
  <c r="O1033" i="1" s="1"/>
  <c r="J1037" i="1"/>
  <c r="K1037" i="1"/>
  <c r="L1037" i="1"/>
  <c r="N1037" i="1" s="1"/>
  <c r="M1037" i="1"/>
  <c r="O1037" i="1" s="1"/>
  <c r="J887" i="1"/>
  <c r="K887" i="1"/>
  <c r="L887" i="1"/>
  <c r="N887" i="1" s="1"/>
  <c r="M887" i="1"/>
  <c r="O887" i="1" s="1"/>
  <c r="J888" i="1"/>
  <c r="K888" i="1"/>
  <c r="L888" i="1"/>
  <c r="N888" i="1" s="1"/>
  <c r="M888" i="1"/>
  <c r="O888" i="1" s="1"/>
  <c r="J1039" i="1"/>
  <c r="K1039" i="1"/>
  <c r="L1039" i="1"/>
  <c r="N1039" i="1" s="1"/>
  <c r="M1039" i="1"/>
  <c r="O1039" i="1" s="1"/>
  <c r="J890" i="1"/>
  <c r="K890" i="1"/>
  <c r="L890" i="1"/>
  <c r="N890" i="1" s="1"/>
  <c r="M890" i="1"/>
  <c r="O890" i="1" s="1"/>
  <c r="J1040" i="1"/>
  <c r="K1040" i="1"/>
  <c r="L1040" i="1"/>
  <c r="N1040" i="1" s="1"/>
  <c r="M1040" i="1"/>
  <c r="O1040" i="1" s="1"/>
  <c r="J1041" i="1"/>
  <c r="K1041" i="1"/>
  <c r="L1041" i="1"/>
  <c r="N1041" i="1" s="1"/>
  <c r="M1041" i="1"/>
  <c r="O1041" i="1" s="1"/>
  <c r="J893" i="1"/>
  <c r="K893" i="1"/>
  <c r="L893" i="1"/>
  <c r="N893" i="1" s="1"/>
  <c r="M893" i="1"/>
  <c r="O893" i="1" s="1"/>
  <c r="J895" i="1"/>
  <c r="K895" i="1"/>
  <c r="L895" i="1"/>
  <c r="N895" i="1" s="1"/>
  <c r="M895" i="1"/>
  <c r="O895" i="1" s="1"/>
  <c r="J1042" i="1"/>
  <c r="K1042" i="1"/>
  <c r="L1042" i="1"/>
  <c r="N1042" i="1" s="1"/>
  <c r="M1042" i="1"/>
  <c r="O1042" i="1" s="1"/>
  <c r="J898" i="1"/>
  <c r="K898" i="1"/>
  <c r="L898" i="1"/>
  <c r="N898" i="1" s="1"/>
  <c r="M898" i="1"/>
  <c r="O898" i="1" s="1"/>
  <c r="J899" i="1"/>
  <c r="K899" i="1"/>
  <c r="L899" i="1"/>
  <c r="N899" i="1" s="1"/>
  <c r="M899" i="1"/>
  <c r="O899" i="1" s="1"/>
  <c r="J900" i="1"/>
  <c r="K900" i="1"/>
  <c r="L900" i="1"/>
  <c r="N900" i="1" s="1"/>
  <c r="M900" i="1"/>
  <c r="O900" i="1" s="1"/>
  <c r="J901" i="1"/>
  <c r="K901" i="1"/>
  <c r="L901" i="1"/>
  <c r="N901" i="1" s="1"/>
  <c r="M901" i="1"/>
  <c r="O901" i="1" s="1"/>
  <c r="J902" i="1"/>
  <c r="K902" i="1"/>
  <c r="L902" i="1"/>
  <c r="N902" i="1" s="1"/>
  <c r="M902" i="1"/>
  <c r="O902" i="1" s="1"/>
  <c r="J903" i="1"/>
  <c r="K903" i="1"/>
  <c r="L903" i="1"/>
  <c r="N903" i="1" s="1"/>
  <c r="M903" i="1"/>
  <c r="O903" i="1" s="1"/>
  <c r="J904" i="1"/>
  <c r="K904" i="1"/>
  <c r="L904" i="1"/>
  <c r="N904" i="1" s="1"/>
  <c r="M904" i="1"/>
  <c r="O904" i="1" s="1"/>
  <c r="J1043" i="1"/>
  <c r="K1043" i="1"/>
  <c r="L1043" i="1"/>
  <c r="N1043" i="1" s="1"/>
  <c r="M1043" i="1"/>
  <c r="O1043" i="1" s="1"/>
  <c r="J906" i="1"/>
  <c r="K906" i="1"/>
  <c r="L906" i="1"/>
  <c r="N906" i="1" s="1"/>
  <c r="M906" i="1"/>
  <c r="O906" i="1" s="1"/>
  <c r="J1044" i="1"/>
  <c r="K1044" i="1"/>
  <c r="L1044" i="1"/>
  <c r="N1044" i="1" s="1"/>
  <c r="M1044" i="1"/>
  <c r="O1044" i="1" s="1"/>
  <c r="J1046" i="1"/>
  <c r="K1046" i="1"/>
  <c r="L1046" i="1"/>
  <c r="N1046" i="1" s="1"/>
  <c r="M1046" i="1"/>
  <c r="O1046" i="1" s="1"/>
  <c r="J909" i="1"/>
  <c r="K909" i="1"/>
  <c r="L909" i="1"/>
  <c r="N909" i="1" s="1"/>
  <c r="M909" i="1"/>
  <c r="O909" i="1" s="1"/>
  <c r="J910" i="1"/>
  <c r="K910" i="1"/>
  <c r="L910" i="1"/>
  <c r="N910" i="1" s="1"/>
  <c r="M910" i="1"/>
  <c r="O910" i="1" s="1"/>
  <c r="J911" i="1"/>
  <c r="K911" i="1"/>
  <c r="L911" i="1"/>
  <c r="N911" i="1" s="1"/>
  <c r="M911" i="1"/>
  <c r="O911" i="1" s="1"/>
  <c r="J1049" i="1"/>
  <c r="K1049" i="1"/>
  <c r="L1049" i="1"/>
  <c r="N1049" i="1" s="1"/>
  <c r="M1049" i="1"/>
  <c r="O1049" i="1" s="1"/>
  <c r="J913" i="1"/>
  <c r="K913" i="1"/>
  <c r="L913" i="1"/>
  <c r="N913" i="1" s="1"/>
  <c r="M913" i="1"/>
  <c r="O913" i="1" s="1"/>
  <c r="J914" i="1"/>
  <c r="K914" i="1"/>
  <c r="L914" i="1"/>
  <c r="N914" i="1" s="1"/>
  <c r="M914" i="1"/>
  <c r="O914" i="1" s="1"/>
  <c r="J915" i="1"/>
  <c r="K915" i="1"/>
  <c r="L915" i="1"/>
  <c r="N915" i="1" s="1"/>
  <c r="M915" i="1"/>
  <c r="O915" i="1" s="1"/>
  <c r="J916" i="1"/>
  <c r="K916" i="1"/>
  <c r="L916" i="1"/>
  <c r="N916" i="1" s="1"/>
  <c r="M916" i="1"/>
  <c r="O916" i="1" s="1"/>
  <c r="J917" i="1"/>
  <c r="K917" i="1"/>
  <c r="L917" i="1"/>
  <c r="N917" i="1" s="1"/>
  <c r="M917" i="1"/>
  <c r="O917" i="1" s="1"/>
  <c r="J1053" i="1"/>
  <c r="K1053" i="1"/>
  <c r="L1053" i="1"/>
  <c r="N1053" i="1" s="1"/>
  <c r="M1053" i="1"/>
  <c r="O1053" i="1" s="1"/>
  <c r="J1054" i="1"/>
  <c r="K1054" i="1"/>
  <c r="L1054" i="1"/>
  <c r="N1054" i="1" s="1"/>
  <c r="M1054" i="1"/>
  <c r="O1054" i="1" s="1"/>
  <c r="J1055" i="1"/>
  <c r="K1055" i="1"/>
  <c r="L1055" i="1"/>
  <c r="N1055" i="1" s="1"/>
  <c r="M1055" i="1"/>
  <c r="O1055" i="1" s="1"/>
  <c r="J1056" i="1"/>
  <c r="K1056" i="1"/>
  <c r="L1056" i="1"/>
  <c r="N1056" i="1" s="1"/>
  <c r="M1056" i="1"/>
  <c r="O1056" i="1" s="1"/>
  <c r="J1059" i="1"/>
  <c r="K1059" i="1"/>
  <c r="L1059" i="1"/>
  <c r="N1059" i="1" s="1"/>
  <c r="M1059" i="1"/>
  <c r="O1059" i="1" s="1"/>
  <c r="J923" i="1"/>
  <c r="K923" i="1"/>
  <c r="L923" i="1"/>
  <c r="N923" i="1" s="1"/>
  <c r="M923" i="1"/>
  <c r="O923" i="1" s="1"/>
  <c r="J924" i="1"/>
  <c r="K924" i="1"/>
  <c r="L924" i="1"/>
  <c r="N924" i="1" s="1"/>
  <c r="M924" i="1"/>
  <c r="O924" i="1" s="1"/>
  <c r="J1064" i="1"/>
  <c r="K1064" i="1"/>
  <c r="L1064" i="1"/>
  <c r="N1064" i="1" s="1"/>
  <c r="M1064" i="1"/>
  <c r="O1064" i="1" s="1"/>
  <c r="J926" i="1"/>
  <c r="K926" i="1"/>
  <c r="L926" i="1"/>
  <c r="N926" i="1" s="1"/>
  <c r="M926" i="1"/>
  <c r="O926" i="1" s="1"/>
  <c r="J927" i="1"/>
  <c r="K927" i="1"/>
  <c r="L927" i="1"/>
  <c r="N927" i="1" s="1"/>
  <c r="M927" i="1"/>
  <c r="O927" i="1" s="1"/>
  <c r="J928" i="1"/>
  <c r="K928" i="1"/>
  <c r="L928" i="1"/>
  <c r="N928" i="1" s="1"/>
  <c r="M928" i="1"/>
  <c r="O928" i="1" s="1"/>
  <c r="J1065" i="1"/>
  <c r="K1065" i="1"/>
  <c r="L1065" i="1"/>
  <c r="N1065" i="1" s="1"/>
  <c r="M1065" i="1"/>
  <c r="O1065" i="1" s="1"/>
  <c r="J1071" i="1"/>
  <c r="K1071" i="1"/>
  <c r="L1071" i="1"/>
  <c r="N1071" i="1" s="1"/>
  <c r="M1071" i="1"/>
  <c r="O1071" i="1" s="1"/>
  <c r="J1074" i="1"/>
  <c r="K1074" i="1"/>
  <c r="L1074" i="1"/>
  <c r="N1074" i="1" s="1"/>
  <c r="M1074" i="1"/>
  <c r="O1074" i="1" s="1"/>
  <c r="J1081" i="1"/>
  <c r="K1081" i="1"/>
  <c r="L1081" i="1"/>
  <c r="N1081" i="1" s="1"/>
  <c r="M1081" i="1"/>
  <c r="O1081" i="1" s="1"/>
  <c r="J1086" i="1"/>
  <c r="K1086" i="1"/>
  <c r="L1086" i="1"/>
  <c r="N1086" i="1" s="1"/>
  <c r="M1086" i="1"/>
  <c r="O1086" i="1" s="1"/>
  <c r="J934" i="1"/>
  <c r="K934" i="1"/>
  <c r="L934" i="1"/>
  <c r="N934" i="1" s="1"/>
  <c r="M934" i="1"/>
  <c r="O934" i="1" s="1"/>
  <c r="J1087" i="1"/>
  <c r="K1087" i="1"/>
  <c r="L1087" i="1"/>
  <c r="N1087" i="1" s="1"/>
  <c r="M1087" i="1"/>
  <c r="O1087" i="1" s="1"/>
  <c r="J936" i="1"/>
  <c r="K936" i="1"/>
  <c r="L936" i="1"/>
  <c r="N936" i="1" s="1"/>
  <c r="M936" i="1"/>
  <c r="O936" i="1" s="1"/>
  <c r="J937" i="1"/>
  <c r="K937" i="1"/>
  <c r="L937" i="1"/>
  <c r="N937" i="1" s="1"/>
  <c r="M937" i="1"/>
  <c r="O937" i="1" s="1"/>
  <c r="J938" i="1"/>
  <c r="K938" i="1"/>
  <c r="L938" i="1"/>
  <c r="N938" i="1" s="1"/>
  <c r="M938" i="1"/>
  <c r="O938" i="1" s="1"/>
  <c r="J939" i="1"/>
  <c r="K939" i="1"/>
  <c r="L939" i="1"/>
  <c r="N939" i="1" s="1"/>
  <c r="M939" i="1"/>
  <c r="O939" i="1" s="1"/>
  <c r="J940" i="1"/>
  <c r="K940" i="1"/>
  <c r="L940" i="1"/>
  <c r="N940" i="1" s="1"/>
  <c r="M940" i="1"/>
  <c r="O940" i="1" s="1"/>
  <c r="J941" i="1"/>
  <c r="K941" i="1"/>
  <c r="L941" i="1"/>
  <c r="N941" i="1" s="1"/>
  <c r="M941" i="1"/>
  <c r="O941" i="1" s="1"/>
  <c r="J1088" i="1"/>
  <c r="K1088" i="1"/>
  <c r="L1088" i="1"/>
  <c r="N1088" i="1" s="1"/>
  <c r="M1088" i="1"/>
  <c r="O1088" i="1" s="1"/>
  <c r="J96" i="1"/>
  <c r="K96" i="1"/>
  <c r="L96" i="1"/>
  <c r="N96" i="1" s="1"/>
  <c r="M96" i="1"/>
  <c r="O96" i="1" s="1"/>
  <c r="J46" i="1"/>
  <c r="K46" i="1"/>
  <c r="L46" i="1"/>
  <c r="N46" i="1" s="1"/>
  <c r="M46" i="1"/>
  <c r="O46" i="1" s="1"/>
  <c r="J1089" i="1"/>
  <c r="K1089" i="1"/>
  <c r="L1089" i="1"/>
  <c r="N1089" i="1" s="1"/>
  <c r="M1089" i="1"/>
  <c r="O1089" i="1" s="1"/>
  <c r="J946" i="1"/>
  <c r="K946" i="1"/>
  <c r="L946" i="1"/>
  <c r="N946" i="1" s="1"/>
  <c r="M946" i="1"/>
  <c r="O946" i="1" s="1"/>
  <c r="J1090" i="1"/>
  <c r="K1090" i="1"/>
  <c r="L1090" i="1"/>
  <c r="N1090" i="1" s="1"/>
  <c r="M1090" i="1"/>
  <c r="O1090" i="1" s="1"/>
  <c r="J1091" i="1"/>
  <c r="K1091" i="1"/>
  <c r="L1091" i="1"/>
  <c r="N1091" i="1" s="1"/>
  <c r="M1091" i="1"/>
  <c r="O1091" i="1" s="1"/>
  <c r="J1092" i="1"/>
  <c r="K1092" i="1"/>
  <c r="L1092" i="1"/>
  <c r="N1092" i="1" s="1"/>
  <c r="M1092" i="1"/>
  <c r="O1092" i="1" s="1"/>
  <c r="J950" i="1"/>
  <c r="K950" i="1"/>
  <c r="L950" i="1"/>
  <c r="N950" i="1" s="1"/>
  <c r="M950" i="1"/>
  <c r="O950" i="1" s="1"/>
  <c r="J1093" i="1"/>
  <c r="K1093" i="1"/>
  <c r="L1093" i="1"/>
  <c r="N1093" i="1" s="1"/>
  <c r="M1093" i="1"/>
  <c r="O1093" i="1" s="1"/>
  <c r="J954" i="1"/>
  <c r="K954" i="1"/>
  <c r="L954" i="1"/>
  <c r="N954" i="1" s="1"/>
  <c r="M954" i="1"/>
  <c r="O954" i="1" s="1"/>
  <c r="J1095" i="1"/>
  <c r="K1095" i="1"/>
  <c r="L1095" i="1"/>
  <c r="N1095" i="1" s="1"/>
  <c r="M1095" i="1"/>
  <c r="O1095" i="1" s="1"/>
  <c r="J1096" i="1"/>
  <c r="K1096" i="1"/>
  <c r="L1096" i="1"/>
  <c r="N1096" i="1" s="1"/>
  <c r="M1096" i="1"/>
  <c r="O1096" i="1" s="1"/>
  <c r="J1098" i="1"/>
  <c r="K1098" i="1"/>
  <c r="L1098" i="1"/>
  <c r="N1098" i="1" s="1"/>
  <c r="M1098" i="1"/>
  <c r="O1098" i="1" s="1"/>
  <c r="J1099" i="1"/>
  <c r="K1099" i="1"/>
  <c r="L1099" i="1"/>
  <c r="N1099" i="1" s="1"/>
  <c r="M1099" i="1"/>
  <c r="O1099" i="1" s="1"/>
  <c r="J1109" i="1"/>
  <c r="K1109" i="1"/>
  <c r="L1109" i="1"/>
  <c r="N1109" i="1" s="1"/>
  <c r="M1109" i="1"/>
  <c r="O1109" i="1" s="1"/>
  <c r="J1112" i="1"/>
  <c r="K1112" i="1"/>
  <c r="L1112" i="1"/>
  <c r="N1112" i="1" s="1"/>
  <c r="M1112" i="1"/>
  <c r="O1112" i="1" s="1"/>
  <c r="J961" i="1"/>
  <c r="K961" i="1"/>
  <c r="L961" i="1"/>
  <c r="N961" i="1" s="1"/>
  <c r="M961" i="1"/>
  <c r="O961" i="1" s="1"/>
  <c r="J1113" i="1"/>
  <c r="K1113" i="1"/>
  <c r="L1113" i="1"/>
  <c r="N1113" i="1" s="1"/>
  <c r="M1113" i="1"/>
  <c r="O1113" i="1" s="1"/>
  <c r="J963" i="1"/>
  <c r="K963" i="1"/>
  <c r="L963" i="1"/>
  <c r="N963" i="1" s="1"/>
  <c r="M963" i="1"/>
  <c r="O963" i="1" s="1"/>
  <c r="J964" i="1"/>
  <c r="K964" i="1"/>
  <c r="L964" i="1"/>
  <c r="N964" i="1" s="1"/>
  <c r="M964" i="1"/>
  <c r="O964" i="1" s="1"/>
  <c r="J1114" i="1"/>
  <c r="K1114" i="1"/>
  <c r="L1114" i="1"/>
  <c r="N1114" i="1" s="1"/>
  <c r="M1114" i="1"/>
  <c r="O1114" i="1" s="1"/>
  <c r="J966" i="1"/>
  <c r="K966" i="1"/>
  <c r="L966" i="1"/>
  <c r="N966" i="1" s="1"/>
  <c r="M966" i="1"/>
  <c r="O966" i="1" s="1"/>
  <c r="J967" i="1"/>
  <c r="K967" i="1"/>
  <c r="L967" i="1"/>
  <c r="N967" i="1" s="1"/>
  <c r="M967" i="1"/>
  <c r="O967" i="1" s="1"/>
  <c r="J968" i="1"/>
  <c r="K968" i="1"/>
  <c r="L968" i="1"/>
  <c r="N968" i="1" s="1"/>
  <c r="M968" i="1"/>
  <c r="O968" i="1" s="1"/>
  <c r="J1115" i="1"/>
  <c r="K1115" i="1"/>
  <c r="L1115" i="1"/>
  <c r="N1115" i="1" s="1"/>
  <c r="M1115" i="1"/>
  <c r="O1115" i="1" s="1"/>
  <c r="J1116" i="1"/>
  <c r="K1116" i="1"/>
  <c r="L1116" i="1"/>
  <c r="N1116" i="1" s="1"/>
  <c r="M1116" i="1"/>
  <c r="O1116" i="1" s="1"/>
  <c r="J971" i="1"/>
  <c r="K971" i="1"/>
  <c r="L971" i="1"/>
  <c r="N971" i="1" s="1"/>
  <c r="M971" i="1"/>
  <c r="O971" i="1" s="1"/>
  <c r="J1119" i="1"/>
  <c r="K1119" i="1"/>
  <c r="L1119" i="1"/>
  <c r="N1119" i="1" s="1"/>
  <c r="M1119" i="1"/>
  <c r="O1119" i="1" s="1"/>
  <c r="J973" i="1"/>
  <c r="K973" i="1"/>
  <c r="L973" i="1"/>
  <c r="N973" i="1" s="1"/>
  <c r="M973" i="1"/>
  <c r="O973" i="1" s="1"/>
  <c r="J974" i="1"/>
  <c r="K974" i="1"/>
  <c r="L974" i="1"/>
  <c r="N974" i="1" s="1"/>
  <c r="M974" i="1"/>
  <c r="O974" i="1" s="1"/>
  <c r="J975" i="1"/>
  <c r="K975" i="1"/>
  <c r="L975" i="1"/>
  <c r="N975" i="1" s="1"/>
  <c r="M975" i="1"/>
  <c r="O975" i="1" s="1"/>
  <c r="J1120" i="1"/>
  <c r="K1120" i="1"/>
  <c r="L1120" i="1"/>
  <c r="N1120" i="1" s="1"/>
  <c r="M1120" i="1"/>
  <c r="O1120" i="1" s="1"/>
  <c r="J977" i="1"/>
  <c r="K977" i="1"/>
  <c r="L977" i="1"/>
  <c r="N977" i="1" s="1"/>
  <c r="M977" i="1"/>
  <c r="O977" i="1" s="1"/>
  <c r="J979" i="1"/>
  <c r="K979" i="1"/>
  <c r="L979" i="1"/>
  <c r="N979" i="1" s="1"/>
  <c r="M979" i="1"/>
  <c r="O979" i="1" s="1"/>
  <c r="J980" i="1"/>
  <c r="K980" i="1"/>
  <c r="L980" i="1"/>
  <c r="N980" i="1" s="1"/>
  <c r="M980" i="1"/>
  <c r="O980" i="1" s="1"/>
  <c r="J1122" i="1"/>
  <c r="K1122" i="1"/>
  <c r="L1122" i="1"/>
  <c r="N1122" i="1" s="1"/>
  <c r="M1122" i="1"/>
  <c r="O1122" i="1" s="1"/>
  <c r="J982" i="1"/>
  <c r="K982" i="1"/>
  <c r="L982" i="1"/>
  <c r="N982" i="1" s="1"/>
  <c r="M982" i="1"/>
  <c r="O982" i="1" s="1"/>
  <c r="J1123" i="1"/>
  <c r="K1123" i="1"/>
  <c r="L1123" i="1"/>
  <c r="N1123" i="1" s="1"/>
  <c r="M1123" i="1"/>
  <c r="O1123" i="1" s="1"/>
  <c r="J1127" i="1"/>
  <c r="K1127" i="1"/>
  <c r="L1127" i="1"/>
  <c r="N1127" i="1" s="1"/>
  <c r="M1127" i="1"/>
  <c r="O1127" i="1" s="1"/>
  <c r="J985" i="1"/>
  <c r="K985" i="1"/>
  <c r="L985" i="1"/>
  <c r="N985" i="1" s="1"/>
  <c r="M985" i="1"/>
  <c r="O985" i="1" s="1"/>
  <c r="J986" i="1"/>
  <c r="K986" i="1"/>
  <c r="L986" i="1"/>
  <c r="N986" i="1" s="1"/>
  <c r="M986" i="1"/>
  <c r="O986" i="1" s="1"/>
  <c r="J987" i="1"/>
  <c r="K987" i="1"/>
  <c r="L987" i="1"/>
  <c r="N987" i="1" s="1"/>
  <c r="M987" i="1"/>
  <c r="O987" i="1" s="1"/>
  <c r="J988" i="1"/>
  <c r="K988" i="1"/>
  <c r="L988" i="1"/>
  <c r="N988" i="1" s="1"/>
  <c r="M988" i="1"/>
  <c r="O988" i="1" s="1"/>
  <c r="J1128" i="1"/>
  <c r="K1128" i="1"/>
  <c r="L1128" i="1"/>
  <c r="N1128" i="1" s="1"/>
  <c r="M1128" i="1"/>
  <c r="O1128" i="1" s="1"/>
  <c r="J1129" i="1"/>
  <c r="K1129" i="1"/>
  <c r="L1129" i="1"/>
  <c r="N1129" i="1" s="1"/>
  <c r="M1129" i="1"/>
  <c r="O1129" i="1" s="1"/>
  <c r="J1131" i="1"/>
  <c r="K1131" i="1"/>
  <c r="L1131" i="1"/>
  <c r="N1131" i="1" s="1"/>
  <c r="M1131" i="1"/>
  <c r="O1131" i="1" s="1"/>
  <c r="J992" i="1"/>
  <c r="K992" i="1"/>
  <c r="L992" i="1"/>
  <c r="N992" i="1" s="1"/>
  <c r="M992" i="1"/>
  <c r="O992" i="1" s="1"/>
  <c r="J993" i="1"/>
  <c r="K993" i="1"/>
  <c r="L993" i="1"/>
  <c r="N993" i="1" s="1"/>
  <c r="M993" i="1"/>
  <c r="O993" i="1" s="1"/>
  <c r="J994" i="1"/>
  <c r="K994" i="1"/>
  <c r="L994" i="1"/>
  <c r="N994" i="1" s="1"/>
  <c r="M994" i="1"/>
  <c r="O994" i="1" s="1"/>
  <c r="J995" i="1"/>
  <c r="K995" i="1"/>
  <c r="L995" i="1"/>
  <c r="N995" i="1" s="1"/>
  <c r="M995" i="1"/>
  <c r="O995" i="1" s="1"/>
  <c r="J996" i="1"/>
  <c r="K996" i="1"/>
  <c r="L996" i="1"/>
  <c r="N996" i="1" s="1"/>
  <c r="M996" i="1"/>
  <c r="O996" i="1" s="1"/>
  <c r="J997" i="1"/>
  <c r="K997" i="1"/>
  <c r="L997" i="1"/>
  <c r="N997" i="1" s="1"/>
  <c r="M997" i="1"/>
  <c r="O997" i="1" s="1"/>
  <c r="J998" i="1"/>
  <c r="K998" i="1"/>
  <c r="L998" i="1"/>
  <c r="N998" i="1" s="1"/>
  <c r="M998" i="1"/>
  <c r="O998" i="1" s="1"/>
  <c r="J999" i="1"/>
  <c r="K999" i="1"/>
  <c r="L999" i="1"/>
  <c r="N999" i="1" s="1"/>
  <c r="M999" i="1"/>
  <c r="O999" i="1" s="1"/>
  <c r="J1132" i="1"/>
  <c r="K1132" i="1"/>
  <c r="L1132" i="1"/>
  <c r="N1132" i="1" s="1"/>
  <c r="M1132" i="1"/>
  <c r="O1132" i="1" s="1"/>
  <c r="J1001" i="1"/>
  <c r="K1001" i="1"/>
  <c r="L1001" i="1"/>
  <c r="N1001" i="1" s="1"/>
  <c r="M1001" i="1"/>
  <c r="O1001" i="1" s="1"/>
  <c r="J1002" i="1"/>
  <c r="K1002" i="1"/>
  <c r="L1002" i="1"/>
  <c r="N1002" i="1" s="1"/>
  <c r="M1002" i="1"/>
  <c r="O1002" i="1" s="1"/>
  <c r="J1003" i="1"/>
  <c r="K1003" i="1"/>
  <c r="L1003" i="1"/>
  <c r="N1003" i="1" s="1"/>
  <c r="M1003" i="1"/>
  <c r="O1003" i="1" s="1"/>
  <c r="J1004" i="1"/>
  <c r="K1004" i="1"/>
  <c r="L1004" i="1"/>
  <c r="N1004" i="1" s="1"/>
  <c r="M1004" i="1"/>
  <c r="O1004" i="1" s="1"/>
  <c r="J1005" i="1"/>
  <c r="K1005" i="1"/>
  <c r="L1005" i="1"/>
  <c r="N1005" i="1" s="1"/>
  <c r="M1005" i="1"/>
  <c r="O1005" i="1" s="1"/>
  <c r="J1006" i="1"/>
  <c r="K1006" i="1"/>
  <c r="L1006" i="1"/>
  <c r="N1006" i="1" s="1"/>
  <c r="M1006" i="1"/>
  <c r="O1006" i="1" s="1"/>
  <c r="J1007" i="1"/>
  <c r="K1007" i="1"/>
  <c r="L1007" i="1"/>
  <c r="N1007" i="1" s="1"/>
  <c r="M1007" i="1"/>
  <c r="O1007" i="1" s="1"/>
  <c r="J1008" i="1"/>
  <c r="K1008" i="1"/>
  <c r="L1008" i="1"/>
  <c r="N1008" i="1" s="1"/>
  <c r="M1008" i="1"/>
  <c r="O1008" i="1" s="1"/>
  <c r="J1009" i="1"/>
  <c r="K1009" i="1"/>
  <c r="L1009" i="1"/>
  <c r="N1009" i="1" s="1"/>
  <c r="M1009" i="1"/>
  <c r="O1009" i="1" s="1"/>
  <c r="J1010" i="1"/>
  <c r="K1010" i="1"/>
  <c r="L1010" i="1"/>
  <c r="N1010" i="1" s="1"/>
  <c r="M1010" i="1"/>
  <c r="O1010" i="1" s="1"/>
  <c r="J1011" i="1"/>
  <c r="K1011" i="1"/>
  <c r="L1011" i="1"/>
  <c r="N1011" i="1" s="1"/>
  <c r="M1011" i="1"/>
  <c r="O1011" i="1" s="1"/>
  <c r="J1133" i="1"/>
  <c r="K1133" i="1"/>
  <c r="L1133" i="1"/>
  <c r="N1133" i="1" s="1"/>
  <c r="M1133" i="1"/>
  <c r="O1133" i="1" s="1"/>
  <c r="J1013" i="1"/>
  <c r="K1013" i="1"/>
  <c r="L1013" i="1"/>
  <c r="N1013" i="1" s="1"/>
  <c r="M1013" i="1"/>
  <c r="O1013" i="1" s="1"/>
  <c r="J1014" i="1"/>
  <c r="K1014" i="1"/>
  <c r="L1014" i="1"/>
  <c r="N1014" i="1" s="1"/>
  <c r="M1014" i="1"/>
  <c r="O1014" i="1" s="1"/>
  <c r="J1015" i="1"/>
  <c r="K1015" i="1"/>
  <c r="L1015" i="1"/>
  <c r="N1015" i="1" s="1"/>
  <c r="M1015" i="1"/>
  <c r="O1015" i="1" s="1"/>
  <c r="J1016" i="1"/>
  <c r="K1016" i="1"/>
  <c r="L1016" i="1"/>
  <c r="N1016" i="1" s="1"/>
  <c r="M1016" i="1"/>
  <c r="O1016" i="1" s="1"/>
  <c r="J1017" i="1"/>
  <c r="K1017" i="1"/>
  <c r="L1017" i="1"/>
  <c r="N1017" i="1" s="1"/>
  <c r="M1017" i="1"/>
  <c r="O1017" i="1" s="1"/>
  <c r="J1018" i="1"/>
  <c r="K1018" i="1"/>
  <c r="L1018" i="1"/>
  <c r="N1018" i="1" s="1"/>
  <c r="M1018" i="1"/>
  <c r="O1018" i="1" s="1"/>
  <c r="J1019" i="1"/>
  <c r="K1019" i="1"/>
  <c r="L1019" i="1"/>
  <c r="N1019" i="1" s="1"/>
  <c r="M1019" i="1"/>
  <c r="O1019" i="1" s="1"/>
  <c r="J1134" i="1"/>
  <c r="K1134" i="1"/>
  <c r="L1134" i="1"/>
  <c r="N1134" i="1" s="1"/>
  <c r="M1134" i="1"/>
  <c r="O1134" i="1" s="1"/>
  <c r="J1021" i="1"/>
  <c r="K1021" i="1"/>
  <c r="L1021" i="1"/>
  <c r="N1021" i="1" s="1"/>
  <c r="M1021" i="1"/>
  <c r="O1021" i="1" s="1"/>
  <c r="J1022" i="1"/>
  <c r="K1022" i="1"/>
  <c r="L1022" i="1"/>
  <c r="N1022" i="1" s="1"/>
  <c r="M1022" i="1"/>
  <c r="O1022" i="1" s="1"/>
  <c r="J1023" i="1"/>
  <c r="K1023" i="1"/>
  <c r="L1023" i="1"/>
  <c r="N1023" i="1" s="1"/>
  <c r="M1023" i="1"/>
  <c r="O1023" i="1" s="1"/>
  <c r="J1135" i="1"/>
  <c r="K1135" i="1"/>
  <c r="L1135" i="1"/>
  <c r="N1135" i="1" s="1"/>
  <c r="M1135" i="1"/>
  <c r="O1135" i="1" s="1"/>
  <c r="J1025" i="1"/>
  <c r="K1025" i="1"/>
  <c r="L1025" i="1"/>
  <c r="N1025" i="1" s="1"/>
  <c r="M1025" i="1"/>
  <c r="O1025" i="1" s="1"/>
  <c r="J1026" i="1"/>
  <c r="K1026" i="1"/>
  <c r="L1026" i="1"/>
  <c r="N1026" i="1" s="1"/>
  <c r="M1026" i="1"/>
  <c r="O1026" i="1" s="1"/>
  <c r="J1027" i="1"/>
  <c r="K1027" i="1"/>
  <c r="L1027" i="1"/>
  <c r="N1027" i="1" s="1"/>
  <c r="M1027" i="1"/>
  <c r="O1027" i="1" s="1"/>
  <c r="J1028" i="1"/>
  <c r="K1028" i="1"/>
  <c r="L1028" i="1"/>
  <c r="N1028" i="1" s="1"/>
  <c r="M1028" i="1"/>
  <c r="O1028" i="1" s="1"/>
  <c r="J1029" i="1"/>
  <c r="K1029" i="1"/>
  <c r="L1029" i="1"/>
  <c r="N1029" i="1" s="1"/>
  <c r="M1029" i="1"/>
  <c r="O1029" i="1" s="1"/>
  <c r="J1030" i="1"/>
  <c r="K1030" i="1"/>
  <c r="L1030" i="1"/>
  <c r="N1030" i="1" s="1"/>
  <c r="M1030" i="1"/>
  <c r="O1030" i="1" s="1"/>
  <c r="J1031" i="1"/>
  <c r="K1031" i="1"/>
  <c r="L1031" i="1"/>
  <c r="N1031" i="1" s="1"/>
  <c r="M1031" i="1"/>
  <c r="O1031" i="1" s="1"/>
  <c r="J1032" i="1"/>
  <c r="K1032" i="1"/>
  <c r="L1032" i="1"/>
  <c r="N1032" i="1" s="1"/>
  <c r="M1032" i="1"/>
  <c r="O1032" i="1" s="1"/>
  <c r="J1136" i="1"/>
  <c r="K1136" i="1"/>
  <c r="L1136" i="1"/>
  <c r="N1136" i="1" s="1"/>
  <c r="M1136" i="1"/>
  <c r="O1136" i="1" s="1"/>
  <c r="J1034" i="1"/>
  <c r="K1034" i="1"/>
  <c r="L1034" i="1"/>
  <c r="N1034" i="1" s="1"/>
  <c r="M1034" i="1"/>
  <c r="O1034" i="1" s="1"/>
  <c r="J1035" i="1"/>
  <c r="K1035" i="1"/>
  <c r="L1035" i="1"/>
  <c r="N1035" i="1" s="1"/>
  <c r="M1035" i="1"/>
  <c r="O1035" i="1" s="1"/>
  <c r="J1036" i="1"/>
  <c r="K1036" i="1"/>
  <c r="L1036" i="1"/>
  <c r="N1036" i="1" s="1"/>
  <c r="M1036" i="1"/>
  <c r="O1036" i="1" s="1"/>
  <c r="J1138" i="1"/>
  <c r="K1138" i="1"/>
  <c r="L1138" i="1"/>
  <c r="N1138" i="1" s="1"/>
  <c r="M1138" i="1"/>
  <c r="O1138" i="1" s="1"/>
  <c r="J1140" i="1"/>
  <c r="K1140" i="1"/>
  <c r="L1140" i="1"/>
  <c r="N1140" i="1" s="1"/>
  <c r="M1140" i="1"/>
  <c r="O1140" i="1" s="1"/>
  <c r="J1145" i="1"/>
  <c r="K1145" i="1"/>
  <c r="L1145" i="1"/>
  <c r="N1145" i="1" s="1"/>
  <c r="M1145" i="1"/>
  <c r="O1145" i="1" s="1"/>
  <c r="J1148" i="1"/>
  <c r="K1148" i="1"/>
  <c r="L1148" i="1"/>
  <c r="N1148" i="1" s="1"/>
  <c r="M1148" i="1"/>
  <c r="O1148" i="1" s="1"/>
  <c r="J1149" i="1"/>
  <c r="K1149" i="1"/>
  <c r="L1149" i="1"/>
  <c r="N1149" i="1" s="1"/>
  <c r="M1149" i="1"/>
  <c r="O1149" i="1" s="1"/>
  <c r="J1151" i="1"/>
  <c r="K1151" i="1"/>
  <c r="L1151" i="1"/>
  <c r="N1151" i="1" s="1"/>
  <c r="M1151" i="1"/>
  <c r="O1151" i="1" s="1"/>
  <c r="J1158" i="1"/>
  <c r="K1158" i="1"/>
  <c r="L1158" i="1"/>
  <c r="N1158" i="1" s="1"/>
  <c r="M1158" i="1"/>
  <c r="O1158" i="1" s="1"/>
  <c r="J1045" i="1"/>
  <c r="K1045" i="1"/>
  <c r="L1045" i="1"/>
  <c r="N1045" i="1" s="1"/>
  <c r="M1045" i="1"/>
  <c r="O1045" i="1" s="1"/>
  <c r="J1161" i="1"/>
  <c r="K1161" i="1"/>
  <c r="L1161" i="1"/>
  <c r="N1161" i="1" s="1"/>
  <c r="M1161" i="1"/>
  <c r="O1161" i="1" s="1"/>
  <c r="J1047" i="1"/>
  <c r="K1047" i="1"/>
  <c r="L1047" i="1"/>
  <c r="N1047" i="1" s="1"/>
  <c r="M1047" i="1"/>
  <c r="O1047" i="1" s="1"/>
  <c r="J1048" i="1"/>
  <c r="K1048" i="1"/>
  <c r="L1048" i="1"/>
  <c r="N1048" i="1" s="1"/>
  <c r="M1048" i="1"/>
  <c r="O1048" i="1" s="1"/>
  <c r="J1172" i="1"/>
  <c r="K1172" i="1"/>
  <c r="L1172" i="1"/>
  <c r="N1172" i="1" s="1"/>
  <c r="M1172" i="1"/>
  <c r="O1172" i="1" s="1"/>
  <c r="J1050" i="1"/>
  <c r="K1050" i="1"/>
  <c r="L1050" i="1"/>
  <c r="N1050" i="1" s="1"/>
  <c r="M1050" i="1"/>
  <c r="O1050" i="1" s="1"/>
  <c r="J1051" i="1"/>
  <c r="K1051" i="1"/>
  <c r="L1051" i="1"/>
  <c r="N1051" i="1" s="1"/>
  <c r="M1051" i="1"/>
  <c r="O1051" i="1" s="1"/>
  <c r="J1052" i="1"/>
  <c r="K1052" i="1"/>
  <c r="L1052" i="1"/>
  <c r="N1052" i="1" s="1"/>
  <c r="M1052" i="1"/>
  <c r="O1052" i="1" s="1"/>
  <c r="J1173" i="1"/>
  <c r="K1173" i="1"/>
  <c r="L1173" i="1"/>
  <c r="N1173" i="1" s="1"/>
  <c r="M1173" i="1"/>
  <c r="O1173" i="1" s="1"/>
  <c r="J1174" i="1"/>
  <c r="K1174" i="1"/>
  <c r="L1174" i="1"/>
  <c r="N1174" i="1" s="1"/>
  <c r="M1174" i="1"/>
  <c r="O1174" i="1" s="1"/>
  <c r="J1179" i="1"/>
  <c r="K1179" i="1"/>
  <c r="L1179" i="1"/>
  <c r="N1179" i="1" s="1"/>
  <c r="M1179" i="1"/>
  <c r="O1179" i="1" s="1"/>
  <c r="J1185" i="1"/>
  <c r="K1185" i="1"/>
  <c r="L1185" i="1"/>
  <c r="N1185" i="1" s="1"/>
  <c r="M1185" i="1"/>
  <c r="O1185" i="1" s="1"/>
  <c r="J1057" i="1"/>
  <c r="K1057" i="1"/>
  <c r="L1057" i="1"/>
  <c r="N1057" i="1" s="1"/>
  <c r="M1057" i="1"/>
  <c r="O1057" i="1" s="1"/>
  <c r="J1058" i="1"/>
  <c r="K1058" i="1"/>
  <c r="L1058" i="1"/>
  <c r="N1058" i="1" s="1"/>
  <c r="M1058" i="1"/>
  <c r="O1058" i="1" s="1"/>
  <c r="J1192" i="1"/>
  <c r="K1192" i="1"/>
  <c r="L1192" i="1"/>
  <c r="N1192" i="1" s="1"/>
  <c r="M1192" i="1"/>
  <c r="O1192" i="1" s="1"/>
  <c r="J1060" i="1"/>
  <c r="K1060" i="1"/>
  <c r="L1060" i="1"/>
  <c r="N1060" i="1" s="1"/>
  <c r="M1060" i="1"/>
  <c r="O1060" i="1" s="1"/>
  <c r="J1061" i="1"/>
  <c r="K1061" i="1"/>
  <c r="L1061" i="1"/>
  <c r="N1061" i="1" s="1"/>
  <c r="M1061" i="1"/>
  <c r="O1061" i="1" s="1"/>
  <c r="J1062" i="1"/>
  <c r="K1062" i="1"/>
  <c r="L1062" i="1"/>
  <c r="N1062" i="1" s="1"/>
  <c r="M1062" i="1"/>
  <c r="O1062" i="1" s="1"/>
  <c r="J1063" i="1"/>
  <c r="K1063" i="1"/>
  <c r="L1063" i="1"/>
  <c r="N1063" i="1" s="1"/>
  <c r="M1063" i="1"/>
  <c r="O1063" i="1" s="1"/>
  <c r="J1193" i="1"/>
  <c r="K1193" i="1"/>
  <c r="L1193" i="1"/>
  <c r="N1193" i="1" s="1"/>
  <c r="M1193" i="1"/>
  <c r="O1193" i="1" s="1"/>
  <c r="J1199" i="1"/>
  <c r="K1199" i="1"/>
  <c r="L1199" i="1"/>
  <c r="N1199" i="1" s="1"/>
  <c r="M1199" i="1"/>
  <c r="O1199" i="1" s="1"/>
  <c r="J1066" i="1"/>
  <c r="K1066" i="1"/>
  <c r="L1066" i="1"/>
  <c r="N1066" i="1" s="1"/>
  <c r="M1066" i="1"/>
  <c r="O1066" i="1" s="1"/>
  <c r="J1067" i="1"/>
  <c r="K1067" i="1"/>
  <c r="L1067" i="1"/>
  <c r="N1067" i="1" s="1"/>
  <c r="M1067" i="1"/>
  <c r="O1067" i="1" s="1"/>
  <c r="J1068" i="1"/>
  <c r="K1068" i="1"/>
  <c r="L1068" i="1"/>
  <c r="N1068" i="1" s="1"/>
  <c r="M1068" i="1"/>
  <c r="O1068" i="1" s="1"/>
  <c r="J1069" i="1"/>
  <c r="K1069" i="1"/>
  <c r="L1069" i="1"/>
  <c r="N1069" i="1" s="1"/>
  <c r="M1069" i="1"/>
  <c r="O1069" i="1" s="1"/>
  <c r="J1070" i="1"/>
  <c r="K1070" i="1"/>
  <c r="L1070" i="1"/>
  <c r="N1070" i="1" s="1"/>
  <c r="M1070" i="1"/>
  <c r="O1070" i="1" s="1"/>
  <c r="J1201" i="1"/>
  <c r="K1201" i="1"/>
  <c r="L1201" i="1"/>
  <c r="N1201" i="1" s="1"/>
  <c r="M1201" i="1"/>
  <c r="O1201" i="1" s="1"/>
  <c r="J1072" i="1"/>
  <c r="K1072" i="1"/>
  <c r="L1072" i="1"/>
  <c r="N1072" i="1" s="1"/>
  <c r="M1072" i="1"/>
  <c r="O1072" i="1" s="1"/>
  <c r="J1073" i="1"/>
  <c r="K1073" i="1"/>
  <c r="L1073" i="1"/>
  <c r="N1073" i="1" s="1"/>
  <c r="M1073" i="1"/>
  <c r="O1073" i="1" s="1"/>
  <c r="J1207" i="1"/>
  <c r="K1207" i="1"/>
  <c r="L1207" i="1"/>
  <c r="N1207" i="1" s="1"/>
  <c r="M1207" i="1"/>
  <c r="O1207" i="1" s="1"/>
  <c r="J1075" i="1"/>
  <c r="K1075" i="1"/>
  <c r="L1075" i="1"/>
  <c r="N1075" i="1" s="1"/>
  <c r="M1075" i="1"/>
  <c r="O1075" i="1" s="1"/>
  <c r="J1076" i="1"/>
  <c r="K1076" i="1"/>
  <c r="L1076" i="1"/>
  <c r="N1076" i="1" s="1"/>
  <c r="M1076" i="1"/>
  <c r="O1076" i="1" s="1"/>
  <c r="J1077" i="1"/>
  <c r="K1077" i="1"/>
  <c r="L1077" i="1"/>
  <c r="N1077" i="1" s="1"/>
  <c r="M1077" i="1"/>
  <c r="O1077" i="1" s="1"/>
  <c r="J1078" i="1"/>
  <c r="K1078" i="1"/>
  <c r="L1078" i="1"/>
  <c r="N1078" i="1" s="1"/>
  <c r="M1078" i="1"/>
  <c r="O1078" i="1" s="1"/>
  <c r="J1079" i="1"/>
  <c r="K1079" i="1"/>
  <c r="L1079" i="1"/>
  <c r="N1079" i="1" s="1"/>
  <c r="M1079" i="1"/>
  <c r="O1079" i="1" s="1"/>
  <c r="J1080" i="1"/>
  <c r="K1080" i="1"/>
  <c r="L1080" i="1"/>
  <c r="N1080" i="1" s="1"/>
  <c r="M1080" i="1"/>
  <c r="O1080" i="1" s="1"/>
  <c r="J1208" i="1"/>
  <c r="K1208" i="1"/>
  <c r="L1208" i="1"/>
  <c r="N1208" i="1" s="1"/>
  <c r="M1208" i="1"/>
  <c r="O1208" i="1" s="1"/>
  <c r="J1082" i="1"/>
  <c r="K1082" i="1"/>
  <c r="L1082" i="1"/>
  <c r="N1082" i="1" s="1"/>
  <c r="M1082" i="1"/>
  <c r="O1082" i="1" s="1"/>
  <c r="J1084" i="1"/>
  <c r="K1084" i="1"/>
  <c r="L1084" i="1"/>
  <c r="N1084" i="1" s="1"/>
  <c r="M1084" i="1"/>
  <c r="O1084" i="1" s="1"/>
  <c r="J1085" i="1"/>
  <c r="K1085" i="1"/>
  <c r="L1085" i="1"/>
  <c r="N1085" i="1" s="1"/>
  <c r="M1085" i="1"/>
  <c r="O1085" i="1" s="1"/>
  <c r="J1212" i="1"/>
  <c r="K1212" i="1"/>
  <c r="L1212" i="1"/>
  <c r="N1212" i="1" s="1"/>
  <c r="M1212" i="1"/>
  <c r="O1212" i="1" s="1"/>
  <c r="J1214" i="1"/>
  <c r="K1214" i="1"/>
  <c r="L1214" i="1"/>
  <c r="N1214" i="1" s="1"/>
  <c r="M1214" i="1"/>
  <c r="O1214" i="1" s="1"/>
  <c r="J162" i="1"/>
  <c r="K162" i="1"/>
  <c r="L162" i="1"/>
  <c r="N162" i="1" s="1"/>
  <c r="M162" i="1"/>
  <c r="O162" i="1" s="1"/>
  <c r="J1215" i="1"/>
  <c r="K1215" i="1"/>
  <c r="L1215" i="1"/>
  <c r="N1215" i="1" s="1"/>
  <c r="M1215" i="1"/>
  <c r="O1215" i="1" s="1"/>
  <c r="J1216" i="1"/>
  <c r="K1216" i="1"/>
  <c r="L1216" i="1"/>
  <c r="N1216" i="1" s="1"/>
  <c r="M1216" i="1"/>
  <c r="O1216" i="1" s="1"/>
  <c r="J1217" i="1"/>
  <c r="K1217" i="1"/>
  <c r="L1217" i="1"/>
  <c r="N1217" i="1" s="1"/>
  <c r="M1217" i="1"/>
  <c r="O1217" i="1" s="1"/>
  <c r="J1218" i="1"/>
  <c r="K1218" i="1"/>
  <c r="L1218" i="1"/>
  <c r="N1218" i="1" s="1"/>
  <c r="M1218" i="1"/>
  <c r="O1218" i="1" s="1"/>
  <c r="J1219" i="1"/>
  <c r="K1219" i="1"/>
  <c r="L1219" i="1"/>
  <c r="N1219" i="1" s="1"/>
  <c r="M1219" i="1"/>
  <c r="O1219" i="1" s="1"/>
  <c r="J1094" i="1"/>
  <c r="K1094" i="1"/>
  <c r="L1094" i="1"/>
  <c r="N1094" i="1" s="1"/>
  <c r="M1094" i="1"/>
  <c r="O1094" i="1" s="1"/>
  <c r="J1220" i="1"/>
  <c r="K1220" i="1"/>
  <c r="L1220" i="1"/>
  <c r="N1220" i="1" s="1"/>
  <c r="M1220" i="1"/>
  <c r="O1220" i="1" s="1"/>
  <c r="J1223" i="1"/>
  <c r="K1223" i="1"/>
  <c r="L1223" i="1"/>
  <c r="N1223" i="1" s="1"/>
  <c r="M1223" i="1"/>
  <c r="O1223" i="1" s="1"/>
  <c r="J1097" i="1"/>
  <c r="K1097" i="1"/>
  <c r="L1097" i="1"/>
  <c r="N1097" i="1" s="1"/>
  <c r="M1097" i="1"/>
  <c r="O1097" i="1" s="1"/>
  <c r="J1225" i="1"/>
  <c r="K1225" i="1"/>
  <c r="L1225" i="1"/>
  <c r="N1225" i="1" s="1"/>
  <c r="M1225" i="1"/>
  <c r="O1225" i="1" s="1"/>
  <c r="J1101" i="1"/>
  <c r="K1101" i="1"/>
  <c r="L1101" i="1"/>
  <c r="N1101" i="1" s="1"/>
  <c r="M1101" i="1"/>
  <c r="O1101" i="1" s="1"/>
  <c r="J1102" i="1"/>
  <c r="K1102" i="1"/>
  <c r="L1102" i="1"/>
  <c r="N1102" i="1" s="1"/>
  <c r="M1102" i="1"/>
  <c r="O1102" i="1" s="1"/>
  <c r="J1103" i="1"/>
  <c r="K1103" i="1"/>
  <c r="L1103" i="1"/>
  <c r="N1103" i="1" s="1"/>
  <c r="M1103" i="1"/>
  <c r="O1103" i="1" s="1"/>
  <c r="J1104" i="1"/>
  <c r="K1104" i="1"/>
  <c r="L1104" i="1"/>
  <c r="N1104" i="1" s="1"/>
  <c r="M1104" i="1"/>
  <c r="O1104" i="1" s="1"/>
  <c r="J1105" i="1"/>
  <c r="K1105" i="1"/>
  <c r="L1105" i="1"/>
  <c r="N1105" i="1" s="1"/>
  <c r="M1105" i="1"/>
  <c r="O1105" i="1" s="1"/>
  <c r="J1106" i="1"/>
  <c r="K1106" i="1"/>
  <c r="L1106" i="1"/>
  <c r="N1106" i="1" s="1"/>
  <c r="M1106" i="1"/>
  <c r="O1106" i="1" s="1"/>
  <c r="J1107" i="1"/>
  <c r="K1107" i="1"/>
  <c r="L1107" i="1"/>
  <c r="N1107" i="1" s="1"/>
  <c r="M1107" i="1"/>
  <c r="O1107" i="1" s="1"/>
  <c r="J1108" i="1"/>
  <c r="K1108" i="1"/>
  <c r="L1108" i="1"/>
  <c r="N1108" i="1" s="1"/>
  <c r="M1108" i="1"/>
  <c r="O1108" i="1" s="1"/>
  <c r="J1228" i="1"/>
  <c r="K1228" i="1"/>
  <c r="L1228" i="1"/>
  <c r="N1228" i="1" s="1"/>
  <c r="M1228" i="1"/>
  <c r="O1228" i="1" s="1"/>
  <c r="J1110" i="1"/>
  <c r="K1110" i="1"/>
  <c r="L1110" i="1"/>
  <c r="N1110" i="1" s="1"/>
  <c r="M1110" i="1"/>
  <c r="O1110" i="1" s="1"/>
  <c r="J1111" i="1"/>
  <c r="K1111" i="1"/>
  <c r="L1111" i="1"/>
  <c r="N1111" i="1" s="1"/>
  <c r="M1111" i="1"/>
  <c r="O1111" i="1" s="1"/>
  <c r="J1230" i="1"/>
  <c r="K1230" i="1"/>
  <c r="L1230" i="1"/>
  <c r="N1230" i="1" s="1"/>
  <c r="M1230" i="1"/>
  <c r="O1230" i="1" s="1"/>
  <c r="J45" i="1"/>
  <c r="K45" i="1"/>
  <c r="L45" i="1"/>
  <c r="N45" i="1" s="1"/>
  <c r="M45" i="1"/>
  <c r="O45" i="1" s="1"/>
  <c r="J50" i="1"/>
  <c r="K50" i="1"/>
  <c r="L50" i="1"/>
  <c r="N50" i="1" s="1"/>
  <c r="M50" i="1"/>
  <c r="O50" i="1" s="1"/>
  <c r="J102" i="1"/>
  <c r="K102" i="1"/>
  <c r="L102" i="1"/>
  <c r="N102" i="1" s="1"/>
  <c r="M102" i="1"/>
  <c r="O102" i="1" s="1"/>
  <c r="J1231" i="1"/>
  <c r="K1231" i="1"/>
  <c r="L1231" i="1"/>
  <c r="N1231" i="1" s="1"/>
  <c r="M1231" i="1"/>
  <c r="O1231" i="1" s="1"/>
  <c r="J1117" i="1"/>
  <c r="K1117" i="1"/>
  <c r="L1117" i="1"/>
  <c r="N1117" i="1" s="1"/>
  <c r="M1117" i="1"/>
  <c r="O1117" i="1" s="1"/>
  <c r="J1124" i="1"/>
  <c r="K1124" i="1"/>
  <c r="L1124" i="1"/>
  <c r="N1124" i="1" s="1"/>
  <c r="M1124" i="1"/>
  <c r="O1124" i="1" s="1"/>
  <c r="J1125" i="1"/>
  <c r="K1125" i="1"/>
  <c r="L1125" i="1"/>
  <c r="N1125" i="1" s="1"/>
  <c r="M1125" i="1"/>
  <c r="O1125" i="1" s="1"/>
  <c r="J1126" i="1"/>
  <c r="K1126" i="1"/>
  <c r="L1126" i="1"/>
  <c r="N1126" i="1" s="1"/>
  <c r="M1126" i="1"/>
  <c r="O1126" i="1" s="1"/>
  <c r="J1237" i="1"/>
  <c r="K1237" i="1"/>
  <c r="L1237" i="1"/>
  <c r="N1237" i="1" s="1"/>
  <c r="M1237" i="1"/>
  <c r="O1237" i="1" s="1"/>
  <c r="J1238" i="1"/>
  <c r="K1238" i="1"/>
  <c r="L1238" i="1"/>
  <c r="N1238" i="1" s="1"/>
  <c r="M1238" i="1"/>
  <c r="O1238" i="1" s="1"/>
  <c r="J1241" i="1"/>
  <c r="K1241" i="1"/>
  <c r="L1241" i="1"/>
  <c r="N1241" i="1" s="1"/>
  <c r="M1241" i="1"/>
  <c r="O1241" i="1" s="1"/>
  <c r="J1130" i="1"/>
  <c r="K1130" i="1"/>
  <c r="L1130" i="1"/>
  <c r="N1130" i="1" s="1"/>
  <c r="M1130" i="1"/>
  <c r="O1130" i="1" s="1"/>
  <c r="J1252" i="1"/>
  <c r="K1252" i="1"/>
  <c r="L1252" i="1"/>
  <c r="N1252" i="1" s="1"/>
  <c r="M1252" i="1"/>
  <c r="O1252" i="1" s="1"/>
  <c r="J1260" i="1"/>
  <c r="K1260" i="1"/>
  <c r="L1260" i="1"/>
  <c r="N1260" i="1" s="1"/>
  <c r="M1260" i="1"/>
  <c r="O1260" i="1" s="1"/>
  <c r="J1261" i="1"/>
  <c r="K1261" i="1"/>
  <c r="L1261" i="1"/>
  <c r="N1261" i="1" s="1"/>
  <c r="M1261" i="1"/>
  <c r="O1261" i="1" s="1"/>
  <c r="J1262" i="1"/>
  <c r="K1262" i="1"/>
  <c r="L1262" i="1"/>
  <c r="N1262" i="1" s="1"/>
  <c r="M1262" i="1"/>
  <c r="O1262" i="1" s="1"/>
  <c r="J1263" i="1"/>
  <c r="K1263" i="1"/>
  <c r="L1263" i="1"/>
  <c r="N1263" i="1" s="1"/>
  <c r="M1263" i="1"/>
  <c r="O1263" i="1" s="1"/>
  <c r="J1264" i="1"/>
  <c r="K1264" i="1"/>
  <c r="L1264" i="1"/>
  <c r="N1264" i="1" s="1"/>
  <c r="M1264" i="1"/>
  <c r="O1264" i="1" s="1"/>
  <c r="J1137" i="1"/>
  <c r="K1137" i="1"/>
  <c r="L1137" i="1"/>
  <c r="N1137" i="1" s="1"/>
  <c r="M1137" i="1"/>
  <c r="O1137" i="1" s="1"/>
  <c r="J1269" i="1"/>
  <c r="K1269" i="1"/>
  <c r="L1269" i="1"/>
  <c r="N1269" i="1" s="1"/>
  <c r="M1269" i="1"/>
  <c r="O1269" i="1" s="1"/>
  <c r="J1139" i="1"/>
  <c r="K1139" i="1"/>
  <c r="L1139" i="1"/>
  <c r="N1139" i="1" s="1"/>
  <c r="M1139" i="1"/>
  <c r="O1139" i="1" s="1"/>
  <c r="J1275" i="1"/>
  <c r="K1275" i="1"/>
  <c r="L1275" i="1"/>
  <c r="N1275" i="1" s="1"/>
  <c r="M1275" i="1"/>
  <c r="O1275" i="1" s="1"/>
  <c r="J1141" i="1"/>
  <c r="K1141" i="1"/>
  <c r="L1141" i="1"/>
  <c r="N1141" i="1" s="1"/>
  <c r="M1141" i="1"/>
  <c r="O1141" i="1" s="1"/>
  <c r="J1142" i="1"/>
  <c r="K1142" i="1"/>
  <c r="L1142" i="1"/>
  <c r="N1142" i="1" s="1"/>
  <c r="M1142" i="1"/>
  <c r="O1142" i="1" s="1"/>
  <c r="J1143" i="1"/>
  <c r="K1143" i="1"/>
  <c r="L1143" i="1"/>
  <c r="N1143" i="1" s="1"/>
  <c r="M1143" i="1"/>
  <c r="O1143" i="1" s="1"/>
  <c r="J1144" i="1"/>
  <c r="K1144" i="1"/>
  <c r="L1144" i="1"/>
  <c r="N1144" i="1" s="1"/>
  <c r="M1144" i="1"/>
  <c r="O1144" i="1" s="1"/>
  <c r="J1287" i="1"/>
  <c r="K1287" i="1"/>
  <c r="L1287" i="1"/>
  <c r="N1287" i="1" s="1"/>
  <c r="M1287" i="1"/>
  <c r="O1287" i="1" s="1"/>
  <c r="J1146" i="1"/>
  <c r="K1146" i="1"/>
  <c r="L1146" i="1"/>
  <c r="N1146" i="1" s="1"/>
  <c r="M1146" i="1"/>
  <c r="O1146" i="1" s="1"/>
  <c r="J1147" i="1"/>
  <c r="K1147" i="1"/>
  <c r="L1147" i="1"/>
  <c r="N1147" i="1" s="1"/>
  <c r="M1147" i="1"/>
  <c r="O1147" i="1" s="1"/>
  <c r="J1297" i="1"/>
  <c r="K1297" i="1"/>
  <c r="L1297" i="1"/>
  <c r="N1297" i="1" s="1"/>
  <c r="M1297" i="1"/>
  <c r="O1297" i="1" s="1"/>
  <c r="J1299" i="1"/>
  <c r="K1299" i="1"/>
  <c r="L1299" i="1"/>
  <c r="N1299" i="1" s="1"/>
  <c r="M1299" i="1"/>
  <c r="O1299" i="1" s="1"/>
  <c r="J1150" i="1"/>
  <c r="K1150" i="1"/>
  <c r="L1150" i="1"/>
  <c r="N1150" i="1" s="1"/>
  <c r="M1150" i="1"/>
  <c r="O1150" i="1" s="1"/>
  <c r="J1302" i="1"/>
  <c r="K1302" i="1"/>
  <c r="L1302" i="1"/>
  <c r="N1302" i="1" s="1"/>
  <c r="M1302" i="1"/>
  <c r="O1302" i="1" s="1"/>
  <c r="J1152" i="1"/>
  <c r="K1152" i="1"/>
  <c r="L1152" i="1"/>
  <c r="N1152" i="1" s="1"/>
  <c r="M1152" i="1"/>
  <c r="O1152" i="1" s="1"/>
  <c r="J1153" i="1"/>
  <c r="K1153" i="1"/>
  <c r="L1153" i="1"/>
  <c r="N1153" i="1" s="1"/>
  <c r="M1153" i="1"/>
  <c r="O1153" i="1" s="1"/>
  <c r="J1154" i="1"/>
  <c r="K1154" i="1"/>
  <c r="L1154" i="1"/>
  <c r="N1154" i="1" s="1"/>
  <c r="M1154" i="1"/>
  <c r="O1154" i="1" s="1"/>
  <c r="J1155" i="1"/>
  <c r="K1155" i="1"/>
  <c r="L1155" i="1"/>
  <c r="N1155" i="1" s="1"/>
  <c r="M1155" i="1"/>
  <c r="O1155" i="1" s="1"/>
  <c r="J1156" i="1"/>
  <c r="K1156" i="1"/>
  <c r="L1156" i="1"/>
  <c r="N1156" i="1" s="1"/>
  <c r="M1156" i="1"/>
  <c r="O1156" i="1" s="1"/>
  <c r="J1157" i="1"/>
  <c r="K1157" i="1"/>
  <c r="L1157" i="1"/>
  <c r="N1157" i="1" s="1"/>
  <c r="M1157" i="1"/>
  <c r="O1157" i="1" s="1"/>
  <c r="J1303" i="1"/>
  <c r="K1303" i="1"/>
  <c r="L1303" i="1"/>
  <c r="N1303" i="1" s="1"/>
  <c r="M1303" i="1"/>
  <c r="O1303" i="1" s="1"/>
  <c r="J1159" i="1"/>
  <c r="K1159" i="1"/>
  <c r="L1159" i="1"/>
  <c r="N1159" i="1" s="1"/>
  <c r="M1159" i="1"/>
  <c r="O1159" i="1" s="1"/>
  <c r="J1160" i="1"/>
  <c r="K1160" i="1"/>
  <c r="L1160" i="1"/>
  <c r="N1160" i="1" s="1"/>
  <c r="M1160" i="1"/>
  <c r="O1160" i="1" s="1"/>
  <c r="J1305" i="1"/>
  <c r="K1305" i="1"/>
  <c r="L1305" i="1"/>
  <c r="N1305" i="1" s="1"/>
  <c r="M1305" i="1"/>
  <c r="O1305" i="1" s="1"/>
  <c r="J1162" i="1"/>
  <c r="K1162" i="1"/>
  <c r="L1162" i="1"/>
  <c r="N1162" i="1" s="1"/>
  <c r="M1162" i="1"/>
  <c r="O1162" i="1" s="1"/>
  <c r="J1163" i="1"/>
  <c r="K1163" i="1"/>
  <c r="L1163" i="1"/>
  <c r="N1163" i="1" s="1"/>
  <c r="M1163" i="1"/>
  <c r="O1163" i="1" s="1"/>
  <c r="J1164" i="1"/>
  <c r="K1164" i="1"/>
  <c r="L1164" i="1"/>
  <c r="N1164" i="1" s="1"/>
  <c r="M1164" i="1"/>
  <c r="O1164" i="1" s="1"/>
  <c r="J1165" i="1"/>
  <c r="K1165" i="1"/>
  <c r="L1165" i="1"/>
  <c r="N1165" i="1" s="1"/>
  <c r="M1165" i="1"/>
  <c r="O1165" i="1" s="1"/>
  <c r="J1166" i="1"/>
  <c r="K1166" i="1"/>
  <c r="L1166" i="1"/>
  <c r="N1166" i="1" s="1"/>
  <c r="M1166" i="1"/>
  <c r="O1166" i="1" s="1"/>
  <c r="J1167" i="1"/>
  <c r="K1167" i="1"/>
  <c r="L1167" i="1"/>
  <c r="N1167" i="1" s="1"/>
  <c r="M1167" i="1"/>
  <c r="O1167" i="1" s="1"/>
  <c r="J1168" i="1"/>
  <c r="K1168" i="1"/>
  <c r="L1168" i="1"/>
  <c r="N1168" i="1" s="1"/>
  <c r="M1168" i="1"/>
  <c r="O1168" i="1" s="1"/>
  <c r="J1169" i="1"/>
  <c r="K1169" i="1"/>
  <c r="L1169" i="1"/>
  <c r="N1169" i="1" s="1"/>
  <c r="M1169" i="1"/>
  <c r="O1169" i="1" s="1"/>
  <c r="J1170" i="1"/>
  <c r="K1170" i="1"/>
  <c r="L1170" i="1"/>
  <c r="N1170" i="1" s="1"/>
  <c r="M1170" i="1"/>
  <c r="O1170" i="1" s="1"/>
  <c r="J1171" i="1"/>
  <c r="K1171" i="1"/>
  <c r="L1171" i="1"/>
  <c r="N1171" i="1" s="1"/>
  <c r="M1171" i="1"/>
  <c r="O1171" i="1" s="1"/>
  <c r="J1306" i="1"/>
  <c r="K1306" i="1"/>
  <c r="L1306" i="1"/>
  <c r="N1306" i="1" s="1"/>
  <c r="M1306" i="1"/>
  <c r="O1306" i="1" s="1"/>
  <c r="J1311" i="1"/>
  <c r="K1311" i="1"/>
  <c r="L1311" i="1"/>
  <c r="N1311" i="1" s="1"/>
  <c r="M1311" i="1"/>
  <c r="O1311" i="1" s="1"/>
  <c r="J1175" i="1"/>
  <c r="K1175" i="1"/>
  <c r="L1175" i="1"/>
  <c r="N1175" i="1" s="1"/>
  <c r="M1175" i="1"/>
  <c r="O1175" i="1" s="1"/>
  <c r="J1176" i="1"/>
  <c r="K1176" i="1"/>
  <c r="L1176" i="1"/>
  <c r="N1176" i="1" s="1"/>
  <c r="M1176" i="1"/>
  <c r="O1176" i="1" s="1"/>
  <c r="J1177" i="1"/>
  <c r="K1177" i="1"/>
  <c r="L1177" i="1"/>
  <c r="N1177" i="1" s="1"/>
  <c r="M1177" i="1"/>
  <c r="O1177" i="1" s="1"/>
  <c r="J1178" i="1"/>
  <c r="K1178" i="1"/>
  <c r="L1178" i="1"/>
  <c r="N1178" i="1" s="1"/>
  <c r="M1178" i="1"/>
  <c r="O1178" i="1" s="1"/>
  <c r="J1313" i="1"/>
  <c r="K1313" i="1"/>
  <c r="L1313" i="1"/>
  <c r="N1313" i="1" s="1"/>
  <c r="M1313" i="1"/>
  <c r="O1313" i="1" s="1"/>
  <c r="J1180" i="1"/>
  <c r="K1180" i="1"/>
  <c r="L1180" i="1"/>
  <c r="N1180" i="1" s="1"/>
  <c r="M1180" i="1"/>
  <c r="O1180" i="1" s="1"/>
  <c r="J1181" i="1"/>
  <c r="K1181" i="1"/>
  <c r="L1181" i="1"/>
  <c r="N1181" i="1" s="1"/>
  <c r="M1181" i="1"/>
  <c r="O1181" i="1" s="1"/>
  <c r="J1183" i="1"/>
  <c r="K1183" i="1"/>
  <c r="L1183" i="1"/>
  <c r="N1183" i="1" s="1"/>
  <c r="M1183" i="1"/>
  <c r="O1183" i="1" s="1"/>
  <c r="J1184" i="1"/>
  <c r="K1184" i="1"/>
  <c r="L1184" i="1"/>
  <c r="N1184" i="1" s="1"/>
  <c r="M1184" i="1"/>
  <c r="O1184" i="1" s="1"/>
  <c r="J1314" i="1"/>
  <c r="K1314" i="1"/>
  <c r="L1314" i="1"/>
  <c r="N1314" i="1" s="1"/>
  <c r="M1314" i="1"/>
  <c r="O1314" i="1" s="1"/>
  <c r="J1186" i="1"/>
  <c r="K1186" i="1"/>
  <c r="L1186" i="1"/>
  <c r="N1186" i="1" s="1"/>
  <c r="M1186" i="1"/>
  <c r="O1186" i="1" s="1"/>
  <c r="J1187" i="1"/>
  <c r="K1187" i="1"/>
  <c r="L1187" i="1"/>
  <c r="N1187" i="1" s="1"/>
  <c r="M1187" i="1"/>
  <c r="O1187" i="1" s="1"/>
  <c r="J1188" i="1"/>
  <c r="K1188" i="1"/>
  <c r="L1188" i="1"/>
  <c r="N1188" i="1" s="1"/>
  <c r="M1188" i="1"/>
  <c r="O1188" i="1" s="1"/>
  <c r="J1189" i="1"/>
  <c r="K1189" i="1"/>
  <c r="L1189" i="1"/>
  <c r="N1189" i="1" s="1"/>
  <c r="M1189" i="1"/>
  <c r="O1189" i="1" s="1"/>
  <c r="J1190" i="1"/>
  <c r="K1190" i="1"/>
  <c r="L1190" i="1"/>
  <c r="N1190" i="1" s="1"/>
  <c r="M1190" i="1"/>
  <c r="O1190" i="1" s="1"/>
  <c r="J1191" i="1"/>
  <c r="K1191" i="1"/>
  <c r="L1191" i="1"/>
  <c r="N1191" i="1" s="1"/>
  <c r="M1191" i="1"/>
  <c r="O1191" i="1" s="1"/>
  <c r="J51" i="1"/>
  <c r="K51" i="1"/>
  <c r="L51" i="1"/>
  <c r="N51" i="1" s="1"/>
  <c r="M51" i="1"/>
  <c r="O51" i="1" s="1"/>
  <c r="J1316" i="1"/>
  <c r="K1316" i="1"/>
  <c r="L1316" i="1"/>
  <c r="N1316" i="1" s="1"/>
  <c r="M1316" i="1"/>
  <c r="O1316" i="1" s="1"/>
  <c r="J1194" i="1"/>
  <c r="K1194" i="1"/>
  <c r="L1194" i="1"/>
  <c r="N1194" i="1" s="1"/>
  <c r="M1194" i="1"/>
  <c r="O1194" i="1" s="1"/>
  <c r="J1195" i="1"/>
  <c r="K1195" i="1"/>
  <c r="L1195" i="1"/>
  <c r="N1195" i="1" s="1"/>
  <c r="M1195" i="1"/>
  <c r="O1195" i="1" s="1"/>
  <c r="J1196" i="1"/>
  <c r="K1196" i="1"/>
  <c r="L1196" i="1"/>
  <c r="N1196" i="1" s="1"/>
  <c r="M1196" i="1"/>
  <c r="O1196" i="1" s="1"/>
  <c r="J1197" i="1"/>
  <c r="K1197" i="1"/>
  <c r="L1197" i="1"/>
  <c r="N1197" i="1" s="1"/>
  <c r="M1197" i="1"/>
  <c r="O1197" i="1" s="1"/>
  <c r="J1198" i="1"/>
  <c r="K1198" i="1"/>
  <c r="L1198" i="1"/>
  <c r="N1198" i="1" s="1"/>
  <c r="M1198" i="1"/>
  <c r="O1198" i="1" s="1"/>
  <c r="J1320" i="1"/>
  <c r="K1320" i="1"/>
  <c r="L1320" i="1"/>
  <c r="N1320" i="1" s="1"/>
  <c r="M1320" i="1"/>
  <c r="O1320" i="1" s="1"/>
  <c r="J1202" i="1"/>
  <c r="K1202" i="1"/>
  <c r="L1202" i="1"/>
  <c r="N1202" i="1" s="1"/>
  <c r="M1202" i="1"/>
  <c r="O1202" i="1" s="1"/>
  <c r="J1203" i="1"/>
  <c r="K1203" i="1"/>
  <c r="L1203" i="1"/>
  <c r="N1203" i="1" s="1"/>
  <c r="M1203" i="1"/>
  <c r="O1203" i="1" s="1"/>
  <c r="J1204" i="1"/>
  <c r="K1204" i="1"/>
  <c r="L1204" i="1"/>
  <c r="N1204" i="1" s="1"/>
  <c r="M1204" i="1"/>
  <c r="O1204" i="1" s="1"/>
  <c r="J1205" i="1"/>
  <c r="K1205" i="1"/>
  <c r="L1205" i="1"/>
  <c r="N1205" i="1" s="1"/>
  <c r="M1205" i="1"/>
  <c r="O1205" i="1" s="1"/>
  <c r="J1206" i="1"/>
  <c r="K1206" i="1"/>
  <c r="L1206" i="1"/>
  <c r="N1206" i="1" s="1"/>
  <c r="M1206" i="1"/>
  <c r="O1206" i="1" s="1"/>
  <c r="J1328" i="1"/>
  <c r="K1328" i="1"/>
  <c r="L1328" i="1"/>
  <c r="N1328" i="1" s="1"/>
  <c r="M1328" i="1"/>
  <c r="O1328" i="1" s="1"/>
  <c r="J1331" i="1"/>
  <c r="K1331" i="1"/>
  <c r="L1331" i="1"/>
  <c r="N1331" i="1" s="1"/>
  <c r="M1331" i="1"/>
  <c r="O1331" i="1" s="1"/>
  <c r="J1210" i="1"/>
  <c r="K1210" i="1"/>
  <c r="L1210" i="1"/>
  <c r="N1210" i="1" s="1"/>
  <c r="M1210" i="1"/>
  <c r="O1210" i="1" s="1"/>
  <c r="J1209" i="1"/>
  <c r="K1209" i="1"/>
  <c r="L1209" i="1"/>
  <c r="N1209" i="1" s="1"/>
  <c r="M1209" i="1"/>
  <c r="O1209" i="1" s="1"/>
  <c r="J1339" i="1"/>
  <c r="K1339" i="1"/>
  <c r="L1339" i="1"/>
  <c r="N1339" i="1" s="1"/>
  <c r="M1339" i="1"/>
  <c r="O1339" i="1" s="1"/>
  <c r="J1340" i="1"/>
  <c r="K1340" i="1"/>
  <c r="L1340" i="1"/>
  <c r="N1340" i="1" s="1"/>
  <c r="M1340" i="1"/>
  <c r="O1340" i="1" s="1"/>
  <c r="J1344" i="1"/>
  <c r="K1344" i="1"/>
  <c r="L1344" i="1"/>
  <c r="N1344" i="1" s="1"/>
  <c r="M1344" i="1"/>
  <c r="O1344" i="1" s="1"/>
  <c r="J1346" i="1"/>
  <c r="K1346" i="1"/>
  <c r="L1346" i="1"/>
  <c r="N1346" i="1" s="1"/>
  <c r="M1346" i="1"/>
  <c r="O1346" i="1" s="1"/>
  <c r="J1347" i="1"/>
  <c r="K1347" i="1"/>
  <c r="L1347" i="1"/>
  <c r="N1347" i="1" s="1"/>
  <c r="M1347" i="1"/>
  <c r="O1347" i="1" s="1"/>
  <c r="J1221" i="1"/>
  <c r="K1221" i="1"/>
  <c r="L1221" i="1"/>
  <c r="N1221" i="1" s="1"/>
  <c r="M1221" i="1"/>
  <c r="O1221" i="1" s="1"/>
  <c r="J1222" i="1"/>
  <c r="K1222" i="1"/>
  <c r="L1222" i="1"/>
  <c r="N1222" i="1" s="1"/>
  <c r="M1222" i="1"/>
  <c r="O1222" i="1" s="1"/>
  <c r="J1348" i="1"/>
  <c r="K1348" i="1"/>
  <c r="L1348" i="1"/>
  <c r="N1348" i="1" s="1"/>
  <c r="M1348" i="1"/>
  <c r="O1348" i="1" s="1"/>
  <c r="J1224" i="1"/>
  <c r="K1224" i="1"/>
  <c r="L1224" i="1"/>
  <c r="N1224" i="1" s="1"/>
  <c r="M1224" i="1"/>
  <c r="O1224" i="1" s="1"/>
  <c r="J1354" i="1"/>
  <c r="K1354" i="1"/>
  <c r="L1354" i="1"/>
  <c r="N1354" i="1" s="1"/>
  <c r="M1354" i="1"/>
  <c r="O1354" i="1" s="1"/>
  <c r="J1226" i="1"/>
  <c r="K1226" i="1"/>
  <c r="L1226" i="1"/>
  <c r="N1226" i="1" s="1"/>
  <c r="M1226" i="1"/>
  <c r="O1226" i="1" s="1"/>
  <c r="J1358" i="1"/>
  <c r="K1358" i="1"/>
  <c r="L1358" i="1"/>
  <c r="N1358" i="1" s="1"/>
  <c r="M1358" i="1"/>
  <c r="O1358" i="1" s="1"/>
  <c r="J1359" i="1"/>
  <c r="K1359" i="1"/>
  <c r="L1359" i="1"/>
  <c r="N1359" i="1" s="1"/>
  <c r="M1359" i="1"/>
  <c r="O1359" i="1" s="1"/>
  <c r="J1229" i="1"/>
  <c r="K1229" i="1"/>
  <c r="L1229" i="1"/>
  <c r="N1229" i="1" s="1"/>
  <c r="M1229" i="1"/>
  <c r="O1229" i="1" s="1"/>
  <c r="J1360" i="1"/>
  <c r="K1360" i="1"/>
  <c r="L1360" i="1"/>
  <c r="N1360" i="1" s="1"/>
  <c r="M1360" i="1"/>
  <c r="O1360" i="1" s="1"/>
  <c r="J1361" i="1"/>
  <c r="K1361" i="1"/>
  <c r="L1361" i="1"/>
  <c r="N1361" i="1" s="1"/>
  <c r="M1361" i="1"/>
  <c r="O1361" i="1" s="1"/>
  <c r="J1232" i="1"/>
  <c r="K1232" i="1"/>
  <c r="L1232" i="1"/>
  <c r="N1232" i="1" s="1"/>
  <c r="M1232" i="1"/>
  <c r="O1232" i="1" s="1"/>
  <c r="J1233" i="1"/>
  <c r="K1233" i="1"/>
  <c r="L1233" i="1"/>
  <c r="N1233" i="1" s="1"/>
  <c r="M1233" i="1"/>
  <c r="O1233" i="1" s="1"/>
  <c r="J1362" i="1"/>
  <c r="K1362" i="1"/>
  <c r="L1362" i="1"/>
  <c r="N1362" i="1" s="1"/>
  <c r="M1362" i="1"/>
  <c r="O1362" i="1" s="1"/>
  <c r="J1235" i="1"/>
  <c r="K1235" i="1"/>
  <c r="L1235" i="1"/>
  <c r="N1235" i="1" s="1"/>
  <c r="M1235" i="1"/>
  <c r="O1235" i="1" s="1"/>
  <c r="J1236" i="1"/>
  <c r="K1236" i="1"/>
  <c r="L1236" i="1"/>
  <c r="N1236" i="1" s="1"/>
  <c r="M1236" i="1"/>
  <c r="O1236" i="1" s="1"/>
  <c r="J1368" i="1"/>
  <c r="K1368" i="1"/>
  <c r="L1368" i="1"/>
  <c r="N1368" i="1" s="1"/>
  <c r="M1368" i="1"/>
  <c r="O1368" i="1" s="1"/>
  <c r="J1371" i="1"/>
  <c r="K1371" i="1"/>
  <c r="L1371" i="1"/>
  <c r="N1371" i="1" s="1"/>
  <c r="M1371" i="1"/>
  <c r="O1371" i="1" s="1"/>
  <c r="J1239" i="1"/>
  <c r="K1239" i="1"/>
  <c r="L1239" i="1"/>
  <c r="N1239" i="1" s="1"/>
  <c r="M1239" i="1"/>
  <c r="O1239" i="1" s="1"/>
  <c r="J1240" i="1"/>
  <c r="K1240" i="1"/>
  <c r="L1240" i="1"/>
  <c r="N1240" i="1" s="1"/>
  <c r="M1240" i="1"/>
  <c r="O1240" i="1" s="1"/>
  <c r="J1373" i="1"/>
  <c r="K1373" i="1"/>
  <c r="L1373" i="1"/>
  <c r="N1373" i="1" s="1"/>
  <c r="M1373" i="1"/>
  <c r="O1373" i="1" s="1"/>
  <c r="J1242" i="1"/>
  <c r="K1242" i="1"/>
  <c r="L1242" i="1"/>
  <c r="N1242" i="1" s="1"/>
  <c r="M1242" i="1"/>
  <c r="O1242" i="1" s="1"/>
  <c r="J1243" i="1"/>
  <c r="K1243" i="1"/>
  <c r="L1243" i="1"/>
  <c r="N1243" i="1" s="1"/>
  <c r="M1243" i="1"/>
  <c r="O1243" i="1" s="1"/>
  <c r="J1244" i="1"/>
  <c r="K1244" i="1"/>
  <c r="L1244" i="1"/>
  <c r="N1244" i="1" s="1"/>
  <c r="M1244" i="1"/>
  <c r="O1244" i="1" s="1"/>
  <c r="J1245" i="1"/>
  <c r="K1245" i="1"/>
  <c r="L1245" i="1"/>
  <c r="N1245" i="1" s="1"/>
  <c r="M1245" i="1"/>
  <c r="O1245" i="1" s="1"/>
  <c r="J1246" i="1"/>
  <c r="K1246" i="1"/>
  <c r="L1246" i="1"/>
  <c r="N1246" i="1" s="1"/>
  <c r="M1246" i="1"/>
  <c r="O1246" i="1" s="1"/>
  <c r="J1247" i="1"/>
  <c r="K1247" i="1"/>
  <c r="L1247" i="1"/>
  <c r="N1247" i="1" s="1"/>
  <c r="M1247" i="1"/>
  <c r="O1247" i="1" s="1"/>
  <c r="J1248" i="1"/>
  <c r="K1248" i="1"/>
  <c r="L1248" i="1"/>
  <c r="N1248" i="1" s="1"/>
  <c r="M1248" i="1"/>
  <c r="O1248" i="1" s="1"/>
  <c r="J1249" i="1"/>
  <c r="K1249" i="1"/>
  <c r="L1249" i="1"/>
  <c r="N1249" i="1" s="1"/>
  <c r="M1249" i="1"/>
  <c r="O1249" i="1" s="1"/>
  <c r="J1250" i="1"/>
  <c r="K1250" i="1"/>
  <c r="L1250" i="1"/>
  <c r="N1250" i="1" s="1"/>
  <c r="M1250" i="1"/>
  <c r="O1250" i="1" s="1"/>
  <c r="J1251" i="1"/>
  <c r="K1251" i="1"/>
  <c r="L1251" i="1"/>
  <c r="N1251" i="1" s="1"/>
  <c r="M1251" i="1"/>
  <c r="O1251" i="1" s="1"/>
  <c r="J1374" i="1"/>
  <c r="K1374" i="1"/>
  <c r="L1374" i="1"/>
  <c r="N1374" i="1" s="1"/>
  <c r="M1374" i="1"/>
  <c r="O1374" i="1" s="1"/>
  <c r="J1258" i="1"/>
  <c r="K1258" i="1"/>
  <c r="L1258" i="1"/>
  <c r="N1258" i="1" s="1"/>
  <c r="M1258" i="1"/>
  <c r="O1258" i="1" s="1"/>
  <c r="J1259" i="1"/>
  <c r="K1259" i="1"/>
  <c r="L1259" i="1"/>
  <c r="N1259" i="1" s="1"/>
  <c r="M1259" i="1"/>
  <c r="O1259" i="1" s="1"/>
  <c r="J1375" i="1"/>
  <c r="K1375" i="1"/>
  <c r="L1375" i="1"/>
  <c r="N1375" i="1" s="1"/>
  <c r="M1375" i="1"/>
  <c r="O1375" i="1" s="1"/>
  <c r="J1376" i="1"/>
  <c r="K1376" i="1"/>
  <c r="L1376" i="1"/>
  <c r="N1376" i="1" s="1"/>
  <c r="M1376" i="1"/>
  <c r="O1376" i="1" s="1"/>
  <c r="J1383" i="1"/>
  <c r="K1383" i="1"/>
  <c r="L1383" i="1"/>
  <c r="N1383" i="1" s="1"/>
  <c r="M1383" i="1"/>
  <c r="O1383" i="1" s="1"/>
  <c r="J1384" i="1"/>
  <c r="K1384" i="1"/>
  <c r="L1384" i="1"/>
  <c r="N1384" i="1" s="1"/>
  <c r="M1384" i="1"/>
  <c r="O1384" i="1" s="1"/>
  <c r="J1385" i="1"/>
  <c r="K1385" i="1"/>
  <c r="L1385" i="1"/>
  <c r="N1385" i="1" s="1"/>
  <c r="M1385" i="1"/>
  <c r="O1385" i="1" s="1"/>
  <c r="J1265" i="1"/>
  <c r="K1265" i="1"/>
  <c r="L1265" i="1"/>
  <c r="N1265" i="1" s="1"/>
  <c r="M1265" i="1"/>
  <c r="O1265" i="1" s="1"/>
  <c r="J1266" i="1"/>
  <c r="K1266" i="1"/>
  <c r="L1266" i="1"/>
  <c r="N1266" i="1" s="1"/>
  <c r="M1266" i="1"/>
  <c r="O1266" i="1" s="1"/>
  <c r="J1267" i="1"/>
  <c r="K1267" i="1"/>
  <c r="L1267" i="1"/>
  <c r="N1267" i="1" s="1"/>
  <c r="M1267" i="1"/>
  <c r="O1267" i="1" s="1"/>
  <c r="J1268" i="1"/>
  <c r="K1268" i="1"/>
  <c r="L1268" i="1"/>
  <c r="N1268" i="1" s="1"/>
  <c r="M1268" i="1"/>
  <c r="O1268" i="1" s="1"/>
  <c r="J1386" i="1"/>
  <c r="K1386" i="1"/>
  <c r="L1386" i="1"/>
  <c r="N1386" i="1" s="1"/>
  <c r="M1386" i="1"/>
  <c r="O1386" i="1" s="1"/>
  <c r="J1270" i="1"/>
  <c r="K1270" i="1"/>
  <c r="L1270" i="1"/>
  <c r="N1270" i="1" s="1"/>
  <c r="M1270" i="1"/>
  <c r="O1270" i="1" s="1"/>
  <c r="J1271" i="1"/>
  <c r="K1271" i="1"/>
  <c r="L1271" i="1"/>
  <c r="N1271" i="1" s="1"/>
  <c r="M1271" i="1"/>
  <c r="O1271" i="1" s="1"/>
  <c r="J1272" i="1"/>
  <c r="K1272" i="1"/>
  <c r="L1272" i="1"/>
  <c r="N1272" i="1" s="1"/>
  <c r="M1272" i="1"/>
  <c r="O1272" i="1" s="1"/>
  <c r="J1276" i="1"/>
  <c r="K1276" i="1"/>
  <c r="L1276" i="1"/>
  <c r="N1276" i="1" s="1"/>
  <c r="M1276" i="1"/>
  <c r="O1276" i="1" s="1"/>
  <c r="J1277" i="1"/>
  <c r="K1277" i="1"/>
  <c r="L1277" i="1"/>
  <c r="N1277" i="1" s="1"/>
  <c r="M1277" i="1"/>
  <c r="O1277" i="1" s="1"/>
  <c r="J1278" i="1"/>
  <c r="K1278" i="1"/>
  <c r="L1278" i="1"/>
  <c r="N1278" i="1" s="1"/>
  <c r="M1278" i="1"/>
  <c r="O1278" i="1" s="1"/>
  <c r="J1280" i="1"/>
  <c r="K1280" i="1"/>
  <c r="L1280" i="1"/>
  <c r="N1280" i="1" s="1"/>
  <c r="M1280" i="1"/>
  <c r="O1280" i="1" s="1"/>
  <c r="J1281" i="1"/>
  <c r="K1281" i="1"/>
  <c r="L1281" i="1"/>
  <c r="N1281" i="1" s="1"/>
  <c r="M1281" i="1"/>
  <c r="O1281" i="1" s="1"/>
  <c r="J1282" i="1"/>
  <c r="K1282" i="1"/>
  <c r="L1282" i="1"/>
  <c r="N1282" i="1" s="1"/>
  <c r="M1282" i="1"/>
  <c r="O1282" i="1" s="1"/>
  <c r="J1283" i="1"/>
  <c r="K1283" i="1"/>
  <c r="L1283" i="1"/>
  <c r="N1283" i="1" s="1"/>
  <c r="M1283" i="1"/>
  <c r="O1283" i="1" s="1"/>
  <c r="J1284" i="1"/>
  <c r="K1284" i="1"/>
  <c r="L1284" i="1"/>
  <c r="N1284" i="1" s="1"/>
  <c r="M1284" i="1"/>
  <c r="O1284" i="1" s="1"/>
  <c r="J1285" i="1"/>
  <c r="K1285" i="1"/>
  <c r="L1285" i="1"/>
  <c r="N1285" i="1" s="1"/>
  <c r="M1285" i="1"/>
  <c r="O1285" i="1" s="1"/>
  <c r="J1286" i="1"/>
  <c r="K1286" i="1"/>
  <c r="L1286" i="1"/>
  <c r="N1286" i="1" s="1"/>
  <c r="M1286" i="1"/>
  <c r="O1286" i="1" s="1"/>
  <c r="J1389" i="1"/>
  <c r="K1389" i="1"/>
  <c r="L1389" i="1"/>
  <c r="N1389" i="1" s="1"/>
  <c r="M1389" i="1"/>
  <c r="O1389" i="1" s="1"/>
  <c r="J1288" i="1"/>
  <c r="K1288" i="1"/>
  <c r="L1288" i="1"/>
  <c r="N1288" i="1" s="1"/>
  <c r="M1288" i="1"/>
  <c r="O1288" i="1" s="1"/>
  <c r="J1289" i="1"/>
  <c r="K1289" i="1"/>
  <c r="L1289" i="1"/>
  <c r="N1289" i="1" s="1"/>
  <c r="M1289" i="1"/>
  <c r="O1289" i="1" s="1"/>
  <c r="J1290" i="1"/>
  <c r="K1290" i="1"/>
  <c r="L1290" i="1"/>
  <c r="N1290" i="1" s="1"/>
  <c r="M1290" i="1"/>
  <c r="O1290" i="1" s="1"/>
  <c r="J1292" i="1"/>
  <c r="K1292" i="1"/>
  <c r="L1292" i="1"/>
  <c r="N1292" i="1" s="1"/>
  <c r="M1292" i="1"/>
  <c r="O1292" i="1" s="1"/>
  <c r="J1293" i="1"/>
  <c r="K1293" i="1"/>
  <c r="L1293" i="1"/>
  <c r="N1293" i="1" s="1"/>
  <c r="M1293" i="1"/>
  <c r="O1293" i="1" s="1"/>
  <c r="J1390" i="1"/>
  <c r="K1390" i="1"/>
  <c r="L1390" i="1"/>
  <c r="N1390" i="1" s="1"/>
  <c r="M1390" i="1"/>
  <c r="O1390" i="1" s="1"/>
  <c r="J1298" i="1"/>
  <c r="K1298" i="1"/>
  <c r="L1298" i="1"/>
  <c r="N1298" i="1" s="1"/>
  <c r="M1298" i="1"/>
  <c r="O1298" i="1" s="1"/>
  <c r="J1391" i="1"/>
  <c r="K1391" i="1"/>
  <c r="L1391" i="1"/>
  <c r="N1391" i="1" s="1"/>
  <c r="M1391" i="1"/>
  <c r="O1391" i="1" s="1"/>
  <c r="J1300" i="1"/>
  <c r="K1300" i="1"/>
  <c r="L1300" i="1"/>
  <c r="N1300" i="1" s="1"/>
  <c r="M1300" i="1"/>
  <c r="O1300" i="1" s="1"/>
  <c r="J1301" i="1"/>
  <c r="K1301" i="1"/>
  <c r="L1301" i="1"/>
  <c r="N1301" i="1" s="1"/>
  <c r="M1301" i="1"/>
  <c r="O1301" i="1" s="1"/>
  <c r="J1392" i="1"/>
  <c r="K1392" i="1"/>
  <c r="L1392" i="1"/>
  <c r="N1392" i="1" s="1"/>
  <c r="M1392" i="1"/>
  <c r="O1392" i="1" s="1"/>
  <c r="J1393" i="1"/>
  <c r="K1393" i="1"/>
  <c r="L1393" i="1"/>
  <c r="N1393" i="1" s="1"/>
  <c r="M1393" i="1"/>
  <c r="O1393" i="1" s="1"/>
  <c r="J1304" i="1"/>
  <c r="K1304" i="1"/>
  <c r="L1304" i="1"/>
  <c r="N1304" i="1" s="1"/>
  <c r="M1304" i="1"/>
  <c r="O1304" i="1" s="1"/>
  <c r="J1394" i="1"/>
  <c r="K1394" i="1"/>
  <c r="L1394" i="1"/>
  <c r="N1394" i="1" s="1"/>
  <c r="M1394" i="1"/>
  <c r="O1394" i="1" s="1"/>
  <c r="J1396" i="1"/>
  <c r="K1396" i="1"/>
  <c r="L1396" i="1"/>
  <c r="N1396" i="1" s="1"/>
  <c r="M1396" i="1"/>
  <c r="O1396" i="1" s="1"/>
  <c r="J1307" i="1"/>
  <c r="K1307" i="1"/>
  <c r="L1307" i="1"/>
  <c r="N1307" i="1" s="1"/>
  <c r="M1307" i="1"/>
  <c r="O1307" i="1" s="1"/>
  <c r="J1308" i="1"/>
  <c r="K1308" i="1"/>
  <c r="L1308" i="1"/>
  <c r="N1308" i="1" s="1"/>
  <c r="M1308" i="1"/>
  <c r="O1308" i="1" s="1"/>
  <c r="J1309" i="1"/>
  <c r="K1309" i="1"/>
  <c r="L1309" i="1"/>
  <c r="N1309" i="1" s="1"/>
  <c r="M1309" i="1"/>
  <c r="O1309" i="1" s="1"/>
  <c r="J1310" i="1"/>
  <c r="K1310" i="1"/>
  <c r="L1310" i="1"/>
  <c r="N1310" i="1" s="1"/>
  <c r="M1310" i="1"/>
  <c r="O1310" i="1" s="1"/>
  <c r="J1397" i="1"/>
  <c r="K1397" i="1"/>
  <c r="L1397" i="1"/>
  <c r="N1397" i="1" s="1"/>
  <c r="M1397" i="1"/>
  <c r="O1397" i="1" s="1"/>
  <c r="J1398" i="1"/>
  <c r="K1398" i="1"/>
  <c r="L1398" i="1"/>
  <c r="N1398" i="1" s="1"/>
  <c r="M1398" i="1"/>
  <c r="O1398" i="1" s="1"/>
  <c r="J1400" i="1"/>
  <c r="K1400" i="1"/>
  <c r="L1400" i="1"/>
  <c r="N1400" i="1" s="1"/>
  <c r="M1400" i="1"/>
  <c r="O1400" i="1" s="1"/>
  <c r="J1402" i="1"/>
  <c r="K1402" i="1"/>
  <c r="L1402" i="1"/>
  <c r="N1402" i="1" s="1"/>
  <c r="M1402" i="1"/>
  <c r="O1402" i="1" s="1"/>
  <c r="J1315" i="1"/>
  <c r="K1315" i="1"/>
  <c r="L1315" i="1"/>
  <c r="N1315" i="1" s="1"/>
  <c r="M1315" i="1"/>
  <c r="O1315" i="1" s="1"/>
  <c r="J1407" i="1"/>
  <c r="K1407" i="1"/>
  <c r="L1407" i="1"/>
  <c r="N1407" i="1" s="1"/>
  <c r="M1407" i="1"/>
  <c r="O1407" i="1" s="1"/>
  <c r="J1317" i="1"/>
  <c r="K1317" i="1"/>
  <c r="L1317" i="1"/>
  <c r="N1317" i="1" s="1"/>
  <c r="M1317" i="1"/>
  <c r="O1317" i="1" s="1"/>
  <c r="J1322" i="1"/>
  <c r="K1322" i="1"/>
  <c r="L1322" i="1"/>
  <c r="N1322" i="1" s="1"/>
  <c r="M1322" i="1"/>
  <c r="O1322" i="1" s="1"/>
  <c r="J1323" i="1"/>
  <c r="K1323" i="1"/>
  <c r="L1323" i="1"/>
  <c r="N1323" i="1" s="1"/>
  <c r="M1323" i="1"/>
  <c r="O1323" i="1" s="1"/>
  <c r="J1324" i="1"/>
  <c r="K1324" i="1"/>
  <c r="L1324" i="1"/>
  <c r="N1324" i="1" s="1"/>
  <c r="M1324" i="1"/>
  <c r="O1324" i="1" s="1"/>
  <c r="J1335" i="1"/>
  <c r="K1335" i="1"/>
  <c r="L1335" i="1"/>
  <c r="N1335" i="1" s="1"/>
  <c r="M1335" i="1"/>
  <c r="O1335" i="1" s="1"/>
  <c r="J1336" i="1"/>
  <c r="K1336" i="1"/>
  <c r="L1336" i="1"/>
  <c r="N1336" i="1" s="1"/>
  <c r="M1336" i="1"/>
  <c r="O1336" i="1" s="1"/>
  <c r="J1337" i="1"/>
  <c r="K1337" i="1"/>
  <c r="L1337" i="1"/>
  <c r="N1337" i="1" s="1"/>
  <c r="M1337" i="1"/>
  <c r="O1337" i="1" s="1"/>
  <c r="S1281" i="1"/>
  <c r="S1282" i="1"/>
  <c r="S1283" i="1"/>
  <c r="S1284" i="1"/>
  <c r="S1285" i="1"/>
  <c r="S1322" i="1"/>
  <c r="S1323" i="1"/>
  <c r="S1324" i="1"/>
  <c r="S1025" i="1"/>
  <c r="S1335" i="1"/>
  <c r="S1293" i="1"/>
  <c r="S1292" i="1"/>
  <c r="S1280" i="1"/>
  <c r="S1407" i="1"/>
  <c r="S1267" i="1"/>
  <c r="S1268" i="1"/>
  <c r="S1276" i="1"/>
  <c r="S1277" i="1"/>
  <c r="S1278" i="1"/>
  <c r="S1286" i="1"/>
  <c r="S1389" i="1"/>
  <c r="S1288" i="1"/>
  <c r="S1289" i="1"/>
  <c r="S1290" i="1"/>
  <c r="S1328" i="1"/>
  <c r="S1374" i="1"/>
  <c r="S1383" i="1"/>
  <c r="S1384" i="1"/>
  <c r="S1385" i="1"/>
  <c r="S1386" i="1"/>
  <c r="S1331" i="1"/>
  <c r="S1160" i="1"/>
  <c r="S1270" i="1"/>
  <c r="S159" i="1"/>
  <c r="S1075" i="1"/>
  <c r="S1265" i="1"/>
  <c r="S941" i="1"/>
  <c r="S1117" i="1"/>
  <c r="S1209" i="1"/>
  <c r="S1076" i="1"/>
  <c r="S1210" i="1"/>
  <c r="S1240" i="1"/>
  <c r="S1373" i="1"/>
  <c r="S1271" i="1"/>
  <c r="S1272" i="1"/>
  <c r="S1390" i="1"/>
  <c r="S1397" i="1"/>
  <c r="S1391" i="1"/>
  <c r="S1394" i="1"/>
  <c r="S1392" i="1"/>
  <c r="S1393" i="1"/>
  <c r="S1398" i="1"/>
  <c r="S1400" i="1"/>
  <c r="S1402" i="1"/>
  <c r="S1396" i="1"/>
  <c r="S1300" i="1"/>
  <c r="S1304" i="1"/>
  <c r="S1315" i="1"/>
  <c r="S1307" i="1"/>
  <c r="S1308" i="1"/>
  <c r="S1298" i="1"/>
  <c r="S1301" i="1"/>
  <c r="S1309" i="1"/>
  <c r="S1310" i="1"/>
  <c r="S1266" i="1"/>
  <c r="P1362" i="1"/>
  <c r="S1236" i="1" l="1"/>
  <c r="S1317" i="1"/>
  <c r="S1244" i="1"/>
  <c r="S1362" i="1"/>
  <c r="D1362" i="1"/>
  <c r="S1101" i="1"/>
  <c r="S1150" i="1"/>
  <c r="S1258" i="1"/>
  <c r="G131" i="1"/>
  <c r="G163" i="1"/>
  <c r="G1453" i="1"/>
  <c r="G1438" i="1"/>
  <c r="G1433" i="1"/>
  <c r="G1448" i="1"/>
  <c r="G1393" i="1"/>
  <c r="B1473" i="1"/>
  <c r="G1398" i="1"/>
  <c r="B1616" i="1" s="1"/>
  <c r="G1400" i="1"/>
  <c r="G1407" i="1"/>
  <c r="G1373" i="1"/>
  <c r="G1402" i="1"/>
  <c r="B1481" i="1" s="1"/>
  <c r="G1397" i="1"/>
  <c r="G1394" i="1"/>
  <c r="G1392" i="1"/>
  <c r="G1391" i="1"/>
  <c r="B1519" i="1"/>
  <c r="G1396" i="1"/>
  <c r="G1390" i="1"/>
  <c r="G1331" i="1"/>
  <c r="G1386" i="1"/>
  <c r="G1383" i="1"/>
  <c r="G1320" i="1"/>
  <c r="G1385" i="1"/>
  <c r="G1374" i="1"/>
  <c r="G1384" i="1"/>
  <c r="G1328" i="1"/>
  <c r="B2397" i="1"/>
  <c r="B1897" i="1"/>
  <c r="G1389" i="1"/>
  <c r="G51" i="1"/>
  <c r="G1375" i="1"/>
  <c r="B2121" i="1" s="1"/>
  <c r="G1368" i="1"/>
  <c r="G1354" i="1"/>
  <c r="G1371" i="1"/>
  <c r="G1316" i="1"/>
  <c r="G1376" i="1"/>
  <c r="G1361" i="1"/>
  <c r="G1362" i="1"/>
  <c r="G1347" i="1"/>
  <c r="G1359" i="1"/>
  <c r="G1348" i="1"/>
  <c r="B1546" i="1"/>
  <c r="G1340" i="1"/>
  <c r="G1358" i="1"/>
  <c r="G1360" i="1"/>
  <c r="B1540" i="1" s="1"/>
  <c r="G1344" i="1"/>
  <c r="G1346" i="1"/>
  <c r="G1339" i="1"/>
  <c r="G1311" i="1"/>
  <c r="G1231" i="1"/>
  <c r="G1138" i="1"/>
  <c r="G1306" i="1"/>
  <c r="G1241" i="1"/>
  <c r="G1238" i="1"/>
  <c r="G1225" i="1"/>
  <c r="G1201" i="1"/>
  <c r="G1193" i="1"/>
  <c r="B2192" i="1" s="1"/>
  <c r="G1135" i="1"/>
  <c r="G1314" i="1"/>
  <c r="G1313" i="1"/>
  <c r="G1237" i="1"/>
  <c r="G1305" i="1"/>
  <c r="G1303" i="1"/>
  <c r="G1302" i="1"/>
  <c r="G1275" i="1"/>
  <c r="G1264" i="1"/>
  <c r="G1269" i="1"/>
  <c r="G1297" i="1"/>
  <c r="G1299" i="1"/>
  <c r="B1549" i="1" s="1"/>
  <c r="G1260" i="1"/>
  <c r="G1263" i="1"/>
  <c r="G1262" i="1"/>
  <c r="G1261" i="1"/>
  <c r="G1252" i="1"/>
  <c r="G1287" i="1"/>
  <c r="G102" i="1"/>
  <c r="B103" i="1" s="1"/>
  <c r="G45" i="1"/>
  <c r="G1230" i="1"/>
  <c r="G1220" i="1"/>
  <c r="G50" i="1"/>
  <c r="G1228" i="1"/>
  <c r="G1223" i="1"/>
  <c r="G1208" i="1"/>
  <c r="P1215" i="1"/>
  <c r="B112" i="1" l="1"/>
  <c r="B1312" i="1"/>
  <c r="B1466" i="1"/>
  <c r="B2033" i="1"/>
  <c r="B2259" i="1"/>
  <c r="B1703" i="1"/>
  <c r="B1460" i="1"/>
  <c r="B143" i="1"/>
  <c r="B1671" i="1"/>
  <c r="B1419" i="1"/>
  <c r="B1410" i="1"/>
  <c r="B1486" i="1"/>
  <c r="B1545" i="1"/>
  <c r="B2194" i="1"/>
  <c r="S1085" i="1"/>
  <c r="S1215" i="1"/>
  <c r="D1215" i="1"/>
  <c r="C1375" i="1"/>
  <c r="C1374" i="1"/>
  <c r="B1386" i="1"/>
  <c r="C1386" i="1"/>
  <c r="C1391" i="1"/>
  <c r="C1397" i="1"/>
  <c r="C163" i="1"/>
  <c r="C131" i="1"/>
  <c r="B1385" i="1"/>
  <c r="C1385" i="1"/>
  <c r="B1392" i="1"/>
  <c r="C1392" i="1"/>
  <c r="B1402" i="1"/>
  <c r="C1402" i="1"/>
  <c r="B1400" i="1"/>
  <c r="C1400" i="1"/>
  <c r="B1393" i="1"/>
  <c r="C1393" i="1"/>
  <c r="C1433" i="1"/>
  <c r="C1376" i="1"/>
  <c r="B1390" i="1"/>
  <c r="C1390" i="1"/>
  <c r="C1394" i="1"/>
  <c r="C1407" i="1"/>
  <c r="C1438" i="1"/>
  <c r="C1389" i="1"/>
  <c r="C1384" i="1"/>
  <c r="B1383" i="1"/>
  <c r="C1383" i="1"/>
  <c r="C1396" i="1"/>
  <c r="C1398" i="1"/>
  <c r="C1448" i="1"/>
  <c r="C1453" i="1"/>
  <c r="C1208" i="1"/>
  <c r="C1228" i="1"/>
  <c r="C102" i="1"/>
  <c r="C1262" i="1"/>
  <c r="C1264" i="1"/>
  <c r="C1314" i="1"/>
  <c r="C1306" i="1"/>
  <c r="C1340" i="1"/>
  <c r="C1347" i="1"/>
  <c r="C1354" i="1"/>
  <c r="B1332" i="1"/>
  <c r="C1287" i="1"/>
  <c r="C1263" i="1"/>
  <c r="C1305" i="1"/>
  <c r="C1135" i="1"/>
  <c r="C1238" i="1"/>
  <c r="C1138" i="1"/>
  <c r="C1346" i="1"/>
  <c r="C1344" i="1"/>
  <c r="C1361" i="1"/>
  <c r="C1368" i="1"/>
  <c r="B1368" i="1"/>
  <c r="C1220" i="1"/>
  <c r="C1230" i="1"/>
  <c r="C1261" i="1"/>
  <c r="C1299" i="1"/>
  <c r="C1302" i="1"/>
  <c r="C1303" i="1"/>
  <c r="C1313" i="1"/>
  <c r="C1225" i="1"/>
  <c r="C1339" i="1"/>
  <c r="C1373" i="1"/>
  <c r="C50" i="1"/>
  <c r="C1260" i="1"/>
  <c r="C1297" i="1"/>
  <c r="C1275" i="1"/>
  <c r="C1237" i="1"/>
  <c r="C1193" i="1"/>
  <c r="C1241" i="1"/>
  <c r="C1231" i="1"/>
  <c r="C1360" i="1"/>
  <c r="C1348" i="1"/>
  <c r="C1371" i="1"/>
  <c r="B1371" i="1"/>
  <c r="C51" i="1"/>
  <c r="C1328" i="1"/>
  <c r="B1328" i="1"/>
  <c r="C1320" i="1"/>
  <c r="C1331" i="1"/>
  <c r="B1331" i="1"/>
  <c r="C1223" i="1"/>
  <c r="C45" i="1"/>
  <c r="C1252" i="1"/>
  <c r="C1269" i="1"/>
  <c r="C1201" i="1"/>
  <c r="C1311" i="1"/>
  <c r="C1358" i="1"/>
  <c r="C1359" i="1"/>
  <c r="C1362" i="1"/>
  <c r="C1316" i="1"/>
  <c r="G1207" i="1"/>
  <c r="G1217" i="1"/>
  <c r="G1219" i="1"/>
  <c r="G1218" i="1"/>
  <c r="B1657" i="1" s="1"/>
  <c r="G1212" i="1"/>
  <c r="B1690" i="1"/>
  <c r="B1531" i="1"/>
  <c r="G1216" i="1"/>
  <c r="G1215" i="1"/>
  <c r="G162" i="1"/>
  <c r="G1214" i="1"/>
  <c r="G1041" i="1"/>
  <c r="B2358" i="1"/>
  <c r="B1967" i="1"/>
  <c r="G842" i="1"/>
  <c r="G958" i="1"/>
  <c r="G1049" i="1"/>
  <c r="G978" i="1"/>
  <c r="B1808" i="1" s="1"/>
  <c r="G1093" i="1"/>
  <c r="G833" i="1"/>
  <c r="G874" i="1"/>
  <c r="G960" i="1"/>
  <c r="G953" i="1"/>
  <c r="G826" i="1"/>
  <c r="G1120" i="1"/>
  <c r="G969" i="1"/>
  <c r="B1241" i="1" l="1"/>
  <c r="B1533" i="1"/>
  <c r="B1705" i="1"/>
  <c r="B1534" i="1"/>
  <c r="B163" i="1"/>
  <c r="B1538" i="1"/>
  <c r="B2620" i="1"/>
  <c r="B1584" i="1"/>
  <c r="B1895" i="1"/>
  <c r="C1212" i="1"/>
  <c r="C960" i="1"/>
  <c r="B1216" i="1"/>
  <c r="C1216" i="1"/>
  <c r="C1218" i="1"/>
  <c r="C953" i="1"/>
  <c r="C1215" i="1"/>
  <c r="C978" i="1"/>
  <c r="C1093" i="1"/>
  <c r="C1041" i="1"/>
  <c r="C1217" i="1"/>
  <c r="C969" i="1"/>
  <c r="C1120" i="1"/>
  <c r="C1049" i="1"/>
  <c r="C1214" i="1"/>
  <c r="C958" i="1"/>
  <c r="C162" i="1"/>
  <c r="C1219" i="1"/>
  <c r="C1207" i="1"/>
  <c r="C874" i="1"/>
  <c r="C826" i="1"/>
  <c r="C833" i="1"/>
  <c r="C842" i="1"/>
  <c r="G1131" i="1"/>
  <c r="G1129" i="1"/>
  <c r="G1128" i="1"/>
  <c r="G1122" i="1"/>
  <c r="G1132" i="1"/>
  <c r="G1136" i="1"/>
  <c r="P1192" i="1"/>
  <c r="W942" i="1"/>
  <c r="P929" i="1"/>
  <c r="P814" i="1"/>
  <c r="B134" i="1" l="1"/>
  <c r="B1438" i="1"/>
  <c r="B2039" i="1"/>
  <c r="B1207" i="1"/>
  <c r="B2376" i="1"/>
  <c r="B1446" i="1"/>
  <c r="S1027" i="1"/>
  <c r="S814" i="1"/>
  <c r="D814" i="1"/>
  <c r="S808" i="1"/>
  <c r="S846" i="1"/>
  <c r="S888" i="1"/>
  <c r="S1192" i="1"/>
  <c r="D1192" i="1"/>
  <c r="S648" i="1"/>
  <c r="S887" i="1"/>
  <c r="S678" i="1"/>
  <c r="S848" i="1"/>
  <c r="S929" i="1"/>
  <c r="D929" i="1"/>
  <c r="S845" i="1"/>
  <c r="S729" i="1"/>
  <c r="S844" i="1"/>
  <c r="S863" i="1"/>
  <c r="C1128" i="1"/>
  <c r="C1136" i="1"/>
  <c r="B1136" i="1"/>
  <c r="C1129" i="1"/>
  <c r="C1122" i="1"/>
  <c r="C1132" i="1"/>
  <c r="C1131" i="1"/>
  <c r="G1151" i="1"/>
  <c r="G1148" i="1"/>
  <c r="G366" i="1"/>
  <c r="G1161" i="1"/>
  <c r="B1287" i="1" s="1"/>
  <c r="G1192" i="1"/>
  <c r="B1492" i="1" s="1"/>
  <c r="G1174" i="1"/>
  <c r="B1227" i="1" s="1"/>
  <c r="G1145" i="1"/>
  <c r="G1172" i="1"/>
  <c r="G1158" i="1"/>
  <c r="B2254" i="1"/>
  <c r="G1199" i="1"/>
  <c r="G1185" i="1"/>
  <c r="G1179" i="1"/>
  <c r="B1261" i="1" s="1"/>
  <c r="G1173" i="1"/>
  <c r="G1149" i="1"/>
  <c r="G1140" i="1"/>
  <c r="G614" i="1"/>
  <c r="G925" i="1"/>
  <c r="G919" i="1"/>
  <c r="G976" i="1"/>
  <c r="G1086" i="1"/>
  <c r="G1133" i="1"/>
  <c r="G1134" i="1"/>
  <c r="B1454" i="1"/>
  <c r="G741" i="1"/>
  <c r="G1092" i="1"/>
  <c r="G1091" i="1"/>
  <c r="G1123" i="1"/>
  <c r="B1513" i="1" s="1"/>
  <c r="G1127" i="1"/>
  <c r="G1087" i="1"/>
  <c r="G1098" i="1"/>
  <c r="B1360" i="1"/>
  <c r="G1090" i="1"/>
  <c r="B1738" i="1" s="1"/>
  <c r="G1109" i="1"/>
  <c r="G1096" i="1"/>
  <c r="G1054" i="1"/>
  <c r="G1053" i="1"/>
  <c r="C1053" i="1" s="1"/>
  <c r="B1129" i="1"/>
  <c r="G1099" i="1"/>
  <c r="G1114" i="1"/>
  <c r="G1113" i="1"/>
  <c r="G1056" i="1"/>
  <c r="G1065" i="1"/>
  <c r="G1059" i="1"/>
  <c r="B1334" i="1" s="1"/>
  <c r="G1055" i="1"/>
  <c r="G1081" i="1"/>
  <c r="G1074" i="1"/>
  <c r="G1112" i="1"/>
  <c r="G1071" i="1"/>
  <c r="G1115" i="1"/>
  <c r="G1116" i="1"/>
  <c r="G1046" i="1"/>
  <c r="G1064" i="1"/>
  <c r="G1119" i="1"/>
  <c r="G1089" i="1"/>
  <c r="G46" i="1"/>
  <c r="G1088" i="1"/>
  <c r="G96" i="1"/>
  <c r="B51" i="1" s="1"/>
  <c r="G1095" i="1"/>
  <c r="G965" i="1"/>
  <c r="G970" i="1"/>
  <c r="G1040" i="1"/>
  <c r="G1043" i="1"/>
  <c r="G1044" i="1"/>
  <c r="G1042" i="1"/>
  <c r="G1039" i="1"/>
  <c r="G981" i="1"/>
  <c r="G972" i="1"/>
  <c r="G1033" i="1"/>
  <c r="B1354" i="1" s="1"/>
  <c r="G1037" i="1"/>
  <c r="G1020" i="1"/>
  <c r="G990" i="1"/>
  <c r="G1000" i="1"/>
  <c r="G1024" i="1"/>
  <c r="G984" i="1"/>
  <c r="G1012" i="1"/>
  <c r="G989" i="1"/>
  <c r="G991" i="1"/>
  <c r="G983" i="1"/>
  <c r="B1626" i="1"/>
  <c r="G932" i="1"/>
  <c r="G962" i="1"/>
  <c r="G933" i="1"/>
  <c r="G931" i="1"/>
  <c r="B123" i="1" s="1"/>
  <c r="G959" i="1"/>
  <c r="G949" i="1"/>
  <c r="B1359" i="1" s="1"/>
  <c r="G942" i="1"/>
  <c r="B1340" i="1" s="1"/>
  <c r="G945" i="1"/>
  <c r="B2307" i="1"/>
  <c r="G943" i="1"/>
  <c r="G164" i="1"/>
  <c r="B165" i="1" s="1"/>
  <c r="G952" i="1"/>
  <c r="G947" i="1"/>
  <c r="G944" i="1"/>
  <c r="G951" i="1"/>
  <c r="G948" i="1"/>
  <c r="B1358" i="1"/>
  <c r="G935" i="1"/>
  <c r="G905" i="1"/>
  <c r="D141" i="1"/>
  <c r="P725" i="1"/>
  <c r="P727" i="1"/>
  <c r="B168" i="1" l="1"/>
  <c r="B1527" i="1"/>
  <c r="B1433" i="1"/>
  <c r="B1234" i="1"/>
  <c r="B1344" i="1"/>
  <c r="B1346" i="1"/>
  <c r="B1717" i="1"/>
  <c r="B1407" i="1"/>
  <c r="B2396" i="1"/>
  <c r="B1320" i="1"/>
  <c r="B1462" i="1"/>
  <c r="B1311" i="1"/>
  <c r="B1201" i="1"/>
  <c r="B1861" i="1"/>
  <c r="B1228" i="1"/>
  <c r="B1554" i="1"/>
  <c r="B2513" i="1"/>
  <c r="B2125" i="1"/>
  <c r="B1347" i="1"/>
  <c r="B1225" i="1"/>
  <c r="B1548" i="1"/>
  <c r="B1547" i="1"/>
  <c r="B2209" i="1"/>
  <c r="B1872" i="1"/>
  <c r="B2038" i="1"/>
  <c r="C1042" i="1"/>
  <c r="B1391" i="1"/>
  <c r="B1121" i="1"/>
  <c r="B2167" i="1"/>
  <c r="B2184" i="1"/>
  <c r="B1857" i="1"/>
  <c r="S569" i="1"/>
  <c r="S727" i="1"/>
  <c r="D727" i="1"/>
  <c r="S725" i="1"/>
  <c r="D725" i="1"/>
  <c r="S568" i="1"/>
  <c r="C935" i="1"/>
  <c r="C1012" i="1"/>
  <c r="B1012" i="1"/>
  <c r="C943" i="1"/>
  <c r="C931" i="1"/>
  <c r="C962" i="1"/>
  <c r="B46" i="1"/>
  <c r="C46" i="1"/>
  <c r="C1081" i="1"/>
  <c r="C1056" i="1"/>
  <c r="C1090" i="1"/>
  <c r="C1086" i="1"/>
  <c r="C1148" i="1"/>
  <c r="B1148" i="1"/>
  <c r="C952" i="1"/>
  <c r="C942" i="1"/>
  <c r="C932" i="1"/>
  <c r="C991" i="1"/>
  <c r="B991" i="1"/>
  <c r="C989" i="1"/>
  <c r="B989" i="1"/>
  <c r="B1024" i="1"/>
  <c r="C1024" i="1"/>
  <c r="B1000" i="1"/>
  <c r="C1000" i="1"/>
  <c r="C1037" i="1"/>
  <c r="C972" i="1"/>
  <c r="B1040" i="1"/>
  <c r="C1040" i="1"/>
  <c r="C1089" i="1"/>
  <c r="C1074" i="1"/>
  <c r="C1055" i="1"/>
  <c r="B1113" i="1"/>
  <c r="C1113" i="1"/>
  <c r="C1099" i="1"/>
  <c r="B1096" i="1"/>
  <c r="C1096" i="1"/>
  <c r="C1087" i="1"/>
  <c r="B1087" i="1"/>
  <c r="C1091" i="1"/>
  <c r="C919" i="1"/>
  <c r="C1179" i="1"/>
  <c r="B1179" i="1"/>
  <c r="C1199" i="1"/>
  <c r="C1158" i="1"/>
  <c r="C1145" i="1"/>
  <c r="B1145" i="1"/>
  <c r="C1161" i="1"/>
  <c r="B1161" i="1"/>
  <c r="C951" i="1"/>
  <c r="C959" i="1"/>
  <c r="B947" i="1"/>
  <c r="C947" i="1"/>
  <c r="C945" i="1"/>
  <c r="C933" i="1"/>
  <c r="C983" i="1"/>
  <c r="C984" i="1"/>
  <c r="C1020" i="1"/>
  <c r="C1043" i="1"/>
  <c r="C1095" i="1"/>
  <c r="C1046" i="1"/>
  <c r="B1112" i="1"/>
  <c r="C1112" i="1"/>
  <c r="C1054" i="1"/>
  <c r="C1127" i="1"/>
  <c r="C1092" i="1"/>
  <c r="C1173" i="1"/>
  <c r="C905" i="1"/>
  <c r="C948" i="1"/>
  <c r="C944" i="1"/>
  <c r="C164" i="1"/>
  <c r="B949" i="1"/>
  <c r="C949" i="1"/>
  <c r="B990" i="1"/>
  <c r="C990" i="1"/>
  <c r="B960" i="1"/>
  <c r="C981" i="1"/>
  <c r="C96" i="1"/>
  <c r="B96" i="1"/>
  <c r="C1119" i="1"/>
  <c r="C1064" i="1"/>
  <c r="C1116" i="1"/>
  <c r="C1115" i="1"/>
  <c r="C1059" i="1"/>
  <c r="C1109" i="1"/>
  <c r="B1109" i="1"/>
  <c r="C1123" i="1"/>
  <c r="B1123" i="1"/>
  <c r="B1134" i="1"/>
  <c r="C1134" i="1"/>
  <c r="C1140" i="1"/>
  <c r="C1185" i="1"/>
  <c r="C1174" i="1"/>
  <c r="B1174" i="1"/>
  <c r="B1151" i="1"/>
  <c r="C1151" i="1"/>
  <c r="B1128" i="1"/>
  <c r="C1033" i="1"/>
  <c r="B1039" i="1"/>
  <c r="C1039" i="1"/>
  <c r="C1044" i="1"/>
  <c r="B970" i="1"/>
  <c r="C970" i="1"/>
  <c r="C965" i="1"/>
  <c r="B969" i="1"/>
  <c r="C1088" i="1"/>
  <c r="B1071" i="1"/>
  <c r="C1071" i="1"/>
  <c r="C1065" i="1"/>
  <c r="C1114" i="1"/>
  <c r="B1114" i="1"/>
  <c r="C1098" i="1"/>
  <c r="B1098" i="1"/>
  <c r="C1133" i="1"/>
  <c r="C976" i="1"/>
  <c r="B976" i="1"/>
  <c r="B978" i="1"/>
  <c r="C925" i="1"/>
  <c r="C1149" i="1"/>
  <c r="B1149" i="1"/>
  <c r="B1172" i="1"/>
  <c r="C1172" i="1"/>
  <c r="C1192" i="1"/>
  <c r="B1193" i="1"/>
  <c r="C741" i="1"/>
  <c r="C614" i="1"/>
  <c r="C366" i="1"/>
  <c r="G704" i="1"/>
  <c r="G693" i="1"/>
  <c r="G107" i="1"/>
  <c r="P650" i="1"/>
  <c r="D650" i="1" s="1"/>
  <c r="P649" i="1"/>
  <c r="D649" i="1" s="1"/>
  <c r="P617" i="1"/>
  <c r="D617" i="1" s="1"/>
  <c r="D612" i="1"/>
  <c r="P605" i="1"/>
  <c r="D605" i="1" s="1"/>
  <c r="P610" i="1"/>
  <c r="D610" i="1" s="1"/>
  <c r="P611" i="1"/>
  <c r="D611" i="1" s="1"/>
  <c r="P559" i="1"/>
  <c r="D559" i="1" s="1"/>
  <c r="P551" i="1"/>
  <c r="D551" i="1" s="1"/>
  <c r="B1158" i="1" l="1"/>
  <c r="C693" i="1"/>
  <c r="C704" i="1"/>
  <c r="C107" i="1"/>
  <c r="G686" i="1"/>
  <c r="P558" i="1"/>
  <c r="D558" i="1" s="1"/>
  <c r="B1237" i="1" l="1"/>
  <c r="C686" i="1"/>
  <c r="P543" i="1"/>
  <c r="D543" i="1" s="1"/>
  <c r="P539" i="1"/>
  <c r="D539" i="1" s="1"/>
  <c r="P538" i="1"/>
  <c r="D538" i="1" s="1"/>
  <c r="P522" i="1"/>
  <c r="D522" i="1" s="1"/>
  <c r="P516" i="1"/>
  <c r="D516" i="1" s="1"/>
  <c r="P482" i="1"/>
  <c r="D482" i="1" s="1"/>
  <c r="P453" i="1"/>
  <c r="D462" i="1"/>
  <c r="D453" i="1" l="1"/>
  <c r="S453" i="1"/>
  <c r="S10" i="1" s="1"/>
  <c r="G490" i="1"/>
  <c r="G484" i="1"/>
  <c r="G18" i="1"/>
  <c r="G155" i="1"/>
  <c r="B1796" i="1"/>
  <c r="G462" i="1"/>
  <c r="G453" i="1"/>
  <c r="G466" i="1"/>
  <c r="G472" i="1"/>
  <c r="G465" i="1"/>
  <c r="G471" i="1"/>
  <c r="B1647" i="1" l="1"/>
  <c r="C453" i="1"/>
  <c r="C18" i="1"/>
  <c r="C466" i="1"/>
  <c r="C155" i="1"/>
  <c r="C465" i="1"/>
  <c r="C462" i="1"/>
  <c r="C484" i="1"/>
  <c r="C490" i="1"/>
  <c r="C471" i="1"/>
  <c r="C472" i="1"/>
  <c r="J619" i="1"/>
  <c r="K619" i="1"/>
  <c r="L619" i="1"/>
  <c r="N619" i="1" s="1"/>
  <c r="M619" i="1"/>
  <c r="O619" i="1" s="1"/>
  <c r="P444" i="1"/>
  <c r="D444" i="1" s="1"/>
  <c r="P429" i="1"/>
  <c r="D429" i="1" s="1"/>
  <c r="P438" i="1"/>
  <c r="D438" i="1" s="1"/>
  <c r="P351" i="1"/>
  <c r="D351" i="1" l="1"/>
  <c r="G922" i="1"/>
  <c r="B1055" i="1" s="1"/>
  <c r="G929" i="1"/>
  <c r="G921" i="1"/>
  <c r="B202" i="1"/>
  <c r="G920" i="1"/>
  <c r="G872" i="1"/>
  <c r="G918" i="1"/>
  <c r="B919" i="1" s="1"/>
  <c r="G794" i="1"/>
  <c r="G912" i="1"/>
  <c r="G908" i="1"/>
  <c r="B207" i="1"/>
  <c r="G41" i="1"/>
  <c r="G907" i="1"/>
  <c r="G873" i="1"/>
  <c r="B1397" i="1"/>
  <c r="G897" i="1"/>
  <c r="G889" i="1"/>
  <c r="B225" i="1"/>
  <c r="G885" i="1"/>
  <c r="G891" i="1"/>
  <c r="B1398" i="1" s="1"/>
  <c r="G886" i="1"/>
  <c r="G883" i="1"/>
  <c r="G892" i="1"/>
  <c r="B1394" i="1"/>
  <c r="G879" i="1"/>
  <c r="G876" i="1"/>
  <c r="G875" i="1"/>
  <c r="G839" i="1"/>
  <c r="B2380" i="1"/>
  <c r="G871" i="1"/>
  <c r="G870" i="1"/>
  <c r="G869" i="1"/>
  <c r="B2892" i="1" s="1"/>
  <c r="G867" i="1"/>
  <c r="G866" i="1"/>
  <c r="B1375" i="1" s="1"/>
  <c r="G865" i="1"/>
  <c r="G852" i="1"/>
  <c r="G843" i="1"/>
  <c r="B1313" i="1" s="1"/>
  <c r="G837" i="1"/>
  <c r="G822" i="1"/>
  <c r="G821" i="1"/>
  <c r="G760" i="1"/>
  <c r="G791" i="1"/>
  <c r="B72" i="1" s="1"/>
  <c r="G789" i="1"/>
  <c r="G820" i="1"/>
  <c r="B945" i="1"/>
  <c r="B944" i="1"/>
  <c r="B2067" i="1"/>
  <c r="G807" i="1"/>
  <c r="G798" i="1"/>
  <c r="G814" i="1"/>
  <c r="G809" i="1"/>
  <c r="G805" i="1"/>
  <c r="G797" i="1"/>
  <c r="G819" i="1"/>
  <c r="G810" i="1"/>
  <c r="B1468" i="1" s="1"/>
  <c r="G801" i="1"/>
  <c r="G795" i="1"/>
  <c r="G793" i="1"/>
  <c r="G161" i="1"/>
  <c r="G788" i="1"/>
  <c r="G796" i="1"/>
  <c r="G754" i="1"/>
  <c r="B2963" i="1"/>
  <c r="B2757" i="1"/>
  <c r="G787" i="1"/>
  <c r="G785" i="1"/>
  <c r="G784" i="1"/>
  <c r="G774" i="1"/>
  <c r="G773" i="1"/>
  <c r="G764" i="1"/>
  <c r="G753" i="1"/>
  <c r="G283" i="1"/>
  <c r="G763" i="1"/>
  <c r="B1064" i="1" s="1"/>
  <c r="G757" i="1"/>
  <c r="G751" i="1"/>
  <c r="G750" i="1"/>
  <c r="G742" i="1"/>
  <c r="G626" i="1"/>
  <c r="G625" i="1"/>
  <c r="G573" i="1"/>
  <c r="B2116" i="1"/>
  <c r="B1514" i="1"/>
  <c r="G734" i="1"/>
  <c r="G491" i="1"/>
  <c r="G597" i="1"/>
  <c r="G683" i="1"/>
  <c r="G572" i="1"/>
  <c r="G663" i="1"/>
  <c r="G621" i="1"/>
  <c r="B1192" i="1"/>
  <c r="G141" i="1"/>
  <c r="G11" i="1"/>
  <c r="G710" i="1"/>
  <c r="G730" i="1"/>
  <c r="G727" i="1"/>
  <c r="G725" i="1"/>
  <c r="G719" i="1"/>
  <c r="G715" i="1"/>
  <c r="G723" i="1"/>
  <c r="G717" i="1"/>
  <c r="G716" i="1"/>
  <c r="G714" i="1"/>
  <c r="G709" i="1"/>
  <c r="G688" i="1"/>
  <c r="G687" i="1"/>
  <c r="G662" i="1"/>
  <c r="G118" i="1"/>
  <c r="G195" i="1"/>
  <c r="G80" i="1"/>
  <c r="G685" i="1"/>
  <c r="G684" i="1"/>
  <c r="B1056" i="1" s="1"/>
  <c r="G682" i="1"/>
  <c r="G681" i="1"/>
  <c r="G676" i="1"/>
  <c r="B704" i="1" s="1"/>
  <c r="G657" i="1"/>
  <c r="G675" i="1"/>
  <c r="G669" i="1"/>
  <c r="G48" i="1"/>
  <c r="B50" i="1" s="1"/>
  <c r="G100" i="1"/>
  <c r="G642" i="1"/>
  <c r="G633" i="1"/>
  <c r="G656" i="1"/>
  <c r="G639" i="1"/>
  <c r="G640" i="1"/>
  <c r="G650" i="1"/>
  <c r="B1173" i="1" s="1"/>
  <c r="G649" i="1"/>
  <c r="G651" i="1"/>
  <c r="G644" i="1"/>
  <c r="G638" i="1"/>
  <c r="G637" i="1"/>
  <c r="G113" i="1"/>
  <c r="G632" i="1"/>
  <c r="G26" i="1"/>
  <c r="G636" i="1"/>
  <c r="G47" i="1"/>
  <c r="G634" i="1"/>
  <c r="G627" i="1"/>
  <c r="G930" i="1"/>
  <c r="G622" i="1"/>
  <c r="G616" i="1"/>
  <c r="G620" i="1"/>
  <c r="G617" i="1"/>
  <c r="G571" i="1"/>
  <c r="G596" i="1"/>
  <c r="G590" i="1"/>
  <c r="G570" i="1"/>
  <c r="G613" i="1"/>
  <c r="G612" i="1"/>
  <c r="B1049" i="1" s="1"/>
  <c r="G611" i="1"/>
  <c r="G957" i="1"/>
  <c r="B958" i="1" s="1"/>
  <c r="G610" i="1"/>
  <c r="G605" i="1"/>
  <c r="G600" i="1"/>
  <c r="B1760" i="1"/>
  <c r="G588" i="1"/>
  <c r="G587" i="1"/>
  <c r="G589" i="1"/>
  <c r="G585" i="1"/>
  <c r="G564" i="1"/>
  <c r="G562" i="1"/>
  <c r="G210" i="1"/>
  <c r="G153" i="1"/>
  <c r="G561" i="1"/>
  <c r="G560" i="1"/>
  <c r="G559" i="1"/>
  <c r="G551" i="1"/>
  <c r="G558" i="1"/>
  <c r="B1215" i="1" s="1"/>
  <c r="G557" i="1"/>
  <c r="B1652" i="1" s="1"/>
  <c r="B1264" i="1"/>
  <c r="G544" i="1"/>
  <c r="G549" i="1"/>
  <c r="G542" i="1"/>
  <c r="G543" i="1"/>
  <c r="G511" i="1"/>
  <c r="G506" i="1"/>
  <c r="G505" i="1"/>
  <c r="G504" i="1"/>
  <c r="B1728" i="1" s="1"/>
  <c r="G503" i="1"/>
  <c r="G502" i="1"/>
  <c r="G497" i="1"/>
  <c r="B2479" i="1" s="1"/>
  <c r="G539" i="1"/>
  <c r="G538" i="1"/>
  <c r="G526" i="1"/>
  <c r="G521" i="1"/>
  <c r="G537" i="1"/>
  <c r="G523" i="1"/>
  <c r="B1252" i="1" s="1"/>
  <c r="G517" i="1"/>
  <c r="G536" i="1"/>
  <c r="G522" i="1"/>
  <c r="B1116" i="1" s="1"/>
  <c r="G516" i="1"/>
  <c r="P382" i="1"/>
  <c r="D382" i="1" s="1"/>
  <c r="P386" i="1"/>
  <c r="D386" i="1" s="1"/>
  <c r="P385" i="1"/>
  <c r="D385" i="1" s="1"/>
  <c r="P381" i="1"/>
  <c r="D381" i="1" s="1"/>
  <c r="Q42" i="1"/>
  <c r="D42" i="1" s="1"/>
  <c r="B154" i="1" l="1"/>
  <c r="P10" i="1"/>
  <c r="B2909" i="1"/>
  <c r="B2449" i="1"/>
  <c r="B2961" i="1"/>
  <c r="B1135" i="1"/>
  <c r="B2409" i="1"/>
  <c r="B102" i="1"/>
  <c r="B1120" i="1"/>
  <c r="B2122" i="1"/>
  <c r="B1362" i="1"/>
  <c r="B1095" i="1"/>
  <c r="B1348" i="1"/>
  <c r="B1741" i="1"/>
  <c r="B1655" i="1"/>
  <c r="B472" i="1"/>
  <c r="B1455" i="1"/>
  <c r="B148" i="1"/>
  <c r="B1574" i="1"/>
  <c r="B2326" i="1"/>
  <c r="B285" i="1"/>
  <c r="B1384" i="1"/>
  <c r="B1089" i="1"/>
  <c r="B1585" i="1"/>
  <c r="B1306" i="1"/>
  <c r="B1333" i="1"/>
  <c r="B1185" i="1"/>
  <c r="B1477" i="1"/>
  <c r="B1119" i="1"/>
  <c r="B1376" i="1"/>
  <c r="B1759" i="1"/>
  <c r="B959" i="1"/>
  <c r="B1862" i="1"/>
  <c r="B1491" i="1"/>
  <c r="B1088" i="1"/>
  <c r="B2241" i="1"/>
  <c r="B1503" i="1"/>
  <c r="B1550" i="1"/>
  <c r="B1065" i="1"/>
  <c r="B984" i="1"/>
  <c r="B1262" i="1"/>
  <c r="B1260" i="1"/>
  <c r="B1037" i="1"/>
  <c r="B1648" i="1"/>
  <c r="B201" i="1"/>
  <c r="B1642" i="1"/>
  <c r="B833" i="1"/>
  <c r="B1600" i="1"/>
  <c r="B1133" i="1"/>
  <c r="B962" i="1"/>
  <c r="B933" i="1"/>
  <c r="B942" i="1"/>
  <c r="B1396" i="1"/>
  <c r="B2202" i="1"/>
  <c r="B1474" i="1"/>
  <c r="B1303" i="1"/>
  <c r="B1199" i="1"/>
  <c r="B1042" i="1"/>
  <c r="B294" i="1"/>
  <c r="B2432" i="1"/>
  <c r="B1361" i="1"/>
  <c r="B1090" i="1"/>
  <c r="B2263" i="1"/>
  <c r="B1799" i="1"/>
  <c r="B1044" i="1"/>
  <c r="B1218" i="1"/>
  <c r="B177" i="1"/>
  <c r="B1302" i="1"/>
  <c r="B1673" i="1"/>
  <c r="B1716" i="1"/>
  <c r="B1140" i="1"/>
  <c r="B1305" i="1"/>
  <c r="B1091" i="1"/>
  <c r="B905" i="1"/>
  <c r="B132" i="1"/>
  <c r="B948" i="1"/>
  <c r="B951" i="1"/>
  <c r="B935" i="1"/>
  <c r="B943" i="1"/>
  <c r="B2487" i="1"/>
  <c r="B164" i="1"/>
  <c r="B952" i="1"/>
  <c r="B1099" i="1"/>
  <c r="B2032" i="1"/>
  <c r="B1074" i="1"/>
  <c r="B1138" i="1"/>
  <c r="B1718" i="1"/>
  <c r="B1297" i="1"/>
  <c r="B1702" i="1"/>
  <c r="B2387" i="1"/>
  <c r="B473" i="1"/>
  <c r="B1465" i="1"/>
  <c r="B1953" i="1"/>
  <c r="B1823" i="1"/>
  <c r="B1791" i="1"/>
  <c r="B1059" i="1"/>
  <c r="B2391" i="1"/>
  <c r="B1957" i="1"/>
  <c r="B1339" i="1"/>
  <c r="B2087" i="1"/>
  <c r="B1131" i="1"/>
  <c r="B1389" i="1"/>
  <c r="B1715" i="1"/>
  <c r="B1269" i="1"/>
  <c r="B1614" i="1"/>
  <c r="B1539" i="1"/>
  <c r="B1572" i="1"/>
  <c r="B1785" i="1"/>
  <c r="B2262" i="1"/>
  <c r="B1220" i="1"/>
  <c r="B466" i="1"/>
  <c r="B1734" i="1"/>
  <c r="B1669" i="1"/>
  <c r="B907" i="1"/>
  <c r="C907" i="1"/>
  <c r="C929" i="1"/>
  <c r="B922" i="1"/>
  <c r="C922" i="1"/>
  <c r="B891" i="1"/>
  <c r="C891" i="1"/>
  <c r="B41" i="1"/>
  <c r="C41" i="1"/>
  <c r="B921" i="1"/>
  <c r="C921" i="1"/>
  <c r="B892" i="1"/>
  <c r="C892" i="1"/>
  <c r="B908" i="1"/>
  <c r="C908" i="1"/>
  <c r="B918" i="1"/>
  <c r="C918" i="1"/>
  <c r="B930" i="1"/>
  <c r="C930" i="1"/>
  <c r="B931" i="1"/>
  <c r="C957" i="1"/>
  <c r="B897" i="1"/>
  <c r="C897" i="1"/>
  <c r="C912" i="1"/>
  <c r="B920" i="1"/>
  <c r="C920" i="1"/>
  <c r="C785" i="1"/>
  <c r="B774" i="1"/>
  <c r="C774" i="1"/>
  <c r="B787" i="1"/>
  <c r="C787" i="1"/>
  <c r="C788" i="1"/>
  <c r="C757" i="1"/>
  <c r="C784" i="1"/>
  <c r="B784" i="1"/>
  <c r="B161" i="1"/>
  <c r="C161" i="1"/>
  <c r="C773" i="1"/>
  <c r="B773" i="1"/>
  <c r="C763" i="1"/>
  <c r="B764" i="1"/>
  <c r="C764" i="1"/>
  <c r="B760" i="1"/>
  <c r="C760" i="1"/>
  <c r="C753" i="1"/>
  <c r="B753" i="1"/>
  <c r="C283" i="1"/>
  <c r="B283" i="1"/>
  <c r="B742" i="1"/>
  <c r="C742" i="1"/>
  <c r="B754" i="1"/>
  <c r="C754" i="1"/>
  <c r="C751" i="1"/>
  <c r="B751" i="1"/>
  <c r="B750" i="1"/>
  <c r="C750" i="1"/>
  <c r="B741" i="1"/>
  <c r="C719" i="1"/>
  <c r="B719" i="1"/>
  <c r="B717" i="1"/>
  <c r="C717" i="1"/>
  <c r="C714" i="1"/>
  <c r="B714" i="1"/>
  <c r="C723" i="1"/>
  <c r="B723" i="1"/>
  <c r="C725" i="1"/>
  <c r="C734" i="1"/>
  <c r="C730" i="1"/>
  <c r="B730" i="1"/>
  <c r="C716" i="1"/>
  <c r="B716" i="1"/>
  <c r="B715" i="1"/>
  <c r="C715" i="1"/>
  <c r="B727" i="1"/>
  <c r="C727" i="1"/>
  <c r="B688" i="1"/>
  <c r="C688" i="1"/>
  <c r="B693" i="1"/>
  <c r="B11" i="1"/>
  <c r="C11" i="1"/>
  <c r="B80" i="1"/>
  <c r="C80" i="1"/>
  <c r="B709" i="1"/>
  <c r="C709" i="1"/>
  <c r="B195" i="1"/>
  <c r="C195" i="1"/>
  <c r="B141" i="1"/>
  <c r="C141" i="1"/>
  <c r="B686" i="1"/>
  <c r="B118" i="1"/>
  <c r="C118" i="1"/>
  <c r="B687" i="1"/>
  <c r="C687" i="1"/>
  <c r="B710" i="1"/>
  <c r="C710" i="1"/>
  <c r="B649" i="1"/>
  <c r="C649" i="1"/>
  <c r="C681" i="1"/>
  <c r="B681" i="1"/>
  <c r="B684" i="1"/>
  <c r="C684" i="1"/>
  <c r="C683" i="1"/>
  <c r="B683" i="1"/>
  <c r="B644" i="1"/>
  <c r="C644" i="1"/>
  <c r="B669" i="1"/>
  <c r="C669" i="1"/>
  <c r="C675" i="1"/>
  <c r="B682" i="1"/>
  <c r="C682" i="1"/>
  <c r="C685" i="1"/>
  <c r="B685" i="1"/>
  <c r="C651" i="1"/>
  <c r="C663" i="1"/>
  <c r="B663" i="1"/>
  <c r="C650" i="1"/>
  <c r="B650" i="1"/>
  <c r="C656" i="1"/>
  <c r="C657" i="1"/>
  <c r="B676" i="1"/>
  <c r="C676" i="1"/>
  <c r="B662" i="1"/>
  <c r="C662" i="1"/>
  <c r="B600" i="1"/>
  <c r="C600" i="1"/>
  <c r="B613" i="1"/>
  <c r="C613" i="1"/>
  <c r="B636" i="1"/>
  <c r="C636" i="1"/>
  <c r="B637" i="1"/>
  <c r="C637" i="1"/>
  <c r="B640" i="1"/>
  <c r="C640" i="1"/>
  <c r="C633" i="1"/>
  <c r="B48" i="1"/>
  <c r="C48" i="1"/>
  <c r="B626" i="1"/>
  <c r="C626" i="1"/>
  <c r="B605" i="1"/>
  <c r="C605" i="1"/>
  <c r="C610" i="1"/>
  <c r="B617" i="1"/>
  <c r="C617" i="1"/>
  <c r="C634" i="1"/>
  <c r="B26" i="1"/>
  <c r="C26" i="1"/>
  <c r="C638" i="1"/>
  <c r="B621" i="1"/>
  <c r="C621" i="1"/>
  <c r="B614" i="1"/>
  <c r="B611" i="1"/>
  <c r="C611" i="1"/>
  <c r="C620" i="1"/>
  <c r="B632" i="1"/>
  <c r="C632" i="1"/>
  <c r="B639" i="1"/>
  <c r="C639" i="1"/>
  <c r="C642" i="1"/>
  <c r="B612" i="1"/>
  <c r="C612" i="1"/>
  <c r="C616" i="1"/>
  <c r="B622" i="1"/>
  <c r="C622" i="1"/>
  <c r="C627" i="1"/>
  <c r="B47" i="1"/>
  <c r="C47" i="1"/>
  <c r="C113" i="1"/>
  <c r="B100" i="1"/>
  <c r="C100" i="1"/>
  <c r="C625" i="1"/>
  <c r="C537" i="1"/>
  <c r="B544" i="1"/>
  <c r="C544" i="1"/>
  <c r="C558" i="1"/>
  <c r="B560" i="1"/>
  <c r="C560" i="1"/>
  <c r="B536" i="1"/>
  <c r="C536" i="1"/>
  <c r="B521" i="1"/>
  <c r="C521" i="1"/>
  <c r="C497" i="1"/>
  <c r="C502" i="1"/>
  <c r="B506" i="1"/>
  <c r="C506" i="1"/>
  <c r="B543" i="1"/>
  <c r="C543" i="1"/>
  <c r="B551" i="1"/>
  <c r="C551" i="1"/>
  <c r="C561" i="1"/>
  <c r="B564" i="1"/>
  <c r="C564" i="1"/>
  <c r="C585" i="1"/>
  <c r="C588" i="1"/>
  <c r="C570" i="1"/>
  <c r="C571" i="1"/>
  <c r="C597" i="1"/>
  <c r="B517" i="1"/>
  <c r="C517" i="1"/>
  <c r="C526" i="1"/>
  <c r="C503" i="1"/>
  <c r="C542" i="1"/>
  <c r="B153" i="1"/>
  <c r="C153" i="1"/>
  <c r="B589" i="1"/>
  <c r="C589" i="1"/>
  <c r="B590" i="1"/>
  <c r="C590" i="1"/>
  <c r="C491" i="1"/>
  <c r="C573" i="1"/>
  <c r="C522" i="1"/>
  <c r="C539" i="1"/>
  <c r="C505" i="1"/>
  <c r="C562" i="1"/>
  <c r="B516" i="1"/>
  <c r="C516" i="1"/>
  <c r="B523" i="1"/>
  <c r="C523" i="1"/>
  <c r="C538" i="1"/>
  <c r="C504" i="1"/>
  <c r="B511" i="1"/>
  <c r="C511" i="1"/>
  <c r="C549" i="1"/>
  <c r="B557" i="1"/>
  <c r="C557" i="1"/>
  <c r="C559" i="1"/>
  <c r="B210" i="1"/>
  <c r="C210" i="1"/>
  <c r="B587" i="1"/>
  <c r="C587" i="1"/>
  <c r="C596" i="1"/>
  <c r="B572" i="1"/>
  <c r="C572" i="1"/>
  <c r="C793" i="1"/>
  <c r="B793" i="1"/>
  <c r="B801" i="1"/>
  <c r="C801" i="1"/>
  <c r="B797" i="1"/>
  <c r="C797" i="1"/>
  <c r="C820" i="1"/>
  <c r="C843" i="1"/>
  <c r="C867" i="1"/>
  <c r="B871" i="1"/>
  <c r="C871" i="1"/>
  <c r="C886" i="1"/>
  <c r="B886" i="1"/>
  <c r="C805" i="1"/>
  <c r="B805" i="1"/>
  <c r="C814" i="1"/>
  <c r="B814" i="1"/>
  <c r="C789" i="1"/>
  <c r="B789" i="1"/>
  <c r="C822" i="1"/>
  <c r="C852" i="1"/>
  <c r="B852" i="1"/>
  <c r="B869" i="1"/>
  <c r="C869" i="1"/>
  <c r="B826" i="1"/>
  <c r="C889" i="1"/>
  <c r="B889" i="1"/>
  <c r="C794" i="1"/>
  <c r="C810" i="1"/>
  <c r="C809" i="1"/>
  <c r="B809" i="1"/>
  <c r="C798" i="1"/>
  <c r="B798" i="1"/>
  <c r="C791" i="1"/>
  <c r="C837" i="1"/>
  <c r="B837" i="1"/>
  <c r="C865" i="1"/>
  <c r="C839" i="1"/>
  <c r="B839" i="1"/>
  <c r="B875" i="1"/>
  <c r="C875" i="1"/>
  <c r="C876" i="1"/>
  <c r="B876" i="1"/>
  <c r="C885" i="1"/>
  <c r="B885" i="1"/>
  <c r="C796" i="1"/>
  <c r="B796" i="1"/>
  <c r="C795" i="1"/>
  <c r="C819" i="1"/>
  <c r="B819" i="1"/>
  <c r="B807" i="1"/>
  <c r="C807" i="1"/>
  <c r="C821" i="1"/>
  <c r="C866" i="1"/>
  <c r="C870" i="1"/>
  <c r="B870" i="1"/>
  <c r="C879" i="1"/>
  <c r="B879" i="1"/>
  <c r="B883" i="1"/>
  <c r="C883" i="1"/>
  <c r="C873" i="1"/>
  <c r="C872" i="1"/>
  <c r="B872" i="1"/>
  <c r="B1605" i="1"/>
  <c r="G399" i="1"/>
  <c r="B503" i="1"/>
  <c r="G424" i="1"/>
  <c r="G428" i="1"/>
  <c r="G445" i="1"/>
  <c r="G451" i="1"/>
  <c r="B155" i="1"/>
  <c r="G452" i="1"/>
  <c r="G956" i="1"/>
  <c r="B1571" i="1" s="1"/>
  <c r="G481" i="1"/>
  <c r="G482" i="1"/>
  <c r="G483" i="1"/>
  <c r="G496" i="1"/>
  <c r="B788" i="1" l="1"/>
  <c r="B596" i="1"/>
  <c r="B1299" i="1"/>
  <c r="B795" i="1"/>
  <c r="B932" i="1"/>
  <c r="B465" i="1"/>
  <c r="B2498" i="1"/>
  <c r="B462" i="1"/>
  <c r="B1758" i="1"/>
  <c r="B657" i="1"/>
  <c r="B734" i="1"/>
  <c r="B1115" i="1"/>
  <c r="B1219" i="1"/>
  <c r="B957" i="1"/>
  <c r="B502" i="1"/>
  <c r="B505" i="1"/>
  <c r="B453" i="1"/>
  <c r="B820" i="1"/>
  <c r="B791" i="1"/>
  <c r="B1478" i="1"/>
  <c r="B1737" i="1"/>
  <c r="C956" i="1"/>
  <c r="C496" i="1"/>
  <c r="C452" i="1"/>
  <c r="B490" i="1"/>
  <c r="C428" i="1"/>
  <c r="C445" i="1"/>
  <c r="C482" i="1"/>
  <c r="B18" i="1"/>
  <c r="B481" i="1"/>
  <c r="C481" i="1"/>
  <c r="C424" i="1"/>
  <c r="C483" i="1"/>
  <c r="C451" i="1"/>
  <c r="C399" i="1"/>
  <c r="D321" i="1"/>
  <c r="H3" i="1" s="1"/>
  <c r="G420" i="1" l="1"/>
  <c r="G443" i="1"/>
  <c r="G438" i="1"/>
  <c r="G429" i="1"/>
  <c r="G441" i="1"/>
  <c r="G437" i="1"/>
  <c r="G444" i="1"/>
  <c r="G436" i="1"/>
  <c r="G110" i="1"/>
  <c r="G415" i="1"/>
  <c r="G414" i="1"/>
  <c r="G409" i="1"/>
  <c r="G196" i="1"/>
  <c r="B2701" i="1"/>
  <c r="G405" i="1"/>
  <c r="G43" i="1"/>
  <c r="G955" i="1"/>
  <c r="G402" i="1"/>
  <c r="B1604" i="1"/>
  <c r="G396" i="1"/>
  <c r="G392" i="1"/>
  <c r="G108" i="1"/>
  <c r="B109" i="1" s="1"/>
  <c r="B1590" i="1"/>
  <c r="B1275" i="1"/>
  <c r="B597" i="1"/>
  <c r="B794" i="1"/>
  <c r="B2948" i="1"/>
  <c r="G390" i="1"/>
  <c r="G391" i="1"/>
  <c r="G351" i="1"/>
  <c r="B539" i="1" s="1"/>
  <c r="G386" i="1"/>
  <c r="G385" i="1"/>
  <c r="G384" i="1"/>
  <c r="G379" i="1"/>
  <c r="G381" i="1"/>
  <c r="G378" i="1"/>
  <c r="G382" i="1"/>
  <c r="G380" i="1"/>
  <c r="G377" i="1"/>
  <c r="G369" i="1"/>
  <c r="G375" i="1"/>
  <c r="G374" i="1"/>
  <c r="G372" i="1"/>
  <c r="G370" i="1"/>
  <c r="G365" i="1"/>
  <c r="G364" i="1"/>
  <c r="G363" i="1"/>
  <c r="G356" i="1"/>
  <c r="G352" i="1"/>
  <c r="G42" i="1"/>
  <c r="B131" i="1" s="1"/>
  <c r="G350" i="1"/>
  <c r="B638" i="1" s="1"/>
  <c r="G324" i="1"/>
  <c r="G349" i="1"/>
  <c r="G339" i="1"/>
  <c r="G338" i="1"/>
  <c r="G337" i="1"/>
  <c r="G330" i="1"/>
  <c r="G329" i="1"/>
  <c r="G92" i="1"/>
  <c r="G328" i="1"/>
  <c r="G327" i="1"/>
  <c r="G326" i="1"/>
  <c r="G325" i="1"/>
  <c r="B1020" i="1"/>
  <c r="G227" i="1"/>
  <c r="G323" i="1"/>
  <c r="B634" i="1"/>
  <c r="B842" i="1"/>
  <c r="G322" i="1"/>
  <c r="B152" i="1"/>
  <c r="B2123" i="1"/>
  <c r="B1053" i="1"/>
  <c r="G321" i="1"/>
  <c r="B585" i="1" s="1"/>
  <c r="G316" i="1"/>
  <c r="G313" i="1"/>
  <c r="B1512" i="1" s="1"/>
  <c r="G302" i="1"/>
  <c r="G318" i="1"/>
  <c r="G315" i="1"/>
  <c r="G305" i="1"/>
  <c r="G300" i="1"/>
  <c r="G317" i="1"/>
  <c r="B558" i="1" s="1"/>
  <c r="G314" i="1"/>
  <c r="G304" i="1"/>
  <c r="G49" i="1"/>
  <c r="B44" i="1" l="1"/>
  <c r="B45" i="1"/>
  <c r="B2320" i="1"/>
  <c r="B111" i="1"/>
  <c r="B2907" i="1"/>
  <c r="B1453" i="1"/>
  <c r="B482" i="1"/>
  <c r="B113" i="1"/>
  <c r="B1709" i="1"/>
  <c r="B1651" i="1"/>
  <c r="B1081" i="1"/>
  <c r="B504" i="1"/>
  <c r="B1520" i="1"/>
  <c r="B1557" i="1"/>
  <c r="B1504" i="1"/>
  <c r="B965" i="1"/>
  <c r="B1448" i="1"/>
  <c r="B497" i="1"/>
  <c r="B625" i="1"/>
  <c r="B1127" i="1"/>
  <c r="B162" i="1"/>
  <c r="B2450" i="1"/>
  <c r="B867" i="1"/>
  <c r="B866" i="1"/>
  <c r="B1092" i="1"/>
  <c r="B627" i="1"/>
  <c r="B2692" i="1"/>
  <c r="B1263" i="1"/>
  <c r="B445" i="1"/>
  <c r="B1742" i="1"/>
  <c r="B1316" i="1"/>
  <c r="B471" i="1"/>
  <c r="B2117" i="1"/>
  <c r="B1558" i="1"/>
  <c r="B1860" i="1"/>
  <c r="B620" i="1"/>
  <c r="B1223" i="1"/>
  <c r="B1388" i="1"/>
  <c r="B526" i="1"/>
  <c r="B616" i="1"/>
  <c r="B1374" i="1"/>
  <c r="B1217" i="1"/>
  <c r="B1956" i="1"/>
  <c r="B925" i="1"/>
  <c r="B570" i="1"/>
  <c r="B763" i="1"/>
  <c r="B2681" i="1"/>
  <c r="B167" i="1"/>
  <c r="B573" i="1"/>
  <c r="B1952" i="1"/>
  <c r="B549" i="1"/>
  <c r="B522" i="1"/>
  <c r="B484" i="1"/>
  <c r="B542" i="1"/>
  <c r="B537" i="1"/>
  <c r="B571" i="1"/>
  <c r="B1230" i="1"/>
  <c r="B1958" i="1"/>
  <c r="B428" i="1"/>
  <c r="B1212" i="1"/>
  <c r="B953" i="1"/>
  <c r="B1041" i="1"/>
  <c r="B107" i="1"/>
  <c r="B1231" i="1"/>
  <c r="B874" i="1"/>
  <c r="B821" i="1"/>
  <c r="B1951" i="1"/>
  <c r="B1463" i="1"/>
  <c r="B633" i="1"/>
  <c r="B610" i="1"/>
  <c r="B1033" i="1"/>
  <c r="B588" i="1"/>
  <c r="B559" i="1"/>
  <c r="B865" i="1"/>
  <c r="B166" i="1"/>
  <c r="B843" i="1"/>
  <c r="B1043" i="1"/>
  <c r="B656" i="1"/>
  <c r="B1046" i="1"/>
  <c r="B483" i="1"/>
  <c r="B451" i="1"/>
  <c r="B912" i="1"/>
  <c r="B929" i="1"/>
  <c r="B2429" i="1"/>
  <c r="B1214" i="1"/>
  <c r="B538" i="1"/>
  <c r="B496" i="1"/>
  <c r="B452" i="1"/>
  <c r="B642" i="1"/>
  <c r="B822" i="1"/>
  <c r="B1132" i="1"/>
  <c r="B562" i="1"/>
  <c r="B1122" i="1"/>
  <c r="B873" i="1"/>
  <c r="B757" i="1"/>
  <c r="B1238" i="1"/>
  <c r="B1414" i="1"/>
  <c r="B1093" i="1"/>
  <c r="B1865" i="1"/>
  <c r="B1208" i="1"/>
  <c r="B675" i="1"/>
  <c r="B983" i="1"/>
  <c r="B1493" i="1"/>
  <c r="B561" i="1"/>
  <c r="B1955" i="1"/>
  <c r="B725" i="1"/>
  <c r="B1314" i="1"/>
  <c r="B981" i="1"/>
  <c r="B1567" i="1"/>
  <c r="B1792" i="1"/>
  <c r="B1086" i="1"/>
  <c r="B972" i="1"/>
  <c r="B1373" i="1"/>
  <c r="B2037" i="1"/>
  <c r="B810" i="1"/>
  <c r="B651" i="1"/>
  <c r="B1054" i="1"/>
  <c r="B1582" i="1"/>
  <c r="B1457" i="1"/>
  <c r="B785" i="1"/>
  <c r="B955" i="1"/>
  <c r="C955" i="1"/>
  <c r="B956" i="1"/>
  <c r="B108" i="1"/>
  <c r="C108" i="1"/>
  <c r="B409" i="1"/>
  <c r="C409" i="1"/>
  <c r="C443" i="1"/>
  <c r="B443" i="1"/>
  <c r="B414" i="1"/>
  <c r="C414" i="1"/>
  <c r="B441" i="1"/>
  <c r="C441" i="1"/>
  <c r="B420" i="1"/>
  <c r="C420" i="1"/>
  <c r="B491" i="1"/>
  <c r="B415" i="1"/>
  <c r="C415" i="1"/>
  <c r="B436" i="1"/>
  <c r="C436" i="1"/>
  <c r="B429" i="1"/>
  <c r="C429" i="1"/>
  <c r="B437" i="1"/>
  <c r="C437" i="1"/>
  <c r="B196" i="1"/>
  <c r="C196" i="1"/>
  <c r="B110" i="1"/>
  <c r="C110" i="1"/>
  <c r="B444" i="1"/>
  <c r="C444" i="1"/>
  <c r="B438" i="1"/>
  <c r="C438" i="1"/>
  <c r="B424" i="1"/>
  <c r="B317" i="1"/>
  <c r="C317" i="1"/>
  <c r="B302" i="1"/>
  <c r="C302" i="1"/>
  <c r="B337" i="1"/>
  <c r="C337" i="1"/>
  <c r="B356" i="1"/>
  <c r="C356" i="1"/>
  <c r="B377" i="1"/>
  <c r="C377" i="1"/>
  <c r="B386" i="1"/>
  <c r="C386" i="1"/>
  <c r="B390" i="1"/>
  <c r="C390" i="1"/>
  <c r="B49" i="1"/>
  <c r="C49" i="1"/>
  <c r="B300" i="1"/>
  <c r="C300" i="1"/>
  <c r="B313" i="1"/>
  <c r="C313" i="1"/>
  <c r="B323" i="1"/>
  <c r="C323" i="1"/>
  <c r="B325" i="1"/>
  <c r="C325" i="1"/>
  <c r="B92" i="1"/>
  <c r="C92" i="1"/>
  <c r="B338" i="1"/>
  <c r="C338" i="1"/>
  <c r="B350" i="1"/>
  <c r="C350" i="1"/>
  <c r="B363" i="1"/>
  <c r="C363" i="1"/>
  <c r="B370" i="1"/>
  <c r="C370" i="1"/>
  <c r="B380" i="1"/>
  <c r="C380" i="1"/>
  <c r="B379" i="1"/>
  <c r="C379" i="1"/>
  <c r="B392" i="1"/>
  <c r="C392" i="1"/>
  <c r="C402" i="1"/>
  <c r="B402" i="1"/>
  <c r="C43" i="1"/>
  <c r="B43" i="1"/>
  <c r="B328" i="1"/>
  <c r="C328" i="1"/>
  <c r="B375" i="1"/>
  <c r="C375" i="1"/>
  <c r="B381" i="1"/>
  <c r="C381" i="1"/>
  <c r="B351" i="1"/>
  <c r="C351" i="1"/>
  <c r="B304" i="1"/>
  <c r="C304" i="1"/>
  <c r="B305" i="1"/>
  <c r="C305" i="1"/>
  <c r="B316" i="1"/>
  <c r="C316" i="1"/>
  <c r="B227" i="1"/>
  <c r="C227" i="1"/>
  <c r="B326" i="1"/>
  <c r="C326" i="1"/>
  <c r="B329" i="1"/>
  <c r="C329" i="1"/>
  <c r="B339" i="1"/>
  <c r="C339" i="1"/>
  <c r="B42" i="1"/>
  <c r="C42" i="1"/>
  <c r="B364" i="1"/>
  <c r="C364" i="1"/>
  <c r="B372" i="1"/>
  <c r="C372" i="1"/>
  <c r="B369" i="1"/>
  <c r="C369" i="1"/>
  <c r="B382" i="1"/>
  <c r="C382" i="1"/>
  <c r="B384" i="1"/>
  <c r="C384" i="1"/>
  <c r="B391" i="1"/>
  <c r="C391" i="1"/>
  <c r="C396" i="1"/>
  <c r="B396" i="1"/>
  <c r="B405" i="1"/>
  <c r="C405" i="1"/>
  <c r="B318" i="1"/>
  <c r="C318" i="1"/>
  <c r="B322" i="1"/>
  <c r="C322" i="1"/>
  <c r="B324" i="1"/>
  <c r="C324" i="1"/>
  <c r="B399" i="1"/>
  <c r="B314" i="1"/>
  <c r="C314" i="1"/>
  <c r="B315" i="1"/>
  <c r="C315" i="1"/>
  <c r="B321" i="1"/>
  <c r="C321" i="1"/>
  <c r="B327" i="1"/>
  <c r="C327" i="1"/>
  <c r="B330" i="1"/>
  <c r="C330" i="1"/>
  <c r="B349" i="1"/>
  <c r="C349" i="1"/>
  <c r="B352" i="1"/>
  <c r="C352" i="1"/>
  <c r="B365" i="1"/>
  <c r="C365" i="1"/>
  <c r="B374" i="1"/>
  <c r="C374" i="1"/>
  <c r="B378" i="1"/>
  <c r="C378" i="1"/>
  <c r="B385" i="1"/>
  <c r="C385" i="1"/>
  <c r="B366" i="1"/>
  <c r="H1" i="1" l="1"/>
  <c r="H2" i="1"/>
</calcChain>
</file>

<file path=xl/sharedStrings.xml><?xml version="1.0" encoding="utf-8"?>
<sst xmlns="http://schemas.openxmlformats.org/spreadsheetml/2006/main" count="8443" uniqueCount="2178">
  <si>
    <t>forma de pago</t>
  </si>
  <si>
    <t>BacC</t>
  </si>
  <si>
    <t>BacD</t>
  </si>
  <si>
    <t>DavD</t>
  </si>
  <si>
    <t>PGE C30</t>
  </si>
  <si>
    <t>PGE B31</t>
  </si>
  <si>
    <t>colones</t>
  </si>
  <si>
    <t>dolares</t>
  </si>
  <si>
    <t>Descripcion</t>
  </si>
  <si>
    <t>Fecha</t>
  </si>
  <si>
    <t>identificador</t>
  </si>
  <si>
    <t>diario</t>
  </si>
  <si>
    <t>piscina poolmaxx</t>
  </si>
  <si>
    <t>Michael Medina Corea - semana 25-30 marzo</t>
  </si>
  <si>
    <t>Geyvin Centeno - semana 25-30 marzo</t>
  </si>
  <si>
    <t>Jose Raudez - semana 25-30 marzo</t>
  </si>
  <si>
    <t>Jorge Morales - semana 25-30 marzo</t>
  </si>
  <si>
    <t>Norvin Suarez - semana 25-30 marzo</t>
  </si>
  <si>
    <t>Michael Medina Corea - comida</t>
  </si>
  <si>
    <t>Observaciones</t>
  </si>
  <si>
    <t>este monto se le deposita a Michael medina</t>
  </si>
  <si>
    <t>Exner Grillo - semana 25-30 marzo</t>
  </si>
  <si>
    <t>Exner Grillo - viaticos</t>
  </si>
  <si>
    <t>5 comisiones</t>
  </si>
  <si>
    <t>arranco con 273014.04colones en la cuenta, BAC a 495, ARI a 501.69</t>
  </si>
  <si>
    <t>sinpe movil3 dias de fontanero Aynor gutierrez aguilar</t>
  </si>
  <si>
    <t>$379.40 Transferencia</t>
  </si>
  <si>
    <t>RECALCULO DE CUOTAS DE LA CCSS enero febrero marzo</t>
  </si>
  <si>
    <t>debito con comision $295.37</t>
  </si>
  <si>
    <t>Grillo</t>
  </si>
  <si>
    <t>Toño</t>
  </si>
  <si>
    <t>CASAS MODERNAS DEL PACIFICO SRL - Pintura</t>
  </si>
  <si>
    <t>HIDROTECNOLOGIA SOSTENIBLE HID ROTECO S.A   #2765</t>
  </si>
  <si>
    <t>HIDROTECNOLOGIA SOSTENIBLE HID ROTECO S.A   #1331</t>
  </si>
  <si>
    <t>medina 138+ rocha102+ 50 comida</t>
  </si>
  <si>
    <t>centeno</t>
  </si>
  <si>
    <t>eliecer lacayo</t>
  </si>
  <si>
    <t>donal suarez</t>
  </si>
  <si>
    <t>morales</t>
  </si>
  <si>
    <t>Caja Chica Grillo</t>
  </si>
  <si>
    <t>Suplidora Huacas</t>
  </si>
  <si>
    <t>Pinturas Bohemia Huacas</t>
  </si>
  <si>
    <t>planilla semana del 8 a 13 de abril - michael medina</t>
  </si>
  <si>
    <t>planilla semana del 8 a 13 de abril  - geyvin centeno</t>
  </si>
  <si>
    <t>planilla semana del 8 a 13 de abril  - elicer lacayo</t>
  </si>
  <si>
    <t>planilla semana del 8 a 13 de abril  -  jorge morales</t>
  </si>
  <si>
    <t>planilla semana del 8 a 13 de abril - ronal suarez 136800 + Norvin 102000</t>
  </si>
  <si>
    <t>planilla semana del 8 a 13 de abril  - grillo + 90mil viaticos</t>
  </si>
  <si>
    <t>planilla semana del 8 a 13 de abril  - oscar Rocha + 95mil comida'</t>
  </si>
  <si>
    <t>se deposita a la cuenta de medina</t>
  </si>
  <si>
    <t>Richard</t>
  </si>
  <si>
    <t>7 transferencias sinpe del 13 de abril</t>
  </si>
  <si>
    <t>6 transferencias sinpe del 6 de abril</t>
  </si>
  <si>
    <t>revisar quien pago factura</t>
  </si>
  <si>
    <t>reintegrar PIN desde cuenta dolares Edwin $2177.38 = 1092000</t>
  </si>
  <si>
    <t>reintegrar desde cuenta colones Edwin</t>
  </si>
  <si>
    <t>GRUPO DIEZ - SUPLIDORA HUACAS</t>
  </si>
  <si>
    <t>REINTEGRAR</t>
  </si>
  <si>
    <t>reintegro de factura a mariano</t>
  </si>
  <si>
    <t>Mayerling Joela Prava - Reintegro a Mariano - 24041607</t>
  </si>
  <si>
    <t>ALMACENES EL COLONO - prof # 5685</t>
  </si>
  <si>
    <t>1 DIA DE FERIADO GRILLO</t>
  </si>
  <si>
    <t>Paga Mariano</t>
  </si>
  <si>
    <t>viaje de basura Maria Mora CR56015202001197404922</t>
  </si>
  <si>
    <t>liquidacion Raudez</t>
  </si>
  <si>
    <t>planilla semana del 15 a 20 de abril - michael medina 156400+ oscar rocha 115000+95000comida</t>
  </si>
  <si>
    <t>planilla semana del 15 a 20 de abril  - geyvin centeno</t>
  </si>
  <si>
    <t>planilla semana del 15 a 20 de abril  - elicer lacayo</t>
  </si>
  <si>
    <t>planilla semana del 15 a 20 de abril- ronal suarez 122400+ norvin 115000</t>
  </si>
  <si>
    <t>planilla semana del 15 a 20 de abril  -  jorge morales</t>
  </si>
  <si>
    <t>planilla semana del 15 a 20 de abril  - grillo 230mil+ 90mil viaticos</t>
  </si>
  <si>
    <t>CONSTRUPLAZA LUCES</t>
  </si>
  <si>
    <t>REINTEGRAR A EDWIN</t>
  </si>
  <si>
    <t>reintegrar</t>
  </si>
  <si>
    <t>Distribuidora de materiales textiles 2 rollos</t>
  </si>
  <si>
    <t>trasferencias c30</t>
  </si>
  <si>
    <t>95mil comida deposito a medina</t>
  </si>
  <si>
    <t>planilla semana de 22 al 27 de abril michael medina</t>
  </si>
  <si>
    <t>102mil planilla semana de 22 al 27 de abril oscar rocha deposito a medina</t>
  </si>
  <si>
    <t>planilla semana de 22 al 27 de abril ronald suarez</t>
  </si>
  <si>
    <t>planilla semana de 22 al 27 de abril geyvin centeno</t>
  </si>
  <si>
    <t>planilla semana de 22 al 27 de abril eliecer lacayo</t>
  </si>
  <si>
    <t>planilla semana de 22 al 27 de abril jorge morales</t>
  </si>
  <si>
    <t>102mil planilla semana de 22 al 27 de abril norvin suarez a ronald</t>
  </si>
  <si>
    <t>planilla semana de 22 al 27 de abril grillo + 90mil viaticos</t>
  </si>
  <si>
    <t>Tranferencias</t>
  </si>
  <si>
    <t>Suplidora Huacas - 86438</t>
  </si>
  <si>
    <t>Almacenes El Colono - Huacas</t>
  </si>
  <si>
    <t>Servicentro Jicaral BCH SA</t>
  </si>
  <si>
    <t>Restaurante El Picadero</t>
  </si>
  <si>
    <t>Suplidora Huacas - 86573</t>
  </si>
  <si>
    <t>Kay concept 30042024-kccrg</t>
  </si>
  <si>
    <t>Mariano</t>
  </si>
  <si>
    <t>Mayerling Joela Prava - Reintegro a Mariano - 24042703</t>
  </si>
  <si>
    <t>fact # 536 mover contenedor de C30 3102848345 SRL</t>
  </si>
  <si>
    <t>fact #537 movimiento de tierras 3102848345 SRL</t>
  </si>
  <si>
    <t>comisiones c30</t>
  </si>
  <si>
    <t>$2554.84 debito</t>
  </si>
  <si>
    <t>$455 debito</t>
  </si>
  <si>
    <t>Suplidora Huacas - 86845</t>
  </si>
  <si>
    <t>50% adelanto accesos automaticos</t>
  </si>
  <si>
    <t>$7713 debito DavD</t>
  </si>
  <si>
    <t>50% adelanto accesos automaticos una botonera</t>
  </si>
  <si>
    <t>retira mariano</t>
  </si>
  <si>
    <t>fact #543 movimiento de tierras 3102848345 SRL</t>
  </si>
  <si>
    <t>hay un viaje de c30</t>
  </si>
  <si>
    <t>planilla semana de 29 al 4 de mayo geyvin centeno</t>
  </si>
  <si>
    <t>planilla semana de 29 al 4 de mayo jorge morales</t>
  </si>
  <si>
    <t>planilla semana de 29 al 4 de mayo freddy hernandez aguilar</t>
  </si>
  <si>
    <t>planilla semana de 29 al 4 de mayo exner grillo + 45mil viaticos</t>
  </si>
  <si>
    <t>planilla semana de 29 al 4 de mayo ronald patricio suarez + norvin suarez 115.6mil</t>
  </si>
  <si>
    <t>planilla semana de 29 al 4 de mayo eliecer lacayo + oscar rocha 115.6mil</t>
  </si>
  <si>
    <t>planilla semana de 29 al 4 de mayo michael medina + 95mil comida</t>
  </si>
  <si>
    <t>comision por transferencias</t>
  </si>
  <si>
    <t>arranco con 2,769.15 BAC501</t>
  </si>
  <si>
    <t>cierro con 1224.15</t>
  </si>
  <si>
    <t>saldo 1.110.000</t>
  </si>
  <si>
    <t>Suplidora Huacas - 86975</t>
  </si>
  <si>
    <t>Fontanero - Guitierrez Aguilar A - 1día</t>
  </si>
  <si>
    <t>revisar contenido de factura BREAKER SD QO 240 2P 40A</t>
  </si>
  <si>
    <t>150mil caja chica grillo y 38333.33 de un feriado</t>
  </si>
  <si>
    <t>preaviso raudez</t>
  </si>
  <si>
    <t>RYS ADVISORS - Adelanto Presupuesto Instalación gas LP</t>
  </si>
  <si>
    <t>pagado de CR 8101 0200 0070 3795 1046 PGE C30</t>
  </si>
  <si>
    <t>Aluma Systems CR SA - Cabaña Sanitaria + Depósito AR 06052024-01</t>
  </si>
  <si>
    <t>AS Huacas - Varilla</t>
  </si>
  <si>
    <t>Porceramica - Porcelanato C30 Adicional</t>
  </si>
  <si>
    <t>Almacenes El Colono - Prof # 58643</t>
  </si>
  <si>
    <t>Almacenes El Colono - Prof 58647</t>
  </si>
  <si>
    <t>Beltran Ingeniería Fact 315 - Alarmas</t>
  </si>
  <si>
    <t>Diego Mora - 3m3 Quintilla &amp; 3m3 Polvo de Piedra</t>
  </si>
  <si>
    <t>Poolmaxx Cancela Contrato de Piscina</t>
  </si>
  <si>
    <t xml:space="preserve">Almacenes El Colono - Huacas </t>
  </si>
  <si>
    <t>Tecnolite - Nidux pedido #252</t>
  </si>
  <si>
    <t>Suplidora Huacas - 87453</t>
  </si>
  <si>
    <t xml:space="preserve">Almacenes El Colono - </t>
  </si>
  <si>
    <t>planilla semana de 6 al 11 de mayo. Geyvin Centeno</t>
  </si>
  <si>
    <t>planilla semana de 6 al 11 de mayo. Ronald Suarez + Norvin Suarez 102mil</t>
  </si>
  <si>
    <t>planilla semana de 6 al 11 de mayo. Eliecer Lacayo + Oscar Rocha</t>
  </si>
  <si>
    <t>planilla semana de 6 al 11 de mayo. Jorge Morales</t>
  </si>
  <si>
    <t>planilla semana de 6 al 11 de mayo. Freddy Hernandez</t>
  </si>
  <si>
    <t>planilla semana de 6 al 11 de mayo. Eliecer Mendez Salmeron. Deposito a Medina</t>
  </si>
  <si>
    <t>planilla semana de 6 al 11 de mayo. Michael Medina + 107mil de comida</t>
  </si>
  <si>
    <t xml:space="preserve">planilla semana de 6 al 11 de mayo. Exner Grillo </t>
  </si>
  <si>
    <t>Papagayo Doit Center</t>
  </si>
  <si>
    <t>Suplidora Huacas - 6749</t>
  </si>
  <si>
    <t>Suplidora Huacas - 87677</t>
  </si>
  <si>
    <t>Coopeguanacaste - Electricidad</t>
  </si>
  <si>
    <t>HELVEX - PL741132 CASA PLAYA GRANDE C30</t>
  </si>
  <si>
    <t>ISAAC FRANCISCO MESEN GUERRERO - CONTRATO DE JARDINERIA, PAGO 2</t>
  </si>
  <si>
    <t>Transporte - Un viaje a bodega</t>
  </si>
  <si>
    <t>Caja Chica - Grillo</t>
  </si>
  <si>
    <t xml:space="preserve">Transportes Alfagon - ALEJANDRO ALFARO GONZALEZ - fact # 4798 </t>
  </si>
  <si>
    <t>Suplidora Huacas - 87780</t>
  </si>
  <si>
    <t>LED INSIDE SRL</t>
  </si>
  <si>
    <t>Nimbu Woods - Adelanto 60% repisas de cocina y tablon escritorio</t>
  </si>
  <si>
    <t>Aynos Gutierrez Aguilar - Fontanero - 1 día</t>
  </si>
  <si>
    <t>ECOSISTEMAS SANITARIOS S A - Pago 2</t>
  </si>
  <si>
    <t>Suplidora Huacas - 88030</t>
  </si>
  <si>
    <t>Suplidora Huacas - 88077</t>
  </si>
  <si>
    <t>planilla semana de 13 al 18 de mayo. Geyvin Centeno</t>
  </si>
  <si>
    <t>planilla semana de 13 al 18 de mayo. Ronald Suarez</t>
  </si>
  <si>
    <t>planilla semana de 13 al 18 de mayo. Eliecer Lacayo</t>
  </si>
  <si>
    <t>planilla semana de 13 al 18 de mayo. Norvin Suarez SE DEPOSITA A RONALD</t>
  </si>
  <si>
    <t>planilla semana de 13 al 18 de mayo. Eliecer Mendez SE DEPOSITA A LACAYO</t>
  </si>
  <si>
    <t>planilla semana de 13 al 18 de mayo. Michael Medina</t>
  </si>
  <si>
    <t>planilla semana de 13 al 18 de mayo. Oscar Rocha SE DEPOSITA A MEDINA</t>
  </si>
  <si>
    <t>planilla semana de 13 al 18 de mayo. Jorge Morales</t>
  </si>
  <si>
    <t>comida de la semana SE DEPOSITA A MEDINA</t>
  </si>
  <si>
    <t>planilla semana de 13 al 18 de mayo. Freddy Hernandez</t>
  </si>
  <si>
    <t>planilla semana de 13 al 18 de mayo. Exner Grillo incluye 90mil de viaticos</t>
  </si>
  <si>
    <t>240513 Fontanero Aynor gutierrez aguilar sinpe 62998558 mas comision de $3</t>
  </si>
  <si>
    <t>faltan 500mil ya en cuenta colones</t>
  </si>
  <si>
    <t>AMBITEC</t>
  </si>
  <si>
    <t>Helvex - PG-1736</t>
  </si>
  <si>
    <t>Helvex - PG-1740</t>
  </si>
  <si>
    <t>ATOS DE OCCIDENTE SA - Mueble Lavandería+ Costo de transacción</t>
  </si>
  <si>
    <t>HUACAS MAFERCO 243041</t>
  </si>
  <si>
    <t>AS FLAMINGO - VARILLAS</t>
  </si>
  <si>
    <t>Water Pump Solutions - Sal roca</t>
  </si>
  <si>
    <t>Water Pump Solutions - Limpieza Piscina cloro</t>
  </si>
  <si>
    <t>Grupo Empresarial El Almendro SA - Polvo Piedra 3 mt3</t>
  </si>
  <si>
    <t>Grupo Empresarial El Almendro SA - Quintilla 3mt3</t>
  </si>
  <si>
    <t>Almacenes El Colono - Huacas 59203</t>
  </si>
  <si>
    <t>Almacenes El Colono - Huacas 59223</t>
  </si>
  <si>
    <t>Almacenes El Colono - Huacas prof #59263</t>
  </si>
  <si>
    <t>ECOSISTEMAS SANITARIOS S A - Pago 1</t>
  </si>
  <si>
    <t>Suplidora Huacas - 88288</t>
  </si>
  <si>
    <t>Suplidora Huacas - 88284</t>
  </si>
  <si>
    <t>HDZ Soluciones industriales SRL</t>
  </si>
  <si>
    <t>KAY CONCEPT S.A</t>
  </si>
  <si>
    <t>Suplidora Huacas - 88363</t>
  </si>
  <si>
    <t>Caja Chica C30</t>
  </si>
  <si>
    <t>Almacenes El Colono - Tamarindo 109356</t>
  </si>
  <si>
    <t>Almacenes El Colono - Tamarindo - cot #110074.2</t>
  </si>
  <si>
    <t>Suplidora Huacas - COT 58806</t>
  </si>
  <si>
    <t>Suplidora Huacas - COT 57239</t>
  </si>
  <si>
    <t>TRANSFERENCIA</t>
  </si>
  <si>
    <t>Aluma Systems CR SA - Alquiler Cabaña Sanitaria</t>
  </si>
  <si>
    <t>Suplidora Huacas - 88580</t>
  </si>
  <si>
    <t>Suplidora Huacas - 88581</t>
  </si>
  <si>
    <t>Suplidora Huacas - 88590</t>
  </si>
  <si>
    <t>Almacenes El Colono - Huacas Material Portones</t>
  </si>
  <si>
    <t>Grillo Hernandez Exner - 200mil caja chica + 200mil adelanto de liquidacion</t>
  </si>
  <si>
    <t>MAYERLING JOELA PRAVIA MARENCO - Mariano Acabados</t>
  </si>
  <si>
    <t>Almacenes El Colono prof # 57957 materiales muro</t>
  </si>
  <si>
    <t>Lanco - prof # 1570  super coat blanco</t>
  </si>
  <si>
    <t>Terraequipos #49146 andamios</t>
  </si>
  <si>
    <t>Almacenes El Colono - brocas, PVC, curvas</t>
  </si>
  <si>
    <t>Almacenes El Colono -  lamina de espuma</t>
  </si>
  <si>
    <t>Gollo 3-101-074154 - Microondas PanasonicNN-ST965SRPH</t>
  </si>
  <si>
    <t>Aluma Systems CR SA - Alquiler Cabaña Sanitaria 00066263</t>
  </si>
  <si>
    <t>Terraequipos #50844 andamios</t>
  </si>
  <si>
    <t>AS Huacas</t>
  </si>
  <si>
    <t>Planilla del 20 al 25 de mayo Geyvin Centeno</t>
  </si>
  <si>
    <t>Planilla del 20 al 25 de mayo Eliecer Lacayo</t>
  </si>
  <si>
    <t>Planilla del 20 al 25 de mayo Eliecer Mendez deposito a Eliecer Lacayo</t>
  </si>
  <si>
    <t>Planilla del 20 al 25 de mayo Ronald Suarez</t>
  </si>
  <si>
    <t>Planilla del 20 al 25 de mayo Norvin Suarez se deposita a Ronald Suarez</t>
  </si>
  <si>
    <t>Planilla del 20 al 25 de mayo Michael Medina</t>
  </si>
  <si>
    <t>Planilla del 20 al 25 de mayo Oscar Rocha se deposita a Michael Medina</t>
  </si>
  <si>
    <t>Comida del 20 al 25 de mayo se deposita a Michael Medina</t>
  </si>
  <si>
    <t>Planilla del 20 al 25 de mayo Exner Grillo</t>
  </si>
  <si>
    <t>Viaticos del 20 al 25 de mayo Exner Grillo</t>
  </si>
  <si>
    <t>Planilla del 20 al 25 de mayo Jorge Morales</t>
  </si>
  <si>
    <t>Planilla del 20 al 25 de mayo Freddy Hernandez</t>
  </si>
  <si>
    <t>comisiones por transferencias</t>
  </si>
  <si>
    <t>Alfagon - Alejandro Alfaro Gonzales - Transporte Terrestre de Carga - Electrodomesticos</t>
  </si>
  <si>
    <t>HECTOR CARMONA MEJIA - adelanto 50por100 ducto en cocina</t>
  </si>
  <si>
    <t>NAVAS CARBALLO HECTOR - adelanto portones fachadas C30</t>
  </si>
  <si>
    <t>Almacenes El Colono - Huacas - Prof 60129</t>
  </si>
  <si>
    <t>Ambitec Recibo 14113177 - Plantilla</t>
  </si>
  <si>
    <t>Tipo Cambio</t>
  </si>
  <si>
    <t>Precio en $</t>
  </si>
  <si>
    <t>Caja Chica Grillo - Reintegrar a Edwin</t>
  </si>
  <si>
    <t>Almacenes El Colono - prof #60342 C30</t>
  </si>
  <si>
    <t xml:space="preserve">Almacenes El Colono - prof #60626 b31 </t>
  </si>
  <si>
    <t>Planilla del 27 al 01 junio Geyvin Centeno</t>
  </si>
  <si>
    <t>Planilla del 27 al 01 junio Eliecer Lacayo</t>
  </si>
  <si>
    <t>Planilla del 27 al 01 junio Ronald Suarez</t>
  </si>
  <si>
    <t>Planilla del 27 al 01 junio Norvin Suarez se deposita a Ronald Suarez</t>
  </si>
  <si>
    <t>Planilla del  27 al 01 junio Michael Medina</t>
  </si>
  <si>
    <t>Planilla del  27 al 01 junio Oscar Rocha se deposita a Michael Medina</t>
  </si>
  <si>
    <t>Comida del 27 al 01 junio se deposita a Michael Medina</t>
  </si>
  <si>
    <t>Planilla del  27 al 01 junio Exner Grillo</t>
  </si>
  <si>
    <t>Viaticos del  27 al 01 junio Exner Grillo</t>
  </si>
  <si>
    <t>Planilla del  27 al 01 junio Jorge Morales</t>
  </si>
  <si>
    <t>Planilla del  27 al 01 junio Freddy Hernandez</t>
  </si>
  <si>
    <t>Planilla del  27 al 01 junio Marvin Hernandez Aguilar CR42015114520010263214</t>
  </si>
  <si>
    <t>11 comisiones por transferencias</t>
  </si>
  <si>
    <t>Planilla del  27 al 01 junio Elvis Adrian Flores Vasquez sinpe a grillo</t>
  </si>
  <si>
    <t>Atos DE OCCIDENTE SA - pago de muebles c30</t>
  </si>
  <si>
    <t>Tipo de Cambio de DaVivienda</t>
  </si>
  <si>
    <t>Hector Carmona - Pago #2 Canoas de c30</t>
  </si>
  <si>
    <t>Evelio Rafael Torres -  Enchapes</t>
  </si>
  <si>
    <t>MAYERLING JOELA PRAVIA MARENCO - Adelanto de acabados c30</t>
  </si>
  <si>
    <t xml:space="preserve">Diego Mora - Transporte de basura y electrodomesticos </t>
  </si>
  <si>
    <t>Diego Mora - viaje de polvo de piedra 28 de mayo CR56015202001197404922</t>
  </si>
  <si>
    <t>Mariano - adelanto acabados mariano</t>
  </si>
  <si>
    <t>HECTOR NAVAS CARBALLO adelanto de escalera interna</t>
  </si>
  <si>
    <t>EVELIO Adelanto Evelio</t>
  </si>
  <si>
    <t xml:space="preserve">MARIANO ADELANTO </t>
  </si>
  <si>
    <t>MARIANO ADELANTO</t>
  </si>
  <si>
    <t>MARIANO adelanto mariano acabados</t>
  </si>
  <si>
    <t>Evelio Rafael Torres - Adelanto pega de pisos</t>
  </si>
  <si>
    <t>Fontanero Aynor 1 Día</t>
  </si>
  <si>
    <t>Suplidora Huacas - 89688</t>
  </si>
  <si>
    <t>Almacenes El Colono prof #60913 c208637,5 + c2016</t>
  </si>
  <si>
    <t xml:space="preserve">Water Pump Solutions SA - </t>
  </si>
  <si>
    <t>Almacenes El Colono - Huacas 60963 - (2 Facturas)</t>
  </si>
  <si>
    <t>Planilla 3 al 8 de junio Geyvin Centeno</t>
  </si>
  <si>
    <t>Planilla 3 al 8 de junio eliecer lacayo</t>
  </si>
  <si>
    <t>Planilla 3 al 8 de junio oscar rocha</t>
  </si>
  <si>
    <t>Planilla 3 al 8 de junio norvin suarez</t>
  </si>
  <si>
    <t>Planilla 3 al 8 de junio ronald suarez</t>
  </si>
  <si>
    <t>Planilla 3 al 8 de junio jorge morales</t>
  </si>
  <si>
    <t>Planilla 3 al 8 de junio marvin hernandez</t>
  </si>
  <si>
    <t>Planilla 3 al 8 de junio pablo henriquez</t>
  </si>
  <si>
    <t>Planilla 3 al 8 de junio michael medina</t>
  </si>
  <si>
    <t>Planilla 3 al 8 de junio fredi hernandez</t>
  </si>
  <si>
    <t>Planilla 3 al 8 de junio elvis flores</t>
  </si>
  <si>
    <t>Planilla 3 al 8 de junio exner grillo</t>
  </si>
  <si>
    <t>Planilla 3 al 8 de junio viaticos grillo</t>
  </si>
  <si>
    <t>Planilla 3 al 8 de junio comida</t>
  </si>
  <si>
    <t>un viaje de quintilla y varilla</t>
  </si>
  <si>
    <t>9 comisiones por tranferencias</t>
  </si>
  <si>
    <t>Almacenes El Colono - 61347</t>
  </si>
  <si>
    <t>revisar en carpetas24052002</t>
  </si>
  <si>
    <t>falta documento de pago o factura</t>
  </si>
  <si>
    <t>alquiler de plancha Factura 164</t>
  </si>
  <si>
    <t>HECTOR NAVAS CARBALLO - ALQUILER PLANCHA Compactadora</t>
  </si>
  <si>
    <t>Almacenes El Colono - Huacas PROF # 57138 gypsum</t>
  </si>
  <si>
    <t>Almacenes El Colono - Huacas cot #56810</t>
  </si>
  <si>
    <t>Evelio Rafael Torres - Adelanto Pega Pisos</t>
  </si>
  <si>
    <t>Evelio - Herramienta y equipo de evelio 2do pago</t>
  </si>
  <si>
    <t>Evelio - Herramienta y equipo de evelio CR80010200009565415850</t>
  </si>
  <si>
    <t>Suplidora Huacas - COT 59435 suplidora_materiales_electricos__</t>
  </si>
  <si>
    <t>Suplidora Huacas - COT  #59936 acometida principal</t>
  </si>
  <si>
    <t>Cooperativa de Electrificación Rural de Guanacaste - Multa</t>
  </si>
  <si>
    <t>Cooperativa de Electrificación Rural de Guanacaste - Reconexión</t>
  </si>
  <si>
    <t>Suplidora Huacas - 90141</t>
  </si>
  <si>
    <t>Suplidora Huacas - 90140</t>
  </si>
  <si>
    <t>NaVAS CARBALLO HECTOR -  Pago 2 portones en fachadas</t>
  </si>
  <si>
    <t>RYS Advisors - Pago 2 Cancelación Gas PGE C30</t>
  </si>
  <si>
    <t>Coopeguanacaste -</t>
  </si>
  <si>
    <t>DavC</t>
  </si>
  <si>
    <t>Stonetech SA - 48M MARMOL + Transporte - Pago 1</t>
  </si>
  <si>
    <t>REINTEGRAR EDWIN</t>
  </si>
  <si>
    <t xml:space="preserve">Refrigerador </t>
  </si>
  <si>
    <t>Planilla 10al 15 de junio Geyvin Centeno</t>
  </si>
  <si>
    <t>Planilla 10al 15 de junio eliecer lacayo</t>
  </si>
  <si>
    <t>Planilla 10al 15 de junio norvin suarez</t>
  </si>
  <si>
    <t>Planilla 10al 15 de junio ronald suarez</t>
  </si>
  <si>
    <t>Planilla 10al 15 de junio jorge morales</t>
  </si>
  <si>
    <t>Planilla 10al 15 de junio marvin hernandez</t>
  </si>
  <si>
    <t>Planilla 10al 15 de junio michael medina</t>
  </si>
  <si>
    <t>Planilla 10al 15 de junio comida</t>
  </si>
  <si>
    <t>Planilla 10al 15 de junio oscar rocha</t>
  </si>
  <si>
    <t>Planilla 10al 15 de junio fredi hernandez</t>
  </si>
  <si>
    <t>Planilla 10al 15 de junio exner grillo</t>
  </si>
  <si>
    <t>Planilla 10al 15 de junio viaticos grillo</t>
  </si>
  <si>
    <t>Planilla 10al 15 de junio pablo henriquez</t>
  </si>
  <si>
    <t>Planilla 10al 15 de junio elvis flores</t>
  </si>
  <si>
    <t>total de 2796672 bac a 514, 518.66, transferencia de $5441</t>
  </si>
  <si>
    <t>inicio con 61793.05colones</t>
  </si>
  <si>
    <t>As Huacas</t>
  </si>
  <si>
    <t>Viaje Tony Armando Matarrita Contreras</t>
  </si>
  <si>
    <t>HDZ Soluciones industriales SRL - ToolBox - Escalera</t>
  </si>
  <si>
    <t>8 transferencias</t>
  </si>
  <si>
    <t>Almacenes El Colono - 61040 Adoquín</t>
  </si>
  <si>
    <t>Pago Refri Caja Chica a Lidia Aracely Flores Delgado</t>
  </si>
  <si>
    <t>planilla 17 al 22 de junio geyvin centeno</t>
  </si>
  <si>
    <t>planilla 17 al 22 de junio eliecer lacayo</t>
  </si>
  <si>
    <t>planilla 17 al 22 de junio oscar rocha</t>
  </si>
  <si>
    <t>planilla 17 al 22 de junio norvin suarez</t>
  </si>
  <si>
    <t>planilla 17 al 22 de junio ronald suarez</t>
  </si>
  <si>
    <t>planilla 17 al 22 de junio pablo henriquez</t>
  </si>
  <si>
    <t>planilla 17 al 22 de junio jorge morales</t>
  </si>
  <si>
    <t>planilla 17 al 22 de junio michael medina</t>
  </si>
  <si>
    <t>planilla 17 al 22 de junio fredy hernandez</t>
  </si>
  <si>
    <t>planilla 17 al 22 de junio elvis flores</t>
  </si>
  <si>
    <t>planilla 17 al 22 de junio comida</t>
  </si>
  <si>
    <t>planilla 17 al 22 de junio viaticos</t>
  </si>
  <si>
    <t>planilla 17 al 22 de junio exner grillo</t>
  </si>
  <si>
    <t>planilla 17 al 22 de junio marvin hernandez</t>
  </si>
  <si>
    <t>10 transferencias</t>
  </si>
  <si>
    <t>Grupo Diez - PVC AMANO LTDA</t>
  </si>
  <si>
    <t>HDZ Soluciones industriales SRL - ToolBox - Reparación</t>
  </si>
  <si>
    <t>Accesos Automáticos SA</t>
  </si>
  <si>
    <t>Bella Vida CR Distribuidora SA - Contrato 1</t>
  </si>
  <si>
    <t>Bella Vida CR Distribuidora SA - Contrato 2</t>
  </si>
  <si>
    <t>NAVAS CARBALLO HECTOR -  Pago 3 portones</t>
  </si>
  <si>
    <t>CRISTHIAM VASQUEZ RODRIGUEZ - SUPER Y LICORERA REY</t>
  </si>
  <si>
    <t>Suplidora Huacas - 91349</t>
  </si>
  <si>
    <t>Suplidora Huacas - 91356</t>
  </si>
  <si>
    <t>Grupo Empresarial El Almendro SA - 3mt3 Piedra Quintilla</t>
  </si>
  <si>
    <t>Grupo Empresarial El Almendro SA - 3mt3 Polvo de Piedra</t>
  </si>
  <si>
    <t>35000 Tarjeta + 7840 Efectivo + 5840 Adelanto</t>
  </si>
  <si>
    <t>Factura de 115666, queda saldo 17632,16 Repartido en 3 saldos de 5877,4</t>
  </si>
  <si>
    <t>CoopeGuanacaste - Refrigeradora</t>
  </si>
  <si>
    <t>Debolución de Refri de 744146,81 + 89848,56</t>
  </si>
  <si>
    <t>Bomba Huacas - Combustible</t>
  </si>
  <si>
    <t>Gasolinera Sabana Guanacasteca</t>
  </si>
  <si>
    <t>Expocerámica Acabados SA - Huacas</t>
  </si>
  <si>
    <t>HDZ Soluciones industriales SRL - ToolBox - Hidrolavadora</t>
  </si>
  <si>
    <t>Suplidora Huacas - 6992</t>
  </si>
  <si>
    <t>Suplidora Huacas - 90637</t>
  </si>
  <si>
    <t>Entregado 29452,3.  Total Factura 22050,01. Saldo a favor de 8203.2+11249</t>
  </si>
  <si>
    <t>Almacenes El Colono - Efectivo</t>
  </si>
  <si>
    <t>Bomba Huacas - Combustible (Gasolina de la Plancha)</t>
  </si>
  <si>
    <t>Water Pump Solutions - manguera, valvula - sinpe</t>
  </si>
  <si>
    <t>planilla 24 a 29 de junio geyvin centeno</t>
  </si>
  <si>
    <t>planilla 24 a 29 de junio eliecer lacayo</t>
  </si>
  <si>
    <t>planilla 24 a 29 de junio norvin suarez</t>
  </si>
  <si>
    <t>planilla 24 a 29 de junio ronald suarez</t>
  </si>
  <si>
    <t>planilla 24 a 29 de junio marvin hernandez</t>
  </si>
  <si>
    <t>planilla 24 a 29 de junio jorge morales</t>
  </si>
  <si>
    <t>planilla 24 a 29 de junio fredy hernandez</t>
  </si>
  <si>
    <t>planilla 24 a 29 de junio oscar rocha</t>
  </si>
  <si>
    <t>planilla 24 a 29 de junio comida</t>
  </si>
  <si>
    <t>planilla 24 a 29 de junio michael medina</t>
  </si>
  <si>
    <t>planilla 24 a 29 de junio pablo henriquez</t>
  </si>
  <si>
    <t>planilla 24 a 29 de junio elvis flores</t>
  </si>
  <si>
    <t>planilla 24 a 29 de junio viaticos</t>
  </si>
  <si>
    <t>planilla 24 a 29 de junio exner grillo</t>
  </si>
  <si>
    <t>planilla 24 a 29 de junio francisco javier rocha orozco</t>
  </si>
  <si>
    <t>planilla 24 a 29 de junio jelsin roman quintero saldaña</t>
  </si>
  <si>
    <t>planilla 24 a 29 de junio eliseo garcia espinoza</t>
  </si>
  <si>
    <t>planilla 24 a 29 de junio higinio jose barrera</t>
  </si>
  <si>
    <t>Almecenes El Colono - Huacas</t>
  </si>
  <si>
    <t>Coopeguanacaste</t>
  </si>
  <si>
    <t>Almacenes El Colono - Huacas - proforma # 63139 colono</t>
  </si>
  <si>
    <t>Mora Mora Maria H - 30mil polvo de piedra, 70mil un viaje de basura</t>
  </si>
  <si>
    <t>Almacenes El Colono - cot # 56825</t>
  </si>
  <si>
    <t>Almacenes El Colono - Tamarindo</t>
  </si>
  <si>
    <t>Maria Mora Mora - viaje de basura CR56015202001197404922</t>
  </si>
  <si>
    <t>10 transferencias sinpes</t>
  </si>
  <si>
    <t>Comida</t>
  </si>
  <si>
    <t>Farmacia San Angel - Yulan Yang - Antibiótico</t>
  </si>
  <si>
    <t>Fishel Tamarindo - Acetaminofen + Antiséptico</t>
  </si>
  <si>
    <t>Medicina -Compró Freddy</t>
  </si>
  <si>
    <t xml:space="preserve">Mini Super La Marina </t>
  </si>
  <si>
    <t>Grupo Empresarial del supermercado srl - Cartagena</t>
  </si>
  <si>
    <t>Super La Uruca - Santa Cruz</t>
  </si>
  <si>
    <t>Medicina</t>
  </si>
  <si>
    <t>Comida - Compró Freddy</t>
  </si>
  <si>
    <t>falta factura</t>
  </si>
  <si>
    <t>hay cable de b31</t>
  </si>
  <si>
    <t>Hidroteco #5034 casa C30</t>
  </si>
  <si>
    <t>Casas Modernas del Pacífico - SW prof #1280</t>
  </si>
  <si>
    <t>Hector Navas Carballo - Portones</t>
  </si>
  <si>
    <t xml:space="preserve">Hector Carmona - Cancela 50% ducto de cocina c30 </t>
  </si>
  <si>
    <t>3102848345 SRL - IGOR POLA CANEVA - FACT #587 VIAJES DE BASE</t>
  </si>
  <si>
    <t>Almacenes El Colono - Liberia 3 Asientos Inodoro</t>
  </si>
  <si>
    <t>3102848345 SRL - IGOR POLA CANEVA - FACT #596 VIAJES DE BASE</t>
  </si>
  <si>
    <t>3102848345 SRL - IGOR POLA CANEVA - FACT #592 lastre y equipo</t>
  </si>
  <si>
    <t>Papagayo doit center Prof 475.654</t>
  </si>
  <si>
    <t>Suplidora Huacas - 92049</t>
  </si>
  <si>
    <t xml:space="preserve">Hector Carmona - ducto de lavanderia c30 </t>
  </si>
  <si>
    <t>Terraequipos 52361 andamios al 16 de julio</t>
  </si>
  <si>
    <t>Hector Carmona - Instalación de Canoas - REVISAR QUE SE HIZO EN 2 PAGOS</t>
  </si>
  <si>
    <t>Accesos Automáticos SA - CL27341 doc 1500009408</t>
  </si>
  <si>
    <t>ATOS DE OCCIDENTE SA -  CANCELACIÓN c30</t>
  </si>
  <si>
    <t>Beltran Ingeniería - Cancela Contratos de C30</t>
  </si>
  <si>
    <t>Nimbu Woods - Adelanto Muebles bajo escaleras</t>
  </si>
  <si>
    <t>planilla 1 al 6 de julio geyvin centeno</t>
  </si>
  <si>
    <t>planilla 1 al 6 de julio eliecer lacayo</t>
  </si>
  <si>
    <t>planilla 1 al 6 de julio marvin hernandez</t>
  </si>
  <si>
    <t>planilla 1 al 6 de julio oscar rocha</t>
  </si>
  <si>
    <t>planilla 1 al 6 de julio comida</t>
  </si>
  <si>
    <t>planilla 1 al 6 de julio michael medina</t>
  </si>
  <si>
    <t>planilla 1 al 6 de julio elvis flores</t>
  </si>
  <si>
    <t>planilla 1 al 6 de julio viaticos</t>
  </si>
  <si>
    <t>planilla 1 al 6 de julio exner grillo</t>
  </si>
  <si>
    <t>planilla 1 al 6 de julio elvin ramos dormuz</t>
  </si>
  <si>
    <t>planilla 1 al 6 de julio misael ramos dormuz</t>
  </si>
  <si>
    <t>planilla 1 al 6 de julio higinio jose barrera</t>
  </si>
  <si>
    <t>derribo de palos</t>
  </si>
  <si>
    <t>2085553 a525 = $3972.48</t>
  </si>
  <si>
    <t>planilla 1 al 6 de julio francisco rocha orozco</t>
  </si>
  <si>
    <t>planilla 1 al 6 de julio darwin estrada ramirez CR39015202001287543448</t>
  </si>
  <si>
    <t>planilla 1 al 6 de julio eliseo garcia espinoza CR52010200009577677348</t>
  </si>
  <si>
    <t>Rafael Vega Ruiz - Mantenimiento de piscina 88995938</t>
  </si>
  <si>
    <t>Maria Mora Mora - Viajes diego -Refri y colono - viaje de basura CR56015202001197404922</t>
  </si>
  <si>
    <t>planilla 1 al 6 de julio fredy hernandez</t>
  </si>
  <si>
    <t xml:space="preserve">Hector Navas Carballo - Adelanto de portones </t>
  </si>
  <si>
    <t>Almacenes El Colono - Huacas Prof 63585</t>
  </si>
  <si>
    <t>Almacenes El Colono - Huacas Prof 63581</t>
  </si>
  <si>
    <t>JSM Servicentro Filadelfia - Combustible</t>
  </si>
  <si>
    <t>Corp. Supermercados Unidos SRL - Palí Huacas</t>
  </si>
  <si>
    <t>Grupo Empresarial El Almendro - Viaje Polvo 3mt3</t>
  </si>
  <si>
    <t>Water Pump Solutions - Manguera de calentador</t>
  </si>
  <si>
    <t>planilla 8 al 13 de julio Geyvin Centeno</t>
  </si>
  <si>
    <t>planilla 8 al 13 de julio Eliecer Lacayo</t>
  </si>
  <si>
    <t>planilla 8 al 13 de julio Oscar Rocha</t>
  </si>
  <si>
    <t>planilla 8 al 13 de julioFrancisco Rocha</t>
  </si>
  <si>
    <t>planilla 8 al 13 de julio Elvin Ramos</t>
  </si>
  <si>
    <t>planilla 8 al 13 de julio Misael Ramos</t>
  </si>
  <si>
    <t>planilla 8 al 13 de julio Michael Medina</t>
  </si>
  <si>
    <t>planilla 8 al 13 de julio Elvis Flores</t>
  </si>
  <si>
    <t>planilla 8 al 13 de julio Higinio Barrera</t>
  </si>
  <si>
    <t>planilla 8 al 13 de julio comida</t>
  </si>
  <si>
    <t>planilla 8 al 13 de julio viaticos exner</t>
  </si>
  <si>
    <t>planilla 8 al 13 de julio Exner Grillo</t>
  </si>
  <si>
    <t>Esvin Leiton Mora Fact #38 botado de arboles b31 CR70015107620010163921</t>
  </si>
  <si>
    <t>alquiler Cabaña sanitaria Fact#67256 Aluma CR09010200009018014312</t>
  </si>
  <si>
    <t>CAJA CHICA</t>
  </si>
  <si>
    <t>2.742.510 A 518 = $5294.42</t>
  </si>
  <si>
    <t>viajes c30a b31, polvo de piedra, maferco, polvo de piedra, electrodomesticos CR56015202001197404922</t>
  </si>
  <si>
    <t>planilla 8 al 13 de julio Darwin Estrada CR39015202001287543448</t>
  </si>
  <si>
    <t>planilla 8 al 13 de julio Eliseo Garcia  CR52010200009577677348</t>
  </si>
  <si>
    <t>planilla 8 al 13 de julio Freddy Hernandez CR81015114520010232248</t>
  </si>
  <si>
    <t>planilla 8 al 13 de julio Omar Castillo CR69015114520010239836 (MARTHA REBECA PEREZ GONZALEZ)</t>
  </si>
  <si>
    <t>LedInside Fact 527 - Extencion de Abanico</t>
  </si>
  <si>
    <t>Suplidora Huacas - 92916</t>
  </si>
  <si>
    <t>BELTRAN INGENIERIA - Adelanto Regulador de Voltaje</t>
  </si>
  <si>
    <t>Coopeguanacaste - Aspiradora Karcher</t>
  </si>
  <si>
    <t>Maferco SA - Huacas 84401</t>
  </si>
  <si>
    <t>Maferco SA - Huacas 84791</t>
  </si>
  <si>
    <t>Super Ganga Guancacaste</t>
  </si>
  <si>
    <t>Maferco SA - Huacas 85094</t>
  </si>
  <si>
    <t>Maferco SA - Huacas 85017</t>
  </si>
  <si>
    <t>Bomba Huacas - Combustible y aceite</t>
  </si>
  <si>
    <t>Maferco SA - Huacas 85209</t>
  </si>
  <si>
    <t>planilla del 15 al 20 de julio Geyvin Centeno</t>
  </si>
  <si>
    <t>planilla del 15 al 20 de julio Eliecer Lacayo</t>
  </si>
  <si>
    <t>planilla del 15 al 20 de julio Oscar Rocha</t>
  </si>
  <si>
    <t>planilla del 15 al 20 de julio Francisco Rocha</t>
  </si>
  <si>
    <t>planilla del 15 al 20 de julio Elvin Ramos</t>
  </si>
  <si>
    <t>planilla del 15 al 20 de julio misael Ramos</t>
  </si>
  <si>
    <t>planilla del 15 al 20 de julio Darwin Estrada</t>
  </si>
  <si>
    <t>planilla del 15 al 20 de julio Eliseo Garcia</t>
  </si>
  <si>
    <t>planilla del 15 al 20 de julio Omar Castillo</t>
  </si>
  <si>
    <t>planilla del 15 al 20 de julio Cesar Augsuto Henriquez</t>
  </si>
  <si>
    <t>planilla del 15 al 20 de julio Michael Medina</t>
  </si>
  <si>
    <t>planilla del 15 al 20 de julio Freddy Hernandez</t>
  </si>
  <si>
    <t>planilla del 15 al 20 de julio Marvin Hernandez</t>
  </si>
  <si>
    <t>planilla del 15 al 20 de julio Elvis Flores</t>
  </si>
  <si>
    <t>planilla del 15 al 20 de julio Higinio Barrera</t>
  </si>
  <si>
    <t>planilla del 15 al 20 de julio Darlin Centeno</t>
  </si>
  <si>
    <t>comida</t>
  </si>
  <si>
    <t>planilla del 15 al 20 de julio Exner Grillo</t>
  </si>
  <si>
    <t>planilla del 15 al 20 de julio Viaticos</t>
  </si>
  <si>
    <t xml:space="preserve">10 comisiones </t>
  </si>
  <si>
    <t>2.421.080 a 522 = $4638.08</t>
  </si>
  <si>
    <t>aluma</t>
  </si>
  <si>
    <t>Bella Vida CR - Cancela factura 1580</t>
  </si>
  <si>
    <t>As Huacas - 34397</t>
  </si>
  <si>
    <t>As Huacas - 34396</t>
  </si>
  <si>
    <t>Almacenes El Colono - Flamingo</t>
  </si>
  <si>
    <t>Terraequipos 54511 andamios al 15 de agosto</t>
  </si>
  <si>
    <t>Maferco SA - 164313</t>
  </si>
  <si>
    <t>planilla del 22 al 27 de julio feriado geyvin centeno</t>
  </si>
  <si>
    <t>planilla del 22 al 27 de julio feriado eliecer lacayo</t>
  </si>
  <si>
    <t>planilla del 22 al 27 de julio feriado oscar rocha</t>
  </si>
  <si>
    <t>planilla del 22 al 27 de julio feriado francisco rocha</t>
  </si>
  <si>
    <t>planilla del 22 al 27 de julio feriado elvis ramos</t>
  </si>
  <si>
    <t>planilla del 22 al 27 de julio feriado missael ramos</t>
  </si>
  <si>
    <t>planilla del 22 al 27 de julio feriado cesar henriquez</t>
  </si>
  <si>
    <t>planilla del 22 al 27 de julio feriado michael medina</t>
  </si>
  <si>
    <t>planilla del 22 al 27 de julio feriado freddy hernandez</t>
  </si>
  <si>
    <t>planilla del 22 al 27 de julio feriado elvis flores</t>
  </si>
  <si>
    <t>planilla del 22 al 27 de julio feriado higinio barrera</t>
  </si>
  <si>
    <t>planilla del 22 al 27 de julio feriado derlin centeno</t>
  </si>
  <si>
    <t>planilla del 22 al 27 de julio feriado comida</t>
  </si>
  <si>
    <t>planilla del 22 al 27 de julio feriado exner grillo</t>
  </si>
  <si>
    <t>planilla del 22 al 27 de julio feriado viaticos</t>
  </si>
  <si>
    <t>6 viajes de camion a Diego Mora</t>
  </si>
  <si>
    <t>liquidacion Norvin Suarez CR76015114520010237091</t>
  </si>
  <si>
    <t>liquidacion Ronald Suarez CR76015114520010237091</t>
  </si>
  <si>
    <t>liquidacion jorge morales CR25015202001187512450</t>
  </si>
  <si>
    <t>alquiler de batidora 6meses CR93015103210010007800</t>
  </si>
  <si>
    <t>12 comisiones</t>
  </si>
  <si>
    <t>planilla del 22 al 27 de julio feriado darwin estrada CR 3901 5202 0012 8754 3448</t>
  </si>
  <si>
    <t>planilla del 22 al 27 de julio feriado omar castillo CR69015114520010239836</t>
  </si>
  <si>
    <t xml:space="preserve">Inmobiliaria Chacón Maroto SA - Paga 50% 18 Puertas en Crudo </t>
  </si>
  <si>
    <t xml:space="preserve">Hector Navas Carballo - Alquiler de Plancha </t>
  </si>
  <si>
    <t>Coopeguanacaste - Contrato 232325 Internet</t>
  </si>
  <si>
    <t>Aluma Systems CR SA - Cabaña Sanitaria + Depósito AR 06272024-01</t>
  </si>
  <si>
    <t>Isaac Francisco Mesen Guerrero - Contrato de Jardinería Pago 3</t>
  </si>
  <si>
    <t>Nimbu Woods - Forro Escaleras</t>
  </si>
  <si>
    <t>Grillo Hernandez Exner - 200mil caja chica</t>
  </si>
  <si>
    <t>Coopeguanacaste - Vence 01/08/24</t>
  </si>
  <si>
    <t>CFIA - Derecho Asistencia - Timbre - Bit Digital</t>
  </si>
  <si>
    <t>Planilla de 29 al 3 de agosto geyvin centeno</t>
  </si>
  <si>
    <t>Planilla de 29 al 3 de agosto elicer lacayo</t>
  </si>
  <si>
    <t>Planilla de 29 al 3 de agosto oscar rocha</t>
  </si>
  <si>
    <t>Planilla de 29 al 3 de agosto elvis ramos</t>
  </si>
  <si>
    <t>Planilla de 29 al 3 de agosto missael ramos</t>
  </si>
  <si>
    <t>Planilla de 29 al 3 de agosto francisco rocha</t>
  </si>
  <si>
    <t>Planilla de 29 al 3 de agosto darwin estrada</t>
  </si>
  <si>
    <t>Planilla de 29 al 3 de agosto eliseo garcia</t>
  </si>
  <si>
    <t>Planilla de 29 al 3 de agosto omar castillo</t>
  </si>
  <si>
    <t>Planilla de 29 al 3 de agosto cesar henriquez</t>
  </si>
  <si>
    <t>Planilla de 29 al 3 de agosto crispin valencia</t>
  </si>
  <si>
    <t>Planilla de 29 al 3 de agosto michael medina</t>
  </si>
  <si>
    <t>Planilla de 29 al 3 de agosto elvis flores</t>
  </si>
  <si>
    <t>Planilla de 29 al 3 de agosto higinio barrera</t>
  </si>
  <si>
    <t>Planilla de 29 al 3 de agosto derlin centeno</t>
  </si>
  <si>
    <t>comida de 29 al 3 de agosto</t>
  </si>
  <si>
    <t>Planilla de 29 al 3 de agosto exner grillo</t>
  </si>
  <si>
    <t>Planilla de 29 al 3 de agosto viaticos</t>
  </si>
  <si>
    <t>topografia sinpe 88199826 Ricardo Arias Mena</t>
  </si>
  <si>
    <t>Planilla de 29 al 3 de agosto freddy hernandez</t>
  </si>
  <si>
    <t>planilla del 22 al 27 de julio feriado eliseo garcia CR 52010200009577677348</t>
  </si>
  <si>
    <t>Diego Mora. 6 viajes CR56015202001197404922</t>
  </si>
  <si>
    <t>Quiroz Delgado y Asociados SA - Cancela 4 Mamparas de Vidrio</t>
  </si>
  <si>
    <t>Quiroz Delgado y Asociados SA  - Adelanto mampara de Vidrio 5 baños</t>
  </si>
  <si>
    <t>Suplidora Huacas - 94334</t>
  </si>
  <si>
    <t>LED INSIDE SRL - Vidrio Repuesto Fact 670</t>
  </si>
  <si>
    <t>Helvex - PL745401 Fregadero</t>
  </si>
  <si>
    <t>Exner Grillo Caja Chica C30 y B31</t>
  </si>
  <si>
    <t>Casas Modernas del Pacífico - SW prof #1380</t>
  </si>
  <si>
    <t>Terraequipos Prof 21124</t>
  </si>
  <si>
    <t>cancelacion de Beltran regulador de voltaje, falta factura</t>
  </si>
  <si>
    <t>placas RJ5 + mensajero + encomienda. A Beltran</t>
  </si>
  <si>
    <t>B31 Exner Grillo  Planilla del 5 al 10 Agosto</t>
  </si>
  <si>
    <t>B31 Michael Medina Corea - Comida</t>
  </si>
  <si>
    <t>B31 Exner Grillo - Viaticos</t>
  </si>
  <si>
    <t>C30 Oscar Manuel Rocha - Se deposita a Exner Grillo</t>
  </si>
  <si>
    <t>C30 Elvis Antonio Ramos Dormuz - Se deposita a Exner Grillo</t>
  </si>
  <si>
    <t>C30 Misael Ramos Dormuz - Se deposita a Exner Grillo</t>
  </si>
  <si>
    <t>C30 Francisco Javier Rocha Oroxco - Se deposita a Exner Grillo</t>
  </si>
  <si>
    <t>C30 Cesar Agosto Henriquez - Se deposita a Exner Grillo</t>
  </si>
  <si>
    <t>C30 Crispin de Jesús Valencia Mairena - Se deposita a Exner Grillo</t>
  </si>
  <si>
    <t>B31 Elvis Adrian Flores Vasquez - Se deposita a Exner Grillo</t>
  </si>
  <si>
    <t>B31 Higinio José Barrera - Se deposita a Exner Grillo</t>
  </si>
  <si>
    <t>B31 Picado Sevilla Eugenio Antonio - Se deposita a Exner Grillo</t>
  </si>
  <si>
    <t>C30 Geyvin Alfonso Centeno - Planilla del 5 al 10 Agosto</t>
  </si>
  <si>
    <t>C30 Eliecer Leonardo Lacayo - Planilla del 5 al 10 Agosto</t>
  </si>
  <si>
    <t>C30 Darwin Ernesto Estrada Ramirez - Planilla del 5 al 10 Agosto</t>
  </si>
  <si>
    <t>C30 Eliceo García Espinosa - Planilla del 5 al 10 Agosto</t>
  </si>
  <si>
    <t>B31 Michael Medina Corea - Planilla del 5 al 10 Agosto</t>
  </si>
  <si>
    <t>B31 Derling Ariel Centeno - Planilla del 5 al 10 Agosto - Depositar a Geyvin Alfonso Centeno</t>
  </si>
  <si>
    <t>8 comisiones</t>
  </si>
  <si>
    <t>C30 Omar Elias Castillo Castillo - Planilla del 5 al 10 Agosto(MARTHA Perez)</t>
  </si>
  <si>
    <t>C30 Eliecer Leonardo Lacayo - Semana 12 al 17 de Agosto</t>
  </si>
  <si>
    <t>C30 Darwin Ernesto Estrada - Semana 12 al 17 de Agosto</t>
  </si>
  <si>
    <t>C30 Eliceo García Espinosa - Semana 12 al 17 de Agosto</t>
  </si>
  <si>
    <t>C30 Omar Elias Castillo Castillo - Semana 12 al 17 de Agosto</t>
  </si>
  <si>
    <t>C30 Cesar AgustoHenriquez - Semana 12 al 17 de Agosto - Depositar a Grillo</t>
  </si>
  <si>
    <t>C30 Crispin de Jesús Valencia - Semana 12 al 17 de Agosto - Depositar a Grillo</t>
  </si>
  <si>
    <t>C30 Elvis Antonio Ramos Dormuz - Semana 12 al 17 de Agosto - Depositar a Grillo</t>
  </si>
  <si>
    <t>C30 Misael Ramos Dormuz - Semana 12 al 17 de Agosto - Depositar a Grillo</t>
  </si>
  <si>
    <t>C30 Francisco Javier Rocha Orozco - Semana 12 al 17 de Agosto - Depositar a Grillo</t>
  </si>
  <si>
    <t>B31 Elvis Adrian Flores Vasquez - Semana 12 al 17 de Agosto - Depositar a Grillo</t>
  </si>
  <si>
    <t>B31 Higinio José Barrera - Semana 12 al 17 de Agosto - Depositar a Grillo</t>
  </si>
  <si>
    <t>B31 Picado Sevilla Eugenio Antonio - Semana 12 al 17 de Agosto - Depositar a Grillo</t>
  </si>
  <si>
    <t>B31 Michael Medina Corea - Semana 12 al 17 de Agosto - Depositar a Medina</t>
  </si>
  <si>
    <t>C30 Oscar Manuel Rocha - Semana 12 al 17 de Agosto - Depositar a Medina</t>
  </si>
  <si>
    <t xml:space="preserve">B31 Michael Medina Corea - COMIDA - Depositar a Medina </t>
  </si>
  <si>
    <t>8 viajes diego mora</t>
  </si>
  <si>
    <t>B31 Derling Ariel Centeno - Semana 12 al 17 de Agosto - Depositar a  Geyvin</t>
  </si>
  <si>
    <t>C30 Geyvin Alfonso Centeno - Semana 12 al 17 de Agosto - Depositar a  Geyvin</t>
  </si>
  <si>
    <t>B31 viaticos - Semana 12 al 17 de Agosto - Depositar a Grillo</t>
  </si>
  <si>
    <t>B31 Exner Grillo - Semana 12 al 17 de Agosto - Depositar a Grillo</t>
  </si>
  <si>
    <t>Traslado de Medidor e Inspección CoopeGuanacaste</t>
  </si>
  <si>
    <t>Quiroz Delgado y Asociados SA - Mamparas de vidrio CR15015100020016648092</t>
  </si>
  <si>
    <t>Suplidora Huacas - 94627</t>
  </si>
  <si>
    <t>KYLCSA PACIFIC CONCRETE DEVELOPERS LIMITADA</t>
  </si>
  <si>
    <t>Depósito de Maderas Chacon - Puertas</t>
  </si>
  <si>
    <t>Terra Equipos - Logistica</t>
  </si>
  <si>
    <t>Suplidora Huacas - 95495</t>
  </si>
  <si>
    <t>NAVAS CARBALLO HECTOR -</t>
  </si>
  <si>
    <t>Nimbu Woods SA - Adelanto Instalación de Puertas</t>
  </si>
  <si>
    <t>Casas Modernas del Pacífico SRL</t>
  </si>
  <si>
    <t>Lopez Vasquez Jean Carlo - Limpieza Profunda</t>
  </si>
  <si>
    <t>ATOS - c30 cot 4354242 2 basureros</t>
  </si>
  <si>
    <t>UBER para recoger Basureros</t>
  </si>
  <si>
    <t>Coopeguanacaste - Reubicación Servicio 2146618</t>
  </si>
  <si>
    <t>c30 y b31</t>
  </si>
  <si>
    <t>NaVAS CARBALLO HECTOR - Adelanto portones  C30</t>
  </si>
  <si>
    <t>C30 Planilla 19 al 24 Agosto - Elvis Antonio Ramos Dormuz</t>
  </si>
  <si>
    <t>C30 Planilla 19 al 24 Agosto - Misael Ramos Dormuz</t>
  </si>
  <si>
    <t xml:space="preserve">C30 Planilla 19 al 24 Agosto - Cesar Agusto Henriquez </t>
  </si>
  <si>
    <t>C30 Planilla 19 al 24 Agosto - Francisco Javier Rocha Orozco</t>
  </si>
  <si>
    <t>C30 Planilla 19 al 24 Agosto - Crispin de Jesús Valencia</t>
  </si>
  <si>
    <t>B31 Planilla 19 al 24 Agosto - Elvis Adrian Flores Vasquez</t>
  </si>
  <si>
    <t>B31 Planilla 19 al 24 Agosto - Higinio José Barrera</t>
  </si>
  <si>
    <t xml:space="preserve">B31 Planilla 19 al 24 Agosto - Michael Medina Corea </t>
  </si>
  <si>
    <t xml:space="preserve">B31 Comida Depositar a Michael Medina Corea </t>
  </si>
  <si>
    <t>B31 Planilla 19 al 24 Agosto - Oscar Manuel Rocha - Depositar a Medina Corea</t>
  </si>
  <si>
    <t>C30 Planilla 19 al 24 Agosto - Geyvin Alfonso Centeno</t>
  </si>
  <si>
    <t>B31 Planilla 19 al 24 Agosto - Derling Ariel Centeno - Depositar a Geyvin Centeno</t>
  </si>
  <si>
    <t>B31 Planilla 19 al 24 Agosto - Freddy Antonio Hernandez</t>
  </si>
  <si>
    <t>C30 Planilla 19 al 24 Agosto - Eliceo García Espinosa</t>
  </si>
  <si>
    <t>C30 Planilla 19 al 24 Agosto - Omar Elias Castillo Castillo</t>
  </si>
  <si>
    <t>C30 Planilla 19 al 24 Agosto - Darwin Ernesto Estrada</t>
  </si>
  <si>
    <t>C30 Planilla 19 al 24 Agosto - Eliecer Leonardo Lacayo</t>
  </si>
  <si>
    <t>B31 Planilla 19 al 24 Agosto - EXNER GRILLO</t>
  </si>
  <si>
    <t>B31 Planilla 19 al 24 Agosto - VIATICOS GRILLO</t>
  </si>
  <si>
    <t>11 comisiones</t>
  </si>
  <si>
    <t>B31 movimiento de ierras Esvin Leiton fact #40. CR70015107620010163921</t>
  </si>
  <si>
    <t>Comisiones Bancarias</t>
  </si>
  <si>
    <t xml:space="preserve"> C30 Planilla 26 al 31 Agosto - Geyvin Alfonso Centeno</t>
  </si>
  <si>
    <t>B31 Planilla 26 al 31 Agosto - Derling Ariel Centeno - Depositar a Geyvin</t>
  </si>
  <si>
    <t xml:space="preserve">B31 Planilla 26 al 31 Agosto - Michael Medina Corea </t>
  </si>
  <si>
    <t>B31 Planilla 26 al 31 Agosto - Oscar Manuel Rocha</t>
  </si>
  <si>
    <t>C30 Planilla 26 al 31 Agosto - Eliceo García Espinosa</t>
  </si>
  <si>
    <t>C30 Planilla 26 al 31 Agosto - Darwin Ernesto Estrada</t>
  </si>
  <si>
    <t>C30 Planilla 26 al 31 Agosto - Eliecer Leonardo Lacayo</t>
  </si>
  <si>
    <t>B31 Planilla 26 al 31 Agosto - Freddy Antonio Hernandez</t>
  </si>
  <si>
    <t xml:space="preserve">C30 Planilla 26 al 31 Agosto - Elvis Antonio Ramos Dormuz - Depositar a </t>
  </si>
  <si>
    <t xml:space="preserve">C30 Planilla 26 al 31 Agosto - Cesar Agusto Henriquez  - Depositar a </t>
  </si>
  <si>
    <t xml:space="preserve">C30 Planilla 26 al 31 Agosto - Crispin de Jesús Valencia - Depositar a </t>
  </si>
  <si>
    <t xml:space="preserve">B31 Planilla 26 al 31 Agosto - Elvis Adrian Flores Vasquez - Depositar a </t>
  </si>
  <si>
    <t xml:space="preserve">B31 Planilla 26 al 31 Agosto - Higinio José Barrera  - Depositar a </t>
  </si>
  <si>
    <t xml:space="preserve">C30 Planilla 26 al 31 Agosto -  Misael Ramos Dormuz - Depositar a </t>
  </si>
  <si>
    <t>B31 PLANILLA 26 A 31 DE AGOSTO EXNER GRILLO</t>
  </si>
  <si>
    <t>B31 PLANILLA 26 A 31 DE AGOSTO VIATICOS EXNER GRILLO</t>
  </si>
  <si>
    <t>9 COMISIONES POR TRANSFERENCIA</t>
  </si>
  <si>
    <t>C30 Planilla 26 al 31 Agosto - Omar Elias Castillo Castillo. DEPOSITA A MARTA PEREZ</t>
  </si>
  <si>
    <t>C30 Planilla 26 al 31 Agosto - Francisco Javier Rocha Orozco - Depositar a GRILLO</t>
  </si>
  <si>
    <t>C30 Viajes Diego  Sabado Maferco - 31 Agosto</t>
  </si>
  <si>
    <t>Ferretería EPA - tuberia de abasto y kits lavaplatos</t>
  </si>
  <si>
    <t>SERVICIOS TECNICOS S &amp; S - 3102842563 SRL - Fact 346</t>
  </si>
  <si>
    <t>Bomba Huacas - Servimovil Huacas SA - Combustib le</t>
  </si>
  <si>
    <t>Nimbu Woods SA - Adelanto Puertas y mar</t>
  </si>
  <si>
    <t>Nimbu Woods SA - C30 Pago de Puerta</t>
  </si>
  <si>
    <t>Grillo Hernandez Exner - 200mil caja chica para B31 y C30</t>
  </si>
  <si>
    <t>Esvin Leiton Mora Fact #43  b31 CR70015107620010163921</t>
  </si>
  <si>
    <t>LedInside Fact 827 - Lamparas y estacas</t>
  </si>
  <si>
    <t>Terraequipos Contrato #16469 - Ref #56212 (ELEC Refactura 54511)</t>
  </si>
  <si>
    <t>TerraEquipos Contrato #16469 - Ref #15880 - Devolución #12065  del 06/08/2024 Fact #54511</t>
  </si>
  <si>
    <t>Terraequipos Contrato #16469 - Ref #57063 (ELEC Refactura la #54511)</t>
  </si>
  <si>
    <t xml:space="preserve"> Terraequipos  - Ref #278  - Anula Nota Crédito #15701</t>
  </si>
  <si>
    <t xml:space="preserve"> Terraequipos  - Ref #279  - Anula Nota Crédito #15923</t>
  </si>
  <si>
    <t>Esvin Leiton Mora - Nota de Crédito - Razón: Falto detalle</t>
  </si>
  <si>
    <t>SOLO PAGAR ESTA</t>
  </si>
  <si>
    <t>ERROR DE TERRAEQUIPOS</t>
  </si>
  <si>
    <t>A FAVOR</t>
  </si>
  <si>
    <t>Casas Modernas del Pacífico - Pintura Prof 1488</t>
  </si>
  <si>
    <t>Grillo Hernandez - Caja Chica b31</t>
  </si>
  <si>
    <t>Suplidora Huacas - 96885</t>
  </si>
  <si>
    <t>Suplidora Huacas - 96878</t>
  </si>
  <si>
    <t>ATOS Muebles Fijos</t>
  </si>
  <si>
    <t xml:space="preserve">Grillo Hernandez - </t>
  </si>
  <si>
    <t>Suplidora Huacas - 7376</t>
  </si>
  <si>
    <t>Suplidora Huacas - 92079</t>
  </si>
  <si>
    <t>Suplidora Huacas - 92919</t>
  </si>
  <si>
    <t>Suplidora Huacas - 94004</t>
  </si>
  <si>
    <t>Suplidora Huacas - 95566</t>
  </si>
  <si>
    <t>Suplidora Huacas - 96731</t>
  </si>
  <si>
    <t>Telecable Internet  C30</t>
  </si>
  <si>
    <t>Fontanero - Un dia - Aynor solo 25de mayo</t>
  </si>
  <si>
    <t>C30 Viajes Diego Basura - Viernes 6 Set</t>
  </si>
  <si>
    <t>B31 Viajes Diego Maferco - Viernes 6 Set</t>
  </si>
  <si>
    <t xml:space="preserve"> C30 Planilla 01 al 07 Septiembre- Geyvin Alfonso Centeno</t>
  </si>
  <si>
    <t>B31 Planilla 01 al 07 Septiembre - Derling Ariel Centeno - Depositar a Geyvin</t>
  </si>
  <si>
    <t xml:space="preserve">B31 Planilla 01 al 07 Septiembre - Michael Medina Corea </t>
  </si>
  <si>
    <t>B31 Planilla 01 al 07 Septiembre - Oscar Manuel Rocha</t>
  </si>
  <si>
    <t>C30 Planilla 01 al 07 Septiembre - Omar Elias Castillo Castillo. DEPOSITA A MARTA PEREZ</t>
  </si>
  <si>
    <t>C30 Planilla 01 al 07 Septiembre - Darwin Ernesto Estrada</t>
  </si>
  <si>
    <t>C30 Planilla 01 al 07 Septiembre - Eliecer Leonardo Lacayo</t>
  </si>
  <si>
    <t>B31 Planilla 01 al 07 Septiembre - Freddy Antonio Hernandez</t>
  </si>
  <si>
    <t>C30 Planilla 01 al 07 Septiembre - Francisco Javier Rocha Orozco - Depositar a GRILLO</t>
  </si>
  <si>
    <t xml:space="preserve">C30 Planilla 01 al 07 Septiembre - Elvis Antonio Ramos Dormuz - Depositar a </t>
  </si>
  <si>
    <t xml:space="preserve">C30 Planilla 01 al 07 Septiembre - Cesar Agusto Henriquez  - Depositar a </t>
  </si>
  <si>
    <t xml:space="preserve">C30 Planilla 01 al 07 Septiembre - Crispin de Jesús Valencia - Depositar a </t>
  </si>
  <si>
    <t xml:space="preserve">B31 Planilla 01 al 07 Septiembre - Elvis Adrian Flores Vasquez - Depositar a </t>
  </si>
  <si>
    <t xml:space="preserve">B31 Planilla 01 al 07 Septiembre - Higinio José Barrera  - Depositar a </t>
  </si>
  <si>
    <t xml:space="preserve">C30 Planilla 01 al 07 Septiembre - Misael Ramos Dormuz - Depositar a </t>
  </si>
  <si>
    <t>C30 Planilla 01 al 07 Septiembre - Eliceo García Espinosa</t>
  </si>
  <si>
    <t>Suplidora Huacas - 97213</t>
  </si>
  <si>
    <t>Nimbu Woods SA - Adelanto Puertas C30</t>
  </si>
  <si>
    <t>comision</t>
  </si>
  <si>
    <t>TC.Bac</t>
  </si>
  <si>
    <t>Suplidora Huacas LTDA - 97427</t>
  </si>
  <si>
    <t>Central de Mangueras - c30</t>
  </si>
  <si>
    <t xml:space="preserve">Accesos Automaticos - Cancela Contrato C30 </t>
  </si>
  <si>
    <t>Terra Equipos - Pago al día con el estado de cuenta del 10 de Setiembre</t>
  </si>
  <si>
    <t>Casas Modernas del Pacifico SRL - SW</t>
  </si>
  <si>
    <t>Grillo Hernandez Caja Chica B31</t>
  </si>
  <si>
    <t>Suplidora Huacas - 97668</t>
  </si>
  <si>
    <t>Suplidora Huacas - 7559</t>
  </si>
  <si>
    <t>Suplidora Huacas - 97682</t>
  </si>
  <si>
    <t>B31 Planilla 09 al 14 Septiembre - Derling Ariel Centeno - Depositar a Geyvin</t>
  </si>
  <si>
    <t xml:space="preserve">B31 Planilla 09 al 14 Septiembre - Michael Medina Corea </t>
  </si>
  <si>
    <t>B31 Planilla 09 al 14 Septiembre - Oscar Manuel Rocha</t>
  </si>
  <si>
    <t>C30 Planilla 09 al 14 Septiembre - Omar Elias Castillo Castillo. DEPOSITA A MARTA PEREZ</t>
  </si>
  <si>
    <t>C30 Planilla 09 al 14 Septiembre - Darwin Ernesto Estrada</t>
  </si>
  <si>
    <t>C30 Planilla 09 al 14 Septiembre - Eliecer Leonardo Lacayo</t>
  </si>
  <si>
    <t>B31 Planilla 09 al 14 Septiembre - Freddy Antonio Hernandez</t>
  </si>
  <si>
    <t>C30 Planilla 09 al 14 Septiembre - Francisco Javier Rocha Orozco - Depositar a GRILLO</t>
  </si>
  <si>
    <t xml:space="preserve">C30 Planilla 09 al 14 Septiembre - Elvis Antonio Ramos Dormuz - Depositar a </t>
  </si>
  <si>
    <t xml:space="preserve">C30 Planilla 09 al 14 Septiembre - Cesar Agusto Henriquez  - Depositar a </t>
  </si>
  <si>
    <t xml:space="preserve">C30 Planilla 09 al 14 Septiembre - Crispin de Jesús Valencia - Depositar a </t>
  </si>
  <si>
    <t xml:space="preserve">B31 Planilla 09 al 14 Septiembre - Elvis Adrian Flores Vasquez - Depositar a </t>
  </si>
  <si>
    <t xml:space="preserve">C30 Planilla 09 al 14 Septiembre - Misael Ramos Dormuz - Depositar a </t>
  </si>
  <si>
    <t>B31 Planilla 09 al 14 Septiembre - EXNER GRILLO</t>
  </si>
  <si>
    <t>B31 Planilla 09 al 14 Septiembre - VIATICOS EXNER GRILLO</t>
  </si>
  <si>
    <t>B31 Viaje Maferco - Diego</t>
  </si>
  <si>
    <t>B31 Planilla 09 al 14 Septiembre - Eliceo García Espinosa</t>
  </si>
  <si>
    <t>B31 Planilla 09 al 14 Septiembre - Geyvin Alfonso Centeno</t>
  </si>
  <si>
    <t xml:space="preserve">C30 Planilla 09 al 14 Septiembre - Higinio José Barrera  - Depositar a </t>
  </si>
  <si>
    <t>B31 Viaje C30 a B31 - Diego</t>
  </si>
  <si>
    <t>FONTANERO Elimelec Hernández Gómez CR27015119320010133264</t>
  </si>
  <si>
    <t>Huacas Maferco - 255114</t>
  </si>
  <si>
    <t>Huacas Maferco - 91108 muro nseco</t>
  </si>
  <si>
    <t>Huacas Maferco - 90377 lija</t>
  </si>
  <si>
    <t>Huacas Maferco - 255413 felpa</t>
  </si>
  <si>
    <t>Huacas Maferco - 90368 laticrete, lija sikaboo</t>
  </si>
  <si>
    <t>Huacas Maferco - 89887 zaran lija brocha tenaza corte</t>
  </si>
  <si>
    <t>Huacas Maferco - 255084 muro seco stairofon</t>
  </si>
  <si>
    <t>Huacas Maferco - 253055</t>
  </si>
  <si>
    <t>Huacas Maferco - 253422</t>
  </si>
  <si>
    <t>Huacas Maferco - 89178 m asilla gypsum</t>
  </si>
  <si>
    <t>Grupo Empresarial El Almendro - 2mt3 Papilla - Placa 147694</t>
  </si>
  <si>
    <t>Huacas Maferco - 87520 Lija, arandela, clavo linterna</t>
  </si>
  <si>
    <t>Huacas Maferco - 87791 Broca Glass, spander</t>
  </si>
  <si>
    <t>Huacas Maferco - 87354 Broca</t>
  </si>
  <si>
    <t>Huacas Maferco - 252290 Sierra Caladora</t>
  </si>
  <si>
    <t>Huacas Maferco - 87902</t>
  </si>
  <si>
    <t>Huacas Maferco - 252411 Zacate Block</t>
  </si>
  <si>
    <t>As Central de Mangueras - Santa Cruz</t>
  </si>
  <si>
    <t>Huacas Maferco - 87261</t>
  </si>
  <si>
    <t>Taller y Repuestos Universal Filadelfia - Cable clutch</t>
  </si>
  <si>
    <t>Huacas Maferco - 87041</t>
  </si>
  <si>
    <t>Huacas Maferco - 86951</t>
  </si>
  <si>
    <t>Huacas Maferco - 251761</t>
  </si>
  <si>
    <t>Huacas Maferco - 251722 Angular platina conduit</t>
  </si>
  <si>
    <t>Bomba Huacas - Aceite</t>
  </si>
  <si>
    <t xml:space="preserve">Inversiones BAHRI SA </t>
  </si>
  <si>
    <t>Bomba Huacas - Combustible compactador</t>
  </si>
  <si>
    <t xml:space="preserve">Bomba Huacas - Combustible </t>
  </si>
  <si>
    <t>Esvin Enrique Leiton Mora - Movimiento Tierra Factura 41</t>
  </si>
  <si>
    <t>Grupo Empresarial El Almendro 3m3 quintilla</t>
  </si>
  <si>
    <t>Servicentro ESSO Santa Cruz</t>
  </si>
  <si>
    <t>Bomba Huacas</t>
  </si>
  <si>
    <t>B31 Planilla 16 al 21 Septiembre - Derling Ariel Centeno - Depositar a Geyvin</t>
  </si>
  <si>
    <t>B31 Planilla 16 al 21 Septiembre - Geyvin Alfonso Centeno</t>
  </si>
  <si>
    <t xml:space="preserve">B31 Planilla 16 al 21 Septiembre - Michael Medina Corea </t>
  </si>
  <si>
    <t>B31 Planilla 16 al 21 Septiembre - Oscar Manuel Rocha</t>
  </si>
  <si>
    <t>B31 Planilla 16 al 21 Septiembre - Eliceo García Espinosa</t>
  </si>
  <si>
    <t>C30 Planilla 16 al 21 Septiembre - Omar Elias Castillo Castillo. DEPOSITA A MARTA PEREZ</t>
  </si>
  <si>
    <t>C30 Planilla 16 al 21 Septiembre - Darwin Ernesto Estrada</t>
  </si>
  <si>
    <t>C30 Planilla 16 al 21 Septiembre - Eliecer Leonardo Lacayo</t>
  </si>
  <si>
    <t>B31 Planilla 16 al 21 Septiembre - Freddy Antonio Hernandez</t>
  </si>
  <si>
    <t xml:space="preserve">C30 Planilla 16 al 21 Septiembre - Crispin de Jesús Valencia - Depositar a </t>
  </si>
  <si>
    <t xml:space="preserve">C30 Planilla 16 al 21 Septiembre - Misael Ramos Dormuz - Depositar a </t>
  </si>
  <si>
    <t xml:space="preserve">C30 Planilla 16 al 21 Septiembre - Cesar Agusto Henriquez  - Depositar a </t>
  </si>
  <si>
    <t>C30 Planilla 16 al 21 Septiembre - Francisco Javier Rocha Orozco - Depositar a GRILLO</t>
  </si>
  <si>
    <t xml:space="preserve">C30 Planilla 16 al 21 Septiembre - Higinio José Barrera  - Depositar a </t>
  </si>
  <si>
    <t xml:space="preserve">B31 Planilla 16 al 21 Septiembre - Elvis Adrian Flores Vasquez - Depositar a </t>
  </si>
  <si>
    <t>B31 Planilla 16 al 21 Septiembre - EXNER GRILLO</t>
  </si>
  <si>
    <t>B31 Planilla 16 al 21 Septiembre - VIATICOS EXNER GRILLO</t>
  </si>
  <si>
    <t>B31 Viaje Maferco Block Pega Block - Diego</t>
  </si>
  <si>
    <t>B31 Viaje Maferco Block Formaleta - Diego</t>
  </si>
  <si>
    <t xml:space="preserve">B31 Planilla 16 al 21 Septiembre - Elvis Antonio Ramos Dormuz - Depositar a </t>
  </si>
  <si>
    <t>B31 Planilla 16 al 21 Septiembre - EXNER GRILLO un feriado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</si>
  <si>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</si>
  <si>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</si>
  <si>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</si>
  <si>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</si>
  <si>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</si>
  <si>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</si>
  <si>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</si>
  <si>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</si>
  <si>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</si>
  <si>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B31 Comisiones</t>
  </si>
  <si>
    <t>Suplidora Huacas LTDA - 97861</t>
  </si>
  <si>
    <t>Casas Modernas del Pacifico SRL Anticorrosivo</t>
  </si>
  <si>
    <t xml:space="preserve">TerraEquipos Puntales + Depósito - Proforma 22163 </t>
  </si>
  <si>
    <t>Carne</t>
  </si>
  <si>
    <t>Almacenes El Colono SA - Huacas</t>
  </si>
  <si>
    <t>Braidy</t>
  </si>
  <si>
    <t>NIMBU Woods - Pago escalera c30</t>
  </si>
  <si>
    <t>Huacas Maferco - 254124</t>
  </si>
  <si>
    <t>Huacas Maferco - 255269</t>
  </si>
  <si>
    <t>Huacas Maferco - 87260</t>
  </si>
  <si>
    <t>Huacas Maferco - 90446</t>
  </si>
  <si>
    <t>Evelio cancela pisos</t>
  </si>
  <si>
    <t>EVELIO enchapes, saldo de 510500</t>
  </si>
  <si>
    <t xml:space="preserve">ALFAGON - Alejandro Alfaro Gonzales - </t>
  </si>
  <si>
    <t xml:space="preserve">Mariano Acabados </t>
  </si>
  <si>
    <t xml:space="preserve"> Terraequipos  - Ref #15923 - Contrato #16469 Devolución #1206511 del 16/08/2024 Fact #57063</t>
  </si>
  <si>
    <t>Corp. Supermercados Unidos SRL - Palí  Belén de Carrillo</t>
  </si>
  <si>
    <t xml:space="preserve">Servicios tecnicos SS - fact # 304 servicios de aires acondicionados. </t>
  </si>
  <si>
    <t xml:space="preserve"> Servicios tecnicos SS - fact # 305 servicios de aires acondicionados.</t>
  </si>
  <si>
    <t>Suplidora Huacas - 84360  Conduit #</t>
  </si>
  <si>
    <t>Diego Mora - viaje de quintilla a Diego CR 5601 5202 0011 9740 4922</t>
  </si>
  <si>
    <t>Diego Mora - VIAJE DE PIEDRA B31 Diego Mora</t>
  </si>
  <si>
    <t>Diego Mora - viaje materiales Maria Mora CR56015202001197404922</t>
  </si>
  <si>
    <t>Diego Mora - viajes a Diego camion, 1 viaje de polvo de piedra 1 viaje de basura</t>
  </si>
  <si>
    <t xml:space="preserve">IGOR POLA CAVELLA fact # 515 excavacion para PTAR BAC: 952035111 </t>
  </si>
  <si>
    <t>Almacenes El Colono 70107</t>
  </si>
  <si>
    <t xml:space="preserve">Mariano - Adelanto de mano de obra acabados </t>
  </si>
  <si>
    <t>B31 Planilla 23 al 28 de septiembre - Derling Ariel Centeno - Depositar a Geyvin</t>
  </si>
  <si>
    <t>B31 Planilla 23 al 28 de septiembre - Geyvin Alfonso Centeno</t>
  </si>
  <si>
    <t xml:space="preserve">B31 Planilla 23 al 28 de septiembre - Michael Medina Corea </t>
  </si>
  <si>
    <t>B31 Planilla 23 al 28 de septiembre - Oscar Manuel Rocha</t>
  </si>
  <si>
    <t>B31 Planilla 23 al 28 de septiembre - Eliceo García Espinosa</t>
  </si>
  <si>
    <t>C30 Planilla 23 al 28 de septiembre - Omar Elias Castillo Castillo. DEPOSITA A MARTA PEREZ</t>
  </si>
  <si>
    <t>C30 Planilla 23 al 28 de septiembre - Eliecer Leonardo Lacayo</t>
  </si>
  <si>
    <t>B31 Planilla 23 al 28 de septiembre - Freddy Antonio Hernandez</t>
  </si>
  <si>
    <t>B31 Planilla 23 al 28 de septiembre - VIATICOS EXNER GRILLO</t>
  </si>
  <si>
    <t xml:space="preserve">B31 Planilla 23 al 28 de septiembre - Elvis Adrian Flores Vasquez - Depositar a </t>
  </si>
  <si>
    <t xml:space="preserve">B31 Planilla 23 al 28 de septiembre - Elvis Antonio Ramos Dormuz - Depositar a </t>
  </si>
  <si>
    <t>B31 Planilla 23 al 28 de septiembre - EXNER GRILLO</t>
  </si>
  <si>
    <t xml:space="preserve">C30 Planilla 23 al 28 de septiembre - Cesar Agusto Henriquez  - Depositar a </t>
  </si>
  <si>
    <t xml:space="preserve">C30 Planilla 23 al 28 de septiembre - Crispin de Jesús Valencia - Depositar a </t>
  </si>
  <si>
    <t>C30 Planilla 23 al 28 de septiembre - Francisco Javier Rocha Orozco - Depositar a GRILLO</t>
  </si>
  <si>
    <t xml:space="preserve">C30 Planilla 23 al 28 de septiembre - Higinio José Barrera  - Depositar a </t>
  </si>
  <si>
    <t xml:space="preserve">C30 Planilla 23 al 28 de septiembre - Misael Ramos Dormuz - Depositar a </t>
  </si>
  <si>
    <t>B31 Viaje madera bloques maferco</t>
  </si>
  <si>
    <t>B31 Viaje batidora</t>
  </si>
  <si>
    <t>B31 Viaje colono tubos para andamios</t>
  </si>
  <si>
    <t>B31 Viaje c30 a b31</t>
  </si>
  <si>
    <t>B31 Viaje polvo de piedra</t>
  </si>
  <si>
    <t>B31 Viaje quintilla</t>
  </si>
  <si>
    <t>Aluma Systems CR SA - Cabaña Sanitaria 694223 70269</t>
  </si>
  <si>
    <t>Caja Chica Grillo B31</t>
  </si>
  <si>
    <t>Alquiler Batidora B31 - 8 Meses</t>
  </si>
  <si>
    <t xml:space="preserve">Caasas Modernas del Pacífico - Pintira Fact 15599 </t>
  </si>
  <si>
    <t>Almacenes El Colono Huacas 6565 adelanto de contado tubo galv p malla</t>
  </si>
  <si>
    <t xml:space="preserve">Almacenes El Colono Huacas </t>
  </si>
  <si>
    <t>Almacenes El Colono Huacas</t>
  </si>
  <si>
    <t>Grupo Empresarial El Almendro - 3mt3 Piedra quintilla placa 147694</t>
  </si>
  <si>
    <t>Grupo Empresarial El Almendro - 3mt3 Polvo Piedra placa 147695</t>
  </si>
  <si>
    <t>Bomba Huacas - aceite</t>
  </si>
  <si>
    <t>B31 Planilla 30 Septiembre al 5 Octubre - Derling Ariel Centeno - Depositar a Geyvin</t>
  </si>
  <si>
    <t>B31 Planilla 30 Septiembre al 5 Octubre - Geyvin Alfonso Centeno</t>
  </si>
  <si>
    <t xml:space="preserve">B31 Planilla 30 Septiembre al 5 Octubre - Michael Medina Corea </t>
  </si>
  <si>
    <t>B31 Planilla 30 Septiembre al 5 Octubre - Eliceo García Espinosa</t>
  </si>
  <si>
    <t>C30 Planilla 30 Septiembre al 5 Octubre - Omar Elias Castillo Castillo. DEPOSITA A MARTA PEREZ</t>
  </si>
  <si>
    <t>B31 Planilla 30 Septiembre al 5 Octubre - Freddy Antonio Hernandez</t>
  </si>
  <si>
    <t xml:space="preserve">B31 Planilla 30 Septiembre al 5 Octubre - Elvis Adrian Flores Vasquez - Depositar a </t>
  </si>
  <si>
    <t xml:space="preserve">B31 Planilla 30 Septiembre al 5 Octubre - Elvis Antonio Ramos Dormuz - Depositar a </t>
  </si>
  <si>
    <t xml:space="preserve">C30 Planilla 30 Septiembre al 5 Octubre - Crispin de Jesús Valencia - Depositar a </t>
  </si>
  <si>
    <t>C30 Planilla 30 Septiembre al 5 Octubre - Francisco Javier Rocha Orozco - Depositar a GRILLO</t>
  </si>
  <si>
    <t xml:space="preserve">C30 Planilla 30 Septiembre al 5 Octubre - Higinio José Barrera  - Depositar a </t>
  </si>
  <si>
    <t xml:space="preserve">C30 Planilla 30 Septiembre al 5 Octubre - Misael Ramos Dormuz - Depositar a </t>
  </si>
  <si>
    <t>B31 Planilla 30 Septiembre al 5 Octubre - EXNER GRILLO</t>
  </si>
  <si>
    <t>B31 Planilla 30 Septiembre al 5 Octubre - VIATICOS EXNER GRILLO</t>
  </si>
  <si>
    <t>B31 Planilla 30 Septiembre al 5 Octubre - Eliecer Leonardo Lacayo</t>
  </si>
  <si>
    <t>B31 Planilla 30 Septiembre al 5 Octubre - Oscar Manuel Rocha Depositar a Grillo</t>
  </si>
  <si>
    <t>B31 EXNER GRILLO - Comida</t>
  </si>
  <si>
    <t>C30 Diego Mora - Viaje Basura 04 Octubre</t>
  </si>
  <si>
    <t>B31 Diego Mora - Viaje Quintilla 01 Octubre 62954932 Hacer sinpe</t>
  </si>
  <si>
    <t>B31 CAJA CHICA</t>
  </si>
  <si>
    <t>Q7</t>
  </si>
  <si>
    <t>Q8</t>
  </si>
  <si>
    <t>NO HAY COMPROBANTE O FOTO</t>
  </si>
  <si>
    <t>Elektric Group - Juan Carlos Mora - Dimmer Pared LED Fact11951</t>
  </si>
  <si>
    <t>Almacenes El Colono Sucursal Huacas - Remache y Broca</t>
  </si>
  <si>
    <t>Suplidora Huacas - 7717 Dimmer</t>
  </si>
  <si>
    <t>Telecable C30 Octubre 2024 - Subscriptor 3580487</t>
  </si>
  <si>
    <t xml:space="preserve">Grupo Diez - PVC AMANO LTDA - </t>
  </si>
  <si>
    <t>Grupo Diez - PVC AMANO LTDA 43936</t>
  </si>
  <si>
    <t>B31 Planilla 7 al 12 Octubre - Derling Ariel Centeno - Depositar a Geyvin</t>
  </si>
  <si>
    <t>B31 Planilla 7 al 12 Octubre - Geyvin Alfonso Centeno</t>
  </si>
  <si>
    <t xml:space="preserve">B31 Planilla 7 al 12 Octubre - Michael Medina Corea </t>
  </si>
  <si>
    <t>B31 Planilla 7 al 12 Octubre - Eliceo García Espinosa</t>
  </si>
  <si>
    <t>C30 Planilla 7 al 12 Octubre - Omar Elias Castillo Castillo. DEPOSITA A MARTA PEREZ</t>
  </si>
  <si>
    <t>B31 Planilla 7 al 12 Octubre - Eliecer Leonardo Lacayo</t>
  </si>
  <si>
    <t>B31 Planilla 7 al 12 Octubre - Freddy Antonio Hernandez</t>
  </si>
  <si>
    <t xml:space="preserve">B31 Planilla 7 al 12 Octubre - Elvis Adrian Flores Vasquez - Depositar a </t>
  </si>
  <si>
    <t xml:space="preserve">B31 Planilla 7 al 12 Octubre - Elvis Antonio Ramos Dormuz - Depositar a </t>
  </si>
  <si>
    <t xml:space="preserve">C30 Planilla 7 al 12 Octubre - Crispin de Jesús Valencia - Depositar a </t>
  </si>
  <si>
    <t>C30 Planilla 7 al 12 Octubre - Francisco Javier Rocha Orozco - Depositar a GRILLO</t>
  </si>
  <si>
    <t xml:space="preserve">C30 Planilla 7 al 12 Octubre - Higinio José Barrera  - Depositar a </t>
  </si>
  <si>
    <t>B31 Planilla 7 al 12 Octubre - EXNER GRILLO</t>
  </si>
  <si>
    <t xml:space="preserve">B31 Planilla 7 al 12 Octubre - Misael Ramos Dormuz - Depositar a </t>
  </si>
  <si>
    <t xml:space="preserve">B31 Planilla 7 al 12 Octubre - Oscar Manuel Rocha </t>
  </si>
  <si>
    <t>B31 Planilla 7 al 12 Octubre - EXNER GRILLO viaticos</t>
  </si>
  <si>
    <t>HDZ Soluciones industriales SRL - ToolBox - Reparación Interruptor</t>
  </si>
  <si>
    <t>Suplidora Huacas 7761 - 17 Bomb LED</t>
  </si>
  <si>
    <t>Juan Carlos Porras Mora - Elektric Group - 12151</t>
  </si>
  <si>
    <t>COOPERATIVA DE ELECTRIFICACION RURAL DE GUANACASTE R.L - Reconexión de Servicios</t>
  </si>
  <si>
    <t>Hector Carmona - Cancela trabajo en c30 saldo y  ducto nuevo</t>
  </si>
  <si>
    <t>Coopeguanacaste - Electricidad C30</t>
  </si>
  <si>
    <t>B31 Diego Mora - Viaje Polvo Piedra 08 Octubre SINPE</t>
  </si>
  <si>
    <t xml:space="preserve"> Diego Mora - Viaje Quintilla 10 Octubre SINPE</t>
  </si>
  <si>
    <t>SINPE</t>
  </si>
  <si>
    <t>p8 SINPE</t>
  </si>
  <si>
    <t>Tipo cambio 507</t>
  </si>
  <si>
    <t>Suplidora Huacas - 99531 - 8 Bombillos LED</t>
  </si>
  <si>
    <t xml:space="preserve">B31 Diego Mora - Viaje Tubos Maferco 16 Octubre </t>
  </si>
  <si>
    <t>B31 Planilla 14 al 19 Octubre - Derling Ariel Centeno - Depositar a Geyvin</t>
  </si>
  <si>
    <t xml:space="preserve">B31 Planilla 14 al 19 Octubre - Michael Medina Corea </t>
  </si>
  <si>
    <t>B31 Planilla 14 al 19 Octubre - Eliceo García Espinosa</t>
  </si>
  <si>
    <t>C30 Planilla 14 al 19 Octubre - Omar Elias Castillo Castillo. DEPOSITA A MARTA PEREZ</t>
  </si>
  <si>
    <t>B31 Planilla 14 al 19 Octubre - Eliecer Leonardo Lacayo</t>
  </si>
  <si>
    <t>B31 Planilla 14 al 19 Octubre - Freddy Antonio Hernandez</t>
  </si>
  <si>
    <t xml:space="preserve">B31 Planilla 14 al 19 Octubre - Elvis Adrian Flores Vasquez - Depositar a </t>
  </si>
  <si>
    <t xml:space="preserve">B31 Planilla 14 al 19 Octubre - Elvis Antonio Ramos Dormuz - Depositar a </t>
  </si>
  <si>
    <t xml:space="preserve">C30 Planilla 14 al 19 Octubre - Crispin de Jesús Valencia - Depositar a </t>
  </si>
  <si>
    <t>C30 Planilla 14 al 19 Octubre - Francisco Javier Rocha Orozco - Depositar a GRILLO</t>
  </si>
  <si>
    <t xml:space="preserve">C30 Planilla 14 al 19 Octubre - Higinio José Barrera  - Depositar a </t>
  </si>
  <si>
    <t xml:space="preserve">B31 Planilla 14 al 19 Octubre - Misael Ramos Dormuz - Depositar a </t>
  </si>
  <si>
    <t xml:space="preserve">B31 Planilla 14 al 19 Octubre - Oscar Manuel Rocha </t>
  </si>
  <si>
    <t>B31 Planilla 14 al 19 Octubre - EXNER GRILLO</t>
  </si>
  <si>
    <t>B31 Planilla 14 al 19 Octubre - EXNER GRILLO viaticos</t>
  </si>
  <si>
    <t>comisiones</t>
  </si>
  <si>
    <t>s1</t>
  </si>
  <si>
    <t>s2</t>
  </si>
  <si>
    <t>s3</t>
  </si>
  <si>
    <t>s4</t>
  </si>
  <si>
    <t>s5</t>
  </si>
  <si>
    <t>s6</t>
  </si>
  <si>
    <t>s8</t>
  </si>
  <si>
    <t>s7</t>
  </si>
  <si>
    <t xml:space="preserve"> B31 Planilla 14 al 19 Octubre - Geyvin Alfonso Centeno</t>
  </si>
  <si>
    <t>Almacenes El Colono SA - Huacas - Batiente, clavo, tornillos y bisagras</t>
  </si>
  <si>
    <t>Luis Diego Mora Mora - Servicios de Transporte - B31 &amp; C30</t>
  </si>
  <si>
    <t xml:space="preserve">Suplidora Huacas - Cot 75504 </t>
  </si>
  <si>
    <t>Noldan Piñar Sequiera - alquiler de batidora</t>
  </si>
  <si>
    <t>Bambu y Maderas SA - c30 deck para portones LD247256 V2</t>
  </si>
  <si>
    <t xml:space="preserve">B31 Diego Mora - Viaje Repello Varilla Maferco 25 Octubre </t>
  </si>
  <si>
    <t xml:space="preserve">B31 Diego Mora - Viaje C30 a B31 - 26 Octubre </t>
  </si>
  <si>
    <t>C30  Diego Mora - ViajeBasura - 26 Octubrre</t>
  </si>
  <si>
    <t>B31 CAJA CHICA GRILLO</t>
  </si>
  <si>
    <t>C30 LIQUIDACION Cesar Augusto Henriquez</t>
  </si>
  <si>
    <t>q1</t>
  </si>
  <si>
    <t>q2</t>
  </si>
  <si>
    <t>q3</t>
  </si>
  <si>
    <t>q4</t>
  </si>
  <si>
    <t>q5</t>
  </si>
  <si>
    <t>q6</t>
  </si>
  <si>
    <t>C30 LIQUIDACION Estrada Ramirez Darwin Ernesto CR 3901 5202 0012 8754 3448</t>
  </si>
  <si>
    <t>Q9</t>
  </si>
  <si>
    <t>B31 Planilla 21 al 26 Octubre - Geyvin Alfonso Centeno</t>
  </si>
  <si>
    <t xml:space="preserve">B31 Planilla 21 al 26 Octubre - Michael Medina Corea </t>
  </si>
  <si>
    <t>B31 Planilla 21 al 26 Octubre - Eliceo García Espinosa</t>
  </si>
  <si>
    <t>C30 Planilla 21 al 26 Octubre - Omar Elias Castillo Castillo. DEPOSITA A MARTA PEREZ</t>
  </si>
  <si>
    <t>B31 Planilla 21 al 26 Octubre - Eliecer Leonardo Lacayo</t>
  </si>
  <si>
    <t>B31 Planilla 21 al 26 Octubre - Freddy Antonio Hernandez</t>
  </si>
  <si>
    <t xml:space="preserve">B31 Planilla 21 al 26 Octubre - Elvis Adrian Flores Vasquez - Depositar a </t>
  </si>
  <si>
    <t xml:space="preserve">B31 Planilla 21 al 26 Octubre - Elvis Antonio Ramos Dormuz - Depositar a </t>
  </si>
  <si>
    <t xml:space="preserve">C30 Planilla 21 al 26 Octubre - Crispin de Jesús Valencia - Depositar a </t>
  </si>
  <si>
    <t>C30 Planilla 21 al 26 Octubre - Francisco Javier Rocha Orozco - Depositar a GRILLO</t>
  </si>
  <si>
    <t xml:space="preserve">B31 Planilla 21 al 26 Octubre - Higinio José Barrera  - Depositar a </t>
  </si>
  <si>
    <t xml:space="preserve">B31 Planilla 21 al 26 Octubre - Misael Ramos Dormuz - Depositar a </t>
  </si>
  <si>
    <t xml:space="preserve">B31 Planilla 21 al 26 Octubre - Oscar Manuel Rocha </t>
  </si>
  <si>
    <t>B31 Planilla 21 al 26 Octubre - EXNER GRILLO</t>
  </si>
  <si>
    <t>B31 Planilla 21 al 26 Octubre - EXNER GRILLO viaticos</t>
  </si>
  <si>
    <t>Ferretería EPA - Burlete, adhesivo, tope media luna</t>
  </si>
  <si>
    <t>C30  Diego Mora - Viaje Maferco - 2 Noviembre</t>
  </si>
  <si>
    <t>B31 Planilla 18 Octubre al 2 Noviembre - Geyvin Alfonso Centeno</t>
  </si>
  <si>
    <t xml:space="preserve">B31 Planilla 18 Octubre al 2 Noviembre - Michael Medina Corea </t>
  </si>
  <si>
    <t>B31 Planilla 18 Octubre al 2 Noviembre - Eliceo García Espinosa</t>
  </si>
  <si>
    <t>C30 Planilla 18 Octubre al 2 Noviembre - Omar Elias Castillo Castillo. DEPOSITA A MARTA PEREZ</t>
  </si>
  <si>
    <t>B31 Planilla 18 Octubre al 2 Noviembre - Eliecer Leonardo Lacayo</t>
  </si>
  <si>
    <t>B31 Planilla 18 Octubre al 2 Noviembre - Freddy Antonio Hernandez</t>
  </si>
  <si>
    <t xml:space="preserve">B31 Planilla 18 Octubre al 2 Noviembre - Elvis Adrian Flores Vasquez - Depositar a </t>
  </si>
  <si>
    <t xml:space="preserve">B31 Planilla 18 Octubre al 2 Noviembre - Elvis Antonio Ramos Dormuz - Depositar a </t>
  </si>
  <si>
    <t xml:space="preserve">C30 Planilla 18 Octubre al 2 Noviembre - Crispin de Jesús Valencia - Depositar a </t>
  </si>
  <si>
    <t>C30 Planilla 18 Octubre al 2 Noviembre - Francisco Javier Rocha Orozco - Depositar a GRILLO</t>
  </si>
  <si>
    <t xml:space="preserve">B31 Planilla 18 Octubre al 2 Noviembre - Higinio José Barrera  - Depositar a </t>
  </si>
  <si>
    <t xml:space="preserve">B31 Planilla 18 Octubre al 2 Noviembre - Misael Ramos Dormuz - Depositar a </t>
  </si>
  <si>
    <t xml:space="preserve">B31 Planilla 18 Octubre al 2 Noviembre - Oscar Manuel Rocha </t>
  </si>
  <si>
    <t>B31 Planilla 18 Octubre al 2 Noviembre - EXNER GRILLO</t>
  </si>
  <si>
    <t>B31 Planilla 18 Octubre al 2 Noviembre - EXNER GRILLO viaticos</t>
  </si>
  <si>
    <t>t1</t>
  </si>
  <si>
    <t>t2</t>
  </si>
  <si>
    <t>t3</t>
  </si>
  <si>
    <t>t4</t>
  </si>
  <si>
    <t>t5</t>
  </si>
  <si>
    <t>t6</t>
  </si>
  <si>
    <t>t7</t>
  </si>
  <si>
    <t>t8</t>
  </si>
  <si>
    <t>CooperATIVA DE ELECTRIFICACION RURAL DE GUANACASTE R.L - B31 Electricidad</t>
  </si>
  <si>
    <t>Vence 1/11/24</t>
  </si>
  <si>
    <t>TerraEquipos Contrato 16469 - Marcos</t>
  </si>
  <si>
    <t>CooperATIVA DE ELECTRIFICACION RURAL DE GUANACASTE R.L - c30 Electricidad</t>
  </si>
  <si>
    <t>ALUMA SYSTEMS COSTA RICA S.A. Cabañas Sanitarias</t>
  </si>
  <si>
    <t>Bambu y Maderas SA - 17,52 M2 Piso Exteriores y transporte</t>
  </si>
  <si>
    <t>JORGE LUIS CHAVES CHACON - Extenciones para puertas</t>
  </si>
  <si>
    <t>Pinturas Bohemia Huacas - Ultradry 1G</t>
  </si>
  <si>
    <t>Automercado SA - Guacima</t>
  </si>
  <si>
    <t>Huacas Maferco - 250743</t>
  </si>
  <si>
    <t>HUACAS MAFERCO - BREAKER</t>
  </si>
  <si>
    <t>Maferco SA - Huacas Prof - 86243</t>
  </si>
  <si>
    <t>Maferco SA - Prof 170576</t>
  </si>
  <si>
    <t>Maferco SA - Proforma 185029 Acero para techos</t>
  </si>
  <si>
    <t>Servicentro ESSO santa Cruz</t>
  </si>
  <si>
    <t>Suplidora Huacas - 100639 tubo emt y pvc</t>
  </si>
  <si>
    <t>Suplidora Huacas - 98575</t>
  </si>
  <si>
    <t>Suplidora Huacas - 98677</t>
  </si>
  <si>
    <t>Suplidora Huacas - 99265</t>
  </si>
  <si>
    <t>Suplidora Huacas - 99350</t>
  </si>
  <si>
    <t>Suplidora Huacas - 99896 - 12 Bomb Led</t>
  </si>
  <si>
    <t>Diego transportes varios diego hizo falta de pagar 10milcolones</t>
  </si>
  <si>
    <t>Suplidora Huacas - 101717 - 24 Bomb LED Dim - PAGÓ ROBERT KOHR</t>
  </si>
  <si>
    <t>PAGO ROBER KORH</t>
  </si>
  <si>
    <t>Otros</t>
  </si>
  <si>
    <t>Suplidora Huacas - 101744 - Conectores, cajas apagadores, uniones pvc</t>
  </si>
  <si>
    <t>Suplidora Huacas - 101815 - placa Luz</t>
  </si>
  <si>
    <t>CoopeGuanacaste C30 Ref 222908</t>
  </si>
  <si>
    <t>JorGE LUIS CHAVES CHACON - Piezas Llavines</t>
  </si>
  <si>
    <t>cooperativa de electrificación rural de Guanacaste</t>
  </si>
  <si>
    <t>CORPORACIONCOMERCIAL EL LAGAR S.A. - Tope Puerta, burlete hule</t>
  </si>
  <si>
    <t>Suplidora Huacas - 102187</t>
  </si>
  <si>
    <t>Maferco SA - 190597</t>
  </si>
  <si>
    <t>Maferco SA - 188754</t>
  </si>
  <si>
    <t>Maferco SA - 191456 - Muro seco, bloques y varilla</t>
  </si>
  <si>
    <t>Caja Chica Grillo a Marco Antonio Perez Para pieza para ducha externa</t>
  </si>
  <si>
    <t>colono prof#57138 gypsum</t>
  </si>
  <si>
    <t>falta la factura</t>
  </si>
  <si>
    <t>B31 cot #56810 colono</t>
  </si>
  <si>
    <t>id iguales?</t>
  </si>
  <si>
    <t>id consecutivos?</t>
  </si>
  <si>
    <t>sin precio</t>
  </si>
  <si>
    <t>sin formade pago</t>
  </si>
  <si>
    <t>sin centro de costo</t>
  </si>
  <si>
    <t>deposito de garantia coopeguanacaste</t>
  </si>
  <si>
    <t>2do mes de administracion</t>
  </si>
  <si>
    <t>pagado el 4/7</t>
  </si>
  <si>
    <t>A REINTEGRAR</t>
  </si>
  <si>
    <t>¢2571135.64 a 520 = $4944.49</t>
  </si>
  <si>
    <t>¢4316387.42 a 518</t>
  </si>
  <si>
    <t>¢3022183 a 516</t>
  </si>
  <si>
    <t>¢2512864 a 522</t>
  </si>
  <si>
    <t>¢3001157.33 a 512</t>
  </si>
  <si>
    <t>¢3343249 a 528</t>
  </si>
  <si>
    <t>¢2456229 a 513</t>
  </si>
  <si>
    <t>¢2457000 a 510</t>
  </si>
  <si>
    <t>¢ 2755000 a 511</t>
  </si>
  <si>
    <t>¢ 2869629 a 513</t>
  </si>
  <si>
    <t>¢2615229 a 514</t>
  </si>
  <si>
    <t xml:space="preserve">comisiones </t>
  </si>
  <si>
    <t>¢ 2322504 a 507</t>
  </si>
  <si>
    <t>PVC Amano LTDA - PVC</t>
  </si>
  <si>
    <t>PVC Amano LTDA - 45270</t>
  </si>
  <si>
    <t>PVC Amano LTDA - 4255 NOTA DE CREDITO</t>
  </si>
  <si>
    <t>IVASERVICE DLIMON - CRISTIAN RUIZ ROSALES - Horas Back Hoe y viaje de lastre</t>
  </si>
  <si>
    <t>Almacenes El Colono SA - Huacas - Bolsa broca</t>
  </si>
  <si>
    <t>Oldemar Brenes Silva - 60% rodapié Teca</t>
  </si>
  <si>
    <t>Telecable C30 Noviembre 2024 - Subscriptor 3580487</t>
  </si>
  <si>
    <t>INS - Poliza Riesgos del trabajo B31 - 7655589</t>
  </si>
  <si>
    <t>CUBIERTAS INTEGRALES AG LIMITADA - Adelanto 60% Cubierta Cielo Vivo</t>
  </si>
  <si>
    <t>Suplidora Huacas - 103515</t>
  </si>
  <si>
    <t>Suplidora Huacas - 103538</t>
  </si>
  <si>
    <t>Suplidora Huacas - 103679</t>
  </si>
  <si>
    <t>B31 Planilla 4 al 9 Noviembre  - Geyvin Alfonso Centeno</t>
  </si>
  <si>
    <t xml:space="preserve">B31 Planilla 4 al 9 Noviembre - Michael Medina Corea </t>
  </si>
  <si>
    <t>B31 Planilla 4 al 9 Noviembre - Eliceo García Espinosa</t>
  </si>
  <si>
    <t>B31 Planilla 4 al 9 Noviembre - Omar Elias Castillo Castillo. DEPOSITA A MARTA PEREZ</t>
  </si>
  <si>
    <t>B31 Planilla 4 al 9 Noviembre - Eliecer Leonardo Lacayo</t>
  </si>
  <si>
    <t>B31 Planilla 4 al 9 Noviembre - Freddy Antonio Hernandez</t>
  </si>
  <si>
    <t xml:space="preserve">B31 Planilla  4 al 9 Noviembre - Elvis Adrian Flores Vasquez - Depositar a </t>
  </si>
  <si>
    <t xml:space="preserve">B31 Planilla  4 al 9 Noviembre - Elvis Antonio Ramos Dormuz - Depositar a </t>
  </si>
  <si>
    <t xml:space="preserve">B31 Planilla 4 al 9 Noviembre - Crispin de Jesús Valencia - Depositar a </t>
  </si>
  <si>
    <t>B31 Planilla  4 al 9 Noviembre - Francisco Javier Rocha Orozco - Depositar a GRILLO</t>
  </si>
  <si>
    <t xml:space="preserve">B31 Planilla  4 al 9 Noviembre - Misael Ramos Dormuz - Depositar a </t>
  </si>
  <si>
    <t xml:space="preserve">B31 Planilla  4 al 9 Noviembre - Oscar Manuel Rocha </t>
  </si>
  <si>
    <t>B31 Planilla  4 al 9 Noviembre - Denis Damian Rocha Orozco</t>
  </si>
  <si>
    <t>B31 Planilla  4 al 9 Noviembre - EXNER GRILLO</t>
  </si>
  <si>
    <t>B31 Planilla  4 al 9 Noviembre - EXNER GRILLO viaticos</t>
  </si>
  <si>
    <t>b31 Diego Mora - Viaje Maferco - 6 Noviembre viaje de bloques SINPE</t>
  </si>
  <si>
    <t>B31 Planilla 11 al 16 Noviembre  - Geyvin Alfonso Centeno</t>
  </si>
  <si>
    <t xml:space="preserve">B31 Planilla 11 al 16 Noviembre  - Michael Medina Corea </t>
  </si>
  <si>
    <t>B31 Planilla 11 al 16 Noviembre  - Eliceo García Espinosa</t>
  </si>
  <si>
    <t>B31 Planilla 11 al 16 Noviembre - Omar Elias Castillo Castillo. DEPOSITA A MARTA PEREZ</t>
  </si>
  <si>
    <t>B31 Planilla 11 al 16 Noviembre  - Eliecer Leonardo Lacayo</t>
  </si>
  <si>
    <t>B31 Planilla 11 al 16 Noviembre - Freddy Antonio Hernandez</t>
  </si>
  <si>
    <t xml:space="preserve">B31 Planilla 11 al 16 Noviembree - Elvis Adrian Flores Vasquez - Depositar a </t>
  </si>
  <si>
    <t xml:space="preserve">B31 Planilla 11 al 16 Noviembre - Elvis Antonio Ramos Dormuz - Depositar a </t>
  </si>
  <si>
    <t xml:space="preserve">B31 Planilla 11 al 16 Noviembre - Crispin de Jesús Valencia - Depositar a </t>
  </si>
  <si>
    <t>B31 Planilla 11 al 16 Noviembre - Francisco Javier Rocha Orozco - Depositar a GRILLO</t>
  </si>
  <si>
    <t xml:space="preserve">B31 Planilla 11 al 16 Noviembre - Misael Ramos Dormuz - Depositar a </t>
  </si>
  <si>
    <t xml:space="preserve">B31 Planilla 11 al 16  Noviembre - Oscar Manuel Rocha </t>
  </si>
  <si>
    <t>B31 Planilla 11 al 16 Noviembre - Denis Damian Rocha Orozco</t>
  </si>
  <si>
    <t>B31 Planilla 11 al 16 Noviembre - EXNER GRILLO</t>
  </si>
  <si>
    <t>B31 Planilla 11 al 16 Noviembre - EXNER GRILLO viaticos</t>
  </si>
  <si>
    <t>B31 Planilla 18 al 23 Noviembre  - Geyvin Alfonso Centeno</t>
  </si>
  <si>
    <t xml:space="preserve">B31 Planilla 18 al 23 Noviembre - Michael Medina Corea </t>
  </si>
  <si>
    <t>B31 Planilla 18 al 23 Noviembre - Eliceo García Espinosa</t>
  </si>
  <si>
    <t>B31 Planilla 18 al 23 Noviembre - Omar Elias Castillo Castillo. DEPOSITA A MARTA PEREZ</t>
  </si>
  <si>
    <t>B31 Planilla 18 al 23Noviembre - Eliecer Leonardo Lacayo</t>
  </si>
  <si>
    <t>B31 Planilla18 al 23 Noviembre - Freddy Antonio Hernandez</t>
  </si>
  <si>
    <t xml:space="preserve">B31 Planilla  18 al 23 Noviembre - Elvis Adrian Flores Vasquez - Depositar a </t>
  </si>
  <si>
    <t xml:space="preserve">B31 Planilla  18 al 23 Noviembre - Elvis Antonio Ramos Dormuz - Depositar a </t>
  </si>
  <si>
    <t xml:space="preserve">B31 Planilla 18 al 23 Noviembre - Crispin de Jesús Valencia - Depositar a </t>
  </si>
  <si>
    <t>B31 Planilla  18 al 23 Noviembre - Francisco Javier Rocha Orozco - Depositar a GRILLO</t>
  </si>
  <si>
    <t xml:space="preserve">B31 Planilla  18 al 23 Noviembre - Misael Ramos Dormuz - Depositar a </t>
  </si>
  <si>
    <t xml:space="preserve">B31 Planilla  18 al 23 Noviembre - Oscar Manuel Rocha </t>
  </si>
  <si>
    <t>B31 Planilla  18 al 23 Noviembre - Denis Damian Rocha Orozco</t>
  </si>
  <si>
    <t>B31 Planilla 18 al 23 Noviembre - EXNER GRILLO</t>
  </si>
  <si>
    <t>B31 Planilla  18 al 23 Noviembre - EXNER GRILLO viaticos</t>
  </si>
  <si>
    <t>B31 viaje diejo de quintilla 18 de noviembre</t>
  </si>
  <si>
    <t>B31 viaje diejo de polvo de piedra 18 de noviembre</t>
  </si>
  <si>
    <t>B31 viaje diejo de Maferco 20 de noviembre</t>
  </si>
  <si>
    <t xml:space="preserve">Municipalidad de Santa Cruz - </t>
  </si>
  <si>
    <t>Beltran Ingenieria, S.A. - Belectromecanica</t>
  </si>
  <si>
    <t>Tipo de cambio 511,86</t>
  </si>
  <si>
    <t>B31 Planilla 25 al 30 Noviembre  - Geyvin Alfonso Centeno</t>
  </si>
  <si>
    <t xml:space="preserve">B31 Planilla 25 al 30 Noviembre - Michael Medina Corea </t>
  </si>
  <si>
    <t>B31 Planilla 25 al 30 Noviembre - Eliceo García Espinosa</t>
  </si>
  <si>
    <t>B31 Planilla 25 al 30 Noviembre - Omar Elias Castillo Castillo. DEPOSITA A MARTA PEREZ</t>
  </si>
  <si>
    <t>B31 Planilla 25 al 30 Noviembre - Eliecer Leonardo Lacayo</t>
  </si>
  <si>
    <t>B31 Planilla 25 al 30 Noviembre - Freddy Antonio Hernandez</t>
  </si>
  <si>
    <t xml:space="preserve">B31 Planilla 25 al 30 Noviembre - Elvis Adrian Flores Vasquez - Depositar a </t>
  </si>
  <si>
    <t xml:space="preserve">B31 Planilla 25 al 30 Noviembre - Elvis Antonio Ramos Dormuz - Depositar a </t>
  </si>
  <si>
    <t xml:space="preserve">B31 Planilla 25 al 30 Noviembre - Crispin de Jesús Valencia - Depositar a </t>
  </si>
  <si>
    <t>B31 Planilla  25 al 30 Noviembre - Francisco Javier Rocha Orozco - Depositar a GRILLO</t>
  </si>
  <si>
    <t xml:space="preserve">B31 Planilla  25 al 30 Noviembre - Misael Ramos Dormuz - Depositar a </t>
  </si>
  <si>
    <t>B31 Planilla 25 al 30 Noviembre - Denis Damian Rocha Orozco</t>
  </si>
  <si>
    <t>B31 Planilla 25 al 30Noviembre - EXNER GRILLO</t>
  </si>
  <si>
    <t>B31 Planilla 25 al 30 Noviembre - EXNER GRILLO viaticos</t>
  </si>
  <si>
    <t>B31 30nov EXNER GRILLO - Comida</t>
  </si>
  <si>
    <t>B31 viaje diego maferco</t>
  </si>
  <si>
    <t>B31 viaje diego de polvo de piedra 29 de noviembre</t>
  </si>
  <si>
    <t>B31 viaje diejo de quintilla 29 de noviembre</t>
  </si>
  <si>
    <t>CAJA CHICA B31</t>
  </si>
  <si>
    <t>Uber Flash - Tornillos de 3"</t>
  </si>
  <si>
    <t>KYLCSA PACIFIC CONCRETE DEVELOPERS LIMITADA - Concreto  210 Kg/cm2 agregado 12mm</t>
  </si>
  <si>
    <t>MULTISERVICIOS D LIMON - 16H Back hoe + 12 Viajes Tierra + 4 Viajes Lastre</t>
  </si>
  <si>
    <t>Universal de Tornillos - Tornillos de 3"</t>
  </si>
  <si>
    <t>Huacas Maferco - 249690</t>
  </si>
  <si>
    <t>Huacas Maferco - Ref 250440</t>
  </si>
  <si>
    <t>Maferco SA - Huacas Prof  250465 - Ref 250465</t>
  </si>
  <si>
    <t>Huacas Maferco - 255415</t>
  </si>
  <si>
    <t xml:space="preserve">Maferco Huacas - 256275 lija brocha </t>
  </si>
  <si>
    <t>maferco Huacas - 257578</t>
  </si>
  <si>
    <t>Maferco SA - 84601 - Tubo concreto y loseta</t>
  </si>
  <si>
    <t>Maferco SA - Prof 164311 - Ref 85788</t>
  </si>
  <si>
    <t>Aplicaron descuento, total fue 48271,70</t>
  </si>
  <si>
    <t>Maferco SA - Prof 170581 - Ref 88277</t>
  </si>
  <si>
    <t>Maferco Huacas - 91701 thinner, masking tape, brocha, serrucho candado gato</t>
  </si>
  <si>
    <t>Maferco SA - 255988</t>
  </si>
  <si>
    <t>Maferco SA - 92500</t>
  </si>
  <si>
    <t>Maferco SA -  91702 - Palas. Escobon zapato</t>
  </si>
  <si>
    <t>Maferco Huacas - 257232 Disco Sierra metabo y masking tape</t>
  </si>
  <si>
    <t>Maferco Huacas - 257739</t>
  </si>
  <si>
    <t>Maferco Huacas - 91602 masking lija</t>
  </si>
  <si>
    <t>Maferco Huacas - 91869  Broca carbide punta phil disco metabo</t>
  </si>
  <si>
    <t>Maferco SA - Fact 91870 Prof 179338</t>
  </si>
  <si>
    <t>Maferco SA - Prof 181153</t>
  </si>
  <si>
    <t>Maferco SA - Prof 176653 - Ref 91107</t>
  </si>
  <si>
    <t>Maferco SA - PROF 176919 - Ref 91127 B31</t>
  </si>
  <si>
    <t>Maferco SA - prof 196410 cemento, repello, latiblock, mortero expansivo</t>
  </si>
  <si>
    <t xml:space="preserve">Maferco SA - Prof 194303 </t>
  </si>
  <si>
    <t>Maferco Huacas - 93049</t>
  </si>
  <si>
    <t>Bella Vida CR - 70% adelanto ventanas 5ta habitacion</t>
  </si>
  <si>
    <t>Maferco SA - 186574 Tubo</t>
  </si>
  <si>
    <t>Maferco SA - Prof 165327 - Ref 250439</t>
  </si>
  <si>
    <t>Maferco SA - Prof 175820 Varilla Baranda</t>
  </si>
  <si>
    <t>Maferco SA - Prof 175885 Ref 90719</t>
  </si>
  <si>
    <t>Maferco SA - 251721 prof 167794 techo ondulado, vara formaleta tubo galv latiblock</t>
  </si>
  <si>
    <t>Maferco SA - 254467</t>
  </si>
  <si>
    <t xml:space="preserve">Maferco SA - Prof 182095 - Varilla Cemento </t>
  </si>
  <si>
    <t>Noldan Piñar Sequiera - alquiler de batidora al 26 DIC</t>
  </si>
  <si>
    <t>CUBIERTAS INTEGRALES AG LTD - 2do pago cielo vivo entrada al proyecto</t>
  </si>
  <si>
    <t>ALUMA SYSTEMS COSTA RICA SA -  trans#72066 cliente #1363654</t>
  </si>
  <si>
    <t>Reintegrado a Braidy</t>
  </si>
  <si>
    <t>Bermudez Bermudez Deyvid Antonio - Camion</t>
  </si>
  <si>
    <t>Pagado a Calero Hernandez</t>
  </si>
  <si>
    <t>Oldemar Brenes Silva - Cancela rodapié c30</t>
  </si>
  <si>
    <t>Wagner Zepeda Bustos 8770-8682</t>
  </si>
  <si>
    <t>50% Impresión Planos B31</t>
  </si>
  <si>
    <t>Nimbu Woods - Adelanto Muebles</t>
  </si>
  <si>
    <t>MAFERCO PROF#201414 cemento repello madera</t>
  </si>
  <si>
    <t xml:space="preserve">Reparación Generador </t>
  </si>
  <si>
    <t xml:space="preserve">Cancela Ploteo de Planos </t>
  </si>
  <si>
    <t xml:space="preserve">CUBIERTAS INTEGRALES AG LTDA - Cielo Vivo - </t>
  </si>
  <si>
    <t>B31 2/12/24 al 7/12/24 - ELISEO GARCIA ESPINOZA</t>
  </si>
  <si>
    <t>B31 Planilla 2 al 7 diciembre - Omar_Elias_Castillo_Castillo.</t>
  </si>
  <si>
    <t>B31 Planilla 2 al 7 diciembre - Eliezer Leonardo Lacayo</t>
  </si>
  <si>
    <t>B31 Planilla 2 al 7 diciembre - Freddy Antonio Hernandez</t>
  </si>
  <si>
    <t>B31 Planilla 2 al 7 diciembre - Grillo Incluye Viaticos, comida y varios</t>
  </si>
  <si>
    <t>Revisar si la podemos separar</t>
  </si>
  <si>
    <t>C30_B31_TRANSPORTES_VARIOS - CORRALES_BARBOZA_JOR</t>
  </si>
  <si>
    <t>B31 Planilla 9 al 14 diciembre - Eliseo Garcia Espinoza</t>
  </si>
  <si>
    <t>B31 Planilla 9 al 14 diciembre - Omar Elias Castillo Castillo._</t>
  </si>
  <si>
    <t>B31 Planilla 9 al 14 diciembre  - Eliezer Leonardo Lacayo</t>
  </si>
  <si>
    <t>B31 Planilla 9 al 14 diciembre  - Freddy Antonio Hernandez</t>
  </si>
  <si>
    <t>B31 Planilla 9 al 14 diciembre  - Medina</t>
  </si>
  <si>
    <t>B31_VIAJES_9_DE_DICIEMBRE_2_VIAJES_DE_POLVO_DE_PIEDRA_Y_QUINTILLA___13_DE_DICIEMBRE_VIAJE_DE_MAFERCO</t>
  </si>
  <si>
    <t>C30_cambio_de_fregadero_sinpe_al_87037278</t>
  </si>
  <si>
    <t>Maferco Ref 83397</t>
  </si>
  <si>
    <t>Maferco SA Ref 83648</t>
  </si>
  <si>
    <t>Maferco SA Ref 248893</t>
  </si>
  <si>
    <t>Maferco SA Ref 85521</t>
  </si>
  <si>
    <t>Maferco SA Ref 85798</t>
  </si>
  <si>
    <t>MAFERCO SA prof #202407</t>
  </si>
  <si>
    <t>CANDIDA_ROSA_LOPEZ - c30_cancela_2do_50__por_instalacion_de_rodapie</t>
  </si>
  <si>
    <t>Caja Chica Exner Grillo</t>
  </si>
  <si>
    <t>Jorge Luis Chaves Chacon - Adelanto Cerraduras</t>
  </si>
  <si>
    <t xml:space="preserve">Sinpe </t>
  </si>
  <si>
    <t>Wagner Zepeda Bustos 8770-8682 - Maferco Densglass</t>
  </si>
  <si>
    <t>B31 Aguinaldo Eliseo</t>
  </si>
  <si>
    <t>n2</t>
  </si>
  <si>
    <t>B31 Aguinaldo Omar</t>
  </si>
  <si>
    <t>n3</t>
  </si>
  <si>
    <t>B31 Aguinaldo Eliecer</t>
  </si>
  <si>
    <t>n4</t>
  </si>
  <si>
    <t>B31 Aguinaldo Freddy</t>
  </si>
  <si>
    <t>B31 Aguinaldo Michael</t>
  </si>
  <si>
    <t>n5</t>
  </si>
  <si>
    <t>n6</t>
  </si>
  <si>
    <t>B31 Aguinaldos</t>
  </si>
  <si>
    <t>n7</t>
  </si>
  <si>
    <t>flores</t>
  </si>
  <si>
    <t>ramos</t>
  </si>
  <si>
    <t>valencia</t>
  </si>
  <si>
    <t>rocha</t>
  </si>
  <si>
    <t>grillo</t>
  </si>
  <si>
    <t>BAC Co</t>
  </si>
  <si>
    <t>Candida Rosa Lopez - Cancela 9 Puertas - Adelanto 5 Puertas - 50% Instalación Rodapie</t>
  </si>
  <si>
    <t>B31 Aguinaldo Geyvin</t>
  </si>
  <si>
    <t>n1 EDWIN</t>
  </si>
  <si>
    <t>SMART ENGINEERING GROUP DOS MI - Fact 039 Equipos Piscina</t>
  </si>
  <si>
    <t>ALUMA SYSTEMS COSTA RICA SA -  trans#72904 cliente #</t>
  </si>
  <si>
    <t>Liquidación Higinio José Barrera</t>
  </si>
  <si>
    <t>Liquidación Derling Centeno</t>
  </si>
  <si>
    <t>CACERES SALGADO DEYRA FRANCISCA Fontanería Cebolla</t>
  </si>
  <si>
    <t>CACERES SALGADO DEYRA FRANCISCA Fontanería Cebolla  - Cancela 14 Dic</t>
  </si>
  <si>
    <t>FERRETERIA MAFERCO - prof #204318 maferco formaleta</t>
  </si>
  <si>
    <t>FERRETERIA MAFERCO - prof#204358 maferco pvc</t>
  </si>
  <si>
    <t>Casas Modernas del Pacífico - Prof 2065 Pintura Portones</t>
  </si>
  <si>
    <t>Candida Rosa Lopez - 50% Closet</t>
  </si>
  <si>
    <t>Candida Rosa Lopez - Cancela Reparación 15 Puertas</t>
  </si>
  <si>
    <t>Reintegro CCSS NOV</t>
  </si>
  <si>
    <t>pago feriado 25 dic a grillo</t>
  </si>
  <si>
    <t>3101912430 SA - Fact  007 Movimiento_de_tierras - 8 Viajes Lastre + 8 Horas Back Hoe</t>
  </si>
  <si>
    <t>Telecable Internet B31</t>
  </si>
  <si>
    <t>Maferco SA - 101810 - Arandelas, tuercas brocas y Pegamento</t>
  </si>
  <si>
    <t>Maferco SA - 101953 - Lija, moldura, esquinero</t>
  </si>
  <si>
    <t>SMART ENGINEERING GROUP DOS MIL VEINTICUATRO SRL - accesorios de fondo de piscina</t>
  </si>
  <si>
    <t>CUBIERTAS INTEGRALES AG LTDA - Cielo Vivo - Cancela C30</t>
  </si>
  <si>
    <t>ALUMA SYSTEMS COSTA RICA S.A - Cabañas Sanitarias 00072904</t>
  </si>
  <si>
    <t>Maferco SA - 266526 - d¡Disco Metabo. Hoja segueta,cinta</t>
  </si>
  <si>
    <t>PVC AMANO</t>
  </si>
  <si>
    <t>MAFERCO S.A.</t>
  </si>
  <si>
    <t>PAPAGAYODOIT CENTER</t>
  </si>
  <si>
    <t>Alquileres Tinoco - 2 Viajes</t>
  </si>
  <si>
    <t>ELISEO GARCIA ESPINOZA</t>
  </si>
  <si>
    <t>OMAR CASTILLO</t>
  </si>
  <si>
    <t>ELIEZER LEONARDO LACAYO</t>
  </si>
  <si>
    <t>FREDDY ANTONIO HERNA</t>
  </si>
  <si>
    <t>MEDINA COREA MICHAEL</t>
  </si>
  <si>
    <t>GRILLO FLORES RAMOS VALENCIA ROCHA + VIATICOS + COMIDA</t>
  </si>
  <si>
    <t>Feriado 25Dic - Geyvin Alfonso Centeno</t>
  </si>
  <si>
    <t xml:space="preserve">MARTHA REBECA </t>
  </si>
  <si>
    <t>Feriado 25Dic - ELIEZER LEONARDO LACAYO</t>
  </si>
  <si>
    <t>Feriado 25Dic - FREDDY ANTONIO HERNA</t>
  </si>
  <si>
    <t>Feriado 25Dic - MEDINA COREA MICHAEL</t>
  </si>
  <si>
    <t>flores_2ramos_valencia_3rocha_grillo_viaticos_feriado_comida</t>
  </si>
  <si>
    <t xml:space="preserve"> LUIS DIEGO MORA MORA - 1_viaje_de_quintilla_- 23_diciembre</t>
  </si>
  <si>
    <t>MAFERCO S.A. 3102844 Piedra Quinta Negra</t>
  </si>
  <si>
    <t xml:space="preserve">Casas Modernas del Pacífico </t>
  </si>
  <si>
    <t>×</t>
  </si>
  <si>
    <t>SINPE Movil</t>
  </si>
  <si>
    <t>Oficina</t>
  </si>
  <si>
    <t>✓</t>
  </si>
  <si>
    <t>Transferencia</t>
  </si>
  <si>
    <t>Terceros</t>
  </si>
  <si>
    <t>Combustible - SERVIMOVIL HUACAS S.A</t>
  </si>
  <si>
    <t>Tarjeta</t>
  </si>
  <si>
    <t>TC.Prom</t>
  </si>
  <si>
    <t>Abarrotes - Auto Mercado S.A. (GUÁCIMA)</t>
  </si>
  <si>
    <t>Coyote</t>
  </si>
  <si>
    <t>No disponible</t>
  </si>
  <si>
    <t>GV FERRETERÍA COYOTE</t>
  </si>
  <si>
    <t>Combustible - SERVIMOVIL HUACAS S.A viaticos</t>
  </si>
  <si>
    <t>Personal</t>
  </si>
  <si>
    <t>Maferco SA - Ref 122400 - Fact 47541</t>
  </si>
  <si>
    <t>Telecable Suscriptor 3607956 - Internet Playa Grande</t>
  </si>
  <si>
    <t>Maferco SA - Ref 283737 - Fact 46067 Tubo Galvanizado</t>
  </si>
  <si>
    <t>Abarrotes - Prismar de Costa Rica. S.A - Santa Ana</t>
  </si>
  <si>
    <t>Maferco SA - Ref 122256 - Fact 47440</t>
  </si>
  <si>
    <t>Maferco SA - Ref 283401 - Fact 45868</t>
  </si>
  <si>
    <t>Maferco SA - Ref 121984 Fact 47260</t>
  </si>
  <si>
    <t>Combustible - SERVIMOVIL HUACAS S.A. viaticos</t>
  </si>
  <si>
    <t>Maferco SA - Ref 121878 Fact 47211</t>
  </si>
  <si>
    <t>Efectivo</t>
  </si>
  <si>
    <t xml:space="preserve">Abarrotes - Vindi campo real </t>
  </si>
  <si>
    <t xml:space="preserve">Articulos oficina - Amapolas - </t>
  </si>
  <si>
    <t>Abarrotes - CORPORACION SUPERMERCADOS UNIDOS S.R.L.</t>
  </si>
  <si>
    <t>INVERSORES TECNOLOGICOS INTECSA CR SA - Instituto Cosvic - Abono Clase</t>
  </si>
  <si>
    <t>Pops Belen  - Compañía americana de Helados</t>
  </si>
  <si>
    <t>Combustible - SERVIMOVIL HUACAS S.A.</t>
  </si>
  <si>
    <t>Combustible - SHEYZA S.A.</t>
  </si>
  <si>
    <t>CNFL NISE 164368 - Oficina Belén - Mayo Vence 26/5</t>
  </si>
  <si>
    <t>HUACAS MEDICAL CENTER LIM Fact 131 - Cirugía menor en zona de el cuero cabelludo</t>
  </si>
  <si>
    <t>CNFL NISE 27511157 - G22 Mayo</t>
  </si>
  <si>
    <t>Combustible - SERVIMOVIL HUACAS S.A. - Fact 544118</t>
  </si>
  <si>
    <t>Abarrotes - Comercial CC Belen San Antonio -</t>
  </si>
  <si>
    <t>MAFERCO S.A. - Ref 282527 - Fact 45373</t>
  </si>
  <si>
    <t>Abarrotes - Auto Mercado S.A. (CENTRO) - Fact 23587</t>
  </si>
  <si>
    <t>Panader{ia y repostería colombiana jary no12</t>
  </si>
  <si>
    <t>DavC - 5111</t>
  </si>
  <si>
    <t>b31 viajes wagner zepeda bustos sinpe al 87708682</t>
  </si>
  <si>
    <t>CEBOLLA instalaciones mecanicas</t>
  </si>
  <si>
    <t>B31 24 mayo  EXNER GRILLO - Comida</t>
  </si>
  <si>
    <t>B31 Planilla 19 AL 24 DE mayo - EXNER GRILLO viaticos</t>
  </si>
  <si>
    <t>B31 Planilla 19 AL 24 DE mayo - EXNER GRILLO</t>
  </si>
  <si>
    <t>B31 Planilla 19 AL 24 DE mayo - Omar Elias Castillo Castillo. Depositar a grillo</t>
  </si>
  <si>
    <t>B31 Planilla  19 AL 24 DE mayo -Mainor antonio Paz Vasquez  - Depositar a grillo</t>
  </si>
  <si>
    <t>B31 Planilla  19 AL 24 DE mayo - Wilber Alberto Manzanares  - Depositar a grillo</t>
  </si>
  <si>
    <t>B31 Planilla  19 AL 24 DE mayo - Francisco javier rocha orozco - Depositar a grillo</t>
  </si>
  <si>
    <t>B31 Planilla  19 AL 24 DE mayo - Misael Ramos Dormuz - Depositar a grillo</t>
  </si>
  <si>
    <t>B31 Planilla 19 AL 24 DE mayo - Elvis Adrian Flores Vasquez - Depositar a grillo</t>
  </si>
  <si>
    <t>B31 Planilla 19 AL 24 DE mayo - Eliceo Garcia Espinoza</t>
  </si>
  <si>
    <t xml:space="preserve">B31 Planilla 19 AL 24 DE mayo - Michael Medina Corea </t>
  </si>
  <si>
    <t>B31 Planilla 19 AL 24 DE mayo - Freddy Antonio Hernandez</t>
  </si>
  <si>
    <t>B31 Planilla 19 AL 24 DE mayo - brandon jose mejia flores CR42015202001367796441</t>
  </si>
  <si>
    <t>B31 Planilla 19 AL 24 DE mayo - Eliecer Leonardo Lacayo</t>
  </si>
  <si>
    <t>B31 Planilla 19 AL 24 DE mayo - Geyvin Centeno</t>
  </si>
  <si>
    <t>Abarrotes - Prismar de Costa Rica. S.A. Sucursal Santa Ana - Fact 121424</t>
  </si>
  <si>
    <t>MAFERCO S.A. - Ref 121074 - Fact 46730</t>
  </si>
  <si>
    <t>MAFERCO S.A. - Ref 120992 - Fact 46681</t>
  </si>
  <si>
    <t>Caja Chica Grillo 250523</t>
  </si>
  <si>
    <t>MAFERCO S.A. - Ref 282167 - Fact - 45170</t>
  </si>
  <si>
    <t>Maferco SA - Fact 282017 cemento</t>
  </si>
  <si>
    <t>Maferco SA - Fact 282016 laticrete</t>
  </si>
  <si>
    <t>Maferco SA - Fact 282024 Tubonegron100x200</t>
  </si>
  <si>
    <t>Maferco Huacas - Fact 282023 - Formaleta, regla, plywood</t>
  </si>
  <si>
    <t>Combustible - SERVIMOVIL HUACAS S.A. - Valvoline</t>
  </si>
  <si>
    <t>MAFERCO S.A. - Ref 282044 - Fact 45105</t>
  </si>
  <si>
    <t xml:space="preserve">INS Poliza Flexible </t>
  </si>
  <si>
    <t>Abarrotes - automercado sa centro</t>
  </si>
  <si>
    <t>Combustible - SERVIMOVIL HUACAS S.A. - c16164 Super + 7mil Valvoline</t>
  </si>
  <si>
    <t>MAFERCO S.A. - Prof - Ref 281489 - Fact 44769</t>
  </si>
  <si>
    <t>DavC - 8344</t>
  </si>
  <si>
    <t>ICE TELEFONO 86013399</t>
  </si>
  <si>
    <t>B31 10 mayo  EXNER GRILLO - Comida</t>
  </si>
  <si>
    <t>B31 Planilla 12 al 17 de mayo - EXNER GRILLO viaticos</t>
  </si>
  <si>
    <t>B31 Planilla 12 al 17 de mayo - EXNER GRILLO</t>
  </si>
  <si>
    <t>B31 Planilla 12 al 17 de mayo - Omar Elias Castillo Castillo. Depositar a grillo</t>
  </si>
  <si>
    <t>B31 Planilla  12 al 17 de mayo -Mainor antonio Paz Vasquez  - Depositar a grillo</t>
  </si>
  <si>
    <t>B31 Planilla  12 al 17 de mayo - Wilber Alberto Manzanares  - Depositar a grillo</t>
  </si>
  <si>
    <t>B31 Planilla  12 al 17 de mayo - Francisco javier rocha orozco - Depositar a grillo</t>
  </si>
  <si>
    <t>B31 Planilla  12 al 17 de mayo - oscar manuel rocha - Depositar a grillo</t>
  </si>
  <si>
    <t>B31 Planilla  12 al 17 de mayo - Misael Ramos Dormuz - Depositar a grillo</t>
  </si>
  <si>
    <t>B31 Planilla 12 al 17 de mayo - Elvis Adrian Flores Vasquez - Depositar a grillo</t>
  </si>
  <si>
    <t>B31 Planilla 12 al 17 de mayo - Eliceo Garcia Espinoza</t>
  </si>
  <si>
    <t xml:space="preserve">B31 Planilla 12 al 17 de mayo - Michael Medina Corea </t>
  </si>
  <si>
    <t>B31 Planilla 12 al 17 de mayo - Freddy Antonio Hernandez</t>
  </si>
  <si>
    <t>B31 Planilla 12 al 17 de mayo - brandon jose mejia flores CR42015202001367796441</t>
  </si>
  <si>
    <t>B31 Planilla 12 al 17 de mayo - Eliecer Leonardo Lacayo</t>
  </si>
  <si>
    <t>B31 Planilla 12 al 17 de mayo - Geyvin Centeno</t>
  </si>
  <si>
    <t>MAFERCO S.A. - Ref 120082 - Fact - 46150</t>
  </si>
  <si>
    <t>debolución Caja de paso</t>
  </si>
  <si>
    <t>SUPLIDORA HUACAS LTDA - NOTA DE CRÉDITO - Ref 9170 Fact 52621 Afecta Ref 116837</t>
  </si>
  <si>
    <t>SUPLIDORA HUACAS LTDA -Ref 117032 Fact 110615</t>
  </si>
  <si>
    <t>DavC - 4415</t>
  </si>
  <si>
    <t>Pasar a fondos de caja chica de oficina</t>
  </si>
  <si>
    <t>Braidy - 5641</t>
  </si>
  <si>
    <t>Abarrotes - Auto Mercado S.A. (Vindi CAMPO REAL)</t>
  </si>
  <si>
    <t>SUPLIDORA HUACAS LTDA - Ref 116839 - Fact 110479</t>
  </si>
  <si>
    <t>SUPLIDORA HUACAS LTDA - Ref 116837 - Fact 110477</t>
  </si>
  <si>
    <t>LA GRAN BODEGA DE FRUTAS Y VERDURAS DE SR S.A</t>
  </si>
  <si>
    <t>GV FERRETERÍA COYOTE - LUIS FERNANDO GONZALEZ ROJAS</t>
  </si>
  <si>
    <t>Factura por c341,525</t>
  </si>
  <si>
    <t>Gabriela</t>
  </si>
  <si>
    <t>ESCUELA SANTA MARGARITA S.A - Junio</t>
  </si>
  <si>
    <t>BacC - 8272 EDU</t>
  </si>
  <si>
    <t>GREDOS SAN DIEGO.S.COOP.MAD - Mayo - Piscina Zahara</t>
  </si>
  <si>
    <t>Grillo Hernandez Exner Leonardo - Completa Viaticos del 10 de Mayo</t>
  </si>
  <si>
    <t>Combustible - Servimovil Huacas SA - Super + Valvoline</t>
  </si>
  <si>
    <t>MAFERCO S.A. - 280730 - Fact 044356 - 125 Blocks + 10 Repello + 80 Formaleta + 80 Regla</t>
  </si>
  <si>
    <t>Restaurante - NNC OPERATIONS HOTELS S.A.</t>
  </si>
  <si>
    <t xml:space="preserve">Auto Mercado S.A. (HERRADURA) - </t>
  </si>
  <si>
    <t>Yadira de los Angeles Cordoba - Limpieza Oficina</t>
  </si>
  <si>
    <t>B31 10 mayo  EXNER GRILLO - caja chica</t>
  </si>
  <si>
    <t>B31 Planilla 5 al 10 de mayo - EXNER GRILLO viaticos</t>
  </si>
  <si>
    <t>B31 Planilla 5 al 10 de mayo - EXNER GRILLO</t>
  </si>
  <si>
    <t>B31 Planilla  5 al 10 de mayo - Wilber Alberto Manzanares  - Depositar a grillo</t>
  </si>
  <si>
    <t>B31 Planilla  5 al 10 de mayo - Francisco javier rocha orozco - Depositar a grillo</t>
  </si>
  <si>
    <t>B31 Planilla  5 al 10 de mayo - oscar manuel rocha - Depositar a grillo</t>
  </si>
  <si>
    <t>B31 Planilla  5 al 10 de mayo - Misael Ramos Dormuz - Depositar a grillo</t>
  </si>
  <si>
    <t>B31 Planilla 5 al 10 de mayo - Elvis Adrian Flores Vasquez - Depositar a grillo</t>
  </si>
  <si>
    <t>B31 Planilla 5 al 10 de mayo - Eliceo Garcia Espinoza</t>
  </si>
  <si>
    <t xml:space="preserve">B31 Planilla 5 al 10 de mayo - Michael Medina Corea </t>
  </si>
  <si>
    <t>B31 Planilla 5 al 10 de mayo - Freddy Antonio Hernandez</t>
  </si>
  <si>
    <t>B31 Planilla 5 al 10 de mayo - brandon jose mejia flores CR42015202001367796441</t>
  </si>
  <si>
    <t>B31 Planilla 5 al 10 de mayo - Eliecer Leonardo Lacayo</t>
  </si>
  <si>
    <t>B31 Planilla 5 al 10 de mayo - Omar Elias Castillo Castillo. DEPOSITA A MARTA PEREZ</t>
  </si>
  <si>
    <t>B31 Planilla 5 al 10 de mayo - Geyvin Centeno</t>
  </si>
  <si>
    <t>ELECTRICIDAD COOPEGUANACASTE - 3-102-844582 SRL - 4/25</t>
  </si>
  <si>
    <t>Restaurante - SEPALO LLC LIM - Fact 257</t>
  </si>
  <si>
    <t>MAFERCO S.A. - Ref 119203 - Fact - 45661</t>
  </si>
  <si>
    <t>Telecable - Playa Grande Sus 3607956 - 3102844582 SRL</t>
  </si>
  <si>
    <t>Articulos de Oficina - Federspiel &amp; CO SA</t>
  </si>
  <si>
    <t xml:space="preserve">Combustible - Servimovil Huacas SA - Super </t>
  </si>
  <si>
    <t>EQUIPO PISTOLA DE IMPACTO</t>
  </si>
  <si>
    <t>MAFERCO S.A. - Ref 280552 - Fact 044269</t>
  </si>
  <si>
    <t>HDZ Soluciones industriales SRL - Toolbox - Reparacion</t>
  </si>
  <si>
    <t>Restaurante - Pizza Piazza Di Angolo Lim</t>
  </si>
  <si>
    <t xml:space="preserve">Restaurante - LS FOOD Limitada - Fact 03117 - </t>
  </si>
  <si>
    <t>Maferco SA - Ref 280320 - Fact 44146</t>
  </si>
  <si>
    <t>MAFERCO S.A - NOTA CREDITO - Fact 3033 - Ref 280029  -Dev 4645</t>
  </si>
  <si>
    <t>Maferco SA - Ref 280321 - Fact 44147 cinta metrica</t>
  </si>
  <si>
    <t>DavD - 5121</t>
  </si>
  <si>
    <t>SP - RONALD EUGENIO JIMENEZ CASTRO [rojica] - Fact106 - Puente Corrogres</t>
  </si>
  <si>
    <t>Luis Alejandro Navarro Monge - Pago material [72416865]</t>
  </si>
  <si>
    <t>Abarrotes - Prismar de Costa Rica. S.A. - Alajuela</t>
  </si>
  <si>
    <t>Maferco SA - Fact 44088 - Ref  280215 - Prof Block</t>
  </si>
  <si>
    <t>COOPEGUANACASTE, R.L. - Multa de Energía</t>
  </si>
  <si>
    <t>Bloqueador solar</t>
  </si>
  <si>
    <t xml:space="preserve">CORPORACION SUPERMERCADOS UNIDOS S.R.L. </t>
  </si>
  <si>
    <t>TERRA EQUIPOS - Nota de Crédito -  21247 - Puntal de Carga</t>
  </si>
  <si>
    <t>Combustible - SERVIMOVIL HUACAS S.A. - Grillo Viaticos</t>
  </si>
  <si>
    <t xml:space="preserve">Maferco SA - Nota de Crédito 3018-  Fact 45343 - Ref  118661 - Prof </t>
  </si>
  <si>
    <t xml:space="preserve">Maferco SA - Fact 45343 - Ref  118661 - Prof </t>
  </si>
  <si>
    <t xml:space="preserve">Maferco SA - Fact 43995 - Ref  280047 - Prof </t>
  </si>
  <si>
    <t xml:space="preserve">Maferco SA - Fact 43981 - Ref  280029 - Prof </t>
  </si>
  <si>
    <t>Pagado junto a 25050503 25050504 756257,13</t>
  </si>
  <si>
    <t>Maferco SA - Ref 118529 - Prof 239484 - Fact 45266</t>
  </si>
  <si>
    <t>Pagado junto a 25050503 25050504</t>
  </si>
  <si>
    <t>Maferco SA - Ref 279980 - Prof - Fact 43953 - 30 Tubo Galvanizado 50x150</t>
  </si>
  <si>
    <t>ALMACENES EL COLONO S.A - SUCURSAL HUACAS - Fact 0201927</t>
  </si>
  <si>
    <t>b31 viajes diego sinpe al 62954932</t>
  </si>
  <si>
    <t>B31 3 mayo  EXNER GRILLO - Comida</t>
  </si>
  <si>
    <t>B31 Planilla 28 de abril al 3 de mayo - EXNER GRILLO viaticos</t>
  </si>
  <si>
    <t>B31 Planilla 28 de abril al 3 de mayo - EXNER GRILLO un feriado</t>
  </si>
  <si>
    <t>B31 Planilla 28 de abril al 3 de mayo - EXNER GRILLO</t>
  </si>
  <si>
    <t>B31 Planilla  28 de abril al 3 de mayo - Wilber Alberto Manzanares  - Depositar a grillo</t>
  </si>
  <si>
    <t>B31 Planilla  28 de abril al 3 de mayo - Francisco javier rocha orozco - Depositar a grillo</t>
  </si>
  <si>
    <t>B31 Planilla  28 de abril al 3 de mayo - oscar manuel rocha - Depositar a grillo</t>
  </si>
  <si>
    <t>B31 Planilla  28 de abril al 3 de mayo - Misael Ramos Dormuz - Depositar a grillo</t>
  </si>
  <si>
    <t>B31 Planilla 28 de abril al 3 de mayo - Elvis Adrian Flores Vasquez - Depositar a grillo</t>
  </si>
  <si>
    <t>B31 Planilla 28 de abril al 3 de mayo - Eliceo Garcia Espinoza</t>
  </si>
  <si>
    <t xml:space="preserve">B31 Planilla 28 de abril al 3 de mayo - Michael Medina Corea </t>
  </si>
  <si>
    <t>B31 Planilla 28 de abril al 3 de mayo - Freddy Antonio Hernandez</t>
  </si>
  <si>
    <t>B31 Planilla 28 de abril al 3 de mayo - brandon jose mejia flores CR42015202001367796441</t>
  </si>
  <si>
    <t>B31 Planilla 28 de abril al 3 de mayo - Eliecer Leonardo Lacayo</t>
  </si>
  <si>
    <t>B31 Planilla 28 de abril al 3 de mayo - Omar Elias Castillo Castillo. DEPOSITA A MARTA PEREZ</t>
  </si>
  <si>
    <t>B31 Planilla 28 de abril al 3 de mayo - Geyvin Centeno</t>
  </si>
  <si>
    <t>Restaurante - Corporacion Rostipollos S.A. -  Multiplaza Escazu</t>
  </si>
  <si>
    <t>SUPLIDORA HUACAS LTDA - Fact 109857 - Prof 92758</t>
  </si>
  <si>
    <t>Combustible - SERVIMOVIL HUACAS S.A - Super + Valvoline</t>
  </si>
  <si>
    <t>Abarrotes - LA GRAN BODEGA DE FRUTAS Y VERDURAS DE SR S.A</t>
  </si>
  <si>
    <t>crISTHIAM VASQUEZ RODRIGUEZ - SUPER Y LICORERA REY</t>
  </si>
  <si>
    <t>Abarrotes - Auto Mercado S.A. (CENTRO)</t>
  </si>
  <si>
    <t>Leasing Apartamento</t>
  </si>
  <si>
    <t>Leasing Volvo</t>
  </si>
  <si>
    <t>Combustible - Servimovil Huacas SA - Grillo - Super y Aceite</t>
  </si>
  <si>
    <t>3-101-768483 SA - 6 Viajes Botar Basura + 2 Viajes Lastre + 26h Back Hoe</t>
  </si>
  <si>
    <t>Luis Alejandro Navarro Monge - Pago Quintilla [72416865]</t>
  </si>
  <si>
    <t>Abarrotes - Auto Mercado S.A. (RÍO ORO)</t>
  </si>
  <si>
    <t>Abarrotes - Prismar de CR SA Santa Ana</t>
  </si>
  <si>
    <t>Sabesa SA DE CV SA - NOVEX Fact 84559</t>
  </si>
  <si>
    <t>B31 26 de abril  EXNER GRILLO - Comida</t>
  </si>
  <si>
    <t>B31 Planilla 21 al 26 de abril - EXNER GRILLO viaticos</t>
  </si>
  <si>
    <t>B31 Planilla 21 al 26 de abril - EXNER GRILLO</t>
  </si>
  <si>
    <t>B31 Planilla  21 al 26 de abril - Francisco javier rocha orozco - Depositar a grillo</t>
  </si>
  <si>
    <t>B31 Planilla  21 al 26 de abril - oscar manuel rocha - Depositar a grillo</t>
  </si>
  <si>
    <t>B31 Planilla  21 al 26 de abril - Misael Ramos Dormuz - Depositar a grillo</t>
  </si>
  <si>
    <t>B31 Planilla 21 al 26 de abril - Elvis Adrian Flores Vasquez - Depositar a grillo</t>
  </si>
  <si>
    <t>B31 Planilla 21 al 26 de abril - Eliceo Garcia Espinoza</t>
  </si>
  <si>
    <t xml:space="preserve">B31 Planilla 21 al 26 de abril - Michael Medina Corea </t>
  </si>
  <si>
    <t>B31 Planilla 21 al 26 de abril - Freddy Antonio Hernandez</t>
  </si>
  <si>
    <t>B31 Planilla 21 al 26 de abril - brandon jose mejia flores CR42015202001367796441</t>
  </si>
  <si>
    <t>B31 Planilla 21 al 26 de abril - Eliecer Leonardo Lacayo</t>
  </si>
  <si>
    <t>B31 Planilla 21 al 26 de abril - Omar Elias Castillo Castillo. DEPOSITA A MARTA PEREZ</t>
  </si>
  <si>
    <t>B31 Planilla 21 al 26 de abril - Geyvin Centeno</t>
  </si>
  <si>
    <t xml:space="preserve">MAFERCO S.A. - Ref 117535 - Fact 044699 - Prof - </t>
  </si>
  <si>
    <t>MAFERCO S.A. - Ref 117533 - Fact 044697 - Prof - Cilindro desechable</t>
  </si>
  <si>
    <t>Restaurante Olaris - INVERSIONES OLAYA M Y B SOCIEDAD ANONIMA</t>
  </si>
  <si>
    <t>Combustible - Servimovil Huacas SA - Grillo Viaticos</t>
  </si>
  <si>
    <t xml:space="preserve">PVC AMANO LTDA - Ref 50217 - Fact 56592 - </t>
  </si>
  <si>
    <t xml:space="preserve">MAFERCO S.A. - Ref 117430 - Fact 44634 - Prof </t>
  </si>
  <si>
    <t>Wagner Zepeda Bustos [87708682] - Pago Viajes B31</t>
  </si>
  <si>
    <t>ALMACENES EL COLONO S.A - Huacas - Ref 200682</t>
  </si>
  <si>
    <t>SUPLIDORA HUACAS LTDA - Ref 115357 - Fact 109402 - Prof 92034</t>
  </si>
  <si>
    <t>MAFERCO S.A. - Ref 117207 - Fact 44492 - Prof 236219 - Tubo Concreto</t>
  </si>
  <si>
    <t>Caja Chica B31 - Exner Grillo [61599308]</t>
  </si>
  <si>
    <t xml:space="preserve">MAFERCO S.A. - Ref 117016 - Fact 44374 - Prof </t>
  </si>
  <si>
    <t>SUPLIDORA HUACAS LTDA - Ref 115238 - Fact 109310 - Prof 91956</t>
  </si>
  <si>
    <t>Jeison Fabricio Cordero Navarro [83029527] - Pago Epoxico</t>
  </si>
  <si>
    <t xml:space="preserve">MAFERCO S.A. - Ref 278683 - Fact 43231 - Prof * - </t>
  </si>
  <si>
    <t xml:space="preserve">MAFERCO S.A. - Ref 278680 - Fact 43230 - Prof * - </t>
  </si>
  <si>
    <t>Coopeguanacaste RL - Electricidad Ref 206349 Fact 43185747 - Abril</t>
  </si>
  <si>
    <t>MAFERCO S.A. - Ref 278694 - Fact 43239 - Prof 235724 - Varilla Cemento Alambre</t>
  </si>
  <si>
    <t>B31 12 de abril  EXNER GRILLO - Comida</t>
  </si>
  <si>
    <t>B31 Planilla 14 AL 19 de abril - EXNER GRILLO viaticos</t>
  </si>
  <si>
    <t>B31 Planilla 14 AL 19 de abril - 3 DIAS EXTRA EXNER GRILLO</t>
  </si>
  <si>
    <t>B31 Planilla 14 AL 19 de abril - EXNER GRILLO</t>
  </si>
  <si>
    <t>B31 Planilla  14 AL 19 de abril - Francisco javier rocha orozco - Depositar a grillo</t>
  </si>
  <si>
    <t>B31 Planilla  14 AL 19 de abril - oscar manuel rocha - Depositar a grillo</t>
  </si>
  <si>
    <t>B31 Planilla  14 AL 19 de abril - Misael Ramos Dormuz - Depositar a grillo</t>
  </si>
  <si>
    <t>B31 Planilla 14 AL 19 de abril - Elvis Adrian Flores Vasquez - Depositar a grillo</t>
  </si>
  <si>
    <t>B31 Planilla 14 AL 19 de abril - Eliceo Garcia Espinoza</t>
  </si>
  <si>
    <t xml:space="preserve">B31 Planilla 14 AL 19 de abril - Michael Medina Corea </t>
  </si>
  <si>
    <t>B31 Planilla 14 AL 19 de abril - Freddy Antonio Hernandez</t>
  </si>
  <si>
    <t>B31 Planilla 14 AL 19 de abril - brandon jose mejia flores CR42015202001367796441</t>
  </si>
  <si>
    <t>B31 Planilla 14 AL 19 de abril - Eliecer Leonardo Lacayo</t>
  </si>
  <si>
    <t>B31 Planilla 14 AL 19 de abril - Omar Elias Castillo Castillo. DEPOSITA A MARTA PEREZ</t>
  </si>
  <si>
    <t>B31 Planilla 14 AL 19 de abril - Geyvin Centeno</t>
  </si>
  <si>
    <t>Abarrotes - Auto Mercado S.A. (Vindi CAMPO REAL</t>
  </si>
  <si>
    <t xml:space="preserve">CACERES SALGADO - Cebolla - Trabajos de Losa de entrepiso. Previstas </t>
  </si>
  <si>
    <t>Banco deposito el 15</t>
  </si>
  <si>
    <t>DavD - 6924</t>
  </si>
  <si>
    <t>TERRA EQUIPOS Fact 72420</t>
  </si>
  <si>
    <t>Jimenez Silva Julia Marina [86823800] Pago Viaje C30</t>
  </si>
  <si>
    <t>SUPLIDORA HUACAS LTDA - Fact 108994 - Prof 91417 - Ref 114783</t>
  </si>
  <si>
    <t>B31 Planilla7 al 12 de abril - EXNER GRILLO viaticos</t>
  </si>
  <si>
    <t>B31 Planilla7 al 12 de abril - EXNER GRILLO</t>
  </si>
  <si>
    <t>B31 Planilla 7 al 12 de abril - Francisco javier rocha orozco - Depositar a grillo</t>
  </si>
  <si>
    <t>B31 Planilla 7 al 12 de abril - oscar manuel rocha - Depositar a grillo</t>
  </si>
  <si>
    <t>B31 Planilla 7 al 12 de abril - Misael Ramos Dormuz - Depositar a grillo</t>
  </si>
  <si>
    <t>B31 Planilla7 al 12 de abril - Elvis Adrian Flores Vasquez - Depositar a grillo</t>
  </si>
  <si>
    <t>B31 Planilla7 al 12 de abril - Eliceo Garcia Espinoza</t>
  </si>
  <si>
    <t xml:space="preserve">B31 Planilla7 al 12 de abril - Michael Medina Corea </t>
  </si>
  <si>
    <t>B31 Planilla7 al 12 de abril - Freddy Antonio Hernandez</t>
  </si>
  <si>
    <t>B31 Planilla7 al 12 de abril - brandon jose mejia flores CR42015202001367796441</t>
  </si>
  <si>
    <t>B31 Planilla7 al 12 de abril - Eliecer Leonardo Lacayo</t>
  </si>
  <si>
    <t>B31 Planilla7 al 12 de abril - Omar Elias Castillo Castillo. DEPOSITA A MARTA PEREZ</t>
  </si>
  <si>
    <t>B31 Planilla7 al 12 de abril - Geyvin Centeno</t>
  </si>
  <si>
    <t>GREDOS SAN DIEGO.S.COOP.MAD</t>
  </si>
  <si>
    <t>Abarrotes - Prismar de Costa Rica. S.A.</t>
  </si>
  <si>
    <t>Maferco SA - Ref 116119 - Fact 043897</t>
  </si>
  <si>
    <t>Escuela Santa Margarita S.A. - Cuota Mayo</t>
  </si>
  <si>
    <t>ICE TELEFONO 88125701 - 03/25</t>
  </si>
  <si>
    <t>Kylcsa - Prof 1502 -  15m3 + Bomba telescopica</t>
  </si>
  <si>
    <t>Maferco SA - Ref 115827 - Fact 43720 - Pegamento, alambre negro clavos</t>
  </si>
  <si>
    <t>Maferco SA - Ref 115868 - Prof 233285 - Varilla y bloque</t>
  </si>
  <si>
    <t>Caja Chica B31 - Exner Grillo</t>
  </si>
  <si>
    <t>Abarrotes - Prismar de Costa Rica. S.A.  - Santa Ana</t>
  </si>
  <si>
    <t>Maferco SA - Ref 115584 - Fact 43576 - Torn techo</t>
  </si>
  <si>
    <t>Abarrotes - Auto Mercado S.A. (SANTA ANA)</t>
  </si>
  <si>
    <t>Telecable - Internet Belén 3420142 abril</t>
  </si>
  <si>
    <t>Restaurante -  The Breakfast Club S.R.L 3102754929 - Eco Plaza</t>
  </si>
  <si>
    <t>MUNICIPALIDAD DE ASERRI Periodo 12/25 - 301450234</t>
  </si>
  <si>
    <t>MUNICIPALIDAD DE ASERRI Periodo 12/25 - 109860887</t>
  </si>
  <si>
    <t>MUNICIPALIDAD DE ASERRI Periodo 03/25 - 109860887</t>
  </si>
  <si>
    <t>Telecable - 3102844582 SRL 2025 04</t>
  </si>
  <si>
    <t>Maferco SA - Ref 277134 Fact 42443- Sierra circular</t>
  </si>
  <si>
    <t xml:space="preserve">Almacenes El Colono SA - Huacas </t>
  </si>
  <si>
    <t>B31 4 de abril  EXNER GRILLO - Comida</t>
  </si>
  <si>
    <t>B31 Planilla31 de marzo al 5 de abril - EXNER GRILLO viaticos</t>
  </si>
  <si>
    <t>B31 Planilla31 de marzo al 5 de abril - EXNER GRILLO</t>
  </si>
  <si>
    <t>B31 LIQUIDACION ELVIS RAMOS DORMUZ</t>
  </si>
  <si>
    <t>B31 LIQUIDACION DENIS ROCHA OROZCO</t>
  </si>
  <si>
    <t>B31 LIQUIDACION CRISPIN VALENCIA</t>
  </si>
  <si>
    <t>B31 Planilla 31 de marzo al 5 de abril - Francisco javier rocha orozco - Depositar a grillo</t>
  </si>
  <si>
    <t>B31 Planilla 31 de marzo al 5 de abril - oscar manuel rocha - Depositar a grillo</t>
  </si>
  <si>
    <t>B31 Planilla 31 de marzo al 5 de abril - Misael Ramos Dormuz - Depositar a grillo</t>
  </si>
  <si>
    <t>B31 Planilla31 de marzo al 5 de abril - Elvis Adrian Flores Vasquez - Depositar a grillo</t>
  </si>
  <si>
    <t>B31 Planilla31 de marzo al 5 de abril - Eliceo Garcia Espinoza</t>
  </si>
  <si>
    <t xml:space="preserve">B31 Planilla31 de marzo al 5 de abril - Michael Medina Corea </t>
  </si>
  <si>
    <t>B31 Planilla31 de marzo al 5 de abril - Freddy Antonio Hernandez</t>
  </si>
  <si>
    <t>B31 Planilla31 de marzo al 5 de abril - brandon jose mejia flores CR42015202001367796441</t>
  </si>
  <si>
    <t>B31 Planilla31 de marzo al 5 de abril - Eliecer Leonardo Lacayo</t>
  </si>
  <si>
    <t>B31 Planilla31 de marzo al 5 de abril - Omar Elias Castillo Castillo. DEPOSITA A MARTA PEREZ</t>
  </si>
  <si>
    <t>B31 Planilla31 de marzo al 5 de abril - Geyvin Centeno</t>
  </si>
  <si>
    <t>CRISTHIAM VASQUEZ RODRIGUEZ - SUPER Y LICORERA REY - 6289</t>
  </si>
  <si>
    <t>Maferco SA - Ref 115193 - Fact 43364 Clavos acero, caladora</t>
  </si>
  <si>
    <t>Maferco SA - Ref 276918 - Fact 42295 Brocas, tubos torn techo</t>
  </si>
  <si>
    <t>Maferco SA - Ref 276669  - Fact 42147 Lam HN</t>
  </si>
  <si>
    <t>Maferco SA - Ref 276664 - Fact 42145 Formaleta</t>
  </si>
  <si>
    <t>Jorge Alberto Pineda Martinez - Pago MetalDeck</t>
  </si>
  <si>
    <t>FACTURA ES POR 638,096.50 PAGADO ¢ 683,096.50</t>
  </si>
  <si>
    <t>FERROMAX, S.A. - Cot 27566309</t>
  </si>
  <si>
    <t xml:space="preserve">SUPLIDORA HUACAS LTDA - Cot 90096 - </t>
  </si>
  <si>
    <t>CNFL Electricidad - apto g22 - Vence 20250327 - Contrato 0027511157</t>
  </si>
  <si>
    <t>Abarrotes - Auto Mercado S.A. (Auto Mercado Belén)</t>
  </si>
  <si>
    <t xml:space="preserve">Carlos Eduardo Solorzano Mangas - Parqueo Tarifa Diaria PlacaBBX-205 - 31/3/25 </t>
  </si>
  <si>
    <t>SUPLIDORA HUACAS LTDA - Ref 113098 - Fact 108283 Tubo</t>
  </si>
  <si>
    <t>n8</t>
  </si>
  <si>
    <t>B31 29 de marzo  EXNER GRILLO - Comida</t>
  </si>
  <si>
    <t>B31 Planilla 24 al 29 de marzo - EXNER GRILLO viaticos</t>
  </si>
  <si>
    <t>B31 Planilla 24 al 29 de marzo - EXNER GRILLO</t>
  </si>
  <si>
    <t>B31 Planilla  24 al 29 de marzo - Francisco javier rocha orozco - Depositar a grillo</t>
  </si>
  <si>
    <t>B31 Planilla  24 al 29 de marzo - oscar manuel rocha - Depositar a grillo</t>
  </si>
  <si>
    <t>B31 Planilla  24 al 29 de marzo - Misael Ramos Dormuz - Depositar a grillo</t>
  </si>
  <si>
    <t>B31 Planilla 24 al 29 de marzo - Elvis Adrian Flores Vasquez - Depositar a grillo</t>
  </si>
  <si>
    <t>B31 Planilla 24 al 29 de marzo - Eliceo Garcia Espinoza</t>
  </si>
  <si>
    <t xml:space="preserve">B31 Planilla 24 al 29 de marzo - Michael Medina Corea </t>
  </si>
  <si>
    <t>B31 Planilla 24 al 29 de marzo - Freddy Antonio Hernandez</t>
  </si>
  <si>
    <t>B31 Planilla 24 al 29 de marzo - brandon jose mejia flores CR42015202001367796441</t>
  </si>
  <si>
    <t>B31 Planilla 24 al 29 de marzo - Eliecer Leonardo Lacayo</t>
  </si>
  <si>
    <t>B31 Planilla 24 al 29 de marzo - Omar Elias Castillo Castillo. DEPOSITA A MARTA PEREZ</t>
  </si>
  <si>
    <t>n1</t>
  </si>
  <si>
    <t>B31 Planilla 24 al 29 de marzo - Geyvin Centeno</t>
  </si>
  <si>
    <t>MAFERCO S.A. - Ref 276017 - Fact 41791</t>
  </si>
  <si>
    <t>Suplidora Huacas Lim - Cot 90012 - Centro de Carga</t>
  </si>
  <si>
    <t>Abarrotes - Prismar de Costa Rica. S.A. - Sucursal Santa Ana</t>
  </si>
  <si>
    <t>Helados Pops Nicoya</t>
  </si>
  <si>
    <t>TerraEquipos - Alquiler 100 Puntales Prof 25452 Ref 70287 - NOTA CREDITO 20125</t>
  </si>
  <si>
    <t>Quiros Delgado y Asociados - Mampara de Vidrio BBQ</t>
  </si>
  <si>
    <t>Reintegrado a Grillo</t>
  </si>
  <si>
    <t>ALMACENES EL COLONO S.A Fact 197142 - Planta Gasolina 800W</t>
  </si>
  <si>
    <t>SUPLIDORA HUACAS LTDA - Ref 113129 - Fact 107773 - Cot 89467</t>
  </si>
  <si>
    <t>n9</t>
  </si>
  <si>
    <t xml:space="preserve">WAGNER ZEPEDA BUSTOS 87708682 B31 3 VIAJES </t>
  </si>
  <si>
    <t>B31 22 de marzo  EXNER GRILLO - Comida</t>
  </si>
  <si>
    <t>B31 Planilla 17 al 22 de marzo - EXNER GRILLO viaticos</t>
  </si>
  <si>
    <t>B31 Planilla 17 al 22 de marzo - EXNER GRILLO</t>
  </si>
  <si>
    <t>B31 Planilla  17 al 22 de marzo - Francisco javier rocha orozco - Depositar a grillo</t>
  </si>
  <si>
    <t>B31 Planilla  17 al 22 de marzo - oscar manuel rocha - Depositar a grillo</t>
  </si>
  <si>
    <t>B31 Planilla  17 al 22 de marzo - Misael Ramos Dormuz - Depositar a grillo</t>
  </si>
  <si>
    <t>B31 Planilla 17 al 22 de marzo - Elvis Adrian Flores Vasquez - Depositar a grillo</t>
  </si>
  <si>
    <t>B31 Planilla 17 al 22 de marzo - Eliceo Garcia Espinoza</t>
  </si>
  <si>
    <t xml:space="preserve">B31 Planilla 17 al 22 de marzo - Michael Medina Corea </t>
  </si>
  <si>
    <t>B31 Planilla 17 al 22 de marzo - Freddy Antonio Hernandez</t>
  </si>
  <si>
    <t>B31 Planilla 17 al 22 de marzo - brandon jose mejia flores CR42015202001367796441</t>
  </si>
  <si>
    <t>B31 Planilla 17 al 22 de marzo - Eliecer Leonardo Lacayo</t>
  </si>
  <si>
    <t>B31 Planilla 17 al 22 de marzo - Omar Elias Castillo Castillo. DEPOSITA A MARTA PEREZ</t>
  </si>
  <si>
    <t>B31 Planilla 17 al 22 de marzo - Geyvin Centeno</t>
  </si>
  <si>
    <t>Maferco SA Ref 275451 - Fact 41473 Prof 228085</t>
  </si>
  <si>
    <t>272703 Pagado de Caja chica, y Luego reintegrado a Grillo</t>
  </si>
  <si>
    <t>KYLCSA PACIFIC CONCRETE DEVELOPERS LIM - 7m3 +Bomba telescopica</t>
  </si>
  <si>
    <t>Electricidad COOPEGUANACASTE - ABRIL</t>
  </si>
  <si>
    <t>Luis Alejandro Navarro Monge</t>
  </si>
  <si>
    <t>REP</t>
  </si>
  <si>
    <t>Suplidora Huacas Limitada - Prof 89341</t>
  </si>
  <si>
    <t>GV FERRETERÍA COYOTE - 2535</t>
  </si>
  <si>
    <t>Ernesto Lenin Barquero - Tratamiento Dental</t>
  </si>
  <si>
    <t xml:space="preserve">Combustible - Servicentro Jicaral BHC SA </t>
  </si>
  <si>
    <t>Maferco SA - Ref 275227 - Fact 41335</t>
  </si>
  <si>
    <t>Maferco SA - 113317 - fact 42267</t>
  </si>
  <si>
    <t>GV FERRETERÍA COYOTE 2477</t>
  </si>
  <si>
    <t>Combustible - Servicentro Jicaral BCH SA</t>
  </si>
  <si>
    <t>Combustible - Servicentro Jicaral BCH SA -Viaticos</t>
  </si>
  <si>
    <t>Maferco SA - Ref 274714 - Fact 41028</t>
  </si>
  <si>
    <t>Maferco SA - Ref 274713 - Fact 41027</t>
  </si>
  <si>
    <t>HDZ Soluciones industriales SRL - Toolbox - Reparación de herramienta</t>
  </si>
  <si>
    <t>DavC - 4621</t>
  </si>
  <si>
    <t>Caceres Adelanto Cebolla</t>
  </si>
  <si>
    <t>TerraEquipos - Alquiler 100 Puntales Prof 25452 Ref 70287</t>
  </si>
  <si>
    <t xml:space="preserve">RAMSTACK INT CORP S.A. Fact 270- - Inodoro </t>
  </si>
  <si>
    <t>Maferco SA - Ref 274568 - Fact 40962</t>
  </si>
  <si>
    <t>WAGNER ZEPEDA BUSTOS 87708682 B31 3 VIAJES</t>
  </si>
  <si>
    <t>B31 15 de marzo  EXNER GRILLO - Comida</t>
  </si>
  <si>
    <t>B31 Planilla 10 al 15 de marzo - EXNER GRILLO viaticos</t>
  </si>
  <si>
    <t>B31 Planilla 10 al 15 de marzo - EXNER GRILLO</t>
  </si>
  <si>
    <t>B31 Planilla  10 al 15 de marzo - Francisco javier rocha orozco - Depositar a grillo</t>
  </si>
  <si>
    <t>B31 Planilla  10 al 15 de marzo - oscar manuel rocha - Depositar a grillo</t>
  </si>
  <si>
    <t>B31 Planilla  10 al 15 de marzo - Misael Ramos Dormuz - Depositar a grillo</t>
  </si>
  <si>
    <t>B31 Planilla 10 al 15 de marzo - Elvis Adrian Flores Vasquez - Depositar a grillo</t>
  </si>
  <si>
    <t>B31 Planilla 10 al 15 de marzo - Eliceo Garcia Espinoza</t>
  </si>
  <si>
    <t xml:space="preserve">B31 Planilla 10 al 15 de marzo - Michael Medina Corea </t>
  </si>
  <si>
    <t>B31 Planilla 10 al 15 de marzo - Freddy Antonio Hernandez</t>
  </si>
  <si>
    <t>B31 Planilla 10 al 15 de marzo - brandon jose mejia flores CR42015202001367796441</t>
  </si>
  <si>
    <t>B31 Planilla 10 al 15 de marzo - Eliecer Leonardo Lacayo</t>
  </si>
  <si>
    <t>B31 Planilla 10 al 15 de marzo - Omar Elias Castillo Castillo. DEPOSITA A MARTA PEREZ</t>
  </si>
  <si>
    <t>B31 Planilla 10 al 15 de marzo - Geyvin Centeno</t>
  </si>
  <si>
    <t>CCSS Edwin Trabajador Independiente Marzo</t>
  </si>
  <si>
    <t>GREDOS SAN DIEGO, S. COOP. MAD - Mensualidad Piscina Zahara Marzo</t>
  </si>
  <si>
    <t>OPTICA VISION, LTDA. - 15238</t>
  </si>
  <si>
    <t>Abarrotes - Carnes Castillos - Monte Candelaria S.A.</t>
  </si>
  <si>
    <t>Baterias Halcon (Santa Cruz)</t>
  </si>
  <si>
    <t>Maferco S.A. - Ref 112564 - Prof  - Fact 41853</t>
  </si>
  <si>
    <t>Maferco S.A. - Ref 274361 - Prof 224892 - Fact 40843</t>
  </si>
  <si>
    <t>Abarrotes - La Gran Bodega de Frutas y Verduras de SR SA</t>
  </si>
  <si>
    <t>Terra Tica TD - INMOBILIARIA BERTERO INC SA</t>
  </si>
  <si>
    <t xml:space="preserve">Combustible - SERVIMOVIL HUACAS S.A. - Grillo </t>
  </si>
  <si>
    <t>Vuelo - SANSA - SJO-COB - 11 Mar 25</t>
  </si>
  <si>
    <t>Federspiel &amp; CO SA - La Universal Sabana Fact 224688</t>
  </si>
  <si>
    <t>Restaurante - Restaurante Olaris - Inversiones Olaya M y B S.A. Fact 6148</t>
  </si>
  <si>
    <t>Restaurante - RESTAURANTES SUBS S.R.L.</t>
  </si>
  <si>
    <t>MAFERCO</t>
  </si>
  <si>
    <t>Combustible - SERVIMOVIL HUACAS S.A (Viaticos Grillo)</t>
  </si>
  <si>
    <t>Ver 25031001</t>
  </si>
  <si>
    <t xml:space="preserve">Maferco S.A. - NOTA DE CRÉDITO - NC 2820 - FactRef 273954 - Dev Fact 202819  </t>
  </si>
  <si>
    <t>Maferco S.A. - Ref 273958 - Prof  - Fact 40610</t>
  </si>
  <si>
    <t>Maferco S.A. - Ref 273954 - Prof  - Fact 40607</t>
  </si>
  <si>
    <t>TELECABLE - Internet San Martin 03/25</t>
  </si>
  <si>
    <t>ICE TELEFONO - 88125701 - 02/25</t>
  </si>
  <si>
    <t>TELECABLE 03/25</t>
  </si>
  <si>
    <t>Electricidad Coopeguanacaste - 3-102-844582 SRL 02/25</t>
  </si>
  <si>
    <t>Municipalidad de Aserrí Periodo 02-2025 - PAGO ACUEDUCTO</t>
  </si>
  <si>
    <t xml:space="preserve"> WAGNER ZEPEDA BUSTOS 87708682 B31 3 VIAJES</t>
  </si>
  <si>
    <t>B31 8 de marzo  EXNER GRILLO - Comida</t>
  </si>
  <si>
    <t>B31 Planilla 3 al 8 de marzo - EXNER GRILLO viaticos</t>
  </si>
  <si>
    <t>B31 Planilla 3 al 8 de marzo - EXNER GRILLO</t>
  </si>
  <si>
    <t>B31 Planilla  3 al 8 de marzo - Francisco javier rocha orozco - Depositar a grillo</t>
  </si>
  <si>
    <t>B31 Planilla  3 al 8 de marzo - oscar manuel rocha - Depositar a grillo</t>
  </si>
  <si>
    <t>B31 Planilla  3 al 8 de marzo - Misael Ramos Dormuz - Depositar a grillo</t>
  </si>
  <si>
    <t>B31 Planilla 3 al 8 de marzo - Elvis Adrian Flores Vasquez - Depositar a grillo</t>
  </si>
  <si>
    <t>B31 Planilla 3 al 8 de marzo - Eliceo Garcia Espinoza</t>
  </si>
  <si>
    <t xml:space="preserve">B31 Planilla 3 al 8 de marzo - Michael Medina Corea </t>
  </si>
  <si>
    <t>B31 Planilla 3 al 8 de marzo - Freddy Antonio Hernandez</t>
  </si>
  <si>
    <t>B31 Planilla 3 al 8 de marzo - brandon jose mejia flores CR42015202001367796441</t>
  </si>
  <si>
    <t>B31 Planilla 3 al 8 de marzo - Eliecer Leonardo Lacayo</t>
  </si>
  <si>
    <t>B31 Planilla 3 al 8 de marzo - Omar Elias Castillo Castillo. DEPOSITA A MARTA PEREZ</t>
  </si>
  <si>
    <t>B31 Planilla 3 al 8 de marzo - Geyvin Centeno</t>
  </si>
  <si>
    <t>Ver 25030310</t>
  </si>
  <si>
    <t>Futuros</t>
  </si>
  <si>
    <t>SUPLIDORA HUACAS LTDA - NOTA DE CRÉDITO- 8713 - Ref  - Prof  - Fact 52162</t>
  </si>
  <si>
    <t>GV FERRETERÍA COYOTE - LUIS FERNANDO GONZALEZ ROJAS - Fact 2308</t>
  </si>
  <si>
    <t>PAGA EDWIN PERO NO SE DE QUE CUENTA REVISAR</t>
  </si>
  <si>
    <t>Maferco S.A. - Ref 111681 - Prof  87740 - Fact 106696</t>
  </si>
  <si>
    <t>Maferco S.A. - Ref 111873 - Prof  - Fact 41439</t>
  </si>
  <si>
    <t>Maferco S.A. - Ref 111794 - Prof  - Fact 41391</t>
  </si>
  <si>
    <t>Maferco S.A. - NOTA DE CRÉDITO- 2809 - Ref 273733 - Prof  - Fact 40493</t>
  </si>
  <si>
    <t>Maferco S.A. - Ref 273733 - Prof  - Fact 40493</t>
  </si>
  <si>
    <t>Maferco S.A. - Ref 111869 - Prof  - Fact 041436</t>
  </si>
  <si>
    <t>Liberty  - Plan Liberty Total - Ref 749740 - Cliente 18541895</t>
  </si>
  <si>
    <t>Maferco S.A. - Ref 111582 - Prof  - Fact 41256</t>
  </si>
  <si>
    <t>Aluma fact 74459</t>
  </si>
  <si>
    <t>Escuela Santa Margarita S.A. - Cuota Basica ABRIL 2025 - NOTA DE CRÉDITO</t>
  </si>
  <si>
    <t>Escuela Santa Margarita S.A.  - Cuota Básica ABRIL 2025</t>
  </si>
  <si>
    <t>Wagner Zepeda Bustos [8770-8682] - Transporte Viaje Maferco</t>
  </si>
  <si>
    <t xml:space="preserve">Abarrotes - Prismar de Costa Rica. S.A.  Alajuela - </t>
  </si>
  <si>
    <t>Maferco S.A. - Ref 273511 - Prof  - Fact 40360</t>
  </si>
  <si>
    <t xml:space="preserve">Abarrotes - Auto Mercado S.A. (CENTRO) </t>
  </si>
  <si>
    <t>Combustible - Servicentro ANATOT - DISCOLURE DE SANTA ANA S.A</t>
  </si>
  <si>
    <t>LIBERTY SERVICIOS FIJOS - 60730043 - Marzo 2025</t>
  </si>
  <si>
    <t>CACERES SALGADO DEYRA FRANCISCA - Instalaciones Electromecanicas Cebolla</t>
  </si>
  <si>
    <t>SUPLIDORA HUACAS LTDA - Ref 111247 - Cot 87118 - Fact 106369</t>
  </si>
  <si>
    <t>Aerocasillas S.A -Cuenta 17064 -  Juguete</t>
  </si>
  <si>
    <t>AFECTA A LA FACTURA 00100001010000106369 NOMINAL INTERNO 111247. MOTIVO: CLIENTE SOLICITA CAMBIO DE PRODUCTO</t>
  </si>
  <si>
    <t>SUPLIDORA HUACAS LTDA - NOTA DE CRÉDITO - 52124 - Ref 8675</t>
  </si>
  <si>
    <t>Maferco S.A. - Ref 110828 - Prof  - Fact 40791</t>
  </si>
  <si>
    <t>Maferco S.A. - Ref 110825 - Prof  - Fact 40789</t>
  </si>
  <si>
    <t>Maferco S.A. - Ref 110824 - Prof  - Fact 40788</t>
  </si>
  <si>
    <t xml:space="preserve">MORA MORA LUIS DIEGO - Transportes B31 </t>
  </si>
  <si>
    <t>B31 1 de marzo  EXNER GRILLO - Comida</t>
  </si>
  <si>
    <t>B31 Planilla 24 de febrero al 1 de marzo - EXNER GRILLO viaticos</t>
  </si>
  <si>
    <t>B31 Planilla 24 de febrero al 1 de marzo - EXNER GRILLO</t>
  </si>
  <si>
    <t>B31 Planilla  24 de febrero al 1 de marzo - Francisco javier rocha orozco - Depositar a grillo</t>
  </si>
  <si>
    <t>B31 Planilla  24 de febrero al 1 de marzo - oscar manuel rocha - Depositar a grillo</t>
  </si>
  <si>
    <t>B31 Planilla  24 de febrero al 1 de marzo - Misael Ramos Dormuz - Depositar a grillo</t>
  </si>
  <si>
    <t>B31 Planilla 24 de febrero al 1 de marzo - Elvis Adrian Flores Vasquez - Depositar a grillo</t>
  </si>
  <si>
    <t>B31 Planilla 24 de febrero al 1 de marzo - Eliceo Garcia Espinoza</t>
  </si>
  <si>
    <t xml:space="preserve">B31 Planilla 24 de febrero al 1 de marzo - Michael Medina Corea </t>
  </si>
  <si>
    <t>B31 Planilla 24 de febrero al 1 de marzo - Freddy Antonio Hernandez</t>
  </si>
  <si>
    <t>B31 Planilla 24 de febrero al 1 de marzo - brandon jose mejia flores CR42015202001367796441</t>
  </si>
  <si>
    <t>B31 Planilla 24 de febrero al 1 de marzo - Eliecer Leonardo Lacayo</t>
  </si>
  <si>
    <t>B31 Planilla 24 de febrero al 1 de marzo - Omar Elias Castillo Castillo. DEPOSITA A MARTA PEREZ</t>
  </si>
  <si>
    <t>Maferco S.A. - Ref 110692 - Prof  221791 - Fact 40716</t>
  </si>
  <si>
    <t>*0062</t>
  </si>
  <si>
    <t>Leasing 200213011 - Ref 004795211</t>
  </si>
  <si>
    <t>Maferco S.A. - Ref 110379 - Prof  - Fact 40552</t>
  </si>
  <si>
    <t>Ver 25022804</t>
  </si>
  <si>
    <t>Maferco S.A. - NOTA DE CREDITO - Fact Ref 110379 - Dev Ref 4286  - Fact 2674</t>
  </si>
  <si>
    <t>Maferco S.A. - Ref 110380 - Prof  - Fact 40553</t>
  </si>
  <si>
    <t>PANACAFE DE COSTA RICA S.A</t>
  </si>
  <si>
    <t>Grillo pagó 97387,14</t>
  </si>
  <si>
    <t>Maferco S.A. - Ref 110145 - Prof  - Fact 40423</t>
  </si>
  <si>
    <t>viaticos</t>
  </si>
  <si>
    <t>Ver  25022503</t>
  </si>
  <si>
    <t>Maferco S.A. - NOTA DE CREDITO - Fact Ref 273245 - Dev Ref 4268  - Fact 2656</t>
  </si>
  <si>
    <t>Maferco S.A. - Ref 110091 - Prof  - Fact 40382</t>
  </si>
  <si>
    <t>Maferco S.A. - Ref 273403 - Prof  - Fact 40303</t>
  </si>
  <si>
    <t>SUPLIDORA HUACAS LTDA - Ref 110822 - Fact 106066</t>
  </si>
  <si>
    <t>Parqueo MG - Gabriel Salas Mauro</t>
  </si>
  <si>
    <t>ALMACENES EL COLONO S.A - HUACAS - Fact 193669</t>
  </si>
  <si>
    <t>Maferco S.A. - Ref 273245 - Prof  - Fact 40195</t>
  </si>
  <si>
    <t>Ecosistemas Sanitarios, S.A. - 30% PTAR - Fact 0773</t>
  </si>
  <si>
    <t>GV FERRETERÍA COYOTE - LUIS FERNANDO GONZALEZ ROJAS - Fact 2150</t>
  </si>
  <si>
    <t>KYLCSA PACIFIC CONCRETE DEVELOPERS LIM - 36m3 +Bomba telescopica</t>
  </si>
  <si>
    <t>Mora Mora Diego B31 VIAJES DE DIEGO</t>
  </si>
  <si>
    <t>B31 22 febrero  EXNER GRILLO - Comida</t>
  </si>
  <si>
    <t>B31 Planilla 17 al 22 de febrero - EXNER GRILLO viaticos</t>
  </si>
  <si>
    <t>B31 Planilla 17 al 22 de febrero - EXNER GRILLO</t>
  </si>
  <si>
    <t>B31 Planilla  17 al 22 de febrero - Francisco javier rocha orozco - Depositar a grillo</t>
  </si>
  <si>
    <t>B31 Planilla  17 al 22 de febrero - oscar manuel rocha - Depositar a grillo</t>
  </si>
  <si>
    <t>B31 Planilla  17 al 22 de febrero - Misael Ramos Dormuz - Depositar a grillo</t>
  </si>
  <si>
    <t>B31 Planilla 17 al 22 de febrero - Elvis Adrian Flores Vasquez - Depositar a grillo</t>
  </si>
  <si>
    <t>B31 Planilla 17 al 22 de febrero - Eliceo Garcia Espinoza</t>
  </si>
  <si>
    <t xml:space="preserve">B31 Planilla 17 al 22 de febrero - Michael Medina Corea </t>
  </si>
  <si>
    <t>B31 Planilla 17 al 22 de febrero - Freddy Antonio Hernandez</t>
  </si>
  <si>
    <t>B31 Planilla 17 al 22 de febrero - brandon jose mejia flores CR42015202001367796441</t>
  </si>
  <si>
    <t>B31 Planilla 17 al 22 de febrero - Eliecer Leonardo Lacayo</t>
  </si>
  <si>
    <t>B31 Planilla 17 al 22 de febrero - Omar Elias Castillo Castillo. DEPOSITA A MARTA PEREZ</t>
  </si>
  <si>
    <t>B31 Planilla 17 al 22 de febrero - Geyvin Centeno</t>
  </si>
  <si>
    <t>Pagado desde CR38010200009061661947 - Pedidos 21/2/25 - Pagados 11/3/25 - Recibidos 14/3/25</t>
  </si>
  <si>
    <t>TerraEquipos - Alquiler 100 Puntales Prof 25452</t>
  </si>
  <si>
    <t>$ 674.07</t>
  </si>
  <si>
    <t>SUPLIDORA HUACAS LIMITADA  - Prof 86079</t>
  </si>
  <si>
    <t>VER DESDE QUE CUENTA SE PAGÓ</t>
  </si>
  <si>
    <t>LIBERTY HOGAR (antes CABLETICA) Gabriela - Ref 749740 - 202502 Vence 20</t>
  </si>
  <si>
    <t>CNFL ELECTRICIDAD - 223040 - VENCE 1802</t>
  </si>
  <si>
    <t>LIBERTY HOGAR (antes CABLETICA) Maritza - Ref 760505 - 202502</t>
  </si>
  <si>
    <t>SUPLIDORA HUACAS LTDA - Ref 110475 - Fact 105829</t>
  </si>
  <si>
    <t>Maferco S.A. - Ref 272851 - Prof 219460 - Fact 39986</t>
  </si>
  <si>
    <t>Liberty Tarjeta usim triple control lte</t>
  </si>
  <si>
    <t>Maferco S.A. - Ref 109149 - Prof  - Fact 39801</t>
  </si>
  <si>
    <t>Maferco S.A. - Ref 109142 - Prof  - Fact 039796</t>
  </si>
  <si>
    <t>Parqueo Las Catalinas</t>
  </si>
  <si>
    <t>Aerocasillas S.A - Tester BOROSCOPIO</t>
  </si>
  <si>
    <t>Panadería y Repostería Colombiana Jary #12</t>
  </si>
  <si>
    <t>WALTER DE JESUS SCHMIDT CHAVES - Inspecciones Maramar 074</t>
  </si>
  <si>
    <t>Maferco SA - NOTA CREDITO - Fact Ref 108813 - Dev Ref 202761 - Fact 02762 - 200 Blocks</t>
  </si>
  <si>
    <t>Combustible - Servimovil Huacas SA</t>
  </si>
  <si>
    <t>ALMACENES EL COLONO S.A - Huacas - Ref 192805</t>
  </si>
  <si>
    <t>MAFERCO S.A. - Ref 272468 - Cot - Fact 39730</t>
  </si>
  <si>
    <t>Ver 25021802</t>
  </si>
  <si>
    <t>MAFERCO S.A. - Ref 272469 - Cot - Fact 39731</t>
  </si>
  <si>
    <t>GV Ferreteria Coyote - Ref 4967 - Cot - Fact 2082</t>
  </si>
  <si>
    <t>Mora Mora Diego - Transporte</t>
  </si>
  <si>
    <t>250 BLOCKS NCF C213600</t>
  </si>
  <si>
    <t>Maferco S.A. - Ref 108813 - Prof 218454 - Fact 39598</t>
  </si>
  <si>
    <t>CACERES SALGADO DEYRA FRANCISCA - Instalación Mecanica Cebolla</t>
  </si>
  <si>
    <t>Combustible - SERVIMOVIL HUACAS S.A - Super + Aceite + Valvoline</t>
  </si>
  <si>
    <t>GREDOS SAN DIEGO.S.COOP.MAD - Mensualidad Piscina Febrero</t>
  </si>
  <si>
    <t>Abarrotes - Auto Mercado S.A. Belen</t>
  </si>
  <si>
    <t>B31 15 febrero  EXNER GRILLO - Comida</t>
  </si>
  <si>
    <t>B31 Planilla 10 al 15 de febrero - EXNER GRILLO viaticos</t>
  </si>
  <si>
    <t>B31 Planilla 10 al 15 de febrero - EXNER GRILLO</t>
  </si>
  <si>
    <t>B31 Planilla  10 al 15 de febrero - Francisco javier rocha orozco - Depositar a grillo</t>
  </si>
  <si>
    <t>B31 Planilla  10 al 15 de febrero - oscar manuel rocha - Depositar a grillo</t>
  </si>
  <si>
    <t>B31 Planilla  10 al 15 de febrero - Misael Ramos Dormuz - Depositar a grillo</t>
  </si>
  <si>
    <t>B31 Planilla 10 al 15 de febrero - Elvis Adrian Flores Vasquez - Depositar a grillo</t>
  </si>
  <si>
    <t>B31 Planilla 10 al 15 de febrero - Adrian Enrique Arauz Flores CR03015202001384091009</t>
  </si>
  <si>
    <t>B31 Planilla 10 al 15 de febrero - Eliceo Garcia Espinoza</t>
  </si>
  <si>
    <t xml:space="preserve">B31 Planilla 10 al 15 de febrero - Michael Medina Corea </t>
  </si>
  <si>
    <t>B31 Planilla 10 al 15 de febrero - Freddy Antonio Hernandez</t>
  </si>
  <si>
    <t>B31 Planilla 10 al 15 de febrero - brandon jose mejia flores CR42015202001367796441</t>
  </si>
  <si>
    <t>B31 Planilla 10 al 15 de febrero - Eliecer Leonardo Lacayo</t>
  </si>
  <si>
    <t>B31 Planilla 10 al 15 de febrero - Omar Elias Castillo Castillo. DEPOSITA A MARTA PEREZ</t>
  </si>
  <si>
    <t>B31 Planilla 10 al 15 de febrero - Geyvin Centeno</t>
  </si>
  <si>
    <t>HDZ Soluciones industriales SRL - Toolbox - Cambio conectores aspirador</t>
  </si>
  <si>
    <t>SUPLIDORA HUACAS LTDA - Ref 109979 - Cot *** - Fact 105439</t>
  </si>
  <si>
    <t>SUPLIDORA HUACAS LTDA - Ref 109907 - Cot - 105387</t>
  </si>
  <si>
    <t>MAFERCO S.A. - Ref 272123 - Cot  - Fact 39535</t>
  </si>
  <si>
    <t>MAFERCO S.A. - Ref 108422 - Cot - Fact 39393</t>
  </si>
  <si>
    <t>SUPLIDORA HUACAS LTDA - Ref ***** - Cot 85206 - Fact</t>
  </si>
  <si>
    <t>BRAIDY MICHELLE ARAYA MELENDEZ - CCSS Seguro Voluntario Febrero2025</t>
  </si>
  <si>
    <t>Escuela Santa Margarita S.A. - Cuota Basica Marzo</t>
  </si>
  <si>
    <t>Maferco S.A. - Ref 271989 - Prof 217279 - Fact 039452</t>
  </si>
  <si>
    <t>SUPLIDORA HUACAS LTDA - Ref 109649 - Cot  85348 - Fact 105179</t>
  </si>
  <si>
    <t>Ver 25021111 25021106</t>
  </si>
  <si>
    <t>SUPLIDORA HUACAS LTDA - NOTA DE CREDITO Ref 8526 - Afecta a Fact 105086 - Fact 51974</t>
  </si>
  <si>
    <t>Combustible - SERVIMOVIL HUACAS S.A. - Para Compactador</t>
  </si>
  <si>
    <t>SUPLIDORA HUACAS LTDA - Ref 109544 - Cot *** - Fact 105099</t>
  </si>
  <si>
    <t>SUPLIDORA HUACAS LTDA - Ref 109585 - Cot 85203 - Fact 105128</t>
  </si>
  <si>
    <t>Ver Nota Créd</t>
  </si>
  <si>
    <t>SUPLIDORA HUACAS LTDA - Ref 109529 - Cot 85164 - Fact 105086</t>
  </si>
  <si>
    <t>SUPLIDORA HUACAS LTDA - Ref ***** - Cot 85203 - Fact</t>
  </si>
  <si>
    <t>CACERES SALGADO DEYRA FRANCISCA - Adelanto Instalaciones Mecanicas de Losa</t>
  </si>
  <si>
    <t>MAFERCO S.A. - Ref 271847 - Fact 39372</t>
  </si>
  <si>
    <t>Telecable Internet - Contrato 3607956 - Febrero 2025</t>
  </si>
  <si>
    <t>COOPEGUANACASTE, R.L. - Reconexion de servicios</t>
  </si>
  <si>
    <t>CASAS MODERNAS DEL PACIFICO SRL - Sellador Blanco Cubeta</t>
  </si>
  <si>
    <t>Coopeguanacaste RL - Electricidad Ref 206349</t>
  </si>
  <si>
    <t>Reintegrado</t>
  </si>
  <si>
    <t>GTI SA - Qdeclaro Contable Mensual</t>
  </si>
  <si>
    <t>GTI SA - Plan 60 Documentos</t>
  </si>
  <si>
    <t>KYLSA PACIFIC CONCRETE DEVELOPERS LIM</t>
  </si>
  <si>
    <t>k9</t>
  </si>
  <si>
    <t>Mora Mora Diego b31 viajes transportes  materiales de grupodiez el viernes 7 de febrero</t>
  </si>
  <si>
    <t>k8</t>
  </si>
  <si>
    <t>B31 8 febrero  EXNER GRILLO - Comida</t>
  </si>
  <si>
    <t>B31 8 febrero  EXNER GRILLO - CAJA CHICA</t>
  </si>
  <si>
    <t>B31 Planilla 3 al 8 febrero - EXNER GRILLO viaticos</t>
  </si>
  <si>
    <t>B31 Planilla 3 al 8 febrero - EXNER GRILLO</t>
  </si>
  <si>
    <t>B31 Planilla  3 al 8 febrero - Francisco javier rocha orozco - Depositar a grillo</t>
  </si>
  <si>
    <t>B31 Planilla  3 al 8 febrero - oscar manuel rocha - Depositar a grillo</t>
  </si>
  <si>
    <t>B31 Planilla  3 al 8 febrero - Misael Ramos Dormuz - Depositar a grillo</t>
  </si>
  <si>
    <t>B31 Planilla 3 al 8 febrero - Elvis Adrian Flores Vasquez - Depositar a grillo</t>
  </si>
  <si>
    <t>k7</t>
  </si>
  <si>
    <t>B31 Planilla 3 al 8 febrero - Adrian Enrique Arauz Flores CR03015202001384091009</t>
  </si>
  <si>
    <t>k6</t>
  </si>
  <si>
    <t xml:space="preserve">B31 Planilla 3 al 8 febrero - Michael Medina Corea </t>
  </si>
  <si>
    <t>k5</t>
  </si>
  <si>
    <t>B31 Planilla 3 al 8 febrero - Freddy Antonio Hernandez</t>
  </si>
  <si>
    <t>k4</t>
  </si>
  <si>
    <t>B31 Planilla 3 al 8 febrero - brandon jose mejia flores CR42015202001367796441</t>
  </si>
  <si>
    <t>k3</t>
  </si>
  <si>
    <t>B31 Planilla 3 al 8 febrero - Eliecer Leonardo Lacayo</t>
  </si>
  <si>
    <t>k2</t>
  </si>
  <si>
    <t>B31 Planilla 3 al 8 febrero - Omar Elias Castillo Castillo. DEPOSITA A MARTA PEREZ</t>
  </si>
  <si>
    <t>k1</t>
  </si>
  <si>
    <t>B31 Planilla 3 al 8 febrero - Geyvin Centeno</t>
  </si>
  <si>
    <t>SUPLIDORA HUACAS LTDA - NOTA DE CREDITO Ref 8503 - Afecta a Fact 104793 - Fact 51951</t>
  </si>
  <si>
    <t>FALLAS SOLIS WALTER FERNANDO - 6H de Back Hoe (Hueco para PTAR)</t>
  </si>
  <si>
    <t>Combustible - SERVIMOVIL HUACAS S.A. - Super + QT Aceite - Viaticos</t>
  </si>
  <si>
    <t xml:space="preserve">MAFERCO S.A. - Ref 107552 - Fact 38893- </t>
  </si>
  <si>
    <t>SUPLIDORA HUACAS LTDA - Ref 109254 - Fact 104877 - Cot 84740</t>
  </si>
  <si>
    <t>SUPLIDORA HUACAS LTDA - NOTA DE CREDITO Ref 8495 - Afecta a Fact 104793 - Fact 51943</t>
  </si>
  <si>
    <t>Ver Nota Cred 25020605 y 25020707</t>
  </si>
  <si>
    <t>SUPLIDORA HUACAS LTDA - Ref 109144 - Fact 104793 - Cot 84460</t>
  </si>
  <si>
    <t>Suplidora Huacas - Cot 84460 PVC y C</t>
  </si>
  <si>
    <t>Combustible - SERVIMOVIL HUACAS S.A (Super + 1QT Aceite)</t>
  </si>
  <si>
    <t>Combustible - SERVIMOVIL HUACAS S.A (Grillo)</t>
  </si>
  <si>
    <t>MAFERCO S.A. - Ref 271024 - Fact 38904 - Lijadora Manual</t>
  </si>
  <si>
    <t>SE PAGO 45473,57 CON TARJETA</t>
  </si>
  <si>
    <t>MAFERCO S.A. - Ref 107046 - Fact 38588 -</t>
  </si>
  <si>
    <t>Taller y Repuestos Universal HUACAS S.A</t>
  </si>
  <si>
    <t>Combustible - Pantuqui SA -Super</t>
  </si>
  <si>
    <t>SUPLIDORA HUACAS LTDA - Ref 108854 - Fact 104589 -Cot 84198</t>
  </si>
  <si>
    <t>g9</t>
  </si>
  <si>
    <t>Mora Mora Diego b31 viajes transportes  29tuberia, 30 malla y pasta, 31 mdera y polvo de piedra</t>
  </si>
  <si>
    <t>g8</t>
  </si>
  <si>
    <t>B31 2 febrero  EXNER GRILLO - Comida</t>
  </si>
  <si>
    <t>B31 2 febrero  EXNER GRILLO - CAJA CHICA</t>
  </si>
  <si>
    <t>B31 Planilla 27 al 2 febrero - EXNER GRILLO viaticos</t>
  </si>
  <si>
    <t>B31 Planilla 27 al 2 febrero - EXNER GRILLO</t>
  </si>
  <si>
    <t>B31 Planilla  27 al 2 febrero - Francisco javier rocha orozco - Depositar a grillo</t>
  </si>
  <si>
    <t>B31 Planilla  27 al 2 febrero - oscar manuel rocha - Depositar a grillo</t>
  </si>
  <si>
    <t>B31 Planilla  27 al 2 febrero - Misael Ramos Dormuz - Depositar a grillo</t>
  </si>
  <si>
    <t>B31 Planilla 27 al 2 febrero - Elvis Adrian Flores Vasquez - Depositar a grillo</t>
  </si>
  <si>
    <t>g7</t>
  </si>
  <si>
    <t>B31 Planilla 27 al 2 febrero - Adrian Enrique Arauz Flores CR03015202001384091009</t>
  </si>
  <si>
    <t>g6</t>
  </si>
  <si>
    <t xml:space="preserve">B31 Planilla 27 al 2 febrero - Michael Medina Corea </t>
  </si>
  <si>
    <t>g5</t>
  </si>
  <si>
    <t>B31 Planilla 27 al 2 febrero - Freddy Antonio Hernandez</t>
  </si>
  <si>
    <t>g4</t>
  </si>
  <si>
    <t>B31 Planilla 27 al 2 febrero - brandon jose mejia flores CR42015202001367796441</t>
  </si>
  <si>
    <t>g3</t>
  </si>
  <si>
    <t>B31 Planilla 27 al 2 febrero - Eliecer Leonardo Lacayo</t>
  </si>
  <si>
    <t>g2</t>
  </si>
  <si>
    <t>B31 Planilla 27 al 2 febrero - Omar Elias Castillo Castillo. DEPOSITA A MARTA PEREZ</t>
  </si>
  <si>
    <t>g1</t>
  </si>
  <si>
    <t>B31 Planilla 27 al 2 febrero - Geyvin Centeno</t>
  </si>
  <si>
    <t>CASAS MODERNAS DEL PACIFICO SRL - Sellador BB Cubeta</t>
  </si>
  <si>
    <t>HDZ Soluciones industriales SRL - ToolBox Fact 2146 - Reparación Herramienta</t>
  </si>
  <si>
    <t>PVC AMANO LTDA Ref 4469 - Fact 31396</t>
  </si>
  <si>
    <t>SUPLIDORA HUACAS LTDA - Ref 108688 Fact 104471</t>
  </si>
  <si>
    <t>PVC AMANO LTDA - Ref 47458 Cot *** Fact 54528</t>
  </si>
  <si>
    <t>MAFERCO S.A. - Ref 270607 - Fact 38669</t>
  </si>
  <si>
    <t>MAFERCO S.A. - Ref 270490 Varilla</t>
  </si>
  <si>
    <t>MAFERCO S.A. - Ref 279524 - Fact 43717 - Prof - 125 Blocks, 20 Latiblock</t>
  </si>
  <si>
    <t>PVC AMANO LTDA - Ref 47349 Cot 23293 -Fact 47349 Mat PVC</t>
  </si>
  <si>
    <t>MAFERCO S.A. - Ref 106494 - Fact 213292- Formaleta, alfajilla tubo galv, malla elect</t>
  </si>
  <si>
    <t>6331</t>
  </si>
  <si>
    <t>Mundo Hogar SRL - Mundo San José</t>
  </si>
  <si>
    <t>Ver 25012701</t>
  </si>
  <si>
    <t>MAFERCO S.A. - NOTA DE CREDITO Ref 24118 Fact anular 70058 - Fact 2506</t>
  </si>
  <si>
    <t>Caceres Salgado - Cebolla - Trabajos Fontaneria b31</t>
  </si>
  <si>
    <t xml:space="preserve">3-101-912430 SA - Fact 13 - 3 Viajes </t>
  </si>
  <si>
    <t>Ver Nota de Crédito 02506 9419</t>
  </si>
  <si>
    <t>MAFERCO S.A. - Ref 270058</t>
  </si>
  <si>
    <t>Abarrotes - Coorporación Megasuper</t>
  </si>
  <si>
    <t>Abarrotes - Monte Candelaria - Carnes Castillo Guacima</t>
  </si>
  <si>
    <t>per8</t>
  </si>
  <si>
    <t xml:space="preserve">Mora Mora Luis Diego - viajes transportes </t>
  </si>
  <si>
    <t>per7</t>
  </si>
  <si>
    <t>B31 25 enero  EXNER GRILLO - Comida</t>
  </si>
  <si>
    <t>B31 Planilla 20 al 25 de enero - EXNER GRILLO viaticos</t>
  </si>
  <si>
    <t>B31 Planilla 20 al 25 de enero - EXNER GRILLO</t>
  </si>
  <si>
    <t>B31 Planilla  20 al 25 de enero - Francisco javier rocha orozco - Depositar a grillo</t>
  </si>
  <si>
    <t>B31 Planilla  20 al 25 de enero - oscar manuel rocha - Depositar a grillo</t>
  </si>
  <si>
    <t>B31 Planilla  20 al 25 de enero - Misael Ramos Dormuz - Depositar a grillo</t>
  </si>
  <si>
    <t>B31 Planilla 20 al 25 de enero - Elvis Adrian Flores Vasquez - Depositar a grillo</t>
  </si>
  <si>
    <t>per6</t>
  </si>
  <si>
    <t xml:space="preserve">B31 Planilla 20 al 25 de enero - Michael Medina Corea </t>
  </si>
  <si>
    <t>per5</t>
  </si>
  <si>
    <t>B31 Planilla 20 al 25 de enero - Freddy Antonio Hernandez</t>
  </si>
  <si>
    <t>per4</t>
  </si>
  <si>
    <t>B31 Planilla 20 al 25 de enero - brandon jose mejia flores CR42015202001367796441</t>
  </si>
  <si>
    <t>per3</t>
  </si>
  <si>
    <t>B31 Planilla 20 al 25 de enero - Eliecer Leonardo Lacayo</t>
  </si>
  <si>
    <t>per2</t>
  </si>
  <si>
    <t>B31 Planilla 20 al 25 de enero - Omar Elias Castillo Castillo. DEPOSITA A MARTA PEREZ</t>
  </si>
  <si>
    <t>per1</t>
  </si>
  <si>
    <t>B31 Planilla 20 al 25 de enero - Geyvin Centeno</t>
  </si>
  <si>
    <t>Panadería TAIPAN #1</t>
  </si>
  <si>
    <t>Edwin</t>
  </si>
  <si>
    <t>CANDIDA ROSA LOPEZ R - B31 CANCELA CLOSET FILLER TAPA COCINA AJUSTE DE PUERTAS 650</t>
  </si>
  <si>
    <t>ALMACENES EL COLONO S.A -  HUACAS</t>
  </si>
  <si>
    <t>MAFERCO S.A. - Ref 105793</t>
  </si>
  <si>
    <t>AFECTA A LA FACTURA 00100001010000103944 NOMINAL INTERNO 07958. MOTIVO: CLIENTE SOLICITA CAMBIO DE PRODUCTO.</t>
  </si>
  <si>
    <t>SUPLIDORA HUACAS LTDA - NOTA DE CRÉDITO - 51851</t>
  </si>
  <si>
    <t>Restaurante La Union</t>
  </si>
  <si>
    <t>MAFERCO S.A. - Ref  ***- Prof 211371</t>
  </si>
  <si>
    <t>Exner Grillo - diferencias entre proformas 83325 y 83237 + COMICIÓN BANCARIA</t>
  </si>
  <si>
    <t>Se pagó en dos</t>
  </si>
  <si>
    <t>SUPLIDORA HUACAS LTDA - 108012 op 5857</t>
  </si>
  <si>
    <t>SUPLIDORA HUACAS LTDA - Fact 107971 - Cot 83293</t>
  </si>
  <si>
    <t>SUPLIDORA HUACAS LTDA - Fact 107956 - Cot 83286</t>
  </si>
  <si>
    <t>*9641 Ref 2025012210222010324759982</t>
  </si>
  <si>
    <t>3-102-842563 SA - B31 prof.*** serv tecnicos S&amp;S - Aires acondicionados 60%</t>
  </si>
  <si>
    <t>MAFERCO S.A. -  Ref 105653</t>
  </si>
  <si>
    <t>MAFERCO S.A. - Ref 269588</t>
  </si>
  <si>
    <t xml:space="preserve">PVC AMANO LTDA - 4427 - </t>
  </si>
  <si>
    <t>SUPLIDORA HUACAS LTDA -Fact 107893 -  Cot 83173 - CENTRO CARGA</t>
  </si>
  <si>
    <t>PVC AMANO LTDA - 47104</t>
  </si>
  <si>
    <t>Almacenes El Colono SA - Huacas - Tornillos madera</t>
  </si>
  <si>
    <t>MAFERCO S.A. - Ref 269567 - Fact 38074 - Latiblock, gypsum, alambre, block, varilla</t>
  </si>
  <si>
    <t>3-101-912430 SA - Fact 12 - MOVIMIENTO DE TIERRAS</t>
  </si>
  <si>
    <t>ASEMECO (PBMV) - Afiliación Ref 151184</t>
  </si>
  <si>
    <t>MAFERCO S.A. - Ref 105299 - Prof - Malla Gypsum</t>
  </si>
  <si>
    <t>y7</t>
  </si>
  <si>
    <t>B31 18 enero  EXNER GRILLO - Comida</t>
  </si>
  <si>
    <t>B31 Planilla 13 al 18 de enero - EXNER GRILLO viaticos</t>
  </si>
  <si>
    <t>B31 Planilla 13 al 18 de enero - EXNER GRILLO</t>
  </si>
  <si>
    <t>B31 Planilla  13 al 18 de enero - Francisco javier rocha orozco - Depositar a grillo</t>
  </si>
  <si>
    <t>B31 Planilla  13 al 18 de enero - oscar manuel rocha - Depositar a grillo</t>
  </si>
  <si>
    <t>B31 Planilla  13 al 18 de enero - Misael Ramos Dormuz - Depositar a grillo</t>
  </si>
  <si>
    <t>B31 Planilla 13 al 18 de enero - Elvis Adrian Flores Vasquez - Depositar a grillo</t>
  </si>
  <si>
    <t>y6</t>
  </si>
  <si>
    <t xml:space="preserve">B31 Planilla 13 al 18 de enero - Michael Medina Corea </t>
  </si>
  <si>
    <t>y5</t>
  </si>
  <si>
    <t>B31 Planilla 13 al 18 de enero - Freddy Antonio Hernandez</t>
  </si>
  <si>
    <t>y4</t>
  </si>
  <si>
    <t>B31 Planilla 13 al 18 de enero - brandon jose mejia flores CR42015202001367796441</t>
  </si>
  <si>
    <t>y3</t>
  </si>
  <si>
    <t>B31 Planilla 13 al 18 de enero - Eliecer Leonardo Lacayo</t>
  </si>
  <si>
    <t>y2</t>
  </si>
  <si>
    <t>B31 Planilla 13 al 18 de enero - Omar Elias Castillo Castillo. DEPOSITA A MARTA PEREZ</t>
  </si>
  <si>
    <t>y1</t>
  </si>
  <si>
    <t>B31 Planilla 13 al 18 de enero - Geyvin Centeno</t>
  </si>
  <si>
    <t>MAFERCO S.A. - Ref 105191 - Prof *** - Varios</t>
  </si>
  <si>
    <t>559 Desde 1046 Barefoot</t>
  </si>
  <si>
    <t>MAFERCO S.A. - Ref 269166 - Prof 210051 - Gypsum, denglass, varilla y cemento</t>
  </si>
  <si>
    <t>Ecosistemas Sanitarios, S.A. - Adelanto 70% PTAR - Cot  PR25012588</t>
  </si>
  <si>
    <t>Telecable C30 - 3580487 - Enero - Vence 10/2/25</t>
  </si>
  <si>
    <t xml:space="preserve">ALMACENES EL COLONO S.A - Huacas </t>
  </si>
  <si>
    <t>CLIENTE SOLICITA DEVOLUCION (SOBRANTE)</t>
  </si>
  <si>
    <t>PVC AMANO LTDA - NOTA CREDITO 31325 DE FACT 54035 REF 46840 -35 TEE PVC LISA</t>
  </si>
  <si>
    <t>HDZ Soluciones industriales SRL - Toolbox Reparación de Herramienta + Aceite</t>
  </si>
  <si>
    <t>Pagó Grillo, reintegrado desde BacD</t>
  </si>
  <si>
    <t>PVC AMANO LTDA - Fact 46840 Cot 23077 - Material pvc (Ver 25011508)</t>
  </si>
  <si>
    <t>GREDOS SAN DIEGO.S.COOP.MAD - Mensualidad Piscina Enero</t>
  </si>
  <si>
    <t>SUPLIDORA HUACAS LTDA - Ref 107138 Prof 82254</t>
  </si>
  <si>
    <t>HDZ Soluciones industriales SRL - Toolbox Reparación de Herramienta</t>
  </si>
  <si>
    <t>GV FERRETERÍA COYOTE - Pegamento PVC</t>
  </si>
  <si>
    <t>MAFERCO S.A. - Fact 104492 Prof 208312 - Manómetro</t>
  </si>
  <si>
    <t>MAFERCO S.A. - Fact 104491 Prof  208690</t>
  </si>
  <si>
    <t>5 mil con tarjeta</t>
  </si>
  <si>
    <t>SUPLIDORA HUACAS LTDA - Ref106980 Prof 82013 - Material electrico</t>
  </si>
  <si>
    <t>SUPLIDORA HUACAS LTDA - Cable THHN</t>
  </si>
  <si>
    <t>MAFERCO S.A. - Fact 104198 - Prof 208137 - Varilla Cemento Alambre</t>
  </si>
  <si>
    <t>MAFERCO S.A. - Fact 104245 Prof *****</t>
  </si>
  <si>
    <t>Wagner Zepeda Bustos [8770-8682] viaje maferco y grupo diez</t>
  </si>
  <si>
    <t>B31 11 enero  EXNER GRILLO - Comida</t>
  </si>
  <si>
    <t>B31 Planilla 6 al 11 de enero - EXNER GRILLO viaticos</t>
  </si>
  <si>
    <t>B31 Planilla 6 al 11 de enero - EXNER GRILLO</t>
  </si>
  <si>
    <t xml:space="preserve">B31 Planilla  6 al 11 de enero - Misael Ramos Dormuz - Depositar a </t>
  </si>
  <si>
    <t xml:space="preserve">B31 Planilla 6 al 11 de enero - Elvis Adrian Flores Vasquez - Depositar a </t>
  </si>
  <si>
    <t xml:space="preserve">B31 Planilla 6 al 11 de enero - Michael Medina Corea </t>
  </si>
  <si>
    <t>B31 Planilla 6 al 11 de enero - Freddy Antonio Hernandez</t>
  </si>
  <si>
    <t>B31 Planilla 6 al 11 de enero - Eliecer Leonardo Lacayo</t>
  </si>
  <si>
    <t>B31 Planilla 6 al 11 de enero - Omar Elias Castillo Castillo. DEPOSITA A MARTA PEREZ</t>
  </si>
  <si>
    <t>B31 Planilla 6 al 11 de enero - Geyvin Centeno</t>
  </si>
  <si>
    <t>3-101-912430 SA - Nota 01 Anula Fact10 - Monto Incorrecto</t>
  </si>
  <si>
    <t>3-101-912430 SA - Fact10 - 10Viajes de Lastre - 2 Viajes de tierra - 10h Back Hoe</t>
  </si>
  <si>
    <t>3-101-912430 SA - Fact 11 - 10 Viajes de tierra + 10h back hoe</t>
  </si>
  <si>
    <t>GV FERRETERÍA COYOTE - Guantes</t>
  </si>
  <si>
    <t>Restaurante - Alimentos Exclusivos BK CR SA - Nicoya</t>
  </si>
  <si>
    <t>*0081</t>
  </si>
  <si>
    <t>PVC AMANO LTDA - NOTA CREDITO POR ADAPTADOR 1243</t>
  </si>
  <si>
    <t>PVC AMANO LTDA - Union Riego 1243</t>
  </si>
  <si>
    <t>PVC AMANO LTDA - Mecha c5269,68 + Adaptador c1243</t>
  </si>
  <si>
    <t>Almacenes El Colono SA - Huacas - Escoba y bolsa de basura</t>
  </si>
  <si>
    <t>NOTA DE CREDITO</t>
  </si>
  <si>
    <t>MAFERCO S.A. NOTA DE CREDITO POR MECHA BLANCA</t>
  </si>
  <si>
    <t>MAFERCO S.A. - Ref 267737 - Cemento x 10 y clavos</t>
  </si>
  <si>
    <t>TELECABLE - 8274369 Ref 3607956 PLAYA GRANDE ENERO</t>
  </si>
  <si>
    <t>1046</t>
  </si>
  <si>
    <t>MAFERCO S.A. - Ref 267707 - Prof 206502</t>
  </si>
  <si>
    <t>B31 Planilla 31 diciembre al 4 enero - EXNER GRILLO viaticos</t>
  </si>
  <si>
    <t>B31 Planilla 31 diciembre al 4 enero - EXNER GRILLO feriado</t>
  </si>
  <si>
    <t>B31 Planilla 31 diciembre al 4 enero - EXNER GRILLO</t>
  </si>
  <si>
    <t>B31 Planilla 31 diciembre al 4 enero - Denis Damian Rocha Orozco</t>
  </si>
  <si>
    <t xml:space="preserve">B31 Planilla 31 diciembre al 4 enero - Oscar Manuel Rocha </t>
  </si>
  <si>
    <t xml:space="preserve">B31 Planilla  31 diciembre al 4 enero - Misael Ramos Dormuz - Depositar a </t>
  </si>
  <si>
    <t>B31 Planilla  31 diciembre al 4 enero - Francisco Javier Rocha Orozco - Depositar a GRILLO</t>
  </si>
  <si>
    <t xml:space="preserve">B31 Planilla 31 diciembre al 4 enero - Crispin de Jesús Valencia - Depositar a </t>
  </si>
  <si>
    <t xml:space="preserve">B31 Planilla 31 diciembre al 4 enero - Elvis Antonio Ramos Dormuz - Depositar a </t>
  </si>
  <si>
    <t xml:space="preserve">B31 Planilla 31 diciembre al 4 enero - Elvis Adrian Flores Vasquez - Depositar a </t>
  </si>
  <si>
    <t>CACERES_SALGADO - Fontaneria_HARVYN_Hernandez_aguilar_4_ENERO__Cebolla</t>
  </si>
  <si>
    <t xml:space="preserve">Cheque </t>
  </si>
  <si>
    <t xml:space="preserve">CACERES_SALGADO - Fontaneria HARVYN Hernandez aguilar 4 ENERO - Cebolla - </t>
  </si>
  <si>
    <t>B31 4 enero  EXNER GRILLO - Comida</t>
  </si>
  <si>
    <t xml:space="preserve">B31 Planilla 31 diciembre al 4 enero - Michael Medina Corea </t>
  </si>
  <si>
    <t>B31 Planilla 31 diciembre al 4 enero - Freddy Antonio Hernandez</t>
  </si>
  <si>
    <t>B31 Planilla 31 diciembre al 4 enero - Eliecer Leonardo Lacayo</t>
  </si>
  <si>
    <t>B31 Planilla 31 diciembre al 4 enero - Omar Elias Castillo Castillo. DEPOSITA A MARTA PEREZ</t>
  </si>
  <si>
    <t>B31 Planilla 31 diciembre al 4 enero - Eliceo García Espinosa</t>
  </si>
  <si>
    <t>B31 Planilla 31 diciembre al 4 enero - Geyvin Centeno</t>
  </si>
  <si>
    <t>8433</t>
  </si>
  <si>
    <t>Wagner Zepeda Bustos [8770-8682] - Transporte Quintilla</t>
  </si>
  <si>
    <t>MAFERCO S.A. - Ref 103391 - Piedra Quinta Blanca 2m3</t>
  </si>
  <si>
    <t>MAFERCO S.A. - Ref 267512 - Broca</t>
  </si>
  <si>
    <t>Almacenes El Colono SA - Huacas - Cinta Led</t>
  </si>
  <si>
    <t>Almacenes El Colono SA - Huacas - Trampa de Grasa</t>
  </si>
  <si>
    <t>FD</t>
  </si>
  <si>
    <t>Medio</t>
  </si>
  <si>
    <t>CC</t>
  </si>
  <si>
    <t>Dolares</t>
  </si>
  <si>
    <t>Colones</t>
  </si>
  <si>
    <t>Column7</t>
  </si>
  <si>
    <t>Column6</t>
  </si>
  <si>
    <t>Column5</t>
  </si>
  <si>
    <t>Column4</t>
  </si>
  <si>
    <t>Column3</t>
  </si>
  <si>
    <t>Column2</t>
  </si>
  <si>
    <t>Diario</t>
  </si>
  <si>
    <t>N</t>
  </si>
  <si>
    <t>c30</t>
  </si>
  <si>
    <t>b31</t>
  </si>
  <si>
    <t>PRECINTAS</t>
  </si>
  <si>
    <t>CERRAJERIA</t>
  </si>
  <si>
    <t>PLAQUERIA GENERAL</t>
  </si>
  <si>
    <t>MAMPARAS DE VIDRIO EN BAÑOS</t>
  </si>
  <si>
    <t>PINTURA DE CUBIERTA</t>
  </si>
  <si>
    <t>CERRAMIENTOS</t>
  </si>
  <si>
    <t>AIRES ACONDICIONADOS</t>
  </si>
  <si>
    <t>ELECTRODOMESTICOS</t>
  </si>
  <si>
    <t>HOJALATERIA</t>
  </si>
  <si>
    <t>PUERTAS</t>
  </si>
  <si>
    <t>LUMINARIAS</t>
  </si>
  <si>
    <t>LOZA SANITARIA Y GRIFERIA</t>
  </si>
  <si>
    <t>CIELOS DE MADERA</t>
  </si>
  <si>
    <t>JARDINERIA</t>
  </si>
  <si>
    <t>PISOS</t>
  </si>
  <si>
    <t>MUEBLES FIJOS</t>
  </si>
  <si>
    <t>VENTANAS</t>
  </si>
  <si>
    <t>proyeccion de cierre</t>
  </si>
  <si>
    <t>en cuentas al 18 de agosto</t>
  </si>
  <si>
    <t>gastos al 6 de junio</t>
  </si>
  <si>
    <t>gastos de los ultimos 2 meses por actualizar de contabilidad</t>
  </si>
  <si>
    <t>hector carmona</t>
  </si>
  <si>
    <t>Josue</t>
  </si>
  <si>
    <t>Vidrios quiros</t>
  </si>
  <si>
    <t>vidrios brenes Europa, Bellavida Eurovista esperando</t>
  </si>
  <si>
    <t>MANO DE OBRA, con liquidaciones</t>
  </si>
  <si>
    <t>ENCHAPES baños</t>
  </si>
  <si>
    <t>ACABADOS PINTURA, CIELOS GYPSUM, EMPASTES</t>
  </si>
  <si>
    <t>PISCINA ENCHAPES</t>
  </si>
  <si>
    <t>PISCINA EQUIPOS</t>
  </si>
  <si>
    <t>Vidal Teca wash wash $110/m2</t>
  </si>
  <si>
    <t xml:space="preserve">Vidal  </t>
  </si>
  <si>
    <t>porcelanato</t>
  </si>
  <si>
    <t>porcelanato y coralina</t>
  </si>
  <si>
    <t>porcelanato de 7.5x30cm</t>
  </si>
  <si>
    <t>Atos, Vidal, The kitchen</t>
  </si>
  <si>
    <t>Isaac</t>
  </si>
  <si>
    <t>Helvex</t>
  </si>
  <si>
    <t>PORTON FRONTAL</t>
  </si>
  <si>
    <t>No hay cochera</t>
  </si>
  <si>
    <t>TANQUE DE AGUA Y SISTEMA DE PRESION, mas excavacion</t>
  </si>
  <si>
    <t>ITEM</t>
  </si>
  <si>
    <t>COSTO</t>
  </si>
  <si>
    <t>CONTRATISTA</t>
  </si>
  <si>
    <t>COTIZACIONES</t>
  </si>
  <si>
    <t>Smartengineering</t>
  </si>
  <si>
    <t>Ledinside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</si>
</sst>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₡&quot;* #,##0.00_-;\-&quot;₡&quot;* #,##0.00_-;_-&quot;₡&quot;* &quot;-&quot;??_-;_-@_-"/>
    <numFmt numFmtId="164" formatCode="_-[$₡-140A]* #,##0.00_-;\-[$₡-140A]* #,##0.00_-;_-[$₡-140A]* &quot;-&quot;??_-;_-@_-"/>
    <numFmt numFmtId="165" formatCode="_-[$$-540A]* #,##0.00_ ;_-[$$-540A]* \-#,##0.00\ ;_-[$$-540A]* &quot;-&quot;??_ ;_-@_ "/>
    <numFmt numFmtId="166" formatCode="_-[$₡-140A]* #,##0_-;\-[$₡-140A]* #,##0_-;_-[$₡-140A]* &quot;-&quot;??_-;_-@_-"/>
    <numFmt numFmtId="167" formatCode="_-[$$-409]* #,##0.00_ ;_-[$$-409]* \-#,##0.00\ ;_-[$$-409]* &quot;-&quot;??_ ;_-@_ "/>
  </numFmts>
  <fonts count="2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HelveticaNeueLTStd-Cn"/>
    </font>
    <font>
      <sz val="7"/>
      <color rgb="FF666666"/>
      <name val="ArialMT"/>
    </font>
    <font>
      <sz val="8"/>
      <color rgb="FF000000"/>
      <name val="Arial"/>
      <family val="2"/>
    </font>
    <font>
      <b/>
      <sz val="8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FF3E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AE9C5"/>
      </top>
      <bottom style="medium">
        <color rgb="FFCAE9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4" applyNumberFormat="0" applyAlignment="0" applyProtection="0"/>
    <xf numFmtId="0" fontId="14" fillId="8" borderId="5" applyNumberFormat="0" applyAlignment="0" applyProtection="0"/>
    <xf numFmtId="0" fontId="15" fillId="8" borderId="4" applyNumberFormat="0" applyAlignment="0" applyProtection="0"/>
    <xf numFmtId="0" fontId="16" fillId="0" borderId="6" applyNumberFormat="0" applyFill="0" applyAlignment="0" applyProtection="0"/>
    <xf numFmtId="0" fontId="17" fillId="9" borderId="7" applyNumberFormat="0" applyAlignment="0" applyProtection="0"/>
    <xf numFmtId="0" fontId="4" fillId="0" borderId="0" applyNumberFormat="0" applyFill="0" applyBorder="0" applyAlignment="0" applyProtection="0"/>
    <xf numFmtId="0" fontId="5" fillId="10" borderId="8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9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9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19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19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19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9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0" borderId="0"/>
  </cellStyleXfs>
  <cellXfs count="198">
    <xf numFmtId="0" fontId="0" fillId="0" borderId="0" xfId="0"/>
    <xf numFmtId="0" fontId="3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65" fontId="3" fillId="0" borderId="0" xfId="0" applyNumberFormat="1" applyFont="1" applyAlignment="1">
      <alignment wrapText="1"/>
    </xf>
    <xf numFmtId="14" fontId="3" fillId="35" borderId="0" xfId="0" applyNumberFormat="1" applyFont="1" applyFill="1"/>
    <xf numFmtId="14" fontId="3" fillId="2" borderId="0" xfId="0" applyNumberFormat="1" applyFont="1" applyFill="1"/>
    <xf numFmtId="0" fontId="3" fillId="2" borderId="0" xfId="0" applyFont="1" applyFill="1"/>
    <xf numFmtId="164" fontId="3" fillId="2" borderId="0" xfId="0" applyNumberFormat="1" applyFont="1" applyFill="1"/>
    <xf numFmtId="165" fontId="3" fillId="2" borderId="0" xfId="0" applyNumberFormat="1" applyFont="1" applyFill="1"/>
    <xf numFmtId="166" fontId="3" fillId="2" borderId="0" xfId="0" applyNumberFormat="1" applyFont="1" applyFill="1"/>
    <xf numFmtId="0" fontId="3" fillId="0" borderId="0" xfId="0" applyFont="1" applyAlignment="1">
      <alignment horizontal="right"/>
    </xf>
    <xf numFmtId="14" fontId="3" fillId="41" borderId="0" xfId="0" applyNumberFormat="1" applyFont="1" applyFill="1"/>
    <xf numFmtId="165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44" fontId="3" fillId="51" borderId="0" xfId="0" applyNumberFormat="1" applyFont="1" applyFill="1"/>
    <xf numFmtId="44" fontId="3" fillId="54" borderId="0" xfId="0" applyNumberFormat="1" applyFont="1" applyFill="1"/>
    <xf numFmtId="0" fontId="3" fillId="51" borderId="0" xfId="0" applyFont="1" applyFill="1"/>
    <xf numFmtId="44" fontId="3" fillId="49" borderId="0" xfId="0" applyNumberFormat="1" applyFont="1" applyFill="1"/>
    <xf numFmtId="44" fontId="3" fillId="3" borderId="0" xfId="0" applyNumberFormat="1" applyFont="1" applyFill="1"/>
    <xf numFmtId="44" fontId="3" fillId="50" borderId="0" xfId="0" applyNumberFormat="1" applyFont="1" applyFill="1"/>
    <xf numFmtId="44" fontId="3" fillId="41" borderId="0" xfId="0" applyNumberFormat="1" applyFont="1" applyFill="1"/>
    <xf numFmtId="44" fontId="3" fillId="40" borderId="0" xfId="0" applyNumberFormat="1" applyFont="1" applyFill="1"/>
    <xf numFmtId="44" fontId="3" fillId="38" borderId="0" xfId="0" applyNumberFormat="1" applyFont="1" applyFill="1"/>
    <xf numFmtId="44" fontId="3" fillId="52" borderId="0" xfId="0" applyNumberFormat="1" applyFont="1" applyFill="1"/>
    <xf numFmtId="44" fontId="3" fillId="0" borderId="0" xfId="0" applyNumberFormat="1" applyFont="1"/>
    <xf numFmtId="44" fontId="3" fillId="45" borderId="0" xfId="0" applyNumberFormat="1" applyFont="1" applyFill="1"/>
    <xf numFmtId="0" fontId="3" fillId="57" borderId="0" xfId="0" applyFont="1" applyFill="1"/>
    <xf numFmtId="44" fontId="3" fillId="57" borderId="0" xfId="0" applyNumberFormat="1" applyFont="1" applyFill="1"/>
    <xf numFmtId="44" fontId="3" fillId="39" borderId="0" xfId="0" applyNumberFormat="1" applyFont="1" applyFill="1"/>
    <xf numFmtId="44" fontId="3" fillId="55" borderId="0" xfId="0" applyNumberFormat="1" applyFont="1" applyFill="1"/>
    <xf numFmtId="0" fontId="3" fillId="45" borderId="0" xfId="0" applyFont="1" applyFill="1"/>
    <xf numFmtId="0" fontId="3" fillId="54" borderId="0" xfId="0" applyFont="1" applyFill="1"/>
    <xf numFmtId="0" fontId="3" fillId="53" borderId="0" xfId="0" applyFont="1" applyFill="1" applyAlignment="1">
      <alignment horizontal="center"/>
    </xf>
    <xf numFmtId="14" fontId="3" fillId="36" borderId="0" xfId="0" applyNumberFormat="1" applyFont="1" applyFill="1"/>
    <xf numFmtId="0" fontId="3" fillId="36" borderId="0" xfId="0" applyFont="1" applyFill="1" applyAlignment="1">
      <alignment horizontal="center"/>
    </xf>
    <xf numFmtId="164" fontId="3" fillId="36" borderId="0" xfId="0" applyNumberFormat="1" applyFont="1" applyFill="1"/>
    <xf numFmtId="165" fontId="3" fillId="36" borderId="0" xfId="0" applyNumberFormat="1" applyFont="1" applyFill="1"/>
    <xf numFmtId="166" fontId="3" fillId="36" borderId="0" xfId="0" applyNumberFormat="1" applyFont="1" applyFill="1"/>
    <xf numFmtId="0" fontId="3" fillId="36" borderId="0" xfId="0" applyFont="1" applyFill="1"/>
    <xf numFmtId="0" fontId="21" fillId="0" borderId="0" xfId="0" applyFont="1"/>
    <xf numFmtId="0" fontId="21" fillId="0" borderId="0" xfId="0" applyFont="1" applyAlignment="1">
      <alignment horizontal="center"/>
    </xf>
    <xf numFmtId="164" fontId="21" fillId="0" borderId="0" xfId="0" applyNumberFormat="1" applyFont="1"/>
    <xf numFmtId="164" fontId="21" fillId="53" borderId="0" xfId="0" applyNumberFormat="1" applyFont="1" applyFill="1"/>
    <xf numFmtId="164" fontId="21" fillId="0" borderId="0" xfId="0" applyNumberFormat="1" applyFont="1" applyAlignment="1">
      <alignment horizontal="center"/>
    </xf>
    <xf numFmtId="164" fontId="21" fillId="0" borderId="0" xfId="0" applyNumberFormat="1" applyFont="1" applyAlignment="1">
      <alignment horizontal="right"/>
    </xf>
    <xf numFmtId="166" fontId="21" fillId="0" borderId="0" xfId="0" applyNumberFormat="1" applyFont="1"/>
    <xf numFmtId="0" fontId="3" fillId="36" borderId="0" xfId="0" applyFont="1" applyFill="1" applyAlignment="1">
      <alignment horizontal="right"/>
    </xf>
    <xf numFmtId="0" fontId="3" fillId="3" borderId="0" xfId="0" applyFont="1" applyFill="1"/>
    <xf numFmtId="0" fontId="3" fillId="2" borderId="0" xfId="0" applyFont="1" applyFill="1" applyAlignment="1">
      <alignment horizontal="center"/>
    </xf>
    <xf numFmtId="164" fontId="3" fillId="35" borderId="0" xfId="0" applyNumberFormat="1" applyFont="1" applyFill="1"/>
    <xf numFmtId="165" fontId="3" fillId="35" borderId="0" xfId="0" applyNumberFormat="1" applyFont="1" applyFill="1"/>
    <xf numFmtId="166" fontId="3" fillId="35" borderId="0" xfId="0" applyNumberFormat="1" applyFont="1" applyFill="1"/>
    <xf numFmtId="0" fontId="3" fillId="35" borderId="0" xfId="0" applyFont="1" applyFill="1"/>
    <xf numFmtId="44" fontId="3" fillId="0" borderId="0" xfId="1" applyFont="1" applyFill="1"/>
    <xf numFmtId="44" fontId="3" fillId="0" borderId="0" xfId="1" applyFont="1" applyFill="1" applyBorder="1"/>
    <xf numFmtId="14" fontId="3" fillId="37" borderId="0" xfId="0" applyNumberFormat="1" applyFont="1" applyFill="1"/>
    <xf numFmtId="164" fontId="3" fillId="37" borderId="0" xfId="0" applyNumberFormat="1" applyFont="1" applyFill="1"/>
    <xf numFmtId="165" fontId="3" fillId="37" borderId="0" xfId="0" applyNumberFormat="1" applyFont="1" applyFill="1"/>
    <xf numFmtId="166" fontId="3" fillId="37" borderId="0" xfId="0" applyNumberFormat="1" applyFont="1" applyFill="1"/>
    <xf numFmtId="0" fontId="3" fillId="37" borderId="0" xfId="0" applyFont="1" applyFill="1"/>
    <xf numFmtId="164" fontId="3" fillId="0" borderId="10" xfId="0" applyNumberFormat="1" applyFont="1" applyBorder="1"/>
    <xf numFmtId="0" fontId="3" fillId="41" borderId="0" xfId="0" applyFont="1" applyFill="1" applyAlignment="1">
      <alignment horizontal="center"/>
    </xf>
    <xf numFmtId="164" fontId="3" fillId="41" borderId="0" xfId="0" applyNumberFormat="1" applyFont="1" applyFill="1"/>
    <xf numFmtId="165" fontId="3" fillId="41" borderId="0" xfId="0" applyNumberFormat="1" applyFont="1" applyFill="1"/>
    <xf numFmtId="166" fontId="3" fillId="41" borderId="0" xfId="0" applyNumberFormat="1" applyFont="1" applyFill="1"/>
    <xf numFmtId="0" fontId="3" fillId="41" borderId="0" xfId="0" applyFont="1" applyFill="1"/>
    <xf numFmtId="0" fontId="3" fillId="2" borderId="0" xfId="0" applyFont="1" applyFill="1" applyAlignment="1">
      <alignment horizontal="right"/>
    </xf>
    <xf numFmtId="164" fontId="3" fillId="38" borderId="0" xfId="0" applyNumberFormat="1" applyFont="1" applyFill="1"/>
    <xf numFmtId="165" fontId="3" fillId="38" borderId="0" xfId="0" applyNumberFormat="1" applyFont="1" applyFill="1"/>
    <xf numFmtId="166" fontId="3" fillId="38" borderId="0" xfId="0" applyNumberFormat="1" applyFont="1" applyFill="1"/>
    <xf numFmtId="164" fontId="3" fillId="39" borderId="0" xfId="0" applyNumberFormat="1" applyFont="1" applyFill="1"/>
    <xf numFmtId="165" fontId="3" fillId="39" borderId="0" xfId="0" applyNumberFormat="1" applyFont="1" applyFill="1"/>
    <xf numFmtId="166" fontId="3" fillId="39" borderId="0" xfId="0" applyNumberFormat="1" applyFont="1" applyFill="1"/>
    <xf numFmtId="165" fontId="3" fillId="40" borderId="0" xfId="0" applyNumberFormat="1" applyFont="1" applyFill="1"/>
    <xf numFmtId="166" fontId="3" fillId="40" borderId="0" xfId="0" applyNumberFormat="1" applyFont="1" applyFill="1"/>
    <xf numFmtId="0" fontId="3" fillId="37" borderId="0" xfId="0" applyFont="1" applyFill="1" applyAlignment="1">
      <alignment horizontal="center"/>
    </xf>
    <xf numFmtId="0" fontId="3" fillId="40" borderId="0" xfId="0" applyFont="1" applyFill="1" applyAlignment="1">
      <alignment horizontal="center"/>
    </xf>
    <xf numFmtId="14" fontId="3" fillId="40" borderId="0" xfId="0" applyNumberFormat="1" applyFont="1" applyFill="1"/>
    <xf numFmtId="0" fontId="3" fillId="42" borderId="0" xfId="0" applyFont="1" applyFill="1" applyAlignment="1">
      <alignment horizontal="center"/>
    </xf>
    <xf numFmtId="14" fontId="3" fillId="42" borderId="0" xfId="0" applyNumberFormat="1" applyFont="1" applyFill="1"/>
    <xf numFmtId="165" fontId="3" fillId="42" borderId="0" xfId="0" applyNumberFormat="1" applyFont="1" applyFill="1"/>
    <xf numFmtId="164" fontId="3" fillId="55" borderId="0" xfId="0" applyNumberFormat="1" applyFont="1" applyFill="1"/>
    <xf numFmtId="164" fontId="3" fillId="53" borderId="0" xfId="0" applyNumberFormat="1" applyFont="1" applyFill="1"/>
    <xf numFmtId="164" fontId="3" fillId="54" borderId="0" xfId="0" applyNumberFormat="1" applyFont="1" applyFill="1"/>
    <xf numFmtId="164" fontId="3" fillId="3" borderId="0" xfId="0" applyNumberFormat="1" applyFont="1" applyFill="1"/>
    <xf numFmtId="164" fontId="3" fillId="58" borderId="0" xfId="0" applyNumberFormat="1" applyFont="1" applyFill="1"/>
    <xf numFmtId="0" fontId="3" fillId="47" borderId="0" xfId="0" applyFont="1" applyFill="1" applyAlignment="1">
      <alignment horizontal="center"/>
    </xf>
    <xf numFmtId="14" fontId="3" fillId="47" borderId="0" xfId="0" applyNumberFormat="1" applyFont="1" applyFill="1"/>
    <xf numFmtId="0" fontId="3" fillId="47" borderId="0" xfId="0" applyFont="1" applyFill="1"/>
    <xf numFmtId="0" fontId="3" fillId="47" borderId="0" xfId="0" applyFont="1" applyFill="1" applyAlignment="1">
      <alignment horizontal="right"/>
    </xf>
    <xf numFmtId="164" fontId="3" fillId="47" borderId="0" xfId="0" applyNumberFormat="1" applyFont="1" applyFill="1"/>
    <xf numFmtId="165" fontId="3" fillId="47" borderId="0" xfId="0" applyNumberFormat="1" applyFont="1" applyFill="1"/>
    <xf numFmtId="166" fontId="3" fillId="47" borderId="0" xfId="0" applyNumberFormat="1" applyFont="1" applyFill="1"/>
    <xf numFmtId="0" fontId="3" fillId="48" borderId="0" xfId="0" applyFont="1" applyFill="1"/>
    <xf numFmtId="0" fontId="3" fillId="48" borderId="0" xfId="0" applyFont="1" applyFill="1" applyAlignment="1">
      <alignment horizontal="center"/>
    </xf>
    <xf numFmtId="14" fontId="3" fillId="48" borderId="0" xfId="0" applyNumberFormat="1" applyFont="1" applyFill="1"/>
    <xf numFmtId="0" fontId="3" fillId="48" borderId="0" xfId="0" applyFont="1" applyFill="1" applyAlignment="1">
      <alignment horizontal="right"/>
    </xf>
    <xf numFmtId="164" fontId="3" fillId="48" borderId="0" xfId="0" applyNumberFormat="1" applyFont="1" applyFill="1"/>
    <xf numFmtId="165" fontId="3" fillId="48" borderId="0" xfId="0" applyNumberFormat="1" applyFont="1" applyFill="1"/>
    <xf numFmtId="166" fontId="3" fillId="48" borderId="0" xfId="0" applyNumberFormat="1" applyFont="1" applyFill="1"/>
    <xf numFmtId="0" fontId="3" fillId="61" borderId="0" xfId="0" applyFont="1" applyFill="1"/>
    <xf numFmtId="0" fontId="3" fillId="61" borderId="0" xfId="0" applyFont="1" applyFill="1" applyAlignment="1">
      <alignment horizontal="center"/>
    </xf>
    <xf numFmtId="14" fontId="3" fillId="61" borderId="0" xfId="0" applyNumberFormat="1" applyFont="1" applyFill="1"/>
    <xf numFmtId="0" fontId="3" fillId="61" borderId="0" xfId="0" applyFont="1" applyFill="1" applyAlignment="1">
      <alignment horizontal="right"/>
    </xf>
    <xf numFmtId="164" fontId="3" fillId="61" borderId="0" xfId="0" applyNumberFormat="1" applyFont="1" applyFill="1"/>
    <xf numFmtId="165" fontId="3" fillId="61" borderId="0" xfId="0" applyNumberFormat="1" applyFont="1" applyFill="1"/>
    <xf numFmtId="166" fontId="3" fillId="61" borderId="0" xfId="0" applyNumberFormat="1" applyFont="1" applyFill="1"/>
    <xf numFmtId="164" fontId="3" fillId="44" borderId="0" xfId="0" applyNumberFormat="1" applyFont="1" applyFill="1"/>
    <xf numFmtId="14" fontId="3" fillId="45" borderId="0" xfId="0" applyNumberFormat="1" applyFont="1" applyFill="1"/>
    <xf numFmtId="0" fontId="3" fillId="45" borderId="0" xfId="0" applyFont="1" applyFill="1" applyAlignment="1">
      <alignment horizontal="center"/>
    </xf>
    <xf numFmtId="0" fontId="3" fillId="45" borderId="0" xfId="0" applyFont="1" applyFill="1" applyAlignment="1">
      <alignment horizontal="right"/>
    </xf>
    <xf numFmtId="165" fontId="3" fillId="45" borderId="0" xfId="0" applyNumberFormat="1" applyFont="1" applyFill="1"/>
    <xf numFmtId="166" fontId="3" fillId="45" borderId="0" xfId="0" applyNumberFormat="1" applyFont="1" applyFill="1"/>
    <xf numFmtId="0" fontId="3" fillId="40" borderId="0" xfId="0" applyFont="1" applyFill="1"/>
    <xf numFmtId="0" fontId="3" fillId="40" borderId="0" xfId="0" applyFont="1" applyFill="1" applyAlignment="1">
      <alignment horizontal="right"/>
    </xf>
    <xf numFmtId="164" fontId="3" fillId="46" borderId="0" xfId="0" applyNumberFormat="1" applyFont="1" applyFill="1"/>
    <xf numFmtId="44" fontId="3" fillId="59" borderId="0" xfId="0" applyNumberFormat="1" applyFont="1" applyFill="1"/>
    <xf numFmtId="44" fontId="3" fillId="53" borderId="0" xfId="0" applyNumberFormat="1" applyFont="1" applyFill="1"/>
    <xf numFmtId="0" fontId="3" fillId="35" borderId="0" xfId="0" applyFont="1" applyFill="1" applyAlignment="1">
      <alignment horizontal="center"/>
    </xf>
    <xf numFmtId="0" fontId="3" fillId="35" borderId="0" xfId="0" applyFont="1" applyFill="1" applyAlignment="1">
      <alignment horizontal="right"/>
    </xf>
    <xf numFmtId="165" fontId="3" fillId="53" borderId="0" xfId="0" applyNumberFormat="1" applyFont="1" applyFill="1"/>
    <xf numFmtId="44" fontId="3" fillId="43" borderId="0" xfId="0" applyNumberFormat="1" applyFont="1" applyFill="1"/>
    <xf numFmtId="44" fontId="3" fillId="56" borderId="0" xfId="0" applyNumberFormat="1" applyFont="1" applyFill="1"/>
    <xf numFmtId="44" fontId="3" fillId="58" borderId="0" xfId="0" applyNumberFormat="1" applyFont="1" applyFill="1"/>
    <xf numFmtId="0" fontId="3" fillId="60" borderId="0" xfId="0" applyFont="1" applyFill="1"/>
    <xf numFmtId="0" fontId="3" fillId="55" borderId="0" xfId="0" applyFont="1" applyFill="1"/>
    <xf numFmtId="0" fontId="3" fillId="56" borderId="0" xfId="0" applyFont="1" applyFill="1"/>
    <xf numFmtId="165" fontId="21" fillId="0" borderId="0" xfId="0" applyNumberFormat="1" applyFont="1"/>
    <xf numFmtId="44" fontId="3" fillId="2" borderId="0" xfId="0" applyNumberFormat="1" applyFont="1" applyFill="1"/>
    <xf numFmtId="164" fontId="3" fillId="2" borderId="0" xfId="1" applyNumberFormat="1" applyFont="1" applyFill="1"/>
    <xf numFmtId="44" fontId="0" fillId="35" borderId="0" xfId="0" applyNumberFormat="1" applyFill="1"/>
    <xf numFmtId="0" fontId="0" fillId="44" borderId="0" xfId="0" applyFill="1"/>
    <xf numFmtId="44" fontId="3" fillId="42" borderId="0" xfId="0" applyNumberFormat="1" applyFont="1" applyFill="1"/>
    <xf numFmtId="0" fontId="0" fillId="59" borderId="0" xfId="0" applyFill="1"/>
    <xf numFmtId="0" fontId="0" fillId="3" borderId="0" xfId="0" applyFill="1"/>
    <xf numFmtId="164" fontId="3" fillId="60" borderId="0" xfId="0" applyNumberFormat="1" applyFont="1" applyFill="1"/>
    <xf numFmtId="0" fontId="3" fillId="57" borderId="0" xfId="0" applyFont="1" applyFill="1" applyAlignment="1">
      <alignment horizontal="center"/>
    </xf>
    <xf numFmtId="49" fontId="3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165" fontId="3" fillId="0" borderId="11" xfId="0" applyNumberFormat="1" applyFont="1" applyBorder="1"/>
    <xf numFmtId="0" fontId="22" fillId="0" borderId="0" xfId="0" applyFont="1" applyAlignment="1">
      <alignment vertical="center" wrapText="1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5" fontId="4" fillId="0" borderId="0" xfId="0" applyNumberFormat="1" applyFont="1"/>
    <xf numFmtId="166" fontId="4" fillId="0" borderId="0" xfId="0" applyNumberFormat="1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4" fillId="45" borderId="0" xfId="0" applyFont="1" applyFill="1" applyAlignment="1">
      <alignment horizontal="center"/>
    </xf>
    <xf numFmtId="14" fontId="4" fillId="0" borderId="0" xfId="0" applyNumberFormat="1" applyFont="1"/>
    <xf numFmtId="0" fontId="3" fillId="46" borderId="0" xfId="0" applyFont="1" applyFill="1"/>
    <xf numFmtId="49" fontId="3" fillId="35" borderId="0" xfId="0" applyNumberFormat="1" applyFont="1" applyFill="1" applyAlignment="1">
      <alignment horizontal="left"/>
    </xf>
    <xf numFmtId="0" fontId="23" fillId="0" borderId="0" xfId="0" applyFont="1"/>
    <xf numFmtId="165" fontId="2" fillId="0" borderId="0" xfId="0" applyNumberFormat="1" applyFont="1"/>
    <xf numFmtId="0" fontId="0" fillId="0" borderId="0" xfId="0" applyAlignment="1">
      <alignment horizontal="center"/>
    </xf>
    <xf numFmtId="0" fontId="24" fillId="0" borderId="0" xfId="0" applyFont="1" applyAlignment="1">
      <alignment vertical="center" wrapText="1"/>
    </xf>
    <xf numFmtId="0" fontId="0" fillId="35" borderId="0" xfId="0" applyFill="1"/>
    <xf numFmtId="1" fontId="3" fillId="45" borderId="0" xfId="0" applyNumberFormat="1" applyFont="1" applyFill="1" applyAlignment="1">
      <alignment horizontal="center"/>
    </xf>
    <xf numFmtId="49" fontId="0" fillId="0" borderId="0" xfId="0" applyNumberFormat="1"/>
    <xf numFmtId="165" fontId="3" fillId="57" borderId="0" xfId="0" applyNumberFormat="1" applyFont="1" applyFill="1"/>
    <xf numFmtId="166" fontId="3" fillId="57" borderId="0" xfId="0" applyNumberFormat="1" applyFont="1" applyFill="1"/>
    <xf numFmtId="0" fontId="22" fillId="0" borderId="0" xfId="0" applyFont="1" applyAlignment="1">
      <alignment vertical="center"/>
    </xf>
    <xf numFmtId="0" fontId="24" fillId="0" borderId="0" xfId="0" applyFont="1"/>
    <xf numFmtId="165" fontId="3" fillId="54" borderId="0" xfId="0" applyNumberFormat="1" applyFont="1" applyFill="1"/>
    <xf numFmtId="165" fontId="3" fillId="59" borderId="0" xfId="0" applyNumberFormat="1" applyFont="1" applyFill="1"/>
    <xf numFmtId="164" fontId="3" fillId="59" borderId="0" xfId="0" applyNumberFormat="1" applyFont="1" applyFill="1"/>
    <xf numFmtId="0" fontId="0" fillId="35" borderId="0" xfId="0" applyFill="1" applyAlignment="1">
      <alignment horizontal="center"/>
    </xf>
    <xf numFmtId="0" fontId="25" fillId="0" borderId="0" xfId="0" applyFont="1" applyAlignment="1">
      <alignment vertical="center" wrapText="1"/>
    </xf>
    <xf numFmtId="49" fontId="17" fillId="62" borderId="0" xfId="0" applyNumberFormat="1" applyFont="1" applyFill="1" applyAlignment="1">
      <alignment horizontal="left"/>
    </xf>
    <xf numFmtId="0" fontId="17" fillId="62" borderId="0" xfId="0" applyFont="1" applyFill="1" applyAlignment="1">
      <alignment horizontal="center"/>
    </xf>
    <xf numFmtId="0" fontId="17" fillId="62" borderId="0" xfId="0" applyFont="1" applyFill="1"/>
    <xf numFmtId="164" fontId="17" fillId="62" borderId="0" xfId="0" applyNumberFormat="1" applyFont="1" applyFill="1"/>
    <xf numFmtId="165" fontId="17" fillId="62" borderId="0" xfId="0" applyNumberFormat="1" applyFont="1" applyFill="1"/>
    <xf numFmtId="166" fontId="17" fillId="62" borderId="0" xfId="0" applyNumberFormat="1" applyFont="1" applyFill="1"/>
    <xf numFmtId="164" fontId="17" fillId="62" borderId="0" xfId="0" applyNumberFormat="1" applyFont="1" applyFill="1" applyAlignment="1">
      <alignment horizontal="right"/>
    </xf>
    <xf numFmtId="164" fontId="17" fillId="62" borderId="0" xfId="0" applyNumberFormat="1" applyFont="1" applyFill="1" applyAlignment="1">
      <alignment horizontal="center"/>
    </xf>
    <xf numFmtId="164" fontId="17" fillId="45" borderId="0" xfId="0" applyNumberFormat="1" applyFont="1" applyFill="1"/>
    <xf numFmtId="0" fontId="19" fillId="62" borderId="0" xfId="0" applyFont="1" applyFill="1" applyAlignment="1">
      <alignment horizontal="center"/>
    </xf>
    <xf numFmtId="0" fontId="26" fillId="62" borderId="0" xfId="0" applyFont="1" applyFill="1"/>
    <xf numFmtId="0" fontId="0" fillId="0" borderId="12" xfId="0" applyBorder="1"/>
    <xf numFmtId="167" fontId="1" fillId="0" borderId="12" xfId="0" applyNumberFormat="1" applyFont="1" applyBorder="1"/>
    <xf numFmtId="167" fontId="0" fillId="0" borderId="12" xfId="0" applyNumberFormat="1" applyBorder="1"/>
    <xf numFmtId="164" fontId="3" fillId="0" borderId="12" xfId="0" applyNumberFormat="1" applyFont="1" applyBorder="1"/>
    <xf numFmtId="167" fontId="0" fillId="0" borderId="0" xfId="0" applyNumberFormat="1"/>
    <xf numFmtId="0" fontId="0" fillId="0" borderId="12" xfId="0" applyBorder="1" applyAlignment="1">
      <alignment horizontal="center"/>
    </xf>
    <xf numFmtId="167" fontId="0" fillId="35" borderId="0" xfId="0" applyNumberFormat="1" applyFill="1"/>
    <xf numFmtId="165" fontId="0" fillId="0" borderId="0" xfId="0" applyNumberFormat="1"/>
    <xf numFmtId="167" fontId="0" fillId="44" borderId="0" xfId="0" applyNumberFormat="1" applyFill="1"/>
    <xf numFmtId="0" fontId="1" fillId="0" borderId="0" xfId="0" applyFont="1"/>
    <xf numFmtId="167" fontId="1" fillId="0" borderId="0" xfId="0" applyNumberFormat="1" applyFont="1"/>
    <xf numFmtId="14" fontId="0" fillId="0" borderId="0" xfId="0" applyNumberFormat="1"/>
    <xf numFmtId="0" fontId="27" fillId="0" borderId="12" xfId="0" applyFont="1" applyBorder="1" applyAlignment="1">
      <alignment horizontal="center"/>
    </xf>
    <xf numFmtId="167" fontId="0" fillId="2" borderId="0" xfId="0" applyNumberFormat="1" applyFill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9CE15269-7984-4D7F-BE07-2C0504816249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5" formatCode="_-[$$-540A]* #,##0.00_ ;_-[$$-540A]* \-#,##0.00\ ;_-[$$-540A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5" formatCode="_-[$$-540A]* #,##0.00_ ;_-[$$-540A]* \-#,##0.00\ ;_-[$$-540A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[$₡-140A]* #,##0.00_-;\-[$₡-140A]* #,##0.00_-;_-[$₡-140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5" formatCode="_-[$$-540A]* #,##0.00_ ;_-[$$-540A]* \-#,##0.00\ ;_-[$$-540A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[$₡-140A]* #,##0.00_-;\-[$₡-140A]* #,##0.00_-;_-[$₡-140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6" formatCode="_-[$₡-140A]* #,##0_-;\-[$₡-140A]* #,##0_-;_-[$₡-140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[$₡-140A]* #,##0.00_-;\-[$₡-140A]* #,##0.00_-;_-[$₡-140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5" formatCode="_-[$$-540A]* #,##0.00_ ;_-[$$-540A]* \-#,##0.00\ ;_-[$$-540A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[$₡-140A]* #,##0.00_-;\-[$₡-140A]* #,##0.00_-;_-[$₡-140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[$₡-140A]* #,##0.00_-;\-[$₡-140A]* #,##0.00_-;_-[$₡-140A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>
          <fgColor indexed="64"/>
          <bgColor theme="1" tint="4.9989318521683403E-2"/>
        </patternFill>
      </fill>
    </dxf>
  </dxfs>
  <tableStyles count="0" defaultTableStyle="TableStyleMedium2" defaultPivotStyle="PivotStyleLight16"/>
  <colors>
    <mruColors>
      <color rgb="FFFFFFCC"/>
      <color rgb="FFCFF3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50133</xdr:colOff>
      <xdr:row>12</xdr:row>
      <xdr:rowOff>30080</xdr:rowOff>
    </xdr:from>
    <xdr:to>
      <xdr:col>4</xdr:col>
      <xdr:colOff>1104197</xdr:colOff>
      <xdr:row>15</xdr:row>
      <xdr:rowOff>160422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3763BB-EA04-AA6B-953A-B28DFFA6C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33" y="2431383"/>
          <a:ext cx="4543222" cy="7018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934</xdr:row>
      <xdr:rowOff>0</xdr:rowOff>
    </xdr:from>
    <xdr:to>
      <xdr:col>22</xdr:col>
      <xdr:colOff>932788</xdr:colOff>
      <xdr:row>934</xdr:row>
      <xdr:rowOff>174010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87244-89ED-BBD4-0EFF-CF1A197B6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53891" y="139446000"/>
          <a:ext cx="944218" cy="1873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792</xdr:row>
      <xdr:rowOff>0</xdr:rowOff>
    </xdr:from>
    <xdr:to>
      <xdr:col>22</xdr:col>
      <xdr:colOff>932788</xdr:colOff>
      <xdr:row>798</xdr:row>
      <xdr:rowOff>174010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186551-C6D0-4E27-B318-2387D9A69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72900" y="66294000"/>
          <a:ext cx="932788" cy="17401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299422-905A-4104-BD69-C4D21E007C57}" name="Table13" displayName="Table13" ref="A7:Y1399" totalsRowCount="1" headerRowDxfId="53" dataDxfId="52">
  <autoFilter ref="A7:Y1398" xr:uid="{7CB3362A-CE1F-468C-9C86-1BB8999D0E0C}">
    <filterColumn colId="20">
      <filters blank="1">
        <filter val="BacC"/>
        <filter val="BacD"/>
        <filter val="Braidy - 4815"/>
        <filter val="DavC - 4415"/>
        <filter val="DavC - 5111"/>
        <filter val="No disponible"/>
        <filter val="Richard"/>
      </filters>
    </filterColumn>
    <filterColumn colId="21">
      <customFilters>
        <customFilter operator="notEqual" val=" "/>
      </customFilters>
    </filterColumn>
  </autoFilter>
  <sortState xmlns:xlrd2="http://schemas.microsoft.com/office/spreadsheetml/2017/richdata2" ref="A8:Y1398">
    <sortCondition ref="H7:H1398"/>
  </sortState>
  <tableColumns count="25">
    <tableColumn id="1" xr3:uid="{B4C3EE7F-2530-4100-86D9-C27F6E7CA3A2}" name="N" dataDxfId="51" totalsRowDxfId="50"/>
    <tableColumn id="2" xr3:uid="{75F828AB-5555-4C91-BC01-AA801609EA89}" name="id iguales?" dataDxfId="49" totalsRowDxfId="48"/>
    <tableColumn id="3" xr3:uid="{DE9B9D5D-8207-4F7C-9913-B63C3CE65FDF}" name="id consecutivos?" dataDxfId="47" totalsRowDxfId="46"/>
    <tableColumn id="4" xr3:uid="{8212DDF4-3B50-45E7-A047-888FF835D229}" name="sin precio" dataDxfId="45" totalsRowDxfId="44"/>
    <tableColumn id="5" xr3:uid="{99828A84-9151-4122-8075-C3BBFC53852A}" name="sin formade pago" dataDxfId="43" totalsRowDxfId="42">
      <calculatedColumnFormula>IF(U8="",1,0)</calculatedColumnFormula>
    </tableColumn>
    <tableColumn id="6" xr3:uid="{A5C4F904-5E16-4047-BC04-DF4A6500CCFD}" name="sin centro de costo" dataDxfId="41" totalsRowDxfId="40">
      <calculatedColumnFormula>IF(V8="",1,0)</calculatedColumnFormula>
    </tableColumn>
    <tableColumn id="7" xr3:uid="{162A973A-B802-480F-85F0-AF005BE7E809}" name="identificador" dataDxfId="39" totalsRowDxfId="38">
      <calculatedColumnFormula>IF(H8=0,"-",_xlfn.CONCAT(K8,N8,O8,J8))</calculatedColumnFormula>
    </tableColumn>
    <tableColumn id="8" xr3:uid="{9D65326F-D786-4C63-A127-81C85884E3FD}" name="Fecha" dataDxfId="37" totalsRowDxfId="36"/>
    <tableColumn id="9" xr3:uid="{FBBC5981-3E0D-48A4-840C-E60754184719}" name="Diario" dataDxfId="35" totalsRowDxfId="34"/>
    <tableColumn id="10" xr3:uid="{95A162A8-1568-4681-ADF2-D825E05CB4D6}" name="Column2" dataDxfId="33" totalsRowDxfId="32">
      <calculatedColumnFormula>+IF(I8&lt;10,_xlfn.CONCAT("0",I8),I8)</calculatedColumnFormula>
    </tableColumn>
    <tableColumn id="11" xr3:uid="{B24519D2-19B5-4DC1-A4B5-120863E6AC15}" name="Column3" dataDxfId="31" totalsRowDxfId="30">
      <calculatedColumnFormula>+YEAR(H8)-2000</calculatedColumnFormula>
    </tableColumn>
    <tableColumn id="12" xr3:uid="{D3C64861-531A-4799-8150-9D9221A6F567}" name="Column4" dataDxfId="29" totalsRowDxfId="28">
      <calculatedColumnFormula>+MONTH(H8)</calculatedColumnFormula>
    </tableColumn>
    <tableColumn id="13" xr3:uid="{59AFCD00-F5F2-4AE5-9D82-DC7A89891AA0}" name="Column5" dataDxfId="27" totalsRowDxfId="26">
      <calculatedColumnFormula>+DAY(H8)</calculatedColumnFormula>
    </tableColumn>
    <tableColumn id="14" xr3:uid="{D3BB82D4-8FE5-496B-B392-62DB780E94B6}" name="Column6" dataDxfId="25" totalsRowDxfId="24">
      <calculatedColumnFormula>+IF(L8&lt;10,_xlfn.CONCAT("0",L8),L8)</calculatedColumnFormula>
    </tableColumn>
    <tableColumn id="15" xr3:uid="{E930647C-4F6B-4DEF-9FF4-1BE353CD1D29}" name="Column7" dataDxfId="23" totalsRowDxfId="22">
      <calculatedColumnFormula>+IF(M8&lt;10,_xlfn.CONCAT("0",M8),M8)</calculatedColumnFormula>
    </tableColumn>
    <tableColumn id="16" xr3:uid="{3AD21729-6229-4C1C-BBA5-B5C887FCCA63}" name="Colones" totalsRowFunction="sum" dataDxfId="21" totalsRowDxfId="20"/>
    <tableColumn id="17" xr3:uid="{9A3057E2-3C09-4BBE-B72B-9738B84D4D13}" name="Dolares" totalsRowFunction="sum" dataDxfId="19" totalsRowDxfId="18"/>
    <tableColumn id="18" xr3:uid="{A367DC00-5D2C-466D-AB7A-827141D5BF65}" name="Tipo Cambio" totalsRowFunction="sum" dataDxfId="17" totalsRowDxfId="16"/>
    <tableColumn id="19" xr3:uid="{A8ED8D1C-63E2-4B29-AFAF-EF2911DF1F5E}" name="Precio en $" totalsRowFunction="sum" dataDxfId="15" totalsRowDxfId="14"/>
    <tableColumn id="20" xr3:uid="{5A3E1D15-1E9A-4820-A04B-FACC69F4ECB1}" name="Descripcion" dataDxfId="13" totalsRowDxfId="12"/>
    <tableColumn id="21" xr3:uid="{538FCBA3-ED50-41E6-88C3-1BBCAE84AC89}" name="forma de pago" dataDxfId="11" totalsRowDxfId="10"/>
    <tableColumn id="22" xr3:uid="{9BBA2EB4-F97B-4434-B977-A3B2A04E4E16}" name="CC" dataDxfId="9" totalsRowDxfId="8"/>
    <tableColumn id="24" xr3:uid="{9B40D28C-0F13-476D-9057-87E4DA8055B5}" name="Medio" totalsRowDxfId="7"/>
    <tableColumn id="25" xr3:uid="{B2410132-60FE-4C66-8CBA-99577F9AA8AE}" name="FD" dataDxfId="6" totalsRowDxfId="5"/>
    <tableColumn id="23" xr3:uid="{8C96F87B-58AD-4929-8752-09ACFADE6CED}" name="Observaciones" dataDxfId="4" totalsRow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2D50-BA93-44E0-A348-8B3A0BAE0C3C}">
  <dimension ref="B1:G14"/>
  <sheetViews>
    <sheetView zoomScale="190" zoomScaleNormal="190" workbookViewId="0">
      <selection activeCell="H2" sqref="H2"/>
    </sheetView>
  </sheetViews>
  <sheetFormatPr defaultRowHeight="15"/>
  <cols>
    <col min="3" max="6" width="17" customWidth="1"/>
  </cols>
  <sheetData>
    <row r="1" spans="2:7" ht="24">
      <c r="C1" s="196" t="s">
        <v>2129</v>
      </c>
      <c r="D1" s="196"/>
      <c r="E1" s="196" t="s">
        <v>2130</v>
      </c>
      <c r="F1" s="196"/>
    </row>
    <row r="2" spans="2:7">
      <c r="C2" s="184" t="s">
        <v>7</v>
      </c>
      <c r="D2" s="184" t="s">
        <v>6</v>
      </c>
      <c r="E2" s="184" t="s">
        <v>7</v>
      </c>
      <c r="F2" s="184" t="s">
        <v>6</v>
      </c>
    </row>
    <row r="3" spans="2:7">
      <c r="B3" s="189">
        <v>2024</v>
      </c>
      <c r="C3" s="186">
        <f>+'2024 c30'!Q2992</f>
        <v>0</v>
      </c>
      <c r="D3" s="187">
        <f>+'2024 c30'!P2992</f>
        <v>702.68</v>
      </c>
      <c r="E3" s="186">
        <f>+'2024 b31'!Q2987</f>
        <v>32951</v>
      </c>
      <c r="F3" s="187">
        <f>+'2024 b31'!P2987</f>
        <v>99121382.386666611</v>
      </c>
    </row>
    <row r="4" spans="2:7">
      <c r="B4" s="189">
        <v>2025</v>
      </c>
      <c r="C4" s="186"/>
      <c r="D4" s="187"/>
      <c r="E4" s="186">
        <f>+Table13[[#Totals],[Dolares]]</f>
        <v>361.20000000000016</v>
      </c>
      <c r="F4" s="187">
        <f>+Table13[[#Totals],[Colones]]</f>
        <v>74705743.989999995</v>
      </c>
    </row>
    <row r="5" spans="2:7">
      <c r="C5" s="185">
        <f>SUM(C3:C4)</f>
        <v>0</v>
      </c>
      <c r="D5" s="185">
        <f t="shared" ref="D5:F5" si="0">SUM(D3:D4)</f>
        <v>702.68</v>
      </c>
      <c r="E5" s="185">
        <f t="shared" si="0"/>
        <v>33312.199999999997</v>
      </c>
      <c r="F5" s="185">
        <f t="shared" si="0"/>
        <v>173827126.37666661</v>
      </c>
    </row>
    <row r="8" spans="2:7">
      <c r="D8" s="186">
        <f>+C5+D5/500</f>
        <v>1.4053599999999999</v>
      </c>
      <c r="F8" s="186">
        <f>+E5+F5/500</f>
        <v>380966.4527533332</v>
      </c>
      <c r="G8" t="s">
        <v>2150</v>
      </c>
    </row>
    <row r="9" spans="2:7">
      <c r="F9" s="186"/>
      <c r="G9" t="s">
        <v>2151</v>
      </c>
    </row>
    <row r="10" spans="2:7">
      <c r="F10" s="186">
        <f>+'CIERRE de b31'!C27</f>
        <v>333673.35219123506</v>
      </c>
      <c r="G10" t="s">
        <v>2148</v>
      </c>
    </row>
    <row r="12" spans="2:7">
      <c r="F12" s="188">
        <f>SUM(F8:F10)</f>
        <v>714639.80494456831</v>
      </c>
    </row>
    <row r="14" spans="2:7">
      <c r="F14" s="188">
        <v>35638.26</v>
      </c>
      <c r="G14" t="s">
        <v>2149</v>
      </c>
    </row>
  </sheetData>
  <mergeCells count="2">
    <mergeCell ref="C1:D1"/>
    <mergeCell ref="E1:F1"/>
  </mergeCells>
  <phoneticPr fontId="2" type="noConversion"/>
  <pageMargins left="0.7" right="0.7" top="0.75" bottom="0.75" header="0.3" footer="0.3"/>
  <ignoredErrors>
    <ignoredError xmlns:x16r3="http://schemas.microsoft.com/office/spreadsheetml/2018/08/main" sqref="C3" x16r3:misleadingForma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B1B57-2FE1-47A1-9AEE-CBC4F49E7EA8}">
  <dimension ref="A1:E34"/>
  <sheetViews>
    <sheetView tabSelected="1" zoomScale="175" zoomScaleNormal="175" workbookViewId="0">
      <selection activeCell="C2" sqref="C2"/>
    </sheetView>
  </sheetViews>
  <sheetFormatPr defaultRowHeight="15"/>
  <cols>
    <col min="2" max="2" width="46.85546875" bestFit="1" customWidth="1"/>
    <col min="3" max="3" width="19.7109375" style="188" customWidth="1"/>
    <col min="4" max="4" width="30.28515625" customWidth="1"/>
    <col min="5" max="5" width="49" bestFit="1" customWidth="1"/>
  </cols>
  <sheetData>
    <row r="1" spans="2:5" s="193" customFormat="1">
      <c r="B1" s="193" t="s">
        <v>2172</v>
      </c>
      <c r="C1" s="194" t="s">
        <v>2173</v>
      </c>
      <c r="D1" s="193" t="s">
        <v>2174</v>
      </c>
      <c r="E1" s="193" t="s">
        <v>2175</v>
      </c>
    </row>
    <row r="2" spans="2:5">
      <c r="B2" s="161" t="s">
        <v>2147</v>
      </c>
      <c r="C2" s="190">
        <f>30146500/500</f>
        <v>60293</v>
      </c>
      <c r="E2" t="s">
        <v>2155</v>
      </c>
    </row>
    <row r="3" spans="2:5">
      <c r="B3" t="s">
        <v>2156</v>
      </c>
      <c r="C3" s="197">
        <f>10*4200*1.37</f>
        <v>57540.000000000007</v>
      </c>
    </row>
    <row r="4" spans="2:5">
      <c r="B4" s="161" t="s">
        <v>2143</v>
      </c>
      <c r="C4" s="190">
        <f>348*110*1.13</f>
        <v>43256.399999999994</v>
      </c>
      <c r="E4" t="s">
        <v>2161</v>
      </c>
    </row>
    <row r="5" spans="2:5">
      <c r="B5" s="161" t="s">
        <v>2146</v>
      </c>
      <c r="C5" s="190">
        <v>42000</v>
      </c>
      <c r="E5" t="s">
        <v>2166</v>
      </c>
    </row>
    <row r="6" spans="2:5">
      <c r="B6" s="161" t="s">
        <v>2145</v>
      </c>
      <c r="C6" s="190">
        <f>479*(40+15+6)</f>
        <v>29219</v>
      </c>
      <c r="E6" t="s">
        <v>2164</v>
      </c>
    </row>
    <row r="7" spans="2:5">
      <c r="B7" s="161" t="s">
        <v>2144</v>
      </c>
      <c r="C7" s="190">
        <v>15000</v>
      </c>
      <c r="E7" t="s">
        <v>2167</v>
      </c>
    </row>
    <row r="8" spans="2:5">
      <c r="B8" t="s">
        <v>2141</v>
      </c>
      <c r="C8" s="188">
        <f>+(1715846+458292)/502</f>
        <v>4330.9521912350601</v>
      </c>
      <c r="E8" t="s">
        <v>2177</v>
      </c>
    </row>
    <row r="9" spans="2:5">
      <c r="B9" t="s">
        <v>2158</v>
      </c>
      <c r="C9" s="188">
        <f>619*15</f>
        <v>9285</v>
      </c>
    </row>
    <row r="10" spans="2:5">
      <c r="B10" t="s">
        <v>2142</v>
      </c>
      <c r="C10" s="191">
        <v>8960</v>
      </c>
      <c r="E10" t="s">
        <v>2168</v>
      </c>
    </row>
    <row r="11" spans="2:5">
      <c r="B11" t="s">
        <v>2138</v>
      </c>
      <c r="C11" s="188">
        <v>8000</v>
      </c>
    </row>
    <row r="12" spans="2:5">
      <c r="B12" t="s">
        <v>2160</v>
      </c>
      <c r="C12" s="188">
        <v>7800</v>
      </c>
      <c r="E12" t="s">
        <v>2176</v>
      </c>
    </row>
    <row r="13" spans="2:5">
      <c r="B13" s="135" t="s">
        <v>2137</v>
      </c>
      <c r="C13" s="192">
        <f>1850*4</f>
        <v>7400</v>
      </c>
      <c r="D13" t="s">
        <v>2153</v>
      </c>
    </row>
    <row r="14" spans="2:5">
      <c r="B14" t="s">
        <v>2136</v>
      </c>
      <c r="C14" s="188">
        <v>6350</v>
      </c>
    </row>
    <row r="15" spans="2:5">
      <c r="B15" s="135" t="s">
        <v>2140</v>
      </c>
      <c r="C15" s="192">
        <f>40%*13150</f>
        <v>5260</v>
      </c>
      <c r="D15" t="s">
        <v>2162</v>
      </c>
    </row>
    <row r="16" spans="2:5">
      <c r="B16" t="s">
        <v>2171</v>
      </c>
      <c r="C16" s="191">
        <f>4200+850</f>
        <v>5050</v>
      </c>
      <c r="E16" t="s">
        <v>2176</v>
      </c>
    </row>
    <row r="17" spans="2:5">
      <c r="B17" t="s">
        <v>2157</v>
      </c>
      <c r="C17" s="188">
        <f>101*(20+24+5)</f>
        <v>4949</v>
      </c>
      <c r="E17" t="s">
        <v>2165</v>
      </c>
    </row>
    <row r="18" spans="2:5">
      <c r="B18" t="s">
        <v>2159</v>
      </c>
      <c r="C18" s="188">
        <f>62*(30+20+6)</f>
        <v>3472</v>
      </c>
      <c r="E18" t="s">
        <v>2163</v>
      </c>
    </row>
    <row r="19" spans="2:5">
      <c r="B19" t="s">
        <v>2135</v>
      </c>
      <c r="C19" s="188">
        <v>2800</v>
      </c>
    </row>
    <row r="20" spans="2:5">
      <c r="B20" t="s">
        <v>2134</v>
      </c>
      <c r="C20" s="191">
        <v>2500</v>
      </c>
      <c r="D20" t="s">
        <v>2154</v>
      </c>
    </row>
    <row r="21" spans="2:5">
      <c r="B21" s="135" t="s">
        <v>2139</v>
      </c>
      <c r="C21" s="192">
        <f>1100000/500</f>
        <v>2200</v>
      </c>
      <c r="D21" t="s">
        <v>2152</v>
      </c>
    </row>
    <row r="22" spans="2:5">
      <c r="B22" t="s">
        <v>2133</v>
      </c>
      <c r="C22" s="191">
        <v>2152</v>
      </c>
    </row>
    <row r="23" spans="2:5">
      <c r="B23" t="s">
        <v>2132</v>
      </c>
      <c r="C23" s="188">
        <f>14*145</f>
        <v>2030</v>
      </c>
    </row>
    <row r="24" spans="2:5">
      <c r="B24" t="s">
        <v>2131</v>
      </c>
      <c r="C24" s="191">
        <v>2026</v>
      </c>
    </row>
    <row r="25" spans="2:5">
      <c r="B25" t="s">
        <v>2169</v>
      </c>
      <c r="C25" s="191">
        <v>1800</v>
      </c>
    </row>
    <row r="27" spans="2:5">
      <c r="C27" s="188">
        <f>SUM(C2:C25)</f>
        <v>333673.35219123506</v>
      </c>
    </row>
    <row r="29" spans="2:5">
      <c r="B29" t="s">
        <v>2170</v>
      </c>
    </row>
    <row r="32" spans="2:5">
      <c r="B32">
        <f ca="1">TODAY()</f>
        <v>45954</v>
      </c>
    </row>
    <row r="33" spans="1:2">
      <c r="B33">
        <f>18*7</f>
        <v>126</v>
      </c>
    </row>
    <row r="34" spans="1:2">
      <c r="A34" s="195">
        <v>45781</v>
      </c>
      <c r="B34" s="195">
        <f ca="1">+B32+B33</f>
        <v>46080</v>
      </c>
    </row>
  </sheetData>
  <autoFilter ref="B1:E25" xr:uid="{DFAB1B57-2FE1-47A1-9AEE-CBC4F49E7EA8}">
    <sortState xmlns:xlrd2="http://schemas.microsoft.com/office/spreadsheetml/2017/richdata2" ref="B2:E25">
      <sortCondition descending="1" ref="C1:C2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A003-09DF-4653-B37E-381CC44B72B6}">
  <sheetPr codeName="Hoja1" filterMode="1"/>
  <dimension ref="A1:W2992"/>
  <sheetViews>
    <sheetView zoomScaleNormal="100" workbookViewId="0">
      <pane ySplit="7" topLeftCell="A10" activePane="bottomLeft" state="frozen"/>
      <selection pane="bottomLeft" activeCell="W49" sqref="W49"/>
    </sheetView>
  </sheetViews>
  <sheetFormatPr defaultColWidth="7.140625" defaultRowHeight="15" outlineLevelCol="1"/>
  <cols>
    <col min="1" max="1" width="7.140625" style="3"/>
    <col min="2" max="6" width="2.140625" style="1" customWidth="1"/>
    <col min="7" max="7" width="14.140625" style="1" customWidth="1"/>
    <col min="8" max="8" width="11.5703125" style="2" bestFit="1" customWidth="1"/>
    <col min="9" max="9" width="9.42578125" style="36" customWidth="1"/>
    <col min="10" max="10" width="3" style="1" hidden="1" customWidth="1" outlineLevel="1"/>
    <col min="11" max="11" width="4.7109375" style="3" hidden="1" customWidth="1" outlineLevel="1"/>
    <col min="12" max="12" width="2" style="3" hidden="1" customWidth="1" outlineLevel="1"/>
    <col min="13" max="14" width="3" style="3" hidden="1" customWidth="1" outlineLevel="1"/>
    <col min="15" max="15" width="3" style="14" hidden="1" customWidth="1" outlineLevel="1"/>
    <col min="16" max="16" width="20" style="4" customWidth="1" collapsed="1"/>
    <col min="17" max="17" width="12.85546875" style="5" bestFit="1" customWidth="1"/>
    <col min="18" max="18" width="8.140625" style="6" hidden="1" customWidth="1" outlineLevel="1"/>
    <col min="19" max="19" width="12" style="5" hidden="1" customWidth="1" outlineLevel="1"/>
    <col min="20" max="20" width="67" style="5" customWidth="1" collapsed="1"/>
    <col min="21" max="22" width="11.85546875" style="3" customWidth="1"/>
    <col min="23" max="23" width="42.85546875" style="3" customWidth="1"/>
    <col min="24" max="16384" width="7.140625" style="3"/>
  </cols>
  <sheetData>
    <row r="1" spans="1:23">
      <c r="G1" s="14" t="s">
        <v>1060</v>
      </c>
      <c r="H1" s="1">
        <f>SUM(B:B)</f>
        <v>0</v>
      </c>
    </row>
    <row r="2" spans="1:23">
      <c r="G2" s="14" t="s">
        <v>1061</v>
      </c>
      <c r="H2" s="1">
        <f>SUM(C:C)</f>
        <v>515</v>
      </c>
    </row>
    <row r="3" spans="1:23">
      <c r="F3" s="14"/>
      <c r="G3" s="14" t="s">
        <v>1062</v>
      </c>
      <c r="H3" s="1">
        <f>SUM(D:D)</f>
        <v>2</v>
      </c>
    </row>
    <row r="4" spans="1:23">
      <c r="F4" s="14"/>
      <c r="G4" s="14" t="s">
        <v>1063</v>
      </c>
      <c r="H4" s="1">
        <f>SUM(E:E)</f>
        <v>76</v>
      </c>
    </row>
    <row r="5" spans="1:23">
      <c r="G5" s="14" t="s">
        <v>1064</v>
      </c>
      <c r="H5" s="1">
        <f>SUM(F:F)</f>
        <v>0</v>
      </c>
    </row>
    <row r="7" spans="1:23" s="43" customFormat="1">
      <c r="B7" s="1" t="s">
        <v>1060</v>
      </c>
      <c r="C7" s="1" t="s">
        <v>1061</v>
      </c>
      <c r="D7" s="1" t="s">
        <v>1062</v>
      </c>
      <c r="E7" s="1" t="s">
        <v>1063</v>
      </c>
      <c r="F7" s="1" t="s">
        <v>1064</v>
      </c>
      <c r="G7" s="44" t="s">
        <v>10</v>
      </c>
      <c r="H7" s="45" t="s">
        <v>9</v>
      </c>
      <c r="I7" s="46" t="s">
        <v>11</v>
      </c>
      <c r="J7" s="47"/>
      <c r="K7" s="45"/>
      <c r="L7" s="45"/>
      <c r="M7" s="45"/>
      <c r="N7" s="45"/>
      <c r="O7" s="48"/>
      <c r="P7" s="45" t="s">
        <v>6</v>
      </c>
      <c r="Q7" s="45" t="s">
        <v>7</v>
      </c>
      <c r="R7" s="49" t="s">
        <v>232</v>
      </c>
      <c r="S7" s="131" t="s">
        <v>233</v>
      </c>
      <c r="T7" s="45" t="s">
        <v>8</v>
      </c>
      <c r="U7" s="43" t="s">
        <v>0</v>
      </c>
      <c r="W7" s="45" t="s">
        <v>19</v>
      </c>
    </row>
    <row r="8" spans="1:23" hidden="1">
      <c r="J8" s="1" t="str">
        <f>+IF(I8&lt;10,_xlfn.CONCAT("0",I8),I8)</f>
        <v>0</v>
      </c>
      <c r="K8" s="3">
        <f>+YEAR(H8)-2000</f>
        <v>-100</v>
      </c>
      <c r="L8" s="3">
        <f>+MONTH(H8)</f>
        <v>1</v>
      </c>
      <c r="M8" s="3">
        <f>+DAY(H8)</f>
        <v>0</v>
      </c>
      <c r="N8" s="3" t="str">
        <f t="shared" ref="N8:O9" si="0">+IF(L8&lt;10,_xlfn.CONCAT("0",L8),L8)</f>
        <v>01</v>
      </c>
      <c r="O8" s="14" t="str">
        <f t="shared" si="0"/>
        <v>00</v>
      </c>
    </row>
    <row r="9" spans="1:23" hidden="1">
      <c r="J9" s="1" t="str">
        <f>+IF(I9&lt;10,_xlfn.CONCAT("0",I9),I9)</f>
        <v>0</v>
      </c>
      <c r="K9" s="3">
        <f>+YEAR(H9)-2000</f>
        <v>-100</v>
      </c>
      <c r="L9" s="3">
        <f>+MONTH(H9)</f>
        <v>1</v>
      </c>
      <c r="M9" s="3">
        <f>+DAY(H9)</f>
        <v>0</v>
      </c>
      <c r="N9" s="3" t="str">
        <f t="shared" si="0"/>
        <v>01</v>
      </c>
      <c r="O9" s="14" t="str">
        <f t="shared" si="0"/>
        <v>00</v>
      </c>
    </row>
    <row r="10" spans="1:23">
      <c r="P10" s="45">
        <f>SUM(P1:P9)</f>
        <v>0</v>
      </c>
      <c r="Q10" s="5">
        <f>SUM(Q1:Q9)</f>
        <v>0</v>
      </c>
      <c r="R10" s="45">
        <f>SUM(R1:R9)</f>
        <v>0</v>
      </c>
      <c r="S10" s="45">
        <f>SUM(S1:S9)</f>
        <v>0</v>
      </c>
      <c r="V10" s="3" t="s">
        <v>4</v>
      </c>
    </row>
    <row r="11" spans="1:23">
      <c r="A11" s="3">
        <v>519</v>
      </c>
      <c r="B11" s="1">
        <f>IF(G11="-",0,IF(G10=G11,1,0))</f>
        <v>0</v>
      </c>
      <c r="C11" s="1">
        <f>+IF(G11="-",0,IF(I11=I10+1,0,(IF(I11=1,0,1))))</f>
        <v>1</v>
      </c>
      <c r="D11" s="1">
        <f>+IF(AND(P11="",Q11=""),1,0)</f>
        <v>0</v>
      </c>
      <c r="E11" s="1">
        <f>IF(U11="",1,0)</f>
        <v>0</v>
      </c>
      <c r="F11" s="1">
        <f>IF(V11="",1,0)</f>
        <v>0</v>
      </c>
      <c r="G11" s="1" t="str">
        <f>IF(H11=0,"-",_xlfn.CONCAT(K11,N11,O11,J11))</f>
        <v>24051414</v>
      </c>
      <c r="H11" s="2">
        <v>45426</v>
      </c>
      <c r="I11" s="36">
        <v>14</v>
      </c>
      <c r="J11" s="1">
        <f>+IF(I11&lt;10,_xlfn.CONCAT("0",I11),I11)</f>
        <v>14</v>
      </c>
      <c r="K11" s="3">
        <f>+YEAR(H11)-2000</f>
        <v>24</v>
      </c>
      <c r="L11" s="3">
        <f>+MONTH(H11)</f>
        <v>5</v>
      </c>
      <c r="M11" s="3">
        <f>+DAY(H11)</f>
        <v>14</v>
      </c>
      <c r="N11" s="3" t="str">
        <f>+IF(L11&lt;10,_xlfn.CONCAT("0",L11),L11)</f>
        <v>05</v>
      </c>
      <c r="O11" s="14">
        <f>+IF(M11&lt;10,_xlfn.CONCAT("0",M11),M11)</f>
        <v>14</v>
      </c>
      <c r="Q11" s="5">
        <v>131436</v>
      </c>
      <c r="T11" s="5" t="s">
        <v>175</v>
      </c>
      <c r="U11" s="3" t="s">
        <v>2</v>
      </c>
      <c r="V11" s="3" t="s">
        <v>4</v>
      </c>
    </row>
    <row r="12" spans="1:23" hidden="1"/>
    <row r="13" spans="1:23" hidden="1"/>
    <row r="14" spans="1:23" hidden="1">
      <c r="J14" s="1" t="str">
        <f t="shared" ref="J14:J77" si="1">+IF(I14&lt;10,_xlfn.CONCAT("0",I14),I14)</f>
        <v>0</v>
      </c>
      <c r="K14" s="3">
        <f t="shared" ref="K14:K77" si="2">+YEAR(H14)-2000</f>
        <v>-100</v>
      </c>
      <c r="L14" s="3">
        <f t="shared" ref="L14:L77" si="3">+MONTH(H14)</f>
        <v>1</v>
      </c>
      <c r="M14" s="3">
        <f t="shared" ref="M14:M77" si="4">+DAY(H14)</f>
        <v>0</v>
      </c>
      <c r="N14" s="3" t="str">
        <f t="shared" ref="N14:N77" si="5">+IF(L14&lt;10,_xlfn.CONCAT("0",L14),L14)</f>
        <v>01</v>
      </c>
      <c r="O14" s="14" t="str">
        <f t="shared" ref="O14:O77" si="6">+IF(M14&lt;10,_xlfn.CONCAT("0",M14),M14)</f>
        <v>00</v>
      </c>
    </row>
    <row r="15" spans="1:23" hidden="1">
      <c r="J15" s="1" t="str">
        <f t="shared" si="1"/>
        <v>0</v>
      </c>
      <c r="K15" s="3">
        <f t="shared" si="2"/>
        <v>-100</v>
      </c>
      <c r="L15" s="3">
        <f t="shared" si="3"/>
        <v>1</v>
      </c>
      <c r="M15" s="3">
        <f t="shared" si="4"/>
        <v>0</v>
      </c>
      <c r="N15" s="3" t="str">
        <f t="shared" si="5"/>
        <v>01</v>
      </c>
      <c r="O15" s="14" t="str">
        <f t="shared" si="6"/>
        <v>00</v>
      </c>
    </row>
    <row r="16" spans="1:23" hidden="1">
      <c r="J16" s="1" t="str">
        <f t="shared" si="1"/>
        <v>0</v>
      </c>
      <c r="K16" s="3">
        <f t="shared" si="2"/>
        <v>-100</v>
      </c>
      <c r="L16" s="3">
        <f t="shared" si="3"/>
        <v>1</v>
      </c>
      <c r="M16" s="3">
        <f t="shared" si="4"/>
        <v>0</v>
      </c>
      <c r="N16" s="3" t="str">
        <f t="shared" si="5"/>
        <v>01</v>
      </c>
      <c r="O16" s="14" t="str">
        <f t="shared" si="6"/>
        <v>00</v>
      </c>
    </row>
    <row r="17" spans="1:23" hidden="1">
      <c r="J17" s="1" t="str">
        <f t="shared" si="1"/>
        <v>0</v>
      </c>
      <c r="K17" s="3">
        <f t="shared" si="2"/>
        <v>-100</v>
      </c>
      <c r="L17" s="3">
        <f t="shared" si="3"/>
        <v>1</v>
      </c>
      <c r="M17" s="3">
        <f t="shared" si="4"/>
        <v>0</v>
      </c>
      <c r="N17" s="3" t="str">
        <f t="shared" si="5"/>
        <v>01</v>
      </c>
      <c r="O17" s="14" t="str">
        <f t="shared" si="6"/>
        <v>00</v>
      </c>
    </row>
    <row r="18" spans="1:23">
      <c r="A18" s="3">
        <v>295</v>
      </c>
      <c r="B18" s="1">
        <f>IF(G18="-",0,IF(G17=G18,1,0))</f>
        <v>0</v>
      </c>
      <c r="C18" s="1">
        <f>+IF(G18="-",0,IF(I18=I17+1,0,(IF(I18=1,0,1))))</f>
        <v>1</v>
      </c>
      <c r="D18" s="1">
        <f>+IF(AND(P18="",Q18=""),1,0)</f>
        <v>0</v>
      </c>
      <c r="E18" s="1">
        <f>IF(U18="",1,0)</f>
        <v>0</v>
      </c>
      <c r="F18" s="1">
        <f>IF(V18="",1,0)</f>
        <v>0</v>
      </c>
      <c r="G18" s="1" t="str">
        <f>IF(H18=0,"-",_xlfn.CONCAT(K18,N18,O18,J18))</f>
        <v>24042602</v>
      </c>
      <c r="H18" s="2">
        <v>45408</v>
      </c>
      <c r="I18" s="36">
        <v>2</v>
      </c>
      <c r="J18" s="1" t="str">
        <f t="shared" si="1"/>
        <v>02</v>
      </c>
      <c r="K18" s="3">
        <f t="shared" si="2"/>
        <v>24</v>
      </c>
      <c r="L18" s="3">
        <f t="shared" si="3"/>
        <v>4</v>
      </c>
      <c r="M18" s="3">
        <f t="shared" si="4"/>
        <v>26</v>
      </c>
      <c r="N18" s="3" t="str">
        <f t="shared" si="5"/>
        <v>04</v>
      </c>
      <c r="O18" s="14">
        <f t="shared" si="6"/>
        <v>26</v>
      </c>
      <c r="Q18" s="5">
        <v>16588.75</v>
      </c>
      <c r="T18" s="5" t="s">
        <v>695</v>
      </c>
      <c r="U18" s="3" t="s">
        <v>1</v>
      </c>
      <c r="V18" s="3" t="s">
        <v>4</v>
      </c>
    </row>
    <row r="19" spans="1:23" hidden="1">
      <c r="J19" s="1" t="str">
        <f t="shared" si="1"/>
        <v>0</v>
      </c>
      <c r="K19" s="3">
        <f t="shared" si="2"/>
        <v>-100</v>
      </c>
      <c r="L19" s="3">
        <f t="shared" si="3"/>
        <v>1</v>
      </c>
      <c r="M19" s="3">
        <f t="shared" si="4"/>
        <v>0</v>
      </c>
      <c r="N19" s="3" t="str">
        <f t="shared" si="5"/>
        <v>01</v>
      </c>
      <c r="O19" s="14" t="str">
        <f t="shared" si="6"/>
        <v>00</v>
      </c>
    </row>
    <row r="20" spans="1:23" hidden="1">
      <c r="J20" s="1" t="str">
        <f t="shared" si="1"/>
        <v>0</v>
      </c>
      <c r="K20" s="3">
        <f t="shared" si="2"/>
        <v>-100</v>
      </c>
      <c r="L20" s="3">
        <f t="shared" si="3"/>
        <v>1</v>
      </c>
      <c r="M20" s="3">
        <f t="shared" si="4"/>
        <v>0</v>
      </c>
      <c r="N20" s="3" t="str">
        <f t="shared" si="5"/>
        <v>01</v>
      </c>
      <c r="O20" s="14" t="str">
        <f t="shared" si="6"/>
        <v>00</v>
      </c>
    </row>
    <row r="21" spans="1:23" hidden="1">
      <c r="J21" s="1" t="str">
        <f t="shared" si="1"/>
        <v>0</v>
      </c>
      <c r="K21" s="3">
        <f t="shared" si="2"/>
        <v>-100</v>
      </c>
      <c r="L21" s="3">
        <f t="shared" si="3"/>
        <v>1</v>
      </c>
      <c r="M21" s="3">
        <f t="shared" si="4"/>
        <v>0</v>
      </c>
      <c r="N21" s="3" t="str">
        <f t="shared" si="5"/>
        <v>01</v>
      </c>
      <c r="O21" s="14" t="str">
        <f t="shared" si="6"/>
        <v>00</v>
      </c>
    </row>
    <row r="22" spans="1:23" hidden="1">
      <c r="J22" s="1" t="str">
        <f t="shared" si="1"/>
        <v>0</v>
      </c>
      <c r="K22" s="3">
        <f t="shared" si="2"/>
        <v>-100</v>
      </c>
      <c r="L22" s="3">
        <f t="shared" si="3"/>
        <v>1</v>
      </c>
      <c r="M22" s="3">
        <f t="shared" si="4"/>
        <v>0</v>
      </c>
      <c r="N22" s="3" t="str">
        <f t="shared" si="5"/>
        <v>01</v>
      </c>
      <c r="O22" s="14" t="str">
        <f t="shared" si="6"/>
        <v>00</v>
      </c>
    </row>
    <row r="23" spans="1:23" hidden="1">
      <c r="J23" s="1" t="str">
        <f t="shared" si="1"/>
        <v>0</v>
      </c>
      <c r="K23" s="3">
        <f t="shared" si="2"/>
        <v>-100</v>
      </c>
      <c r="L23" s="3">
        <f t="shared" si="3"/>
        <v>1</v>
      </c>
      <c r="M23" s="3">
        <f t="shared" si="4"/>
        <v>0</v>
      </c>
      <c r="N23" s="3" t="str">
        <f t="shared" si="5"/>
        <v>01</v>
      </c>
      <c r="O23" s="14" t="str">
        <f t="shared" si="6"/>
        <v>00</v>
      </c>
    </row>
    <row r="24" spans="1:23" hidden="1">
      <c r="J24" s="1" t="str">
        <f t="shared" si="1"/>
        <v>0</v>
      </c>
      <c r="K24" s="3">
        <f t="shared" si="2"/>
        <v>-100</v>
      </c>
      <c r="L24" s="3">
        <f t="shared" si="3"/>
        <v>1</v>
      </c>
      <c r="M24" s="3">
        <f t="shared" si="4"/>
        <v>0</v>
      </c>
      <c r="N24" s="3" t="str">
        <f t="shared" si="5"/>
        <v>01</v>
      </c>
      <c r="O24" s="14" t="str">
        <f t="shared" si="6"/>
        <v>00</v>
      </c>
    </row>
    <row r="25" spans="1:23" hidden="1">
      <c r="J25" s="1" t="str">
        <f t="shared" si="1"/>
        <v>0</v>
      </c>
      <c r="K25" s="3">
        <f t="shared" si="2"/>
        <v>-100</v>
      </c>
      <c r="L25" s="3">
        <f t="shared" si="3"/>
        <v>1</v>
      </c>
      <c r="M25" s="3">
        <f t="shared" si="4"/>
        <v>0</v>
      </c>
      <c r="N25" s="3" t="str">
        <f t="shared" si="5"/>
        <v>01</v>
      </c>
      <c r="O25" s="14" t="str">
        <f t="shared" si="6"/>
        <v>00</v>
      </c>
    </row>
    <row r="26" spans="1:23">
      <c r="A26" s="3">
        <v>437</v>
      </c>
      <c r="B26" s="1">
        <f>IF(G26="-",0,IF(G25=G26,1,0))</f>
        <v>0</v>
      </c>
      <c r="C26" s="1">
        <f>+IF(G26="-",0,IF(I26=I25+1,0,(IF(I26=1,0,1))))</f>
        <v>1</v>
      </c>
      <c r="D26" s="1">
        <f>+IF(AND(P26="",Q26=""),1,0)</f>
        <v>0</v>
      </c>
      <c r="E26" s="1">
        <f>IF(U26="",1,0)</f>
        <v>0</v>
      </c>
      <c r="F26" s="1">
        <f>IF(V26="",1,0)</f>
        <v>0</v>
      </c>
      <c r="G26" s="52" t="str">
        <f>IF(H26=0,"-",_xlfn.CONCAT(K26,N26,O26,J26))</f>
        <v>24050904</v>
      </c>
      <c r="H26" s="9">
        <v>45421</v>
      </c>
      <c r="I26" s="36">
        <v>4</v>
      </c>
      <c r="J26" s="1" t="str">
        <f t="shared" si="1"/>
        <v>04</v>
      </c>
      <c r="K26" s="3">
        <f t="shared" si="2"/>
        <v>24</v>
      </c>
      <c r="L26" s="3">
        <f t="shared" si="3"/>
        <v>5</v>
      </c>
      <c r="M26" s="3">
        <f t="shared" si="4"/>
        <v>9</v>
      </c>
      <c r="N26" s="3" t="str">
        <f t="shared" si="5"/>
        <v>05</v>
      </c>
      <c r="O26" s="14" t="str">
        <f t="shared" si="6"/>
        <v>09</v>
      </c>
      <c r="P26" s="11"/>
      <c r="Q26" s="12">
        <v>10637.71</v>
      </c>
      <c r="R26" s="13"/>
      <c r="S26" s="12"/>
      <c r="T26" s="12" t="s">
        <v>131</v>
      </c>
      <c r="U26" s="10" t="s">
        <v>3</v>
      </c>
      <c r="V26" s="10" t="s">
        <v>4</v>
      </c>
      <c r="W26" s="10"/>
    </row>
    <row r="27" spans="1:23" hidden="1">
      <c r="J27" s="1" t="str">
        <f t="shared" si="1"/>
        <v>0</v>
      </c>
      <c r="K27" s="3">
        <f t="shared" si="2"/>
        <v>-100</v>
      </c>
      <c r="L27" s="3">
        <f t="shared" si="3"/>
        <v>1</v>
      </c>
      <c r="M27" s="3">
        <f t="shared" si="4"/>
        <v>0</v>
      </c>
      <c r="N27" s="3" t="str">
        <f t="shared" si="5"/>
        <v>01</v>
      </c>
      <c r="O27" s="14" t="str">
        <f t="shared" si="6"/>
        <v>00</v>
      </c>
    </row>
    <row r="28" spans="1:23" hidden="1">
      <c r="J28" s="1" t="str">
        <f t="shared" si="1"/>
        <v>0</v>
      </c>
      <c r="K28" s="3">
        <f t="shared" si="2"/>
        <v>-100</v>
      </c>
      <c r="L28" s="3">
        <f t="shared" si="3"/>
        <v>1</v>
      </c>
      <c r="M28" s="3">
        <f t="shared" si="4"/>
        <v>0</v>
      </c>
      <c r="N28" s="3" t="str">
        <f t="shared" si="5"/>
        <v>01</v>
      </c>
      <c r="O28" s="14" t="str">
        <f t="shared" si="6"/>
        <v>00</v>
      </c>
    </row>
    <row r="29" spans="1:23" hidden="1">
      <c r="J29" s="1" t="str">
        <f t="shared" si="1"/>
        <v>0</v>
      </c>
      <c r="K29" s="3">
        <f t="shared" si="2"/>
        <v>-100</v>
      </c>
      <c r="L29" s="3">
        <f t="shared" si="3"/>
        <v>1</v>
      </c>
      <c r="M29" s="3">
        <f t="shared" si="4"/>
        <v>0</v>
      </c>
      <c r="N29" s="3" t="str">
        <f t="shared" si="5"/>
        <v>01</v>
      </c>
      <c r="O29" s="14" t="str">
        <f t="shared" si="6"/>
        <v>00</v>
      </c>
    </row>
    <row r="30" spans="1:23" hidden="1">
      <c r="J30" s="1" t="str">
        <f t="shared" si="1"/>
        <v>0</v>
      </c>
      <c r="K30" s="3">
        <f t="shared" si="2"/>
        <v>-100</v>
      </c>
      <c r="L30" s="3">
        <f t="shared" si="3"/>
        <v>1</v>
      </c>
      <c r="M30" s="3">
        <f t="shared" si="4"/>
        <v>0</v>
      </c>
      <c r="N30" s="3" t="str">
        <f t="shared" si="5"/>
        <v>01</v>
      </c>
      <c r="O30" s="14" t="str">
        <f t="shared" si="6"/>
        <v>00</v>
      </c>
    </row>
    <row r="31" spans="1:23" hidden="1">
      <c r="J31" s="1" t="str">
        <f t="shared" si="1"/>
        <v>0</v>
      </c>
      <c r="K31" s="3">
        <f t="shared" si="2"/>
        <v>-100</v>
      </c>
      <c r="L31" s="3">
        <f t="shared" si="3"/>
        <v>1</v>
      </c>
      <c r="M31" s="3">
        <f t="shared" si="4"/>
        <v>0</v>
      </c>
      <c r="N31" s="3" t="str">
        <f t="shared" si="5"/>
        <v>01</v>
      </c>
      <c r="O31" s="14" t="str">
        <f t="shared" si="6"/>
        <v>00</v>
      </c>
    </row>
    <row r="32" spans="1:23" hidden="1">
      <c r="J32" s="1" t="str">
        <f t="shared" si="1"/>
        <v>0</v>
      </c>
      <c r="K32" s="3">
        <f t="shared" si="2"/>
        <v>-100</v>
      </c>
      <c r="L32" s="3">
        <f t="shared" si="3"/>
        <v>1</v>
      </c>
      <c r="M32" s="3">
        <f t="shared" si="4"/>
        <v>0</v>
      </c>
      <c r="N32" s="3" t="str">
        <f t="shared" si="5"/>
        <v>01</v>
      </c>
      <c r="O32" s="14" t="str">
        <f t="shared" si="6"/>
        <v>00</v>
      </c>
    </row>
    <row r="33" spans="1:23" hidden="1">
      <c r="J33" s="1" t="str">
        <f t="shared" si="1"/>
        <v>0</v>
      </c>
      <c r="K33" s="3">
        <f t="shared" si="2"/>
        <v>-100</v>
      </c>
      <c r="L33" s="3">
        <f t="shared" si="3"/>
        <v>1</v>
      </c>
      <c r="M33" s="3">
        <f t="shared" si="4"/>
        <v>0</v>
      </c>
      <c r="N33" s="3" t="str">
        <f t="shared" si="5"/>
        <v>01</v>
      </c>
      <c r="O33" s="14" t="str">
        <f t="shared" si="6"/>
        <v>00</v>
      </c>
    </row>
    <row r="34" spans="1:23" hidden="1">
      <c r="J34" s="1" t="str">
        <f t="shared" si="1"/>
        <v>0</v>
      </c>
      <c r="K34" s="3">
        <f t="shared" si="2"/>
        <v>-100</v>
      </c>
      <c r="L34" s="3">
        <f t="shared" si="3"/>
        <v>1</v>
      </c>
      <c r="M34" s="3">
        <f t="shared" si="4"/>
        <v>0</v>
      </c>
      <c r="N34" s="3" t="str">
        <f t="shared" si="5"/>
        <v>01</v>
      </c>
      <c r="O34" s="14" t="str">
        <f t="shared" si="6"/>
        <v>00</v>
      </c>
    </row>
    <row r="35" spans="1:23" hidden="1">
      <c r="J35" s="1" t="str">
        <f t="shared" si="1"/>
        <v>0</v>
      </c>
      <c r="K35" s="3">
        <f t="shared" si="2"/>
        <v>-100</v>
      </c>
      <c r="L35" s="3">
        <f t="shared" si="3"/>
        <v>1</v>
      </c>
      <c r="M35" s="3">
        <f t="shared" si="4"/>
        <v>0</v>
      </c>
      <c r="N35" s="3" t="str">
        <f t="shared" si="5"/>
        <v>01</v>
      </c>
      <c r="O35" s="14" t="str">
        <f t="shared" si="6"/>
        <v>00</v>
      </c>
    </row>
    <row r="36" spans="1:23" hidden="1">
      <c r="J36" s="1" t="str">
        <f t="shared" si="1"/>
        <v>0</v>
      </c>
      <c r="K36" s="3">
        <f t="shared" si="2"/>
        <v>-100</v>
      </c>
      <c r="L36" s="3">
        <f t="shared" si="3"/>
        <v>1</v>
      </c>
      <c r="M36" s="3">
        <f t="shared" si="4"/>
        <v>0</v>
      </c>
      <c r="N36" s="3" t="str">
        <f t="shared" si="5"/>
        <v>01</v>
      </c>
      <c r="O36" s="14" t="str">
        <f t="shared" si="6"/>
        <v>00</v>
      </c>
    </row>
    <row r="37" spans="1:23" hidden="1">
      <c r="J37" s="1" t="str">
        <f t="shared" si="1"/>
        <v>0</v>
      </c>
      <c r="K37" s="3">
        <f t="shared" si="2"/>
        <v>-100</v>
      </c>
      <c r="L37" s="3">
        <f t="shared" si="3"/>
        <v>1</v>
      </c>
      <c r="M37" s="3">
        <f t="shared" si="4"/>
        <v>0</v>
      </c>
      <c r="N37" s="3" t="str">
        <f t="shared" si="5"/>
        <v>01</v>
      </c>
      <c r="O37" s="14" t="str">
        <f t="shared" si="6"/>
        <v>00</v>
      </c>
    </row>
    <row r="38" spans="1:23" hidden="1">
      <c r="J38" s="1" t="str">
        <f t="shared" si="1"/>
        <v>0</v>
      </c>
      <c r="K38" s="3">
        <f t="shared" si="2"/>
        <v>-100</v>
      </c>
      <c r="L38" s="3">
        <f t="shared" si="3"/>
        <v>1</v>
      </c>
      <c r="M38" s="3">
        <f t="shared" si="4"/>
        <v>0</v>
      </c>
      <c r="N38" s="3" t="str">
        <f t="shared" si="5"/>
        <v>01</v>
      </c>
      <c r="O38" s="14" t="str">
        <f t="shared" si="6"/>
        <v>00</v>
      </c>
    </row>
    <row r="39" spans="1:23" hidden="1">
      <c r="J39" s="1" t="str">
        <f t="shared" si="1"/>
        <v>0</v>
      </c>
      <c r="K39" s="3">
        <f t="shared" si="2"/>
        <v>-100</v>
      </c>
      <c r="L39" s="3">
        <f t="shared" si="3"/>
        <v>1</v>
      </c>
      <c r="M39" s="3">
        <f t="shared" si="4"/>
        <v>0</v>
      </c>
      <c r="N39" s="3" t="str">
        <f t="shared" si="5"/>
        <v>01</v>
      </c>
      <c r="O39" s="14" t="str">
        <f t="shared" si="6"/>
        <v>00</v>
      </c>
    </row>
    <row r="40" spans="1:23" hidden="1">
      <c r="J40" s="1" t="str">
        <f t="shared" si="1"/>
        <v>0</v>
      </c>
      <c r="K40" s="3">
        <f t="shared" si="2"/>
        <v>-100</v>
      </c>
      <c r="L40" s="3">
        <f t="shared" si="3"/>
        <v>1</v>
      </c>
      <c r="M40" s="3">
        <f t="shared" si="4"/>
        <v>0</v>
      </c>
      <c r="N40" s="3" t="str">
        <f t="shared" si="5"/>
        <v>01</v>
      </c>
      <c r="O40" s="14" t="str">
        <f t="shared" si="6"/>
        <v>00</v>
      </c>
    </row>
    <row r="41" spans="1:23">
      <c r="A41" s="3">
        <v>736</v>
      </c>
      <c r="B41" s="1">
        <f>IF(G41="-",0,IF(G39=G41,1,0))</f>
        <v>0</v>
      </c>
      <c r="C41" s="1">
        <f>+IF(G41="-",0,IF(I41=I39+1,0,(IF(I41=1,0,1))))</f>
        <v>1</v>
      </c>
      <c r="D41" s="1">
        <f t="shared" ref="D41:D51" si="7">+IF(AND(P41="",Q41=""),1,0)</f>
        <v>0</v>
      </c>
      <c r="E41" s="1">
        <f t="shared" ref="E41:E51" si="8">IF(U41="",1,0)</f>
        <v>0</v>
      </c>
      <c r="F41" s="1">
        <f t="shared" ref="F41:F51" si="9">IF(V41="",1,0)</f>
        <v>0</v>
      </c>
      <c r="G41" s="1" t="str">
        <f t="shared" ref="G41:G51" si="10">IF(H41=0,"-",_xlfn.CONCAT(K41,N41,O41,J41))</f>
        <v>24060303</v>
      </c>
      <c r="H41" s="2">
        <v>45446</v>
      </c>
      <c r="I41" s="36">
        <v>3</v>
      </c>
      <c r="J41" s="1" t="str">
        <f t="shared" si="1"/>
        <v>03</v>
      </c>
      <c r="K41" s="3">
        <f t="shared" si="2"/>
        <v>24</v>
      </c>
      <c r="L41" s="3">
        <f t="shared" si="3"/>
        <v>6</v>
      </c>
      <c r="M41" s="3">
        <f t="shared" si="4"/>
        <v>3</v>
      </c>
      <c r="N41" s="3" t="str">
        <f t="shared" si="5"/>
        <v>06</v>
      </c>
      <c r="O41" s="14" t="str">
        <f t="shared" si="6"/>
        <v>03</v>
      </c>
      <c r="Q41" s="5">
        <v>7327.5</v>
      </c>
      <c r="S41" s="5" t="str">
        <f>IFERROR(P41/R41,"")</f>
        <v/>
      </c>
      <c r="T41" s="5" t="s">
        <v>251</v>
      </c>
      <c r="U41" s="3" t="s">
        <v>3</v>
      </c>
      <c r="V41" s="3" t="s">
        <v>4</v>
      </c>
    </row>
    <row r="42" spans="1:23">
      <c r="A42" s="3">
        <v>134</v>
      </c>
      <c r="B42" s="1">
        <f>IF(G42="-",0,IF(G41=G42,1,0))</f>
        <v>0</v>
      </c>
      <c r="C42" s="1">
        <f>+IF(G42="-",0,IF(I42=I41+1,0,(IF(I42=1,0,1))))</f>
        <v>0</v>
      </c>
      <c r="D42" s="1">
        <f t="shared" si="7"/>
        <v>0</v>
      </c>
      <c r="E42" s="1">
        <f t="shared" si="8"/>
        <v>0</v>
      </c>
      <c r="F42" s="1">
        <f t="shared" si="9"/>
        <v>0</v>
      </c>
      <c r="G42" s="1" t="str">
        <f t="shared" si="10"/>
        <v>24041001</v>
      </c>
      <c r="H42" s="2">
        <v>45392</v>
      </c>
      <c r="I42" s="36">
        <v>1</v>
      </c>
      <c r="J42" s="1" t="str">
        <f t="shared" si="1"/>
        <v>01</v>
      </c>
      <c r="K42" s="3">
        <f t="shared" si="2"/>
        <v>24</v>
      </c>
      <c r="L42" s="3">
        <f t="shared" si="3"/>
        <v>4</v>
      </c>
      <c r="M42" s="3">
        <f t="shared" si="4"/>
        <v>10</v>
      </c>
      <c r="N42" s="3" t="str">
        <f t="shared" si="5"/>
        <v>04</v>
      </c>
      <c r="O42" s="14">
        <f t="shared" si="6"/>
        <v>10</v>
      </c>
      <c r="Q42" s="5">
        <f>10109.83*0.7</f>
        <v>7076.8809999999994</v>
      </c>
      <c r="T42" s="5" t="s">
        <v>1194</v>
      </c>
      <c r="U42" s="3" t="s">
        <v>2</v>
      </c>
      <c r="V42" s="3" t="s">
        <v>4</v>
      </c>
    </row>
    <row r="43" spans="1:23">
      <c r="A43" s="3">
        <v>199</v>
      </c>
      <c r="B43" s="1">
        <f>IF(G43="-",0,IF(G42=G43,1,0))</f>
        <v>0</v>
      </c>
      <c r="C43" s="1">
        <f>+IF(G43="-",0,IF(I43=I42+1,0,(IF(I43=1,0,1))))</f>
        <v>1</v>
      </c>
      <c r="D43" s="1">
        <f t="shared" si="7"/>
        <v>0</v>
      </c>
      <c r="E43" s="1">
        <f t="shared" si="8"/>
        <v>0</v>
      </c>
      <c r="F43" s="1">
        <f t="shared" si="9"/>
        <v>0</v>
      </c>
      <c r="G43" s="1" t="str">
        <f t="shared" si="10"/>
        <v>24041606</v>
      </c>
      <c r="H43" s="2">
        <v>45398</v>
      </c>
      <c r="I43" s="1">
        <v>6</v>
      </c>
      <c r="J43" s="1" t="str">
        <f t="shared" si="1"/>
        <v>06</v>
      </c>
      <c r="K43" s="3">
        <f t="shared" si="2"/>
        <v>24</v>
      </c>
      <c r="L43" s="3">
        <f t="shared" si="3"/>
        <v>4</v>
      </c>
      <c r="M43" s="3">
        <f t="shared" si="4"/>
        <v>16</v>
      </c>
      <c r="N43" s="3" t="str">
        <f t="shared" si="5"/>
        <v>04</v>
      </c>
      <c r="O43" s="14">
        <f t="shared" si="6"/>
        <v>16</v>
      </c>
      <c r="Q43" s="5">
        <v>5796.9</v>
      </c>
      <c r="T43" s="5" t="s">
        <v>186</v>
      </c>
      <c r="U43" s="3" t="s">
        <v>3</v>
      </c>
      <c r="V43" s="3" t="s">
        <v>4</v>
      </c>
    </row>
    <row r="44" spans="1:23">
      <c r="A44" s="3">
        <v>2904</v>
      </c>
      <c r="B44" s="1">
        <f>IF(G44="-",0,IF(G43=G44,1,0))</f>
        <v>0</v>
      </c>
      <c r="C44" s="1">
        <f>+IF(G44="-",0,IF(I44=I43+1,0,(IF(I44=1,0,1))))</f>
        <v>1</v>
      </c>
      <c r="D44" s="1">
        <f t="shared" si="7"/>
        <v>0</v>
      </c>
      <c r="E44" s="1">
        <f t="shared" si="8"/>
        <v>0</v>
      </c>
      <c r="F44" s="1">
        <f t="shared" si="9"/>
        <v>0</v>
      </c>
      <c r="G44" s="1" t="str">
        <f t="shared" si="10"/>
        <v>24121909</v>
      </c>
      <c r="H44" s="2">
        <v>45645</v>
      </c>
      <c r="I44" s="36">
        <v>9</v>
      </c>
      <c r="J44" s="1" t="str">
        <f t="shared" si="1"/>
        <v>09</v>
      </c>
      <c r="K44" s="3">
        <f t="shared" si="2"/>
        <v>24</v>
      </c>
      <c r="L44" s="3">
        <f t="shared" si="3"/>
        <v>12</v>
      </c>
      <c r="M44" s="3">
        <f t="shared" si="4"/>
        <v>19</v>
      </c>
      <c r="N44" s="3">
        <f t="shared" si="5"/>
        <v>12</v>
      </c>
      <c r="O44" s="14">
        <f t="shared" si="6"/>
        <v>19</v>
      </c>
      <c r="Q44" s="5">
        <v>5714.65</v>
      </c>
      <c r="T44" s="5" t="s">
        <v>1280</v>
      </c>
      <c r="U44" s="3" t="s">
        <v>2</v>
      </c>
      <c r="V44" s="3" t="s">
        <v>4</v>
      </c>
    </row>
    <row r="45" spans="1:23">
      <c r="A45" s="3">
        <v>1105</v>
      </c>
      <c r="B45" s="1">
        <f>IF(G45="-",0,IF(G43=G45,1,0))</f>
        <v>0</v>
      </c>
      <c r="C45" s="1">
        <f>+IF(G45="-",0,IF(I45=I43+1,0,(IF(I45=1,0,1))))</f>
        <v>1</v>
      </c>
      <c r="D45" s="1">
        <f t="shared" si="7"/>
        <v>0</v>
      </c>
      <c r="E45" s="1">
        <f t="shared" si="8"/>
        <v>0</v>
      </c>
      <c r="F45" s="1">
        <f t="shared" si="9"/>
        <v>0</v>
      </c>
      <c r="G45" s="1" t="str">
        <f t="shared" si="10"/>
        <v>24070413</v>
      </c>
      <c r="H45" s="2">
        <v>45477</v>
      </c>
      <c r="I45" s="36">
        <v>13</v>
      </c>
      <c r="J45" s="1">
        <f t="shared" si="1"/>
        <v>13</v>
      </c>
      <c r="K45" s="3">
        <f t="shared" si="2"/>
        <v>24</v>
      </c>
      <c r="L45" s="3">
        <f t="shared" si="3"/>
        <v>7</v>
      </c>
      <c r="M45" s="3">
        <f t="shared" si="4"/>
        <v>4</v>
      </c>
      <c r="N45" s="3" t="str">
        <f t="shared" si="5"/>
        <v>07</v>
      </c>
      <c r="O45" s="14" t="str">
        <f t="shared" si="6"/>
        <v>04</v>
      </c>
      <c r="Q45" s="5">
        <v>5058</v>
      </c>
      <c r="R45" s="6">
        <v>519</v>
      </c>
      <c r="S45" s="5">
        <f>IFERROR(P45/R45,"")</f>
        <v>0</v>
      </c>
      <c r="T45" s="5" t="s">
        <v>422</v>
      </c>
      <c r="U45" s="3" t="s">
        <v>3</v>
      </c>
      <c r="V45" s="3" t="s">
        <v>4</v>
      </c>
      <c r="W45" s="3" t="s">
        <v>252</v>
      </c>
    </row>
    <row r="46" spans="1:23">
      <c r="A46" s="3">
        <v>937</v>
      </c>
      <c r="B46" s="1">
        <f>IF(G46="-",0,IF(G45=G46,1,0))</f>
        <v>0</v>
      </c>
      <c r="C46" s="1">
        <f>+IF(G46="-",0,IF(I46=I45+1,0,(IF(I46=1,0,1))))</f>
        <v>1</v>
      </c>
      <c r="D46" s="1">
        <f t="shared" si="7"/>
        <v>0</v>
      </c>
      <c r="E46" s="1">
        <f t="shared" si="8"/>
        <v>0</v>
      </c>
      <c r="F46" s="1">
        <f t="shared" si="9"/>
        <v>0</v>
      </c>
      <c r="G46" s="1" t="str">
        <f t="shared" si="10"/>
        <v>24062103</v>
      </c>
      <c r="H46" s="2">
        <v>45464</v>
      </c>
      <c r="I46" s="36">
        <v>3</v>
      </c>
      <c r="J46" s="1" t="str">
        <f t="shared" si="1"/>
        <v>03</v>
      </c>
      <c r="K46" s="3">
        <f t="shared" si="2"/>
        <v>24</v>
      </c>
      <c r="L46" s="3">
        <f t="shared" si="3"/>
        <v>6</v>
      </c>
      <c r="M46" s="3">
        <f t="shared" si="4"/>
        <v>21</v>
      </c>
      <c r="N46" s="3" t="str">
        <f t="shared" si="5"/>
        <v>06</v>
      </c>
      <c r="O46" s="14">
        <f t="shared" si="6"/>
        <v>21</v>
      </c>
      <c r="Q46" s="5">
        <v>4671.43</v>
      </c>
      <c r="S46" s="5" t="str">
        <f>IFERROR(P46/R46,"")</f>
        <v/>
      </c>
      <c r="T46" s="5" t="s">
        <v>349</v>
      </c>
      <c r="U46" s="3" t="s">
        <v>3</v>
      </c>
      <c r="V46" s="3" t="s">
        <v>4</v>
      </c>
    </row>
    <row r="47" spans="1:23">
      <c r="A47" s="3">
        <v>438</v>
      </c>
      <c r="B47" s="1">
        <f>IF(G47="-",0,IF(G46=G47,1,0))</f>
        <v>0</v>
      </c>
      <c r="C47" s="1">
        <f>+IF(G47="-",0,IF(I47=I46+1,0,(IF(I47=1,0,1))))</f>
        <v>1</v>
      </c>
      <c r="D47" s="1">
        <f t="shared" si="7"/>
        <v>0</v>
      </c>
      <c r="E47" s="1">
        <f t="shared" si="8"/>
        <v>0</v>
      </c>
      <c r="F47" s="1">
        <f t="shared" si="9"/>
        <v>0</v>
      </c>
      <c r="G47" s="52" t="str">
        <f t="shared" si="10"/>
        <v>24050905</v>
      </c>
      <c r="H47" s="9">
        <v>45421</v>
      </c>
      <c r="I47" s="36">
        <v>5</v>
      </c>
      <c r="J47" s="1" t="str">
        <f t="shared" si="1"/>
        <v>05</v>
      </c>
      <c r="K47" s="3">
        <f t="shared" si="2"/>
        <v>24</v>
      </c>
      <c r="L47" s="3">
        <f t="shared" si="3"/>
        <v>5</v>
      </c>
      <c r="M47" s="3">
        <f t="shared" si="4"/>
        <v>9</v>
      </c>
      <c r="N47" s="3" t="str">
        <f t="shared" si="5"/>
        <v>05</v>
      </c>
      <c r="O47" s="14" t="str">
        <f t="shared" si="6"/>
        <v>09</v>
      </c>
      <c r="P47" s="11"/>
      <c r="Q47" s="12">
        <v>4663.5</v>
      </c>
      <c r="R47" s="13"/>
      <c r="S47" s="12"/>
      <c r="T47" s="12" t="s">
        <v>129</v>
      </c>
      <c r="U47" s="10" t="s">
        <v>2</v>
      </c>
      <c r="V47" s="10" t="s">
        <v>4</v>
      </c>
      <c r="W47" s="10"/>
    </row>
    <row r="48" spans="1:23">
      <c r="A48" s="3">
        <v>466</v>
      </c>
      <c r="B48" s="1">
        <f>IF(G48="-",0,IF(G47=G48,1,0))</f>
        <v>0</v>
      </c>
      <c r="C48" s="1">
        <f>+IF(G48="-",0,IF(I48=I47+1,0,(IF(I48=1,0,1))))</f>
        <v>1</v>
      </c>
      <c r="D48" s="1">
        <f t="shared" si="7"/>
        <v>0</v>
      </c>
      <c r="E48" s="1">
        <f t="shared" si="8"/>
        <v>0</v>
      </c>
      <c r="F48" s="1">
        <f t="shared" si="9"/>
        <v>0</v>
      </c>
      <c r="G48" s="1" t="str">
        <f t="shared" si="10"/>
        <v>24051008</v>
      </c>
      <c r="H48" s="2">
        <v>45422</v>
      </c>
      <c r="I48" s="36">
        <v>8</v>
      </c>
      <c r="J48" s="1" t="str">
        <f t="shared" si="1"/>
        <v>08</v>
      </c>
      <c r="K48" s="3">
        <f t="shared" si="2"/>
        <v>24</v>
      </c>
      <c r="L48" s="3">
        <f t="shared" si="3"/>
        <v>5</v>
      </c>
      <c r="M48" s="3">
        <f t="shared" si="4"/>
        <v>10</v>
      </c>
      <c r="N48" s="3" t="str">
        <f t="shared" si="5"/>
        <v>05</v>
      </c>
      <c r="O48" s="14">
        <f t="shared" si="6"/>
        <v>10</v>
      </c>
      <c r="Q48" s="5">
        <v>4000</v>
      </c>
      <c r="T48" s="5" t="s">
        <v>149</v>
      </c>
      <c r="U48" s="3" t="s">
        <v>3</v>
      </c>
      <c r="V48" s="3" t="s">
        <v>4</v>
      </c>
    </row>
    <row r="49" spans="1:23">
      <c r="A49" s="3">
        <v>11</v>
      </c>
      <c r="B49" s="1">
        <f>IF(G49="-",0,IF(G48=G49,1,0))</f>
        <v>0</v>
      </c>
      <c r="C49" s="1">
        <f>+IF(G49="-",0,IF(I49=I48+1,0,(IF(I49=1,0,1))))</f>
        <v>1</v>
      </c>
      <c r="D49" s="1">
        <f t="shared" si="7"/>
        <v>0</v>
      </c>
      <c r="E49" s="1">
        <f t="shared" si="8"/>
        <v>0</v>
      </c>
      <c r="F49" s="1">
        <f t="shared" si="9"/>
        <v>0</v>
      </c>
      <c r="G49" s="1" t="str">
        <f t="shared" si="10"/>
        <v>24032705</v>
      </c>
      <c r="H49" s="2">
        <v>45378</v>
      </c>
      <c r="I49" s="36">
        <v>5</v>
      </c>
      <c r="J49" s="1" t="str">
        <f t="shared" si="1"/>
        <v>05</v>
      </c>
      <c r="K49" s="3">
        <f t="shared" si="2"/>
        <v>24</v>
      </c>
      <c r="L49" s="3">
        <f t="shared" si="3"/>
        <v>3</v>
      </c>
      <c r="M49" s="3">
        <f t="shared" si="4"/>
        <v>27</v>
      </c>
      <c r="N49" s="3" t="str">
        <f t="shared" si="5"/>
        <v>03</v>
      </c>
      <c r="O49" s="14">
        <f t="shared" si="6"/>
        <v>27</v>
      </c>
      <c r="Q49" s="5">
        <v>3861.59</v>
      </c>
      <c r="T49" s="5" t="s">
        <v>12</v>
      </c>
      <c r="U49" s="3" t="s">
        <v>3</v>
      </c>
      <c r="V49" s="3" t="s">
        <v>4</v>
      </c>
    </row>
    <row r="50" spans="1:23">
      <c r="A50" s="3">
        <v>1107</v>
      </c>
      <c r="B50" s="1">
        <f>IF(G50="-",0,IF(G48=G50,1,0))</f>
        <v>0</v>
      </c>
      <c r="C50" s="1">
        <f>+IF(G50="-",0,IF(I50=I48+1,0,(IF(I50=1,0,1))))</f>
        <v>1</v>
      </c>
      <c r="D50" s="1">
        <f t="shared" si="7"/>
        <v>0</v>
      </c>
      <c r="E50" s="1">
        <f t="shared" si="8"/>
        <v>0</v>
      </c>
      <c r="F50" s="1">
        <f t="shared" si="9"/>
        <v>0</v>
      </c>
      <c r="G50" s="1" t="str">
        <f t="shared" si="10"/>
        <v>24070414</v>
      </c>
      <c r="H50" s="2">
        <v>45477</v>
      </c>
      <c r="I50" s="36">
        <v>14</v>
      </c>
      <c r="J50" s="1">
        <f t="shared" si="1"/>
        <v>14</v>
      </c>
      <c r="K50" s="3">
        <f t="shared" si="2"/>
        <v>24</v>
      </c>
      <c r="L50" s="3">
        <f t="shared" si="3"/>
        <v>7</v>
      </c>
      <c r="M50" s="3">
        <f t="shared" si="4"/>
        <v>4</v>
      </c>
      <c r="N50" s="3" t="str">
        <f t="shared" si="5"/>
        <v>07</v>
      </c>
      <c r="O50" s="14" t="str">
        <f t="shared" si="6"/>
        <v>04</v>
      </c>
      <c r="Q50" s="5">
        <v>3500</v>
      </c>
      <c r="R50" s="6">
        <v>519</v>
      </c>
      <c r="S50" s="5">
        <f>IFERROR(P50/R50,"")</f>
        <v>0</v>
      </c>
      <c r="T50" s="5" t="s">
        <v>423</v>
      </c>
      <c r="U50" s="3" t="s">
        <v>3</v>
      </c>
      <c r="V50" s="3" t="s">
        <v>4</v>
      </c>
      <c r="W50" s="3" t="s">
        <v>252</v>
      </c>
    </row>
    <row r="51" spans="1:23">
      <c r="A51" s="3">
        <v>1181</v>
      </c>
      <c r="B51" s="1">
        <f>IF(G51="-",0,IF(G50=G51,1,0))</f>
        <v>0</v>
      </c>
      <c r="C51" s="1">
        <f>+IF(G51="-",0,IF(I51=I50+1,0,(IF(I51=1,0,1))))</f>
        <v>1</v>
      </c>
      <c r="D51" s="1">
        <f t="shared" si="7"/>
        <v>0</v>
      </c>
      <c r="E51" s="1">
        <f t="shared" si="8"/>
        <v>0</v>
      </c>
      <c r="F51" s="1">
        <f t="shared" si="9"/>
        <v>0</v>
      </c>
      <c r="G51" s="1" t="str">
        <f t="shared" si="10"/>
        <v>24071110</v>
      </c>
      <c r="H51" s="2">
        <v>45484</v>
      </c>
      <c r="I51" s="36">
        <v>10</v>
      </c>
      <c r="J51" s="1">
        <f t="shared" si="1"/>
        <v>10</v>
      </c>
      <c r="K51" s="3">
        <f t="shared" si="2"/>
        <v>24</v>
      </c>
      <c r="L51" s="3">
        <f t="shared" si="3"/>
        <v>7</v>
      </c>
      <c r="M51" s="3">
        <f t="shared" si="4"/>
        <v>11</v>
      </c>
      <c r="N51" s="3" t="str">
        <f t="shared" si="5"/>
        <v>07</v>
      </c>
      <c r="O51" s="14">
        <f t="shared" si="6"/>
        <v>11</v>
      </c>
      <c r="Q51" s="5">
        <v>3500</v>
      </c>
      <c r="S51" s="5" t="str">
        <f>IFERROR(P51/R51,"")</f>
        <v/>
      </c>
      <c r="T51" s="5" t="s">
        <v>475</v>
      </c>
      <c r="U51" s="3" t="s">
        <v>3</v>
      </c>
      <c r="V51" s="3" t="s">
        <v>4</v>
      </c>
    </row>
    <row r="52" spans="1:23" hidden="1">
      <c r="J52" s="1" t="str">
        <f t="shared" si="1"/>
        <v>0</v>
      </c>
      <c r="K52" s="3">
        <f t="shared" si="2"/>
        <v>-100</v>
      </c>
      <c r="L52" s="3">
        <f t="shared" si="3"/>
        <v>1</v>
      </c>
      <c r="M52" s="3">
        <f t="shared" si="4"/>
        <v>0</v>
      </c>
      <c r="N52" s="3" t="str">
        <f t="shared" si="5"/>
        <v>01</v>
      </c>
      <c r="O52" s="14" t="str">
        <f t="shared" si="6"/>
        <v>00</v>
      </c>
    </row>
    <row r="53" spans="1:23" hidden="1">
      <c r="J53" s="1" t="str">
        <f t="shared" si="1"/>
        <v>0</v>
      </c>
      <c r="K53" s="3">
        <f t="shared" si="2"/>
        <v>-100</v>
      </c>
      <c r="L53" s="3">
        <f t="shared" si="3"/>
        <v>1</v>
      </c>
      <c r="M53" s="3">
        <f t="shared" si="4"/>
        <v>0</v>
      </c>
      <c r="N53" s="3" t="str">
        <f t="shared" si="5"/>
        <v>01</v>
      </c>
      <c r="O53" s="14" t="str">
        <f t="shared" si="6"/>
        <v>00</v>
      </c>
    </row>
    <row r="54" spans="1:23" hidden="1">
      <c r="J54" s="1" t="str">
        <f t="shared" si="1"/>
        <v>0</v>
      </c>
      <c r="K54" s="3">
        <f t="shared" si="2"/>
        <v>-100</v>
      </c>
      <c r="L54" s="3">
        <f t="shared" si="3"/>
        <v>1</v>
      </c>
      <c r="M54" s="3">
        <f t="shared" si="4"/>
        <v>0</v>
      </c>
      <c r="N54" s="3" t="str">
        <f t="shared" si="5"/>
        <v>01</v>
      </c>
      <c r="O54" s="14" t="str">
        <f t="shared" si="6"/>
        <v>00</v>
      </c>
    </row>
    <row r="55" spans="1:23" hidden="1">
      <c r="J55" s="1" t="str">
        <f t="shared" si="1"/>
        <v>0</v>
      </c>
      <c r="K55" s="3">
        <f t="shared" si="2"/>
        <v>-100</v>
      </c>
      <c r="L55" s="3">
        <f t="shared" si="3"/>
        <v>1</v>
      </c>
      <c r="M55" s="3">
        <f t="shared" si="4"/>
        <v>0</v>
      </c>
      <c r="N55" s="3" t="str">
        <f t="shared" si="5"/>
        <v>01</v>
      </c>
      <c r="O55" s="14" t="str">
        <f t="shared" si="6"/>
        <v>00</v>
      </c>
    </row>
    <row r="56" spans="1:23" hidden="1">
      <c r="J56" s="1" t="str">
        <f t="shared" si="1"/>
        <v>0</v>
      </c>
      <c r="K56" s="3">
        <f t="shared" si="2"/>
        <v>-100</v>
      </c>
      <c r="L56" s="3">
        <f t="shared" si="3"/>
        <v>1</v>
      </c>
      <c r="M56" s="3">
        <f t="shared" si="4"/>
        <v>0</v>
      </c>
      <c r="N56" s="3" t="str">
        <f t="shared" si="5"/>
        <v>01</v>
      </c>
      <c r="O56" s="14" t="str">
        <f t="shared" si="6"/>
        <v>00</v>
      </c>
    </row>
    <row r="57" spans="1:23" hidden="1">
      <c r="J57" s="1" t="str">
        <f t="shared" si="1"/>
        <v>0</v>
      </c>
      <c r="K57" s="3">
        <f t="shared" si="2"/>
        <v>-100</v>
      </c>
      <c r="L57" s="3">
        <f t="shared" si="3"/>
        <v>1</v>
      </c>
      <c r="M57" s="3">
        <f t="shared" si="4"/>
        <v>0</v>
      </c>
      <c r="N57" s="3" t="str">
        <f t="shared" si="5"/>
        <v>01</v>
      </c>
      <c r="O57" s="14" t="str">
        <f t="shared" si="6"/>
        <v>00</v>
      </c>
    </row>
    <row r="58" spans="1:23" hidden="1">
      <c r="J58" s="1" t="str">
        <f t="shared" si="1"/>
        <v>0</v>
      </c>
      <c r="K58" s="3">
        <f t="shared" si="2"/>
        <v>-100</v>
      </c>
      <c r="L58" s="3">
        <f t="shared" si="3"/>
        <v>1</v>
      </c>
      <c r="M58" s="3">
        <f t="shared" si="4"/>
        <v>0</v>
      </c>
      <c r="N58" s="3" t="str">
        <f t="shared" si="5"/>
        <v>01</v>
      </c>
      <c r="O58" s="14" t="str">
        <f t="shared" si="6"/>
        <v>00</v>
      </c>
    </row>
    <row r="59" spans="1:23" hidden="1">
      <c r="J59" s="1" t="str">
        <f t="shared" si="1"/>
        <v>0</v>
      </c>
      <c r="K59" s="3">
        <f t="shared" si="2"/>
        <v>-100</v>
      </c>
      <c r="L59" s="3">
        <f t="shared" si="3"/>
        <v>1</v>
      </c>
      <c r="M59" s="3">
        <f t="shared" si="4"/>
        <v>0</v>
      </c>
      <c r="N59" s="3" t="str">
        <f t="shared" si="5"/>
        <v>01</v>
      </c>
      <c r="O59" s="14" t="str">
        <f t="shared" si="6"/>
        <v>00</v>
      </c>
    </row>
    <row r="60" spans="1:23" hidden="1">
      <c r="J60" s="1" t="str">
        <f t="shared" si="1"/>
        <v>0</v>
      </c>
      <c r="K60" s="3">
        <f t="shared" si="2"/>
        <v>-100</v>
      </c>
      <c r="L60" s="3">
        <f t="shared" si="3"/>
        <v>1</v>
      </c>
      <c r="M60" s="3">
        <f t="shared" si="4"/>
        <v>0</v>
      </c>
      <c r="N60" s="3" t="str">
        <f t="shared" si="5"/>
        <v>01</v>
      </c>
      <c r="O60" s="14" t="str">
        <f t="shared" si="6"/>
        <v>00</v>
      </c>
    </row>
    <row r="61" spans="1:23" hidden="1">
      <c r="J61" s="1" t="str">
        <f t="shared" si="1"/>
        <v>0</v>
      </c>
      <c r="K61" s="3">
        <f t="shared" si="2"/>
        <v>-100</v>
      </c>
      <c r="L61" s="3">
        <f t="shared" si="3"/>
        <v>1</v>
      </c>
      <c r="M61" s="3">
        <f t="shared" si="4"/>
        <v>0</v>
      </c>
      <c r="N61" s="3" t="str">
        <f t="shared" si="5"/>
        <v>01</v>
      </c>
      <c r="O61" s="14" t="str">
        <f t="shared" si="6"/>
        <v>00</v>
      </c>
    </row>
    <row r="62" spans="1:23" hidden="1">
      <c r="J62" s="1" t="str">
        <f t="shared" si="1"/>
        <v>0</v>
      </c>
      <c r="K62" s="3">
        <f t="shared" si="2"/>
        <v>-100</v>
      </c>
      <c r="L62" s="3">
        <f t="shared" si="3"/>
        <v>1</v>
      </c>
      <c r="M62" s="3">
        <f t="shared" si="4"/>
        <v>0</v>
      </c>
      <c r="N62" s="3" t="str">
        <f t="shared" si="5"/>
        <v>01</v>
      </c>
      <c r="O62" s="14" t="str">
        <f t="shared" si="6"/>
        <v>00</v>
      </c>
    </row>
    <row r="63" spans="1:23" hidden="1">
      <c r="J63" s="1" t="str">
        <f t="shared" si="1"/>
        <v>0</v>
      </c>
      <c r="K63" s="3">
        <f t="shared" si="2"/>
        <v>-100</v>
      </c>
      <c r="L63" s="3">
        <f t="shared" si="3"/>
        <v>1</v>
      </c>
      <c r="M63" s="3">
        <f t="shared" si="4"/>
        <v>0</v>
      </c>
      <c r="N63" s="3" t="str">
        <f t="shared" si="5"/>
        <v>01</v>
      </c>
      <c r="O63" s="14" t="str">
        <f t="shared" si="6"/>
        <v>00</v>
      </c>
    </row>
    <row r="64" spans="1:23" hidden="1">
      <c r="J64" s="1" t="str">
        <f t="shared" si="1"/>
        <v>0</v>
      </c>
      <c r="K64" s="3">
        <f t="shared" si="2"/>
        <v>-100</v>
      </c>
      <c r="L64" s="3">
        <f t="shared" si="3"/>
        <v>1</v>
      </c>
      <c r="M64" s="3">
        <f t="shared" si="4"/>
        <v>0</v>
      </c>
      <c r="N64" s="3" t="str">
        <f t="shared" si="5"/>
        <v>01</v>
      </c>
      <c r="O64" s="14" t="str">
        <f t="shared" si="6"/>
        <v>00</v>
      </c>
    </row>
    <row r="65" spans="1:22" hidden="1">
      <c r="J65" s="1" t="str">
        <f t="shared" si="1"/>
        <v>0</v>
      </c>
      <c r="K65" s="3">
        <f t="shared" si="2"/>
        <v>-100</v>
      </c>
      <c r="L65" s="3">
        <f t="shared" si="3"/>
        <v>1</v>
      </c>
      <c r="M65" s="3">
        <f t="shared" si="4"/>
        <v>0</v>
      </c>
      <c r="N65" s="3" t="str">
        <f t="shared" si="5"/>
        <v>01</v>
      </c>
      <c r="O65" s="14" t="str">
        <f t="shared" si="6"/>
        <v>00</v>
      </c>
    </row>
    <row r="66" spans="1:22" hidden="1">
      <c r="J66" s="1" t="str">
        <f t="shared" si="1"/>
        <v>0</v>
      </c>
      <c r="K66" s="3">
        <f t="shared" si="2"/>
        <v>-100</v>
      </c>
      <c r="L66" s="3">
        <f t="shared" si="3"/>
        <v>1</v>
      </c>
      <c r="M66" s="3">
        <f t="shared" si="4"/>
        <v>0</v>
      </c>
      <c r="N66" s="3" t="str">
        <f t="shared" si="5"/>
        <v>01</v>
      </c>
      <c r="O66" s="14" t="str">
        <f t="shared" si="6"/>
        <v>00</v>
      </c>
    </row>
    <row r="67" spans="1:22">
      <c r="A67" s="3">
        <v>2326</v>
      </c>
      <c r="B67" s="1">
        <f>IF(G67="-",0,IF(G66=G67,1,0))</f>
        <v>0</v>
      </c>
      <c r="C67" s="1">
        <f>+IF(G67="-",0,IF(I67=I66+1,0,(IF(I67=1,0,1))))</f>
        <v>1</v>
      </c>
      <c r="D67" s="1">
        <f>+IF(AND(P67="",Q67=""),1,0)</f>
        <v>0</v>
      </c>
      <c r="E67" s="1">
        <f>IF(U67="",1,0)</f>
        <v>0</v>
      </c>
      <c r="F67" s="1">
        <f>IF(V67="",1,0)</f>
        <v>0</v>
      </c>
      <c r="G67" s="1" t="str">
        <f>IF(H67=0,"-",_xlfn.CONCAT(K67,N67,O67,J67))</f>
        <v>24102202</v>
      </c>
      <c r="H67" s="2">
        <v>45587</v>
      </c>
      <c r="I67" s="140">
        <v>2</v>
      </c>
      <c r="J67" s="1" t="str">
        <f t="shared" si="1"/>
        <v>02</v>
      </c>
      <c r="K67" s="3">
        <f t="shared" si="2"/>
        <v>24</v>
      </c>
      <c r="L67" s="3">
        <f t="shared" si="3"/>
        <v>10</v>
      </c>
      <c r="M67" s="3">
        <f t="shared" si="4"/>
        <v>22</v>
      </c>
      <c r="N67" s="3">
        <f t="shared" si="5"/>
        <v>10</v>
      </c>
      <c r="O67" s="14">
        <f t="shared" si="6"/>
        <v>22</v>
      </c>
      <c r="Q67" s="5">
        <v>2864.6</v>
      </c>
      <c r="T67" s="5" t="s">
        <v>967</v>
      </c>
      <c r="U67" s="3" t="s">
        <v>3</v>
      </c>
      <c r="V67" s="3" t="s">
        <v>4</v>
      </c>
    </row>
    <row r="68" spans="1:22" hidden="1">
      <c r="J68" s="1" t="str">
        <f t="shared" si="1"/>
        <v>0</v>
      </c>
      <c r="K68" s="3">
        <f t="shared" si="2"/>
        <v>-100</v>
      </c>
      <c r="L68" s="3">
        <f t="shared" si="3"/>
        <v>1</v>
      </c>
      <c r="M68" s="3">
        <f t="shared" si="4"/>
        <v>0</v>
      </c>
      <c r="N68" s="3" t="str">
        <f t="shared" si="5"/>
        <v>01</v>
      </c>
      <c r="O68" s="14" t="str">
        <f t="shared" si="6"/>
        <v>00</v>
      </c>
    </row>
    <row r="69" spans="1:22" hidden="1">
      <c r="J69" s="1" t="str">
        <f t="shared" si="1"/>
        <v>0</v>
      </c>
      <c r="K69" s="3">
        <f t="shared" si="2"/>
        <v>-100</v>
      </c>
      <c r="L69" s="3">
        <f t="shared" si="3"/>
        <v>1</v>
      </c>
      <c r="M69" s="3">
        <f t="shared" si="4"/>
        <v>0</v>
      </c>
      <c r="N69" s="3" t="str">
        <f t="shared" si="5"/>
        <v>01</v>
      </c>
      <c r="O69" s="14" t="str">
        <f t="shared" si="6"/>
        <v>00</v>
      </c>
      <c r="R69" s="6">
        <v>495</v>
      </c>
      <c r="S69" s="5">
        <f>+P69/R69</f>
        <v>0</v>
      </c>
    </row>
    <row r="70" spans="1:22" hidden="1">
      <c r="J70" s="1" t="str">
        <f t="shared" si="1"/>
        <v>0</v>
      </c>
      <c r="K70" s="3">
        <f t="shared" si="2"/>
        <v>-100</v>
      </c>
      <c r="L70" s="3">
        <f t="shared" si="3"/>
        <v>1</v>
      </c>
      <c r="M70" s="3">
        <f t="shared" si="4"/>
        <v>0</v>
      </c>
      <c r="N70" s="3" t="str">
        <f t="shared" si="5"/>
        <v>01</v>
      </c>
      <c r="O70" s="14" t="str">
        <f t="shared" si="6"/>
        <v>00</v>
      </c>
    </row>
    <row r="71" spans="1:22">
      <c r="A71" s="3">
        <v>2352</v>
      </c>
      <c r="B71" s="1">
        <f>IF(G71="-",0,IF(G70=G71,1,0))</f>
        <v>0</v>
      </c>
      <c r="C71" s="1">
        <f>+IF(G71="-",0,IF(I71=I70+1,0,(IF(I71=1,0,1))))</f>
        <v>1</v>
      </c>
      <c r="D71" s="1">
        <f>+IF(AND(P71="",Q71=""),1,0)</f>
        <v>0</v>
      </c>
      <c r="E71" s="1">
        <f>IF(U71="",1,0)</f>
        <v>1</v>
      </c>
      <c r="F71" s="1">
        <f>IF(V71="",1,0)</f>
        <v>0</v>
      </c>
      <c r="G71" s="1" t="str">
        <f>IF(H71=0,"-",_xlfn.CONCAT(K71,N71,O71,J71))</f>
        <v>24102505</v>
      </c>
      <c r="H71" s="2">
        <v>45590</v>
      </c>
      <c r="I71" s="36">
        <v>5</v>
      </c>
      <c r="J71" s="1" t="str">
        <f t="shared" si="1"/>
        <v>05</v>
      </c>
      <c r="K71" s="3">
        <f t="shared" si="2"/>
        <v>24</v>
      </c>
      <c r="L71" s="3">
        <f t="shared" si="3"/>
        <v>10</v>
      </c>
      <c r="M71" s="3">
        <f t="shared" si="4"/>
        <v>25</v>
      </c>
      <c r="N71" s="3">
        <f t="shared" si="5"/>
        <v>10</v>
      </c>
      <c r="O71" s="14">
        <f t="shared" si="6"/>
        <v>25</v>
      </c>
      <c r="Q71" s="5">
        <v>2864.6</v>
      </c>
      <c r="T71" s="5" t="s">
        <v>1026</v>
      </c>
      <c r="V71" s="3" t="s">
        <v>4</v>
      </c>
    </row>
    <row r="72" spans="1:22">
      <c r="A72" s="3">
        <v>1721</v>
      </c>
      <c r="B72" s="1">
        <f>IF(G72="-",0,IF(G71=G72,1,0))</f>
        <v>0</v>
      </c>
      <c r="C72" s="1">
        <f>+IF(G72="-",0,IF(I72=I71+1,0,(IF(I72=1,0,1))))</f>
        <v>0</v>
      </c>
      <c r="D72" s="1">
        <f>+IF(AND(P72="",Q72=""),1,0)</f>
        <v>0</v>
      </c>
      <c r="E72" s="1">
        <f>IF(U72="",1,0)</f>
        <v>0</v>
      </c>
      <c r="F72" s="1">
        <f>IF(V72="",1,0)</f>
        <v>0</v>
      </c>
      <c r="G72" s="1" t="str">
        <f>IF(H72=0,"-",_xlfn.CONCAT(K72,N72,O72,J72))</f>
        <v>24082606</v>
      </c>
      <c r="H72" s="2">
        <v>45530</v>
      </c>
      <c r="I72" s="36">
        <v>6</v>
      </c>
      <c r="J72" s="1" t="str">
        <f t="shared" si="1"/>
        <v>06</v>
      </c>
      <c r="K72" s="3">
        <f t="shared" si="2"/>
        <v>24</v>
      </c>
      <c r="L72" s="3">
        <f t="shared" si="3"/>
        <v>8</v>
      </c>
      <c r="M72" s="3">
        <f t="shared" si="4"/>
        <v>26</v>
      </c>
      <c r="N72" s="3" t="str">
        <f t="shared" si="5"/>
        <v>08</v>
      </c>
      <c r="O72" s="14">
        <f t="shared" si="6"/>
        <v>26</v>
      </c>
      <c r="Q72" s="5">
        <f>2850</f>
        <v>2850</v>
      </c>
      <c r="S72" s="5" t="str">
        <f>IFERROR(P72/R72,"")</f>
        <v/>
      </c>
      <c r="T72" s="5" t="s">
        <v>677</v>
      </c>
      <c r="U72" s="3" t="s">
        <v>3</v>
      </c>
      <c r="V72" s="3" t="s">
        <v>4</v>
      </c>
    </row>
    <row r="73" spans="1:22" hidden="1">
      <c r="J73" s="1" t="str">
        <f t="shared" si="1"/>
        <v>0</v>
      </c>
      <c r="K73" s="3">
        <f t="shared" si="2"/>
        <v>-100</v>
      </c>
      <c r="L73" s="3">
        <f t="shared" si="3"/>
        <v>1</v>
      </c>
      <c r="M73" s="3">
        <f t="shared" si="4"/>
        <v>0</v>
      </c>
      <c r="N73" s="3" t="str">
        <f t="shared" si="5"/>
        <v>01</v>
      </c>
      <c r="O73" s="14" t="str">
        <f t="shared" si="6"/>
        <v>00</v>
      </c>
    </row>
    <row r="74" spans="1:22" hidden="1">
      <c r="J74" s="1" t="str">
        <f t="shared" si="1"/>
        <v>0</v>
      </c>
      <c r="K74" s="3">
        <f t="shared" si="2"/>
        <v>-100</v>
      </c>
      <c r="L74" s="3">
        <f t="shared" si="3"/>
        <v>1</v>
      </c>
      <c r="M74" s="3">
        <f t="shared" si="4"/>
        <v>0</v>
      </c>
      <c r="N74" s="3" t="str">
        <f t="shared" si="5"/>
        <v>01</v>
      </c>
      <c r="O74" s="14" t="str">
        <f t="shared" si="6"/>
        <v>00</v>
      </c>
    </row>
    <row r="75" spans="1:22" hidden="1">
      <c r="J75" s="1" t="str">
        <f t="shared" si="1"/>
        <v>0</v>
      </c>
      <c r="K75" s="3">
        <f t="shared" si="2"/>
        <v>-100</v>
      </c>
      <c r="L75" s="3">
        <f t="shared" si="3"/>
        <v>1</v>
      </c>
      <c r="M75" s="3">
        <f t="shared" si="4"/>
        <v>0</v>
      </c>
      <c r="N75" s="3" t="str">
        <f t="shared" si="5"/>
        <v>01</v>
      </c>
      <c r="O75" s="14" t="str">
        <f t="shared" si="6"/>
        <v>00</v>
      </c>
    </row>
    <row r="76" spans="1:22" hidden="1">
      <c r="J76" s="1" t="str">
        <f t="shared" si="1"/>
        <v>0</v>
      </c>
      <c r="K76" s="3">
        <f t="shared" si="2"/>
        <v>-100</v>
      </c>
      <c r="L76" s="3">
        <f t="shared" si="3"/>
        <v>1</v>
      </c>
      <c r="M76" s="3">
        <f t="shared" si="4"/>
        <v>0</v>
      </c>
      <c r="N76" s="3" t="str">
        <f t="shared" si="5"/>
        <v>01</v>
      </c>
      <c r="O76" s="14" t="str">
        <f t="shared" si="6"/>
        <v>00</v>
      </c>
    </row>
    <row r="77" spans="1:22" hidden="1">
      <c r="J77" s="1" t="str">
        <f t="shared" si="1"/>
        <v>0</v>
      </c>
      <c r="K77" s="3">
        <f t="shared" si="2"/>
        <v>-100</v>
      </c>
      <c r="L77" s="3">
        <f t="shared" si="3"/>
        <v>1</v>
      </c>
      <c r="M77" s="3">
        <f t="shared" si="4"/>
        <v>0</v>
      </c>
      <c r="N77" s="3" t="str">
        <f t="shared" si="5"/>
        <v>01</v>
      </c>
      <c r="O77" s="14" t="str">
        <f t="shared" si="6"/>
        <v>00</v>
      </c>
      <c r="T77" s="16"/>
    </row>
    <row r="78" spans="1:22" hidden="1">
      <c r="J78" s="1" t="str">
        <f t="shared" ref="J78:J141" si="11">+IF(I78&lt;10,_xlfn.CONCAT("0",I78),I78)</f>
        <v>0</v>
      </c>
      <c r="K78" s="3">
        <f t="shared" ref="K78:K141" si="12">+YEAR(H78)-2000</f>
        <v>-100</v>
      </c>
      <c r="L78" s="3">
        <f t="shared" ref="L78:L141" si="13">+MONTH(H78)</f>
        <v>1</v>
      </c>
      <c r="M78" s="3">
        <f t="shared" ref="M78:M141" si="14">+DAY(H78)</f>
        <v>0</v>
      </c>
      <c r="N78" s="3" t="str">
        <f t="shared" ref="N78:N141" si="15">+IF(L78&lt;10,_xlfn.CONCAT("0",L78),L78)</f>
        <v>01</v>
      </c>
      <c r="O78" s="14" t="str">
        <f t="shared" ref="O78:O141" si="16">+IF(M78&lt;10,_xlfn.CONCAT("0",M78),M78)</f>
        <v>00</v>
      </c>
    </row>
    <row r="79" spans="1:22" hidden="1">
      <c r="J79" s="1" t="str">
        <f t="shared" si="11"/>
        <v>0</v>
      </c>
      <c r="K79" s="3">
        <f t="shared" si="12"/>
        <v>-100</v>
      </c>
      <c r="L79" s="3">
        <f t="shared" si="13"/>
        <v>1</v>
      </c>
      <c r="M79" s="3">
        <f t="shared" si="14"/>
        <v>0</v>
      </c>
      <c r="N79" s="3" t="str">
        <f t="shared" si="15"/>
        <v>01</v>
      </c>
      <c r="O79" s="14" t="str">
        <f t="shared" si="16"/>
        <v>00</v>
      </c>
    </row>
    <row r="80" spans="1:22">
      <c r="A80" s="3">
        <v>514</v>
      </c>
      <c r="B80" s="1">
        <f>IF(G80="-",0,IF(G79=G80,1,0))</f>
        <v>0</v>
      </c>
      <c r="C80" s="1">
        <f>+IF(G80="-",0,IF(I80=I79+1,0,(IF(I80=1,0,1))))</f>
        <v>1</v>
      </c>
      <c r="D80" s="1">
        <f>+IF(AND(P80="",Q80=""),1,0)</f>
        <v>0</v>
      </c>
      <c r="E80" s="1">
        <f>IF(U80="",1,0)</f>
        <v>0</v>
      </c>
      <c r="F80" s="1">
        <f>IF(V80="",1,0)</f>
        <v>0</v>
      </c>
      <c r="G80" s="1" t="str">
        <f>IF(H80=0,"-",_xlfn.CONCAT(K80,N80,O80,J80))</f>
        <v>24051409</v>
      </c>
      <c r="H80" s="2">
        <v>45426</v>
      </c>
      <c r="I80" s="36">
        <v>9</v>
      </c>
      <c r="J80" s="1" t="str">
        <f t="shared" si="11"/>
        <v>09</v>
      </c>
      <c r="K80" s="3">
        <f t="shared" si="12"/>
        <v>24</v>
      </c>
      <c r="L80" s="3">
        <f t="shared" si="13"/>
        <v>5</v>
      </c>
      <c r="M80" s="3">
        <f t="shared" si="14"/>
        <v>14</v>
      </c>
      <c r="N80" s="3" t="str">
        <f t="shared" si="15"/>
        <v>05</v>
      </c>
      <c r="O80" s="14">
        <f t="shared" si="16"/>
        <v>14</v>
      </c>
      <c r="Q80" s="5">
        <v>2768.5</v>
      </c>
      <c r="T80" s="5" t="s">
        <v>154</v>
      </c>
      <c r="U80" s="3" t="s">
        <v>2</v>
      </c>
      <c r="V80" s="3" t="s">
        <v>4</v>
      </c>
    </row>
    <row r="81" spans="1:22" hidden="1">
      <c r="J81" s="1" t="str">
        <f t="shared" si="11"/>
        <v>0</v>
      </c>
      <c r="K81" s="3">
        <f t="shared" si="12"/>
        <v>-100</v>
      </c>
      <c r="L81" s="3">
        <f t="shared" si="13"/>
        <v>1</v>
      </c>
      <c r="M81" s="3">
        <f t="shared" si="14"/>
        <v>0</v>
      </c>
      <c r="N81" s="3" t="str">
        <f t="shared" si="15"/>
        <v>01</v>
      </c>
      <c r="O81" s="14" t="str">
        <f t="shared" si="16"/>
        <v>00</v>
      </c>
    </row>
    <row r="82" spans="1:22" hidden="1">
      <c r="J82" s="1" t="str">
        <f t="shared" si="11"/>
        <v>0</v>
      </c>
      <c r="K82" s="3">
        <f t="shared" si="12"/>
        <v>-100</v>
      </c>
      <c r="L82" s="3">
        <f t="shared" si="13"/>
        <v>1</v>
      </c>
      <c r="M82" s="3">
        <f t="shared" si="14"/>
        <v>0</v>
      </c>
      <c r="N82" s="3" t="str">
        <f t="shared" si="15"/>
        <v>01</v>
      </c>
      <c r="O82" s="14" t="str">
        <f t="shared" si="16"/>
        <v>00</v>
      </c>
    </row>
    <row r="83" spans="1:22" hidden="1">
      <c r="J83" s="1" t="str">
        <f t="shared" si="11"/>
        <v>0</v>
      </c>
      <c r="K83" s="3">
        <f t="shared" si="12"/>
        <v>-100</v>
      </c>
      <c r="L83" s="3">
        <f t="shared" si="13"/>
        <v>1</v>
      </c>
      <c r="M83" s="3">
        <f t="shared" si="14"/>
        <v>0</v>
      </c>
      <c r="N83" s="3" t="str">
        <f t="shared" si="15"/>
        <v>01</v>
      </c>
      <c r="O83" s="14" t="str">
        <f t="shared" si="16"/>
        <v>00</v>
      </c>
    </row>
    <row r="84" spans="1:22" hidden="1">
      <c r="J84" s="1" t="str">
        <f t="shared" si="11"/>
        <v>0</v>
      </c>
      <c r="K84" s="3">
        <f t="shared" si="12"/>
        <v>-100</v>
      </c>
      <c r="L84" s="3">
        <f t="shared" si="13"/>
        <v>1</v>
      </c>
      <c r="M84" s="3">
        <f t="shared" si="14"/>
        <v>0</v>
      </c>
      <c r="N84" s="3" t="str">
        <f t="shared" si="15"/>
        <v>01</v>
      </c>
      <c r="O84" s="14" t="str">
        <f t="shared" si="16"/>
        <v>00</v>
      </c>
    </row>
    <row r="85" spans="1:22" hidden="1">
      <c r="J85" s="1" t="str">
        <f t="shared" si="11"/>
        <v>0</v>
      </c>
      <c r="K85" s="3">
        <f t="shared" si="12"/>
        <v>-100</v>
      </c>
      <c r="L85" s="3">
        <f t="shared" si="13"/>
        <v>1</v>
      </c>
      <c r="M85" s="3">
        <f t="shared" si="14"/>
        <v>0</v>
      </c>
      <c r="N85" s="3" t="str">
        <f t="shared" si="15"/>
        <v>01</v>
      </c>
      <c r="O85" s="14" t="str">
        <f t="shared" si="16"/>
        <v>00</v>
      </c>
    </row>
    <row r="86" spans="1:22" hidden="1">
      <c r="J86" s="1" t="str">
        <f t="shared" si="11"/>
        <v>0</v>
      </c>
      <c r="K86" s="3">
        <f t="shared" si="12"/>
        <v>-100</v>
      </c>
      <c r="L86" s="3">
        <f t="shared" si="13"/>
        <v>1</v>
      </c>
      <c r="M86" s="3">
        <f t="shared" si="14"/>
        <v>0</v>
      </c>
      <c r="N86" s="3" t="str">
        <f t="shared" si="15"/>
        <v>01</v>
      </c>
      <c r="O86" s="14" t="str">
        <f t="shared" si="16"/>
        <v>00</v>
      </c>
    </row>
    <row r="87" spans="1:22" hidden="1">
      <c r="J87" s="1" t="str">
        <f t="shared" si="11"/>
        <v>0</v>
      </c>
      <c r="K87" s="3">
        <f t="shared" si="12"/>
        <v>-100</v>
      </c>
      <c r="L87" s="3">
        <f t="shared" si="13"/>
        <v>1</v>
      </c>
      <c r="M87" s="3">
        <f t="shared" si="14"/>
        <v>0</v>
      </c>
      <c r="N87" s="3" t="str">
        <f t="shared" si="15"/>
        <v>01</v>
      </c>
      <c r="O87" s="14" t="str">
        <f t="shared" si="16"/>
        <v>00</v>
      </c>
    </row>
    <row r="88" spans="1:22" hidden="1">
      <c r="J88" s="1" t="str">
        <f t="shared" si="11"/>
        <v>0</v>
      </c>
      <c r="K88" s="3">
        <f t="shared" si="12"/>
        <v>-100</v>
      </c>
      <c r="L88" s="3">
        <f t="shared" si="13"/>
        <v>1</v>
      </c>
      <c r="M88" s="3">
        <f t="shared" si="14"/>
        <v>0</v>
      </c>
      <c r="N88" s="3" t="str">
        <f t="shared" si="15"/>
        <v>01</v>
      </c>
      <c r="O88" s="14" t="str">
        <f t="shared" si="16"/>
        <v>00</v>
      </c>
    </row>
    <row r="89" spans="1:22" hidden="1">
      <c r="J89" s="1" t="str">
        <f t="shared" si="11"/>
        <v>0</v>
      </c>
      <c r="K89" s="3">
        <f t="shared" si="12"/>
        <v>-100</v>
      </c>
      <c r="L89" s="3">
        <f t="shared" si="13"/>
        <v>1</v>
      </c>
      <c r="M89" s="3">
        <f t="shared" si="14"/>
        <v>0</v>
      </c>
      <c r="N89" s="3" t="str">
        <f t="shared" si="15"/>
        <v>01</v>
      </c>
      <c r="O89" s="14" t="str">
        <f t="shared" si="16"/>
        <v>00</v>
      </c>
    </row>
    <row r="90" spans="1:22" hidden="1">
      <c r="J90" s="1" t="str">
        <f t="shared" si="11"/>
        <v>0</v>
      </c>
      <c r="K90" s="3">
        <f t="shared" si="12"/>
        <v>-100</v>
      </c>
      <c r="L90" s="3">
        <f t="shared" si="13"/>
        <v>1</v>
      </c>
      <c r="M90" s="3">
        <f t="shared" si="14"/>
        <v>0</v>
      </c>
      <c r="N90" s="3" t="str">
        <f t="shared" si="15"/>
        <v>01</v>
      </c>
      <c r="O90" s="14" t="str">
        <f t="shared" si="16"/>
        <v>00</v>
      </c>
    </row>
    <row r="91" spans="1:22" hidden="1">
      <c r="J91" s="1" t="str">
        <f t="shared" si="11"/>
        <v>0</v>
      </c>
      <c r="K91" s="3">
        <f t="shared" si="12"/>
        <v>-100</v>
      </c>
      <c r="L91" s="3">
        <f t="shared" si="13"/>
        <v>1</v>
      </c>
      <c r="M91" s="3">
        <f t="shared" si="14"/>
        <v>0</v>
      </c>
      <c r="N91" s="3" t="str">
        <f t="shared" si="15"/>
        <v>01</v>
      </c>
      <c r="O91" s="14" t="str">
        <f t="shared" si="16"/>
        <v>00</v>
      </c>
    </row>
    <row r="92" spans="1:22">
      <c r="A92" s="3">
        <v>96</v>
      </c>
      <c r="B92" s="1">
        <f>IF(G92="-",0,IF(G91=G92,1,0))</f>
        <v>0</v>
      </c>
      <c r="C92" s="1">
        <f>+IF(G92="-",0,IF(I92=I91+1,0,(IF(I92=1,0,1))))</f>
        <v>1</v>
      </c>
      <c r="D92" s="1">
        <f>+IF(AND(P92="",Q92=""),1,0)</f>
        <v>0</v>
      </c>
      <c r="E92" s="1">
        <f>IF(U92="",1,0)</f>
        <v>0</v>
      </c>
      <c r="F92" s="1">
        <f>IF(V92="",1,0)</f>
        <v>0</v>
      </c>
      <c r="G92" s="1" t="str">
        <f>IF(H92=0,"-",_xlfn.CONCAT(K92,N92,O92,J92))</f>
        <v>24040504</v>
      </c>
      <c r="H92" s="2">
        <v>45387</v>
      </c>
      <c r="I92" s="36">
        <v>4</v>
      </c>
      <c r="J92" s="1" t="str">
        <f t="shared" si="11"/>
        <v>04</v>
      </c>
      <c r="K92" s="3">
        <f t="shared" si="12"/>
        <v>24</v>
      </c>
      <c r="L92" s="3">
        <f t="shared" si="13"/>
        <v>4</v>
      </c>
      <c r="M92" s="3">
        <f t="shared" si="14"/>
        <v>5</v>
      </c>
      <c r="N92" s="3" t="str">
        <f t="shared" si="15"/>
        <v>04</v>
      </c>
      <c r="O92" s="14" t="str">
        <f t="shared" si="16"/>
        <v>05</v>
      </c>
      <c r="Q92" s="5">
        <v>2726.68</v>
      </c>
      <c r="T92" s="5" t="s">
        <v>33</v>
      </c>
      <c r="U92" s="3" t="s">
        <v>2</v>
      </c>
      <c r="V92" s="3" t="s">
        <v>4</v>
      </c>
    </row>
    <row r="93" spans="1:22" hidden="1">
      <c r="J93" s="1" t="str">
        <f t="shared" si="11"/>
        <v>0</v>
      </c>
      <c r="K93" s="3">
        <f t="shared" si="12"/>
        <v>-100</v>
      </c>
      <c r="L93" s="3">
        <f t="shared" si="13"/>
        <v>1</v>
      </c>
      <c r="M93" s="3">
        <f t="shared" si="14"/>
        <v>0</v>
      </c>
      <c r="N93" s="3" t="str">
        <f t="shared" si="15"/>
        <v>01</v>
      </c>
      <c r="O93" s="14" t="str">
        <f t="shared" si="16"/>
        <v>00</v>
      </c>
    </row>
    <row r="94" spans="1:22" hidden="1">
      <c r="J94" s="1" t="str">
        <f t="shared" si="11"/>
        <v>0</v>
      </c>
      <c r="K94" s="3">
        <f t="shared" si="12"/>
        <v>-100</v>
      </c>
      <c r="L94" s="3">
        <f t="shared" si="13"/>
        <v>1</v>
      </c>
      <c r="M94" s="3">
        <f t="shared" si="14"/>
        <v>0</v>
      </c>
      <c r="N94" s="3" t="str">
        <f t="shared" si="15"/>
        <v>01</v>
      </c>
      <c r="O94" s="14" t="str">
        <f t="shared" si="16"/>
        <v>00</v>
      </c>
    </row>
    <row r="95" spans="1:22" hidden="1">
      <c r="J95" s="1" t="str">
        <f t="shared" si="11"/>
        <v>0</v>
      </c>
      <c r="K95" s="3">
        <f t="shared" si="12"/>
        <v>-100</v>
      </c>
      <c r="L95" s="3">
        <f t="shared" si="13"/>
        <v>1</v>
      </c>
      <c r="M95" s="3">
        <f t="shared" si="14"/>
        <v>0</v>
      </c>
      <c r="N95" s="3" t="str">
        <f t="shared" si="15"/>
        <v>01</v>
      </c>
      <c r="O95" s="14" t="str">
        <f t="shared" si="16"/>
        <v>00</v>
      </c>
    </row>
    <row r="96" spans="1:22">
      <c r="A96" s="3">
        <v>936</v>
      </c>
      <c r="B96" s="1">
        <f>IF(G96="-",0,IF(G95=G96,1,0))</f>
        <v>0</v>
      </c>
      <c r="C96" s="1">
        <f>+IF(G96="-",0,IF(I96=I95+1,0,(IF(I96=1,0,1))))</f>
        <v>1</v>
      </c>
      <c r="D96" s="1">
        <f>+IF(AND(P96="",Q96=""),1,0)</f>
        <v>0</v>
      </c>
      <c r="E96" s="1">
        <f>IF(U96="",1,0)</f>
        <v>0</v>
      </c>
      <c r="F96" s="1">
        <f>IF(V96="",1,0)</f>
        <v>0</v>
      </c>
      <c r="G96" s="1" t="str">
        <f>IF(H96=0,"-",_xlfn.CONCAT(K96,N96,O96,J96))</f>
        <v>24062102</v>
      </c>
      <c r="H96" s="2">
        <v>45464</v>
      </c>
      <c r="I96" s="36">
        <v>2</v>
      </c>
      <c r="J96" s="1" t="str">
        <f t="shared" si="11"/>
        <v>02</v>
      </c>
      <c r="K96" s="3">
        <f t="shared" si="12"/>
        <v>24</v>
      </c>
      <c r="L96" s="3">
        <f t="shared" si="13"/>
        <v>6</v>
      </c>
      <c r="M96" s="3">
        <f t="shared" si="14"/>
        <v>21</v>
      </c>
      <c r="N96" s="3" t="str">
        <f t="shared" si="15"/>
        <v>06</v>
      </c>
      <c r="O96" s="14">
        <f t="shared" si="16"/>
        <v>21</v>
      </c>
      <c r="Q96" s="5">
        <v>2367.36</v>
      </c>
      <c r="S96" s="5" t="str">
        <f>IFERROR(P96/R96,"")</f>
        <v/>
      </c>
      <c r="T96" s="5" t="s">
        <v>350</v>
      </c>
      <c r="U96" s="3" t="s">
        <v>3</v>
      </c>
      <c r="V96" s="3" t="s">
        <v>4</v>
      </c>
    </row>
    <row r="97" spans="1:23" hidden="1">
      <c r="J97" s="1" t="str">
        <f t="shared" si="11"/>
        <v>0</v>
      </c>
      <c r="K97" s="3">
        <f t="shared" si="12"/>
        <v>-100</v>
      </c>
      <c r="L97" s="3">
        <f t="shared" si="13"/>
        <v>1</v>
      </c>
      <c r="M97" s="3">
        <f t="shared" si="14"/>
        <v>0</v>
      </c>
      <c r="N97" s="3" t="str">
        <f t="shared" si="15"/>
        <v>01</v>
      </c>
      <c r="O97" s="14" t="str">
        <f t="shared" si="16"/>
        <v>00</v>
      </c>
    </row>
    <row r="98" spans="1:23" hidden="1">
      <c r="J98" s="1" t="str">
        <f t="shared" si="11"/>
        <v>0</v>
      </c>
      <c r="K98" s="3">
        <f t="shared" si="12"/>
        <v>-100</v>
      </c>
      <c r="L98" s="3">
        <f t="shared" si="13"/>
        <v>1</v>
      </c>
      <c r="M98" s="3">
        <f t="shared" si="14"/>
        <v>0</v>
      </c>
      <c r="N98" s="3" t="str">
        <f t="shared" si="15"/>
        <v>01</v>
      </c>
      <c r="O98" s="14" t="str">
        <f t="shared" si="16"/>
        <v>00</v>
      </c>
    </row>
    <row r="99" spans="1:23" hidden="1">
      <c r="J99" s="1" t="str">
        <f t="shared" si="11"/>
        <v>0</v>
      </c>
      <c r="K99" s="3">
        <f t="shared" si="12"/>
        <v>-100</v>
      </c>
      <c r="L99" s="3">
        <f t="shared" si="13"/>
        <v>1</v>
      </c>
      <c r="M99" s="3">
        <f t="shared" si="14"/>
        <v>0</v>
      </c>
      <c r="N99" s="3" t="str">
        <f t="shared" si="15"/>
        <v>01</v>
      </c>
      <c r="O99" s="14" t="str">
        <f t="shared" si="16"/>
        <v>00</v>
      </c>
    </row>
    <row r="100" spans="1:23">
      <c r="A100" s="3">
        <v>465</v>
      </c>
      <c r="B100" s="1">
        <f>IF(G100="-",0,IF(G99=G100,1,0))</f>
        <v>0</v>
      </c>
      <c r="C100" s="1">
        <f>+IF(G100="-",0,IF(I100=I99+1,0,(IF(I100=1,0,1))))</f>
        <v>1</v>
      </c>
      <c r="D100" s="1">
        <f>+IF(AND(P100="",Q100=""),1,0)</f>
        <v>0</v>
      </c>
      <c r="E100" s="1">
        <f>IF(U100="",1,0)</f>
        <v>0</v>
      </c>
      <c r="F100" s="1">
        <f>IF(V100="",1,0)</f>
        <v>0</v>
      </c>
      <c r="G100" s="1" t="str">
        <f>IF(H100=0,"-",_xlfn.CONCAT(K100,N100,O100,J100))</f>
        <v>24051007</v>
      </c>
      <c r="H100" s="2">
        <v>45422</v>
      </c>
      <c r="I100" s="36">
        <v>7</v>
      </c>
      <c r="J100" s="1" t="str">
        <f t="shared" si="11"/>
        <v>07</v>
      </c>
      <c r="K100" s="3">
        <f t="shared" si="12"/>
        <v>24</v>
      </c>
      <c r="L100" s="3">
        <f t="shared" si="13"/>
        <v>5</v>
      </c>
      <c r="M100" s="3">
        <f t="shared" si="14"/>
        <v>10</v>
      </c>
      <c r="N100" s="3" t="str">
        <f t="shared" si="15"/>
        <v>05</v>
      </c>
      <c r="O100" s="14">
        <f t="shared" si="16"/>
        <v>10</v>
      </c>
      <c r="Q100" s="5">
        <v>2330.23</v>
      </c>
      <c r="T100" s="5" t="s">
        <v>148</v>
      </c>
      <c r="U100" s="3" t="s">
        <v>3</v>
      </c>
      <c r="V100" s="3" t="s">
        <v>4</v>
      </c>
    </row>
    <row r="101" spans="1:23" hidden="1">
      <c r="J101" s="1" t="str">
        <f t="shared" si="11"/>
        <v>0</v>
      </c>
      <c r="K101" s="3">
        <f t="shared" si="12"/>
        <v>-100</v>
      </c>
      <c r="L101" s="3">
        <f t="shared" si="13"/>
        <v>1</v>
      </c>
      <c r="M101" s="3">
        <f t="shared" si="14"/>
        <v>0</v>
      </c>
      <c r="N101" s="3" t="str">
        <f t="shared" si="15"/>
        <v>01</v>
      </c>
      <c r="O101" s="14" t="str">
        <f t="shared" si="16"/>
        <v>00</v>
      </c>
    </row>
    <row r="102" spans="1:23">
      <c r="A102" s="3">
        <v>1109</v>
      </c>
      <c r="B102" s="1">
        <f>IF(G102="-",0,IF(G100=G102,1,0))</f>
        <v>0</v>
      </c>
      <c r="C102" s="1">
        <f>+IF(G102="-",0,IF(I102=I100+1,0,(IF(I102=1,0,1))))</f>
        <v>1</v>
      </c>
      <c r="D102" s="1">
        <f>+IF(AND(P102="",Q102=""),1,0)</f>
        <v>0</v>
      </c>
      <c r="E102" s="1">
        <f>IF(U102="",1,0)</f>
        <v>0</v>
      </c>
      <c r="F102" s="1">
        <f>IF(V102="",1,0)</f>
        <v>0</v>
      </c>
      <c r="G102" s="1" t="str">
        <f>IF(H102=0,"-",_xlfn.CONCAT(K102,N102,O102,J102))</f>
        <v>24070415</v>
      </c>
      <c r="H102" s="2">
        <v>45477</v>
      </c>
      <c r="I102" s="36">
        <v>15</v>
      </c>
      <c r="J102" s="1">
        <f t="shared" si="11"/>
        <v>15</v>
      </c>
      <c r="K102" s="3">
        <f t="shared" si="12"/>
        <v>24</v>
      </c>
      <c r="L102" s="3">
        <f t="shared" si="13"/>
        <v>7</v>
      </c>
      <c r="M102" s="3">
        <f t="shared" si="14"/>
        <v>4</v>
      </c>
      <c r="N102" s="3" t="str">
        <f t="shared" si="15"/>
        <v>07</v>
      </c>
      <c r="O102" s="14" t="str">
        <f t="shared" si="16"/>
        <v>04</v>
      </c>
      <c r="Q102" s="5">
        <v>2169.6</v>
      </c>
      <c r="R102" s="6">
        <v>519</v>
      </c>
      <c r="S102" s="5">
        <f>IFERROR(P102/R102,"")</f>
        <v>0</v>
      </c>
      <c r="T102" s="5" t="s">
        <v>424</v>
      </c>
      <c r="U102" s="3" t="s">
        <v>3</v>
      </c>
      <c r="V102" s="3" t="s">
        <v>4</v>
      </c>
      <c r="W102" s="3" t="s">
        <v>252</v>
      </c>
    </row>
    <row r="103" spans="1:23">
      <c r="A103" s="3">
        <v>1568</v>
      </c>
      <c r="B103" s="1">
        <f>IF(G103="-",0,IF(G102=G103,1,0))</f>
        <v>0</v>
      </c>
      <c r="C103" s="1">
        <f>+IF(G103="-",0,IF(I103=I102+1,0,(IF(I103=1,0,1))))</f>
        <v>0</v>
      </c>
      <c r="D103" s="1">
        <f>+IF(AND(P103="",Q103=""),1,0)</f>
        <v>0</v>
      </c>
      <c r="E103" s="1">
        <f>IF(U103="",1,0)</f>
        <v>0</v>
      </c>
      <c r="F103" s="1">
        <f>IF(V103="",1,0)</f>
        <v>0</v>
      </c>
      <c r="G103" s="1" t="str">
        <f>IF(H103=0,"-",_xlfn.CONCAT(K103,N103,O103,J103))</f>
        <v>24081401</v>
      </c>
      <c r="H103" s="2">
        <v>45518</v>
      </c>
      <c r="I103" s="36">
        <v>1</v>
      </c>
      <c r="J103" s="1" t="str">
        <f t="shared" si="11"/>
        <v>01</v>
      </c>
      <c r="K103" s="3">
        <f t="shared" si="12"/>
        <v>24</v>
      </c>
      <c r="L103" s="3">
        <f t="shared" si="13"/>
        <v>8</v>
      </c>
      <c r="M103" s="3">
        <f t="shared" si="14"/>
        <v>14</v>
      </c>
      <c r="N103" s="3" t="str">
        <f t="shared" si="15"/>
        <v>08</v>
      </c>
      <c r="O103" s="14">
        <f t="shared" si="16"/>
        <v>14</v>
      </c>
      <c r="Q103" s="5">
        <v>2139.6</v>
      </c>
      <c r="S103" s="5" t="str">
        <f>IFERROR(P103/R103,"")</f>
        <v/>
      </c>
      <c r="T103" s="5" t="s">
        <v>624</v>
      </c>
      <c r="U103" s="3" t="s">
        <v>3</v>
      </c>
      <c r="V103" s="3" t="s">
        <v>4</v>
      </c>
    </row>
    <row r="104" spans="1:23" hidden="1">
      <c r="J104" s="1" t="str">
        <f t="shared" si="11"/>
        <v>0</v>
      </c>
      <c r="K104" s="3">
        <f t="shared" si="12"/>
        <v>-100</v>
      </c>
      <c r="L104" s="3">
        <f t="shared" si="13"/>
        <v>1</v>
      </c>
      <c r="M104" s="3">
        <f t="shared" si="14"/>
        <v>0</v>
      </c>
      <c r="N104" s="3" t="str">
        <f t="shared" si="15"/>
        <v>01</v>
      </c>
      <c r="O104" s="14" t="str">
        <f t="shared" si="16"/>
        <v>00</v>
      </c>
    </row>
    <row r="105" spans="1:23" hidden="1">
      <c r="J105" s="1" t="str">
        <f t="shared" si="11"/>
        <v>0</v>
      </c>
      <c r="K105" s="3">
        <f t="shared" si="12"/>
        <v>-100</v>
      </c>
      <c r="L105" s="3">
        <f t="shared" si="13"/>
        <v>1</v>
      </c>
      <c r="M105" s="3">
        <f t="shared" si="14"/>
        <v>0</v>
      </c>
      <c r="N105" s="3" t="str">
        <f t="shared" si="15"/>
        <v>01</v>
      </c>
      <c r="O105" s="14" t="str">
        <f t="shared" si="16"/>
        <v>00</v>
      </c>
    </row>
    <row r="106" spans="1:23" hidden="1">
      <c r="J106" s="1" t="str">
        <f t="shared" si="11"/>
        <v>0</v>
      </c>
      <c r="K106" s="3">
        <f t="shared" si="12"/>
        <v>-100</v>
      </c>
      <c r="L106" s="3">
        <f t="shared" si="13"/>
        <v>1</v>
      </c>
      <c r="M106" s="3">
        <f t="shared" si="14"/>
        <v>0</v>
      </c>
      <c r="N106" s="3" t="str">
        <f t="shared" si="15"/>
        <v>01</v>
      </c>
      <c r="O106" s="14" t="str">
        <f t="shared" si="16"/>
        <v>00</v>
      </c>
    </row>
    <row r="107" spans="1:23">
      <c r="A107" s="3">
        <v>535</v>
      </c>
      <c r="B107" s="1">
        <f t="shared" ref="B107:B113" si="17">IF(G107="-",0,IF(G106=G107,1,0))</f>
        <v>0</v>
      </c>
      <c r="C107" s="1">
        <f t="shared" ref="C107:C113" si="18">+IF(G107="-",0,IF(I107=I106+1,0,(IF(I107=1,0,1))))</f>
        <v>1</v>
      </c>
      <c r="D107" s="1">
        <f t="shared" ref="D107:D113" si="19">+IF(AND(P107="",Q107=""),1,0)</f>
        <v>0</v>
      </c>
      <c r="E107" s="1">
        <f t="shared" ref="E107:F113" si="20">IF(U107="",1,0)</f>
        <v>0</v>
      </c>
      <c r="F107" s="1">
        <f t="shared" si="20"/>
        <v>0</v>
      </c>
      <c r="G107" s="1" t="str">
        <f t="shared" ref="G107:G113" si="21">IF(H107=0,"-",_xlfn.CONCAT(K107,N107,O107,J107))</f>
        <v>24051607</v>
      </c>
      <c r="H107" s="2">
        <v>45428</v>
      </c>
      <c r="I107" s="36">
        <v>7</v>
      </c>
      <c r="J107" s="1" t="str">
        <f t="shared" si="11"/>
        <v>07</v>
      </c>
      <c r="K107" s="3">
        <f t="shared" si="12"/>
        <v>24</v>
      </c>
      <c r="L107" s="3">
        <f t="shared" si="13"/>
        <v>5</v>
      </c>
      <c r="M107" s="3">
        <f t="shared" si="14"/>
        <v>16</v>
      </c>
      <c r="N107" s="3" t="str">
        <f t="shared" si="15"/>
        <v>05</v>
      </c>
      <c r="O107" s="14">
        <f t="shared" si="16"/>
        <v>16</v>
      </c>
      <c r="P107" s="3"/>
      <c r="Q107" s="5">
        <v>1762.8</v>
      </c>
      <c r="T107" s="5" t="s">
        <v>157</v>
      </c>
      <c r="U107" s="3" t="s">
        <v>3</v>
      </c>
      <c r="V107" s="3" t="s">
        <v>4</v>
      </c>
    </row>
    <row r="108" spans="1:23">
      <c r="A108" s="3">
        <v>812</v>
      </c>
      <c r="B108" s="1">
        <f t="shared" si="17"/>
        <v>0</v>
      </c>
      <c r="C108" s="1">
        <f t="shared" si="18"/>
        <v>0</v>
      </c>
      <c r="D108" s="1">
        <f t="shared" si="19"/>
        <v>0</v>
      </c>
      <c r="E108" s="1">
        <f t="shared" si="20"/>
        <v>0</v>
      </c>
      <c r="F108" s="1">
        <f t="shared" si="20"/>
        <v>0</v>
      </c>
      <c r="G108" s="1" t="str">
        <f t="shared" si="21"/>
        <v>24061001</v>
      </c>
      <c r="H108" s="2">
        <v>45453</v>
      </c>
      <c r="I108" s="36">
        <v>1</v>
      </c>
      <c r="J108" s="1" t="str">
        <f t="shared" si="11"/>
        <v>01</v>
      </c>
      <c r="K108" s="3">
        <f t="shared" si="12"/>
        <v>24</v>
      </c>
      <c r="L108" s="3">
        <f t="shared" si="13"/>
        <v>6</v>
      </c>
      <c r="M108" s="3">
        <f t="shared" si="14"/>
        <v>10</v>
      </c>
      <c r="N108" s="3" t="str">
        <f t="shared" si="15"/>
        <v>06</v>
      </c>
      <c r="O108" s="14">
        <f t="shared" si="16"/>
        <v>10</v>
      </c>
      <c r="Q108" s="5">
        <v>1723.25</v>
      </c>
      <c r="S108" s="5" t="str">
        <f>IFERROR(P108/R108,"")</f>
        <v/>
      </c>
      <c r="T108" s="5" t="s">
        <v>306</v>
      </c>
      <c r="U108" s="3" t="s">
        <v>1</v>
      </c>
      <c r="V108" s="3" t="s">
        <v>4</v>
      </c>
    </row>
    <row r="109" spans="1:23">
      <c r="A109" s="3">
        <v>1518</v>
      </c>
      <c r="B109" s="1">
        <f t="shared" si="17"/>
        <v>0</v>
      </c>
      <c r="C109" s="1">
        <f t="shared" si="18"/>
        <v>0</v>
      </c>
      <c r="D109" s="1">
        <f t="shared" si="19"/>
        <v>0</v>
      </c>
      <c r="E109" s="1">
        <f t="shared" si="20"/>
        <v>0</v>
      </c>
      <c r="F109" s="1">
        <f t="shared" si="20"/>
        <v>0</v>
      </c>
      <c r="G109" s="1" t="str">
        <f t="shared" si="21"/>
        <v>24081002</v>
      </c>
      <c r="H109" s="2">
        <v>45514</v>
      </c>
      <c r="I109" s="36">
        <v>2</v>
      </c>
      <c r="J109" s="1" t="str">
        <f t="shared" si="11"/>
        <v>02</v>
      </c>
      <c r="K109" s="3">
        <f t="shared" si="12"/>
        <v>24</v>
      </c>
      <c r="L109" s="3">
        <f t="shared" si="13"/>
        <v>8</v>
      </c>
      <c r="M109" s="3">
        <f t="shared" si="14"/>
        <v>10</v>
      </c>
      <c r="N109" s="3" t="str">
        <f t="shared" si="15"/>
        <v>08</v>
      </c>
      <c r="O109" s="14">
        <f t="shared" si="16"/>
        <v>10</v>
      </c>
      <c r="Q109" s="5">
        <v>1585</v>
      </c>
      <c r="S109" s="5" t="str">
        <f>IFERROR(P109/R109,"")</f>
        <v/>
      </c>
      <c r="T109" s="5" t="s">
        <v>574</v>
      </c>
      <c r="U109" s="3" t="s">
        <v>3</v>
      </c>
      <c r="V109" s="3" t="s">
        <v>4</v>
      </c>
    </row>
    <row r="110" spans="1:23">
      <c r="A110" s="3">
        <v>220</v>
      </c>
      <c r="B110" s="1">
        <f t="shared" si="17"/>
        <v>0</v>
      </c>
      <c r="C110" s="1">
        <f t="shared" si="18"/>
        <v>0</v>
      </c>
      <c r="D110" s="1">
        <f t="shared" si="19"/>
        <v>0</v>
      </c>
      <c r="E110" s="1">
        <f t="shared" si="20"/>
        <v>0</v>
      </c>
      <c r="F110" s="1">
        <f t="shared" si="20"/>
        <v>0</v>
      </c>
      <c r="G110" s="1" t="str">
        <f t="shared" si="21"/>
        <v>24041903</v>
      </c>
      <c r="H110" s="2">
        <v>45401</v>
      </c>
      <c r="I110" s="36">
        <v>3</v>
      </c>
      <c r="J110" s="1" t="str">
        <f t="shared" si="11"/>
        <v>03</v>
      </c>
      <c r="K110" s="3">
        <f t="shared" si="12"/>
        <v>24</v>
      </c>
      <c r="L110" s="3">
        <f t="shared" si="13"/>
        <v>4</v>
      </c>
      <c r="M110" s="3">
        <f t="shared" si="14"/>
        <v>19</v>
      </c>
      <c r="N110" s="3" t="str">
        <f t="shared" si="15"/>
        <v>04</v>
      </c>
      <c r="O110" s="14">
        <f t="shared" si="16"/>
        <v>19</v>
      </c>
      <c r="Q110" s="5">
        <v>1552.5</v>
      </c>
      <c r="T110" s="5" t="s">
        <v>195</v>
      </c>
      <c r="U110" s="3" t="s">
        <v>3</v>
      </c>
      <c r="V110" s="3" t="s">
        <v>4</v>
      </c>
    </row>
    <row r="111" spans="1:23">
      <c r="A111" s="3">
        <v>1588</v>
      </c>
      <c r="B111" s="1">
        <f t="shared" si="17"/>
        <v>0</v>
      </c>
      <c r="C111" s="1">
        <f t="shared" si="18"/>
        <v>1</v>
      </c>
      <c r="D111" s="1">
        <f t="shared" si="19"/>
        <v>0</v>
      </c>
      <c r="E111" s="1">
        <f t="shared" si="20"/>
        <v>0</v>
      </c>
      <c r="F111" s="1">
        <f t="shared" si="20"/>
        <v>0</v>
      </c>
      <c r="G111" s="1" t="str">
        <f t="shared" si="21"/>
        <v>24081607</v>
      </c>
      <c r="H111" s="2">
        <v>45520</v>
      </c>
      <c r="I111" s="36">
        <v>7</v>
      </c>
      <c r="J111" s="1" t="str">
        <f t="shared" si="11"/>
        <v>07</v>
      </c>
      <c r="K111" s="3">
        <f t="shared" si="12"/>
        <v>24</v>
      </c>
      <c r="L111" s="3">
        <f t="shared" si="13"/>
        <v>8</v>
      </c>
      <c r="M111" s="3">
        <f t="shared" si="14"/>
        <v>16</v>
      </c>
      <c r="N111" s="3" t="str">
        <f t="shared" si="15"/>
        <v>08</v>
      </c>
      <c r="O111" s="14">
        <f t="shared" si="16"/>
        <v>16</v>
      </c>
      <c r="Q111" s="5">
        <v>1356</v>
      </c>
      <c r="R111" s="6">
        <v>515</v>
      </c>
      <c r="S111" s="5">
        <f>IFERROR(P111/R111,"")</f>
        <v>0</v>
      </c>
      <c r="T111" s="5" t="s">
        <v>626</v>
      </c>
      <c r="U111" s="3" t="s">
        <v>2</v>
      </c>
      <c r="V111" s="3" t="s">
        <v>4</v>
      </c>
    </row>
    <row r="112" spans="1:23">
      <c r="A112" s="3">
        <v>1361</v>
      </c>
      <c r="B112" s="1">
        <f t="shared" si="17"/>
        <v>0</v>
      </c>
      <c r="C112" s="1">
        <f t="shared" si="18"/>
        <v>1</v>
      </c>
      <c r="D112" s="1">
        <f t="shared" si="19"/>
        <v>0</v>
      </c>
      <c r="E112" s="1">
        <f t="shared" si="20"/>
        <v>0</v>
      </c>
      <c r="F112" s="1">
        <f t="shared" si="20"/>
        <v>0</v>
      </c>
      <c r="G112" s="1" t="str">
        <f t="shared" si="21"/>
        <v>24072702</v>
      </c>
      <c r="H112" s="2">
        <v>45500</v>
      </c>
      <c r="I112" s="36">
        <v>2</v>
      </c>
      <c r="J112" s="1" t="str">
        <f t="shared" si="11"/>
        <v>02</v>
      </c>
      <c r="K112" s="3">
        <f t="shared" si="12"/>
        <v>24</v>
      </c>
      <c r="L112" s="3">
        <f t="shared" si="13"/>
        <v>7</v>
      </c>
      <c r="M112" s="3">
        <f t="shared" si="14"/>
        <v>27</v>
      </c>
      <c r="N112" s="3" t="str">
        <f t="shared" si="15"/>
        <v>07</v>
      </c>
      <c r="O112" s="14">
        <f t="shared" si="16"/>
        <v>27</v>
      </c>
      <c r="Q112" s="5">
        <v>1300</v>
      </c>
      <c r="R112" s="6">
        <v>518</v>
      </c>
      <c r="S112" s="5">
        <f>IFERROR(P112/R112,"")</f>
        <v>0</v>
      </c>
      <c r="T112" s="5" t="s">
        <v>826</v>
      </c>
      <c r="U112" s="3" t="s">
        <v>3</v>
      </c>
      <c r="V112" s="3" t="s">
        <v>4</v>
      </c>
    </row>
    <row r="113" spans="1:23">
      <c r="A113" s="3">
        <v>445</v>
      </c>
      <c r="B113" s="1">
        <f t="shared" si="17"/>
        <v>0</v>
      </c>
      <c r="C113" s="1">
        <f t="shared" si="18"/>
        <v>1</v>
      </c>
      <c r="D113" s="1">
        <f t="shared" si="19"/>
        <v>0</v>
      </c>
      <c r="E113" s="1">
        <f t="shared" si="20"/>
        <v>0</v>
      </c>
      <c r="F113" s="1">
        <f t="shared" si="20"/>
        <v>0</v>
      </c>
      <c r="G113" s="52" t="str">
        <f t="shared" si="21"/>
        <v>24050911</v>
      </c>
      <c r="H113" s="9">
        <v>45421</v>
      </c>
      <c r="I113" s="36">
        <v>11</v>
      </c>
      <c r="J113" s="1">
        <f t="shared" si="11"/>
        <v>11</v>
      </c>
      <c r="K113" s="3">
        <f t="shared" si="12"/>
        <v>24</v>
      </c>
      <c r="L113" s="3">
        <f t="shared" si="13"/>
        <v>5</v>
      </c>
      <c r="M113" s="3">
        <f t="shared" si="14"/>
        <v>9</v>
      </c>
      <c r="N113" s="3" t="str">
        <f t="shared" si="15"/>
        <v>05</v>
      </c>
      <c r="O113" s="14" t="str">
        <f t="shared" si="16"/>
        <v>09</v>
      </c>
      <c r="P113" s="11"/>
      <c r="Q113" s="12">
        <v>1287.1400000000001</v>
      </c>
      <c r="R113" s="13"/>
      <c r="S113" s="12"/>
      <c r="T113" s="12" t="s">
        <v>133</v>
      </c>
      <c r="U113" s="10" t="s">
        <v>726</v>
      </c>
      <c r="V113" s="10" t="s">
        <v>4</v>
      </c>
      <c r="W113" s="10"/>
    </row>
    <row r="114" spans="1:23" hidden="1">
      <c r="J114" s="1" t="str">
        <f t="shared" si="11"/>
        <v>0</v>
      </c>
      <c r="K114" s="3">
        <f t="shared" si="12"/>
        <v>-100</v>
      </c>
      <c r="L114" s="3">
        <f t="shared" si="13"/>
        <v>1</v>
      </c>
      <c r="M114" s="3">
        <f t="shared" si="14"/>
        <v>0</v>
      </c>
      <c r="N114" s="3" t="str">
        <f t="shared" si="15"/>
        <v>01</v>
      </c>
      <c r="O114" s="14" t="str">
        <f t="shared" si="16"/>
        <v>00</v>
      </c>
    </row>
    <row r="115" spans="1:23" hidden="1">
      <c r="J115" s="1" t="str">
        <f t="shared" si="11"/>
        <v>0</v>
      </c>
      <c r="K115" s="3">
        <f t="shared" si="12"/>
        <v>-100</v>
      </c>
      <c r="L115" s="3">
        <f t="shared" si="13"/>
        <v>1</v>
      </c>
      <c r="M115" s="3">
        <f t="shared" si="14"/>
        <v>0</v>
      </c>
      <c r="N115" s="3" t="str">
        <f t="shared" si="15"/>
        <v>01</v>
      </c>
      <c r="O115" s="14" t="str">
        <f t="shared" si="16"/>
        <v>00</v>
      </c>
    </row>
    <row r="116" spans="1:23" hidden="1">
      <c r="J116" s="1" t="str">
        <f t="shared" si="11"/>
        <v>0</v>
      </c>
      <c r="K116" s="3">
        <f t="shared" si="12"/>
        <v>-100</v>
      </c>
      <c r="L116" s="3">
        <f t="shared" si="13"/>
        <v>1</v>
      </c>
      <c r="M116" s="3">
        <f t="shared" si="14"/>
        <v>0</v>
      </c>
      <c r="N116" s="3" t="str">
        <f t="shared" si="15"/>
        <v>01</v>
      </c>
      <c r="O116" s="14" t="str">
        <f t="shared" si="16"/>
        <v>00</v>
      </c>
    </row>
    <row r="117" spans="1:23" hidden="1">
      <c r="J117" s="1" t="str">
        <f t="shared" si="11"/>
        <v>0</v>
      </c>
      <c r="K117" s="3">
        <f t="shared" si="12"/>
        <v>-100</v>
      </c>
      <c r="L117" s="3">
        <f t="shared" si="13"/>
        <v>1</v>
      </c>
      <c r="M117" s="3">
        <f t="shared" si="14"/>
        <v>0</v>
      </c>
      <c r="N117" s="3" t="str">
        <f t="shared" si="15"/>
        <v>01</v>
      </c>
      <c r="O117" s="14" t="str">
        <f t="shared" si="16"/>
        <v>00</v>
      </c>
    </row>
    <row r="118" spans="1:23">
      <c r="A118" s="3">
        <v>516</v>
      </c>
      <c r="B118" s="1">
        <f>IF(G118="-",0,IF(G117=G118,1,0))</f>
        <v>0</v>
      </c>
      <c r="C118" s="1">
        <f>+IF(G118="-",0,IF(I118=I117+1,0,(IF(I118=1,0,1))))</f>
        <v>1</v>
      </c>
      <c r="D118" s="1">
        <f>+IF(AND(P118="",Q118=""),1,0)</f>
        <v>0</v>
      </c>
      <c r="E118" s="1">
        <f>IF(U118="",1,0)</f>
        <v>0</v>
      </c>
      <c r="F118" s="1">
        <f>IF(V118="",1,0)</f>
        <v>0</v>
      </c>
      <c r="G118" s="1" t="str">
        <f>IF(H118=0,"-",_xlfn.CONCAT(K118,N118,O118,J118))</f>
        <v>24051411</v>
      </c>
      <c r="H118" s="2">
        <v>45426</v>
      </c>
      <c r="I118" s="36">
        <v>11</v>
      </c>
      <c r="J118" s="1">
        <f t="shared" si="11"/>
        <v>11</v>
      </c>
      <c r="K118" s="3">
        <f t="shared" si="12"/>
        <v>24</v>
      </c>
      <c r="L118" s="3">
        <f t="shared" si="13"/>
        <v>5</v>
      </c>
      <c r="M118" s="3">
        <f t="shared" si="14"/>
        <v>14</v>
      </c>
      <c r="N118" s="3" t="str">
        <f t="shared" si="15"/>
        <v>05</v>
      </c>
      <c r="O118" s="14">
        <f t="shared" si="16"/>
        <v>14</v>
      </c>
      <c r="Q118" s="5">
        <v>1166.1600000000001</v>
      </c>
      <c r="T118" s="5" t="s">
        <v>155</v>
      </c>
      <c r="U118" s="3" t="s">
        <v>1</v>
      </c>
      <c r="V118" s="3" t="s">
        <v>4</v>
      </c>
    </row>
    <row r="119" spans="1:23" hidden="1">
      <c r="J119" s="1" t="str">
        <f t="shared" si="11"/>
        <v>0</v>
      </c>
      <c r="K119" s="3">
        <f t="shared" si="12"/>
        <v>-100</v>
      </c>
      <c r="L119" s="3">
        <f t="shared" si="13"/>
        <v>1</v>
      </c>
      <c r="M119" s="3">
        <f t="shared" si="14"/>
        <v>0</v>
      </c>
      <c r="N119" s="3" t="str">
        <f t="shared" si="15"/>
        <v>01</v>
      </c>
      <c r="O119" s="14" t="str">
        <f t="shared" si="16"/>
        <v>00</v>
      </c>
    </row>
    <row r="120" spans="1:23" hidden="1">
      <c r="J120" s="1" t="str">
        <f t="shared" si="11"/>
        <v>0</v>
      </c>
      <c r="K120" s="3">
        <f t="shared" si="12"/>
        <v>-100</v>
      </c>
      <c r="L120" s="3">
        <f t="shared" si="13"/>
        <v>1</v>
      </c>
      <c r="M120" s="3">
        <f t="shared" si="14"/>
        <v>0</v>
      </c>
      <c r="N120" s="3" t="str">
        <f t="shared" si="15"/>
        <v>01</v>
      </c>
      <c r="O120" s="14" t="str">
        <f t="shared" si="16"/>
        <v>00</v>
      </c>
    </row>
    <row r="121" spans="1:23" hidden="1">
      <c r="J121" s="1" t="str">
        <f t="shared" si="11"/>
        <v>0</v>
      </c>
      <c r="K121" s="3">
        <f t="shared" si="12"/>
        <v>-100</v>
      </c>
      <c r="L121" s="3">
        <f t="shared" si="13"/>
        <v>1</v>
      </c>
      <c r="M121" s="3">
        <f t="shared" si="14"/>
        <v>0</v>
      </c>
      <c r="N121" s="3" t="str">
        <f t="shared" si="15"/>
        <v>01</v>
      </c>
      <c r="O121" s="14" t="str">
        <f t="shared" si="16"/>
        <v>00</v>
      </c>
    </row>
    <row r="122" spans="1:23" hidden="1">
      <c r="J122" s="1" t="str">
        <f t="shared" si="11"/>
        <v>0</v>
      </c>
      <c r="K122" s="3">
        <f t="shared" si="12"/>
        <v>-100</v>
      </c>
      <c r="L122" s="3">
        <f t="shared" si="13"/>
        <v>1</v>
      </c>
      <c r="M122" s="3">
        <f t="shared" si="14"/>
        <v>0</v>
      </c>
      <c r="N122" s="3" t="str">
        <f t="shared" si="15"/>
        <v>01</v>
      </c>
      <c r="O122" s="14" t="str">
        <f t="shared" si="16"/>
        <v>00</v>
      </c>
    </row>
    <row r="123" spans="1:23">
      <c r="A123" s="3">
        <v>1832</v>
      </c>
      <c r="B123" s="1">
        <f>IF(G123="-",0,IF(G122=G123,1,0))</f>
        <v>0</v>
      </c>
      <c r="C123" s="1">
        <f>+IF(G123="-",0,IF(I123=I122+1,0,(IF(I123=1,0,1))))</f>
        <v>1</v>
      </c>
      <c r="D123" s="1">
        <f>+IF(AND(P123="",Q123=""),1,0)</f>
        <v>0</v>
      </c>
      <c r="E123" s="1">
        <f>IF(U123="",1,0)</f>
        <v>0</v>
      </c>
      <c r="F123" s="1">
        <f>IF(V123="",1,0)</f>
        <v>0</v>
      </c>
      <c r="G123" s="1" t="str">
        <f>IF(H123=0,"-",_xlfn.CONCAT(K123,N123,O123,J123))</f>
        <v>24090704</v>
      </c>
      <c r="H123" s="2">
        <v>45542</v>
      </c>
      <c r="I123" s="36">
        <v>4</v>
      </c>
      <c r="J123" s="1" t="str">
        <f t="shared" si="11"/>
        <v>04</v>
      </c>
      <c r="K123" s="3">
        <f t="shared" si="12"/>
        <v>24</v>
      </c>
      <c r="L123" s="3">
        <f t="shared" si="13"/>
        <v>9</v>
      </c>
      <c r="M123" s="3">
        <f t="shared" si="14"/>
        <v>7</v>
      </c>
      <c r="N123" s="3" t="str">
        <f t="shared" si="15"/>
        <v>09</v>
      </c>
      <c r="O123" s="14" t="str">
        <f t="shared" si="16"/>
        <v>07</v>
      </c>
      <c r="Q123" s="5">
        <v>1100</v>
      </c>
      <c r="R123" s="6">
        <v>513</v>
      </c>
      <c r="S123" s="5">
        <f>IFERROR(P123/R123,"")</f>
        <v>0</v>
      </c>
      <c r="T123" s="5" t="s">
        <v>724</v>
      </c>
      <c r="U123" s="3" t="s">
        <v>3</v>
      </c>
      <c r="V123" s="3" t="s">
        <v>4</v>
      </c>
    </row>
    <row r="124" spans="1:23" hidden="1">
      <c r="J124" s="1" t="str">
        <f t="shared" si="11"/>
        <v>0</v>
      </c>
      <c r="K124" s="3">
        <f t="shared" si="12"/>
        <v>-100</v>
      </c>
      <c r="L124" s="3">
        <f t="shared" si="13"/>
        <v>1</v>
      </c>
      <c r="M124" s="3">
        <f t="shared" si="14"/>
        <v>0</v>
      </c>
      <c r="N124" s="3" t="str">
        <f t="shared" si="15"/>
        <v>01</v>
      </c>
      <c r="O124" s="14" t="str">
        <f t="shared" si="16"/>
        <v>00</v>
      </c>
    </row>
    <row r="125" spans="1:23" hidden="1">
      <c r="J125" s="1" t="str">
        <f t="shared" si="11"/>
        <v>0</v>
      </c>
      <c r="K125" s="3">
        <f t="shared" si="12"/>
        <v>-100</v>
      </c>
      <c r="L125" s="3">
        <f t="shared" si="13"/>
        <v>1</v>
      </c>
      <c r="M125" s="3">
        <f t="shared" si="14"/>
        <v>0</v>
      </c>
      <c r="N125" s="3" t="str">
        <f t="shared" si="15"/>
        <v>01</v>
      </c>
      <c r="O125" s="14" t="str">
        <f t="shared" si="16"/>
        <v>00</v>
      </c>
    </row>
    <row r="126" spans="1:23" hidden="1">
      <c r="J126" s="1" t="str">
        <f t="shared" si="11"/>
        <v>0</v>
      </c>
      <c r="K126" s="3">
        <f t="shared" si="12"/>
        <v>-100</v>
      </c>
      <c r="L126" s="3">
        <f t="shared" si="13"/>
        <v>1</v>
      </c>
      <c r="M126" s="3">
        <f t="shared" si="14"/>
        <v>0</v>
      </c>
      <c r="N126" s="3" t="str">
        <f t="shared" si="15"/>
        <v>01</v>
      </c>
      <c r="O126" s="14" t="str">
        <f t="shared" si="16"/>
        <v>00</v>
      </c>
    </row>
    <row r="127" spans="1:23" hidden="1">
      <c r="J127" s="1" t="str">
        <f t="shared" si="11"/>
        <v>0</v>
      </c>
      <c r="K127" s="3">
        <f t="shared" si="12"/>
        <v>-100</v>
      </c>
      <c r="L127" s="3">
        <f t="shared" si="13"/>
        <v>1</v>
      </c>
      <c r="M127" s="3">
        <f t="shared" si="14"/>
        <v>0</v>
      </c>
      <c r="N127" s="3" t="str">
        <f t="shared" si="15"/>
        <v>01</v>
      </c>
      <c r="O127" s="14" t="str">
        <f t="shared" si="16"/>
        <v>00</v>
      </c>
    </row>
    <row r="128" spans="1:23" hidden="1">
      <c r="J128" s="1" t="str">
        <f t="shared" si="11"/>
        <v>0</v>
      </c>
      <c r="K128" s="3">
        <f t="shared" si="12"/>
        <v>-100</v>
      </c>
      <c r="L128" s="3">
        <f t="shared" si="13"/>
        <v>1</v>
      </c>
      <c r="M128" s="3">
        <f t="shared" si="14"/>
        <v>0</v>
      </c>
      <c r="N128" s="3" t="str">
        <f t="shared" si="15"/>
        <v>01</v>
      </c>
      <c r="O128" s="14" t="str">
        <f t="shared" si="16"/>
        <v>00</v>
      </c>
    </row>
    <row r="129" spans="1:22" hidden="1">
      <c r="J129" s="1" t="str">
        <f t="shared" si="11"/>
        <v>0</v>
      </c>
      <c r="K129" s="3">
        <f t="shared" si="12"/>
        <v>-100</v>
      </c>
      <c r="L129" s="3">
        <f t="shared" si="13"/>
        <v>1</v>
      </c>
      <c r="M129" s="3">
        <f t="shared" si="14"/>
        <v>0</v>
      </c>
      <c r="N129" s="3" t="str">
        <f t="shared" si="15"/>
        <v>01</v>
      </c>
      <c r="O129" s="14" t="str">
        <f t="shared" si="16"/>
        <v>00</v>
      </c>
    </row>
    <row r="130" spans="1:22" hidden="1">
      <c r="J130" s="1" t="str">
        <f t="shared" si="11"/>
        <v>0</v>
      </c>
      <c r="K130" s="3">
        <f t="shared" si="12"/>
        <v>-100</v>
      </c>
      <c r="L130" s="3">
        <f t="shared" si="13"/>
        <v>1</v>
      </c>
      <c r="M130" s="3">
        <f t="shared" si="14"/>
        <v>0</v>
      </c>
      <c r="N130" s="3" t="str">
        <f t="shared" si="15"/>
        <v>01</v>
      </c>
      <c r="O130" s="14" t="str">
        <f t="shared" si="16"/>
        <v>00</v>
      </c>
    </row>
    <row r="131" spans="1:22">
      <c r="A131" s="3">
        <v>1316</v>
      </c>
      <c r="B131" s="1">
        <f>IF(G131="-",0,IF(G130=G131,1,0))</f>
        <v>0</v>
      </c>
      <c r="C131" s="1">
        <f>+IF(G131="-",0,IF(I131=I130+1,0,(IF(I131=1,0,1))))</f>
        <v>0</v>
      </c>
      <c r="D131" s="1">
        <f>+IF(AND(P131="",Q131=""),1,0)</f>
        <v>0</v>
      </c>
      <c r="E131" s="1">
        <f t="shared" ref="E131:F134" si="22">IF(U131="",1,0)</f>
        <v>0</v>
      </c>
      <c r="F131" s="1">
        <f t="shared" si="22"/>
        <v>0</v>
      </c>
      <c r="G131" s="1" t="str">
        <f>IF(H131=0,"-",_xlfn.CONCAT(K131,N131,O131,J131))</f>
        <v>24072201</v>
      </c>
      <c r="H131" s="2">
        <v>45495</v>
      </c>
      <c r="I131" s="36">
        <v>1</v>
      </c>
      <c r="J131" s="1" t="str">
        <f t="shared" si="11"/>
        <v>01</v>
      </c>
      <c r="K131" s="3">
        <f t="shared" si="12"/>
        <v>24</v>
      </c>
      <c r="L131" s="3">
        <f t="shared" si="13"/>
        <v>7</v>
      </c>
      <c r="M131" s="3">
        <f t="shared" si="14"/>
        <v>22</v>
      </c>
      <c r="N131" s="3" t="str">
        <f t="shared" si="15"/>
        <v>07</v>
      </c>
      <c r="O131" s="14">
        <f t="shared" si="16"/>
        <v>22</v>
      </c>
      <c r="Q131" s="5">
        <v>1049.3599999999999</v>
      </c>
      <c r="R131" s="6">
        <v>522</v>
      </c>
      <c r="S131" s="5">
        <f>IFERROR(P131/R131,"")</f>
        <v>0</v>
      </c>
      <c r="T131" s="5" t="s">
        <v>506</v>
      </c>
      <c r="U131" s="3" t="s">
        <v>3</v>
      </c>
      <c r="V131" s="3" t="s">
        <v>4</v>
      </c>
    </row>
    <row r="132" spans="1:22">
      <c r="A132" s="3">
        <v>470</v>
      </c>
      <c r="B132" s="1">
        <f>IF(G132="-",0,IF(G131=G132,1,0))</f>
        <v>0</v>
      </c>
      <c r="C132" s="1">
        <f>+IF(G132="-",0,IF(I132=I131+1,0,(IF(I132=1,0,1))))</f>
        <v>1</v>
      </c>
      <c r="D132" s="1">
        <f>+IF(AND(P132="",Q132=""),1,0)</f>
        <v>0</v>
      </c>
      <c r="E132" s="1">
        <f t="shared" si="22"/>
        <v>0</v>
      </c>
      <c r="F132" s="1">
        <f t="shared" si="22"/>
        <v>0</v>
      </c>
      <c r="G132" s="1" t="str">
        <f>IF(H132=0,"-",_xlfn.CONCAT(K132,N132,O132,J132))</f>
        <v>24051012</v>
      </c>
      <c r="H132" s="2">
        <v>45422</v>
      </c>
      <c r="I132" s="36">
        <v>12</v>
      </c>
      <c r="J132" s="1">
        <f t="shared" si="11"/>
        <v>12</v>
      </c>
      <c r="K132" s="3">
        <f t="shared" si="12"/>
        <v>24</v>
      </c>
      <c r="L132" s="3">
        <f t="shared" si="13"/>
        <v>5</v>
      </c>
      <c r="M132" s="3">
        <f t="shared" si="14"/>
        <v>10</v>
      </c>
      <c r="N132" s="3" t="str">
        <f t="shared" si="15"/>
        <v>05</v>
      </c>
      <c r="O132" s="14">
        <f t="shared" si="16"/>
        <v>10</v>
      </c>
      <c r="Q132" s="5">
        <v>1015.87</v>
      </c>
      <c r="T132" s="5" t="s">
        <v>174</v>
      </c>
      <c r="U132" s="3" t="s">
        <v>2</v>
      </c>
      <c r="V132" s="3" t="s">
        <v>4</v>
      </c>
    </row>
    <row r="133" spans="1:22">
      <c r="A133" s="3">
        <v>1360</v>
      </c>
      <c r="B133" s="1">
        <f>IF(G133="-",0,IF(G132=G133,1,0))</f>
        <v>0</v>
      </c>
      <c r="C133" s="1">
        <f>+IF(G133="-",0,IF(I133=I132+1,0,(IF(I133=1,0,1))))</f>
        <v>0</v>
      </c>
      <c r="D133" s="1">
        <f>+IF(AND(P133="",Q133=""),1,0)</f>
        <v>0</v>
      </c>
      <c r="E133" s="1">
        <f t="shared" si="22"/>
        <v>0</v>
      </c>
      <c r="F133" s="1">
        <f t="shared" si="22"/>
        <v>0</v>
      </c>
      <c r="G133" s="1" t="str">
        <f>IF(H133=0,"-",_xlfn.CONCAT(K133,N133,O133,J133))</f>
        <v>24072701</v>
      </c>
      <c r="H133" s="2">
        <v>45500</v>
      </c>
      <c r="I133" s="36">
        <v>1</v>
      </c>
      <c r="J133" s="1" t="str">
        <f t="shared" si="11"/>
        <v>01</v>
      </c>
      <c r="K133" s="3">
        <f t="shared" si="12"/>
        <v>24</v>
      </c>
      <c r="L133" s="3">
        <f t="shared" si="13"/>
        <v>7</v>
      </c>
      <c r="M133" s="3">
        <f t="shared" si="14"/>
        <v>27</v>
      </c>
      <c r="N133" s="3" t="str">
        <f t="shared" si="15"/>
        <v>07</v>
      </c>
      <c r="O133" s="14">
        <f t="shared" si="16"/>
        <v>27</v>
      </c>
      <c r="Q133" s="5">
        <v>1000</v>
      </c>
      <c r="R133" s="6">
        <v>518</v>
      </c>
      <c r="S133" s="5">
        <f>IFERROR(P133/R133,"")</f>
        <v>0</v>
      </c>
      <c r="T133" s="5" t="s">
        <v>539</v>
      </c>
      <c r="U133" s="3" t="s">
        <v>2</v>
      </c>
      <c r="V133" s="3" t="s">
        <v>4</v>
      </c>
    </row>
    <row r="134" spans="1:22">
      <c r="A134" s="3">
        <v>1763</v>
      </c>
      <c r="B134" s="1">
        <f>IF(G134="-",0,IF(G133=G134,1,0))</f>
        <v>0</v>
      </c>
      <c r="C134" s="1">
        <f>+IF(G134="-",0,IF(I134=I133+1,0,(IF(I134=1,0,1))))</f>
        <v>0</v>
      </c>
      <c r="D134" s="1">
        <f>+IF(AND(P134="",Q134=""),1,0)</f>
        <v>0</v>
      </c>
      <c r="E134" s="1">
        <f t="shared" si="22"/>
        <v>0</v>
      </c>
      <c r="F134" s="1">
        <f t="shared" si="22"/>
        <v>0</v>
      </c>
      <c r="G134" s="1" t="str">
        <f>IF(H134=0,"-",_xlfn.CONCAT(K134,N134,O134,J134))</f>
        <v>24083101</v>
      </c>
      <c r="H134" s="2">
        <v>45535</v>
      </c>
      <c r="I134" s="36">
        <v>1</v>
      </c>
      <c r="J134" s="1" t="str">
        <f t="shared" si="11"/>
        <v>01</v>
      </c>
      <c r="K134" s="3">
        <f t="shared" si="12"/>
        <v>24</v>
      </c>
      <c r="L134" s="3">
        <f t="shared" si="13"/>
        <v>8</v>
      </c>
      <c r="M134" s="3">
        <f t="shared" si="14"/>
        <v>31</v>
      </c>
      <c r="N134" s="3" t="str">
        <f t="shared" si="15"/>
        <v>08</v>
      </c>
      <c r="O134" s="14">
        <f t="shared" si="16"/>
        <v>31</v>
      </c>
      <c r="Q134" s="5">
        <v>900</v>
      </c>
      <c r="R134" s="6">
        <v>513</v>
      </c>
      <c r="S134" s="5">
        <f>IFERROR(P134/R134,"")</f>
        <v>0</v>
      </c>
      <c r="T134" s="5" t="s">
        <v>678</v>
      </c>
      <c r="U134" s="3" t="s">
        <v>3</v>
      </c>
      <c r="V134" s="3" t="s">
        <v>4</v>
      </c>
    </row>
    <row r="135" spans="1:22" hidden="1">
      <c r="J135" s="1" t="str">
        <f t="shared" si="11"/>
        <v>0</v>
      </c>
      <c r="K135" s="3">
        <f t="shared" si="12"/>
        <v>-100</v>
      </c>
      <c r="L135" s="3">
        <f t="shared" si="13"/>
        <v>1</v>
      </c>
      <c r="M135" s="3">
        <f t="shared" si="14"/>
        <v>0</v>
      </c>
      <c r="N135" s="3" t="str">
        <f t="shared" si="15"/>
        <v>01</v>
      </c>
      <c r="O135" s="14" t="str">
        <f t="shared" si="16"/>
        <v>00</v>
      </c>
    </row>
    <row r="136" spans="1:22" hidden="1">
      <c r="J136" s="1" t="str">
        <f t="shared" si="11"/>
        <v>0</v>
      </c>
      <c r="K136" s="3">
        <f t="shared" si="12"/>
        <v>-100</v>
      </c>
      <c r="L136" s="3">
        <f t="shared" si="13"/>
        <v>1</v>
      </c>
      <c r="M136" s="3">
        <f t="shared" si="14"/>
        <v>0</v>
      </c>
      <c r="N136" s="3" t="str">
        <f t="shared" si="15"/>
        <v>01</v>
      </c>
      <c r="O136" s="14" t="str">
        <f t="shared" si="16"/>
        <v>00</v>
      </c>
    </row>
    <row r="137" spans="1:22" hidden="1">
      <c r="J137" s="1" t="str">
        <f t="shared" si="11"/>
        <v>0</v>
      </c>
      <c r="K137" s="3">
        <f t="shared" si="12"/>
        <v>-100</v>
      </c>
      <c r="L137" s="3">
        <f t="shared" si="13"/>
        <v>1</v>
      </c>
      <c r="M137" s="3">
        <f t="shared" si="14"/>
        <v>0</v>
      </c>
      <c r="N137" s="3" t="str">
        <f t="shared" si="15"/>
        <v>01</v>
      </c>
      <c r="O137" s="14" t="str">
        <f t="shared" si="16"/>
        <v>00</v>
      </c>
    </row>
    <row r="138" spans="1:22" hidden="1">
      <c r="J138" s="1" t="str">
        <f t="shared" si="11"/>
        <v>0</v>
      </c>
      <c r="K138" s="3">
        <f t="shared" si="12"/>
        <v>-100</v>
      </c>
      <c r="L138" s="3">
        <f t="shared" si="13"/>
        <v>1</v>
      </c>
      <c r="M138" s="3">
        <f t="shared" si="14"/>
        <v>0</v>
      </c>
      <c r="N138" s="3" t="str">
        <f t="shared" si="15"/>
        <v>01</v>
      </c>
      <c r="O138" s="14" t="str">
        <f t="shared" si="16"/>
        <v>00</v>
      </c>
    </row>
    <row r="139" spans="1:22" hidden="1">
      <c r="J139" s="1" t="str">
        <f t="shared" si="11"/>
        <v>0</v>
      </c>
      <c r="K139" s="3">
        <f t="shared" si="12"/>
        <v>-100</v>
      </c>
      <c r="L139" s="3">
        <f t="shared" si="13"/>
        <v>1</v>
      </c>
      <c r="M139" s="3">
        <f t="shared" si="14"/>
        <v>0</v>
      </c>
      <c r="N139" s="3" t="str">
        <f t="shared" si="15"/>
        <v>01</v>
      </c>
      <c r="O139" s="14" t="str">
        <f t="shared" si="16"/>
        <v>00</v>
      </c>
    </row>
    <row r="140" spans="1:22" hidden="1">
      <c r="J140" s="1" t="str">
        <f t="shared" si="11"/>
        <v>0</v>
      </c>
      <c r="K140" s="3">
        <f t="shared" si="12"/>
        <v>-100</v>
      </c>
      <c r="L140" s="3">
        <f t="shared" si="13"/>
        <v>1</v>
      </c>
      <c r="M140" s="3">
        <f t="shared" si="14"/>
        <v>0</v>
      </c>
      <c r="N140" s="3" t="str">
        <f t="shared" si="15"/>
        <v>01</v>
      </c>
      <c r="O140" s="14" t="str">
        <f t="shared" si="16"/>
        <v>00</v>
      </c>
    </row>
    <row r="141" spans="1:22">
      <c r="A141" s="3">
        <v>544</v>
      </c>
      <c r="B141" s="1">
        <f>IF(G141="-",0,IF(G140=G141,1,0))</f>
        <v>0</v>
      </c>
      <c r="C141" s="1">
        <f>+IF(G141="-",0,IF(I141=I140+1,0,(IF(I141=1,0,1))))</f>
        <v>1</v>
      </c>
      <c r="D141" s="1">
        <f>+IF(AND(P141="",Q141=""),1,0)</f>
        <v>0</v>
      </c>
      <c r="E141" s="1">
        <f>IF(U141="",1,0)</f>
        <v>0</v>
      </c>
      <c r="F141" s="1">
        <f>IF(V141="",1,0)</f>
        <v>0</v>
      </c>
      <c r="G141" s="1" t="str">
        <f>IF(H141=0,"-",_xlfn.CONCAT(K141,N141,O141,J141))</f>
        <v>24051703</v>
      </c>
      <c r="H141" s="2">
        <v>45429</v>
      </c>
      <c r="I141" s="36">
        <v>3</v>
      </c>
      <c r="J141" s="1" t="str">
        <f t="shared" si="11"/>
        <v>03</v>
      </c>
      <c r="K141" s="3">
        <f t="shared" si="12"/>
        <v>24</v>
      </c>
      <c r="L141" s="3">
        <f t="shared" si="13"/>
        <v>5</v>
      </c>
      <c r="M141" s="3">
        <f t="shared" si="14"/>
        <v>17</v>
      </c>
      <c r="N141" s="3" t="str">
        <f t="shared" si="15"/>
        <v>05</v>
      </c>
      <c r="O141" s="14">
        <f t="shared" si="16"/>
        <v>17</v>
      </c>
      <c r="Q141" s="5">
        <f>824.5</f>
        <v>824.5</v>
      </c>
      <c r="T141" s="5" t="s">
        <v>176</v>
      </c>
      <c r="U141" s="3" t="s">
        <v>3</v>
      </c>
      <c r="V141" s="3" t="s">
        <v>4</v>
      </c>
    </row>
    <row r="142" spans="1:22" hidden="1">
      <c r="J142" s="1" t="str">
        <f t="shared" ref="J142:J205" si="23">+IF(I142&lt;10,_xlfn.CONCAT("0",I142),I142)</f>
        <v>0</v>
      </c>
      <c r="K142" s="3">
        <f t="shared" ref="K142:K205" si="24">+YEAR(H142)-2000</f>
        <v>-100</v>
      </c>
      <c r="L142" s="3">
        <f t="shared" ref="L142:L205" si="25">+MONTH(H142)</f>
        <v>1</v>
      </c>
      <c r="M142" s="3">
        <f t="shared" ref="M142:M205" si="26">+DAY(H142)</f>
        <v>0</v>
      </c>
      <c r="N142" s="3" t="str">
        <f t="shared" ref="N142:N205" si="27">+IF(L142&lt;10,_xlfn.CONCAT("0",L142),L142)</f>
        <v>01</v>
      </c>
      <c r="O142" s="14" t="str">
        <f t="shared" ref="O142:O205" si="28">+IF(M142&lt;10,_xlfn.CONCAT("0",M142),M142)</f>
        <v>00</v>
      </c>
    </row>
    <row r="143" spans="1:22">
      <c r="A143" s="3">
        <v>1387</v>
      </c>
      <c r="B143" s="1">
        <f>IF(G143="-",0,IF(G142=G143,1,0))</f>
        <v>0</v>
      </c>
      <c r="C143" s="1">
        <f>+IF(G143="-",0,IF(I143=I142+1,0,(IF(I143=1,0,1))))</f>
        <v>1</v>
      </c>
      <c r="D143" s="1">
        <f>+IF(AND(P143="",Q143=""),1,0)</f>
        <v>0</v>
      </c>
      <c r="E143" s="1">
        <f>IF(U143="",1,0)</f>
        <v>0</v>
      </c>
      <c r="F143" s="1">
        <f>IF(V143="",1,0)</f>
        <v>0</v>
      </c>
      <c r="G143" s="1" t="str">
        <f>IF(H143=0,"-",_xlfn.CONCAT(K143,N143,O143,J143))</f>
        <v>24072727</v>
      </c>
      <c r="H143" s="2">
        <v>45500</v>
      </c>
      <c r="I143" s="36">
        <v>27</v>
      </c>
      <c r="J143" s="1">
        <f t="shared" si="23"/>
        <v>27</v>
      </c>
      <c r="K143" s="3">
        <f t="shared" si="24"/>
        <v>24</v>
      </c>
      <c r="L143" s="3">
        <f t="shared" si="25"/>
        <v>7</v>
      </c>
      <c r="M143" s="3">
        <f t="shared" si="26"/>
        <v>27</v>
      </c>
      <c r="N143" s="3" t="str">
        <f t="shared" si="27"/>
        <v>07</v>
      </c>
      <c r="O143" s="14">
        <f t="shared" si="28"/>
        <v>27</v>
      </c>
      <c r="Q143" s="5">
        <v>700</v>
      </c>
      <c r="R143" s="6">
        <v>518</v>
      </c>
      <c r="S143" s="5">
        <f>IFERROR(P143/R143,"")</f>
        <v>0</v>
      </c>
      <c r="T143" s="5" t="s">
        <v>540</v>
      </c>
      <c r="U143" s="3" t="s">
        <v>2</v>
      </c>
      <c r="V143" s="3" t="s">
        <v>4</v>
      </c>
    </row>
    <row r="144" spans="1:22" hidden="1">
      <c r="J144" s="1" t="str">
        <f t="shared" si="23"/>
        <v>0</v>
      </c>
      <c r="K144" s="3">
        <f t="shared" si="24"/>
        <v>-100</v>
      </c>
      <c r="L144" s="3">
        <f t="shared" si="25"/>
        <v>1</v>
      </c>
      <c r="M144" s="3">
        <f t="shared" si="26"/>
        <v>0</v>
      </c>
      <c r="N144" s="3" t="str">
        <f t="shared" si="27"/>
        <v>01</v>
      </c>
      <c r="O144" s="14" t="str">
        <f t="shared" si="28"/>
        <v>00</v>
      </c>
    </row>
    <row r="145" spans="1:23" hidden="1">
      <c r="J145" s="1" t="str">
        <f t="shared" si="23"/>
        <v>0</v>
      </c>
      <c r="K145" s="3">
        <f t="shared" si="24"/>
        <v>-100</v>
      </c>
      <c r="L145" s="3">
        <f t="shared" si="25"/>
        <v>1</v>
      </c>
      <c r="M145" s="3">
        <f t="shared" si="26"/>
        <v>0</v>
      </c>
      <c r="N145" s="3" t="str">
        <f t="shared" si="27"/>
        <v>01</v>
      </c>
      <c r="O145" s="14" t="str">
        <f t="shared" si="28"/>
        <v>00</v>
      </c>
    </row>
    <row r="146" spans="1:23" hidden="1">
      <c r="J146" s="1" t="str">
        <f t="shared" si="23"/>
        <v>0</v>
      </c>
      <c r="K146" s="3">
        <f t="shared" si="24"/>
        <v>-100</v>
      </c>
      <c r="L146" s="3">
        <f t="shared" si="25"/>
        <v>1</v>
      </c>
      <c r="M146" s="3">
        <f t="shared" si="26"/>
        <v>0</v>
      </c>
      <c r="N146" s="3" t="str">
        <f t="shared" si="27"/>
        <v>01</v>
      </c>
      <c r="O146" s="14" t="str">
        <f t="shared" si="28"/>
        <v>00</v>
      </c>
    </row>
    <row r="147" spans="1:23" hidden="1">
      <c r="J147" s="1" t="str">
        <f t="shared" si="23"/>
        <v>0</v>
      </c>
      <c r="K147" s="3">
        <f t="shared" si="24"/>
        <v>-100</v>
      </c>
      <c r="L147" s="3">
        <f t="shared" si="25"/>
        <v>1</v>
      </c>
      <c r="M147" s="3">
        <f t="shared" si="26"/>
        <v>0</v>
      </c>
      <c r="N147" s="3" t="str">
        <f t="shared" si="27"/>
        <v>01</v>
      </c>
      <c r="O147" s="14" t="str">
        <f t="shared" si="28"/>
        <v>00</v>
      </c>
    </row>
    <row r="148" spans="1:23">
      <c r="A148" s="3">
        <v>2635</v>
      </c>
      <c r="B148" s="1">
        <f>IF(G148="-",0,IF(G147=G148,1,0))</f>
        <v>0</v>
      </c>
      <c r="C148" s="1">
        <f>+IF(G148="-",0,IF(I148=I147+1,0,(IF(I148=1,0,1))))</f>
        <v>0</v>
      </c>
      <c r="D148" s="1">
        <f>+IF(AND(P148="",Q148=""),1,0)</f>
        <v>0</v>
      </c>
      <c r="E148" s="1">
        <f>IF(U148="",1,0)</f>
        <v>0</v>
      </c>
      <c r="F148" s="1">
        <f>IF(V148="",1,0)</f>
        <v>0</v>
      </c>
      <c r="G148" s="1" t="str">
        <f>IF(H148=0,"-",_xlfn.CONCAT(K148,N148,O148,J148))</f>
        <v>24112901</v>
      </c>
      <c r="H148" s="2">
        <v>45625</v>
      </c>
      <c r="I148" s="36">
        <v>1</v>
      </c>
      <c r="J148" s="1" t="str">
        <f t="shared" si="23"/>
        <v>01</v>
      </c>
      <c r="K148" s="3">
        <f t="shared" si="24"/>
        <v>24</v>
      </c>
      <c r="L148" s="3">
        <f t="shared" si="25"/>
        <v>11</v>
      </c>
      <c r="M148" s="3">
        <f t="shared" si="26"/>
        <v>29</v>
      </c>
      <c r="N148" s="3">
        <f t="shared" si="27"/>
        <v>11</v>
      </c>
      <c r="O148" s="14">
        <f t="shared" si="28"/>
        <v>29</v>
      </c>
      <c r="Q148" s="5">
        <v>565</v>
      </c>
      <c r="T148" s="5" t="s">
        <v>1144</v>
      </c>
      <c r="U148" s="3" t="s">
        <v>2</v>
      </c>
      <c r="V148" s="3" t="s">
        <v>4</v>
      </c>
      <c r="W148" s="3" t="s">
        <v>1145</v>
      </c>
    </row>
    <row r="149" spans="1:23" hidden="1">
      <c r="J149" s="1" t="str">
        <f t="shared" si="23"/>
        <v>0</v>
      </c>
      <c r="K149" s="3">
        <f t="shared" si="24"/>
        <v>-100</v>
      </c>
      <c r="L149" s="3">
        <f t="shared" si="25"/>
        <v>1</v>
      </c>
      <c r="M149" s="3">
        <f t="shared" si="26"/>
        <v>0</v>
      </c>
      <c r="N149" s="3" t="str">
        <f t="shared" si="27"/>
        <v>01</v>
      </c>
      <c r="O149" s="14" t="str">
        <f t="shared" si="28"/>
        <v>00</v>
      </c>
    </row>
    <row r="150" spans="1:23" s="42" customFormat="1" hidden="1">
      <c r="A150" s="3"/>
      <c r="B150" s="1"/>
      <c r="C150" s="1"/>
      <c r="D150" s="1"/>
      <c r="E150" s="1"/>
      <c r="F150" s="1"/>
      <c r="G150" s="38"/>
      <c r="H150" s="37"/>
      <c r="I150" s="38"/>
      <c r="J150" s="38" t="str">
        <f t="shared" si="23"/>
        <v>0</v>
      </c>
      <c r="K150" s="42">
        <f t="shared" si="24"/>
        <v>-100</v>
      </c>
      <c r="L150" s="42">
        <f t="shared" si="25"/>
        <v>1</v>
      </c>
      <c r="M150" s="42">
        <f t="shared" si="26"/>
        <v>0</v>
      </c>
      <c r="N150" s="42" t="str">
        <f t="shared" si="27"/>
        <v>01</v>
      </c>
      <c r="O150" s="50" t="str">
        <f t="shared" si="28"/>
        <v>00</v>
      </c>
      <c r="P150" s="39"/>
      <c r="Q150" s="40"/>
      <c r="R150" s="41"/>
      <c r="S150" s="40"/>
      <c r="T150" s="40"/>
    </row>
    <row r="151" spans="1:23" hidden="1">
      <c r="J151" s="1" t="str">
        <f t="shared" si="23"/>
        <v>0</v>
      </c>
      <c r="K151" s="3">
        <f t="shared" si="24"/>
        <v>-100</v>
      </c>
      <c r="L151" s="3">
        <f t="shared" si="25"/>
        <v>1</v>
      </c>
      <c r="M151" s="3">
        <f t="shared" si="26"/>
        <v>0</v>
      </c>
      <c r="N151" s="3" t="str">
        <f t="shared" si="27"/>
        <v>01</v>
      </c>
      <c r="O151" s="14" t="str">
        <f t="shared" si="28"/>
        <v>00</v>
      </c>
    </row>
    <row r="152" spans="1:23">
      <c r="A152" s="3">
        <v>2776</v>
      </c>
      <c r="B152" s="1">
        <f>IF(G152="-",0,IF(G151=G152,1,0))</f>
        <v>0</v>
      </c>
      <c r="C152" s="1">
        <f>+IF(G152="-",0,IF(I152=I151+1,0,(IF(I152=1,0,1))))</f>
        <v>1</v>
      </c>
      <c r="D152" s="1">
        <f>+IF(AND(P152="",Q152=""),1,0)</f>
        <v>0</v>
      </c>
      <c r="E152" s="1">
        <f t="shared" ref="E152:F155" si="29">IF(U152="",1,0)</f>
        <v>0</v>
      </c>
      <c r="F152" s="1">
        <f t="shared" si="29"/>
        <v>0</v>
      </c>
      <c r="G152" s="1" t="str">
        <f>IF(H152=0,"-",_xlfn.CONCAT(K152,N152,O152,J152))</f>
        <v>24112910</v>
      </c>
      <c r="H152" s="2">
        <v>45625</v>
      </c>
      <c r="I152" s="36">
        <v>10</v>
      </c>
      <c r="J152" s="1">
        <f t="shared" si="23"/>
        <v>10</v>
      </c>
      <c r="K152" s="3">
        <f t="shared" si="24"/>
        <v>24</v>
      </c>
      <c r="L152" s="3">
        <f t="shared" si="25"/>
        <v>11</v>
      </c>
      <c r="M152" s="3">
        <f t="shared" si="26"/>
        <v>29</v>
      </c>
      <c r="N152" s="3">
        <f t="shared" si="27"/>
        <v>11</v>
      </c>
      <c r="O152" s="14">
        <f t="shared" si="28"/>
        <v>29</v>
      </c>
      <c r="Q152" s="5">
        <v>565</v>
      </c>
      <c r="T152" s="5" t="s">
        <v>1213</v>
      </c>
      <c r="U152" s="3" t="s">
        <v>3</v>
      </c>
      <c r="V152" s="3" t="s">
        <v>4</v>
      </c>
    </row>
    <row r="153" spans="1:23">
      <c r="A153" s="3">
        <v>358</v>
      </c>
      <c r="B153" s="1">
        <f>IF(G153="-",0,IF(G152=G153,1,0))</f>
        <v>0</v>
      </c>
      <c r="C153" s="1">
        <f>+IF(G153="-",0,IF(I153=I152+1,0,(IF(I153=1,0,1))))</f>
        <v>1</v>
      </c>
      <c r="D153" s="1">
        <f>+IF(AND(P153="",Q153=""),1,0)</f>
        <v>0</v>
      </c>
      <c r="E153" s="1">
        <f t="shared" si="29"/>
        <v>0</v>
      </c>
      <c r="F153" s="1">
        <f t="shared" si="29"/>
        <v>0</v>
      </c>
      <c r="G153" s="1" t="str">
        <f>IF(H153=0,"-",_xlfn.CONCAT(K153,N153,O153,J153))</f>
        <v>24050103</v>
      </c>
      <c r="H153" s="2">
        <v>45413</v>
      </c>
      <c r="I153" s="1">
        <v>3</v>
      </c>
      <c r="J153" s="1" t="str">
        <f t="shared" si="23"/>
        <v>03</v>
      </c>
      <c r="K153" s="3">
        <f t="shared" si="24"/>
        <v>24</v>
      </c>
      <c r="L153" s="3">
        <f t="shared" si="25"/>
        <v>5</v>
      </c>
      <c r="M153" s="3">
        <f t="shared" si="26"/>
        <v>1</v>
      </c>
      <c r="N153" s="3" t="str">
        <f t="shared" si="27"/>
        <v>05</v>
      </c>
      <c r="O153" s="14" t="str">
        <f t="shared" si="28"/>
        <v>01</v>
      </c>
      <c r="Q153" s="5">
        <v>452</v>
      </c>
      <c r="T153" s="5" t="s">
        <v>838</v>
      </c>
      <c r="U153" s="3" t="s">
        <v>3</v>
      </c>
      <c r="V153" s="3" t="s">
        <v>4</v>
      </c>
      <c r="W153" s="3" t="s">
        <v>98</v>
      </c>
    </row>
    <row r="154" spans="1:23">
      <c r="A154" s="3">
        <v>1463</v>
      </c>
      <c r="B154" s="1">
        <f>IF(G154="-",0,IF(G153=G154,1,0))</f>
        <v>0</v>
      </c>
      <c r="C154" s="1">
        <f>+IF(G154="-",0,IF(I154=I153+1,0,(IF(I154=1,0,1))))</f>
        <v>0</v>
      </c>
      <c r="D154" s="1">
        <f>+IF(AND(P154="",Q154=""),1,0)</f>
        <v>0</v>
      </c>
      <c r="E154" s="1">
        <f t="shared" si="29"/>
        <v>0</v>
      </c>
      <c r="F154" s="1">
        <f t="shared" si="29"/>
        <v>0</v>
      </c>
      <c r="G154" s="1" t="str">
        <f>IF(H154=0,"-",_xlfn.CONCAT(K154,N154,O154,J154))</f>
        <v>24080404</v>
      </c>
      <c r="H154" s="2">
        <v>45508</v>
      </c>
      <c r="I154" s="36">
        <v>4</v>
      </c>
      <c r="J154" s="1" t="str">
        <f t="shared" si="23"/>
        <v>04</v>
      </c>
      <c r="K154" s="3">
        <f t="shared" si="24"/>
        <v>24</v>
      </c>
      <c r="L154" s="3">
        <f t="shared" si="25"/>
        <v>8</v>
      </c>
      <c r="M154" s="3">
        <f t="shared" si="26"/>
        <v>4</v>
      </c>
      <c r="N154" s="3" t="str">
        <f t="shared" si="27"/>
        <v>08</v>
      </c>
      <c r="O154" s="14" t="str">
        <f t="shared" si="28"/>
        <v>04</v>
      </c>
      <c r="Q154" s="5">
        <v>370.36</v>
      </c>
      <c r="S154" s="5" t="str">
        <f>IFERROR(P154/R154,"")</f>
        <v/>
      </c>
      <c r="T154" s="5" t="s">
        <v>570</v>
      </c>
      <c r="U154" s="3" t="s">
        <v>2</v>
      </c>
      <c r="V154" s="3" t="s">
        <v>4</v>
      </c>
    </row>
    <row r="155" spans="1:23">
      <c r="A155" s="3">
        <v>278</v>
      </c>
      <c r="B155" s="1">
        <f>IF(G155="-",0,IF(G154=G155,1,0))</f>
        <v>0</v>
      </c>
      <c r="C155" s="1">
        <f>+IF(G155="-",0,IF(I155=I154+1,0,(IF(I155=1,0,1))))</f>
        <v>1</v>
      </c>
      <c r="D155" s="1">
        <f>+IF(AND(P155="",Q155=""),1,0)</f>
        <v>0</v>
      </c>
      <c r="E155" s="1">
        <f t="shared" si="29"/>
        <v>0</v>
      </c>
      <c r="F155" s="1">
        <f t="shared" si="29"/>
        <v>0</v>
      </c>
      <c r="G155" s="1" t="str">
        <f>IF(H155=0,"-",_xlfn.CONCAT(K155,N155,O155,J155))</f>
        <v>24042511</v>
      </c>
      <c r="H155" s="2">
        <v>45407</v>
      </c>
      <c r="I155" s="36">
        <v>11</v>
      </c>
      <c r="J155" s="1">
        <f t="shared" si="23"/>
        <v>11</v>
      </c>
      <c r="K155" s="3">
        <f t="shared" si="24"/>
        <v>24</v>
      </c>
      <c r="L155" s="3">
        <f t="shared" si="25"/>
        <v>4</v>
      </c>
      <c r="M155" s="3">
        <f t="shared" si="26"/>
        <v>25</v>
      </c>
      <c r="N155" s="3" t="str">
        <f t="shared" si="27"/>
        <v>04</v>
      </c>
      <c r="O155" s="14">
        <f t="shared" si="28"/>
        <v>25</v>
      </c>
      <c r="Q155" s="5">
        <v>315.81</v>
      </c>
      <c r="T155" s="5" t="s">
        <v>207</v>
      </c>
      <c r="U155" s="3" t="s">
        <v>1</v>
      </c>
      <c r="V155" s="3" t="s">
        <v>4</v>
      </c>
    </row>
    <row r="156" spans="1:23" hidden="1">
      <c r="J156" s="1" t="str">
        <f t="shared" si="23"/>
        <v>0</v>
      </c>
      <c r="K156" s="3">
        <f t="shared" si="24"/>
        <v>-100</v>
      </c>
      <c r="L156" s="3">
        <f t="shared" si="25"/>
        <v>1</v>
      </c>
      <c r="M156" s="3">
        <f t="shared" si="26"/>
        <v>0</v>
      </c>
      <c r="N156" s="3" t="str">
        <f t="shared" si="27"/>
        <v>01</v>
      </c>
      <c r="O156" s="14" t="str">
        <f t="shared" si="28"/>
        <v>00</v>
      </c>
    </row>
    <row r="157" spans="1:23" hidden="1">
      <c r="J157" s="1" t="str">
        <f t="shared" si="23"/>
        <v>0</v>
      </c>
      <c r="K157" s="3">
        <f t="shared" si="24"/>
        <v>-100</v>
      </c>
      <c r="L157" s="3">
        <f t="shared" si="25"/>
        <v>1</v>
      </c>
      <c r="M157" s="3">
        <f t="shared" si="26"/>
        <v>0</v>
      </c>
      <c r="N157" s="3" t="str">
        <f t="shared" si="27"/>
        <v>01</v>
      </c>
      <c r="O157" s="14" t="str">
        <f t="shared" si="28"/>
        <v>00</v>
      </c>
    </row>
    <row r="158" spans="1:23" hidden="1">
      <c r="J158" s="1" t="str">
        <f t="shared" si="23"/>
        <v>0</v>
      </c>
      <c r="K158" s="3">
        <f t="shared" si="24"/>
        <v>-100</v>
      </c>
      <c r="L158" s="3">
        <f t="shared" si="25"/>
        <v>1</v>
      </c>
      <c r="M158" s="3">
        <f t="shared" si="26"/>
        <v>0</v>
      </c>
      <c r="N158" s="3" t="str">
        <f t="shared" si="27"/>
        <v>01</v>
      </c>
      <c r="O158" s="14" t="str">
        <f t="shared" si="28"/>
        <v>00</v>
      </c>
    </row>
    <row r="159" spans="1:23" hidden="1">
      <c r="J159" s="1" t="str">
        <f t="shared" si="23"/>
        <v>0</v>
      </c>
      <c r="K159" s="3">
        <f t="shared" si="24"/>
        <v>-100</v>
      </c>
      <c r="L159" s="3">
        <f t="shared" si="25"/>
        <v>1</v>
      </c>
      <c r="M159" s="3">
        <f t="shared" si="26"/>
        <v>0</v>
      </c>
      <c r="N159" s="3" t="str">
        <f t="shared" si="27"/>
        <v>01</v>
      </c>
      <c r="O159" s="14" t="str">
        <f t="shared" si="28"/>
        <v>00</v>
      </c>
      <c r="S159" s="5" t="str">
        <f>IFERROR(P159/R159,"")</f>
        <v/>
      </c>
    </row>
    <row r="160" spans="1:23" hidden="1">
      <c r="J160" s="1" t="str">
        <f t="shared" si="23"/>
        <v>0</v>
      </c>
      <c r="K160" s="3">
        <f t="shared" si="24"/>
        <v>-100</v>
      </c>
      <c r="L160" s="3">
        <f t="shared" si="25"/>
        <v>1</v>
      </c>
      <c r="M160" s="3">
        <f t="shared" si="26"/>
        <v>0</v>
      </c>
      <c r="N160" s="3" t="str">
        <f t="shared" si="27"/>
        <v>01</v>
      </c>
      <c r="O160" s="14" t="str">
        <f t="shared" si="28"/>
        <v>00</v>
      </c>
    </row>
    <row r="161" spans="1:23">
      <c r="A161" s="3">
        <v>615</v>
      </c>
      <c r="B161" s="1">
        <f t="shared" ref="B161:B169" si="30">IF(G161="-",0,IF(G160=G161,1,0))</f>
        <v>0</v>
      </c>
      <c r="C161" s="1">
        <f t="shared" ref="C161:C169" si="31">+IF(G161="-",0,IF(I161=I160+1,0,(IF(I161=1,0,1))))</f>
        <v>1</v>
      </c>
      <c r="D161" s="1">
        <f t="shared" ref="D161:D169" si="32">+IF(AND(P161="",Q161=""),1,0)</f>
        <v>0</v>
      </c>
      <c r="E161" s="1">
        <f t="shared" ref="E161:E169" si="33">IF(U161="",1,0)</f>
        <v>0</v>
      </c>
      <c r="F161" s="1">
        <f t="shared" ref="F161:F169" si="34">IF(V161="",1,0)</f>
        <v>0</v>
      </c>
      <c r="G161" s="1" t="str">
        <f t="shared" ref="G161:G169" si="35">IF(H161=0,"-",_xlfn.CONCAT(K161,N161,O161,J161))</f>
        <v>24052302</v>
      </c>
      <c r="H161" s="2">
        <v>45435</v>
      </c>
      <c r="I161" s="36">
        <v>2</v>
      </c>
      <c r="J161" s="1" t="str">
        <f t="shared" si="23"/>
        <v>02</v>
      </c>
      <c r="K161" s="3">
        <f t="shared" si="24"/>
        <v>24</v>
      </c>
      <c r="L161" s="3">
        <f t="shared" si="25"/>
        <v>5</v>
      </c>
      <c r="M161" s="3">
        <f t="shared" si="26"/>
        <v>23</v>
      </c>
      <c r="N161" s="3" t="str">
        <f t="shared" si="27"/>
        <v>05</v>
      </c>
      <c r="O161" s="14">
        <f t="shared" si="28"/>
        <v>23</v>
      </c>
      <c r="Q161" s="5">
        <v>315.81</v>
      </c>
      <c r="S161" s="5" t="str">
        <f t="shared" ref="S161:S166" si="36">IFERROR(P161/R161,"")</f>
        <v/>
      </c>
      <c r="T161" s="5" t="s">
        <v>212</v>
      </c>
      <c r="U161" s="3" t="s">
        <v>1</v>
      </c>
      <c r="V161" s="3" t="s">
        <v>4</v>
      </c>
    </row>
    <row r="162" spans="1:23">
      <c r="A162" s="3">
        <v>1080</v>
      </c>
      <c r="B162" s="1">
        <f t="shared" si="30"/>
        <v>0</v>
      </c>
      <c r="C162" s="1">
        <f t="shared" si="31"/>
        <v>1</v>
      </c>
      <c r="D162" s="1">
        <f t="shared" si="32"/>
        <v>0</v>
      </c>
      <c r="E162" s="1">
        <f t="shared" si="33"/>
        <v>0</v>
      </c>
      <c r="F162" s="1">
        <f t="shared" si="34"/>
        <v>0</v>
      </c>
      <c r="G162" s="1" t="str">
        <f t="shared" si="35"/>
        <v>24070305</v>
      </c>
      <c r="H162" s="2">
        <v>45476</v>
      </c>
      <c r="I162" s="36">
        <v>5</v>
      </c>
      <c r="J162" s="1" t="str">
        <f t="shared" si="23"/>
        <v>05</v>
      </c>
      <c r="K162" s="3">
        <f t="shared" si="24"/>
        <v>24</v>
      </c>
      <c r="L162" s="3">
        <f t="shared" si="25"/>
        <v>7</v>
      </c>
      <c r="M162" s="3">
        <f t="shared" si="26"/>
        <v>3</v>
      </c>
      <c r="N162" s="3" t="str">
        <f t="shared" si="27"/>
        <v>07</v>
      </c>
      <c r="O162" s="14" t="str">
        <f t="shared" si="28"/>
        <v>03</v>
      </c>
      <c r="Q162" s="5">
        <v>315.81</v>
      </c>
      <c r="R162" s="6">
        <v>519</v>
      </c>
      <c r="S162" s="5">
        <f t="shared" si="36"/>
        <v>0</v>
      </c>
      <c r="T162" s="5" t="s">
        <v>419</v>
      </c>
      <c r="U162" s="3" t="s">
        <v>2</v>
      </c>
      <c r="V162" s="3" t="s">
        <v>4</v>
      </c>
    </row>
    <row r="163" spans="1:23">
      <c r="A163" s="3">
        <v>1334</v>
      </c>
      <c r="B163" s="1">
        <f t="shared" si="30"/>
        <v>0</v>
      </c>
      <c r="C163" s="1">
        <f t="shared" si="31"/>
        <v>1</v>
      </c>
      <c r="D163" s="1">
        <f t="shared" si="32"/>
        <v>0</v>
      </c>
      <c r="E163" s="1">
        <f t="shared" si="33"/>
        <v>0</v>
      </c>
      <c r="F163" s="1">
        <f t="shared" si="34"/>
        <v>0</v>
      </c>
      <c r="G163" s="1" t="str">
        <f t="shared" si="35"/>
        <v>24072403</v>
      </c>
      <c r="H163" s="2">
        <v>45497</v>
      </c>
      <c r="I163" s="36">
        <v>3</v>
      </c>
      <c r="J163" s="1" t="str">
        <f t="shared" si="23"/>
        <v>03</v>
      </c>
      <c r="K163" s="3">
        <f t="shared" si="24"/>
        <v>24</v>
      </c>
      <c r="L163" s="3">
        <f t="shared" si="25"/>
        <v>7</v>
      </c>
      <c r="M163" s="3">
        <f t="shared" si="26"/>
        <v>24</v>
      </c>
      <c r="N163" s="3" t="str">
        <f t="shared" si="27"/>
        <v>07</v>
      </c>
      <c r="O163" s="14">
        <f t="shared" si="28"/>
        <v>24</v>
      </c>
      <c r="Q163" s="5">
        <v>315.81</v>
      </c>
      <c r="S163" s="5" t="str">
        <f t="shared" si="36"/>
        <v/>
      </c>
      <c r="T163" s="5" t="s">
        <v>510</v>
      </c>
      <c r="U163" s="3" t="s">
        <v>2</v>
      </c>
      <c r="V163" s="3" t="s">
        <v>4</v>
      </c>
    </row>
    <row r="164" spans="1:23">
      <c r="A164" s="3">
        <v>803</v>
      </c>
      <c r="B164" s="1">
        <f t="shared" si="30"/>
        <v>0</v>
      </c>
      <c r="C164" s="1">
        <f t="shared" si="31"/>
        <v>1</v>
      </c>
      <c r="D164" s="1">
        <f t="shared" si="32"/>
        <v>0</v>
      </c>
      <c r="E164" s="1">
        <f t="shared" si="33"/>
        <v>0</v>
      </c>
      <c r="F164" s="1">
        <f t="shared" si="34"/>
        <v>0</v>
      </c>
      <c r="G164" s="1" t="str">
        <f t="shared" si="35"/>
        <v>24060818</v>
      </c>
      <c r="H164" s="2">
        <v>45451</v>
      </c>
      <c r="I164" s="36">
        <v>18</v>
      </c>
      <c r="J164" s="1">
        <f t="shared" si="23"/>
        <v>18</v>
      </c>
      <c r="K164" s="3">
        <f t="shared" si="24"/>
        <v>24</v>
      </c>
      <c r="L164" s="3">
        <f t="shared" si="25"/>
        <v>6</v>
      </c>
      <c r="M164" s="3">
        <f t="shared" si="26"/>
        <v>8</v>
      </c>
      <c r="N164" s="3" t="str">
        <f t="shared" si="27"/>
        <v>06</v>
      </c>
      <c r="O164" s="14" t="str">
        <f t="shared" si="28"/>
        <v>08</v>
      </c>
      <c r="Q164" s="5">
        <v>315.16000000000003</v>
      </c>
      <c r="S164" s="5" t="str">
        <f t="shared" si="36"/>
        <v/>
      </c>
      <c r="T164" s="5" t="s">
        <v>286</v>
      </c>
      <c r="U164" s="3" t="s">
        <v>2</v>
      </c>
      <c r="V164" s="3" t="s">
        <v>4</v>
      </c>
    </row>
    <row r="165" spans="1:23">
      <c r="A165" s="3">
        <v>1634</v>
      </c>
      <c r="B165" s="1">
        <f t="shared" si="30"/>
        <v>0</v>
      </c>
      <c r="C165" s="1">
        <f t="shared" si="31"/>
        <v>0</v>
      </c>
      <c r="D165" s="1">
        <f t="shared" si="32"/>
        <v>0</v>
      </c>
      <c r="E165" s="1">
        <f t="shared" si="33"/>
        <v>0</v>
      </c>
      <c r="F165" s="1">
        <f t="shared" si="34"/>
        <v>0</v>
      </c>
      <c r="G165" s="1" t="str">
        <f t="shared" si="35"/>
        <v>24082001</v>
      </c>
      <c r="H165" s="2">
        <v>45524</v>
      </c>
      <c r="I165" s="36">
        <v>1</v>
      </c>
      <c r="J165" s="1" t="str">
        <f t="shared" si="23"/>
        <v>01</v>
      </c>
      <c r="K165" s="3">
        <f t="shared" si="24"/>
        <v>24</v>
      </c>
      <c r="L165" s="3">
        <f t="shared" si="25"/>
        <v>8</v>
      </c>
      <c r="M165" s="3">
        <f t="shared" si="26"/>
        <v>20</v>
      </c>
      <c r="N165" s="3" t="str">
        <f t="shared" si="27"/>
        <v>08</v>
      </c>
      <c r="O165" s="14">
        <f t="shared" si="28"/>
        <v>20</v>
      </c>
      <c r="Q165" s="5">
        <v>270</v>
      </c>
      <c r="S165" s="5" t="str">
        <f t="shared" si="36"/>
        <v/>
      </c>
      <c r="T165" s="5" t="s">
        <v>627</v>
      </c>
      <c r="U165" s="3" t="s">
        <v>3</v>
      </c>
      <c r="V165" s="3" t="s">
        <v>4</v>
      </c>
    </row>
    <row r="166" spans="1:23">
      <c r="A166" s="3">
        <v>1519</v>
      </c>
      <c r="B166" s="1">
        <f t="shared" si="30"/>
        <v>0</v>
      </c>
      <c r="C166" s="1">
        <f t="shared" si="31"/>
        <v>1</v>
      </c>
      <c r="D166" s="1">
        <f t="shared" si="32"/>
        <v>0</v>
      </c>
      <c r="E166" s="1">
        <f t="shared" si="33"/>
        <v>0</v>
      </c>
      <c r="F166" s="1">
        <f t="shared" si="34"/>
        <v>0</v>
      </c>
      <c r="G166" s="1" t="str">
        <f t="shared" si="35"/>
        <v>24081003</v>
      </c>
      <c r="H166" s="2">
        <v>45514</v>
      </c>
      <c r="I166" s="36">
        <v>3</v>
      </c>
      <c r="J166" s="1" t="str">
        <f t="shared" si="23"/>
        <v>03</v>
      </c>
      <c r="K166" s="3">
        <f t="shared" si="24"/>
        <v>24</v>
      </c>
      <c r="L166" s="3">
        <f t="shared" si="25"/>
        <v>8</v>
      </c>
      <c r="M166" s="3">
        <f t="shared" si="26"/>
        <v>10</v>
      </c>
      <c r="N166" s="3" t="str">
        <f t="shared" si="27"/>
        <v>08</v>
      </c>
      <c r="O166" s="14">
        <f t="shared" si="28"/>
        <v>10</v>
      </c>
      <c r="Q166" s="5">
        <v>245</v>
      </c>
      <c r="S166" s="5" t="str">
        <f t="shared" si="36"/>
        <v/>
      </c>
      <c r="T166" s="5" t="s">
        <v>575</v>
      </c>
      <c r="U166" s="3" t="s">
        <v>3</v>
      </c>
      <c r="V166" s="3" t="s">
        <v>4</v>
      </c>
    </row>
    <row r="167" spans="1:23">
      <c r="A167" s="3">
        <v>3</v>
      </c>
      <c r="B167" s="1">
        <f t="shared" si="30"/>
        <v>0</v>
      </c>
      <c r="C167" s="1">
        <f t="shared" si="31"/>
        <v>1</v>
      </c>
      <c r="D167" s="1">
        <f t="shared" si="32"/>
        <v>0</v>
      </c>
      <c r="E167" s="1">
        <f t="shared" si="33"/>
        <v>0</v>
      </c>
      <c r="F167" s="1">
        <f t="shared" si="34"/>
        <v>0</v>
      </c>
      <c r="G167" s="1" t="str">
        <f t="shared" si="35"/>
        <v>24032602</v>
      </c>
      <c r="H167" s="2">
        <v>45377</v>
      </c>
      <c r="I167" s="36">
        <v>2</v>
      </c>
      <c r="J167" s="1" t="str">
        <f t="shared" si="23"/>
        <v>02</v>
      </c>
      <c r="K167" s="3">
        <f t="shared" si="24"/>
        <v>24</v>
      </c>
      <c r="L167" s="3">
        <f t="shared" si="25"/>
        <v>3</v>
      </c>
      <c r="M167" s="3">
        <f t="shared" si="26"/>
        <v>26</v>
      </c>
      <c r="N167" s="3" t="str">
        <f t="shared" si="27"/>
        <v>03</v>
      </c>
      <c r="O167" s="14">
        <f t="shared" si="28"/>
        <v>26</v>
      </c>
      <c r="Q167" s="5">
        <v>239.15</v>
      </c>
      <c r="T167" s="5" t="s">
        <v>1065</v>
      </c>
      <c r="U167" s="3" t="s">
        <v>3</v>
      </c>
      <c r="V167" s="3" t="s">
        <v>4</v>
      </c>
    </row>
    <row r="168" spans="1:23">
      <c r="A168" s="3">
        <v>1654</v>
      </c>
      <c r="B168" s="1">
        <f t="shared" si="30"/>
        <v>0</v>
      </c>
      <c r="C168" s="1">
        <f t="shared" si="31"/>
        <v>1</v>
      </c>
      <c r="D168" s="1">
        <f t="shared" si="32"/>
        <v>0</v>
      </c>
      <c r="E168" s="1">
        <f t="shared" si="33"/>
        <v>0</v>
      </c>
      <c r="F168" s="1">
        <f t="shared" si="34"/>
        <v>0</v>
      </c>
      <c r="G168" s="1" t="str">
        <f t="shared" si="35"/>
        <v>24082020</v>
      </c>
      <c r="H168" s="2">
        <v>45524</v>
      </c>
      <c r="I168" s="36">
        <v>20</v>
      </c>
      <c r="J168" s="1">
        <f t="shared" si="23"/>
        <v>20</v>
      </c>
      <c r="K168" s="3">
        <f t="shared" si="24"/>
        <v>24</v>
      </c>
      <c r="L168" s="3">
        <f t="shared" si="25"/>
        <v>8</v>
      </c>
      <c r="M168" s="3">
        <f t="shared" si="26"/>
        <v>20</v>
      </c>
      <c r="N168" s="3" t="str">
        <f t="shared" si="27"/>
        <v>08</v>
      </c>
      <c r="O168" s="14">
        <f t="shared" si="28"/>
        <v>20</v>
      </c>
      <c r="Q168" s="5">
        <v>184.22</v>
      </c>
      <c r="S168" s="5" t="str">
        <f>IFERROR(P168/R168,"")</f>
        <v/>
      </c>
      <c r="T168" s="5" t="s">
        <v>682</v>
      </c>
      <c r="U168" s="3" t="s">
        <v>2</v>
      </c>
      <c r="V168" s="3" t="s">
        <v>4</v>
      </c>
    </row>
    <row r="169" spans="1:23">
      <c r="A169" s="3">
        <v>1742</v>
      </c>
      <c r="B169" s="1">
        <f t="shared" si="30"/>
        <v>0</v>
      </c>
      <c r="C169" s="1">
        <f t="shared" si="31"/>
        <v>1</v>
      </c>
      <c r="D169" s="1">
        <f t="shared" si="32"/>
        <v>0</v>
      </c>
      <c r="E169" s="1">
        <f t="shared" si="33"/>
        <v>1</v>
      </c>
      <c r="F169" s="1">
        <f t="shared" si="34"/>
        <v>0</v>
      </c>
      <c r="G169" s="1" t="str">
        <f t="shared" si="35"/>
        <v>24082906</v>
      </c>
      <c r="H169" s="2">
        <v>45533</v>
      </c>
      <c r="I169" s="36">
        <v>6</v>
      </c>
      <c r="J169" s="1" t="str">
        <f t="shared" si="23"/>
        <v>06</v>
      </c>
      <c r="K169" s="3">
        <f t="shared" si="24"/>
        <v>24</v>
      </c>
      <c r="L169" s="3">
        <f t="shared" si="25"/>
        <v>8</v>
      </c>
      <c r="M169" s="3">
        <f t="shared" si="26"/>
        <v>29</v>
      </c>
      <c r="N169" s="3" t="str">
        <f t="shared" si="27"/>
        <v>08</v>
      </c>
      <c r="O169" s="14">
        <f t="shared" si="28"/>
        <v>29</v>
      </c>
      <c r="Q169" s="5">
        <v>131.59</v>
      </c>
      <c r="R169" s="6">
        <v>512</v>
      </c>
      <c r="S169" s="5">
        <f>IFERROR(P169/R169,"")</f>
        <v>0</v>
      </c>
      <c r="T169" s="5" t="s">
        <v>684</v>
      </c>
      <c r="V169" s="3" t="s">
        <v>4</v>
      </c>
      <c r="W169" s="3" t="s">
        <v>688</v>
      </c>
    </row>
    <row r="170" spans="1:23" hidden="1">
      <c r="J170" s="1" t="str">
        <f t="shared" si="23"/>
        <v>0</v>
      </c>
      <c r="K170" s="3">
        <f t="shared" si="24"/>
        <v>-100</v>
      </c>
      <c r="L170" s="3">
        <f t="shared" si="25"/>
        <v>1</v>
      </c>
      <c r="M170" s="3">
        <f t="shared" si="26"/>
        <v>0</v>
      </c>
      <c r="N170" s="3" t="str">
        <f t="shared" si="27"/>
        <v>01</v>
      </c>
      <c r="O170" s="14" t="str">
        <f t="shared" si="28"/>
        <v>00</v>
      </c>
    </row>
    <row r="171" spans="1:23" hidden="1">
      <c r="J171" s="1" t="str">
        <f t="shared" si="23"/>
        <v>0</v>
      </c>
      <c r="K171" s="3">
        <f t="shared" si="24"/>
        <v>-100</v>
      </c>
      <c r="L171" s="3">
        <f t="shared" si="25"/>
        <v>1</v>
      </c>
      <c r="M171" s="3">
        <f t="shared" si="26"/>
        <v>0</v>
      </c>
      <c r="N171" s="3" t="str">
        <f t="shared" si="27"/>
        <v>01</v>
      </c>
      <c r="O171" s="14" t="str">
        <f t="shared" si="28"/>
        <v>00</v>
      </c>
    </row>
    <row r="172" spans="1:23" hidden="1">
      <c r="J172" s="1" t="str">
        <f t="shared" si="23"/>
        <v>0</v>
      </c>
      <c r="K172" s="3">
        <f t="shared" si="24"/>
        <v>-100</v>
      </c>
      <c r="L172" s="3">
        <f t="shared" si="25"/>
        <v>1</v>
      </c>
      <c r="M172" s="3">
        <f t="shared" si="26"/>
        <v>0</v>
      </c>
      <c r="N172" s="3" t="str">
        <f t="shared" si="27"/>
        <v>01</v>
      </c>
      <c r="O172" s="14" t="str">
        <f t="shared" si="28"/>
        <v>00</v>
      </c>
    </row>
    <row r="173" spans="1:23" hidden="1">
      <c r="J173" s="1" t="str">
        <f t="shared" si="23"/>
        <v>0</v>
      </c>
      <c r="K173" s="3">
        <f t="shared" si="24"/>
        <v>-100</v>
      </c>
      <c r="L173" s="3">
        <f t="shared" si="25"/>
        <v>1</v>
      </c>
      <c r="M173" s="3">
        <f t="shared" si="26"/>
        <v>0</v>
      </c>
      <c r="N173" s="3" t="str">
        <f t="shared" si="27"/>
        <v>01</v>
      </c>
      <c r="O173" s="14" t="str">
        <f t="shared" si="28"/>
        <v>00</v>
      </c>
    </row>
    <row r="174" spans="1:23" hidden="1">
      <c r="J174" s="1" t="str">
        <f t="shared" si="23"/>
        <v>0</v>
      </c>
      <c r="K174" s="3">
        <f t="shared" si="24"/>
        <v>-100</v>
      </c>
      <c r="L174" s="3">
        <f t="shared" si="25"/>
        <v>1</v>
      </c>
      <c r="M174" s="3">
        <f t="shared" si="26"/>
        <v>0</v>
      </c>
      <c r="N174" s="3" t="str">
        <f t="shared" si="27"/>
        <v>01</v>
      </c>
      <c r="O174" s="14" t="str">
        <f t="shared" si="28"/>
        <v>00</v>
      </c>
    </row>
    <row r="175" spans="1:23" hidden="1">
      <c r="J175" s="1" t="str">
        <f t="shared" si="23"/>
        <v>0</v>
      </c>
      <c r="K175" s="3">
        <f t="shared" si="24"/>
        <v>-100</v>
      </c>
      <c r="L175" s="3">
        <f t="shared" si="25"/>
        <v>1</v>
      </c>
      <c r="M175" s="3">
        <f t="shared" si="26"/>
        <v>0</v>
      </c>
      <c r="N175" s="3" t="str">
        <f t="shared" si="27"/>
        <v>01</v>
      </c>
      <c r="O175" s="14" t="str">
        <f t="shared" si="28"/>
        <v>00</v>
      </c>
    </row>
    <row r="176" spans="1:23">
      <c r="A176" s="3">
        <v>1745</v>
      </c>
      <c r="B176" s="1">
        <f>IF(G176="-",0,IF(G175=G176,1,0))</f>
        <v>0</v>
      </c>
      <c r="C176" s="1">
        <f>+IF(G176="-",0,IF(I176=I175+1,0,(IF(I176=1,0,1))))</f>
        <v>1</v>
      </c>
      <c r="D176" s="1">
        <f>+IF(AND(P176="",Q176=""),1,0)</f>
        <v>0</v>
      </c>
      <c r="E176" s="1">
        <f>IF(U176="",1,0)</f>
        <v>1</v>
      </c>
      <c r="F176" s="1">
        <f>IF(V176="",1,0)</f>
        <v>0</v>
      </c>
      <c r="G176" s="1" t="str">
        <f>IF(H176=0,"-",_xlfn.CONCAT(K176,N176,O176,J176))</f>
        <v>24082909</v>
      </c>
      <c r="H176" s="2">
        <v>45533</v>
      </c>
      <c r="I176" s="36">
        <v>9</v>
      </c>
      <c r="J176" s="1" t="str">
        <f t="shared" si="23"/>
        <v>09</v>
      </c>
      <c r="K176" s="3">
        <f t="shared" si="24"/>
        <v>24</v>
      </c>
      <c r="L176" s="3">
        <f t="shared" si="25"/>
        <v>8</v>
      </c>
      <c r="M176" s="3">
        <f t="shared" si="26"/>
        <v>29</v>
      </c>
      <c r="N176" s="3" t="str">
        <f t="shared" si="27"/>
        <v>08</v>
      </c>
      <c r="O176" s="14">
        <f t="shared" si="28"/>
        <v>29</v>
      </c>
      <c r="Q176" s="5">
        <v>131.47999999999999</v>
      </c>
      <c r="R176" s="6">
        <v>512</v>
      </c>
      <c r="S176" s="5">
        <f>IFERROR(P176/R176,"")</f>
        <v>0</v>
      </c>
      <c r="T176" s="5" t="s">
        <v>686</v>
      </c>
      <c r="V176" s="3" t="s">
        <v>4</v>
      </c>
      <c r="W176" s="3" t="s">
        <v>689</v>
      </c>
    </row>
    <row r="177" spans="1:22">
      <c r="A177" s="3">
        <v>1348</v>
      </c>
      <c r="B177" s="1">
        <f>IF(G177="-",0,IF(G175=G177,1,0))</f>
        <v>0</v>
      </c>
      <c r="C177" s="1">
        <f>+IF(G177="-",0,IF(I177=I175+1,0,(IF(I177=1,0,1))))</f>
        <v>1</v>
      </c>
      <c r="D177" s="1">
        <f>+IF(AND(P177="",Q177=""),1,0)</f>
        <v>0</v>
      </c>
      <c r="E177" s="1">
        <f>IF(U177="",1,0)</f>
        <v>0</v>
      </c>
      <c r="F177" s="1">
        <f>IF(V177="",1,0)</f>
        <v>0</v>
      </c>
      <c r="G177" s="1" t="str">
        <f>IF(H177=0,"-",_xlfn.CONCAT(K177,N177,O177,J177))</f>
        <v>24072602</v>
      </c>
      <c r="H177" s="2">
        <v>45499</v>
      </c>
      <c r="I177" s="36">
        <v>2</v>
      </c>
      <c r="J177" s="1" t="str">
        <f t="shared" si="23"/>
        <v>02</v>
      </c>
      <c r="K177" s="3">
        <f t="shared" si="24"/>
        <v>24</v>
      </c>
      <c r="L177" s="3">
        <f t="shared" si="25"/>
        <v>7</v>
      </c>
      <c r="M177" s="3">
        <f t="shared" si="26"/>
        <v>26</v>
      </c>
      <c r="N177" s="3" t="str">
        <f t="shared" si="27"/>
        <v>07</v>
      </c>
      <c r="O177" s="14">
        <f t="shared" si="28"/>
        <v>26</v>
      </c>
      <c r="Q177" s="5">
        <v>96.53</v>
      </c>
      <c r="R177" s="6">
        <v>518</v>
      </c>
      <c r="S177" s="5">
        <f>IFERROR(P177/R177,"")</f>
        <v>0</v>
      </c>
      <c r="T177" s="5" t="s">
        <v>536</v>
      </c>
      <c r="U177" s="3" t="s">
        <v>2</v>
      </c>
      <c r="V177" s="3" t="s">
        <v>4</v>
      </c>
    </row>
    <row r="178" spans="1:22" hidden="1">
      <c r="J178" s="1" t="str">
        <f t="shared" si="23"/>
        <v>0</v>
      </c>
      <c r="K178" s="3">
        <f t="shared" si="24"/>
        <v>-100</v>
      </c>
      <c r="L178" s="3">
        <f t="shared" si="25"/>
        <v>1</v>
      </c>
      <c r="M178" s="3">
        <f t="shared" si="26"/>
        <v>0</v>
      </c>
      <c r="N178" s="3" t="str">
        <f t="shared" si="27"/>
        <v>01</v>
      </c>
      <c r="O178" s="14" t="str">
        <f t="shared" si="28"/>
        <v>00</v>
      </c>
    </row>
    <row r="179" spans="1:22" hidden="1">
      <c r="J179" s="1" t="str">
        <f t="shared" si="23"/>
        <v>0</v>
      </c>
      <c r="K179" s="3">
        <f t="shared" si="24"/>
        <v>-100</v>
      </c>
      <c r="L179" s="3">
        <f t="shared" si="25"/>
        <v>1</v>
      </c>
      <c r="M179" s="3">
        <f t="shared" si="26"/>
        <v>0</v>
      </c>
      <c r="N179" s="3" t="str">
        <f t="shared" si="27"/>
        <v>01</v>
      </c>
      <c r="O179" s="14" t="str">
        <f t="shared" si="28"/>
        <v>00</v>
      </c>
    </row>
    <row r="180" spans="1:22" hidden="1">
      <c r="J180" s="1" t="str">
        <f t="shared" si="23"/>
        <v>0</v>
      </c>
      <c r="K180" s="3">
        <f t="shared" si="24"/>
        <v>-100</v>
      </c>
      <c r="L180" s="3">
        <f t="shared" si="25"/>
        <v>1</v>
      </c>
      <c r="M180" s="3">
        <f t="shared" si="26"/>
        <v>0</v>
      </c>
      <c r="N180" s="3" t="str">
        <f t="shared" si="27"/>
        <v>01</v>
      </c>
      <c r="O180" s="14" t="str">
        <f t="shared" si="28"/>
        <v>00</v>
      </c>
    </row>
    <row r="181" spans="1:22" hidden="1">
      <c r="J181" s="1" t="str">
        <f t="shared" si="23"/>
        <v>0</v>
      </c>
      <c r="K181" s="3">
        <f t="shared" si="24"/>
        <v>-100</v>
      </c>
      <c r="L181" s="3">
        <f t="shared" si="25"/>
        <v>1</v>
      </c>
      <c r="M181" s="3">
        <f t="shared" si="26"/>
        <v>0</v>
      </c>
      <c r="N181" s="3" t="str">
        <f t="shared" si="27"/>
        <v>01</v>
      </c>
      <c r="O181" s="14" t="str">
        <f t="shared" si="28"/>
        <v>00</v>
      </c>
    </row>
    <row r="182" spans="1:22" hidden="1">
      <c r="J182" s="1" t="str">
        <f t="shared" si="23"/>
        <v>0</v>
      </c>
      <c r="K182" s="3">
        <f t="shared" si="24"/>
        <v>-100</v>
      </c>
      <c r="L182" s="3">
        <f t="shared" si="25"/>
        <v>1</v>
      </c>
      <c r="M182" s="3">
        <f t="shared" si="26"/>
        <v>0</v>
      </c>
      <c r="N182" s="3" t="str">
        <f t="shared" si="27"/>
        <v>01</v>
      </c>
      <c r="O182" s="14" t="str">
        <f t="shared" si="28"/>
        <v>00</v>
      </c>
    </row>
    <row r="183" spans="1:22" hidden="1">
      <c r="J183" s="1" t="str">
        <f t="shared" si="23"/>
        <v>0</v>
      </c>
      <c r="K183" s="3">
        <f t="shared" si="24"/>
        <v>-100</v>
      </c>
      <c r="L183" s="3">
        <f t="shared" si="25"/>
        <v>1</v>
      </c>
      <c r="M183" s="3">
        <f t="shared" si="26"/>
        <v>0</v>
      </c>
      <c r="N183" s="3" t="str">
        <f t="shared" si="27"/>
        <v>01</v>
      </c>
      <c r="O183" s="14" t="str">
        <f t="shared" si="28"/>
        <v>00</v>
      </c>
    </row>
    <row r="184" spans="1:22" hidden="1">
      <c r="J184" s="1" t="str">
        <f t="shared" si="23"/>
        <v>0</v>
      </c>
      <c r="K184" s="3">
        <f t="shared" si="24"/>
        <v>-100</v>
      </c>
      <c r="L184" s="3">
        <f t="shared" si="25"/>
        <v>1</v>
      </c>
      <c r="M184" s="3">
        <f t="shared" si="26"/>
        <v>0</v>
      </c>
      <c r="N184" s="3" t="str">
        <f t="shared" si="27"/>
        <v>01</v>
      </c>
      <c r="O184" s="14" t="str">
        <f t="shared" si="28"/>
        <v>00</v>
      </c>
    </row>
    <row r="185" spans="1:22" hidden="1">
      <c r="J185" s="1" t="str">
        <f t="shared" si="23"/>
        <v>0</v>
      </c>
      <c r="K185" s="3">
        <f t="shared" si="24"/>
        <v>-100</v>
      </c>
      <c r="L185" s="3">
        <f t="shared" si="25"/>
        <v>1</v>
      </c>
      <c r="M185" s="3">
        <f t="shared" si="26"/>
        <v>0</v>
      </c>
      <c r="N185" s="3" t="str">
        <f t="shared" si="27"/>
        <v>01</v>
      </c>
      <c r="O185" s="14" t="str">
        <f t="shared" si="28"/>
        <v>00</v>
      </c>
    </row>
    <row r="186" spans="1:22" hidden="1">
      <c r="J186" s="1" t="str">
        <f t="shared" si="23"/>
        <v>0</v>
      </c>
      <c r="K186" s="3">
        <f t="shared" si="24"/>
        <v>-100</v>
      </c>
      <c r="L186" s="3">
        <f t="shared" si="25"/>
        <v>1</v>
      </c>
      <c r="M186" s="3">
        <f t="shared" si="26"/>
        <v>0</v>
      </c>
      <c r="N186" s="3" t="str">
        <f t="shared" si="27"/>
        <v>01</v>
      </c>
      <c r="O186" s="14" t="str">
        <f t="shared" si="28"/>
        <v>00</v>
      </c>
      <c r="T186" s="16"/>
    </row>
    <row r="187" spans="1:22" hidden="1">
      <c r="J187" s="1" t="str">
        <f t="shared" si="23"/>
        <v>0</v>
      </c>
      <c r="K187" s="3">
        <f t="shared" si="24"/>
        <v>-100</v>
      </c>
      <c r="L187" s="3">
        <f t="shared" si="25"/>
        <v>1</v>
      </c>
      <c r="M187" s="3">
        <f t="shared" si="26"/>
        <v>0</v>
      </c>
      <c r="N187" s="3" t="str">
        <f t="shared" si="27"/>
        <v>01</v>
      </c>
      <c r="O187" s="14" t="str">
        <f t="shared" si="28"/>
        <v>00</v>
      </c>
      <c r="T187" s="16"/>
    </row>
    <row r="188" spans="1:22" hidden="1">
      <c r="J188" s="1" t="str">
        <f t="shared" si="23"/>
        <v>0</v>
      </c>
      <c r="K188" s="3">
        <f t="shared" si="24"/>
        <v>-100</v>
      </c>
      <c r="L188" s="3">
        <f t="shared" si="25"/>
        <v>1</v>
      </c>
      <c r="M188" s="3">
        <f t="shared" si="26"/>
        <v>0</v>
      </c>
      <c r="N188" s="3" t="str">
        <f t="shared" si="27"/>
        <v>01</v>
      </c>
      <c r="O188" s="14" t="str">
        <f t="shared" si="28"/>
        <v>00</v>
      </c>
    </row>
    <row r="189" spans="1:22" hidden="1">
      <c r="J189" s="1" t="str">
        <f t="shared" si="23"/>
        <v>0</v>
      </c>
      <c r="K189" s="3">
        <f t="shared" si="24"/>
        <v>-100</v>
      </c>
      <c r="L189" s="3">
        <f t="shared" si="25"/>
        <v>1</v>
      </c>
      <c r="M189" s="3">
        <f t="shared" si="26"/>
        <v>0</v>
      </c>
      <c r="N189" s="3" t="str">
        <f t="shared" si="27"/>
        <v>01</v>
      </c>
      <c r="O189" s="14" t="str">
        <f t="shared" si="28"/>
        <v>00</v>
      </c>
    </row>
    <row r="190" spans="1:22" hidden="1">
      <c r="J190" s="1" t="str">
        <f t="shared" si="23"/>
        <v>0</v>
      </c>
      <c r="K190" s="3">
        <f t="shared" si="24"/>
        <v>-100</v>
      </c>
      <c r="L190" s="3">
        <f t="shared" si="25"/>
        <v>1</v>
      </c>
      <c r="M190" s="3">
        <f t="shared" si="26"/>
        <v>0</v>
      </c>
      <c r="N190" s="3" t="str">
        <f t="shared" si="27"/>
        <v>01</v>
      </c>
      <c r="O190" s="14" t="str">
        <f t="shared" si="28"/>
        <v>00</v>
      </c>
    </row>
    <row r="191" spans="1:22" hidden="1">
      <c r="J191" s="1" t="str">
        <f t="shared" si="23"/>
        <v>0</v>
      </c>
      <c r="K191" s="3">
        <f t="shared" si="24"/>
        <v>-100</v>
      </c>
      <c r="L191" s="3">
        <f t="shared" si="25"/>
        <v>1</v>
      </c>
      <c r="M191" s="3">
        <f t="shared" si="26"/>
        <v>0</v>
      </c>
      <c r="N191" s="3" t="str">
        <f t="shared" si="27"/>
        <v>01</v>
      </c>
      <c r="O191" s="14" t="str">
        <f t="shared" si="28"/>
        <v>00</v>
      </c>
    </row>
    <row r="192" spans="1:22" hidden="1">
      <c r="J192" s="1" t="str">
        <f t="shared" si="23"/>
        <v>0</v>
      </c>
      <c r="K192" s="3">
        <f t="shared" si="24"/>
        <v>-100</v>
      </c>
      <c r="L192" s="3">
        <f t="shared" si="25"/>
        <v>1</v>
      </c>
      <c r="M192" s="3">
        <f t="shared" si="26"/>
        <v>0</v>
      </c>
      <c r="N192" s="3" t="str">
        <f t="shared" si="27"/>
        <v>01</v>
      </c>
      <c r="O192" s="14" t="str">
        <f t="shared" si="28"/>
        <v>00</v>
      </c>
    </row>
    <row r="193" spans="1:23" hidden="1">
      <c r="J193" s="1" t="str">
        <f t="shared" si="23"/>
        <v>0</v>
      </c>
      <c r="K193" s="3">
        <f t="shared" si="24"/>
        <v>-100</v>
      </c>
      <c r="L193" s="3">
        <f t="shared" si="25"/>
        <v>1</v>
      </c>
      <c r="M193" s="3">
        <f t="shared" si="26"/>
        <v>0</v>
      </c>
      <c r="N193" s="3" t="str">
        <f t="shared" si="27"/>
        <v>01</v>
      </c>
      <c r="O193" s="14" t="str">
        <f t="shared" si="28"/>
        <v>00</v>
      </c>
    </row>
    <row r="194" spans="1:23" hidden="1">
      <c r="J194" s="1" t="str">
        <f t="shared" si="23"/>
        <v>0</v>
      </c>
      <c r="K194" s="3">
        <f t="shared" si="24"/>
        <v>-100</v>
      </c>
      <c r="L194" s="3">
        <f t="shared" si="25"/>
        <v>1</v>
      </c>
      <c r="M194" s="3">
        <f t="shared" si="26"/>
        <v>0</v>
      </c>
      <c r="N194" s="3" t="str">
        <f t="shared" si="27"/>
        <v>01</v>
      </c>
      <c r="O194" s="14" t="str">
        <f t="shared" si="28"/>
        <v>00</v>
      </c>
    </row>
    <row r="195" spans="1:23">
      <c r="A195" s="3">
        <v>515</v>
      </c>
      <c r="B195" s="1">
        <f>IF(G195="-",0,IF(G194=G195,1,0))</f>
        <v>0</v>
      </c>
      <c r="C195" s="1">
        <f>+IF(G195="-",0,IF(I195=I194+1,0,(IF(I195=1,0,1))))</f>
        <v>1</v>
      </c>
      <c r="D195" s="1">
        <f>+IF(AND(P195="",Q195=""),1,0)</f>
        <v>0</v>
      </c>
      <c r="E195" s="1">
        <f>IF(U195="",1,0)</f>
        <v>0</v>
      </c>
      <c r="F195" s="1">
        <f>IF(V195="",1,0)</f>
        <v>0</v>
      </c>
      <c r="G195" s="1" t="str">
        <f>IF(H195=0,"-",_xlfn.CONCAT(K195,N195,O195,J195))</f>
        <v>24051410</v>
      </c>
      <c r="H195" s="2">
        <v>45426</v>
      </c>
      <c r="I195" s="36">
        <v>10</v>
      </c>
      <c r="J195" s="1">
        <f t="shared" si="23"/>
        <v>10</v>
      </c>
      <c r="K195" s="3">
        <f t="shared" si="24"/>
        <v>24</v>
      </c>
      <c r="L195" s="3">
        <f t="shared" si="25"/>
        <v>5</v>
      </c>
      <c r="M195" s="3">
        <f t="shared" si="26"/>
        <v>14</v>
      </c>
      <c r="N195" s="3" t="str">
        <f t="shared" si="27"/>
        <v>05</v>
      </c>
      <c r="O195" s="14">
        <f t="shared" si="28"/>
        <v>14</v>
      </c>
      <c r="Q195" s="5">
        <v>87.29</v>
      </c>
      <c r="T195" s="5" t="s">
        <v>154</v>
      </c>
      <c r="U195" s="3" t="s">
        <v>2</v>
      </c>
      <c r="V195" s="3" t="s">
        <v>4</v>
      </c>
    </row>
    <row r="196" spans="1:23">
      <c r="A196" s="3">
        <v>215</v>
      </c>
      <c r="B196" s="1">
        <f>IF(G196="-",0,IF(G195=G196,1,0))</f>
        <v>0</v>
      </c>
      <c r="C196" s="1">
        <f>+IF(G196="-",0,IF(I196=I195+1,0,(IF(I196=1,0,1))))</f>
        <v>1</v>
      </c>
      <c r="D196" s="1">
        <f>+IF(AND(P196="",Q196=""),1,0)</f>
        <v>0</v>
      </c>
      <c r="E196" s="1">
        <f>IF(U196="",1,0)</f>
        <v>0</v>
      </c>
      <c r="F196" s="1">
        <f>IF(V196="",1,0)</f>
        <v>0</v>
      </c>
      <c r="G196" s="38" t="str">
        <f>IF(H196=0,"-",_xlfn.CONCAT(K196,N196,O196,J196))</f>
        <v>24041805</v>
      </c>
      <c r="H196" s="37">
        <v>45400</v>
      </c>
      <c r="I196" s="38">
        <v>5</v>
      </c>
      <c r="J196" s="38" t="str">
        <f t="shared" si="23"/>
        <v>05</v>
      </c>
      <c r="K196" s="42">
        <f t="shared" si="24"/>
        <v>24</v>
      </c>
      <c r="L196" s="42">
        <f t="shared" si="25"/>
        <v>4</v>
      </c>
      <c r="M196" s="42">
        <f t="shared" si="26"/>
        <v>18</v>
      </c>
      <c r="N196" s="42" t="str">
        <f t="shared" si="27"/>
        <v>04</v>
      </c>
      <c r="O196" s="50">
        <f t="shared" si="28"/>
        <v>18</v>
      </c>
      <c r="P196" s="39"/>
      <c r="Q196" s="40">
        <v>83.12</v>
      </c>
      <c r="R196" s="41"/>
      <c r="S196" s="40"/>
      <c r="T196" s="40" t="s">
        <v>59</v>
      </c>
      <c r="U196" s="42" t="s">
        <v>2</v>
      </c>
      <c r="V196" s="42" t="s">
        <v>4</v>
      </c>
      <c r="W196" s="42" t="s">
        <v>58</v>
      </c>
    </row>
    <row r="197" spans="1:23" hidden="1">
      <c r="J197" s="1" t="str">
        <f t="shared" si="23"/>
        <v>0</v>
      </c>
      <c r="K197" s="3">
        <f t="shared" si="24"/>
        <v>-100</v>
      </c>
      <c r="L197" s="3">
        <f t="shared" si="25"/>
        <v>1</v>
      </c>
      <c r="M197" s="3">
        <f t="shared" si="26"/>
        <v>0</v>
      </c>
      <c r="N197" s="3" t="str">
        <f t="shared" si="27"/>
        <v>01</v>
      </c>
      <c r="O197" s="14" t="str">
        <f t="shared" si="28"/>
        <v>00</v>
      </c>
    </row>
    <row r="198" spans="1:23" hidden="1">
      <c r="J198" s="1" t="str">
        <f t="shared" si="23"/>
        <v>0</v>
      </c>
      <c r="K198" s="3">
        <f t="shared" si="24"/>
        <v>-100</v>
      </c>
      <c r="L198" s="3">
        <f t="shared" si="25"/>
        <v>1</v>
      </c>
      <c r="M198" s="3">
        <f t="shared" si="26"/>
        <v>0</v>
      </c>
      <c r="N198" s="3" t="str">
        <f t="shared" si="27"/>
        <v>01</v>
      </c>
      <c r="O198" s="14" t="str">
        <f t="shared" si="28"/>
        <v>00</v>
      </c>
    </row>
    <row r="199" spans="1:23" hidden="1">
      <c r="J199" s="1" t="str">
        <f t="shared" si="23"/>
        <v>0</v>
      </c>
      <c r="K199" s="3">
        <f t="shared" si="24"/>
        <v>-100</v>
      </c>
      <c r="L199" s="3">
        <f t="shared" si="25"/>
        <v>1</v>
      </c>
      <c r="M199" s="3">
        <f t="shared" si="26"/>
        <v>0</v>
      </c>
      <c r="N199" s="3" t="str">
        <f t="shared" si="27"/>
        <v>01</v>
      </c>
      <c r="O199" s="14" t="str">
        <f t="shared" si="28"/>
        <v>00</v>
      </c>
    </row>
    <row r="200" spans="1:23" hidden="1">
      <c r="J200" s="1" t="str">
        <f t="shared" si="23"/>
        <v>0</v>
      </c>
      <c r="K200" s="3">
        <f t="shared" si="24"/>
        <v>-100</v>
      </c>
      <c r="L200" s="3">
        <f t="shared" si="25"/>
        <v>1</v>
      </c>
      <c r="M200" s="3">
        <f t="shared" si="26"/>
        <v>0</v>
      </c>
      <c r="N200" s="3" t="str">
        <f t="shared" si="27"/>
        <v>01</v>
      </c>
      <c r="O200" s="14" t="str">
        <f t="shared" si="28"/>
        <v>00</v>
      </c>
    </row>
    <row r="201" spans="1:23">
      <c r="A201" s="3">
        <v>1881</v>
      </c>
      <c r="B201" s="1">
        <f>IF(G201="-",0,IF(G200=G201,1,0))</f>
        <v>0</v>
      </c>
      <c r="C201" s="1">
        <f>+IF(G201="-",0,IF(I201=I200+1,0,(IF(I201=1,0,1))))</f>
        <v>1</v>
      </c>
      <c r="D201" s="1">
        <f>+IF(AND(P201="",Q201=""),1,0)</f>
        <v>0</v>
      </c>
      <c r="E201" s="1">
        <f>IF(U201="",1,0)</f>
        <v>0</v>
      </c>
      <c r="F201" s="1">
        <f>IF(V201="",1,0)</f>
        <v>0</v>
      </c>
      <c r="G201" s="1" t="str">
        <f>IF(H201=0,"-",_xlfn.CONCAT(K201,N201,O201,J201))</f>
        <v>24091010</v>
      </c>
      <c r="H201" s="2">
        <v>45545</v>
      </c>
      <c r="I201" s="36">
        <v>10</v>
      </c>
      <c r="J201" s="1">
        <f t="shared" si="23"/>
        <v>10</v>
      </c>
      <c r="K201" s="3">
        <f t="shared" si="24"/>
        <v>24</v>
      </c>
      <c r="L201" s="3">
        <f t="shared" si="25"/>
        <v>9</v>
      </c>
      <c r="M201" s="3">
        <f t="shared" si="26"/>
        <v>10</v>
      </c>
      <c r="N201" s="3" t="str">
        <f t="shared" si="27"/>
        <v>09</v>
      </c>
      <c r="O201" s="14">
        <f t="shared" si="28"/>
        <v>10</v>
      </c>
      <c r="Q201" s="5">
        <v>70.290000000000006</v>
      </c>
      <c r="R201" s="6">
        <v>511</v>
      </c>
      <c r="S201" s="5">
        <f>IFERROR(P201/R201,"")</f>
        <v>0</v>
      </c>
      <c r="T201" s="5" t="s">
        <v>730</v>
      </c>
      <c r="U201" s="3" t="s">
        <v>2</v>
      </c>
      <c r="V201" s="3" t="s">
        <v>4</v>
      </c>
    </row>
    <row r="202" spans="1:23">
      <c r="A202" s="3">
        <v>1490</v>
      </c>
      <c r="B202" s="1">
        <f>IF(G202="-",0,IF(G201=G202,1,0))</f>
        <v>0</v>
      </c>
      <c r="C202" s="1">
        <f>+IF(G202="-",0,IF(I202=I201+1,0,(IF(I202=1,0,1))))</f>
        <v>1</v>
      </c>
      <c r="D202" s="1">
        <f>+IF(AND(P202="",Q202=""),1,0)</f>
        <v>0</v>
      </c>
      <c r="E202" s="1">
        <f>IF(U202="",1,0)</f>
        <v>0</v>
      </c>
      <c r="F202" s="1">
        <f>IF(V202="",1,0)</f>
        <v>0</v>
      </c>
      <c r="G202" s="1" t="str">
        <f>IF(H202=0,"-",_xlfn.CONCAT(K202,N202,O202,J202))</f>
        <v>24080707</v>
      </c>
      <c r="H202" s="2">
        <v>45511</v>
      </c>
      <c r="I202" s="36">
        <v>7</v>
      </c>
      <c r="J202" s="1" t="str">
        <f t="shared" si="23"/>
        <v>07</v>
      </c>
      <c r="K202" s="3">
        <f t="shared" si="24"/>
        <v>24</v>
      </c>
      <c r="L202" s="3">
        <f t="shared" si="25"/>
        <v>8</v>
      </c>
      <c r="M202" s="3">
        <f t="shared" si="26"/>
        <v>7</v>
      </c>
      <c r="N202" s="3" t="str">
        <f t="shared" si="27"/>
        <v>08</v>
      </c>
      <c r="O202" s="14" t="str">
        <f t="shared" si="28"/>
        <v>07</v>
      </c>
      <c r="Q202" s="5">
        <v>67.8</v>
      </c>
      <c r="S202" s="5" t="str">
        <f>IFERROR(P202/R202,"")</f>
        <v/>
      </c>
      <c r="T202" s="5" t="s">
        <v>573</v>
      </c>
      <c r="U202" s="3" t="s">
        <v>2</v>
      </c>
      <c r="V202" s="3" t="s">
        <v>4</v>
      </c>
    </row>
    <row r="203" spans="1:23" hidden="1">
      <c r="I203" s="1"/>
      <c r="J203" s="1" t="str">
        <f t="shared" si="23"/>
        <v>0</v>
      </c>
      <c r="K203" s="3">
        <f t="shared" si="24"/>
        <v>-100</v>
      </c>
      <c r="L203" s="3">
        <f t="shared" si="25"/>
        <v>1</v>
      </c>
      <c r="M203" s="3">
        <f t="shared" si="26"/>
        <v>0</v>
      </c>
      <c r="N203" s="3" t="str">
        <f t="shared" si="27"/>
        <v>01</v>
      </c>
      <c r="O203" s="14" t="str">
        <f t="shared" si="28"/>
        <v>00</v>
      </c>
    </row>
    <row r="204" spans="1:23" hidden="1">
      <c r="I204" s="1"/>
      <c r="J204" s="1" t="str">
        <f t="shared" si="23"/>
        <v>0</v>
      </c>
      <c r="K204" s="3">
        <f t="shared" si="24"/>
        <v>-100</v>
      </c>
      <c r="L204" s="3">
        <f t="shared" si="25"/>
        <v>1</v>
      </c>
      <c r="M204" s="3">
        <f t="shared" si="26"/>
        <v>0</v>
      </c>
      <c r="N204" s="3" t="str">
        <f t="shared" si="27"/>
        <v>01</v>
      </c>
      <c r="O204" s="14" t="str">
        <f t="shared" si="28"/>
        <v>00</v>
      </c>
    </row>
    <row r="205" spans="1:23" hidden="1">
      <c r="I205" s="1"/>
      <c r="J205" s="1" t="str">
        <f t="shared" si="23"/>
        <v>0</v>
      </c>
      <c r="K205" s="3">
        <f t="shared" si="24"/>
        <v>-100</v>
      </c>
      <c r="L205" s="3">
        <f t="shared" si="25"/>
        <v>1</v>
      </c>
      <c r="M205" s="3">
        <f t="shared" si="26"/>
        <v>0</v>
      </c>
      <c r="N205" s="3" t="str">
        <f t="shared" si="27"/>
        <v>01</v>
      </c>
      <c r="O205" s="14" t="str">
        <f t="shared" si="28"/>
        <v>00</v>
      </c>
    </row>
    <row r="206" spans="1:23">
      <c r="A206" s="3">
        <v>1506</v>
      </c>
      <c r="B206" s="1">
        <f>IF(G206="-",0,IF(G204=G206,1,0))</f>
        <v>0</v>
      </c>
      <c r="C206" s="1">
        <f>+IF(G206="-",0,IF(I206=I204+1,0,(IF(I206=1,0,1))))</f>
        <v>1</v>
      </c>
      <c r="D206" s="1">
        <f>+IF(AND(P206="",Q206=""),1,0)</f>
        <v>0</v>
      </c>
      <c r="E206" s="1">
        <f>IF(U206="",1,0)</f>
        <v>1</v>
      </c>
      <c r="F206" s="1">
        <f>IF(V206="",1,0)</f>
        <v>0</v>
      </c>
      <c r="G206" s="1" t="str">
        <f>IF(H206=0,"-",_xlfn.CONCAT(K206,N206,O206,J206))</f>
        <v>24080803</v>
      </c>
      <c r="H206" s="2">
        <v>45512</v>
      </c>
      <c r="I206" s="36">
        <v>3</v>
      </c>
      <c r="J206" s="1" t="str">
        <f t="shared" ref="J206:J221" si="37">+IF(I206&lt;10,_xlfn.CONCAT("0",I206),I206)</f>
        <v>03</v>
      </c>
      <c r="K206" s="3">
        <f t="shared" ref="K206:K221" si="38">+YEAR(H206)-2000</f>
        <v>24</v>
      </c>
      <c r="L206" s="3">
        <f t="shared" ref="L206:L221" si="39">+MONTH(H206)</f>
        <v>8</v>
      </c>
      <c r="M206" s="3">
        <f t="shared" ref="M206:M221" si="40">+DAY(H206)</f>
        <v>8</v>
      </c>
      <c r="N206" s="3" t="str">
        <f t="shared" ref="N206:N221" si="41">+IF(L206&lt;10,_xlfn.CONCAT("0",L206),L206)</f>
        <v>08</v>
      </c>
      <c r="O206" s="14" t="str">
        <f t="shared" ref="O206:O221" si="42">+IF(M206&lt;10,_xlfn.CONCAT("0",M206),M206)</f>
        <v>08</v>
      </c>
      <c r="Q206" s="5">
        <v>67.8</v>
      </c>
      <c r="R206" s="6">
        <v>522</v>
      </c>
      <c r="S206" s="5">
        <f>IFERROR(P206/R206,"")</f>
        <v>0</v>
      </c>
      <c r="T206" s="5" t="s">
        <v>621</v>
      </c>
      <c r="V206" s="3" t="s">
        <v>4</v>
      </c>
    </row>
    <row r="207" spans="1:23">
      <c r="A207" s="3">
        <v>1744</v>
      </c>
      <c r="B207" s="1">
        <f>IF(G207="-",0,IF(G206=G207,1,0))</f>
        <v>0</v>
      </c>
      <c r="C207" s="1">
        <f>+IF(G207="-",0,IF(I207=I206+1,0,(IF(I207=1,0,1))))</f>
        <v>1</v>
      </c>
      <c r="D207" s="1">
        <f>+IF(AND(P207="",Q207=""),1,0)</f>
        <v>0</v>
      </c>
      <c r="E207" s="1">
        <f>IF(U207="",1,0)</f>
        <v>1</v>
      </c>
      <c r="F207" s="1">
        <f>IF(V207="",1,0)</f>
        <v>0</v>
      </c>
      <c r="G207" s="1" t="str">
        <f>IF(H207=0,"-",_xlfn.CONCAT(K207,N207,O207,J207))</f>
        <v>24082908</v>
      </c>
      <c r="H207" s="2">
        <v>45533</v>
      </c>
      <c r="I207" s="36">
        <v>8</v>
      </c>
      <c r="J207" s="1" t="str">
        <f t="shared" si="37"/>
        <v>08</v>
      </c>
      <c r="K207" s="3">
        <f t="shared" si="38"/>
        <v>24</v>
      </c>
      <c r="L207" s="3">
        <f t="shared" si="39"/>
        <v>8</v>
      </c>
      <c r="M207" s="3">
        <f t="shared" si="40"/>
        <v>29</v>
      </c>
      <c r="N207" s="3" t="str">
        <f t="shared" si="41"/>
        <v>08</v>
      </c>
      <c r="O207" s="14">
        <f t="shared" si="42"/>
        <v>29</v>
      </c>
      <c r="Q207" s="5">
        <v>43.79</v>
      </c>
      <c r="R207" s="6">
        <v>512</v>
      </c>
      <c r="S207" s="5">
        <f>IFERROR(P207/R207,"")</f>
        <v>0</v>
      </c>
      <c r="T207" s="5" t="s">
        <v>685</v>
      </c>
      <c r="V207" s="3" t="s">
        <v>4</v>
      </c>
      <c r="W207" s="3" t="s">
        <v>690</v>
      </c>
    </row>
    <row r="208" spans="1:23" hidden="1">
      <c r="I208" s="1"/>
      <c r="J208" s="1" t="str">
        <f t="shared" si="37"/>
        <v>0</v>
      </c>
      <c r="K208" s="3">
        <f t="shared" si="38"/>
        <v>-100</v>
      </c>
      <c r="L208" s="3">
        <f t="shared" si="39"/>
        <v>1</v>
      </c>
      <c r="M208" s="3">
        <f t="shared" si="40"/>
        <v>0</v>
      </c>
      <c r="N208" s="3" t="str">
        <f t="shared" si="41"/>
        <v>01</v>
      </c>
      <c r="O208" s="14" t="str">
        <f t="shared" si="42"/>
        <v>00</v>
      </c>
    </row>
    <row r="209" spans="1:23" hidden="1">
      <c r="I209" s="1"/>
      <c r="J209" s="1" t="str">
        <f t="shared" si="37"/>
        <v>0</v>
      </c>
      <c r="K209" s="3">
        <f t="shared" si="38"/>
        <v>-100</v>
      </c>
      <c r="L209" s="3">
        <f t="shared" si="39"/>
        <v>1</v>
      </c>
      <c r="M209" s="3">
        <f t="shared" si="40"/>
        <v>0</v>
      </c>
      <c r="N209" s="3" t="str">
        <f t="shared" si="41"/>
        <v>01</v>
      </c>
      <c r="O209" s="14" t="str">
        <f t="shared" si="42"/>
        <v>00</v>
      </c>
    </row>
    <row r="210" spans="1:23">
      <c r="A210" s="3">
        <v>359</v>
      </c>
      <c r="B210" s="1">
        <f>IF(G210="-",0,IF(G209=G210,1,0))</f>
        <v>0</v>
      </c>
      <c r="C210" s="1">
        <f>+IF(G210="-",0,IF(I210=I209+1,0,(IF(I210=1,0,1))))</f>
        <v>1</v>
      </c>
      <c r="D210" s="1">
        <f>+IF(AND(P210="",Q210=""),1,0)</f>
        <v>0</v>
      </c>
      <c r="E210" s="1">
        <f>IF(U210="",1,0)</f>
        <v>0</v>
      </c>
      <c r="F210" s="1">
        <f>IF(V210="",1,0)</f>
        <v>0</v>
      </c>
      <c r="G210" s="1" t="str">
        <f>IF(H210=0,"-",_xlfn.CONCAT(K210,N210,O210,J210))</f>
        <v>24050104</v>
      </c>
      <c r="H210" s="2">
        <v>45413</v>
      </c>
      <c r="I210" s="1">
        <v>4</v>
      </c>
      <c r="J210" s="1" t="str">
        <f t="shared" si="37"/>
        <v>04</v>
      </c>
      <c r="K210" s="3">
        <f t="shared" si="38"/>
        <v>24</v>
      </c>
      <c r="L210" s="3">
        <f t="shared" si="39"/>
        <v>5</v>
      </c>
      <c r="M210" s="3">
        <f t="shared" si="40"/>
        <v>1</v>
      </c>
      <c r="N210" s="3" t="str">
        <f t="shared" si="41"/>
        <v>05</v>
      </c>
      <c r="O210" s="14" t="str">
        <f t="shared" si="42"/>
        <v>01</v>
      </c>
      <c r="Q210" s="5">
        <v>6</v>
      </c>
      <c r="T210" s="5" t="s">
        <v>96</v>
      </c>
      <c r="U210" s="3" t="s">
        <v>3</v>
      </c>
      <c r="V210" s="3" t="s">
        <v>4</v>
      </c>
    </row>
    <row r="211" spans="1:23" hidden="1">
      <c r="J211" s="1" t="str">
        <f t="shared" si="37"/>
        <v>0</v>
      </c>
      <c r="K211" s="3">
        <f t="shared" si="38"/>
        <v>-100</v>
      </c>
      <c r="L211" s="3">
        <f t="shared" si="39"/>
        <v>1</v>
      </c>
      <c r="M211" s="3">
        <f t="shared" si="40"/>
        <v>0</v>
      </c>
      <c r="N211" s="3" t="str">
        <f t="shared" si="41"/>
        <v>01</v>
      </c>
      <c r="O211" s="14" t="str">
        <f t="shared" si="42"/>
        <v>00</v>
      </c>
    </row>
    <row r="212" spans="1:23" hidden="1">
      <c r="J212" s="1" t="str">
        <f t="shared" si="37"/>
        <v>0</v>
      </c>
      <c r="K212" s="3">
        <f t="shared" si="38"/>
        <v>-100</v>
      </c>
      <c r="L212" s="3">
        <f t="shared" si="39"/>
        <v>1</v>
      </c>
      <c r="M212" s="3">
        <f t="shared" si="40"/>
        <v>0</v>
      </c>
      <c r="N212" s="3" t="str">
        <f t="shared" si="41"/>
        <v>01</v>
      </c>
      <c r="O212" s="14" t="str">
        <f t="shared" si="42"/>
        <v>00</v>
      </c>
    </row>
    <row r="213" spans="1:23" hidden="1">
      <c r="J213" s="1" t="str">
        <f t="shared" si="37"/>
        <v>0</v>
      </c>
      <c r="K213" s="3">
        <f t="shared" si="38"/>
        <v>-100</v>
      </c>
      <c r="L213" s="3">
        <f t="shared" si="39"/>
        <v>1</v>
      </c>
      <c r="M213" s="3">
        <f t="shared" si="40"/>
        <v>0</v>
      </c>
      <c r="N213" s="3" t="str">
        <f t="shared" si="41"/>
        <v>01</v>
      </c>
      <c r="O213" s="14" t="str">
        <f t="shared" si="42"/>
        <v>00</v>
      </c>
    </row>
    <row r="214" spans="1:23" hidden="1">
      <c r="J214" s="1" t="str">
        <f t="shared" si="37"/>
        <v>0</v>
      </c>
      <c r="K214" s="3">
        <f t="shared" si="38"/>
        <v>-100</v>
      </c>
      <c r="L214" s="3">
        <f t="shared" si="39"/>
        <v>1</v>
      </c>
      <c r="M214" s="3">
        <f t="shared" si="40"/>
        <v>0</v>
      </c>
      <c r="N214" s="3" t="str">
        <f t="shared" si="41"/>
        <v>01</v>
      </c>
      <c r="O214" s="14" t="str">
        <f t="shared" si="42"/>
        <v>00</v>
      </c>
    </row>
    <row r="215" spans="1:23" hidden="1">
      <c r="J215" s="1" t="str">
        <f t="shared" si="37"/>
        <v>0</v>
      </c>
      <c r="K215" s="3">
        <f t="shared" si="38"/>
        <v>-100</v>
      </c>
      <c r="L215" s="3">
        <f t="shared" si="39"/>
        <v>1</v>
      </c>
      <c r="M215" s="3">
        <f t="shared" si="40"/>
        <v>0</v>
      </c>
      <c r="N215" s="3" t="str">
        <f t="shared" si="41"/>
        <v>01</v>
      </c>
      <c r="O215" s="14" t="str">
        <f t="shared" si="42"/>
        <v>00</v>
      </c>
    </row>
    <row r="216" spans="1:23" hidden="1">
      <c r="J216" s="1" t="str">
        <f t="shared" si="37"/>
        <v>0</v>
      </c>
      <c r="K216" s="3">
        <f t="shared" si="38"/>
        <v>-100</v>
      </c>
      <c r="L216" s="3">
        <f t="shared" si="39"/>
        <v>1</v>
      </c>
      <c r="M216" s="3">
        <f t="shared" si="40"/>
        <v>0</v>
      </c>
      <c r="N216" s="3" t="str">
        <f t="shared" si="41"/>
        <v>01</v>
      </c>
      <c r="O216" s="14" t="str">
        <f t="shared" si="42"/>
        <v>00</v>
      </c>
    </row>
    <row r="217" spans="1:23" hidden="1">
      <c r="J217" s="1" t="str">
        <f t="shared" si="37"/>
        <v>0</v>
      </c>
      <c r="K217" s="3">
        <f t="shared" si="38"/>
        <v>-100</v>
      </c>
      <c r="L217" s="3">
        <f t="shared" si="39"/>
        <v>1</v>
      </c>
      <c r="M217" s="3">
        <f t="shared" si="40"/>
        <v>0</v>
      </c>
      <c r="N217" s="3" t="str">
        <f t="shared" si="41"/>
        <v>01</v>
      </c>
      <c r="O217" s="14" t="str">
        <f t="shared" si="42"/>
        <v>00</v>
      </c>
    </row>
    <row r="218" spans="1:23" hidden="1">
      <c r="J218" s="1" t="str">
        <f t="shared" si="37"/>
        <v>0</v>
      </c>
      <c r="K218" s="3">
        <f t="shared" si="38"/>
        <v>-100</v>
      </c>
      <c r="L218" s="3">
        <f t="shared" si="39"/>
        <v>1</v>
      </c>
      <c r="M218" s="3">
        <f t="shared" si="40"/>
        <v>0</v>
      </c>
      <c r="N218" s="3" t="str">
        <f t="shared" si="41"/>
        <v>01</v>
      </c>
      <c r="O218" s="14" t="str">
        <f t="shared" si="42"/>
        <v>00</v>
      </c>
    </row>
    <row r="219" spans="1:23" hidden="1">
      <c r="J219" s="1" t="str">
        <f t="shared" si="37"/>
        <v>0</v>
      </c>
      <c r="K219" s="3">
        <f t="shared" si="38"/>
        <v>-100</v>
      </c>
      <c r="L219" s="3">
        <f t="shared" si="39"/>
        <v>1</v>
      </c>
      <c r="M219" s="3">
        <f t="shared" si="40"/>
        <v>0</v>
      </c>
      <c r="N219" s="3" t="str">
        <f t="shared" si="41"/>
        <v>01</v>
      </c>
      <c r="O219" s="14" t="str">
        <f t="shared" si="42"/>
        <v>00</v>
      </c>
    </row>
    <row r="220" spans="1:23" hidden="1">
      <c r="J220" s="1" t="str">
        <f t="shared" si="37"/>
        <v>0</v>
      </c>
      <c r="K220" s="3">
        <f t="shared" si="38"/>
        <v>-100</v>
      </c>
      <c r="L220" s="3">
        <f t="shared" si="39"/>
        <v>1</v>
      </c>
      <c r="M220" s="3">
        <f t="shared" si="40"/>
        <v>0</v>
      </c>
      <c r="N220" s="3" t="str">
        <f t="shared" si="41"/>
        <v>01</v>
      </c>
      <c r="O220" s="14" t="str">
        <f t="shared" si="42"/>
        <v>00</v>
      </c>
    </row>
    <row r="221" spans="1:23" s="42" customFormat="1" hidden="1">
      <c r="A221" s="3"/>
      <c r="B221" s="1"/>
      <c r="C221" s="1"/>
      <c r="D221" s="1"/>
      <c r="E221" s="1"/>
      <c r="F221" s="1"/>
      <c r="G221" s="1"/>
      <c r="H221" s="2"/>
      <c r="I221" s="36"/>
      <c r="J221" s="1" t="str">
        <f t="shared" si="37"/>
        <v>0</v>
      </c>
      <c r="K221" s="3">
        <f t="shared" si="38"/>
        <v>-100</v>
      </c>
      <c r="L221" s="3">
        <f t="shared" si="39"/>
        <v>1</v>
      </c>
      <c r="M221" s="3">
        <f t="shared" si="40"/>
        <v>0</v>
      </c>
      <c r="N221" s="3" t="str">
        <f t="shared" si="41"/>
        <v>01</v>
      </c>
      <c r="O221" s="14" t="str">
        <f t="shared" si="42"/>
        <v>00</v>
      </c>
      <c r="P221" s="4"/>
      <c r="Q221" s="5"/>
      <c r="R221" s="6"/>
      <c r="S221" s="5"/>
      <c r="T221" s="5"/>
      <c r="U221" s="3"/>
      <c r="V221" s="3"/>
      <c r="W221" s="3"/>
    </row>
    <row r="222" spans="1:23">
      <c r="A222" s="3">
        <v>439</v>
      </c>
      <c r="G222" s="52"/>
      <c r="H222" s="9">
        <v>45421</v>
      </c>
      <c r="P222" s="11"/>
      <c r="Q222" s="12">
        <v>6</v>
      </c>
      <c r="R222" s="13"/>
      <c r="S222" s="12"/>
      <c r="T222" s="12" t="s">
        <v>953</v>
      </c>
      <c r="U222" s="10" t="s">
        <v>2</v>
      </c>
      <c r="V222" s="10" t="s">
        <v>4</v>
      </c>
      <c r="W222" s="10"/>
    </row>
    <row r="223" spans="1:23">
      <c r="A223" s="3">
        <v>1722</v>
      </c>
      <c r="H223" s="2">
        <v>45530</v>
      </c>
      <c r="Q223" s="5">
        <v>6</v>
      </c>
      <c r="T223" s="5" t="s">
        <v>725</v>
      </c>
      <c r="U223" s="3" t="s">
        <v>3</v>
      </c>
      <c r="V223" s="3" t="s">
        <v>4</v>
      </c>
    </row>
    <row r="224" spans="1:23" hidden="1">
      <c r="J224" s="1" t="str">
        <f>+IF(I224&lt;10,_xlfn.CONCAT("0",I224),I224)</f>
        <v>0</v>
      </c>
      <c r="K224" s="3">
        <f>+YEAR(H224)-2000</f>
        <v>-100</v>
      </c>
      <c r="L224" s="3">
        <f>+MONTH(H224)</f>
        <v>1</v>
      </c>
      <c r="M224" s="3">
        <f>+DAY(H224)</f>
        <v>0</v>
      </c>
      <c r="N224" s="3" t="str">
        <f>+IF(L224&lt;10,_xlfn.CONCAT("0",L224),L224)</f>
        <v>01</v>
      </c>
      <c r="O224" s="14" t="str">
        <f>+IF(M224&lt;10,_xlfn.CONCAT("0",M224),M224)</f>
        <v>00</v>
      </c>
    </row>
    <row r="225" spans="1:22">
      <c r="A225" s="3">
        <v>4</v>
      </c>
      <c r="B225" s="1">
        <f>IF(G225="-",0,IF(G224=G225,1,0))</f>
        <v>0</v>
      </c>
      <c r="C225" s="1">
        <f>+IF(G225="-",0,IF(I225=I224+1,0,(IF(I225=1,0,1))))</f>
        <v>1</v>
      </c>
      <c r="D225" s="1">
        <f>+IF(AND(P225="",Q225=""),1,0)</f>
        <v>0</v>
      </c>
      <c r="E225" s="1">
        <f>IF(U225="",1,0)</f>
        <v>0</v>
      </c>
      <c r="F225" s="1">
        <f>IF(V225="",1,0)</f>
        <v>0</v>
      </c>
      <c r="G225" s="1" t="str">
        <f>IF(H225=0,"-",_xlfn.CONCAT(K225,N225,O225,J225))</f>
        <v>24032603</v>
      </c>
      <c r="H225" s="2">
        <v>45377</v>
      </c>
      <c r="I225" s="36">
        <v>3</v>
      </c>
      <c r="J225" s="1" t="str">
        <f>+IF(I225&lt;10,_xlfn.CONCAT("0",I225),I225)</f>
        <v>03</v>
      </c>
      <c r="K225" s="3">
        <f>+YEAR(H225)-2000</f>
        <v>24</v>
      </c>
      <c r="L225" s="3">
        <f>+MONTH(H225)</f>
        <v>3</v>
      </c>
      <c r="M225" s="3">
        <f>+DAY(H225)</f>
        <v>26</v>
      </c>
      <c r="N225" s="3" t="str">
        <f>+IF(L225&lt;10,_xlfn.CONCAT("0",L225),L225)</f>
        <v>03</v>
      </c>
      <c r="O225" s="14">
        <f>+IF(M225&lt;10,_xlfn.CONCAT("0",M225),M225)</f>
        <v>26</v>
      </c>
      <c r="Q225" s="5">
        <v>3</v>
      </c>
      <c r="T225" s="5" t="s">
        <v>725</v>
      </c>
      <c r="U225" s="3" t="s">
        <v>3</v>
      </c>
      <c r="V225" s="3" t="s">
        <v>4</v>
      </c>
    </row>
    <row r="226" spans="1:22">
      <c r="A226" s="3">
        <v>12</v>
      </c>
      <c r="H226" s="2">
        <v>45378</v>
      </c>
      <c r="Q226" s="5">
        <v>3</v>
      </c>
      <c r="T226" s="5" t="s">
        <v>725</v>
      </c>
      <c r="U226" s="3" t="s">
        <v>3</v>
      </c>
      <c r="V226" s="3" t="s">
        <v>4</v>
      </c>
    </row>
    <row r="227" spans="1:22">
      <c r="A227" s="3">
        <v>65</v>
      </c>
      <c r="B227" s="1">
        <f>IF(G227="-",0,IF(G226=G227,1,0))</f>
        <v>0</v>
      </c>
      <c r="C227" s="1">
        <f>+IF(G227="-",0,IF(I227=I226+1,0,(IF(I227=1,0,1))))</f>
        <v>1</v>
      </c>
      <c r="D227" s="1">
        <f>+IF(AND(P227="",Q227=""),1,0)</f>
        <v>0</v>
      </c>
      <c r="E227" s="1">
        <f>IF(U227="",1,0)</f>
        <v>0</v>
      </c>
      <c r="F227" s="1">
        <f>IF(V227="",1,0)</f>
        <v>0</v>
      </c>
      <c r="G227" s="1" t="str">
        <f>IF(H227=0,"-",_xlfn.CONCAT(K227,N227,O227,J227))</f>
        <v>24040104</v>
      </c>
      <c r="H227" s="2">
        <v>45383</v>
      </c>
      <c r="I227" s="36">
        <v>4</v>
      </c>
      <c r="J227" s="1" t="str">
        <f>+IF(I227&lt;10,_xlfn.CONCAT("0",I227),I227)</f>
        <v>04</v>
      </c>
      <c r="K227" s="3">
        <f>+YEAR(H227)-2000</f>
        <v>24</v>
      </c>
      <c r="L227" s="3">
        <f>+MONTH(H227)</f>
        <v>4</v>
      </c>
      <c r="M227" s="3">
        <f>+DAY(H227)</f>
        <v>1</v>
      </c>
      <c r="N227" s="3" t="str">
        <f>+IF(L227&lt;10,_xlfn.CONCAT("0",L227),L227)</f>
        <v>04</v>
      </c>
      <c r="O227" s="14" t="str">
        <f>+IF(M227&lt;10,_xlfn.CONCAT("0",M227),M227)</f>
        <v>01</v>
      </c>
      <c r="Q227" s="5">
        <v>3</v>
      </c>
      <c r="T227" s="5" t="s">
        <v>725</v>
      </c>
      <c r="U227" s="3" t="s">
        <v>2</v>
      </c>
      <c r="V227" s="3" t="s">
        <v>4</v>
      </c>
    </row>
    <row r="228" spans="1:22">
      <c r="A228" s="3">
        <v>200</v>
      </c>
      <c r="H228" s="2">
        <v>45398</v>
      </c>
      <c r="I228" s="1"/>
      <c r="Q228" s="5">
        <v>3</v>
      </c>
      <c r="T228" s="5" t="s">
        <v>725</v>
      </c>
      <c r="U228" s="3" t="s">
        <v>3</v>
      </c>
      <c r="V228" s="3" t="s">
        <v>4</v>
      </c>
    </row>
    <row r="229" spans="1:22" hidden="1">
      <c r="J229" s="1" t="str">
        <f>+IF(I229&lt;10,_xlfn.CONCAT("0",I229),I229)</f>
        <v>0</v>
      </c>
      <c r="K229" s="3">
        <f>+YEAR(H229)-2000</f>
        <v>-100</v>
      </c>
      <c r="L229" s="3">
        <f>+MONTH(H229)</f>
        <v>1</v>
      </c>
      <c r="M229" s="3">
        <f>+DAY(H229)</f>
        <v>0</v>
      </c>
      <c r="N229" s="3" t="str">
        <f t="shared" ref="N229:O231" si="43">+IF(L229&lt;10,_xlfn.CONCAT("0",L229),L229)</f>
        <v>01</v>
      </c>
      <c r="O229" s="14" t="str">
        <f t="shared" si="43"/>
        <v>00</v>
      </c>
    </row>
    <row r="230" spans="1:22" hidden="1">
      <c r="J230" s="1" t="str">
        <f>+IF(I230&lt;10,_xlfn.CONCAT("0",I230),I230)</f>
        <v>0</v>
      </c>
      <c r="K230" s="3">
        <f>+YEAR(H230)-2000</f>
        <v>-100</v>
      </c>
      <c r="L230" s="3">
        <f>+MONTH(H230)</f>
        <v>1</v>
      </c>
      <c r="M230" s="3">
        <f>+DAY(H230)</f>
        <v>0</v>
      </c>
      <c r="N230" s="3" t="str">
        <f t="shared" si="43"/>
        <v>01</v>
      </c>
      <c r="O230" s="14" t="str">
        <f t="shared" si="43"/>
        <v>00</v>
      </c>
    </row>
    <row r="231" spans="1:22">
      <c r="A231" s="3">
        <v>221</v>
      </c>
      <c r="H231" s="2">
        <v>45401</v>
      </c>
      <c r="K231" s="3">
        <f>+YEAR(H231)-2000</f>
        <v>24</v>
      </c>
      <c r="L231" s="3">
        <f>+MONTH(H231)</f>
        <v>4</v>
      </c>
      <c r="M231" s="3">
        <f>+DAY(H231)</f>
        <v>19</v>
      </c>
      <c r="N231" s="3" t="str">
        <f t="shared" si="43"/>
        <v>04</v>
      </c>
      <c r="O231" s="14">
        <f t="shared" si="43"/>
        <v>19</v>
      </c>
      <c r="Q231" s="5">
        <v>3</v>
      </c>
      <c r="T231" s="5" t="s">
        <v>725</v>
      </c>
      <c r="U231" s="3" t="s">
        <v>3</v>
      </c>
      <c r="V231" s="3" t="s">
        <v>4</v>
      </c>
    </row>
    <row r="232" spans="1:22">
      <c r="A232" s="3">
        <v>258</v>
      </c>
      <c r="H232" s="2">
        <v>45406</v>
      </c>
      <c r="Q232" s="5">
        <v>3</v>
      </c>
      <c r="T232" s="5" t="s">
        <v>725</v>
      </c>
      <c r="U232" s="3" t="s">
        <v>3</v>
      </c>
      <c r="V232" s="3" t="s">
        <v>4</v>
      </c>
    </row>
    <row r="233" spans="1:22" hidden="1">
      <c r="J233" s="1" t="str">
        <f>+IF(I233&lt;10,_xlfn.CONCAT("0",I233),I233)</f>
        <v>0</v>
      </c>
      <c r="K233" s="3">
        <f>+YEAR(H233)-2000</f>
        <v>-100</v>
      </c>
      <c r="L233" s="3">
        <f>+MONTH(H233)</f>
        <v>1</v>
      </c>
      <c r="M233" s="3">
        <f>+DAY(H233)</f>
        <v>0</v>
      </c>
      <c r="N233" s="3" t="str">
        <f>+IF(L233&lt;10,_xlfn.CONCAT("0",L233),L233)</f>
        <v>01</v>
      </c>
      <c r="O233" s="14" t="str">
        <f>+IF(M233&lt;10,_xlfn.CONCAT("0",M233),M233)</f>
        <v>00</v>
      </c>
    </row>
    <row r="234" spans="1:22">
      <c r="A234" s="3">
        <v>262</v>
      </c>
      <c r="H234" s="2">
        <v>45406</v>
      </c>
      <c r="Q234" s="5">
        <v>3</v>
      </c>
      <c r="T234" s="5" t="s">
        <v>725</v>
      </c>
      <c r="U234" s="3" t="s">
        <v>3</v>
      </c>
      <c r="V234" s="3" t="s">
        <v>4</v>
      </c>
    </row>
    <row r="235" spans="1:22" hidden="1">
      <c r="J235" s="1" t="str">
        <f>+IF(I235&lt;10,_xlfn.CONCAT("0",I235),I235)</f>
        <v>0</v>
      </c>
      <c r="K235" s="3">
        <f>+YEAR(H235)-2000</f>
        <v>-100</v>
      </c>
      <c r="L235" s="3">
        <f>+MONTH(H235)</f>
        <v>1</v>
      </c>
      <c r="M235" s="3">
        <f>+DAY(H235)</f>
        <v>0</v>
      </c>
      <c r="N235" s="3" t="str">
        <f>+IF(L235&lt;10,_xlfn.CONCAT("0",L235),L235)</f>
        <v>01</v>
      </c>
      <c r="O235" s="14" t="str">
        <f>+IF(M235&lt;10,_xlfn.CONCAT("0",M235),M235)</f>
        <v>00</v>
      </c>
    </row>
    <row r="236" spans="1:22">
      <c r="A236" s="3">
        <v>363</v>
      </c>
      <c r="H236" s="2">
        <v>45414</v>
      </c>
      <c r="Q236" s="5">
        <v>3</v>
      </c>
      <c r="T236" s="5" t="s">
        <v>725</v>
      </c>
      <c r="U236" s="3" t="s">
        <v>3</v>
      </c>
      <c r="V236" s="3" t="s">
        <v>4</v>
      </c>
    </row>
    <row r="237" spans="1:22">
      <c r="A237" s="3">
        <v>545</v>
      </c>
      <c r="H237" s="2">
        <v>45429</v>
      </c>
      <c r="Q237" s="5">
        <v>3</v>
      </c>
      <c r="T237" s="5" t="s">
        <v>725</v>
      </c>
      <c r="U237" s="3" t="s">
        <v>3</v>
      </c>
      <c r="V237" s="3" t="s">
        <v>4</v>
      </c>
    </row>
    <row r="238" spans="1:22">
      <c r="A238" s="3">
        <v>610</v>
      </c>
      <c r="H238" s="2">
        <v>45434</v>
      </c>
      <c r="Q238" s="5">
        <v>3</v>
      </c>
      <c r="T238" s="5" t="s">
        <v>725</v>
      </c>
      <c r="U238" s="3" t="s">
        <v>3</v>
      </c>
      <c r="V238" s="3" t="s">
        <v>4</v>
      </c>
    </row>
    <row r="239" spans="1:22">
      <c r="A239" s="3">
        <v>735</v>
      </c>
      <c r="H239" s="2">
        <v>45446</v>
      </c>
      <c r="Q239" s="5">
        <v>3</v>
      </c>
      <c r="T239" s="5" t="s">
        <v>725</v>
      </c>
      <c r="U239" s="3" t="s">
        <v>3</v>
      </c>
      <c r="V239" s="3" t="s">
        <v>4</v>
      </c>
    </row>
    <row r="240" spans="1:22">
      <c r="A240" s="3">
        <v>942</v>
      </c>
      <c r="H240" s="2">
        <v>45464</v>
      </c>
      <c r="Q240" s="5">
        <v>3</v>
      </c>
      <c r="T240" s="5" t="s">
        <v>725</v>
      </c>
      <c r="U240" s="3" t="s">
        <v>3</v>
      </c>
      <c r="V240" s="3" t="s">
        <v>4</v>
      </c>
    </row>
    <row r="241" spans="1:22">
      <c r="A241" s="3">
        <v>1347</v>
      </c>
      <c r="H241" s="2">
        <v>45499</v>
      </c>
      <c r="Q241" s="5">
        <v>3</v>
      </c>
      <c r="T241" s="5" t="s">
        <v>725</v>
      </c>
      <c r="U241" s="3" t="s">
        <v>3</v>
      </c>
      <c r="V241" s="3" t="s">
        <v>4</v>
      </c>
    </row>
    <row r="242" spans="1:22">
      <c r="A242" s="3">
        <v>1362</v>
      </c>
      <c r="H242" s="2">
        <v>45500</v>
      </c>
      <c r="Q242" s="5">
        <v>3</v>
      </c>
      <c r="T242" s="5" t="s">
        <v>725</v>
      </c>
      <c r="U242" s="3" t="s">
        <v>3</v>
      </c>
      <c r="V242" s="3" t="s">
        <v>4</v>
      </c>
    </row>
    <row r="243" spans="1:22" hidden="1">
      <c r="J243" s="1" t="str">
        <f t="shared" ref="J243:J251" si="44">+IF(I243&lt;10,_xlfn.CONCAT("0",I243),I243)</f>
        <v>0</v>
      </c>
      <c r="K243" s="3">
        <f t="shared" ref="K243:K251" si="45">+YEAR(H243)-2000</f>
        <v>-100</v>
      </c>
      <c r="L243" s="3">
        <f t="shared" ref="L243:L251" si="46">+MONTH(H243)</f>
        <v>1</v>
      </c>
      <c r="M243" s="3">
        <f t="shared" ref="M243:M251" si="47">+DAY(H243)</f>
        <v>0</v>
      </c>
      <c r="N243" s="3" t="str">
        <f t="shared" ref="N243:N251" si="48">+IF(L243&lt;10,_xlfn.CONCAT("0",L243),L243)</f>
        <v>01</v>
      </c>
      <c r="O243" s="14" t="str">
        <f t="shared" ref="O243:O251" si="49">+IF(M243&lt;10,_xlfn.CONCAT("0",M243),M243)</f>
        <v>00</v>
      </c>
    </row>
    <row r="244" spans="1:22" hidden="1">
      <c r="J244" s="1" t="str">
        <f t="shared" si="44"/>
        <v>0</v>
      </c>
      <c r="K244" s="3">
        <f t="shared" si="45"/>
        <v>-100</v>
      </c>
      <c r="L244" s="3">
        <f t="shared" si="46"/>
        <v>1</v>
      </c>
      <c r="M244" s="3">
        <f t="shared" si="47"/>
        <v>0</v>
      </c>
      <c r="N244" s="3" t="str">
        <f t="shared" si="48"/>
        <v>01</v>
      </c>
      <c r="O244" s="14" t="str">
        <f t="shared" si="49"/>
        <v>00</v>
      </c>
    </row>
    <row r="245" spans="1:22" hidden="1">
      <c r="J245" s="1" t="str">
        <f t="shared" si="44"/>
        <v>0</v>
      </c>
      <c r="K245" s="3">
        <f t="shared" si="45"/>
        <v>-100</v>
      </c>
      <c r="L245" s="3">
        <f t="shared" si="46"/>
        <v>1</v>
      </c>
      <c r="M245" s="3">
        <f t="shared" si="47"/>
        <v>0</v>
      </c>
      <c r="N245" s="3" t="str">
        <f t="shared" si="48"/>
        <v>01</v>
      </c>
      <c r="O245" s="14" t="str">
        <f t="shared" si="49"/>
        <v>00</v>
      </c>
    </row>
    <row r="246" spans="1:22" hidden="1">
      <c r="J246" s="1" t="str">
        <f t="shared" si="44"/>
        <v>0</v>
      </c>
      <c r="K246" s="3">
        <f t="shared" si="45"/>
        <v>-100</v>
      </c>
      <c r="L246" s="3">
        <f t="shared" si="46"/>
        <v>1</v>
      </c>
      <c r="M246" s="3">
        <f t="shared" si="47"/>
        <v>0</v>
      </c>
      <c r="N246" s="3" t="str">
        <f t="shared" si="48"/>
        <v>01</v>
      </c>
      <c r="O246" s="14" t="str">
        <f t="shared" si="49"/>
        <v>00</v>
      </c>
    </row>
    <row r="247" spans="1:22" hidden="1">
      <c r="J247" s="1" t="str">
        <f t="shared" si="44"/>
        <v>0</v>
      </c>
      <c r="K247" s="3">
        <f t="shared" si="45"/>
        <v>-100</v>
      </c>
      <c r="L247" s="3">
        <f t="shared" si="46"/>
        <v>1</v>
      </c>
      <c r="M247" s="3">
        <f t="shared" si="47"/>
        <v>0</v>
      </c>
      <c r="N247" s="3" t="str">
        <f t="shared" si="48"/>
        <v>01</v>
      </c>
      <c r="O247" s="14" t="str">
        <f t="shared" si="49"/>
        <v>00</v>
      </c>
    </row>
    <row r="248" spans="1:22" hidden="1">
      <c r="J248" s="1" t="str">
        <f t="shared" si="44"/>
        <v>0</v>
      </c>
      <c r="K248" s="3">
        <f t="shared" si="45"/>
        <v>-100</v>
      </c>
      <c r="L248" s="3">
        <f t="shared" si="46"/>
        <v>1</v>
      </c>
      <c r="M248" s="3">
        <f t="shared" si="47"/>
        <v>0</v>
      </c>
      <c r="N248" s="3" t="str">
        <f t="shared" si="48"/>
        <v>01</v>
      </c>
      <c r="O248" s="14" t="str">
        <f t="shared" si="49"/>
        <v>00</v>
      </c>
    </row>
    <row r="249" spans="1:22" hidden="1">
      <c r="J249" s="1" t="str">
        <f t="shared" si="44"/>
        <v>0</v>
      </c>
      <c r="K249" s="3">
        <f t="shared" si="45"/>
        <v>-100</v>
      </c>
      <c r="L249" s="3">
        <f t="shared" si="46"/>
        <v>1</v>
      </c>
      <c r="M249" s="3">
        <f t="shared" si="47"/>
        <v>0</v>
      </c>
      <c r="N249" s="3" t="str">
        <f t="shared" si="48"/>
        <v>01</v>
      </c>
      <c r="O249" s="14" t="str">
        <f t="shared" si="49"/>
        <v>00</v>
      </c>
    </row>
    <row r="250" spans="1:22" hidden="1">
      <c r="J250" s="1" t="str">
        <f t="shared" si="44"/>
        <v>0</v>
      </c>
      <c r="K250" s="3">
        <f t="shared" si="45"/>
        <v>-100</v>
      </c>
      <c r="L250" s="3">
        <f t="shared" si="46"/>
        <v>1</v>
      </c>
      <c r="M250" s="3">
        <f t="shared" si="47"/>
        <v>0</v>
      </c>
      <c r="N250" s="3" t="str">
        <f t="shared" si="48"/>
        <v>01</v>
      </c>
      <c r="O250" s="14" t="str">
        <f t="shared" si="49"/>
        <v>00</v>
      </c>
    </row>
    <row r="251" spans="1:22" hidden="1">
      <c r="J251" s="1" t="str">
        <f t="shared" si="44"/>
        <v>0</v>
      </c>
      <c r="K251" s="3">
        <f t="shared" si="45"/>
        <v>-100</v>
      </c>
      <c r="L251" s="3">
        <f t="shared" si="46"/>
        <v>1</v>
      </c>
      <c r="M251" s="3">
        <f t="shared" si="47"/>
        <v>0</v>
      </c>
      <c r="N251" s="3" t="str">
        <f t="shared" si="48"/>
        <v>01</v>
      </c>
      <c r="O251" s="14" t="str">
        <f t="shared" si="49"/>
        <v>00</v>
      </c>
    </row>
    <row r="252" spans="1:22">
      <c r="A252" s="3">
        <v>1505</v>
      </c>
      <c r="H252" s="2">
        <v>45512</v>
      </c>
      <c r="Q252" s="5">
        <v>3</v>
      </c>
      <c r="T252" s="5" t="s">
        <v>725</v>
      </c>
      <c r="U252" s="3" t="s">
        <v>3</v>
      </c>
      <c r="V252" s="3" t="s">
        <v>4</v>
      </c>
    </row>
    <row r="253" spans="1:22">
      <c r="A253" s="3">
        <v>1520</v>
      </c>
      <c r="H253" s="2">
        <v>45514</v>
      </c>
      <c r="Q253" s="5">
        <v>3</v>
      </c>
      <c r="T253" s="5" t="s">
        <v>725</v>
      </c>
      <c r="U253" s="3" t="s">
        <v>3</v>
      </c>
      <c r="V253" s="3" t="s">
        <v>4</v>
      </c>
    </row>
    <row r="254" spans="1:22" hidden="1">
      <c r="J254" s="1" t="str">
        <f>+IF(I254&lt;10,_xlfn.CONCAT("0",I254),I254)</f>
        <v>0</v>
      </c>
      <c r="K254" s="3">
        <f>+YEAR(H254)-2000</f>
        <v>-100</v>
      </c>
      <c r="L254" s="3">
        <f>+MONTH(H254)</f>
        <v>1</v>
      </c>
      <c r="M254" s="3">
        <f>+DAY(H254)</f>
        <v>0</v>
      </c>
      <c r="N254" s="3" t="str">
        <f t="shared" ref="N254:O256" si="50">+IF(L254&lt;10,_xlfn.CONCAT("0",L254),L254)</f>
        <v>01</v>
      </c>
      <c r="O254" s="14" t="str">
        <f t="shared" si="50"/>
        <v>00</v>
      </c>
    </row>
    <row r="255" spans="1:22" hidden="1">
      <c r="J255" s="1" t="str">
        <f>+IF(I255&lt;10,_xlfn.CONCAT("0",I255),I255)</f>
        <v>0</v>
      </c>
      <c r="K255" s="3">
        <f>+YEAR(H255)-2000</f>
        <v>-100</v>
      </c>
      <c r="L255" s="3">
        <f>+MONTH(H255)</f>
        <v>1</v>
      </c>
      <c r="M255" s="3">
        <f>+DAY(H255)</f>
        <v>0</v>
      </c>
      <c r="N255" s="3" t="str">
        <f t="shared" si="50"/>
        <v>01</v>
      </c>
      <c r="O255" s="14" t="str">
        <f t="shared" si="50"/>
        <v>00</v>
      </c>
    </row>
    <row r="256" spans="1:22" hidden="1">
      <c r="J256" s="1" t="str">
        <f>+IF(I256&lt;10,_xlfn.CONCAT("0",I256),I256)</f>
        <v>0</v>
      </c>
      <c r="K256" s="3">
        <f>+YEAR(H256)-2000</f>
        <v>-100</v>
      </c>
      <c r="L256" s="3">
        <f>+MONTH(H256)</f>
        <v>1</v>
      </c>
      <c r="M256" s="3">
        <f>+DAY(H256)</f>
        <v>0</v>
      </c>
      <c r="N256" s="3" t="str">
        <f t="shared" si="50"/>
        <v>01</v>
      </c>
      <c r="O256" s="14" t="str">
        <f t="shared" si="50"/>
        <v>00</v>
      </c>
    </row>
    <row r="257" spans="1:22">
      <c r="A257" s="3">
        <v>1569</v>
      </c>
      <c r="H257" s="2">
        <v>45518</v>
      </c>
      <c r="Q257" s="5">
        <v>3</v>
      </c>
      <c r="T257" s="5" t="s">
        <v>725</v>
      </c>
      <c r="U257" s="3" t="s">
        <v>3</v>
      </c>
      <c r="V257" s="3" t="s">
        <v>4</v>
      </c>
    </row>
    <row r="258" spans="1:22" hidden="1">
      <c r="J258" s="1" t="str">
        <f t="shared" ref="J258:J263" si="51">+IF(I258&lt;10,_xlfn.CONCAT("0",I258),I258)</f>
        <v>0</v>
      </c>
      <c r="K258" s="3">
        <f t="shared" ref="K258:K263" si="52">+YEAR(H258)-2000</f>
        <v>-100</v>
      </c>
      <c r="L258" s="3">
        <f t="shared" ref="L258:L263" si="53">+MONTH(H258)</f>
        <v>1</v>
      </c>
      <c r="M258" s="3">
        <f t="shared" ref="M258:M263" si="54">+DAY(H258)</f>
        <v>0</v>
      </c>
      <c r="N258" s="3" t="str">
        <f t="shared" ref="N258:O263" si="55">+IF(L258&lt;10,_xlfn.CONCAT("0",L258),L258)</f>
        <v>01</v>
      </c>
      <c r="O258" s="14" t="str">
        <f t="shared" si="55"/>
        <v>00</v>
      </c>
    </row>
    <row r="259" spans="1:22" hidden="1">
      <c r="J259" s="1" t="str">
        <f t="shared" si="51"/>
        <v>0</v>
      </c>
      <c r="K259" s="3">
        <f t="shared" si="52"/>
        <v>-100</v>
      </c>
      <c r="L259" s="3">
        <f t="shared" si="53"/>
        <v>1</v>
      </c>
      <c r="M259" s="3">
        <f t="shared" si="54"/>
        <v>0</v>
      </c>
      <c r="N259" s="3" t="str">
        <f t="shared" si="55"/>
        <v>01</v>
      </c>
      <c r="O259" s="14" t="str">
        <f t="shared" si="55"/>
        <v>00</v>
      </c>
    </row>
    <row r="260" spans="1:22" hidden="1">
      <c r="J260" s="1" t="str">
        <f t="shared" si="51"/>
        <v>0</v>
      </c>
      <c r="K260" s="3">
        <f t="shared" si="52"/>
        <v>-100</v>
      </c>
      <c r="L260" s="3">
        <f t="shared" si="53"/>
        <v>1</v>
      </c>
      <c r="M260" s="3">
        <f t="shared" si="54"/>
        <v>0</v>
      </c>
      <c r="N260" s="3" t="str">
        <f t="shared" si="55"/>
        <v>01</v>
      </c>
      <c r="O260" s="14" t="str">
        <f t="shared" si="55"/>
        <v>00</v>
      </c>
      <c r="T260" s="7"/>
    </row>
    <row r="261" spans="1:22" hidden="1">
      <c r="J261" s="1" t="str">
        <f t="shared" si="51"/>
        <v>0</v>
      </c>
      <c r="K261" s="3">
        <f t="shared" si="52"/>
        <v>-100</v>
      </c>
      <c r="L261" s="3">
        <f t="shared" si="53"/>
        <v>1</v>
      </c>
      <c r="M261" s="3">
        <f t="shared" si="54"/>
        <v>0</v>
      </c>
      <c r="N261" s="3" t="str">
        <f t="shared" si="55"/>
        <v>01</v>
      </c>
      <c r="O261" s="14" t="str">
        <f t="shared" si="55"/>
        <v>00</v>
      </c>
    </row>
    <row r="262" spans="1:22" hidden="1">
      <c r="J262" s="1" t="str">
        <f t="shared" si="51"/>
        <v>0</v>
      </c>
      <c r="K262" s="3">
        <f t="shared" si="52"/>
        <v>-100</v>
      </c>
      <c r="L262" s="3">
        <f t="shared" si="53"/>
        <v>1</v>
      </c>
      <c r="M262" s="3">
        <f t="shared" si="54"/>
        <v>0</v>
      </c>
      <c r="N262" s="3" t="str">
        <f t="shared" si="55"/>
        <v>01</v>
      </c>
      <c r="O262" s="14" t="str">
        <f t="shared" si="55"/>
        <v>00</v>
      </c>
    </row>
    <row r="263" spans="1:22" hidden="1">
      <c r="J263" s="1" t="str">
        <f t="shared" si="51"/>
        <v>0</v>
      </c>
      <c r="K263" s="3">
        <f t="shared" si="52"/>
        <v>-100</v>
      </c>
      <c r="L263" s="3">
        <f t="shared" si="53"/>
        <v>1</v>
      </c>
      <c r="M263" s="3">
        <f t="shared" si="54"/>
        <v>0</v>
      </c>
      <c r="N263" s="3" t="str">
        <f t="shared" si="55"/>
        <v>01</v>
      </c>
      <c r="O263" s="14" t="str">
        <f t="shared" si="55"/>
        <v>00</v>
      </c>
    </row>
    <row r="264" spans="1:22">
      <c r="A264" s="3">
        <v>1764</v>
      </c>
      <c r="H264" s="2">
        <v>45535</v>
      </c>
      <c r="Q264" s="5">
        <v>3</v>
      </c>
      <c r="U264" s="3" t="s">
        <v>3</v>
      </c>
      <c r="V264" s="3" t="s">
        <v>4</v>
      </c>
    </row>
    <row r="265" spans="1:22">
      <c r="A265" s="3">
        <v>1833</v>
      </c>
      <c r="H265" s="2">
        <v>45542</v>
      </c>
      <c r="Q265" s="5">
        <v>3</v>
      </c>
      <c r="U265" s="3" t="s">
        <v>3</v>
      </c>
      <c r="V265" s="3" t="s">
        <v>4</v>
      </c>
    </row>
    <row r="266" spans="1:22">
      <c r="A266" s="3">
        <v>2327</v>
      </c>
      <c r="H266" s="2">
        <v>45587</v>
      </c>
      <c r="I266" s="1"/>
      <c r="Q266" s="5">
        <v>3</v>
      </c>
      <c r="U266" s="3" t="s">
        <v>3</v>
      </c>
      <c r="V266" s="3" t="s">
        <v>4</v>
      </c>
    </row>
    <row r="267" spans="1:22">
      <c r="A267" s="3">
        <v>938</v>
      </c>
      <c r="H267" s="2">
        <v>45464</v>
      </c>
      <c r="K267" s="3">
        <f>+YEAR(H267)-2000</f>
        <v>24</v>
      </c>
      <c r="L267" s="3">
        <f>+MONTH(H267)</f>
        <v>6</v>
      </c>
      <c r="M267" s="3">
        <f>+DAY(H267)</f>
        <v>21</v>
      </c>
      <c r="N267" s="3" t="str">
        <f>+IF(L267&lt;10,_xlfn.CONCAT("0",L267),L267)</f>
        <v>06</v>
      </c>
      <c r="O267" s="14">
        <f>+IF(M267&lt;10,_xlfn.CONCAT("0",M267),M267)</f>
        <v>21</v>
      </c>
      <c r="Q267" s="5">
        <v>2</v>
      </c>
      <c r="T267" s="5" t="s">
        <v>953</v>
      </c>
      <c r="U267" s="3" t="s">
        <v>3</v>
      </c>
      <c r="V267" s="3" t="s">
        <v>4</v>
      </c>
    </row>
    <row r="268" spans="1:22">
      <c r="A268" s="3">
        <v>737</v>
      </c>
      <c r="H268" s="2">
        <v>45446</v>
      </c>
      <c r="Q268" s="5">
        <v>1</v>
      </c>
      <c r="T268" s="5" t="s">
        <v>725</v>
      </c>
      <c r="U268" s="3" t="s">
        <v>3</v>
      </c>
      <c r="V268" s="3" t="s">
        <v>4</v>
      </c>
    </row>
    <row r="269" spans="1:22">
      <c r="A269" s="3">
        <v>748</v>
      </c>
      <c r="H269" s="2">
        <v>45447</v>
      </c>
      <c r="Q269" s="5">
        <v>1</v>
      </c>
      <c r="T269" s="5" t="s">
        <v>725</v>
      </c>
      <c r="U269" s="3" t="s">
        <v>3</v>
      </c>
      <c r="V269" s="3" t="s">
        <v>4</v>
      </c>
    </row>
    <row r="270" spans="1:22">
      <c r="A270" s="3">
        <v>1104</v>
      </c>
      <c r="H270" s="2">
        <v>45477</v>
      </c>
      <c r="Q270" s="5">
        <v>1</v>
      </c>
      <c r="T270" s="5" t="s">
        <v>725</v>
      </c>
      <c r="U270" s="3" t="s">
        <v>3</v>
      </c>
      <c r="V270" s="3" t="s">
        <v>4</v>
      </c>
    </row>
    <row r="271" spans="1:22" hidden="1">
      <c r="J271" s="1" t="str">
        <f>+IF(I271&lt;10,_xlfn.CONCAT("0",I271),I271)</f>
        <v>0</v>
      </c>
      <c r="K271" s="3">
        <f>+YEAR(H271)-2000</f>
        <v>-100</v>
      </c>
      <c r="L271" s="3">
        <f>+MONTH(H271)</f>
        <v>1</v>
      </c>
      <c r="M271" s="3">
        <f>+DAY(H271)</f>
        <v>0</v>
      </c>
      <c r="N271" s="3" t="str">
        <f>+IF(L271&lt;10,_xlfn.CONCAT("0",L271),L271)</f>
        <v>01</v>
      </c>
      <c r="O271" s="14" t="str">
        <f>+IF(M271&lt;10,_xlfn.CONCAT("0",M271),M271)</f>
        <v>00</v>
      </c>
    </row>
    <row r="272" spans="1:22">
      <c r="A272" s="3">
        <v>1106</v>
      </c>
      <c r="H272" s="2">
        <v>45477</v>
      </c>
      <c r="Q272" s="5">
        <v>1</v>
      </c>
      <c r="T272" s="5" t="s">
        <v>725</v>
      </c>
      <c r="U272" s="3" t="s">
        <v>3</v>
      </c>
      <c r="V272" s="3" t="s">
        <v>4</v>
      </c>
    </row>
    <row r="273" spans="1:23" s="42" customFormat="1">
      <c r="A273" s="3">
        <v>1108</v>
      </c>
      <c r="B273" s="1"/>
      <c r="C273" s="1"/>
      <c r="D273" s="1"/>
      <c r="E273" s="1"/>
      <c r="F273" s="1"/>
      <c r="G273" s="1"/>
      <c r="H273" s="2">
        <v>45477</v>
      </c>
      <c r="I273" s="36"/>
      <c r="J273" s="1"/>
      <c r="K273" s="3"/>
      <c r="L273" s="3"/>
      <c r="M273" s="3"/>
      <c r="N273" s="3"/>
      <c r="O273" s="14"/>
      <c r="P273" s="4"/>
      <c r="Q273" s="5">
        <v>1</v>
      </c>
      <c r="R273" s="6"/>
      <c r="S273" s="5"/>
      <c r="T273" s="5" t="s">
        <v>725</v>
      </c>
      <c r="U273" s="3" t="s">
        <v>3</v>
      </c>
      <c r="V273" s="3" t="s">
        <v>4</v>
      </c>
      <c r="W273" s="3"/>
    </row>
    <row r="274" spans="1:23">
      <c r="A274" s="3">
        <v>1110</v>
      </c>
      <c r="D274" s="1">
        <f>+IF(AND(P274="",Q274=""),1,0)</f>
        <v>0</v>
      </c>
      <c r="H274" s="2">
        <v>45477</v>
      </c>
      <c r="Q274" s="5">
        <v>1</v>
      </c>
      <c r="T274" s="5" t="s">
        <v>725</v>
      </c>
      <c r="U274" s="3" t="s">
        <v>3</v>
      </c>
      <c r="V274" s="3" t="s">
        <v>4</v>
      </c>
    </row>
    <row r="275" spans="1:23" hidden="1">
      <c r="J275" s="1" t="str">
        <f>+IF(I275&lt;10,_xlfn.CONCAT("0",I275),I275)</f>
        <v>0</v>
      </c>
      <c r="K275" s="3">
        <f>+YEAR(H275)-2000</f>
        <v>-100</v>
      </c>
      <c r="L275" s="3">
        <f>+MONTH(H275)</f>
        <v>1</v>
      </c>
      <c r="M275" s="3">
        <f>+DAY(H275)</f>
        <v>0</v>
      </c>
      <c r="N275" s="3" t="str">
        <f t="shared" ref="N275:O278" si="56">+IF(L275&lt;10,_xlfn.CONCAT("0",L275),L275)</f>
        <v>01</v>
      </c>
      <c r="O275" s="14" t="str">
        <f t="shared" si="56"/>
        <v>00</v>
      </c>
    </row>
    <row r="276" spans="1:23" hidden="1">
      <c r="J276" s="1" t="str">
        <f>+IF(I276&lt;10,_xlfn.CONCAT("0",I276),I276)</f>
        <v>0</v>
      </c>
      <c r="K276" s="3">
        <f>+YEAR(H276)-2000</f>
        <v>-100</v>
      </c>
      <c r="L276" s="3">
        <f>+MONTH(H276)</f>
        <v>1</v>
      </c>
      <c r="M276" s="3">
        <f>+DAY(H276)</f>
        <v>0</v>
      </c>
      <c r="N276" s="3" t="str">
        <f t="shared" si="56"/>
        <v>01</v>
      </c>
      <c r="O276" s="14" t="str">
        <f t="shared" si="56"/>
        <v>00</v>
      </c>
    </row>
    <row r="277" spans="1:23" hidden="1">
      <c r="J277" s="1" t="str">
        <f>+IF(I277&lt;10,_xlfn.CONCAT("0",I277),I277)</f>
        <v>0</v>
      </c>
      <c r="K277" s="3">
        <f>+YEAR(H277)-2000</f>
        <v>-100</v>
      </c>
      <c r="L277" s="3">
        <f>+MONTH(H277)</f>
        <v>1</v>
      </c>
      <c r="M277" s="3">
        <f>+DAY(H277)</f>
        <v>0</v>
      </c>
      <c r="N277" s="3" t="str">
        <f t="shared" si="56"/>
        <v>01</v>
      </c>
      <c r="O277" s="14" t="str">
        <f t="shared" si="56"/>
        <v>00</v>
      </c>
    </row>
    <row r="278" spans="1:23" hidden="1">
      <c r="J278" s="1" t="str">
        <f>+IF(I278&lt;10,_xlfn.CONCAT("0",I278),I278)</f>
        <v>0</v>
      </c>
      <c r="K278" s="3">
        <f>+YEAR(H278)-2000</f>
        <v>-100</v>
      </c>
      <c r="L278" s="3">
        <f>+MONTH(H278)</f>
        <v>1</v>
      </c>
      <c r="M278" s="3">
        <f>+DAY(H278)</f>
        <v>0</v>
      </c>
      <c r="N278" s="3" t="str">
        <f t="shared" si="56"/>
        <v>01</v>
      </c>
      <c r="O278" s="14" t="str">
        <f t="shared" si="56"/>
        <v>00</v>
      </c>
    </row>
    <row r="279" spans="1:23">
      <c r="A279" s="3">
        <v>1182</v>
      </c>
      <c r="H279" s="2">
        <v>45484</v>
      </c>
      <c r="Q279" s="5">
        <v>1</v>
      </c>
      <c r="S279" s="5" t="str">
        <f>IFERROR(P279/R279,"")</f>
        <v/>
      </c>
      <c r="T279" s="5" t="s">
        <v>725</v>
      </c>
      <c r="U279" s="3" t="s">
        <v>3</v>
      </c>
      <c r="V279" s="3" t="s">
        <v>4</v>
      </c>
    </row>
    <row r="280" spans="1:23" hidden="1">
      <c r="J280" s="1" t="str">
        <f>+IF(I280&lt;10,_xlfn.CONCAT("0",I280),I280)</f>
        <v>0</v>
      </c>
      <c r="K280" s="3">
        <f>+YEAR(H280)-2000</f>
        <v>-100</v>
      </c>
      <c r="L280" s="3">
        <f>+MONTH(H280)</f>
        <v>1</v>
      </c>
      <c r="M280" s="3">
        <f>+DAY(H280)</f>
        <v>0</v>
      </c>
      <c r="N280" s="3" t="str">
        <f>+IF(L280&lt;10,_xlfn.CONCAT("0",L280),L280)</f>
        <v>01</v>
      </c>
      <c r="O280" s="14" t="str">
        <f>+IF(M280&lt;10,_xlfn.CONCAT("0",M280),M280)</f>
        <v>00</v>
      </c>
    </row>
    <row r="281" spans="1:23">
      <c r="A281" s="3">
        <v>1317</v>
      </c>
      <c r="H281" s="2">
        <v>45495</v>
      </c>
      <c r="Q281" s="5">
        <v>1</v>
      </c>
      <c r="T281" s="5" t="s">
        <v>725</v>
      </c>
      <c r="U281" s="3" t="s">
        <v>3</v>
      </c>
      <c r="V281" s="3" t="s">
        <v>4</v>
      </c>
    </row>
    <row r="282" spans="1:23">
      <c r="A282" s="3">
        <v>1635</v>
      </c>
      <c r="H282" s="2">
        <v>45524</v>
      </c>
      <c r="Q282" s="5">
        <v>1</v>
      </c>
      <c r="T282" s="5" t="s">
        <v>725</v>
      </c>
      <c r="U282" s="3" t="s">
        <v>3</v>
      </c>
      <c r="V282" s="3" t="s">
        <v>4</v>
      </c>
    </row>
    <row r="283" spans="1:23">
      <c r="A283" s="3">
        <v>581</v>
      </c>
      <c r="B283" s="1">
        <f>IF(G283="-",0,IF(G282=G283,1,0))</f>
        <v>0</v>
      </c>
      <c r="C283" s="1">
        <f>+IF(G283="-",0,IF(I283=I282+1,0,(IF(I283=1,0,1))))</f>
        <v>1</v>
      </c>
      <c r="D283" s="1">
        <f>+IF(AND(P283="",Q283=""),1,0)</f>
        <v>0</v>
      </c>
      <c r="E283" s="1">
        <f>IF(U283="",1,0)</f>
        <v>0</v>
      </c>
      <c r="F283" s="1">
        <f>IF(V283="",1,0)</f>
        <v>0</v>
      </c>
      <c r="G283" s="1" t="str">
        <f>IF(H283=0,"-",_xlfn.CONCAT(K283,N283,O283,J283))</f>
        <v>24052003</v>
      </c>
      <c r="H283" s="2">
        <v>45432</v>
      </c>
      <c r="I283" s="36">
        <v>3</v>
      </c>
      <c r="J283" s="1" t="str">
        <f t="shared" ref="J283:J314" si="57">+IF(I283&lt;10,_xlfn.CONCAT("0",I283),I283)</f>
        <v>03</v>
      </c>
      <c r="K283" s="3">
        <f t="shared" ref="K283:K314" si="58">+YEAR(H283)-2000</f>
        <v>24</v>
      </c>
      <c r="L283" s="3">
        <f t="shared" ref="L283:L314" si="59">+MONTH(H283)</f>
        <v>5</v>
      </c>
      <c r="M283" s="3">
        <f t="shared" ref="M283:M314" si="60">+DAY(H283)</f>
        <v>20</v>
      </c>
      <c r="N283" s="3" t="str">
        <f t="shared" ref="N283:N314" si="61">+IF(L283&lt;10,_xlfn.CONCAT("0",L283),L283)</f>
        <v>05</v>
      </c>
      <c r="O283" s="14">
        <f t="shared" ref="O283:O314" si="62">+IF(M283&lt;10,_xlfn.CONCAT("0",M283),M283)</f>
        <v>20</v>
      </c>
      <c r="Q283" s="5">
        <v>0</v>
      </c>
      <c r="S283" s="5" t="str">
        <f>IFERROR(P283/R283,"")</f>
        <v/>
      </c>
      <c r="T283" s="5" t="s">
        <v>157</v>
      </c>
      <c r="U283" s="3" t="s">
        <v>2</v>
      </c>
      <c r="V283" s="3" t="s">
        <v>4</v>
      </c>
      <c r="W283" s="3" t="s">
        <v>197</v>
      </c>
    </row>
    <row r="284" spans="1:23" s="42" customFormat="1" hidden="1">
      <c r="A284" s="3"/>
      <c r="B284" s="1"/>
      <c r="C284" s="1"/>
      <c r="D284" s="1"/>
      <c r="E284" s="1"/>
      <c r="F284" s="1"/>
      <c r="G284" s="38"/>
      <c r="H284" s="37"/>
      <c r="I284" s="38"/>
      <c r="J284" s="38" t="str">
        <f t="shared" si="57"/>
        <v>0</v>
      </c>
      <c r="K284" s="42">
        <f t="shared" si="58"/>
        <v>-100</v>
      </c>
      <c r="L284" s="42">
        <f t="shared" si="59"/>
        <v>1</v>
      </c>
      <c r="M284" s="42">
        <f t="shared" si="60"/>
        <v>0</v>
      </c>
      <c r="N284" s="42" t="str">
        <f t="shared" si="61"/>
        <v>01</v>
      </c>
      <c r="O284" s="50" t="str">
        <f t="shared" si="62"/>
        <v>00</v>
      </c>
      <c r="P284" s="39"/>
      <c r="Q284" s="40"/>
      <c r="R284" s="41"/>
      <c r="S284" s="40"/>
      <c r="T284" s="40"/>
    </row>
    <row r="285" spans="1:23">
      <c r="A285" s="3">
        <v>1726</v>
      </c>
      <c r="B285" s="1">
        <f>IF(G285="-",0,IF(G284=G285,1,0))</f>
        <v>0</v>
      </c>
      <c r="C285" s="1">
        <f>+IF(G285="-",0,IF(I285=I284+1,0,(IF(I285=1,0,1))))</f>
        <v>1</v>
      </c>
      <c r="D285" s="1">
        <f>+IF(AND(P285="",Q285=""),1,0)</f>
        <v>0</v>
      </c>
      <c r="E285" s="1">
        <f>IF(U285="",1,0)</f>
        <v>1</v>
      </c>
      <c r="F285" s="1">
        <f>IF(V285="",1,0)</f>
        <v>0</v>
      </c>
      <c r="G285" s="1" t="str">
        <f>IF(H285=0,"-",_xlfn.CONCAT(K285,N285,O285,J285))</f>
        <v>24082704</v>
      </c>
      <c r="H285" s="2">
        <v>45531</v>
      </c>
      <c r="I285" s="36">
        <v>4</v>
      </c>
      <c r="J285" s="1" t="str">
        <f t="shared" si="57"/>
        <v>04</v>
      </c>
      <c r="K285" s="3">
        <f t="shared" si="58"/>
        <v>24</v>
      </c>
      <c r="L285" s="3">
        <f t="shared" si="59"/>
        <v>8</v>
      </c>
      <c r="M285" s="3">
        <f t="shared" si="60"/>
        <v>27</v>
      </c>
      <c r="N285" s="3" t="str">
        <f t="shared" si="61"/>
        <v>08</v>
      </c>
      <c r="O285" s="14">
        <f t="shared" si="62"/>
        <v>27</v>
      </c>
      <c r="Q285" s="5">
        <v>-61.3</v>
      </c>
      <c r="R285" s="6">
        <v>512</v>
      </c>
      <c r="S285" s="5">
        <f>IFERROR(P285/R285,"")</f>
        <v>0</v>
      </c>
      <c r="T285" s="5" t="s">
        <v>683</v>
      </c>
      <c r="V285" s="3" t="s">
        <v>4</v>
      </c>
    </row>
    <row r="286" spans="1:23" hidden="1">
      <c r="J286" s="1" t="str">
        <f t="shared" si="57"/>
        <v>0</v>
      </c>
      <c r="K286" s="3">
        <f t="shared" si="58"/>
        <v>-100</v>
      </c>
      <c r="L286" s="3">
        <f t="shared" si="59"/>
        <v>1</v>
      </c>
      <c r="M286" s="3">
        <f t="shared" si="60"/>
        <v>0</v>
      </c>
      <c r="N286" s="3" t="str">
        <f t="shared" si="61"/>
        <v>01</v>
      </c>
      <c r="O286" s="14" t="str">
        <f t="shared" si="62"/>
        <v>00</v>
      </c>
    </row>
    <row r="287" spans="1:23" hidden="1">
      <c r="J287" s="1" t="str">
        <f t="shared" si="57"/>
        <v>0</v>
      </c>
      <c r="K287" s="3">
        <f t="shared" si="58"/>
        <v>-100</v>
      </c>
      <c r="L287" s="3">
        <f t="shared" si="59"/>
        <v>1</v>
      </c>
      <c r="M287" s="3">
        <f t="shared" si="60"/>
        <v>0</v>
      </c>
      <c r="N287" s="3" t="str">
        <f t="shared" si="61"/>
        <v>01</v>
      </c>
      <c r="O287" s="14" t="str">
        <f t="shared" si="62"/>
        <v>00</v>
      </c>
    </row>
    <row r="288" spans="1:23" hidden="1">
      <c r="J288" s="1" t="str">
        <f t="shared" si="57"/>
        <v>0</v>
      </c>
      <c r="K288" s="3">
        <f t="shared" si="58"/>
        <v>-100</v>
      </c>
      <c r="L288" s="3">
        <f t="shared" si="59"/>
        <v>1</v>
      </c>
      <c r="M288" s="3">
        <f t="shared" si="60"/>
        <v>0</v>
      </c>
      <c r="N288" s="3" t="str">
        <f t="shared" si="61"/>
        <v>01</v>
      </c>
      <c r="O288" s="14" t="str">
        <f t="shared" si="62"/>
        <v>00</v>
      </c>
    </row>
    <row r="289" spans="1:23" hidden="1">
      <c r="J289" s="1" t="str">
        <f t="shared" si="57"/>
        <v>0</v>
      </c>
      <c r="K289" s="3">
        <f t="shared" si="58"/>
        <v>-100</v>
      </c>
      <c r="L289" s="3">
        <f t="shared" si="59"/>
        <v>1</v>
      </c>
      <c r="M289" s="3">
        <f t="shared" si="60"/>
        <v>0</v>
      </c>
      <c r="N289" s="3" t="str">
        <f t="shared" si="61"/>
        <v>01</v>
      </c>
      <c r="O289" s="14" t="str">
        <f t="shared" si="62"/>
        <v>00</v>
      </c>
    </row>
    <row r="290" spans="1:23" hidden="1">
      <c r="J290" s="1" t="str">
        <f t="shared" si="57"/>
        <v>0</v>
      </c>
      <c r="K290" s="3">
        <f t="shared" si="58"/>
        <v>-100</v>
      </c>
      <c r="L290" s="3">
        <f t="shared" si="59"/>
        <v>1</v>
      </c>
      <c r="M290" s="3">
        <f t="shared" si="60"/>
        <v>0</v>
      </c>
      <c r="N290" s="3" t="str">
        <f t="shared" si="61"/>
        <v>01</v>
      </c>
      <c r="O290" s="14" t="str">
        <f t="shared" si="62"/>
        <v>00</v>
      </c>
    </row>
    <row r="291" spans="1:23" hidden="1">
      <c r="J291" s="1" t="str">
        <f t="shared" si="57"/>
        <v>0</v>
      </c>
      <c r="K291" s="3">
        <f t="shared" si="58"/>
        <v>-100</v>
      </c>
      <c r="L291" s="3">
        <f t="shared" si="59"/>
        <v>1</v>
      </c>
      <c r="M291" s="3">
        <f t="shared" si="60"/>
        <v>0</v>
      </c>
      <c r="N291" s="3" t="str">
        <f t="shared" si="61"/>
        <v>01</v>
      </c>
      <c r="O291" s="14" t="str">
        <f t="shared" si="62"/>
        <v>00</v>
      </c>
    </row>
    <row r="292" spans="1:23" hidden="1">
      <c r="J292" s="1" t="str">
        <f t="shared" si="57"/>
        <v>0</v>
      </c>
      <c r="K292" s="3">
        <f t="shared" si="58"/>
        <v>-100</v>
      </c>
      <c r="L292" s="3">
        <f t="shared" si="59"/>
        <v>1</v>
      </c>
      <c r="M292" s="3">
        <f t="shared" si="60"/>
        <v>0</v>
      </c>
      <c r="N292" s="3" t="str">
        <f t="shared" si="61"/>
        <v>01</v>
      </c>
      <c r="O292" s="14" t="str">
        <f t="shared" si="62"/>
        <v>00</v>
      </c>
    </row>
    <row r="293" spans="1:23" hidden="1">
      <c r="J293" s="1" t="str">
        <f t="shared" si="57"/>
        <v>0</v>
      </c>
      <c r="K293" s="3">
        <f t="shared" si="58"/>
        <v>-100</v>
      </c>
      <c r="L293" s="3">
        <f t="shared" si="59"/>
        <v>1</v>
      </c>
      <c r="M293" s="3">
        <f t="shared" si="60"/>
        <v>0</v>
      </c>
      <c r="N293" s="3" t="str">
        <f t="shared" si="61"/>
        <v>01</v>
      </c>
      <c r="O293" s="14" t="str">
        <f t="shared" si="62"/>
        <v>00</v>
      </c>
    </row>
    <row r="294" spans="1:23" ht="30">
      <c r="A294" s="3">
        <v>1743</v>
      </c>
      <c r="B294" s="1">
        <f>IF(G294="-",0,IF(G293=G294,1,0))</f>
        <v>0</v>
      </c>
      <c r="C294" s="1">
        <f>+IF(G294="-",0,IF(I294=I293+1,0,(IF(I294=1,0,1))))</f>
        <v>1</v>
      </c>
      <c r="D294" s="1">
        <f>+IF(AND(P294="",Q294=""),1,0)</f>
        <v>0</v>
      </c>
      <c r="E294" s="1">
        <f>IF(U294="",1,0)</f>
        <v>1</v>
      </c>
      <c r="F294" s="1">
        <f>IF(V294="",1,0)</f>
        <v>0</v>
      </c>
      <c r="G294" s="1" t="str">
        <f>IF(H294=0,"-",_xlfn.CONCAT(K294,N294,O294,J294))</f>
        <v>24082907</v>
      </c>
      <c r="H294" s="2">
        <v>45533</v>
      </c>
      <c r="I294" s="36">
        <v>7</v>
      </c>
      <c r="J294" s="1" t="str">
        <f t="shared" si="57"/>
        <v>07</v>
      </c>
      <c r="K294" s="3">
        <f t="shared" si="58"/>
        <v>24</v>
      </c>
      <c r="L294" s="3">
        <f t="shared" si="59"/>
        <v>8</v>
      </c>
      <c r="M294" s="3">
        <f t="shared" si="60"/>
        <v>29</v>
      </c>
      <c r="N294" s="3" t="str">
        <f t="shared" si="61"/>
        <v>08</v>
      </c>
      <c r="O294" s="14">
        <f t="shared" si="62"/>
        <v>29</v>
      </c>
      <c r="Q294" s="5">
        <v>-131.47999999999999</v>
      </c>
      <c r="R294" s="6">
        <v>512</v>
      </c>
      <c r="S294" s="5">
        <f>IFERROR(P294/R294,"")</f>
        <v>0</v>
      </c>
      <c r="T294" s="7" t="s">
        <v>835</v>
      </c>
      <c r="V294" s="3" t="s">
        <v>4</v>
      </c>
      <c r="W294" s="3" t="s">
        <v>689</v>
      </c>
    </row>
    <row r="295" spans="1:23" hidden="1">
      <c r="J295" s="1" t="str">
        <f t="shared" si="57"/>
        <v>0</v>
      </c>
      <c r="K295" s="3">
        <f t="shared" si="58"/>
        <v>-100</v>
      </c>
      <c r="L295" s="3">
        <f t="shared" si="59"/>
        <v>1</v>
      </c>
      <c r="M295" s="3">
        <f t="shared" si="60"/>
        <v>0</v>
      </c>
      <c r="N295" s="3" t="str">
        <f t="shared" si="61"/>
        <v>01</v>
      </c>
      <c r="O295" s="14" t="str">
        <f t="shared" si="62"/>
        <v>00</v>
      </c>
    </row>
    <row r="296" spans="1:23" hidden="1">
      <c r="J296" s="1" t="str">
        <f t="shared" si="57"/>
        <v>0</v>
      </c>
      <c r="K296" s="3">
        <f t="shared" si="58"/>
        <v>-100</v>
      </c>
      <c r="L296" s="3">
        <f t="shared" si="59"/>
        <v>1</v>
      </c>
      <c r="M296" s="3">
        <f t="shared" si="60"/>
        <v>0</v>
      </c>
      <c r="N296" s="3" t="str">
        <f t="shared" si="61"/>
        <v>01</v>
      </c>
      <c r="O296" s="14" t="str">
        <f t="shared" si="62"/>
        <v>00</v>
      </c>
    </row>
    <row r="297" spans="1:23" s="10" customFormat="1" hidden="1">
      <c r="A297" s="3"/>
      <c r="B297" s="1"/>
      <c r="C297" s="1"/>
      <c r="D297" s="1"/>
      <c r="E297" s="1"/>
      <c r="F297" s="1"/>
      <c r="G297" s="1"/>
      <c r="H297" s="2"/>
      <c r="I297" s="36"/>
      <c r="J297" s="1" t="str">
        <f t="shared" si="57"/>
        <v>0</v>
      </c>
      <c r="K297" s="3">
        <f t="shared" si="58"/>
        <v>-100</v>
      </c>
      <c r="L297" s="3">
        <f t="shared" si="59"/>
        <v>1</v>
      </c>
      <c r="M297" s="3">
        <f t="shared" si="60"/>
        <v>0</v>
      </c>
      <c r="N297" s="3" t="str">
        <f t="shared" si="61"/>
        <v>01</v>
      </c>
      <c r="O297" s="14" t="str">
        <f t="shared" si="62"/>
        <v>00</v>
      </c>
      <c r="P297" s="4"/>
      <c r="Q297" s="5"/>
      <c r="R297" s="6"/>
      <c r="S297" s="5"/>
      <c r="T297" s="5"/>
      <c r="U297" s="3"/>
      <c r="V297" s="3"/>
      <c r="W297" s="3"/>
    </row>
    <row r="298" spans="1:23" hidden="1">
      <c r="J298" s="1" t="str">
        <f t="shared" si="57"/>
        <v>0</v>
      </c>
      <c r="K298" s="3">
        <f t="shared" si="58"/>
        <v>-100</v>
      </c>
      <c r="L298" s="3">
        <f t="shared" si="59"/>
        <v>1</v>
      </c>
      <c r="M298" s="3">
        <f t="shared" si="60"/>
        <v>0</v>
      </c>
      <c r="N298" s="3" t="str">
        <f t="shared" si="61"/>
        <v>01</v>
      </c>
      <c r="O298" s="14" t="str">
        <f t="shared" si="62"/>
        <v>00</v>
      </c>
    </row>
    <row r="299" spans="1:23" hidden="1">
      <c r="J299" s="1" t="str">
        <f t="shared" si="57"/>
        <v>0</v>
      </c>
      <c r="K299" s="3">
        <f t="shared" si="58"/>
        <v>-100</v>
      </c>
      <c r="L299" s="3">
        <f t="shared" si="59"/>
        <v>1</v>
      </c>
      <c r="M299" s="3">
        <f t="shared" si="60"/>
        <v>0</v>
      </c>
      <c r="N299" s="3" t="str">
        <f t="shared" si="61"/>
        <v>01</v>
      </c>
      <c r="O299" s="14" t="str">
        <f t="shared" si="62"/>
        <v>00</v>
      </c>
    </row>
    <row r="300" spans="1:23">
      <c r="A300" s="3">
        <v>34</v>
      </c>
      <c r="B300" s="1">
        <f>IF(G300="-",0,IF(G299=G300,1,0))</f>
        <v>0</v>
      </c>
      <c r="C300" s="1">
        <f>+IF(G300="-",0,IF(I300=I299+1,0,(IF(I300=1,0,1))))</f>
        <v>0</v>
      </c>
      <c r="D300" s="1">
        <f>+IF(AND(P300="",Q300=""),1,0)</f>
        <v>0</v>
      </c>
      <c r="E300" s="1">
        <f>IF(U300="",1,0)</f>
        <v>0</v>
      </c>
      <c r="F300" s="1">
        <f>IF(V300="",1,0)</f>
        <v>0</v>
      </c>
      <c r="G300" s="1" t="str">
        <f>IF(H300=0,"-",_xlfn.CONCAT(K300,N300,O300,J300))</f>
        <v>24033001</v>
      </c>
      <c r="H300" s="37">
        <v>45381</v>
      </c>
      <c r="I300" s="38">
        <v>1</v>
      </c>
      <c r="J300" s="38" t="str">
        <f t="shared" si="57"/>
        <v>01</v>
      </c>
      <c r="K300" s="42">
        <f t="shared" si="58"/>
        <v>24</v>
      </c>
      <c r="L300" s="42">
        <f t="shared" si="59"/>
        <v>3</v>
      </c>
      <c r="M300" s="42">
        <f t="shared" si="60"/>
        <v>30</v>
      </c>
      <c r="N300" s="42" t="str">
        <f t="shared" si="61"/>
        <v>03</v>
      </c>
      <c r="O300" s="50">
        <f t="shared" si="62"/>
        <v>30</v>
      </c>
      <c r="P300" s="39">
        <v>90000</v>
      </c>
      <c r="Q300" s="40"/>
      <c r="R300" s="41"/>
      <c r="S300" s="40"/>
      <c r="T300" s="40" t="s">
        <v>25</v>
      </c>
      <c r="U300" s="42" t="s">
        <v>1</v>
      </c>
      <c r="V300" s="42" t="s">
        <v>4</v>
      </c>
      <c r="W300" s="42"/>
    </row>
    <row r="301" spans="1:23" hidden="1">
      <c r="J301" s="1" t="str">
        <f t="shared" si="57"/>
        <v>0</v>
      </c>
      <c r="K301" s="3">
        <f t="shared" si="58"/>
        <v>-100</v>
      </c>
      <c r="L301" s="3">
        <f t="shared" si="59"/>
        <v>1</v>
      </c>
      <c r="M301" s="3">
        <f t="shared" si="60"/>
        <v>0</v>
      </c>
      <c r="N301" s="3" t="str">
        <f t="shared" si="61"/>
        <v>01</v>
      </c>
      <c r="O301" s="14" t="str">
        <f t="shared" si="62"/>
        <v>00</v>
      </c>
    </row>
    <row r="302" spans="1:23">
      <c r="A302" s="3">
        <v>35</v>
      </c>
      <c r="B302" s="1">
        <f>IF(G302="-",0,IF(G301=G302,1,0))</f>
        <v>0</v>
      </c>
      <c r="C302" s="1">
        <f>+IF(G302="-",0,IF(I302=I301+1,0,(IF(I302=1,0,1))))</f>
        <v>1</v>
      </c>
      <c r="D302" s="1">
        <f>+IF(AND(P302="",Q302=""),1,0)</f>
        <v>0</v>
      </c>
      <c r="E302" s="1">
        <f>IF(U302="",1,0)</f>
        <v>0</v>
      </c>
      <c r="F302" s="1">
        <f>IF(V302="",1,0)</f>
        <v>0</v>
      </c>
      <c r="G302" s="1" t="str">
        <f>IF(H302=0,"-",_xlfn.CONCAT(K302,N302,O302,J302))</f>
        <v>24033002</v>
      </c>
      <c r="H302" s="9">
        <v>45381</v>
      </c>
      <c r="I302" s="52">
        <v>2</v>
      </c>
      <c r="J302" s="52" t="str">
        <f t="shared" si="57"/>
        <v>02</v>
      </c>
      <c r="K302" s="10">
        <f t="shared" si="58"/>
        <v>24</v>
      </c>
      <c r="L302" s="10">
        <f t="shared" si="59"/>
        <v>3</v>
      </c>
      <c r="M302" s="10">
        <f t="shared" si="60"/>
        <v>30</v>
      </c>
      <c r="N302" s="10" t="str">
        <f t="shared" si="61"/>
        <v>03</v>
      </c>
      <c r="O302" s="70">
        <f t="shared" si="62"/>
        <v>30</v>
      </c>
      <c r="P302" s="11">
        <v>800000</v>
      </c>
      <c r="T302" s="5" t="s">
        <v>834</v>
      </c>
      <c r="U302" s="3" t="s">
        <v>1</v>
      </c>
      <c r="V302" s="3" t="s">
        <v>4</v>
      </c>
      <c r="W302" s="3" t="s">
        <v>24</v>
      </c>
    </row>
    <row r="303" spans="1:23" hidden="1">
      <c r="J303" s="1" t="str">
        <f t="shared" si="57"/>
        <v>0</v>
      </c>
      <c r="K303" s="3">
        <f t="shared" si="58"/>
        <v>-100</v>
      </c>
      <c r="L303" s="3">
        <f t="shared" si="59"/>
        <v>1</v>
      </c>
      <c r="M303" s="3">
        <f t="shared" si="60"/>
        <v>0</v>
      </c>
      <c r="N303" s="3" t="str">
        <f t="shared" si="61"/>
        <v>01</v>
      </c>
      <c r="O303" s="14" t="str">
        <f t="shared" si="62"/>
        <v>00</v>
      </c>
    </row>
    <row r="304" spans="1:23">
      <c r="A304" s="3">
        <v>36</v>
      </c>
      <c r="B304" s="1">
        <f>IF(G304="-",0,IF(G303=G304,1,0))</f>
        <v>0</v>
      </c>
      <c r="C304" s="1">
        <f>+IF(G304="-",0,IF(I304=I303+1,0,(IF(I304=1,0,1))))</f>
        <v>1</v>
      </c>
      <c r="D304" s="1">
        <f>+IF(AND(P304="",Q304=""),1,0)</f>
        <v>0</v>
      </c>
      <c r="E304" s="1">
        <f>IF(U304="",1,0)</f>
        <v>0</v>
      </c>
      <c r="F304" s="1">
        <f>IF(V304="",1,0)</f>
        <v>0</v>
      </c>
      <c r="G304" s="1" t="str">
        <f>IF(H304=0,"-",_xlfn.CONCAT(K304,N304,O304,J304))</f>
        <v>24033003</v>
      </c>
      <c r="H304" s="9">
        <v>45381</v>
      </c>
      <c r="I304" s="52">
        <v>3</v>
      </c>
      <c r="J304" s="52" t="str">
        <f t="shared" si="57"/>
        <v>03</v>
      </c>
      <c r="K304" s="10">
        <f t="shared" si="58"/>
        <v>24</v>
      </c>
      <c r="L304" s="10">
        <f t="shared" si="59"/>
        <v>3</v>
      </c>
      <c r="M304" s="10">
        <f t="shared" si="60"/>
        <v>30</v>
      </c>
      <c r="N304" s="10" t="str">
        <f t="shared" si="61"/>
        <v>03</v>
      </c>
      <c r="O304" s="70">
        <f t="shared" si="62"/>
        <v>30</v>
      </c>
      <c r="P304" s="11">
        <v>128800</v>
      </c>
      <c r="T304" s="5" t="s">
        <v>13</v>
      </c>
      <c r="U304" s="3" t="s">
        <v>1</v>
      </c>
      <c r="V304" s="3" t="s">
        <v>4</v>
      </c>
    </row>
    <row r="305" spans="1:23">
      <c r="A305" s="3">
        <v>37</v>
      </c>
      <c r="B305" s="1">
        <f>IF(G305="-",0,IF(G304=G305,1,0))</f>
        <v>0</v>
      </c>
      <c r="C305" s="1">
        <f>+IF(G305="-",0,IF(I305=I304+1,0,(IF(I305=1,0,1))))</f>
        <v>0</v>
      </c>
      <c r="D305" s="1">
        <f>+IF(AND(P305="",Q305=""),1,0)</f>
        <v>0</v>
      </c>
      <c r="E305" s="1">
        <f>IF(U305="",1,0)</f>
        <v>0</v>
      </c>
      <c r="F305" s="1">
        <f>IF(V305="",1,0)</f>
        <v>0</v>
      </c>
      <c r="G305" s="1" t="str">
        <f>IF(H305=0,"-",_xlfn.CONCAT(K305,N305,O305,J305))</f>
        <v>24033004</v>
      </c>
      <c r="H305" s="9">
        <v>45381</v>
      </c>
      <c r="I305" s="52">
        <v>4</v>
      </c>
      <c r="J305" s="52" t="str">
        <f t="shared" si="57"/>
        <v>04</v>
      </c>
      <c r="K305" s="10">
        <f t="shared" si="58"/>
        <v>24</v>
      </c>
      <c r="L305" s="10">
        <f t="shared" si="59"/>
        <v>3</v>
      </c>
      <c r="M305" s="10">
        <f t="shared" si="60"/>
        <v>30</v>
      </c>
      <c r="N305" s="10" t="str">
        <f t="shared" si="61"/>
        <v>03</v>
      </c>
      <c r="O305" s="70">
        <f t="shared" si="62"/>
        <v>30</v>
      </c>
      <c r="P305" s="11">
        <v>140000</v>
      </c>
      <c r="T305" s="5" t="s">
        <v>14</v>
      </c>
      <c r="U305" s="3" t="s">
        <v>1</v>
      </c>
      <c r="V305" s="3" t="s">
        <v>4</v>
      </c>
    </row>
    <row r="306" spans="1:23" hidden="1">
      <c r="J306" s="1" t="str">
        <f t="shared" si="57"/>
        <v>0</v>
      </c>
      <c r="K306" s="3">
        <f t="shared" si="58"/>
        <v>-100</v>
      </c>
      <c r="L306" s="3">
        <f t="shared" si="59"/>
        <v>1</v>
      </c>
      <c r="M306" s="3">
        <f t="shared" si="60"/>
        <v>0</v>
      </c>
      <c r="N306" s="3" t="str">
        <f t="shared" si="61"/>
        <v>01</v>
      </c>
      <c r="O306" s="14" t="str">
        <f t="shared" si="62"/>
        <v>00</v>
      </c>
      <c r="U306" s="51"/>
    </row>
    <row r="307" spans="1:23" hidden="1">
      <c r="J307" s="1" t="str">
        <f t="shared" si="57"/>
        <v>0</v>
      </c>
      <c r="K307" s="3">
        <f t="shared" si="58"/>
        <v>-100</v>
      </c>
      <c r="L307" s="3">
        <f t="shared" si="59"/>
        <v>1</v>
      </c>
      <c r="M307" s="3">
        <f t="shared" si="60"/>
        <v>0</v>
      </c>
      <c r="N307" s="3" t="str">
        <f t="shared" si="61"/>
        <v>01</v>
      </c>
      <c r="O307" s="14" t="str">
        <f t="shared" si="62"/>
        <v>00</v>
      </c>
      <c r="U307" s="51"/>
    </row>
    <row r="308" spans="1:23" hidden="1">
      <c r="J308" s="1" t="str">
        <f t="shared" si="57"/>
        <v>0</v>
      </c>
      <c r="K308" s="3">
        <f t="shared" si="58"/>
        <v>-100</v>
      </c>
      <c r="L308" s="3">
        <f t="shared" si="59"/>
        <v>1</v>
      </c>
      <c r="M308" s="3">
        <f t="shared" si="60"/>
        <v>0</v>
      </c>
      <c r="N308" s="3" t="str">
        <f t="shared" si="61"/>
        <v>01</v>
      </c>
      <c r="O308" s="14" t="str">
        <f t="shared" si="62"/>
        <v>00</v>
      </c>
    </row>
    <row r="309" spans="1:23" hidden="1">
      <c r="J309" s="1" t="str">
        <f t="shared" si="57"/>
        <v>0</v>
      </c>
      <c r="K309" s="3">
        <f t="shared" si="58"/>
        <v>-100</v>
      </c>
      <c r="L309" s="3">
        <f t="shared" si="59"/>
        <v>1</v>
      </c>
      <c r="M309" s="3">
        <f t="shared" si="60"/>
        <v>0</v>
      </c>
      <c r="N309" s="3" t="str">
        <f t="shared" si="61"/>
        <v>01</v>
      </c>
      <c r="O309" s="14" t="str">
        <f t="shared" si="62"/>
        <v>00</v>
      </c>
    </row>
    <row r="310" spans="1:23" hidden="1">
      <c r="J310" s="1" t="str">
        <f t="shared" si="57"/>
        <v>0</v>
      </c>
      <c r="K310" s="3">
        <f t="shared" si="58"/>
        <v>-100</v>
      </c>
      <c r="L310" s="3">
        <f t="shared" si="59"/>
        <v>1</v>
      </c>
      <c r="M310" s="3">
        <f t="shared" si="60"/>
        <v>0</v>
      </c>
      <c r="N310" s="3" t="str">
        <f t="shared" si="61"/>
        <v>01</v>
      </c>
      <c r="O310" s="14" t="str">
        <f t="shared" si="62"/>
        <v>00</v>
      </c>
    </row>
    <row r="311" spans="1:23" hidden="1">
      <c r="J311" s="1" t="str">
        <f t="shared" si="57"/>
        <v>0</v>
      </c>
      <c r="K311" s="3">
        <f t="shared" si="58"/>
        <v>-100</v>
      </c>
      <c r="L311" s="3">
        <f t="shared" si="59"/>
        <v>1</v>
      </c>
      <c r="M311" s="3">
        <f t="shared" si="60"/>
        <v>0</v>
      </c>
      <c r="N311" s="3" t="str">
        <f t="shared" si="61"/>
        <v>01</v>
      </c>
      <c r="O311" s="14" t="str">
        <f t="shared" si="62"/>
        <v>00</v>
      </c>
    </row>
    <row r="312" spans="1:23" hidden="1">
      <c r="J312" s="1" t="str">
        <f t="shared" si="57"/>
        <v>0</v>
      </c>
      <c r="K312" s="3">
        <f t="shared" si="58"/>
        <v>-100</v>
      </c>
      <c r="L312" s="3">
        <f t="shared" si="59"/>
        <v>1</v>
      </c>
      <c r="M312" s="3">
        <f t="shared" si="60"/>
        <v>0</v>
      </c>
      <c r="N312" s="3" t="str">
        <f t="shared" si="61"/>
        <v>01</v>
      </c>
      <c r="O312" s="14" t="str">
        <f t="shared" si="62"/>
        <v>00</v>
      </c>
    </row>
    <row r="313" spans="1:23">
      <c r="A313" s="3">
        <v>38</v>
      </c>
      <c r="B313" s="1">
        <f t="shared" ref="B313:B318" si="63">IF(G313="-",0,IF(G312=G313,1,0))</f>
        <v>0</v>
      </c>
      <c r="C313" s="1">
        <f t="shared" ref="C313:C318" si="64">+IF(G313="-",0,IF(I313=I312+1,0,(IF(I313=1,0,1))))</f>
        <v>1</v>
      </c>
      <c r="D313" s="1">
        <f t="shared" ref="D313:D318" si="65">+IF(AND(P313="",Q313=""),1,0)</f>
        <v>0</v>
      </c>
      <c r="E313" s="1">
        <f t="shared" ref="E313:F318" si="66">IF(U313="",1,0)</f>
        <v>0</v>
      </c>
      <c r="F313" s="1">
        <f t="shared" si="66"/>
        <v>0</v>
      </c>
      <c r="G313" s="1" t="str">
        <f t="shared" ref="G313:G318" si="67">IF(H313=0,"-",_xlfn.CONCAT(K313,N313,O313,J313))</f>
        <v>24033005</v>
      </c>
      <c r="H313" s="9">
        <v>45381</v>
      </c>
      <c r="I313" s="52">
        <v>5</v>
      </c>
      <c r="J313" s="52" t="str">
        <f t="shared" si="57"/>
        <v>05</v>
      </c>
      <c r="K313" s="10">
        <f t="shared" si="58"/>
        <v>24</v>
      </c>
      <c r="L313" s="10">
        <f t="shared" si="59"/>
        <v>3</v>
      </c>
      <c r="M313" s="10">
        <f t="shared" si="60"/>
        <v>30</v>
      </c>
      <c r="N313" s="10" t="str">
        <f t="shared" si="61"/>
        <v>03</v>
      </c>
      <c r="O313" s="70">
        <f t="shared" si="62"/>
        <v>30</v>
      </c>
      <c r="P313" s="11">
        <v>90000</v>
      </c>
      <c r="T313" s="5" t="s">
        <v>15</v>
      </c>
      <c r="U313" s="3" t="s">
        <v>1</v>
      </c>
      <c r="V313" s="3" t="s">
        <v>4</v>
      </c>
    </row>
    <row r="314" spans="1:23">
      <c r="A314" s="3">
        <v>39</v>
      </c>
      <c r="B314" s="1">
        <f t="shared" si="63"/>
        <v>0</v>
      </c>
      <c r="C314" s="1">
        <f t="shared" si="64"/>
        <v>0</v>
      </c>
      <c r="D314" s="1">
        <f t="shared" si="65"/>
        <v>0</v>
      </c>
      <c r="E314" s="1">
        <f t="shared" si="66"/>
        <v>0</v>
      </c>
      <c r="F314" s="1">
        <f t="shared" si="66"/>
        <v>0</v>
      </c>
      <c r="G314" s="1" t="str">
        <f t="shared" si="67"/>
        <v>24033006</v>
      </c>
      <c r="H314" s="9">
        <v>45381</v>
      </c>
      <c r="I314" s="52">
        <v>6</v>
      </c>
      <c r="J314" s="52" t="str">
        <f t="shared" si="57"/>
        <v>06</v>
      </c>
      <c r="K314" s="10">
        <f t="shared" si="58"/>
        <v>24</v>
      </c>
      <c r="L314" s="10">
        <f t="shared" si="59"/>
        <v>3</v>
      </c>
      <c r="M314" s="10">
        <f t="shared" si="60"/>
        <v>30</v>
      </c>
      <c r="N314" s="10" t="str">
        <f t="shared" si="61"/>
        <v>03</v>
      </c>
      <c r="O314" s="70">
        <f t="shared" si="62"/>
        <v>30</v>
      </c>
      <c r="P314" s="11">
        <v>76200</v>
      </c>
      <c r="T314" s="5" t="s">
        <v>16</v>
      </c>
      <c r="U314" s="3" t="s">
        <v>1</v>
      </c>
      <c r="V314" s="3" t="s">
        <v>4</v>
      </c>
    </row>
    <row r="315" spans="1:23">
      <c r="A315" s="3">
        <v>40</v>
      </c>
      <c r="B315" s="1">
        <f t="shared" si="63"/>
        <v>0</v>
      </c>
      <c r="C315" s="1">
        <f t="shared" si="64"/>
        <v>0</v>
      </c>
      <c r="D315" s="1">
        <f t="shared" si="65"/>
        <v>0</v>
      </c>
      <c r="E315" s="1">
        <f t="shared" si="66"/>
        <v>0</v>
      </c>
      <c r="F315" s="1">
        <f t="shared" si="66"/>
        <v>0</v>
      </c>
      <c r="G315" s="1" t="str">
        <f t="shared" si="67"/>
        <v>24033007</v>
      </c>
      <c r="H315" s="9">
        <v>45381</v>
      </c>
      <c r="I315" s="52">
        <v>7</v>
      </c>
      <c r="J315" s="52" t="str">
        <f t="shared" ref="J315:J346" si="68">+IF(I315&lt;10,_xlfn.CONCAT("0",I315),I315)</f>
        <v>07</v>
      </c>
      <c r="K315" s="10">
        <f t="shared" ref="K315:K346" si="69">+YEAR(H315)-2000</f>
        <v>24</v>
      </c>
      <c r="L315" s="10">
        <f t="shared" ref="L315:L346" si="70">+MONTH(H315)</f>
        <v>3</v>
      </c>
      <c r="M315" s="10">
        <f t="shared" ref="M315:M346" si="71">+DAY(H315)</f>
        <v>30</v>
      </c>
      <c r="N315" s="10" t="str">
        <f t="shared" ref="N315:N346" si="72">+IF(L315&lt;10,_xlfn.CONCAT("0",L315),L315)</f>
        <v>03</v>
      </c>
      <c r="O315" s="70">
        <f t="shared" ref="O315:O346" si="73">+IF(M315&lt;10,_xlfn.CONCAT("0",M315),M315)</f>
        <v>30</v>
      </c>
      <c r="P315" s="11">
        <v>130000</v>
      </c>
      <c r="T315" s="5" t="s">
        <v>17</v>
      </c>
      <c r="U315" s="3" t="s">
        <v>1</v>
      </c>
      <c r="V315" s="3" t="s">
        <v>4</v>
      </c>
      <c r="W315" s="3" t="s">
        <v>20</v>
      </c>
    </row>
    <row r="316" spans="1:23">
      <c r="A316" s="3">
        <v>41</v>
      </c>
      <c r="B316" s="1">
        <f t="shared" si="63"/>
        <v>0</v>
      </c>
      <c r="C316" s="1">
        <f t="shared" si="64"/>
        <v>0</v>
      </c>
      <c r="D316" s="1">
        <f t="shared" si="65"/>
        <v>0</v>
      </c>
      <c r="E316" s="1">
        <f t="shared" si="66"/>
        <v>0</v>
      </c>
      <c r="F316" s="1">
        <f t="shared" si="66"/>
        <v>0</v>
      </c>
      <c r="G316" s="1" t="str">
        <f t="shared" si="67"/>
        <v>24033008</v>
      </c>
      <c r="H316" s="9">
        <v>45381</v>
      </c>
      <c r="I316" s="52">
        <v>8</v>
      </c>
      <c r="J316" s="52" t="str">
        <f t="shared" si="68"/>
        <v>08</v>
      </c>
      <c r="K316" s="10">
        <f t="shared" si="69"/>
        <v>24</v>
      </c>
      <c r="L316" s="10">
        <f t="shared" si="70"/>
        <v>3</v>
      </c>
      <c r="M316" s="10">
        <f t="shared" si="71"/>
        <v>30</v>
      </c>
      <c r="N316" s="10" t="str">
        <f t="shared" si="72"/>
        <v>03</v>
      </c>
      <c r="O316" s="70">
        <f t="shared" si="73"/>
        <v>30</v>
      </c>
      <c r="P316" s="11">
        <v>50000</v>
      </c>
      <c r="T316" s="5" t="s">
        <v>18</v>
      </c>
      <c r="U316" s="3" t="s">
        <v>1</v>
      </c>
      <c r="V316" s="3" t="s">
        <v>4</v>
      </c>
    </row>
    <row r="317" spans="1:23">
      <c r="A317" s="3">
        <v>42</v>
      </c>
      <c r="B317" s="1">
        <f t="shared" si="63"/>
        <v>0</v>
      </c>
      <c r="C317" s="1">
        <f t="shared" si="64"/>
        <v>0</v>
      </c>
      <c r="D317" s="1">
        <f t="shared" si="65"/>
        <v>0</v>
      </c>
      <c r="E317" s="1">
        <f t="shared" si="66"/>
        <v>0</v>
      </c>
      <c r="F317" s="1">
        <f t="shared" si="66"/>
        <v>0</v>
      </c>
      <c r="G317" s="1" t="str">
        <f t="shared" si="67"/>
        <v>24033009</v>
      </c>
      <c r="H317" s="9">
        <v>45381</v>
      </c>
      <c r="I317" s="52">
        <v>9</v>
      </c>
      <c r="J317" s="52" t="str">
        <f t="shared" si="68"/>
        <v>09</v>
      </c>
      <c r="K317" s="10">
        <f t="shared" si="69"/>
        <v>24</v>
      </c>
      <c r="L317" s="10">
        <f t="shared" si="70"/>
        <v>3</v>
      </c>
      <c r="M317" s="10">
        <f t="shared" si="71"/>
        <v>30</v>
      </c>
      <c r="N317" s="10" t="str">
        <f t="shared" si="72"/>
        <v>03</v>
      </c>
      <c r="O317" s="70">
        <f t="shared" si="73"/>
        <v>30</v>
      </c>
      <c r="P317" s="11">
        <v>230000</v>
      </c>
      <c r="T317" s="5" t="s">
        <v>21</v>
      </c>
      <c r="U317" s="3" t="s">
        <v>1</v>
      </c>
      <c r="V317" s="3" t="s">
        <v>4</v>
      </c>
    </row>
    <row r="318" spans="1:23">
      <c r="A318" s="3">
        <v>43</v>
      </c>
      <c r="B318" s="1">
        <f t="shared" si="63"/>
        <v>0</v>
      </c>
      <c r="C318" s="1">
        <f t="shared" si="64"/>
        <v>0</v>
      </c>
      <c r="D318" s="1">
        <f t="shared" si="65"/>
        <v>0</v>
      </c>
      <c r="E318" s="1">
        <f t="shared" si="66"/>
        <v>0</v>
      </c>
      <c r="F318" s="1">
        <f t="shared" si="66"/>
        <v>0</v>
      </c>
      <c r="G318" s="1" t="str">
        <f t="shared" si="67"/>
        <v>24033010</v>
      </c>
      <c r="H318" s="9">
        <v>45381</v>
      </c>
      <c r="I318" s="52">
        <v>10</v>
      </c>
      <c r="J318" s="52">
        <f t="shared" si="68"/>
        <v>10</v>
      </c>
      <c r="K318" s="10">
        <f t="shared" si="69"/>
        <v>24</v>
      </c>
      <c r="L318" s="10">
        <f t="shared" si="70"/>
        <v>3</v>
      </c>
      <c r="M318" s="10">
        <f t="shared" si="71"/>
        <v>30</v>
      </c>
      <c r="N318" s="10" t="str">
        <f t="shared" si="72"/>
        <v>03</v>
      </c>
      <c r="O318" s="70">
        <f t="shared" si="73"/>
        <v>30</v>
      </c>
      <c r="P318" s="11">
        <v>90000</v>
      </c>
      <c r="T318" s="5" t="s">
        <v>22</v>
      </c>
      <c r="U318" s="3" t="s">
        <v>1</v>
      </c>
      <c r="V318" s="3" t="s">
        <v>4</v>
      </c>
    </row>
    <row r="319" spans="1:23" hidden="1">
      <c r="J319" s="1" t="str">
        <f t="shared" si="68"/>
        <v>0</v>
      </c>
      <c r="K319" s="3">
        <f t="shared" si="69"/>
        <v>-100</v>
      </c>
      <c r="L319" s="3">
        <f t="shared" si="70"/>
        <v>1</v>
      </c>
      <c r="M319" s="3">
        <f t="shared" si="71"/>
        <v>0</v>
      </c>
      <c r="N319" s="3" t="str">
        <f t="shared" si="72"/>
        <v>01</v>
      </c>
      <c r="O319" s="14" t="str">
        <f t="shared" si="73"/>
        <v>00</v>
      </c>
    </row>
    <row r="320" spans="1:23" hidden="1">
      <c r="J320" s="1" t="str">
        <f t="shared" si="68"/>
        <v>0</v>
      </c>
      <c r="K320" s="3">
        <f t="shared" si="69"/>
        <v>-100</v>
      </c>
      <c r="L320" s="3">
        <f t="shared" si="70"/>
        <v>1</v>
      </c>
      <c r="M320" s="3">
        <f t="shared" si="71"/>
        <v>0</v>
      </c>
      <c r="N320" s="3" t="str">
        <f t="shared" si="72"/>
        <v>01</v>
      </c>
      <c r="O320" s="14" t="str">
        <f t="shared" si="73"/>
        <v>00</v>
      </c>
    </row>
    <row r="321" spans="1:23" s="10" customFormat="1">
      <c r="A321" s="3">
        <v>44</v>
      </c>
      <c r="B321" s="1">
        <f t="shared" ref="B321:B330" si="74">IF(G321="-",0,IF(G320=G321,1,0))</f>
        <v>0</v>
      </c>
      <c r="C321" s="1">
        <f t="shared" ref="C321:C330" si="75">+IF(G321="-",0,IF(I321=I320+1,0,(IF(I321=1,0,1))))</f>
        <v>1</v>
      </c>
      <c r="D321" s="1">
        <f t="shared" ref="D321:D330" si="76">+IF(AND(P321="",Q321=""),1,0)</f>
        <v>0</v>
      </c>
      <c r="E321" s="1">
        <f t="shared" ref="E321:E330" si="77">IF(U321="",1,0)</f>
        <v>0</v>
      </c>
      <c r="F321" s="1">
        <f t="shared" ref="F321:F330" si="78">IF(V321="",1,0)</f>
        <v>0</v>
      </c>
      <c r="G321" s="1" t="str">
        <f t="shared" ref="G321:G330" si="79">IF(H321=0,"-",_xlfn.CONCAT(K321,N321,O321,J321))</f>
        <v>24033011</v>
      </c>
      <c r="H321" s="9">
        <v>45381</v>
      </c>
      <c r="I321" s="52">
        <v>11</v>
      </c>
      <c r="J321" s="52">
        <f t="shared" si="68"/>
        <v>11</v>
      </c>
      <c r="K321" s="10">
        <f t="shared" si="69"/>
        <v>24</v>
      </c>
      <c r="L321" s="10">
        <f t="shared" si="70"/>
        <v>3</v>
      </c>
      <c r="M321" s="10">
        <f t="shared" si="71"/>
        <v>30</v>
      </c>
      <c r="N321" s="10" t="str">
        <f t="shared" si="72"/>
        <v>03</v>
      </c>
      <c r="O321" s="70">
        <f t="shared" si="73"/>
        <v>30</v>
      </c>
      <c r="P321" s="11">
        <f>5*3*509</f>
        <v>7635</v>
      </c>
      <c r="Q321" s="5"/>
      <c r="R321" s="6"/>
      <c r="S321" s="5"/>
      <c r="T321" s="5" t="s">
        <v>23</v>
      </c>
      <c r="U321" s="3" t="s">
        <v>1</v>
      </c>
      <c r="V321" s="3" t="s">
        <v>4</v>
      </c>
      <c r="W321" s="3"/>
    </row>
    <row r="322" spans="1:23" s="10" customFormat="1">
      <c r="A322" s="3">
        <v>60</v>
      </c>
      <c r="B322" s="1">
        <f t="shared" si="74"/>
        <v>0</v>
      </c>
      <c r="C322" s="1">
        <f t="shared" si="75"/>
        <v>1</v>
      </c>
      <c r="D322" s="1">
        <f t="shared" si="76"/>
        <v>0</v>
      </c>
      <c r="E322" s="1">
        <f t="shared" si="77"/>
        <v>0</v>
      </c>
      <c r="F322" s="1">
        <f t="shared" si="78"/>
        <v>0</v>
      </c>
      <c r="G322" s="1" t="str">
        <f t="shared" si="79"/>
        <v>24033109</v>
      </c>
      <c r="H322" s="2">
        <v>45382</v>
      </c>
      <c r="I322" s="36">
        <v>9</v>
      </c>
      <c r="J322" s="1" t="str">
        <f t="shared" si="68"/>
        <v>09</v>
      </c>
      <c r="K322" s="3">
        <f t="shared" si="69"/>
        <v>24</v>
      </c>
      <c r="L322" s="3">
        <f t="shared" si="70"/>
        <v>3</v>
      </c>
      <c r="M322" s="3">
        <f t="shared" si="71"/>
        <v>31</v>
      </c>
      <c r="N322" s="3" t="str">
        <f t="shared" si="72"/>
        <v>03</v>
      </c>
      <c r="O322" s="14">
        <f t="shared" si="73"/>
        <v>31</v>
      </c>
      <c r="P322" s="4">
        <v>187801.87</v>
      </c>
      <c r="Q322" s="5"/>
      <c r="R322" s="6"/>
      <c r="S322" s="5"/>
      <c r="T322" s="5" t="s">
        <v>27</v>
      </c>
      <c r="U322" s="3" t="s">
        <v>2</v>
      </c>
      <c r="V322" s="3" t="s">
        <v>4</v>
      </c>
      <c r="W322" s="3" t="s">
        <v>26</v>
      </c>
    </row>
    <row r="323" spans="1:23" s="10" customFormat="1">
      <c r="A323" s="3">
        <v>64</v>
      </c>
      <c r="B323" s="1">
        <f t="shared" si="74"/>
        <v>0</v>
      </c>
      <c r="C323" s="1">
        <f t="shared" si="75"/>
        <v>1</v>
      </c>
      <c r="D323" s="1">
        <f t="shared" si="76"/>
        <v>0</v>
      </c>
      <c r="E323" s="1">
        <f t="shared" si="77"/>
        <v>0</v>
      </c>
      <c r="F323" s="1">
        <f t="shared" si="78"/>
        <v>0</v>
      </c>
      <c r="G323" s="1" t="str">
        <f t="shared" si="79"/>
        <v>24040103</v>
      </c>
      <c r="H323" s="2">
        <v>45383</v>
      </c>
      <c r="I323" s="36">
        <v>3</v>
      </c>
      <c r="J323" s="1" t="str">
        <f t="shared" si="68"/>
        <v>03</v>
      </c>
      <c r="K323" s="3">
        <f t="shared" si="69"/>
        <v>24</v>
      </c>
      <c r="L323" s="3">
        <f t="shared" si="70"/>
        <v>4</v>
      </c>
      <c r="M323" s="3">
        <f t="shared" si="71"/>
        <v>1</v>
      </c>
      <c r="N323" s="3" t="str">
        <f t="shared" si="72"/>
        <v>04</v>
      </c>
      <c r="O323" s="14" t="str">
        <f t="shared" si="73"/>
        <v>01</v>
      </c>
      <c r="P323" s="4">
        <v>144724.75</v>
      </c>
      <c r="Q323" s="5"/>
      <c r="R323" s="6"/>
      <c r="S323" s="5"/>
      <c r="T323" s="5" t="s">
        <v>196</v>
      </c>
      <c r="U323" s="3" t="s">
        <v>2</v>
      </c>
      <c r="V323" s="3" t="s">
        <v>4</v>
      </c>
      <c r="W323" s="3" t="s">
        <v>28</v>
      </c>
    </row>
    <row r="324" spans="1:23" s="10" customFormat="1">
      <c r="A324" s="3">
        <v>73</v>
      </c>
      <c r="B324" s="1">
        <f t="shared" si="74"/>
        <v>0</v>
      </c>
      <c r="C324" s="1">
        <f t="shared" si="75"/>
        <v>1</v>
      </c>
      <c r="D324" s="1">
        <f t="shared" si="76"/>
        <v>0</v>
      </c>
      <c r="E324" s="1">
        <f t="shared" si="77"/>
        <v>0</v>
      </c>
      <c r="F324" s="1">
        <f t="shared" si="78"/>
        <v>0</v>
      </c>
      <c r="G324" s="1" t="str">
        <f t="shared" si="79"/>
        <v>24040112</v>
      </c>
      <c r="H324" s="2">
        <v>45383</v>
      </c>
      <c r="I324" s="36">
        <v>12</v>
      </c>
      <c r="J324" s="1">
        <f t="shared" si="68"/>
        <v>12</v>
      </c>
      <c r="K324" s="3">
        <f t="shared" si="69"/>
        <v>24</v>
      </c>
      <c r="L324" s="3">
        <f t="shared" si="70"/>
        <v>4</v>
      </c>
      <c r="M324" s="3">
        <f t="shared" si="71"/>
        <v>1</v>
      </c>
      <c r="N324" s="3" t="str">
        <f t="shared" si="72"/>
        <v>04</v>
      </c>
      <c r="O324" s="14" t="str">
        <f t="shared" si="73"/>
        <v>01</v>
      </c>
      <c r="P324" s="4">
        <v>26808</v>
      </c>
      <c r="Q324" s="5"/>
      <c r="R324" s="6"/>
      <c r="S324" s="5"/>
      <c r="T324" s="5" t="s">
        <v>135</v>
      </c>
      <c r="U324" s="3" t="s">
        <v>29</v>
      </c>
      <c r="V324" s="3" t="s">
        <v>4</v>
      </c>
      <c r="W324" s="3"/>
    </row>
    <row r="325" spans="1:23" s="10" customFormat="1">
      <c r="A325" s="3">
        <v>85</v>
      </c>
      <c r="B325" s="1">
        <f t="shared" si="74"/>
        <v>0</v>
      </c>
      <c r="C325" s="1">
        <f t="shared" si="75"/>
        <v>1</v>
      </c>
      <c r="D325" s="1">
        <f t="shared" si="76"/>
        <v>0</v>
      </c>
      <c r="E325" s="1">
        <f t="shared" si="77"/>
        <v>0</v>
      </c>
      <c r="F325" s="1">
        <f t="shared" si="78"/>
        <v>0</v>
      </c>
      <c r="G325" s="1" t="str">
        <f t="shared" si="79"/>
        <v>24040303</v>
      </c>
      <c r="H325" s="2">
        <v>45385</v>
      </c>
      <c r="I325" s="36">
        <v>3</v>
      </c>
      <c r="J325" s="1" t="str">
        <f t="shared" si="68"/>
        <v>03</v>
      </c>
      <c r="K325" s="3">
        <f t="shared" si="69"/>
        <v>24</v>
      </c>
      <c r="L325" s="3">
        <f t="shared" si="70"/>
        <v>4</v>
      </c>
      <c r="M325" s="3">
        <f t="shared" si="71"/>
        <v>3</v>
      </c>
      <c r="N325" s="3" t="str">
        <f t="shared" si="72"/>
        <v>04</v>
      </c>
      <c r="O325" s="14" t="str">
        <f t="shared" si="73"/>
        <v>03</v>
      </c>
      <c r="P325" s="4">
        <v>62986.2</v>
      </c>
      <c r="Q325" s="5"/>
      <c r="R325" s="6"/>
      <c r="S325" s="5"/>
      <c r="T325" s="5" t="s">
        <v>839</v>
      </c>
      <c r="U325" s="3" t="s">
        <v>29</v>
      </c>
      <c r="V325" s="3" t="s">
        <v>4</v>
      </c>
      <c r="W325" s="3"/>
    </row>
    <row r="326" spans="1:23" s="10" customFormat="1">
      <c r="A326" s="3">
        <v>89</v>
      </c>
      <c r="B326" s="1">
        <f t="shared" si="74"/>
        <v>0</v>
      </c>
      <c r="C326" s="1">
        <f t="shared" si="75"/>
        <v>1</v>
      </c>
      <c r="D326" s="1">
        <f t="shared" si="76"/>
        <v>0</v>
      </c>
      <c r="E326" s="1">
        <f t="shared" si="77"/>
        <v>0</v>
      </c>
      <c r="F326" s="1">
        <f t="shared" si="78"/>
        <v>0</v>
      </c>
      <c r="G326" s="1" t="str">
        <f t="shared" si="79"/>
        <v>24040402</v>
      </c>
      <c r="H326" s="2">
        <v>45386</v>
      </c>
      <c r="I326" s="36">
        <v>2</v>
      </c>
      <c r="J326" s="1" t="str">
        <f t="shared" si="68"/>
        <v>02</v>
      </c>
      <c r="K326" s="3">
        <f t="shared" si="69"/>
        <v>24</v>
      </c>
      <c r="L326" s="3">
        <f t="shared" si="70"/>
        <v>4</v>
      </c>
      <c r="M326" s="3">
        <f t="shared" si="71"/>
        <v>4</v>
      </c>
      <c r="N326" s="3" t="str">
        <f t="shared" si="72"/>
        <v>04</v>
      </c>
      <c r="O326" s="14" t="str">
        <f t="shared" si="73"/>
        <v>04</v>
      </c>
      <c r="P326" s="4">
        <v>2120562.2400000002</v>
      </c>
      <c r="Q326" s="5"/>
      <c r="R326" s="6"/>
      <c r="S326" s="5"/>
      <c r="T326" s="5" t="s">
        <v>31</v>
      </c>
      <c r="U326" s="3" t="s">
        <v>1</v>
      </c>
      <c r="V326" s="3" t="s">
        <v>4</v>
      </c>
      <c r="W326" s="3"/>
    </row>
    <row r="327" spans="1:23" s="10" customFormat="1">
      <c r="A327" s="3">
        <v>93</v>
      </c>
      <c r="B327" s="1">
        <f t="shared" si="74"/>
        <v>0</v>
      </c>
      <c r="C327" s="1">
        <f t="shared" si="75"/>
        <v>0</v>
      </c>
      <c r="D327" s="1">
        <f t="shared" si="76"/>
        <v>0</v>
      </c>
      <c r="E327" s="1">
        <f t="shared" si="77"/>
        <v>0</v>
      </c>
      <c r="F327" s="1">
        <f t="shared" si="78"/>
        <v>0</v>
      </c>
      <c r="G327" s="1" t="str">
        <f t="shared" si="79"/>
        <v>24040501</v>
      </c>
      <c r="H327" s="2">
        <v>45387</v>
      </c>
      <c r="I327" s="36">
        <v>1</v>
      </c>
      <c r="J327" s="1" t="str">
        <f t="shared" si="68"/>
        <v>01</v>
      </c>
      <c r="K327" s="3">
        <f t="shared" si="69"/>
        <v>24</v>
      </c>
      <c r="L327" s="3">
        <f t="shared" si="70"/>
        <v>4</v>
      </c>
      <c r="M327" s="3">
        <f t="shared" si="71"/>
        <v>5</v>
      </c>
      <c r="N327" s="3" t="str">
        <f t="shared" si="72"/>
        <v>04</v>
      </c>
      <c r="O327" s="14" t="str">
        <f t="shared" si="73"/>
        <v>05</v>
      </c>
      <c r="P327" s="4">
        <v>33040</v>
      </c>
      <c r="Q327" s="5"/>
      <c r="R327" s="6"/>
      <c r="S327" s="5"/>
      <c r="T327" s="5" t="s">
        <v>135</v>
      </c>
      <c r="U327" s="3" t="s">
        <v>29</v>
      </c>
      <c r="V327" s="3" t="s">
        <v>4</v>
      </c>
      <c r="W327" s="3"/>
    </row>
    <row r="328" spans="1:23" s="10" customFormat="1">
      <c r="A328" s="3">
        <v>95</v>
      </c>
      <c r="B328" s="1">
        <f t="shared" si="74"/>
        <v>0</v>
      </c>
      <c r="C328" s="1">
        <f t="shared" si="75"/>
        <v>1</v>
      </c>
      <c r="D328" s="1">
        <f t="shared" si="76"/>
        <v>0</v>
      </c>
      <c r="E328" s="1">
        <f t="shared" si="77"/>
        <v>0</v>
      </c>
      <c r="F328" s="1">
        <f t="shared" si="78"/>
        <v>0</v>
      </c>
      <c r="G328" s="1" t="str">
        <f t="shared" si="79"/>
        <v>24040503</v>
      </c>
      <c r="H328" s="2">
        <v>45387</v>
      </c>
      <c r="I328" s="36">
        <v>3</v>
      </c>
      <c r="J328" s="1" t="str">
        <f t="shared" si="68"/>
        <v>03</v>
      </c>
      <c r="K328" s="3">
        <f t="shared" si="69"/>
        <v>24</v>
      </c>
      <c r="L328" s="3">
        <f t="shared" si="70"/>
        <v>4</v>
      </c>
      <c r="M328" s="3">
        <f t="shared" si="71"/>
        <v>5</v>
      </c>
      <c r="N328" s="3" t="str">
        <f t="shared" si="72"/>
        <v>04</v>
      </c>
      <c r="O328" s="14" t="str">
        <f t="shared" si="73"/>
        <v>05</v>
      </c>
      <c r="P328" s="4">
        <v>1492815.88</v>
      </c>
      <c r="Q328" s="5"/>
      <c r="R328" s="6"/>
      <c r="S328" s="5"/>
      <c r="T328" s="5" t="s">
        <v>32</v>
      </c>
      <c r="U328" s="3" t="s">
        <v>1</v>
      </c>
      <c r="V328" s="3" t="s">
        <v>4</v>
      </c>
      <c r="W328" s="3"/>
    </row>
    <row r="329" spans="1:23" s="10" customFormat="1">
      <c r="A329" s="3">
        <v>100</v>
      </c>
      <c r="B329" s="1">
        <f t="shared" si="74"/>
        <v>0</v>
      </c>
      <c r="C329" s="1">
        <f t="shared" si="75"/>
        <v>0</v>
      </c>
      <c r="D329" s="1">
        <f t="shared" si="76"/>
        <v>0</v>
      </c>
      <c r="E329" s="1">
        <f t="shared" si="77"/>
        <v>0</v>
      </c>
      <c r="F329" s="1">
        <f t="shared" si="78"/>
        <v>0</v>
      </c>
      <c r="G329" s="1" t="str">
        <f t="shared" si="79"/>
        <v>24040601</v>
      </c>
      <c r="H329" s="2">
        <v>45388</v>
      </c>
      <c r="I329" s="36">
        <v>1</v>
      </c>
      <c r="J329" s="1" t="str">
        <f t="shared" si="68"/>
        <v>01</v>
      </c>
      <c r="K329" s="3">
        <f t="shared" si="69"/>
        <v>24</v>
      </c>
      <c r="L329" s="3">
        <f t="shared" si="70"/>
        <v>4</v>
      </c>
      <c r="M329" s="3">
        <f t="shared" si="71"/>
        <v>6</v>
      </c>
      <c r="N329" s="3" t="str">
        <f t="shared" si="72"/>
        <v>04</v>
      </c>
      <c r="O329" s="14" t="str">
        <f t="shared" si="73"/>
        <v>06</v>
      </c>
      <c r="P329" s="11">
        <v>290000</v>
      </c>
      <c r="Q329" s="5"/>
      <c r="R329" s="6"/>
      <c r="S329" s="5"/>
      <c r="T329" s="5" t="s">
        <v>34</v>
      </c>
      <c r="U329" s="3" t="s">
        <v>1</v>
      </c>
      <c r="V329" s="3" t="s">
        <v>4</v>
      </c>
      <c r="W329" s="3" t="s">
        <v>54</v>
      </c>
    </row>
    <row r="330" spans="1:23" s="10" customFormat="1">
      <c r="A330" s="3">
        <v>101</v>
      </c>
      <c r="B330" s="1">
        <f t="shared" si="74"/>
        <v>0</v>
      </c>
      <c r="C330" s="1">
        <f t="shared" si="75"/>
        <v>0</v>
      </c>
      <c r="D330" s="1">
        <f t="shared" si="76"/>
        <v>0</v>
      </c>
      <c r="E330" s="1">
        <f t="shared" si="77"/>
        <v>0</v>
      </c>
      <c r="F330" s="1">
        <f t="shared" si="78"/>
        <v>0</v>
      </c>
      <c r="G330" s="1" t="str">
        <f t="shared" si="79"/>
        <v>24040602</v>
      </c>
      <c r="H330" s="2">
        <v>45388</v>
      </c>
      <c r="I330" s="36">
        <v>2</v>
      </c>
      <c r="J330" s="1" t="str">
        <f t="shared" si="68"/>
        <v>02</v>
      </c>
      <c r="K330" s="3">
        <f t="shared" si="69"/>
        <v>24</v>
      </c>
      <c r="L330" s="3">
        <f t="shared" si="70"/>
        <v>4</v>
      </c>
      <c r="M330" s="3">
        <f t="shared" si="71"/>
        <v>6</v>
      </c>
      <c r="N330" s="3" t="str">
        <f t="shared" si="72"/>
        <v>04</v>
      </c>
      <c r="O330" s="14" t="str">
        <f t="shared" si="73"/>
        <v>06</v>
      </c>
      <c r="P330" s="11">
        <v>150000</v>
      </c>
      <c r="Q330" s="5"/>
      <c r="R330" s="6"/>
      <c r="S330" s="5"/>
      <c r="T330" s="5" t="s">
        <v>35</v>
      </c>
      <c r="U330" s="3" t="s">
        <v>1</v>
      </c>
      <c r="V330" s="3" t="s">
        <v>4</v>
      </c>
      <c r="W330" s="3" t="s">
        <v>54</v>
      </c>
    </row>
    <row r="331" spans="1:23" hidden="1">
      <c r="J331" s="1" t="str">
        <f t="shared" si="68"/>
        <v>0</v>
      </c>
      <c r="K331" s="3">
        <f t="shared" si="69"/>
        <v>-100</v>
      </c>
      <c r="L331" s="3">
        <f t="shared" si="70"/>
        <v>1</v>
      </c>
      <c r="M331" s="3">
        <f t="shared" si="71"/>
        <v>0</v>
      </c>
      <c r="N331" s="3" t="str">
        <f t="shared" si="72"/>
        <v>01</v>
      </c>
      <c r="O331" s="14" t="str">
        <f t="shared" si="73"/>
        <v>00</v>
      </c>
    </row>
    <row r="332" spans="1:23" hidden="1">
      <c r="J332" s="1" t="str">
        <f t="shared" si="68"/>
        <v>0</v>
      </c>
      <c r="K332" s="3">
        <f t="shared" si="69"/>
        <v>-100</v>
      </c>
      <c r="L332" s="3">
        <f t="shared" si="70"/>
        <v>1</v>
      </c>
      <c r="M332" s="3">
        <f t="shared" si="71"/>
        <v>0</v>
      </c>
      <c r="N332" s="3" t="str">
        <f t="shared" si="72"/>
        <v>01</v>
      </c>
      <c r="O332" s="14" t="str">
        <f t="shared" si="73"/>
        <v>00</v>
      </c>
    </row>
    <row r="333" spans="1:23" hidden="1">
      <c r="J333" s="1" t="str">
        <f t="shared" si="68"/>
        <v>0</v>
      </c>
      <c r="K333" s="3">
        <f t="shared" si="69"/>
        <v>-100</v>
      </c>
      <c r="L333" s="3">
        <f t="shared" si="70"/>
        <v>1</v>
      </c>
      <c r="M333" s="3">
        <f t="shared" si="71"/>
        <v>0</v>
      </c>
      <c r="N333" s="3" t="str">
        <f t="shared" si="72"/>
        <v>01</v>
      </c>
      <c r="O333" s="14" t="str">
        <f t="shared" si="73"/>
        <v>00</v>
      </c>
    </row>
    <row r="334" spans="1:23" hidden="1">
      <c r="J334" s="1" t="str">
        <f t="shared" si="68"/>
        <v>0</v>
      </c>
      <c r="K334" s="3">
        <f t="shared" si="69"/>
        <v>-100</v>
      </c>
      <c r="L334" s="3">
        <f t="shared" si="70"/>
        <v>1</v>
      </c>
      <c r="M334" s="3">
        <f t="shared" si="71"/>
        <v>0</v>
      </c>
      <c r="N334" s="3" t="str">
        <f t="shared" si="72"/>
        <v>01</v>
      </c>
      <c r="O334" s="14" t="str">
        <f t="shared" si="73"/>
        <v>00</v>
      </c>
    </row>
    <row r="335" spans="1:23" hidden="1">
      <c r="J335" s="1" t="str">
        <f t="shared" si="68"/>
        <v>0</v>
      </c>
      <c r="K335" s="3">
        <f t="shared" si="69"/>
        <v>-100</v>
      </c>
      <c r="L335" s="3">
        <f t="shared" si="70"/>
        <v>1</v>
      </c>
      <c r="M335" s="3">
        <f t="shared" si="71"/>
        <v>0</v>
      </c>
      <c r="N335" s="3" t="str">
        <f t="shared" si="72"/>
        <v>01</v>
      </c>
      <c r="O335" s="14" t="str">
        <f t="shared" si="73"/>
        <v>00</v>
      </c>
    </row>
    <row r="336" spans="1:23" hidden="1">
      <c r="J336" s="1" t="str">
        <f t="shared" si="68"/>
        <v>0</v>
      </c>
      <c r="K336" s="3">
        <f t="shared" si="69"/>
        <v>-100</v>
      </c>
      <c r="L336" s="3">
        <f t="shared" si="70"/>
        <v>1</v>
      </c>
      <c r="M336" s="3">
        <f t="shared" si="71"/>
        <v>0</v>
      </c>
      <c r="N336" s="3" t="str">
        <f t="shared" si="72"/>
        <v>01</v>
      </c>
      <c r="O336" s="14" t="str">
        <f t="shared" si="73"/>
        <v>00</v>
      </c>
    </row>
    <row r="337" spans="1:23">
      <c r="A337" s="3">
        <v>102</v>
      </c>
      <c r="B337" s="1">
        <f>IF(G337="-",0,IF(G336=G337,1,0))</f>
        <v>0</v>
      </c>
      <c r="C337" s="1">
        <f>+IF(G337="-",0,IF(I337=I336+1,0,(IF(I337=1,0,1))))</f>
        <v>1</v>
      </c>
      <c r="D337" s="1">
        <f>+IF(AND(P337="",Q337=""),1,0)</f>
        <v>0</v>
      </c>
      <c r="E337" s="1">
        <f t="shared" ref="E337:F339" si="80">IF(U337="",1,0)</f>
        <v>0</v>
      </c>
      <c r="F337" s="1">
        <f t="shared" si="80"/>
        <v>0</v>
      </c>
      <c r="G337" s="1" t="str">
        <f>IF(H337=0,"-",_xlfn.CONCAT(K337,N337,O337,J337))</f>
        <v>24040603</v>
      </c>
      <c r="H337" s="2">
        <v>45388</v>
      </c>
      <c r="I337" s="36">
        <v>3</v>
      </c>
      <c r="J337" s="1" t="str">
        <f t="shared" si="68"/>
        <v>03</v>
      </c>
      <c r="K337" s="3">
        <f t="shared" si="69"/>
        <v>24</v>
      </c>
      <c r="L337" s="3">
        <f t="shared" si="70"/>
        <v>4</v>
      </c>
      <c r="M337" s="3">
        <f t="shared" si="71"/>
        <v>6</v>
      </c>
      <c r="N337" s="3" t="str">
        <f t="shared" si="72"/>
        <v>04</v>
      </c>
      <c r="O337" s="14" t="str">
        <f t="shared" si="73"/>
        <v>06</v>
      </c>
      <c r="P337" s="11">
        <v>20000</v>
      </c>
      <c r="T337" s="5" t="s">
        <v>36</v>
      </c>
      <c r="U337" s="3" t="s">
        <v>1</v>
      </c>
      <c r="V337" s="3" t="s">
        <v>4</v>
      </c>
      <c r="W337" s="3" t="s">
        <v>54</v>
      </c>
    </row>
    <row r="338" spans="1:23">
      <c r="A338" s="3">
        <v>103</v>
      </c>
      <c r="B338" s="1">
        <f>IF(G338="-",0,IF(G337=G338,1,0))</f>
        <v>0</v>
      </c>
      <c r="C338" s="1">
        <f>+IF(G338="-",0,IF(I338=I337+1,0,(IF(I338=1,0,1))))</f>
        <v>0</v>
      </c>
      <c r="D338" s="1">
        <f>+IF(AND(P338="",Q338=""),1,0)</f>
        <v>0</v>
      </c>
      <c r="E338" s="1">
        <f t="shared" si="80"/>
        <v>0</v>
      </c>
      <c r="F338" s="1">
        <f t="shared" si="80"/>
        <v>0</v>
      </c>
      <c r="G338" s="1" t="str">
        <f>IF(H338=0,"-",_xlfn.CONCAT(K338,N338,O338,J338))</f>
        <v>24040604</v>
      </c>
      <c r="H338" s="2">
        <v>45388</v>
      </c>
      <c r="I338" s="36">
        <v>4</v>
      </c>
      <c r="J338" s="1" t="str">
        <f t="shared" si="68"/>
        <v>04</v>
      </c>
      <c r="K338" s="3">
        <f t="shared" si="69"/>
        <v>24</v>
      </c>
      <c r="L338" s="3">
        <f t="shared" si="70"/>
        <v>4</v>
      </c>
      <c r="M338" s="3">
        <f t="shared" si="71"/>
        <v>6</v>
      </c>
      <c r="N338" s="3" t="str">
        <f t="shared" si="72"/>
        <v>04</v>
      </c>
      <c r="O338" s="14" t="str">
        <f t="shared" si="73"/>
        <v>06</v>
      </c>
      <c r="P338" s="11">
        <v>210000</v>
      </c>
      <c r="T338" s="5" t="s">
        <v>37</v>
      </c>
      <c r="U338" s="3" t="s">
        <v>1</v>
      </c>
      <c r="V338" s="3" t="s">
        <v>4</v>
      </c>
      <c r="W338" s="3" t="s">
        <v>54</v>
      </c>
    </row>
    <row r="339" spans="1:23">
      <c r="A339" s="3">
        <v>104</v>
      </c>
      <c r="B339" s="1">
        <f>IF(G339="-",0,IF(G338=G339,1,0))</f>
        <v>0</v>
      </c>
      <c r="C339" s="1">
        <f>+IF(G339="-",0,IF(I339=I338+1,0,(IF(I339=1,0,1))))</f>
        <v>0</v>
      </c>
      <c r="D339" s="1">
        <f>+IF(AND(P339="",Q339=""),1,0)</f>
        <v>0</v>
      </c>
      <c r="E339" s="1">
        <f t="shared" si="80"/>
        <v>0</v>
      </c>
      <c r="F339" s="1">
        <f t="shared" si="80"/>
        <v>0</v>
      </c>
      <c r="G339" s="1" t="str">
        <f>IF(H339=0,"-",_xlfn.CONCAT(K339,N339,O339,J339))</f>
        <v>24040605</v>
      </c>
      <c r="H339" s="2">
        <v>45388</v>
      </c>
      <c r="I339" s="36">
        <v>5</v>
      </c>
      <c r="J339" s="1" t="str">
        <f t="shared" si="68"/>
        <v>05</v>
      </c>
      <c r="K339" s="3">
        <f t="shared" si="69"/>
        <v>24</v>
      </c>
      <c r="L339" s="3">
        <f t="shared" si="70"/>
        <v>4</v>
      </c>
      <c r="M339" s="3">
        <f t="shared" si="71"/>
        <v>6</v>
      </c>
      <c r="N339" s="3" t="str">
        <f t="shared" si="72"/>
        <v>04</v>
      </c>
      <c r="O339" s="14" t="str">
        <f t="shared" si="73"/>
        <v>06</v>
      </c>
      <c r="P339" s="11">
        <v>102000</v>
      </c>
      <c r="T339" s="5" t="s">
        <v>38</v>
      </c>
      <c r="U339" s="3" t="s">
        <v>1</v>
      </c>
      <c r="V339" s="3" t="s">
        <v>4</v>
      </c>
      <c r="W339" s="3" t="s">
        <v>54</v>
      </c>
    </row>
    <row r="340" spans="1:23" hidden="1">
      <c r="J340" s="1" t="str">
        <f t="shared" si="68"/>
        <v>0</v>
      </c>
      <c r="K340" s="3">
        <f t="shared" si="69"/>
        <v>-100</v>
      </c>
      <c r="L340" s="3">
        <f t="shared" si="70"/>
        <v>1</v>
      </c>
      <c r="M340" s="3">
        <f t="shared" si="71"/>
        <v>0</v>
      </c>
      <c r="N340" s="3" t="str">
        <f t="shared" si="72"/>
        <v>01</v>
      </c>
      <c r="O340" s="14" t="str">
        <f t="shared" si="73"/>
        <v>00</v>
      </c>
    </row>
    <row r="341" spans="1:23" hidden="1">
      <c r="J341" s="1" t="str">
        <f t="shared" si="68"/>
        <v>0</v>
      </c>
      <c r="K341" s="3">
        <f t="shared" si="69"/>
        <v>-100</v>
      </c>
      <c r="L341" s="3">
        <f t="shared" si="70"/>
        <v>1</v>
      </c>
      <c r="M341" s="3">
        <f t="shared" si="71"/>
        <v>0</v>
      </c>
      <c r="N341" s="3" t="str">
        <f t="shared" si="72"/>
        <v>01</v>
      </c>
      <c r="O341" s="14" t="str">
        <f t="shared" si="73"/>
        <v>00</v>
      </c>
    </row>
    <row r="342" spans="1:23" hidden="1">
      <c r="J342" s="1" t="str">
        <f t="shared" si="68"/>
        <v>0</v>
      </c>
      <c r="K342" s="3">
        <f t="shared" si="69"/>
        <v>-100</v>
      </c>
      <c r="L342" s="3">
        <f t="shared" si="70"/>
        <v>1</v>
      </c>
      <c r="M342" s="3">
        <f t="shared" si="71"/>
        <v>0</v>
      </c>
      <c r="N342" s="3" t="str">
        <f t="shared" si="72"/>
        <v>01</v>
      </c>
      <c r="O342" s="14" t="str">
        <f t="shared" si="73"/>
        <v>00</v>
      </c>
    </row>
    <row r="343" spans="1:23" hidden="1">
      <c r="J343" s="1" t="str">
        <f t="shared" si="68"/>
        <v>0</v>
      </c>
      <c r="K343" s="3">
        <f t="shared" si="69"/>
        <v>-100</v>
      </c>
      <c r="L343" s="3">
        <f t="shared" si="70"/>
        <v>1</v>
      </c>
      <c r="M343" s="3">
        <f t="shared" si="71"/>
        <v>0</v>
      </c>
      <c r="N343" s="3" t="str">
        <f t="shared" si="72"/>
        <v>01</v>
      </c>
      <c r="O343" s="14" t="str">
        <f t="shared" si="73"/>
        <v>00</v>
      </c>
    </row>
    <row r="344" spans="1:23" hidden="1">
      <c r="J344" s="1" t="str">
        <f t="shared" si="68"/>
        <v>0</v>
      </c>
      <c r="K344" s="3">
        <f t="shared" si="69"/>
        <v>-100</v>
      </c>
      <c r="L344" s="3">
        <f t="shared" si="70"/>
        <v>1</v>
      </c>
      <c r="M344" s="3">
        <f t="shared" si="71"/>
        <v>0</v>
      </c>
      <c r="N344" s="3" t="str">
        <f t="shared" si="72"/>
        <v>01</v>
      </c>
      <c r="O344" s="14" t="str">
        <f t="shared" si="73"/>
        <v>00</v>
      </c>
    </row>
    <row r="345" spans="1:23" hidden="1">
      <c r="J345" s="1" t="str">
        <f t="shared" si="68"/>
        <v>0</v>
      </c>
      <c r="K345" s="3">
        <f t="shared" si="69"/>
        <v>-100</v>
      </c>
      <c r="L345" s="3">
        <f t="shared" si="70"/>
        <v>1</v>
      </c>
      <c r="M345" s="3">
        <f t="shared" si="71"/>
        <v>0</v>
      </c>
      <c r="N345" s="3" t="str">
        <f t="shared" si="72"/>
        <v>01</v>
      </c>
      <c r="O345" s="14" t="str">
        <f t="shared" si="73"/>
        <v>00</v>
      </c>
    </row>
    <row r="346" spans="1:23" hidden="1">
      <c r="J346" s="1" t="str">
        <f t="shared" si="68"/>
        <v>0</v>
      </c>
      <c r="K346" s="3">
        <f t="shared" si="69"/>
        <v>-100</v>
      </c>
      <c r="L346" s="3">
        <f t="shared" si="70"/>
        <v>1</v>
      </c>
      <c r="M346" s="3">
        <f t="shared" si="71"/>
        <v>0</v>
      </c>
      <c r="N346" s="3" t="str">
        <f t="shared" si="72"/>
        <v>01</v>
      </c>
      <c r="O346" s="14" t="str">
        <f t="shared" si="73"/>
        <v>00</v>
      </c>
    </row>
    <row r="347" spans="1:23" hidden="1">
      <c r="J347" s="1" t="str">
        <f t="shared" ref="J347:J378" si="81">+IF(I347&lt;10,_xlfn.CONCAT("0",I347),I347)</f>
        <v>0</v>
      </c>
      <c r="K347" s="3">
        <f t="shared" ref="K347:K378" si="82">+YEAR(H347)-2000</f>
        <v>-100</v>
      </c>
      <c r="L347" s="3">
        <f t="shared" ref="L347:L378" si="83">+MONTH(H347)</f>
        <v>1</v>
      </c>
      <c r="M347" s="3">
        <f t="shared" ref="M347:M378" si="84">+DAY(H347)</f>
        <v>0</v>
      </c>
      <c r="N347" s="3" t="str">
        <f t="shared" ref="N347:N378" si="85">+IF(L347&lt;10,_xlfn.CONCAT("0",L347),L347)</f>
        <v>01</v>
      </c>
      <c r="O347" s="14" t="str">
        <f t="shared" ref="O347:O378" si="86">+IF(M347&lt;10,_xlfn.CONCAT("0",M347),M347)</f>
        <v>00</v>
      </c>
    </row>
    <row r="348" spans="1:23" hidden="1">
      <c r="J348" s="1" t="str">
        <f t="shared" si="81"/>
        <v>0</v>
      </c>
      <c r="K348" s="3">
        <f t="shared" si="82"/>
        <v>-100</v>
      </c>
      <c r="L348" s="3">
        <f t="shared" si="83"/>
        <v>1</v>
      </c>
      <c r="M348" s="3">
        <f t="shared" si="84"/>
        <v>0</v>
      </c>
      <c r="N348" s="3" t="str">
        <f t="shared" si="85"/>
        <v>01</v>
      </c>
      <c r="O348" s="14" t="str">
        <f t="shared" si="86"/>
        <v>00</v>
      </c>
    </row>
    <row r="349" spans="1:23">
      <c r="A349" s="3">
        <v>105</v>
      </c>
      <c r="B349" s="1">
        <f>IF(G349="-",0,IF(G348=G349,1,0))</f>
        <v>0</v>
      </c>
      <c r="C349" s="1">
        <f>+IF(G349="-",0,IF(I349=I348+1,0,(IF(I349=1,0,1))))</f>
        <v>1</v>
      </c>
      <c r="D349" s="1">
        <f>+IF(AND(P349="",Q349=""),1,0)</f>
        <v>0</v>
      </c>
      <c r="E349" s="1">
        <f t="shared" ref="E349:F352" si="87">IF(U349="",1,0)</f>
        <v>0</v>
      </c>
      <c r="F349" s="1">
        <f t="shared" si="87"/>
        <v>0</v>
      </c>
      <c r="G349" s="1" t="str">
        <f>IF(H349=0,"-",_xlfn.CONCAT(K349,N349,O349,J349))</f>
        <v>24040606</v>
      </c>
      <c r="H349" s="2">
        <v>45388</v>
      </c>
      <c r="I349" s="36">
        <v>6</v>
      </c>
      <c r="J349" s="1" t="str">
        <f t="shared" si="81"/>
        <v>06</v>
      </c>
      <c r="K349" s="3">
        <f t="shared" si="82"/>
        <v>24</v>
      </c>
      <c r="L349" s="3">
        <f t="shared" si="83"/>
        <v>4</v>
      </c>
      <c r="M349" s="3">
        <f t="shared" si="84"/>
        <v>6</v>
      </c>
      <c r="N349" s="3" t="str">
        <f t="shared" si="85"/>
        <v>04</v>
      </c>
      <c r="O349" s="14" t="str">
        <f t="shared" si="86"/>
        <v>06</v>
      </c>
      <c r="P349" s="11">
        <v>320000</v>
      </c>
      <c r="T349" s="5" t="s">
        <v>696</v>
      </c>
      <c r="U349" s="3" t="s">
        <v>1</v>
      </c>
      <c r="V349" s="3" t="s">
        <v>4</v>
      </c>
      <c r="W349" s="3" t="s">
        <v>54</v>
      </c>
    </row>
    <row r="350" spans="1:23">
      <c r="A350" s="3">
        <v>106</v>
      </c>
      <c r="B350" s="1">
        <f>IF(G350="-",0,IF(G349=G350,1,0))</f>
        <v>0</v>
      </c>
      <c r="C350" s="1">
        <f>+IF(G350="-",0,IF(I350=I349+1,0,(IF(I350=1,0,1))))</f>
        <v>0</v>
      </c>
      <c r="D350" s="1">
        <f>+IF(AND(P350="",Q350=""),1,0)</f>
        <v>0</v>
      </c>
      <c r="E350" s="1">
        <f t="shared" si="87"/>
        <v>0</v>
      </c>
      <c r="F350" s="1">
        <f t="shared" si="87"/>
        <v>0</v>
      </c>
      <c r="G350" s="1" t="str">
        <f>IF(H350=0,"-",_xlfn.CONCAT(K350,N350,O350,J350))</f>
        <v>24040607</v>
      </c>
      <c r="H350" s="2">
        <v>45388</v>
      </c>
      <c r="I350" s="36">
        <v>7</v>
      </c>
      <c r="J350" s="1" t="str">
        <f t="shared" si="81"/>
        <v>07</v>
      </c>
      <c r="K350" s="3">
        <f t="shared" si="82"/>
        <v>24</v>
      </c>
      <c r="L350" s="3">
        <f t="shared" si="83"/>
        <v>4</v>
      </c>
      <c r="M350" s="3">
        <f t="shared" si="84"/>
        <v>6</v>
      </c>
      <c r="N350" s="3" t="str">
        <f t="shared" si="85"/>
        <v>04</v>
      </c>
      <c r="O350" s="14" t="str">
        <f t="shared" si="86"/>
        <v>06</v>
      </c>
      <c r="P350" s="4">
        <v>24770.02</v>
      </c>
      <c r="T350" s="5" t="s">
        <v>135</v>
      </c>
      <c r="U350" s="3" t="s">
        <v>29</v>
      </c>
      <c r="V350" s="3" t="s">
        <v>4</v>
      </c>
    </row>
    <row r="351" spans="1:23">
      <c r="A351" s="3">
        <v>111</v>
      </c>
      <c r="B351" s="1">
        <f>IF(G351="-",0,IF(G350=G351,1,0))</f>
        <v>0</v>
      </c>
      <c r="C351" s="1">
        <f>+IF(G351="-",0,IF(I351=I350+1,0,(IF(I351=1,0,1))))</f>
        <v>1</v>
      </c>
      <c r="D351" s="1">
        <f>+IF(AND(P351="",Q351=""),1,0)</f>
        <v>0</v>
      </c>
      <c r="E351" s="1">
        <f t="shared" si="87"/>
        <v>0</v>
      </c>
      <c r="F351" s="1">
        <f t="shared" si="87"/>
        <v>0</v>
      </c>
      <c r="G351" s="1" t="str">
        <f>IF(H351=0,"-",_xlfn.CONCAT(K351,N351,O351,J351))</f>
        <v>24040612</v>
      </c>
      <c r="H351" s="2">
        <v>45388</v>
      </c>
      <c r="I351" s="36">
        <v>12</v>
      </c>
      <c r="J351" s="1">
        <f t="shared" si="81"/>
        <v>12</v>
      </c>
      <c r="K351" s="3">
        <f t="shared" si="82"/>
        <v>24</v>
      </c>
      <c r="L351" s="3">
        <f t="shared" si="83"/>
        <v>4</v>
      </c>
      <c r="M351" s="3">
        <f t="shared" si="84"/>
        <v>6</v>
      </c>
      <c r="N351" s="3" t="str">
        <f t="shared" si="85"/>
        <v>04</v>
      </c>
      <c r="O351" s="14" t="str">
        <f t="shared" si="86"/>
        <v>06</v>
      </c>
      <c r="P351" s="4">
        <f>6*1530</f>
        <v>9180</v>
      </c>
      <c r="T351" s="5" t="s">
        <v>52</v>
      </c>
      <c r="U351" s="3" t="s">
        <v>1</v>
      </c>
      <c r="V351" s="3" t="s">
        <v>4</v>
      </c>
      <c r="W351" s="3" t="s">
        <v>55</v>
      </c>
    </row>
    <row r="352" spans="1:23">
      <c r="A352" s="3">
        <v>116</v>
      </c>
      <c r="B352" s="1">
        <f>IF(G352="-",0,IF(G351=G352,1,0))</f>
        <v>0</v>
      </c>
      <c r="C352" s="1">
        <f>+IF(G352="-",0,IF(I352=I351+1,0,(IF(I352=1,0,1))))</f>
        <v>0</v>
      </c>
      <c r="D352" s="1">
        <f>+IF(AND(P352="",Q352=""),1,0)</f>
        <v>0</v>
      </c>
      <c r="E352" s="1">
        <f t="shared" si="87"/>
        <v>0</v>
      </c>
      <c r="F352" s="1">
        <f t="shared" si="87"/>
        <v>0</v>
      </c>
      <c r="G352" s="1" t="str">
        <f>IF(H352=0,"-",_xlfn.CONCAT(K352,N352,O352,J352))</f>
        <v>24040801</v>
      </c>
      <c r="H352" s="2">
        <v>45390</v>
      </c>
      <c r="I352" s="36">
        <v>1</v>
      </c>
      <c r="J352" s="1" t="str">
        <f t="shared" si="81"/>
        <v>01</v>
      </c>
      <c r="K352" s="3">
        <f t="shared" si="82"/>
        <v>24</v>
      </c>
      <c r="L352" s="3">
        <f t="shared" si="83"/>
        <v>4</v>
      </c>
      <c r="M352" s="3">
        <f t="shared" si="84"/>
        <v>8</v>
      </c>
      <c r="N352" s="3" t="str">
        <f t="shared" si="85"/>
        <v>04</v>
      </c>
      <c r="O352" s="14" t="str">
        <f t="shared" si="86"/>
        <v>08</v>
      </c>
      <c r="P352" s="4">
        <v>31668.06</v>
      </c>
      <c r="T352" s="5" t="s">
        <v>87</v>
      </c>
      <c r="U352" s="3" t="s">
        <v>29</v>
      </c>
      <c r="V352" s="3" t="s">
        <v>4</v>
      </c>
    </row>
    <row r="353" spans="1:22" hidden="1">
      <c r="J353" s="1" t="str">
        <f t="shared" si="81"/>
        <v>0</v>
      </c>
      <c r="K353" s="3">
        <f t="shared" si="82"/>
        <v>-100</v>
      </c>
      <c r="L353" s="3">
        <f t="shared" si="83"/>
        <v>1</v>
      </c>
      <c r="M353" s="3">
        <f t="shared" si="84"/>
        <v>0</v>
      </c>
      <c r="N353" s="3" t="str">
        <f t="shared" si="85"/>
        <v>01</v>
      </c>
      <c r="O353" s="14" t="str">
        <f t="shared" si="86"/>
        <v>00</v>
      </c>
    </row>
    <row r="354" spans="1:22" hidden="1">
      <c r="J354" s="1" t="str">
        <f t="shared" si="81"/>
        <v>0</v>
      </c>
      <c r="K354" s="3">
        <f t="shared" si="82"/>
        <v>-100</v>
      </c>
      <c r="L354" s="3">
        <f t="shared" si="83"/>
        <v>1</v>
      </c>
      <c r="M354" s="3">
        <f t="shared" si="84"/>
        <v>0</v>
      </c>
      <c r="N354" s="3" t="str">
        <f t="shared" si="85"/>
        <v>01</v>
      </c>
      <c r="O354" s="14" t="str">
        <f t="shared" si="86"/>
        <v>00</v>
      </c>
    </row>
    <row r="355" spans="1:22" hidden="1">
      <c r="J355" s="1" t="str">
        <f t="shared" si="81"/>
        <v>0</v>
      </c>
      <c r="K355" s="3">
        <f t="shared" si="82"/>
        <v>-100</v>
      </c>
      <c r="L355" s="3">
        <f t="shared" si="83"/>
        <v>1</v>
      </c>
      <c r="M355" s="3">
        <f t="shared" si="84"/>
        <v>0</v>
      </c>
      <c r="N355" s="3" t="str">
        <f t="shared" si="85"/>
        <v>01</v>
      </c>
      <c r="O355" s="14" t="str">
        <f t="shared" si="86"/>
        <v>00</v>
      </c>
    </row>
    <row r="356" spans="1:22">
      <c r="A356" s="3">
        <v>124</v>
      </c>
      <c r="B356" s="1">
        <f>IF(G356="-",0,IF(G355=G356,1,0))</f>
        <v>0</v>
      </c>
      <c r="C356" s="1">
        <f>+IF(G356="-",0,IF(I356=I355+1,0,(IF(I356=1,0,1))))</f>
        <v>0</v>
      </c>
      <c r="D356" s="1">
        <f>+IF(AND(P356="",Q356=""),1,0)</f>
        <v>0</v>
      </c>
      <c r="E356" s="1">
        <f>IF(U356="",1,0)</f>
        <v>0</v>
      </c>
      <c r="F356" s="1">
        <f>IF(V356="",1,0)</f>
        <v>0</v>
      </c>
      <c r="G356" s="1" t="str">
        <f>IF(H356=0,"-",_xlfn.CONCAT(K356,N356,O356,J356))</f>
        <v>24040901</v>
      </c>
      <c r="H356" s="2">
        <v>45391</v>
      </c>
      <c r="I356" s="36">
        <v>1</v>
      </c>
      <c r="J356" s="1" t="str">
        <f t="shared" si="81"/>
        <v>01</v>
      </c>
      <c r="K356" s="3">
        <f t="shared" si="82"/>
        <v>24</v>
      </c>
      <c r="L356" s="3">
        <f t="shared" si="83"/>
        <v>4</v>
      </c>
      <c r="M356" s="3">
        <f t="shared" si="84"/>
        <v>9</v>
      </c>
      <c r="N356" s="3" t="str">
        <f t="shared" si="85"/>
        <v>04</v>
      </c>
      <c r="O356" s="14" t="str">
        <f t="shared" si="86"/>
        <v>09</v>
      </c>
      <c r="P356" s="4">
        <v>27239.53</v>
      </c>
      <c r="T356" s="5" t="s">
        <v>87</v>
      </c>
      <c r="U356" s="3" t="s">
        <v>29</v>
      </c>
      <c r="V356" s="3" t="s">
        <v>4</v>
      </c>
    </row>
    <row r="357" spans="1:22" hidden="1">
      <c r="J357" s="1" t="str">
        <f t="shared" si="81"/>
        <v>0</v>
      </c>
      <c r="K357" s="3">
        <f t="shared" si="82"/>
        <v>-100</v>
      </c>
      <c r="L357" s="3">
        <f t="shared" si="83"/>
        <v>1</v>
      </c>
      <c r="M357" s="3">
        <f t="shared" si="84"/>
        <v>0</v>
      </c>
      <c r="N357" s="3" t="str">
        <f t="shared" si="85"/>
        <v>01</v>
      </c>
      <c r="O357" s="14" t="str">
        <f t="shared" si="86"/>
        <v>00</v>
      </c>
    </row>
    <row r="358" spans="1:22" hidden="1">
      <c r="J358" s="1" t="str">
        <f t="shared" si="81"/>
        <v>0</v>
      </c>
      <c r="K358" s="3">
        <f t="shared" si="82"/>
        <v>-100</v>
      </c>
      <c r="L358" s="3">
        <f t="shared" si="83"/>
        <v>1</v>
      </c>
      <c r="M358" s="3">
        <f t="shared" si="84"/>
        <v>0</v>
      </c>
      <c r="N358" s="3" t="str">
        <f t="shared" si="85"/>
        <v>01</v>
      </c>
      <c r="O358" s="14" t="str">
        <f t="shared" si="86"/>
        <v>00</v>
      </c>
    </row>
    <row r="359" spans="1:22" hidden="1">
      <c r="J359" s="1" t="str">
        <f t="shared" si="81"/>
        <v>0</v>
      </c>
      <c r="K359" s="3">
        <f t="shared" si="82"/>
        <v>-100</v>
      </c>
      <c r="L359" s="3">
        <f t="shared" si="83"/>
        <v>1</v>
      </c>
      <c r="M359" s="3">
        <f t="shared" si="84"/>
        <v>0</v>
      </c>
      <c r="N359" s="3" t="str">
        <f t="shared" si="85"/>
        <v>01</v>
      </c>
      <c r="O359" s="14" t="str">
        <f t="shared" si="86"/>
        <v>00</v>
      </c>
    </row>
    <row r="360" spans="1:22" hidden="1">
      <c r="J360" s="1" t="str">
        <f t="shared" si="81"/>
        <v>0</v>
      </c>
      <c r="K360" s="3">
        <f t="shared" si="82"/>
        <v>-100</v>
      </c>
      <c r="L360" s="3">
        <f t="shared" si="83"/>
        <v>1</v>
      </c>
      <c r="M360" s="3">
        <f t="shared" si="84"/>
        <v>0</v>
      </c>
      <c r="N360" s="3" t="str">
        <f t="shared" si="85"/>
        <v>01</v>
      </c>
      <c r="O360" s="14" t="str">
        <f t="shared" si="86"/>
        <v>00</v>
      </c>
    </row>
    <row r="361" spans="1:22" hidden="1">
      <c r="J361" s="1" t="str">
        <f t="shared" si="81"/>
        <v>0</v>
      </c>
      <c r="K361" s="3">
        <f t="shared" si="82"/>
        <v>-100</v>
      </c>
      <c r="L361" s="3">
        <f t="shared" si="83"/>
        <v>1</v>
      </c>
      <c r="M361" s="3">
        <f t="shared" si="84"/>
        <v>0</v>
      </c>
      <c r="N361" s="3" t="str">
        <f t="shared" si="85"/>
        <v>01</v>
      </c>
      <c r="O361" s="14" t="str">
        <f t="shared" si="86"/>
        <v>00</v>
      </c>
    </row>
    <row r="362" spans="1:22" hidden="1">
      <c r="J362" s="1" t="str">
        <f t="shared" si="81"/>
        <v>0</v>
      </c>
      <c r="K362" s="3">
        <f t="shared" si="82"/>
        <v>-100</v>
      </c>
      <c r="L362" s="3">
        <f t="shared" si="83"/>
        <v>1</v>
      </c>
      <c r="M362" s="3">
        <f t="shared" si="84"/>
        <v>0</v>
      </c>
      <c r="N362" s="3" t="str">
        <f t="shared" si="85"/>
        <v>01</v>
      </c>
      <c r="O362" s="14" t="str">
        <f t="shared" si="86"/>
        <v>00</v>
      </c>
    </row>
    <row r="363" spans="1:22">
      <c r="A363" s="3">
        <v>125</v>
      </c>
      <c r="B363" s="1">
        <f>IF(G363="-",0,IF(G362=G363,1,0))</f>
        <v>0</v>
      </c>
      <c r="C363" s="1">
        <f>+IF(G363="-",0,IF(I363=I362+1,0,(IF(I363=1,0,1))))</f>
        <v>1</v>
      </c>
      <c r="D363" s="1">
        <f>+IF(AND(P363="",Q363=""),1,0)</f>
        <v>0</v>
      </c>
      <c r="E363" s="1">
        <f t="shared" ref="E363:F366" si="88">IF(U363="",1,0)</f>
        <v>0</v>
      </c>
      <c r="F363" s="1">
        <f t="shared" si="88"/>
        <v>0</v>
      </c>
      <c r="G363" s="1" t="str">
        <f>IF(H363=0,"-",_xlfn.CONCAT(K363,N363,O363,J363))</f>
        <v>24040902</v>
      </c>
      <c r="H363" s="2">
        <v>45391</v>
      </c>
      <c r="I363" s="36">
        <v>2</v>
      </c>
      <c r="J363" s="1" t="str">
        <f t="shared" si="81"/>
        <v>02</v>
      </c>
      <c r="K363" s="3">
        <f t="shared" si="82"/>
        <v>24</v>
      </c>
      <c r="L363" s="3">
        <f t="shared" si="83"/>
        <v>4</v>
      </c>
      <c r="M363" s="3">
        <f t="shared" si="84"/>
        <v>9</v>
      </c>
      <c r="N363" s="3" t="str">
        <f t="shared" si="85"/>
        <v>04</v>
      </c>
      <c r="O363" s="14" t="str">
        <f t="shared" si="86"/>
        <v>09</v>
      </c>
      <c r="P363" s="4">
        <v>894.96</v>
      </c>
      <c r="T363" s="5" t="s">
        <v>40</v>
      </c>
      <c r="U363" s="3" t="s">
        <v>29</v>
      </c>
      <c r="V363" s="3" t="s">
        <v>4</v>
      </c>
    </row>
    <row r="364" spans="1:22">
      <c r="A364" s="3">
        <v>126</v>
      </c>
      <c r="B364" s="1">
        <f>IF(G364="-",0,IF(G363=G364,1,0))</f>
        <v>0</v>
      </c>
      <c r="C364" s="1">
        <f>+IF(G364="-",0,IF(I364=I363+1,0,(IF(I364=1,0,1))))</f>
        <v>0</v>
      </c>
      <c r="D364" s="1">
        <f>+IF(AND(P364="",Q364=""),1,0)</f>
        <v>0</v>
      </c>
      <c r="E364" s="1">
        <f t="shared" si="88"/>
        <v>1</v>
      </c>
      <c r="F364" s="1">
        <f t="shared" si="88"/>
        <v>0</v>
      </c>
      <c r="G364" s="1" t="str">
        <f>IF(H364=0,"-",_xlfn.CONCAT(K364,N364,O364,J364))</f>
        <v>24040903</v>
      </c>
      <c r="H364" s="2">
        <v>45391</v>
      </c>
      <c r="I364" s="36">
        <v>3</v>
      </c>
      <c r="J364" s="1" t="str">
        <f t="shared" si="81"/>
        <v>03</v>
      </c>
      <c r="K364" s="3">
        <f t="shared" si="82"/>
        <v>24</v>
      </c>
      <c r="L364" s="3">
        <f t="shared" si="83"/>
        <v>4</v>
      </c>
      <c r="M364" s="3">
        <f t="shared" si="84"/>
        <v>9</v>
      </c>
      <c r="N364" s="3" t="str">
        <f t="shared" si="85"/>
        <v>04</v>
      </c>
      <c r="O364" s="14" t="str">
        <f t="shared" si="86"/>
        <v>09</v>
      </c>
      <c r="P364" s="4">
        <v>261207.61</v>
      </c>
      <c r="T364" s="5" t="s">
        <v>41</v>
      </c>
      <c r="V364" s="3" t="s">
        <v>4</v>
      </c>
    </row>
    <row r="365" spans="1:22">
      <c r="A365" s="3">
        <v>127</v>
      </c>
      <c r="B365" s="1">
        <f>IF(G365="-",0,IF(G364=G365,1,0))</f>
        <v>0</v>
      </c>
      <c r="C365" s="1">
        <f>+IF(G365="-",0,IF(I365=I364+1,0,(IF(I365=1,0,1))))</f>
        <v>0</v>
      </c>
      <c r="D365" s="1">
        <f>+IF(AND(P365="",Q365=""),1,0)</f>
        <v>0</v>
      </c>
      <c r="E365" s="1">
        <f t="shared" si="88"/>
        <v>1</v>
      </c>
      <c r="F365" s="1">
        <f t="shared" si="88"/>
        <v>0</v>
      </c>
      <c r="G365" s="1" t="str">
        <f>IF(H365=0,"-",_xlfn.CONCAT(K365,N365,O365,J365))</f>
        <v>24040904</v>
      </c>
      <c r="H365" s="2">
        <v>45391</v>
      </c>
      <c r="I365" s="36">
        <v>4</v>
      </c>
      <c r="J365" s="1" t="str">
        <f t="shared" si="81"/>
        <v>04</v>
      </c>
      <c r="K365" s="3">
        <f t="shared" si="82"/>
        <v>24</v>
      </c>
      <c r="L365" s="3">
        <f t="shared" si="83"/>
        <v>4</v>
      </c>
      <c r="M365" s="3">
        <f t="shared" si="84"/>
        <v>9</v>
      </c>
      <c r="N365" s="3" t="str">
        <f t="shared" si="85"/>
        <v>04</v>
      </c>
      <c r="O365" s="14" t="str">
        <f t="shared" si="86"/>
        <v>09</v>
      </c>
      <c r="P365" s="4">
        <v>54275.76</v>
      </c>
      <c r="T365" s="5" t="s">
        <v>41</v>
      </c>
      <c r="V365" s="3" t="s">
        <v>4</v>
      </c>
    </row>
    <row r="366" spans="1:22">
      <c r="A366" s="3">
        <v>136</v>
      </c>
      <c r="B366" s="1">
        <f>IF(G366="-",0,IF(G365=G366,1,0))</f>
        <v>0</v>
      </c>
      <c r="C366" s="1">
        <f>+IF(G366="-",0,IF(I366=I365+1,0,(IF(I366=1,0,1))))</f>
        <v>1</v>
      </c>
      <c r="D366" s="1">
        <f>+IF(AND(P366="",Q366=""),1,0)</f>
        <v>0</v>
      </c>
      <c r="E366" s="1">
        <f t="shared" si="88"/>
        <v>0</v>
      </c>
      <c r="F366" s="1">
        <f t="shared" si="88"/>
        <v>0</v>
      </c>
      <c r="G366" s="1" t="str">
        <f>IF(H366=0,"-",_xlfn.CONCAT(K366,N366,O366,J366))</f>
        <v>24041003</v>
      </c>
      <c r="H366" s="2">
        <v>45392</v>
      </c>
      <c r="I366" s="36">
        <v>3</v>
      </c>
      <c r="J366" s="1" t="str">
        <f t="shared" si="81"/>
        <v>03</v>
      </c>
      <c r="K366" s="3">
        <f t="shared" si="82"/>
        <v>24</v>
      </c>
      <c r="L366" s="3">
        <f t="shared" si="83"/>
        <v>4</v>
      </c>
      <c r="M366" s="3">
        <f t="shared" si="84"/>
        <v>10</v>
      </c>
      <c r="N366" s="3" t="str">
        <f t="shared" si="85"/>
        <v>04</v>
      </c>
      <c r="O366" s="14">
        <f t="shared" si="86"/>
        <v>10</v>
      </c>
      <c r="P366" s="4">
        <v>2650</v>
      </c>
      <c r="T366" s="5" t="s">
        <v>369</v>
      </c>
      <c r="U366" s="3" t="s">
        <v>29</v>
      </c>
      <c r="V366" s="3" t="s">
        <v>4</v>
      </c>
    </row>
    <row r="367" spans="1:22" hidden="1">
      <c r="I367" s="1"/>
      <c r="J367" s="1" t="str">
        <f t="shared" si="81"/>
        <v>0</v>
      </c>
      <c r="K367" s="3">
        <f t="shared" si="82"/>
        <v>-100</v>
      </c>
      <c r="L367" s="3">
        <f t="shared" si="83"/>
        <v>1</v>
      </c>
      <c r="M367" s="3">
        <f t="shared" si="84"/>
        <v>0</v>
      </c>
      <c r="N367" s="3" t="str">
        <f t="shared" si="85"/>
        <v>01</v>
      </c>
      <c r="O367" s="14" t="str">
        <f t="shared" si="86"/>
        <v>00</v>
      </c>
    </row>
    <row r="368" spans="1:22" hidden="1">
      <c r="I368" s="1"/>
      <c r="J368" s="1" t="str">
        <f t="shared" si="81"/>
        <v>0</v>
      </c>
      <c r="K368" s="3">
        <f t="shared" si="82"/>
        <v>-100</v>
      </c>
      <c r="L368" s="3">
        <f t="shared" si="83"/>
        <v>1</v>
      </c>
      <c r="M368" s="3">
        <f t="shared" si="84"/>
        <v>0</v>
      </c>
      <c r="N368" s="3" t="str">
        <f t="shared" si="85"/>
        <v>01</v>
      </c>
      <c r="O368" s="14" t="str">
        <f t="shared" si="86"/>
        <v>00</v>
      </c>
    </row>
    <row r="369" spans="1:23">
      <c r="A369" s="3">
        <v>141</v>
      </c>
      <c r="B369" s="1">
        <f>IF(G369="-",0,IF(G368=G369,1,0))</f>
        <v>0</v>
      </c>
      <c r="C369" s="1">
        <f>+IF(G369="-",0,IF(I369=I368+1,0,(IF(I369=1,0,1))))</f>
        <v>1</v>
      </c>
      <c r="D369" s="1">
        <f>+IF(AND(P369="",Q369=""),1,0)</f>
        <v>0</v>
      </c>
      <c r="E369" s="1">
        <f>IF(U369="",1,0)</f>
        <v>0</v>
      </c>
      <c r="F369" s="1">
        <f>IF(V369="",1,0)</f>
        <v>0</v>
      </c>
      <c r="G369" s="1" t="str">
        <f>IF(H369=0,"-",_xlfn.CONCAT(K369,N369,O369,J369))</f>
        <v>24041105</v>
      </c>
      <c r="H369" s="2">
        <v>45393</v>
      </c>
      <c r="I369" s="36">
        <v>5</v>
      </c>
      <c r="J369" s="1" t="str">
        <f t="shared" si="81"/>
        <v>05</v>
      </c>
      <c r="K369" s="3">
        <f t="shared" si="82"/>
        <v>24</v>
      </c>
      <c r="L369" s="3">
        <f t="shared" si="83"/>
        <v>4</v>
      </c>
      <c r="M369" s="3">
        <f t="shared" si="84"/>
        <v>11</v>
      </c>
      <c r="N369" s="3" t="str">
        <f t="shared" si="85"/>
        <v>04</v>
      </c>
      <c r="O369" s="14">
        <f t="shared" si="86"/>
        <v>11</v>
      </c>
      <c r="P369" s="4">
        <v>200000</v>
      </c>
      <c r="T369" s="5" t="s">
        <v>39</v>
      </c>
      <c r="U369" s="3" t="s">
        <v>1</v>
      </c>
      <c r="V369" s="3" t="s">
        <v>4</v>
      </c>
    </row>
    <row r="370" spans="1:23">
      <c r="A370" s="3">
        <v>145</v>
      </c>
      <c r="B370" s="1">
        <f>IF(G370="-",0,IF(G369=G370,1,0))</f>
        <v>0</v>
      </c>
      <c r="C370" s="1">
        <f>+IF(G370="-",0,IF(I370=I369+1,0,(IF(I370=1,0,1))))</f>
        <v>0</v>
      </c>
      <c r="D370" s="1">
        <f>+IF(AND(P370="",Q370=""),1,0)</f>
        <v>0</v>
      </c>
      <c r="E370" s="1">
        <f>IF(U370="",1,0)</f>
        <v>0</v>
      </c>
      <c r="F370" s="1">
        <f>IF(V370="",1,0)</f>
        <v>0</v>
      </c>
      <c r="G370" s="1" t="str">
        <f>IF(H370=0,"-",_xlfn.CONCAT(K370,N370,O370,J370))</f>
        <v>24041201</v>
      </c>
      <c r="H370" s="2">
        <v>45394</v>
      </c>
      <c r="I370" s="36">
        <v>1</v>
      </c>
      <c r="J370" s="1" t="str">
        <f t="shared" si="81"/>
        <v>01</v>
      </c>
      <c r="K370" s="3">
        <f t="shared" si="82"/>
        <v>24</v>
      </c>
      <c r="L370" s="3">
        <f t="shared" si="83"/>
        <v>4</v>
      </c>
      <c r="M370" s="3">
        <f t="shared" si="84"/>
        <v>12</v>
      </c>
      <c r="N370" s="3" t="str">
        <f t="shared" si="85"/>
        <v>04</v>
      </c>
      <c r="O370" s="14">
        <f t="shared" si="86"/>
        <v>12</v>
      </c>
      <c r="P370" s="4">
        <v>16818.07</v>
      </c>
      <c r="T370" s="5" t="s">
        <v>40</v>
      </c>
      <c r="U370" s="3" t="s">
        <v>29</v>
      </c>
      <c r="V370" s="3" t="s">
        <v>4</v>
      </c>
    </row>
    <row r="371" spans="1:23" hidden="1">
      <c r="J371" s="1" t="str">
        <f t="shared" si="81"/>
        <v>0</v>
      </c>
      <c r="K371" s="3">
        <f t="shared" si="82"/>
        <v>-100</v>
      </c>
      <c r="L371" s="3">
        <f t="shared" si="83"/>
        <v>1</v>
      </c>
      <c r="M371" s="3">
        <f t="shared" si="84"/>
        <v>0</v>
      </c>
      <c r="N371" s="3" t="str">
        <f t="shared" si="85"/>
        <v>01</v>
      </c>
      <c r="O371" s="14" t="str">
        <f t="shared" si="86"/>
        <v>00</v>
      </c>
    </row>
    <row r="372" spans="1:23">
      <c r="A372" s="3">
        <v>146</v>
      </c>
      <c r="B372" s="1">
        <f>IF(G372="-",0,IF(G371=G372,1,0))</f>
        <v>0</v>
      </c>
      <c r="C372" s="1">
        <f>+IF(G372="-",0,IF(I372=I371+1,0,(IF(I372=1,0,1))))</f>
        <v>1</v>
      </c>
      <c r="D372" s="1">
        <f>+IF(AND(P372="",Q372=""),1,0)</f>
        <v>0</v>
      </c>
      <c r="E372" s="1">
        <f>IF(U372="",1,0)</f>
        <v>0</v>
      </c>
      <c r="F372" s="1">
        <f>IF(V372="",1,0)</f>
        <v>0</v>
      </c>
      <c r="G372" s="1" t="str">
        <f>IF(H372=0,"-",_xlfn.CONCAT(K372,N372,O372,J372))</f>
        <v>24041202</v>
      </c>
      <c r="H372" s="2">
        <v>45394</v>
      </c>
      <c r="I372" s="36">
        <v>2</v>
      </c>
      <c r="J372" s="1" t="str">
        <f t="shared" si="81"/>
        <v>02</v>
      </c>
      <c r="K372" s="3">
        <f t="shared" si="82"/>
        <v>24</v>
      </c>
      <c r="L372" s="3">
        <f t="shared" si="83"/>
        <v>4</v>
      </c>
      <c r="M372" s="3">
        <f t="shared" si="84"/>
        <v>12</v>
      </c>
      <c r="N372" s="3" t="str">
        <f t="shared" si="85"/>
        <v>04</v>
      </c>
      <c r="O372" s="14">
        <f t="shared" si="86"/>
        <v>12</v>
      </c>
      <c r="P372" s="4">
        <v>133648.82</v>
      </c>
      <c r="T372" s="5" t="s">
        <v>193</v>
      </c>
      <c r="U372" s="3" t="s">
        <v>1</v>
      </c>
      <c r="V372" s="3" t="s">
        <v>4</v>
      </c>
    </row>
    <row r="373" spans="1:23" hidden="1">
      <c r="J373" s="1" t="str">
        <f t="shared" si="81"/>
        <v>0</v>
      </c>
      <c r="K373" s="3">
        <f t="shared" si="82"/>
        <v>-100</v>
      </c>
      <c r="L373" s="3">
        <f t="shared" si="83"/>
        <v>1</v>
      </c>
      <c r="M373" s="3">
        <f t="shared" si="84"/>
        <v>0</v>
      </c>
      <c r="N373" s="3" t="str">
        <f t="shared" si="85"/>
        <v>01</v>
      </c>
      <c r="O373" s="14" t="str">
        <f t="shared" si="86"/>
        <v>00</v>
      </c>
    </row>
    <row r="374" spans="1:23">
      <c r="A374" s="3">
        <v>147</v>
      </c>
      <c r="B374" s="1">
        <f>IF(G374="-",0,IF(G373=G374,1,0))</f>
        <v>0</v>
      </c>
      <c r="C374" s="1">
        <f>+IF(G374="-",0,IF(I374=I373+1,0,(IF(I374=1,0,1))))</f>
        <v>1</v>
      </c>
      <c r="D374" s="1">
        <f>+IF(AND(P374="",Q374=""),1,0)</f>
        <v>0</v>
      </c>
      <c r="E374" s="1">
        <f>IF(U374="",1,0)</f>
        <v>0</v>
      </c>
      <c r="F374" s="1">
        <f>IF(V374="",1,0)</f>
        <v>0</v>
      </c>
      <c r="G374" s="1" t="str">
        <f>IF(H374=0,"-",_xlfn.CONCAT(K374,N374,O374,J374))</f>
        <v>24041203</v>
      </c>
      <c r="H374" s="2">
        <v>45394</v>
      </c>
      <c r="I374" s="36">
        <v>3</v>
      </c>
      <c r="J374" s="1" t="str">
        <f t="shared" si="81"/>
        <v>03</v>
      </c>
      <c r="K374" s="3">
        <f t="shared" si="82"/>
        <v>24</v>
      </c>
      <c r="L374" s="3">
        <f t="shared" si="83"/>
        <v>4</v>
      </c>
      <c r="M374" s="3">
        <f t="shared" si="84"/>
        <v>12</v>
      </c>
      <c r="N374" s="3" t="str">
        <f t="shared" si="85"/>
        <v>04</v>
      </c>
      <c r="O374" s="14">
        <f t="shared" si="86"/>
        <v>12</v>
      </c>
      <c r="P374" s="4">
        <v>41590.019999999997</v>
      </c>
      <c r="T374" s="5" t="s">
        <v>87</v>
      </c>
      <c r="U374" s="3" t="s">
        <v>29</v>
      </c>
      <c r="V374" s="3" t="s">
        <v>4</v>
      </c>
    </row>
    <row r="375" spans="1:23">
      <c r="A375" s="3">
        <v>148</v>
      </c>
      <c r="B375" s="1">
        <f>IF(G375="-",0,IF(G374=G375,1,0))</f>
        <v>0</v>
      </c>
      <c r="C375" s="1">
        <f>+IF(G375="-",0,IF(I375=I374+1,0,(IF(I375=1,0,1))))</f>
        <v>0</v>
      </c>
      <c r="D375" s="1">
        <f>+IF(AND(P375="",Q375=""),1,0)</f>
        <v>0</v>
      </c>
      <c r="E375" s="1">
        <f>IF(U375="",1,0)</f>
        <v>0</v>
      </c>
      <c r="F375" s="1">
        <f>IF(V375="",1,0)</f>
        <v>0</v>
      </c>
      <c r="G375" s="1" t="str">
        <f>IF(H375=0,"-",_xlfn.CONCAT(K375,N375,O375,J375))</f>
        <v>24041204</v>
      </c>
      <c r="H375" s="2">
        <v>45394</v>
      </c>
      <c r="I375" s="36">
        <v>4</v>
      </c>
      <c r="J375" s="1" t="str">
        <f t="shared" si="81"/>
        <v>04</v>
      </c>
      <c r="K375" s="3">
        <f t="shared" si="82"/>
        <v>24</v>
      </c>
      <c r="L375" s="3">
        <f t="shared" si="83"/>
        <v>4</v>
      </c>
      <c r="M375" s="3">
        <f t="shared" si="84"/>
        <v>12</v>
      </c>
      <c r="N375" s="3" t="str">
        <f t="shared" si="85"/>
        <v>04</v>
      </c>
      <c r="O375" s="14">
        <f t="shared" si="86"/>
        <v>12</v>
      </c>
      <c r="P375" s="4">
        <v>420000</v>
      </c>
      <c r="T375" s="5" t="s">
        <v>294</v>
      </c>
      <c r="U375" s="3" t="s">
        <v>3</v>
      </c>
      <c r="V375" s="3" t="s">
        <v>4</v>
      </c>
    </row>
    <row r="376" spans="1:23" hidden="1">
      <c r="J376" s="1" t="str">
        <f t="shared" si="81"/>
        <v>0</v>
      </c>
      <c r="K376" s="3">
        <f t="shared" si="82"/>
        <v>-100</v>
      </c>
      <c r="L376" s="3">
        <f t="shared" si="83"/>
        <v>1</v>
      </c>
      <c r="M376" s="3">
        <f t="shared" si="84"/>
        <v>0</v>
      </c>
      <c r="N376" s="3" t="str">
        <f t="shared" si="85"/>
        <v>01</v>
      </c>
      <c r="O376" s="14" t="str">
        <f t="shared" si="86"/>
        <v>00</v>
      </c>
    </row>
    <row r="377" spans="1:23">
      <c r="A377" s="3">
        <v>154</v>
      </c>
      <c r="B377" s="1">
        <f t="shared" ref="B377:B382" si="89">IF(G377="-",0,IF(G376=G377,1,0))</f>
        <v>0</v>
      </c>
      <c r="C377" s="1">
        <f t="shared" ref="C377:C382" si="90">+IF(G377="-",0,IF(I377=I376+1,0,(IF(I377=1,0,1))))</f>
        <v>1</v>
      </c>
      <c r="D377" s="1">
        <f t="shared" ref="D377:D382" si="91">+IF(AND(P377="",Q377=""),1,0)</f>
        <v>0</v>
      </c>
      <c r="E377" s="1">
        <f t="shared" ref="E377:F382" si="92">IF(U377="",1,0)</f>
        <v>0</v>
      </c>
      <c r="F377" s="1">
        <f t="shared" si="92"/>
        <v>0</v>
      </c>
      <c r="G377" s="1" t="str">
        <f t="shared" ref="G377:G382" si="93">IF(H377=0,"-",_xlfn.CONCAT(K377,N377,O377,J377))</f>
        <v>24041302</v>
      </c>
      <c r="H377" s="2">
        <v>45395</v>
      </c>
      <c r="I377" s="36">
        <v>2</v>
      </c>
      <c r="J377" s="1" t="str">
        <f t="shared" si="81"/>
        <v>02</v>
      </c>
      <c r="K377" s="3">
        <f t="shared" si="82"/>
        <v>24</v>
      </c>
      <c r="L377" s="3">
        <f t="shared" si="83"/>
        <v>4</v>
      </c>
      <c r="M377" s="3">
        <f t="shared" si="84"/>
        <v>13</v>
      </c>
      <c r="N377" s="3" t="str">
        <f t="shared" si="85"/>
        <v>04</v>
      </c>
      <c r="O377" s="14">
        <f t="shared" si="86"/>
        <v>13</v>
      </c>
      <c r="P377" s="4">
        <v>1500000</v>
      </c>
      <c r="T377" s="5" t="s">
        <v>263</v>
      </c>
      <c r="U377" s="3" t="s">
        <v>1</v>
      </c>
      <c r="V377" s="3" t="s">
        <v>4</v>
      </c>
    </row>
    <row r="378" spans="1:23">
      <c r="A378" s="3">
        <v>155</v>
      </c>
      <c r="B378" s="1">
        <f t="shared" si="89"/>
        <v>0</v>
      </c>
      <c r="C378" s="1">
        <f t="shared" si="90"/>
        <v>0</v>
      </c>
      <c r="D378" s="1">
        <f t="shared" si="91"/>
        <v>0</v>
      </c>
      <c r="E378" s="1">
        <f t="shared" si="92"/>
        <v>0</v>
      </c>
      <c r="F378" s="1">
        <f t="shared" si="92"/>
        <v>0</v>
      </c>
      <c r="G378" s="1" t="str">
        <f t="shared" si="93"/>
        <v>24041303</v>
      </c>
      <c r="H378" s="2">
        <v>45395</v>
      </c>
      <c r="I378" s="36">
        <v>3</v>
      </c>
      <c r="J378" s="1" t="str">
        <f t="shared" si="81"/>
        <v>03</v>
      </c>
      <c r="K378" s="3">
        <f t="shared" si="82"/>
        <v>24</v>
      </c>
      <c r="L378" s="3">
        <f t="shared" si="83"/>
        <v>4</v>
      </c>
      <c r="M378" s="3">
        <f t="shared" si="84"/>
        <v>13</v>
      </c>
      <c r="N378" s="3" t="str">
        <f t="shared" si="85"/>
        <v>04</v>
      </c>
      <c r="O378" s="14">
        <f t="shared" si="86"/>
        <v>13</v>
      </c>
      <c r="P378" s="4">
        <v>138000</v>
      </c>
      <c r="T378" s="5" t="s">
        <v>42</v>
      </c>
      <c r="U378" s="3" t="s">
        <v>1</v>
      </c>
      <c r="V378" s="3" t="s">
        <v>4</v>
      </c>
    </row>
    <row r="379" spans="1:23">
      <c r="A379" s="3">
        <v>156</v>
      </c>
      <c r="B379" s="1">
        <f t="shared" si="89"/>
        <v>0</v>
      </c>
      <c r="C379" s="1">
        <f t="shared" si="90"/>
        <v>0</v>
      </c>
      <c r="D379" s="1">
        <f t="shared" si="91"/>
        <v>0</v>
      </c>
      <c r="E379" s="1">
        <f t="shared" si="92"/>
        <v>0</v>
      </c>
      <c r="F379" s="1">
        <f t="shared" si="92"/>
        <v>0</v>
      </c>
      <c r="G379" s="1" t="str">
        <f t="shared" si="93"/>
        <v>24041304</v>
      </c>
      <c r="H379" s="2">
        <v>45395</v>
      </c>
      <c r="I379" s="36">
        <v>4</v>
      </c>
      <c r="J379" s="1" t="str">
        <f t="shared" ref="J379:J410" si="94">+IF(I379&lt;10,_xlfn.CONCAT("0",I379),I379)</f>
        <v>04</v>
      </c>
      <c r="K379" s="3">
        <f t="shared" ref="K379:K410" si="95">+YEAR(H379)-2000</f>
        <v>24</v>
      </c>
      <c r="L379" s="3">
        <f t="shared" ref="L379:L410" si="96">+MONTH(H379)</f>
        <v>4</v>
      </c>
      <c r="M379" s="3">
        <f t="shared" ref="M379:M410" si="97">+DAY(H379)</f>
        <v>13</v>
      </c>
      <c r="N379" s="3" t="str">
        <f t="shared" ref="N379:N410" si="98">+IF(L379&lt;10,_xlfn.CONCAT("0",L379),L379)</f>
        <v>04</v>
      </c>
      <c r="O379" s="14">
        <f t="shared" ref="O379:O410" si="99">+IF(M379&lt;10,_xlfn.CONCAT("0",M379),M379)</f>
        <v>13</v>
      </c>
      <c r="P379" s="4">
        <v>150000</v>
      </c>
      <c r="T379" s="5" t="s">
        <v>43</v>
      </c>
      <c r="U379" s="3" t="s">
        <v>1</v>
      </c>
      <c r="V379" s="3" t="s">
        <v>4</v>
      </c>
    </row>
    <row r="380" spans="1:23">
      <c r="A380" s="3">
        <v>157</v>
      </c>
      <c r="B380" s="1">
        <f t="shared" si="89"/>
        <v>0</v>
      </c>
      <c r="C380" s="1">
        <f t="shared" si="90"/>
        <v>0</v>
      </c>
      <c r="D380" s="1">
        <f t="shared" si="91"/>
        <v>0</v>
      </c>
      <c r="E380" s="1">
        <f t="shared" si="92"/>
        <v>0</v>
      </c>
      <c r="F380" s="1">
        <f t="shared" si="92"/>
        <v>0</v>
      </c>
      <c r="G380" s="1" t="str">
        <f t="shared" si="93"/>
        <v>24041305</v>
      </c>
      <c r="H380" s="2">
        <v>45395</v>
      </c>
      <c r="I380" s="36">
        <v>5</v>
      </c>
      <c r="J380" s="1" t="str">
        <f t="shared" si="94"/>
        <v>05</v>
      </c>
      <c r="K380" s="3">
        <f t="shared" si="95"/>
        <v>24</v>
      </c>
      <c r="L380" s="3">
        <f t="shared" si="96"/>
        <v>4</v>
      </c>
      <c r="M380" s="3">
        <f t="shared" si="97"/>
        <v>13</v>
      </c>
      <c r="N380" s="3" t="str">
        <f t="shared" si="98"/>
        <v>04</v>
      </c>
      <c r="O380" s="14">
        <f t="shared" si="99"/>
        <v>13</v>
      </c>
      <c r="P380" s="4">
        <v>152000</v>
      </c>
      <c r="T380" s="5" t="s">
        <v>44</v>
      </c>
      <c r="U380" s="3" t="s">
        <v>1</v>
      </c>
      <c r="V380" s="3" t="s">
        <v>4</v>
      </c>
    </row>
    <row r="381" spans="1:23">
      <c r="A381" s="3">
        <v>158</v>
      </c>
      <c r="B381" s="1">
        <f t="shared" si="89"/>
        <v>0</v>
      </c>
      <c r="C381" s="1">
        <f t="shared" si="90"/>
        <v>0</v>
      </c>
      <c r="D381" s="1">
        <f t="shared" si="91"/>
        <v>0</v>
      </c>
      <c r="E381" s="1">
        <f t="shared" si="92"/>
        <v>0</v>
      </c>
      <c r="F381" s="1">
        <f t="shared" si="92"/>
        <v>0</v>
      </c>
      <c r="G381" s="1" t="str">
        <f t="shared" si="93"/>
        <v>24041306</v>
      </c>
      <c r="H381" s="2">
        <v>45395</v>
      </c>
      <c r="I381" s="36">
        <v>6</v>
      </c>
      <c r="J381" s="1" t="str">
        <f t="shared" si="94"/>
        <v>06</v>
      </c>
      <c r="K381" s="3">
        <f t="shared" si="95"/>
        <v>24</v>
      </c>
      <c r="L381" s="3">
        <f t="shared" si="96"/>
        <v>4</v>
      </c>
      <c r="M381" s="3">
        <f t="shared" si="97"/>
        <v>13</v>
      </c>
      <c r="N381" s="3" t="str">
        <f t="shared" si="98"/>
        <v>04</v>
      </c>
      <c r="O381" s="14">
        <f t="shared" si="99"/>
        <v>13</v>
      </c>
      <c r="P381" s="4">
        <f>136800+102000</f>
        <v>238800</v>
      </c>
      <c r="T381" s="5" t="s">
        <v>46</v>
      </c>
      <c r="U381" s="3" t="s">
        <v>1</v>
      </c>
      <c r="V381" s="3" t="s">
        <v>4</v>
      </c>
    </row>
    <row r="382" spans="1:23">
      <c r="A382" s="3">
        <v>159</v>
      </c>
      <c r="B382" s="1">
        <f t="shared" si="89"/>
        <v>0</v>
      </c>
      <c r="C382" s="1">
        <f t="shared" si="90"/>
        <v>0</v>
      </c>
      <c r="D382" s="1">
        <f t="shared" si="91"/>
        <v>0</v>
      </c>
      <c r="E382" s="1">
        <f t="shared" si="92"/>
        <v>0</v>
      </c>
      <c r="F382" s="1">
        <f t="shared" si="92"/>
        <v>0</v>
      </c>
      <c r="G382" s="1" t="str">
        <f t="shared" si="93"/>
        <v>24041307</v>
      </c>
      <c r="H382" s="2">
        <v>45395</v>
      </c>
      <c r="I382" s="36">
        <v>7</v>
      </c>
      <c r="J382" s="1" t="str">
        <f t="shared" si="94"/>
        <v>07</v>
      </c>
      <c r="K382" s="3">
        <f t="shared" si="95"/>
        <v>24</v>
      </c>
      <c r="L382" s="3">
        <f t="shared" si="96"/>
        <v>4</v>
      </c>
      <c r="M382" s="3">
        <f t="shared" si="97"/>
        <v>13</v>
      </c>
      <c r="N382" s="3" t="str">
        <f t="shared" si="98"/>
        <v>04</v>
      </c>
      <c r="O382" s="14">
        <f t="shared" si="99"/>
        <v>13</v>
      </c>
      <c r="P382" s="4">
        <f>102000+95000</f>
        <v>197000</v>
      </c>
      <c r="T382" s="5" t="s">
        <v>48</v>
      </c>
      <c r="U382" s="3" t="s">
        <v>1</v>
      </c>
      <c r="V382" s="3" t="s">
        <v>4</v>
      </c>
      <c r="W382" s="3" t="s">
        <v>49</v>
      </c>
    </row>
    <row r="383" spans="1:23" hidden="1">
      <c r="J383" s="1" t="str">
        <f t="shared" si="94"/>
        <v>0</v>
      </c>
      <c r="K383" s="3">
        <f t="shared" si="95"/>
        <v>-100</v>
      </c>
      <c r="L383" s="3">
        <f t="shared" si="96"/>
        <v>1</v>
      </c>
      <c r="M383" s="3">
        <f t="shared" si="97"/>
        <v>0</v>
      </c>
      <c r="N383" s="3" t="str">
        <f t="shared" si="98"/>
        <v>01</v>
      </c>
      <c r="O383" s="14" t="str">
        <f t="shared" si="99"/>
        <v>00</v>
      </c>
      <c r="R383" s="6">
        <v>501</v>
      </c>
    </row>
    <row r="384" spans="1:23">
      <c r="A384" s="3">
        <v>160</v>
      </c>
      <c r="B384" s="1">
        <f>IF(G384="-",0,IF(G383=G384,1,0))</f>
        <v>0</v>
      </c>
      <c r="C384" s="1">
        <f>+IF(G384="-",0,IF(I384=I383+1,0,(IF(I384=1,0,1))))</f>
        <v>1</v>
      </c>
      <c r="D384" s="1">
        <f>+IF(AND(P384="",Q384=""),1,0)</f>
        <v>0</v>
      </c>
      <c r="E384" s="1">
        <f t="shared" ref="E384:F386" si="100">IF(U384="",1,0)</f>
        <v>0</v>
      </c>
      <c r="F384" s="1">
        <f t="shared" si="100"/>
        <v>0</v>
      </c>
      <c r="G384" s="1" t="str">
        <f>IF(H384=0,"-",_xlfn.CONCAT(K384,N384,O384,J384))</f>
        <v>24041308</v>
      </c>
      <c r="H384" s="2">
        <v>45395</v>
      </c>
      <c r="I384" s="36">
        <v>8</v>
      </c>
      <c r="J384" s="1" t="str">
        <f t="shared" si="94"/>
        <v>08</v>
      </c>
      <c r="K384" s="3">
        <f t="shared" si="95"/>
        <v>24</v>
      </c>
      <c r="L384" s="3">
        <f t="shared" si="96"/>
        <v>4</v>
      </c>
      <c r="M384" s="3">
        <f t="shared" si="97"/>
        <v>13</v>
      </c>
      <c r="N384" s="3" t="str">
        <f t="shared" si="98"/>
        <v>04</v>
      </c>
      <c r="O384" s="14">
        <f t="shared" si="99"/>
        <v>13</v>
      </c>
      <c r="P384" s="4">
        <v>85000</v>
      </c>
      <c r="T384" s="5" t="s">
        <v>45</v>
      </c>
      <c r="U384" s="3" t="s">
        <v>1</v>
      </c>
      <c r="V384" s="3" t="s">
        <v>4</v>
      </c>
    </row>
    <row r="385" spans="1:23">
      <c r="A385" s="3">
        <v>161</v>
      </c>
      <c r="B385" s="1">
        <f>IF(G385="-",0,IF(G384=G385,1,0))</f>
        <v>0</v>
      </c>
      <c r="C385" s="1">
        <f>+IF(G385="-",0,IF(I385=I384+1,0,(IF(I385=1,0,1))))</f>
        <v>0</v>
      </c>
      <c r="D385" s="1">
        <f>+IF(AND(P385="",Q385=""),1,0)</f>
        <v>0</v>
      </c>
      <c r="E385" s="1">
        <f t="shared" si="100"/>
        <v>0</v>
      </c>
      <c r="F385" s="1">
        <f t="shared" si="100"/>
        <v>0</v>
      </c>
      <c r="G385" s="1" t="str">
        <f>IF(H385=0,"-",_xlfn.CONCAT(K385,N385,O385,J385))</f>
        <v>24041309</v>
      </c>
      <c r="H385" s="2">
        <v>45395</v>
      </c>
      <c r="I385" s="36">
        <v>9</v>
      </c>
      <c r="J385" s="1" t="str">
        <f t="shared" si="94"/>
        <v>09</v>
      </c>
      <c r="K385" s="3">
        <f t="shared" si="95"/>
        <v>24</v>
      </c>
      <c r="L385" s="3">
        <f t="shared" si="96"/>
        <v>4</v>
      </c>
      <c r="M385" s="3">
        <f t="shared" si="97"/>
        <v>13</v>
      </c>
      <c r="N385" s="3" t="str">
        <f t="shared" si="98"/>
        <v>04</v>
      </c>
      <c r="O385" s="14">
        <f t="shared" si="99"/>
        <v>13</v>
      </c>
      <c r="P385" s="4">
        <f>230000+90000</f>
        <v>320000</v>
      </c>
      <c r="T385" s="5" t="s">
        <v>47</v>
      </c>
      <c r="U385" s="3" t="s">
        <v>1</v>
      </c>
      <c r="V385" s="3" t="s">
        <v>4</v>
      </c>
    </row>
    <row r="386" spans="1:23">
      <c r="A386" s="3">
        <v>162</v>
      </c>
      <c r="B386" s="1">
        <f>IF(G386="-",0,IF(G385=G386,1,0))</f>
        <v>0</v>
      </c>
      <c r="C386" s="1">
        <f>+IF(G386="-",0,IF(I386=I385+1,0,(IF(I386=1,0,1))))</f>
        <v>0</v>
      </c>
      <c r="D386" s="1">
        <f>+IF(AND(P386="",Q386=""),1,0)</f>
        <v>0</v>
      </c>
      <c r="E386" s="1">
        <f t="shared" si="100"/>
        <v>0</v>
      </c>
      <c r="F386" s="1">
        <f t="shared" si="100"/>
        <v>0</v>
      </c>
      <c r="G386" s="1" t="str">
        <f>IF(H386=0,"-",_xlfn.CONCAT(K386,N386,O386,J386))</f>
        <v>24041310</v>
      </c>
      <c r="H386" s="2">
        <v>45395</v>
      </c>
      <c r="I386" s="36">
        <v>10</v>
      </c>
      <c r="J386" s="1">
        <f t="shared" si="94"/>
        <v>10</v>
      </c>
      <c r="K386" s="3">
        <f t="shared" si="95"/>
        <v>24</v>
      </c>
      <c r="L386" s="3">
        <f t="shared" si="96"/>
        <v>4</v>
      </c>
      <c r="M386" s="3">
        <f t="shared" si="97"/>
        <v>13</v>
      </c>
      <c r="N386" s="3" t="str">
        <f t="shared" si="98"/>
        <v>04</v>
      </c>
      <c r="O386" s="14">
        <f t="shared" si="99"/>
        <v>13</v>
      </c>
      <c r="P386" s="4">
        <f>7*3*508</f>
        <v>10668</v>
      </c>
      <c r="T386" s="5" t="s">
        <v>51</v>
      </c>
      <c r="U386" s="3" t="s">
        <v>1</v>
      </c>
      <c r="V386" s="3" t="s">
        <v>4</v>
      </c>
    </row>
    <row r="387" spans="1:23" hidden="1">
      <c r="J387" s="1" t="str">
        <f t="shared" si="94"/>
        <v>0</v>
      </c>
      <c r="K387" s="3">
        <f t="shared" si="95"/>
        <v>-100</v>
      </c>
      <c r="L387" s="3">
        <f t="shared" si="96"/>
        <v>1</v>
      </c>
      <c r="M387" s="3">
        <f t="shared" si="97"/>
        <v>0</v>
      </c>
      <c r="N387" s="3" t="str">
        <f t="shared" si="98"/>
        <v>01</v>
      </c>
      <c r="O387" s="14" t="str">
        <f t="shared" si="99"/>
        <v>00</v>
      </c>
    </row>
    <row r="388" spans="1:23" hidden="1">
      <c r="J388" s="1" t="str">
        <f t="shared" si="94"/>
        <v>0</v>
      </c>
      <c r="K388" s="3">
        <f t="shared" si="95"/>
        <v>-100</v>
      </c>
      <c r="L388" s="3">
        <f t="shared" si="96"/>
        <v>1</v>
      </c>
      <c r="M388" s="3">
        <f t="shared" si="97"/>
        <v>0</v>
      </c>
      <c r="N388" s="3" t="str">
        <f t="shared" si="98"/>
        <v>01</v>
      </c>
      <c r="O388" s="14" t="str">
        <f t="shared" si="99"/>
        <v>00</v>
      </c>
    </row>
    <row r="389" spans="1:23" hidden="1">
      <c r="J389" s="1" t="str">
        <f t="shared" si="94"/>
        <v>0</v>
      </c>
      <c r="K389" s="3">
        <f t="shared" si="95"/>
        <v>-100</v>
      </c>
      <c r="L389" s="3">
        <f t="shared" si="96"/>
        <v>1</v>
      </c>
      <c r="M389" s="3">
        <f t="shared" si="97"/>
        <v>0</v>
      </c>
      <c r="N389" s="3" t="str">
        <f t="shared" si="98"/>
        <v>01</v>
      </c>
      <c r="O389" s="14" t="str">
        <f t="shared" si="99"/>
        <v>00</v>
      </c>
      <c r="R389" s="6">
        <v>501</v>
      </c>
    </row>
    <row r="390" spans="1:23">
      <c r="A390" s="3">
        <v>169</v>
      </c>
      <c r="B390" s="1">
        <f>IF(G390="-",0,IF(G389=G390,1,0))</f>
        <v>0</v>
      </c>
      <c r="C390" s="1">
        <f>+IF(G390="-",0,IF(I390=I389+1,0,(IF(I390=1,0,1))))</f>
        <v>1</v>
      </c>
      <c r="D390" s="1">
        <f>+IF(AND(P390="",Q390=""),1,0)</f>
        <v>0</v>
      </c>
      <c r="E390" s="1">
        <f t="shared" ref="E390:F392" si="101">IF(U390="",1,0)</f>
        <v>0</v>
      </c>
      <c r="F390" s="1">
        <f t="shared" si="101"/>
        <v>0</v>
      </c>
      <c r="G390" s="1" t="str">
        <f>IF(H390=0,"-",_xlfn.CONCAT(K390,N390,O390,J390))</f>
        <v>24041317</v>
      </c>
      <c r="H390" s="9">
        <v>45395</v>
      </c>
      <c r="I390" s="36">
        <v>17</v>
      </c>
      <c r="J390" s="1">
        <f t="shared" si="94"/>
        <v>17</v>
      </c>
      <c r="K390" s="3">
        <f t="shared" si="95"/>
        <v>24</v>
      </c>
      <c r="L390" s="3">
        <f t="shared" si="96"/>
        <v>4</v>
      </c>
      <c r="M390" s="3">
        <f t="shared" si="97"/>
        <v>13</v>
      </c>
      <c r="N390" s="3" t="str">
        <f t="shared" si="98"/>
        <v>04</v>
      </c>
      <c r="O390" s="14">
        <f t="shared" si="99"/>
        <v>13</v>
      </c>
      <c r="P390" s="11">
        <v>15340</v>
      </c>
      <c r="Q390" s="12"/>
      <c r="R390" s="13"/>
      <c r="S390" s="12"/>
      <c r="T390" s="12" t="s">
        <v>209</v>
      </c>
      <c r="U390" s="10" t="s">
        <v>29</v>
      </c>
      <c r="V390" s="10" t="s">
        <v>4</v>
      </c>
      <c r="W390" s="3" t="s">
        <v>53</v>
      </c>
    </row>
    <row r="391" spans="1:23">
      <c r="A391" s="3">
        <v>170</v>
      </c>
      <c r="B391" s="1">
        <f>IF(G391="-",0,IF(G390=G391,1,0))</f>
        <v>0</v>
      </c>
      <c r="C391" s="1">
        <f>+IF(G391="-",0,IF(I391=I390+1,0,(IF(I391=1,0,1))))</f>
        <v>0</v>
      </c>
      <c r="D391" s="1">
        <f>+IF(AND(P391="",Q391=""),1,0)</f>
        <v>0</v>
      </c>
      <c r="E391" s="1">
        <f t="shared" si="101"/>
        <v>0</v>
      </c>
      <c r="F391" s="1">
        <f t="shared" si="101"/>
        <v>0</v>
      </c>
      <c r="G391" s="1" t="str">
        <f>IF(H391=0,"-",_xlfn.CONCAT(K391,N391,O391,J391))</f>
        <v>24041318</v>
      </c>
      <c r="H391" s="9">
        <v>45395</v>
      </c>
      <c r="I391" s="36">
        <v>18</v>
      </c>
      <c r="J391" s="1">
        <f t="shared" si="94"/>
        <v>18</v>
      </c>
      <c r="K391" s="3">
        <f t="shared" si="95"/>
        <v>24</v>
      </c>
      <c r="L391" s="3">
        <f t="shared" si="96"/>
        <v>4</v>
      </c>
      <c r="M391" s="3">
        <f t="shared" si="97"/>
        <v>13</v>
      </c>
      <c r="N391" s="3" t="str">
        <f t="shared" si="98"/>
        <v>04</v>
      </c>
      <c r="O391" s="14">
        <f t="shared" si="99"/>
        <v>13</v>
      </c>
      <c r="P391" s="11">
        <v>6320.03</v>
      </c>
      <c r="Q391" s="12"/>
      <c r="R391" s="13"/>
      <c r="S391" s="12"/>
      <c r="T391" s="12" t="s">
        <v>208</v>
      </c>
      <c r="U391" s="10" t="s">
        <v>29</v>
      </c>
      <c r="V391" s="10" t="s">
        <v>4</v>
      </c>
      <c r="W391" s="3" t="s">
        <v>53</v>
      </c>
    </row>
    <row r="392" spans="1:23">
      <c r="A392" s="3">
        <v>188</v>
      </c>
      <c r="B392" s="1">
        <f>IF(G392="-",0,IF(G391=G392,1,0))</f>
        <v>0</v>
      </c>
      <c r="C392" s="1">
        <f>+IF(G392="-",0,IF(I392=I391+1,0,(IF(I392=1,0,1))))</f>
        <v>1</v>
      </c>
      <c r="D392" s="1">
        <f>+IF(AND(P392="",Q392=""),1,0)</f>
        <v>0</v>
      </c>
      <c r="E392" s="1">
        <f t="shared" si="101"/>
        <v>0</v>
      </c>
      <c r="F392" s="1">
        <f t="shared" si="101"/>
        <v>0</v>
      </c>
      <c r="G392" s="1" t="str">
        <f>IF(H392=0,"-",_xlfn.CONCAT(K392,N392,O392,J392))</f>
        <v>24041513</v>
      </c>
      <c r="H392" s="2">
        <v>45397</v>
      </c>
      <c r="I392" s="36">
        <v>13</v>
      </c>
      <c r="J392" s="1">
        <f t="shared" si="94"/>
        <v>13</v>
      </c>
      <c r="K392" s="3">
        <f t="shared" si="95"/>
        <v>24</v>
      </c>
      <c r="L392" s="3">
        <f t="shared" si="96"/>
        <v>4</v>
      </c>
      <c r="M392" s="3">
        <f t="shared" si="97"/>
        <v>15</v>
      </c>
      <c r="N392" s="3" t="str">
        <f t="shared" si="98"/>
        <v>04</v>
      </c>
      <c r="O392" s="14">
        <f t="shared" si="99"/>
        <v>15</v>
      </c>
      <c r="P392" s="4">
        <v>124300</v>
      </c>
      <c r="T392" s="5" t="s">
        <v>290</v>
      </c>
      <c r="U392" s="3" t="s">
        <v>2</v>
      </c>
      <c r="V392" s="3" t="s">
        <v>4</v>
      </c>
    </row>
    <row r="393" spans="1:23" hidden="1">
      <c r="J393" s="1" t="str">
        <f t="shared" si="94"/>
        <v>0</v>
      </c>
      <c r="K393" s="3">
        <f t="shared" si="95"/>
        <v>-100</v>
      </c>
      <c r="L393" s="3">
        <f t="shared" si="96"/>
        <v>1</v>
      </c>
      <c r="M393" s="3">
        <f t="shared" si="97"/>
        <v>0</v>
      </c>
      <c r="N393" s="3" t="str">
        <f t="shared" si="98"/>
        <v>01</v>
      </c>
      <c r="O393" s="14" t="str">
        <f t="shared" si="99"/>
        <v>00</v>
      </c>
      <c r="P393" s="11"/>
      <c r="R393" s="6">
        <v>501</v>
      </c>
    </row>
    <row r="394" spans="1:23" hidden="1">
      <c r="J394" s="1" t="str">
        <f t="shared" si="94"/>
        <v>0</v>
      </c>
      <c r="K394" s="3">
        <f t="shared" si="95"/>
        <v>-100</v>
      </c>
      <c r="L394" s="3">
        <f t="shared" si="96"/>
        <v>1</v>
      </c>
      <c r="M394" s="3">
        <f t="shared" si="97"/>
        <v>0</v>
      </c>
      <c r="N394" s="3" t="str">
        <f t="shared" si="98"/>
        <v>01</v>
      </c>
      <c r="O394" s="14" t="str">
        <f t="shared" si="99"/>
        <v>00</v>
      </c>
      <c r="P394" s="11"/>
      <c r="R394" s="6">
        <v>501</v>
      </c>
    </row>
    <row r="395" spans="1:23" hidden="1">
      <c r="J395" s="1" t="str">
        <f t="shared" si="94"/>
        <v>0</v>
      </c>
      <c r="K395" s="3">
        <f t="shared" si="95"/>
        <v>-100</v>
      </c>
      <c r="L395" s="3">
        <f t="shared" si="96"/>
        <v>1</v>
      </c>
      <c r="M395" s="3">
        <f t="shared" si="97"/>
        <v>0</v>
      </c>
      <c r="N395" s="3" t="str">
        <f t="shared" si="98"/>
        <v>01</v>
      </c>
      <c r="O395" s="14" t="str">
        <f t="shared" si="99"/>
        <v>00</v>
      </c>
      <c r="P395" s="11"/>
      <c r="R395" s="6">
        <v>501</v>
      </c>
    </row>
    <row r="396" spans="1:23">
      <c r="A396" s="3">
        <v>189</v>
      </c>
      <c r="B396" s="1">
        <f>IF(G396="-",0,IF(G395=G396,1,0))</f>
        <v>0</v>
      </c>
      <c r="C396" s="1">
        <f>+IF(G396="-",0,IF(I396=I395+1,0,(IF(I396=1,0,1))))</f>
        <v>1</v>
      </c>
      <c r="D396" s="1">
        <f>+IF(AND(P396="",Q396=""),1,0)</f>
        <v>0</v>
      </c>
      <c r="E396" s="1">
        <f>IF(U396="",1,0)</f>
        <v>0</v>
      </c>
      <c r="F396" s="1">
        <f>IF(V396="",1,0)</f>
        <v>0</v>
      </c>
      <c r="G396" s="1" t="str">
        <f>IF(H396=0,"-",_xlfn.CONCAT(K396,N396,O396,J396))</f>
        <v>24041514</v>
      </c>
      <c r="H396" s="2">
        <v>45397</v>
      </c>
      <c r="I396" s="36">
        <v>14</v>
      </c>
      <c r="J396" s="1">
        <f t="shared" si="94"/>
        <v>14</v>
      </c>
      <c r="K396" s="3">
        <f t="shared" si="95"/>
        <v>24</v>
      </c>
      <c r="L396" s="3">
        <f t="shared" si="96"/>
        <v>4</v>
      </c>
      <c r="M396" s="3">
        <f t="shared" si="97"/>
        <v>15</v>
      </c>
      <c r="N396" s="3" t="str">
        <f t="shared" si="98"/>
        <v>04</v>
      </c>
      <c r="O396" s="14">
        <f t="shared" si="99"/>
        <v>15</v>
      </c>
      <c r="P396" s="4">
        <v>39769.910000000003</v>
      </c>
      <c r="T396" s="5" t="s">
        <v>87</v>
      </c>
      <c r="U396" s="3" t="s">
        <v>29</v>
      </c>
      <c r="V396" s="3" t="s">
        <v>4</v>
      </c>
    </row>
    <row r="397" spans="1:23" hidden="1">
      <c r="J397" s="1" t="str">
        <f t="shared" si="94"/>
        <v>0</v>
      </c>
      <c r="K397" s="3">
        <f t="shared" si="95"/>
        <v>-100</v>
      </c>
      <c r="L397" s="3">
        <f t="shared" si="96"/>
        <v>1</v>
      </c>
      <c r="M397" s="3">
        <f t="shared" si="97"/>
        <v>0</v>
      </c>
      <c r="N397" s="3" t="str">
        <f t="shared" si="98"/>
        <v>01</v>
      </c>
      <c r="O397" s="14" t="str">
        <f t="shared" si="99"/>
        <v>00</v>
      </c>
      <c r="P397" s="11"/>
      <c r="R397" s="6">
        <v>501</v>
      </c>
    </row>
    <row r="398" spans="1:23" hidden="1">
      <c r="J398" s="1" t="str">
        <f t="shared" si="94"/>
        <v>0</v>
      </c>
      <c r="K398" s="3">
        <f t="shared" si="95"/>
        <v>-100</v>
      </c>
      <c r="L398" s="3">
        <f t="shared" si="96"/>
        <v>1</v>
      </c>
      <c r="M398" s="3">
        <f t="shared" si="97"/>
        <v>0</v>
      </c>
      <c r="N398" s="3" t="str">
        <f t="shared" si="98"/>
        <v>01</v>
      </c>
      <c r="O398" s="14" t="str">
        <f t="shared" si="99"/>
        <v>00</v>
      </c>
    </row>
    <row r="399" spans="1:23" s="42" customFormat="1">
      <c r="A399" s="3">
        <v>194</v>
      </c>
      <c r="B399" s="1">
        <f>IF(G399="-",0,IF(G398=G399,1,0))</f>
        <v>0</v>
      </c>
      <c r="C399" s="1">
        <f>+IF(G399="-",0,IF(I399=I398+1,0,(IF(I399=1,0,1))))</f>
        <v>0</v>
      </c>
      <c r="D399" s="1">
        <f>+IF(AND(P399="",Q399=""),1,0)</f>
        <v>0</v>
      </c>
      <c r="E399" s="1">
        <f>IF(U399="",1,0)</f>
        <v>0</v>
      </c>
      <c r="F399" s="1">
        <f>IF(V399="",1,0)</f>
        <v>0</v>
      </c>
      <c r="G399" s="1" t="str">
        <f>IF(H399=0,"-",_xlfn.CONCAT(K399,N399,O399,J399))</f>
        <v>24041601</v>
      </c>
      <c r="H399" s="2">
        <v>45398</v>
      </c>
      <c r="I399" s="1">
        <v>1</v>
      </c>
      <c r="J399" s="1" t="str">
        <f t="shared" si="94"/>
        <v>01</v>
      </c>
      <c r="K399" s="3">
        <f t="shared" si="95"/>
        <v>24</v>
      </c>
      <c r="L399" s="3">
        <f t="shared" si="96"/>
        <v>4</v>
      </c>
      <c r="M399" s="3">
        <f t="shared" si="97"/>
        <v>16</v>
      </c>
      <c r="N399" s="3" t="str">
        <f t="shared" si="98"/>
        <v>04</v>
      </c>
      <c r="O399" s="14">
        <f t="shared" si="99"/>
        <v>16</v>
      </c>
      <c r="P399" s="4">
        <v>5810.02</v>
      </c>
      <c r="Q399" s="5"/>
      <c r="R399" s="6"/>
      <c r="S399" s="5"/>
      <c r="T399" s="5" t="s">
        <v>87</v>
      </c>
      <c r="U399" s="3" t="s">
        <v>29</v>
      </c>
      <c r="V399" s="3" t="s">
        <v>4</v>
      </c>
      <c r="W399" s="3"/>
    </row>
    <row r="400" spans="1:23" hidden="1">
      <c r="J400" s="1" t="str">
        <f t="shared" si="94"/>
        <v>0</v>
      </c>
      <c r="K400" s="3">
        <f t="shared" si="95"/>
        <v>-100</v>
      </c>
      <c r="L400" s="3">
        <f t="shared" si="96"/>
        <v>1</v>
      </c>
      <c r="M400" s="3">
        <f t="shared" si="97"/>
        <v>0</v>
      </c>
      <c r="N400" s="3" t="str">
        <f t="shared" si="98"/>
        <v>01</v>
      </c>
      <c r="O400" s="14" t="str">
        <f t="shared" si="99"/>
        <v>00</v>
      </c>
      <c r="P400" s="11"/>
      <c r="R400" s="6">
        <v>501</v>
      </c>
    </row>
    <row r="401" spans="1:23" hidden="1">
      <c r="J401" s="1" t="str">
        <f t="shared" si="94"/>
        <v>0</v>
      </c>
      <c r="K401" s="3">
        <f t="shared" si="95"/>
        <v>-100</v>
      </c>
      <c r="L401" s="3">
        <f t="shared" si="96"/>
        <v>1</v>
      </c>
      <c r="M401" s="3">
        <f t="shared" si="97"/>
        <v>0</v>
      </c>
      <c r="N401" s="3" t="str">
        <f t="shared" si="98"/>
        <v>01</v>
      </c>
      <c r="O401" s="14" t="str">
        <f t="shared" si="99"/>
        <v>00</v>
      </c>
      <c r="R401" s="6">
        <v>501</v>
      </c>
    </row>
    <row r="402" spans="1:23">
      <c r="A402" s="3">
        <v>195</v>
      </c>
      <c r="B402" s="1">
        <f>IF(G402="-",0,IF(G401=G402,1,0))</f>
        <v>0</v>
      </c>
      <c r="C402" s="1">
        <f>+IF(G402="-",0,IF(I402=I401+1,0,(IF(I402=1,0,1))))</f>
        <v>1</v>
      </c>
      <c r="D402" s="1">
        <f>+IF(AND(P402="",Q402=""),1,0)</f>
        <v>0</v>
      </c>
      <c r="E402" s="1">
        <f>IF(U402="",1,0)</f>
        <v>0</v>
      </c>
      <c r="F402" s="1">
        <f>IF(V402="",1,0)</f>
        <v>0</v>
      </c>
      <c r="G402" s="1" t="str">
        <f>IF(H402=0,"-",_xlfn.CONCAT(K402,N402,O402,J402))</f>
        <v>24041602</v>
      </c>
      <c r="H402" s="2">
        <v>45398</v>
      </c>
      <c r="I402" s="1">
        <v>2</v>
      </c>
      <c r="J402" s="1" t="str">
        <f t="shared" si="94"/>
        <v>02</v>
      </c>
      <c r="K402" s="3">
        <f t="shared" si="95"/>
        <v>24</v>
      </c>
      <c r="L402" s="3">
        <f t="shared" si="96"/>
        <v>4</v>
      </c>
      <c r="M402" s="3">
        <f t="shared" si="97"/>
        <v>16</v>
      </c>
      <c r="N402" s="3" t="str">
        <f t="shared" si="98"/>
        <v>04</v>
      </c>
      <c r="O402" s="14">
        <f t="shared" si="99"/>
        <v>16</v>
      </c>
      <c r="P402" s="4">
        <v>36549.85</v>
      </c>
      <c r="T402" s="5" t="s">
        <v>56</v>
      </c>
      <c r="U402" s="3" t="s">
        <v>29</v>
      </c>
      <c r="V402" s="3" t="s">
        <v>4</v>
      </c>
    </row>
    <row r="403" spans="1:23" hidden="1">
      <c r="J403" s="1" t="str">
        <f t="shared" si="94"/>
        <v>0</v>
      </c>
      <c r="K403" s="3">
        <f t="shared" si="95"/>
        <v>-100</v>
      </c>
      <c r="L403" s="3">
        <f t="shared" si="96"/>
        <v>1</v>
      </c>
      <c r="M403" s="3">
        <f t="shared" si="97"/>
        <v>0</v>
      </c>
      <c r="N403" s="3" t="str">
        <f t="shared" si="98"/>
        <v>01</v>
      </c>
      <c r="O403" s="14" t="str">
        <f t="shared" si="99"/>
        <v>00</v>
      </c>
      <c r="R403" s="6">
        <v>501</v>
      </c>
    </row>
    <row r="404" spans="1:23" hidden="1">
      <c r="I404" s="1"/>
      <c r="J404" s="1" t="str">
        <f t="shared" si="94"/>
        <v>0</v>
      </c>
      <c r="K404" s="3">
        <f t="shared" si="95"/>
        <v>-100</v>
      </c>
      <c r="L404" s="3">
        <f t="shared" si="96"/>
        <v>1</v>
      </c>
      <c r="M404" s="3">
        <f t="shared" si="97"/>
        <v>0</v>
      </c>
      <c r="N404" s="3" t="str">
        <f t="shared" si="98"/>
        <v>01</v>
      </c>
      <c r="O404" s="14" t="str">
        <f t="shared" si="99"/>
        <v>00</v>
      </c>
      <c r="R404" s="6">
        <v>501</v>
      </c>
    </row>
    <row r="405" spans="1:23">
      <c r="A405" s="3">
        <v>201</v>
      </c>
      <c r="B405" s="1">
        <f>IF(G405="-",0,IF(G403=G405,1,0))</f>
        <v>0</v>
      </c>
      <c r="C405" s="1">
        <f>+IF(G405="-",0,IF(I405=I403+1,0,(IF(I405=1,0,1))))</f>
        <v>1</v>
      </c>
      <c r="D405" s="1">
        <f>+IF(AND(P405="",Q405=""),1,0)</f>
        <v>0</v>
      </c>
      <c r="E405" s="1">
        <f>IF(U405="",1,0)</f>
        <v>0</v>
      </c>
      <c r="F405" s="1">
        <f>IF(V405="",1,0)</f>
        <v>0</v>
      </c>
      <c r="G405" s="1" t="str">
        <f>IF(H405=0,"-",_xlfn.CONCAT(K405,N405,O405,J405))</f>
        <v>24041607</v>
      </c>
      <c r="H405" s="2">
        <v>45398</v>
      </c>
      <c r="I405" s="1">
        <v>7</v>
      </c>
      <c r="J405" s="1" t="str">
        <f t="shared" si="94"/>
        <v>07</v>
      </c>
      <c r="K405" s="3">
        <f t="shared" si="95"/>
        <v>24</v>
      </c>
      <c r="L405" s="3">
        <f t="shared" si="96"/>
        <v>4</v>
      </c>
      <c r="M405" s="3">
        <f t="shared" si="97"/>
        <v>16</v>
      </c>
      <c r="N405" s="3" t="str">
        <f t="shared" si="98"/>
        <v>04</v>
      </c>
      <c r="O405" s="14">
        <f t="shared" si="99"/>
        <v>16</v>
      </c>
      <c r="P405" s="4">
        <v>41063.370000000003</v>
      </c>
      <c r="T405" s="5" t="s">
        <v>394</v>
      </c>
      <c r="U405" s="3" t="s">
        <v>29</v>
      </c>
      <c r="V405" s="3" t="s">
        <v>4</v>
      </c>
      <c r="W405" s="3" t="s">
        <v>62</v>
      </c>
    </row>
    <row r="406" spans="1:23" hidden="1">
      <c r="J406" s="1" t="str">
        <f t="shared" si="94"/>
        <v>0</v>
      </c>
      <c r="K406" s="3">
        <f t="shared" si="95"/>
        <v>-100</v>
      </c>
      <c r="L406" s="3">
        <f t="shared" si="96"/>
        <v>1</v>
      </c>
      <c r="M406" s="3">
        <f t="shared" si="97"/>
        <v>0</v>
      </c>
      <c r="N406" s="3" t="str">
        <f t="shared" si="98"/>
        <v>01</v>
      </c>
      <c r="O406" s="14" t="str">
        <f t="shared" si="99"/>
        <v>00</v>
      </c>
    </row>
    <row r="407" spans="1:23" hidden="1">
      <c r="J407" s="1" t="str">
        <f t="shared" si="94"/>
        <v>0</v>
      </c>
      <c r="K407" s="3">
        <f t="shared" si="95"/>
        <v>-100</v>
      </c>
      <c r="L407" s="3">
        <f t="shared" si="96"/>
        <v>1</v>
      </c>
      <c r="M407" s="3">
        <f t="shared" si="97"/>
        <v>0</v>
      </c>
      <c r="N407" s="3" t="str">
        <f t="shared" si="98"/>
        <v>01</v>
      </c>
      <c r="O407" s="14" t="str">
        <f t="shared" si="99"/>
        <v>00</v>
      </c>
    </row>
    <row r="408" spans="1:23" hidden="1">
      <c r="J408" s="1" t="str">
        <f t="shared" si="94"/>
        <v>0</v>
      </c>
      <c r="K408" s="3">
        <f t="shared" si="95"/>
        <v>-100</v>
      </c>
      <c r="L408" s="3">
        <f t="shared" si="96"/>
        <v>1</v>
      </c>
      <c r="M408" s="3">
        <f t="shared" si="97"/>
        <v>0</v>
      </c>
      <c r="N408" s="3" t="str">
        <f t="shared" si="98"/>
        <v>01</v>
      </c>
      <c r="O408" s="14" t="str">
        <f t="shared" si="99"/>
        <v>00</v>
      </c>
    </row>
    <row r="409" spans="1:23">
      <c r="A409" s="3">
        <v>216</v>
      </c>
      <c r="B409" s="1">
        <f>IF(G409="-",0,IF(G408=G409,1,0))</f>
        <v>0</v>
      </c>
      <c r="C409" s="1">
        <f>+IF(G409="-",0,IF(I409=I408+1,0,(IF(I409=1,0,1))))</f>
        <v>1</v>
      </c>
      <c r="D409" s="1">
        <f>+IF(AND(P409="",Q409=""),1,0)</f>
        <v>0</v>
      </c>
      <c r="E409" s="1">
        <f>IF(U409="",1,0)</f>
        <v>0</v>
      </c>
      <c r="F409" s="1">
        <f>IF(V409="",1,0)</f>
        <v>0</v>
      </c>
      <c r="G409" s="1" t="str">
        <f>IF(H409=0,"-",_xlfn.CONCAT(K409,N409,O409,J409))</f>
        <v>24041806</v>
      </c>
      <c r="H409" s="2">
        <v>45400</v>
      </c>
      <c r="I409" s="36">
        <v>6</v>
      </c>
      <c r="J409" s="1" t="str">
        <f t="shared" si="94"/>
        <v>06</v>
      </c>
      <c r="K409" s="3">
        <f t="shared" si="95"/>
        <v>24</v>
      </c>
      <c r="L409" s="3">
        <f t="shared" si="96"/>
        <v>4</v>
      </c>
      <c r="M409" s="3">
        <f t="shared" si="97"/>
        <v>18</v>
      </c>
      <c r="N409" s="3" t="str">
        <f t="shared" si="98"/>
        <v>04</v>
      </c>
      <c r="O409" s="14">
        <f t="shared" si="99"/>
        <v>18</v>
      </c>
      <c r="P409" s="4">
        <v>93489.7</v>
      </c>
      <c r="T409" s="5" t="s">
        <v>56</v>
      </c>
      <c r="U409" s="3" t="s">
        <v>1</v>
      </c>
      <c r="V409" s="3" t="s">
        <v>4</v>
      </c>
    </row>
    <row r="410" spans="1:23" hidden="1">
      <c r="J410" s="1" t="str">
        <f t="shared" si="94"/>
        <v>0</v>
      </c>
      <c r="K410" s="3">
        <f t="shared" si="95"/>
        <v>-100</v>
      </c>
      <c r="L410" s="3">
        <f t="shared" si="96"/>
        <v>1</v>
      </c>
      <c r="M410" s="3">
        <f t="shared" si="97"/>
        <v>0</v>
      </c>
      <c r="N410" s="3" t="str">
        <f t="shared" si="98"/>
        <v>01</v>
      </c>
      <c r="O410" s="14" t="str">
        <f t="shared" si="99"/>
        <v>00</v>
      </c>
    </row>
    <row r="411" spans="1:23" hidden="1">
      <c r="J411" s="1" t="str">
        <f t="shared" ref="J411:J439" si="102">+IF(I411&lt;10,_xlfn.CONCAT("0",I411),I411)</f>
        <v>0</v>
      </c>
      <c r="K411" s="3">
        <f t="shared" ref="K411:K439" si="103">+YEAR(H411)-2000</f>
        <v>-100</v>
      </c>
      <c r="L411" s="3">
        <f t="shared" ref="L411:L439" si="104">+MONTH(H411)</f>
        <v>1</v>
      </c>
      <c r="M411" s="3">
        <f t="shared" ref="M411:M439" si="105">+DAY(H411)</f>
        <v>0</v>
      </c>
      <c r="N411" s="3" t="str">
        <f t="shared" ref="N411:N439" si="106">+IF(L411&lt;10,_xlfn.CONCAT("0",L411),L411)</f>
        <v>01</v>
      </c>
      <c r="O411" s="14" t="str">
        <f t="shared" ref="O411:O439" si="107">+IF(M411&lt;10,_xlfn.CONCAT("0",M411),M411)</f>
        <v>00</v>
      </c>
    </row>
    <row r="412" spans="1:23" hidden="1">
      <c r="J412" s="1" t="str">
        <f t="shared" si="102"/>
        <v>0</v>
      </c>
      <c r="K412" s="3">
        <f t="shared" si="103"/>
        <v>-100</v>
      </c>
      <c r="L412" s="3">
        <f t="shared" si="104"/>
        <v>1</v>
      </c>
      <c r="M412" s="3">
        <f t="shared" si="105"/>
        <v>0</v>
      </c>
      <c r="N412" s="3" t="str">
        <f t="shared" si="106"/>
        <v>01</v>
      </c>
      <c r="O412" s="14" t="str">
        <f t="shared" si="107"/>
        <v>00</v>
      </c>
    </row>
    <row r="413" spans="1:23" hidden="1">
      <c r="J413" s="1" t="str">
        <f t="shared" si="102"/>
        <v>0</v>
      </c>
      <c r="K413" s="3">
        <f t="shared" si="103"/>
        <v>-100</v>
      </c>
      <c r="L413" s="3">
        <f t="shared" si="104"/>
        <v>1</v>
      </c>
      <c r="M413" s="3">
        <f t="shared" si="105"/>
        <v>0</v>
      </c>
      <c r="N413" s="3" t="str">
        <f t="shared" si="106"/>
        <v>01</v>
      </c>
      <c r="O413" s="14" t="str">
        <f t="shared" si="107"/>
        <v>00</v>
      </c>
    </row>
    <row r="414" spans="1:23">
      <c r="A414" s="3">
        <v>218</v>
      </c>
      <c r="B414" s="1">
        <f>IF(G414="-",0,IF(G413=G414,1,0))</f>
        <v>0</v>
      </c>
      <c r="C414" s="1">
        <f>+IF(G414="-",0,IF(I414=I413+1,0,(IF(I414=1,0,1))))</f>
        <v>0</v>
      </c>
      <c r="D414" s="1">
        <f>+IF(AND(P414="",Q414=""),1,0)</f>
        <v>0</v>
      </c>
      <c r="E414" s="1">
        <f>IF(U414="",1,0)</f>
        <v>0</v>
      </c>
      <c r="F414" s="1">
        <f>IF(V414="",1,0)</f>
        <v>0</v>
      </c>
      <c r="G414" s="1" t="str">
        <f>IF(H414=0,"-",_xlfn.CONCAT(K414,N414,O414,J414))</f>
        <v>24041901</v>
      </c>
      <c r="H414" s="2">
        <v>45401</v>
      </c>
      <c r="I414" s="36">
        <v>1</v>
      </c>
      <c r="J414" s="1" t="str">
        <f t="shared" si="102"/>
        <v>01</v>
      </c>
      <c r="K414" s="3">
        <f t="shared" si="103"/>
        <v>24</v>
      </c>
      <c r="L414" s="3">
        <f t="shared" si="104"/>
        <v>4</v>
      </c>
      <c r="M414" s="3">
        <f t="shared" si="105"/>
        <v>19</v>
      </c>
      <c r="N414" s="3" t="str">
        <f t="shared" si="106"/>
        <v>04</v>
      </c>
      <c r="O414" s="14">
        <f t="shared" si="107"/>
        <v>19</v>
      </c>
      <c r="P414" s="4">
        <v>100000</v>
      </c>
      <c r="T414" s="5" t="s">
        <v>39</v>
      </c>
      <c r="U414" s="3" t="s">
        <v>1</v>
      </c>
      <c r="V414" s="3" t="s">
        <v>4</v>
      </c>
    </row>
    <row r="415" spans="1:23">
      <c r="A415" s="3">
        <v>219</v>
      </c>
      <c r="B415" s="1">
        <f>IF(G415="-",0,IF(G414=G415,1,0))</f>
        <v>0</v>
      </c>
      <c r="C415" s="1">
        <f>+IF(G415="-",0,IF(I415=I414+1,0,(IF(I415=1,0,1))))</f>
        <v>0</v>
      </c>
      <c r="D415" s="1">
        <f>+IF(AND(P415="",Q415=""),1,0)</f>
        <v>0</v>
      </c>
      <c r="E415" s="1">
        <f>IF(U415="",1,0)</f>
        <v>0</v>
      </c>
      <c r="F415" s="1">
        <f>IF(V415="",1,0)</f>
        <v>0</v>
      </c>
      <c r="G415" s="1" t="str">
        <f>IF(H415=0,"-",_xlfn.CONCAT(K415,N415,O415,J415))</f>
        <v>24041902</v>
      </c>
      <c r="H415" s="2">
        <v>45401</v>
      </c>
      <c r="I415" s="36">
        <v>2</v>
      </c>
      <c r="J415" s="1" t="str">
        <f t="shared" si="102"/>
        <v>02</v>
      </c>
      <c r="K415" s="3">
        <f t="shared" si="103"/>
        <v>24</v>
      </c>
      <c r="L415" s="3">
        <f t="shared" si="104"/>
        <v>4</v>
      </c>
      <c r="M415" s="3">
        <f t="shared" si="105"/>
        <v>19</v>
      </c>
      <c r="N415" s="3" t="str">
        <f t="shared" si="106"/>
        <v>04</v>
      </c>
      <c r="O415" s="14">
        <f t="shared" si="107"/>
        <v>19</v>
      </c>
      <c r="P415" s="4">
        <v>111899.97</v>
      </c>
      <c r="T415" s="3" t="s">
        <v>60</v>
      </c>
      <c r="U415" s="3" t="s">
        <v>1</v>
      </c>
      <c r="V415" s="3" t="s">
        <v>4</v>
      </c>
    </row>
    <row r="416" spans="1:23" hidden="1">
      <c r="J416" s="1" t="str">
        <f t="shared" si="102"/>
        <v>0</v>
      </c>
      <c r="K416" s="3">
        <f t="shared" si="103"/>
        <v>-100</v>
      </c>
      <c r="L416" s="3">
        <f t="shared" si="104"/>
        <v>1</v>
      </c>
      <c r="M416" s="3">
        <f t="shared" si="105"/>
        <v>0</v>
      </c>
      <c r="N416" s="3" t="str">
        <f t="shared" si="106"/>
        <v>01</v>
      </c>
      <c r="O416" s="14" t="str">
        <f t="shared" si="107"/>
        <v>00</v>
      </c>
    </row>
    <row r="417" spans="1:23" hidden="1">
      <c r="J417" s="1" t="str">
        <f t="shared" si="102"/>
        <v>0</v>
      </c>
      <c r="K417" s="3">
        <f t="shared" si="103"/>
        <v>-100</v>
      </c>
      <c r="L417" s="3">
        <f t="shared" si="104"/>
        <v>1</v>
      </c>
      <c r="M417" s="3">
        <f t="shared" si="105"/>
        <v>0</v>
      </c>
      <c r="N417" s="3" t="str">
        <f t="shared" si="106"/>
        <v>01</v>
      </c>
      <c r="O417" s="14" t="str">
        <f t="shared" si="107"/>
        <v>00</v>
      </c>
    </row>
    <row r="418" spans="1:23" hidden="1">
      <c r="J418" s="1" t="str">
        <f t="shared" si="102"/>
        <v>0</v>
      </c>
      <c r="K418" s="3">
        <f t="shared" si="103"/>
        <v>-100</v>
      </c>
      <c r="L418" s="3">
        <f t="shared" si="104"/>
        <v>1</v>
      </c>
      <c r="M418" s="3">
        <f t="shared" si="105"/>
        <v>0</v>
      </c>
      <c r="N418" s="3" t="str">
        <f t="shared" si="106"/>
        <v>01</v>
      </c>
      <c r="O418" s="14" t="str">
        <f t="shared" si="107"/>
        <v>00</v>
      </c>
    </row>
    <row r="419" spans="1:23" hidden="1">
      <c r="J419" s="1" t="str">
        <f t="shared" si="102"/>
        <v>0</v>
      </c>
      <c r="K419" s="3">
        <f t="shared" si="103"/>
        <v>-100</v>
      </c>
      <c r="L419" s="3">
        <f t="shared" si="104"/>
        <v>1</v>
      </c>
      <c r="M419" s="3">
        <f t="shared" si="105"/>
        <v>0</v>
      </c>
      <c r="N419" s="3" t="str">
        <f t="shared" si="106"/>
        <v>01</v>
      </c>
      <c r="O419" s="14" t="str">
        <f t="shared" si="107"/>
        <v>00</v>
      </c>
    </row>
    <row r="420" spans="1:23">
      <c r="A420" s="3">
        <v>222</v>
      </c>
      <c r="B420" s="1">
        <f>IF(G420="-",0,IF(G418=G420,1,0))</f>
        <v>0</v>
      </c>
      <c r="C420" s="1">
        <f>+IF(G420="-",0,IF(I420=I418+1,0,(IF(I420=1,0,1))))</f>
        <v>1</v>
      </c>
      <c r="D420" s="1">
        <f>+IF(AND(P420="",Q420=""),1,0)</f>
        <v>0</v>
      </c>
      <c r="E420" s="1">
        <f>IF(U420="",1,0)</f>
        <v>0</v>
      </c>
      <c r="F420" s="1">
        <f>IF(V420="",1,0)</f>
        <v>0</v>
      </c>
      <c r="G420" s="1" t="str">
        <f>IF(H420=0,"-",_xlfn.CONCAT(K420,N420,O420,J420))</f>
        <v>24041904</v>
      </c>
      <c r="H420" s="2">
        <v>45401</v>
      </c>
      <c r="I420" s="36">
        <v>4</v>
      </c>
      <c r="J420" s="1" t="str">
        <f t="shared" si="102"/>
        <v>04</v>
      </c>
      <c r="K420" s="3">
        <f t="shared" si="103"/>
        <v>24</v>
      </c>
      <c r="L420" s="3">
        <f t="shared" si="104"/>
        <v>4</v>
      </c>
      <c r="M420" s="3">
        <f t="shared" si="105"/>
        <v>19</v>
      </c>
      <c r="N420" s="3" t="str">
        <f t="shared" si="106"/>
        <v>04</v>
      </c>
      <c r="O420" s="14">
        <f t="shared" si="107"/>
        <v>19</v>
      </c>
      <c r="P420" s="4">
        <v>425856.1</v>
      </c>
      <c r="T420" s="5" t="s">
        <v>393</v>
      </c>
      <c r="U420" s="3" t="s">
        <v>2</v>
      </c>
      <c r="V420" s="3" t="s">
        <v>4</v>
      </c>
    </row>
    <row r="421" spans="1:23" hidden="1">
      <c r="J421" s="1" t="str">
        <f t="shared" si="102"/>
        <v>0</v>
      </c>
      <c r="K421" s="3">
        <f t="shared" si="103"/>
        <v>-100</v>
      </c>
      <c r="L421" s="3">
        <f t="shared" si="104"/>
        <v>1</v>
      </c>
      <c r="M421" s="3">
        <f t="shared" si="105"/>
        <v>0</v>
      </c>
      <c r="N421" s="3" t="str">
        <f t="shared" si="106"/>
        <v>01</v>
      </c>
      <c r="O421" s="14" t="str">
        <f t="shared" si="107"/>
        <v>00</v>
      </c>
    </row>
    <row r="422" spans="1:23" hidden="1">
      <c r="J422" s="1" t="str">
        <f t="shared" si="102"/>
        <v>0</v>
      </c>
      <c r="K422" s="3">
        <f t="shared" si="103"/>
        <v>-100</v>
      </c>
      <c r="L422" s="3">
        <f t="shared" si="104"/>
        <v>1</v>
      </c>
      <c r="M422" s="3">
        <f t="shared" si="105"/>
        <v>0</v>
      </c>
      <c r="N422" s="3" t="str">
        <f t="shared" si="106"/>
        <v>01</v>
      </c>
      <c r="O422" s="14" t="str">
        <f t="shared" si="107"/>
        <v>00</v>
      </c>
    </row>
    <row r="423" spans="1:23" hidden="1">
      <c r="J423" s="1" t="str">
        <f t="shared" si="102"/>
        <v>0</v>
      </c>
      <c r="K423" s="3">
        <f t="shared" si="103"/>
        <v>-100</v>
      </c>
      <c r="L423" s="3">
        <f t="shared" si="104"/>
        <v>1</v>
      </c>
      <c r="M423" s="3">
        <f t="shared" si="105"/>
        <v>0</v>
      </c>
      <c r="N423" s="3" t="str">
        <f t="shared" si="106"/>
        <v>01</v>
      </c>
      <c r="O423" s="14" t="str">
        <f t="shared" si="107"/>
        <v>00</v>
      </c>
    </row>
    <row r="424" spans="1:23">
      <c r="A424" s="3">
        <v>225</v>
      </c>
      <c r="B424" s="1">
        <f>IF(G424="-",0,IF(G423=G424,1,0))</f>
        <v>0</v>
      </c>
      <c r="C424" s="1">
        <f>+IF(G424="-",0,IF(I424=I423+1,0,(IF(I424=1,0,1))))</f>
        <v>1</v>
      </c>
      <c r="D424" s="1">
        <f>+IF(AND(P424="",Q424=""),1,0)</f>
        <v>0</v>
      </c>
      <c r="E424" s="1">
        <f>IF(U424="",1,0)</f>
        <v>0</v>
      </c>
      <c r="F424" s="1">
        <f>IF(V424="",1,0)</f>
        <v>0</v>
      </c>
      <c r="G424" s="1" t="str">
        <f>IF(H424=0,"-",_xlfn.CONCAT(K424,N424,O424,J424))</f>
        <v>24041907</v>
      </c>
      <c r="H424" s="2">
        <v>45401</v>
      </c>
      <c r="I424" s="36">
        <v>7</v>
      </c>
      <c r="J424" s="1" t="str">
        <f t="shared" si="102"/>
        <v>07</v>
      </c>
      <c r="K424" s="3">
        <f t="shared" si="103"/>
        <v>24</v>
      </c>
      <c r="L424" s="3">
        <f t="shared" si="104"/>
        <v>4</v>
      </c>
      <c r="M424" s="3">
        <f t="shared" si="105"/>
        <v>19</v>
      </c>
      <c r="N424" s="3" t="str">
        <f t="shared" si="106"/>
        <v>04</v>
      </c>
      <c r="O424" s="14">
        <f t="shared" si="107"/>
        <v>19</v>
      </c>
      <c r="P424" s="4">
        <v>37299.99</v>
      </c>
      <c r="T424" s="5" t="s">
        <v>87</v>
      </c>
      <c r="U424" s="3" t="s">
        <v>29</v>
      </c>
      <c r="V424" s="3" t="s">
        <v>4</v>
      </c>
    </row>
    <row r="425" spans="1:23" hidden="1">
      <c r="J425" s="1" t="str">
        <f t="shared" si="102"/>
        <v>0</v>
      </c>
      <c r="K425" s="3">
        <f t="shared" si="103"/>
        <v>-100</v>
      </c>
      <c r="L425" s="3">
        <f t="shared" si="104"/>
        <v>1</v>
      </c>
      <c r="M425" s="3">
        <f t="shared" si="105"/>
        <v>0</v>
      </c>
      <c r="N425" s="3" t="str">
        <f t="shared" si="106"/>
        <v>01</v>
      </c>
      <c r="O425" s="14" t="str">
        <f t="shared" si="107"/>
        <v>00</v>
      </c>
    </row>
    <row r="426" spans="1:23" hidden="1">
      <c r="J426" s="1" t="str">
        <f t="shared" si="102"/>
        <v>0</v>
      </c>
      <c r="K426" s="3">
        <f t="shared" si="103"/>
        <v>-100</v>
      </c>
      <c r="L426" s="3">
        <f t="shared" si="104"/>
        <v>1</v>
      </c>
      <c r="M426" s="3">
        <f t="shared" si="105"/>
        <v>0</v>
      </c>
      <c r="N426" s="3" t="str">
        <f t="shared" si="106"/>
        <v>01</v>
      </c>
      <c r="O426" s="14" t="str">
        <f t="shared" si="107"/>
        <v>00</v>
      </c>
    </row>
    <row r="427" spans="1:23" hidden="1">
      <c r="J427" s="1" t="str">
        <f t="shared" si="102"/>
        <v>0</v>
      </c>
      <c r="K427" s="3">
        <f t="shared" si="103"/>
        <v>-100</v>
      </c>
      <c r="L427" s="3">
        <f t="shared" si="104"/>
        <v>1</v>
      </c>
      <c r="M427" s="3">
        <f t="shared" si="105"/>
        <v>0</v>
      </c>
      <c r="N427" s="3" t="str">
        <f t="shared" si="106"/>
        <v>01</v>
      </c>
      <c r="O427" s="14" t="str">
        <f t="shared" si="107"/>
        <v>00</v>
      </c>
    </row>
    <row r="428" spans="1:23">
      <c r="A428" s="3">
        <v>226</v>
      </c>
      <c r="B428" s="1">
        <f>IF(G428="-",0,IF(G427=G428,1,0))</f>
        <v>0</v>
      </c>
      <c r="C428" s="1">
        <f>+IF(G428="-",0,IF(I428=I427+1,0,(IF(I428=1,0,1))))</f>
        <v>1</v>
      </c>
      <c r="D428" s="1">
        <f>+IF(AND(P428="",Q428=""),1,0)</f>
        <v>0</v>
      </c>
      <c r="E428" s="1">
        <f>IF(U428="",1,0)</f>
        <v>0</v>
      </c>
      <c r="F428" s="1">
        <f>IF(V428="",1,0)</f>
        <v>0</v>
      </c>
      <c r="G428" s="1" t="str">
        <f>IF(H428=0,"-",_xlfn.CONCAT(K428,N428,O428,J428))</f>
        <v>24041908</v>
      </c>
      <c r="H428" s="2">
        <v>45401</v>
      </c>
      <c r="I428" s="36">
        <v>8</v>
      </c>
      <c r="J428" s="1" t="str">
        <f t="shared" si="102"/>
        <v>08</v>
      </c>
      <c r="K428" s="3">
        <f t="shared" si="103"/>
        <v>24</v>
      </c>
      <c r="L428" s="3">
        <f t="shared" si="104"/>
        <v>4</v>
      </c>
      <c r="M428" s="3">
        <f t="shared" si="105"/>
        <v>19</v>
      </c>
      <c r="N428" s="3" t="str">
        <f t="shared" si="106"/>
        <v>04</v>
      </c>
      <c r="O428" s="14">
        <f t="shared" si="107"/>
        <v>19</v>
      </c>
      <c r="P428" s="4">
        <v>54421.23</v>
      </c>
      <c r="T428" s="5" t="s">
        <v>147</v>
      </c>
      <c r="U428" s="3" t="s">
        <v>1</v>
      </c>
      <c r="V428" s="3" t="s">
        <v>4</v>
      </c>
    </row>
    <row r="429" spans="1:23" s="10" customFormat="1">
      <c r="A429" s="3">
        <v>229</v>
      </c>
      <c r="B429" s="1">
        <f>IF(G429="-",0,IF(G428=G429,1,0))</f>
        <v>0</v>
      </c>
      <c r="C429" s="1">
        <f>+IF(G429="-",0,IF(I429=I428+1,0,(IF(I429=1,0,1))))</f>
        <v>1</v>
      </c>
      <c r="D429" s="1">
        <f>+IF(AND(P429="",Q429=""),1,0)</f>
        <v>0</v>
      </c>
      <c r="E429" s="1">
        <f>IF(U429="",1,0)</f>
        <v>0</v>
      </c>
      <c r="F429" s="1">
        <f>IF(V429="",1,0)</f>
        <v>0</v>
      </c>
      <c r="G429" s="1" t="str">
        <f>IF(H429=0,"-",_xlfn.CONCAT(K429,N429,O429,J429))</f>
        <v>24042002</v>
      </c>
      <c r="H429" s="2">
        <v>45402</v>
      </c>
      <c r="I429" s="36">
        <v>2</v>
      </c>
      <c r="J429" s="1" t="str">
        <f t="shared" si="102"/>
        <v>02</v>
      </c>
      <c r="K429" s="3">
        <f t="shared" si="103"/>
        <v>24</v>
      </c>
      <c r="L429" s="3">
        <f t="shared" si="104"/>
        <v>4</v>
      </c>
      <c r="M429" s="3">
        <f t="shared" si="105"/>
        <v>20</v>
      </c>
      <c r="N429" s="3" t="str">
        <f t="shared" si="106"/>
        <v>04</v>
      </c>
      <c r="O429" s="14">
        <f t="shared" si="107"/>
        <v>20</v>
      </c>
      <c r="P429" s="4">
        <f>156400+115000+95000</f>
        <v>366400</v>
      </c>
      <c r="Q429" s="5"/>
      <c r="R429" s="6"/>
      <c r="S429" s="5"/>
      <c r="T429" s="5" t="s">
        <v>65</v>
      </c>
      <c r="U429" s="3" t="s">
        <v>1</v>
      </c>
      <c r="V429" s="3" t="s">
        <v>4</v>
      </c>
      <c r="W429" s="3"/>
    </row>
    <row r="430" spans="1:23" s="10" customFormat="1" hidden="1">
      <c r="A430" s="3"/>
      <c r="B430" s="1"/>
      <c r="C430" s="1"/>
      <c r="D430" s="1"/>
      <c r="E430" s="1"/>
      <c r="F430" s="1"/>
      <c r="G430" s="1"/>
      <c r="H430" s="2"/>
      <c r="I430" s="36"/>
      <c r="J430" s="1" t="str">
        <f t="shared" si="102"/>
        <v>0</v>
      </c>
      <c r="K430" s="3">
        <f t="shared" si="103"/>
        <v>-100</v>
      </c>
      <c r="L430" s="3">
        <f t="shared" si="104"/>
        <v>1</v>
      </c>
      <c r="M430" s="3">
        <f t="shared" si="105"/>
        <v>0</v>
      </c>
      <c r="N430" s="3" t="str">
        <f t="shared" si="106"/>
        <v>01</v>
      </c>
      <c r="O430" s="14" t="str">
        <f t="shared" si="107"/>
        <v>00</v>
      </c>
      <c r="P430" s="4"/>
      <c r="Q430" s="5"/>
      <c r="R430" s="6"/>
      <c r="S430" s="5"/>
      <c r="T430" s="5"/>
      <c r="U430" s="3"/>
      <c r="V430" s="3"/>
      <c r="W430" s="3"/>
    </row>
    <row r="431" spans="1:23" s="10" customFormat="1" hidden="1">
      <c r="A431" s="3"/>
      <c r="B431" s="1"/>
      <c r="C431" s="1"/>
      <c r="D431" s="1"/>
      <c r="E431" s="1"/>
      <c r="F431" s="1"/>
      <c r="G431" s="1"/>
      <c r="H431" s="2"/>
      <c r="I431" s="36"/>
      <c r="J431" s="1" t="str">
        <f t="shared" si="102"/>
        <v>0</v>
      </c>
      <c r="K431" s="3">
        <f t="shared" si="103"/>
        <v>-100</v>
      </c>
      <c r="L431" s="3">
        <f t="shared" si="104"/>
        <v>1</v>
      </c>
      <c r="M431" s="3">
        <f t="shared" si="105"/>
        <v>0</v>
      </c>
      <c r="N431" s="3" t="str">
        <f t="shared" si="106"/>
        <v>01</v>
      </c>
      <c r="O431" s="14" t="str">
        <f t="shared" si="107"/>
        <v>00</v>
      </c>
      <c r="P431" s="4"/>
      <c r="Q431" s="5"/>
      <c r="R431" s="6"/>
      <c r="S431" s="5"/>
      <c r="T431" s="5"/>
      <c r="U431" s="3"/>
      <c r="V431" s="3"/>
      <c r="W431" s="3"/>
    </row>
    <row r="432" spans="1:23" s="10" customFormat="1" hidden="1">
      <c r="A432" s="3"/>
      <c r="B432" s="1"/>
      <c r="C432" s="1"/>
      <c r="D432" s="1"/>
      <c r="E432" s="1"/>
      <c r="F432" s="1"/>
      <c r="G432" s="52"/>
      <c r="H432" s="9"/>
      <c r="I432" s="36"/>
      <c r="J432" s="1" t="str">
        <f t="shared" si="102"/>
        <v>0</v>
      </c>
      <c r="K432" s="3">
        <f t="shared" si="103"/>
        <v>-100</v>
      </c>
      <c r="L432" s="3">
        <f t="shared" si="104"/>
        <v>1</v>
      </c>
      <c r="M432" s="3">
        <f t="shared" si="105"/>
        <v>0</v>
      </c>
      <c r="N432" s="3" t="str">
        <f t="shared" si="106"/>
        <v>01</v>
      </c>
      <c r="O432" s="14" t="str">
        <f t="shared" si="107"/>
        <v>00</v>
      </c>
      <c r="P432" s="11"/>
      <c r="Q432" s="12"/>
      <c r="R432" s="13"/>
      <c r="S432" s="12"/>
      <c r="T432" s="12"/>
    </row>
    <row r="433" spans="1:23" s="10" customFormat="1" hidden="1">
      <c r="A433" s="3"/>
      <c r="B433" s="1"/>
      <c r="C433" s="1"/>
      <c r="D433" s="1"/>
      <c r="E433" s="1"/>
      <c r="F433" s="1"/>
      <c r="G433" s="52"/>
      <c r="H433" s="9"/>
      <c r="I433" s="36"/>
      <c r="J433" s="1" t="str">
        <f t="shared" si="102"/>
        <v>0</v>
      </c>
      <c r="K433" s="3">
        <f t="shared" si="103"/>
        <v>-100</v>
      </c>
      <c r="L433" s="3">
        <f t="shared" si="104"/>
        <v>1</v>
      </c>
      <c r="M433" s="3">
        <f t="shared" si="105"/>
        <v>0</v>
      </c>
      <c r="N433" s="3" t="str">
        <f t="shared" si="106"/>
        <v>01</v>
      </c>
      <c r="O433" s="14" t="str">
        <f t="shared" si="107"/>
        <v>00</v>
      </c>
      <c r="P433" s="11"/>
      <c r="Q433" s="12"/>
      <c r="R433" s="13"/>
      <c r="S433" s="12"/>
      <c r="T433" s="12"/>
    </row>
    <row r="434" spans="1:23" s="10" customFormat="1" hidden="1">
      <c r="A434" s="3"/>
      <c r="B434" s="1"/>
      <c r="C434" s="1"/>
      <c r="D434" s="1"/>
      <c r="E434" s="1"/>
      <c r="F434" s="1"/>
      <c r="G434" s="52"/>
      <c r="H434" s="9"/>
      <c r="I434" s="36"/>
      <c r="J434" s="1" t="str">
        <f t="shared" si="102"/>
        <v>0</v>
      </c>
      <c r="K434" s="3">
        <f t="shared" si="103"/>
        <v>-100</v>
      </c>
      <c r="L434" s="3">
        <f t="shared" si="104"/>
        <v>1</v>
      </c>
      <c r="M434" s="3">
        <f t="shared" si="105"/>
        <v>0</v>
      </c>
      <c r="N434" s="3" t="str">
        <f t="shared" si="106"/>
        <v>01</v>
      </c>
      <c r="O434" s="14" t="str">
        <f t="shared" si="107"/>
        <v>00</v>
      </c>
      <c r="P434" s="11"/>
      <c r="Q434" s="12"/>
      <c r="R434" s="13"/>
      <c r="S434" s="12"/>
      <c r="T434" s="12"/>
    </row>
    <row r="435" spans="1:23" s="10" customFormat="1" hidden="1">
      <c r="A435" s="3"/>
      <c r="B435" s="1"/>
      <c r="C435" s="1"/>
      <c r="D435" s="1"/>
      <c r="E435" s="1"/>
      <c r="F435" s="1"/>
      <c r="G435" s="52"/>
      <c r="H435" s="9"/>
      <c r="I435" s="36"/>
      <c r="J435" s="1" t="str">
        <f t="shared" si="102"/>
        <v>0</v>
      </c>
      <c r="K435" s="3">
        <f t="shared" si="103"/>
        <v>-100</v>
      </c>
      <c r="L435" s="3">
        <f t="shared" si="104"/>
        <v>1</v>
      </c>
      <c r="M435" s="3">
        <f t="shared" si="105"/>
        <v>0</v>
      </c>
      <c r="N435" s="3" t="str">
        <f t="shared" si="106"/>
        <v>01</v>
      </c>
      <c r="O435" s="14" t="str">
        <f t="shared" si="107"/>
        <v>00</v>
      </c>
      <c r="P435" s="11"/>
      <c r="Q435" s="12"/>
      <c r="R435" s="13"/>
      <c r="S435" s="12"/>
      <c r="T435" s="12"/>
    </row>
    <row r="436" spans="1:23" s="10" customFormat="1">
      <c r="A436" s="3">
        <v>230</v>
      </c>
      <c r="B436" s="1">
        <f>IF(G436="-",0,IF(G435=G436,1,0))</f>
        <v>0</v>
      </c>
      <c r="C436" s="1">
        <f>+IF(G436="-",0,IF(I436=I435+1,0,(IF(I436=1,0,1))))</f>
        <v>1</v>
      </c>
      <c r="D436" s="1">
        <f>+IF(AND(P436="",Q436=""),1,0)</f>
        <v>0</v>
      </c>
      <c r="E436" s="1">
        <f t="shared" ref="E436:F438" si="108">IF(U436="",1,0)</f>
        <v>0</v>
      </c>
      <c r="F436" s="1">
        <f t="shared" si="108"/>
        <v>0</v>
      </c>
      <c r="G436" s="1" t="str">
        <f>IF(H436=0,"-",_xlfn.CONCAT(K436,N436,O436,J436))</f>
        <v>24042003</v>
      </c>
      <c r="H436" s="2">
        <v>45402</v>
      </c>
      <c r="I436" s="36">
        <v>3</v>
      </c>
      <c r="J436" s="1" t="str">
        <f t="shared" si="102"/>
        <v>03</v>
      </c>
      <c r="K436" s="3">
        <f t="shared" si="103"/>
        <v>24</v>
      </c>
      <c r="L436" s="3">
        <f t="shared" si="104"/>
        <v>4</v>
      </c>
      <c r="M436" s="3">
        <f t="shared" si="105"/>
        <v>20</v>
      </c>
      <c r="N436" s="3" t="str">
        <f t="shared" si="106"/>
        <v>04</v>
      </c>
      <c r="O436" s="14">
        <f t="shared" si="107"/>
        <v>20</v>
      </c>
      <c r="P436" s="4">
        <v>170000</v>
      </c>
      <c r="Q436" s="5"/>
      <c r="R436" s="6"/>
      <c r="S436" s="5"/>
      <c r="T436" s="5" t="s">
        <v>66</v>
      </c>
      <c r="U436" s="3" t="s">
        <v>1</v>
      </c>
      <c r="V436" s="3" t="s">
        <v>4</v>
      </c>
      <c r="W436" s="3"/>
    </row>
    <row r="437" spans="1:23" s="10" customFormat="1">
      <c r="A437" s="3">
        <v>231</v>
      </c>
      <c r="B437" s="1">
        <f>IF(G437="-",0,IF(G436=G437,1,0))</f>
        <v>0</v>
      </c>
      <c r="C437" s="1">
        <f>+IF(G437="-",0,IF(I437=I436+1,0,(IF(I437=1,0,1))))</f>
        <v>0</v>
      </c>
      <c r="D437" s="1">
        <f>+IF(AND(P437="",Q437=""),1,0)</f>
        <v>0</v>
      </c>
      <c r="E437" s="1">
        <f t="shared" si="108"/>
        <v>0</v>
      </c>
      <c r="F437" s="1">
        <f t="shared" si="108"/>
        <v>0</v>
      </c>
      <c r="G437" s="1" t="str">
        <f>IF(H437=0,"-",_xlfn.CONCAT(K437,N437,O437,J437))</f>
        <v>24042004</v>
      </c>
      <c r="H437" s="2">
        <v>45402</v>
      </c>
      <c r="I437" s="36">
        <v>4</v>
      </c>
      <c r="J437" s="1" t="str">
        <f t="shared" si="102"/>
        <v>04</v>
      </c>
      <c r="K437" s="3">
        <f t="shared" si="103"/>
        <v>24</v>
      </c>
      <c r="L437" s="3">
        <f t="shared" si="104"/>
        <v>4</v>
      </c>
      <c r="M437" s="3">
        <f t="shared" si="105"/>
        <v>20</v>
      </c>
      <c r="N437" s="3" t="str">
        <f t="shared" si="106"/>
        <v>04</v>
      </c>
      <c r="O437" s="14">
        <f t="shared" si="107"/>
        <v>20</v>
      </c>
      <c r="P437" s="4">
        <v>136000</v>
      </c>
      <c r="Q437" s="5"/>
      <c r="R437" s="6"/>
      <c r="S437" s="5"/>
      <c r="T437" s="5" t="s">
        <v>67</v>
      </c>
      <c r="U437" s="3" t="s">
        <v>1</v>
      </c>
      <c r="V437" s="3" t="s">
        <v>4</v>
      </c>
      <c r="W437" s="3"/>
    </row>
    <row r="438" spans="1:23" s="10" customFormat="1">
      <c r="A438" s="3">
        <v>232</v>
      </c>
      <c r="B438" s="1">
        <f>IF(G438="-",0,IF(G437=G438,1,0))</f>
        <v>0</v>
      </c>
      <c r="C438" s="1">
        <f>+IF(G438="-",0,IF(I438=I437+1,0,(IF(I438=1,0,1))))</f>
        <v>0</v>
      </c>
      <c r="D438" s="1">
        <f>+IF(AND(P438="",Q438=""),1,0)</f>
        <v>0</v>
      </c>
      <c r="E438" s="1">
        <f t="shared" si="108"/>
        <v>0</v>
      </c>
      <c r="F438" s="1">
        <f t="shared" si="108"/>
        <v>0</v>
      </c>
      <c r="G438" s="1" t="str">
        <f>IF(H438=0,"-",_xlfn.CONCAT(K438,N438,O438,J438))</f>
        <v>24042005</v>
      </c>
      <c r="H438" s="2">
        <v>45402</v>
      </c>
      <c r="I438" s="36">
        <v>5</v>
      </c>
      <c r="J438" s="1" t="str">
        <f t="shared" si="102"/>
        <v>05</v>
      </c>
      <c r="K438" s="3">
        <f t="shared" si="103"/>
        <v>24</v>
      </c>
      <c r="L438" s="3">
        <f t="shared" si="104"/>
        <v>4</v>
      </c>
      <c r="M438" s="3">
        <f t="shared" si="105"/>
        <v>20</v>
      </c>
      <c r="N438" s="3" t="str">
        <f t="shared" si="106"/>
        <v>04</v>
      </c>
      <c r="O438" s="14">
        <f t="shared" si="107"/>
        <v>20</v>
      </c>
      <c r="P438" s="4">
        <f>122400+115000</f>
        <v>237400</v>
      </c>
      <c r="Q438" s="5"/>
      <c r="R438" s="6"/>
      <c r="S438" s="5"/>
      <c r="T438" s="5" t="s">
        <v>68</v>
      </c>
      <c r="U438" s="3" t="s">
        <v>1</v>
      </c>
      <c r="V438" s="3" t="s">
        <v>4</v>
      </c>
      <c r="W438" s="3"/>
    </row>
    <row r="439" spans="1:23" s="10" customFormat="1" hidden="1">
      <c r="A439" s="3"/>
      <c r="B439" s="1"/>
      <c r="C439" s="1"/>
      <c r="D439" s="1"/>
      <c r="E439" s="1"/>
      <c r="F439" s="1"/>
      <c r="G439" s="52"/>
      <c r="H439" s="9"/>
      <c r="I439" s="36"/>
      <c r="J439" s="1" t="str">
        <f t="shared" si="102"/>
        <v>0</v>
      </c>
      <c r="K439" s="3">
        <f t="shared" si="103"/>
        <v>-100</v>
      </c>
      <c r="L439" s="3">
        <f t="shared" si="104"/>
        <v>1</v>
      </c>
      <c r="M439" s="3">
        <f t="shared" si="105"/>
        <v>0</v>
      </c>
      <c r="N439" s="3" t="str">
        <f t="shared" si="106"/>
        <v>01</v>
      </c>
      <c r="O439" s="14" t="str">
        <f t="shared" si="107"/>
        <v>00</v>
      </c>
      <c r="P439" s="11"/>
      <c r="Q439" s="12"/>
      <c r="R439" s="13"/>
      <c r="S439" s="12"/>
      <c r="T439" s="12"/>
    </row>
    <row r="440" spans="1:23" s="10" customFormat="1" hidden="1">
      <c r="A440" s="3"/>
      <c r="B440" s="1"/>
      <c r="C440" s="1"/>
      <c r="D440" s="1"/>
      <c r="E440" s="1"/>
      <c r="F440" s="1"/>
      <c r="G440" s="52"/>
      <c r="H440" s="9"/>
      <c r="I440" s="36"/>
      <c r="J440" s="1"/>
      <c r="K440" s="3"/>
      <c r="L440" s="3"/>
      <c r="M440" s="3"/>
      <c r="N440" s="3"/>
      <c r="O440" s="14"/>
      <c r="P440" s="11"/>
      <c r="Q440" s="12"/>
      <c r="R440" s="13"/>
      <c r="S440" s="12"/>
      <c r="T440" s="12"/>
    </row>
    <row r="441" spans="1:23" s="10" customFormat="1">
      <c r="A441" s="3">
        <v>233</v>
      </c>
      <c r="B441" s="1">
        <f>IF(G441="-",0,IF(G440=G441,1,0))</f>
        <v>0</v>
      </c>
      <c r="C441" s="1">
        <f>+IF(G441="-",0,IF(I441=I440+1,0,(IF(I441=1,0,1))))</f>
        <v>1</v>
      </c>
      <c r="D441" s="1">
        <f>+IF(AND(P441="",Q441=""),1,0)</f>
        <v>0</v>
      </c>
      <c r="E441" s="1">
        <f>IF(U441="",1,0)</f>
        <v>0</v>
      </c>
      <c r="F441" s="1">
        <f>IF(V441="",1,0)</f>
        <v>0</v>
      </c>
      <c r="G441" s="1" t="str">
        <f>IF(H441=0,"-",_xlfn.CONCAT(K441,N441,O441,J441))</f>
        <v>24042006</v>
      </c>
      <c r="H441" s="2">
        <v>45402</v>
      </c>
      <c r="I441" s="36">
        <v>6</v>
      </c>
      <c r="J441" s="1" t="str">
        <f t="shared" ref="J441:J476" si="109">+IF(I441&lt;10,_xlfn.CONCAT("0",I441),I441)</f>
        <v>06</v>
      </c>
      <c r="K441" s="3">
        <f t="shared" ref="K441:K476" si="110">+YEAR(H441)-2000</f>
        <v>24</v>
      </c>
      <c r="L441" s="3">
        <f t="shared" ref="L441:L476" si="111">+MONTH(H441)</f>
        <v>4</v>
      </c>
      <c r="M441" s="3">
        <f t="shared" ref="M441:M476" si="112">+DAY(H441)</f>
        <v>20</v>
      </c>
      <c r="N441" s="3" t="str">
        <f t="shared" ref="N441:N476" si="113">+IF(L441&lt;10,_xlfn.CONCAT("0",L441),L441)</f>
        <v>04</v>
      </c>
      <c r="O441" s="14">
        <f t="shared" ref="O441:O476" si="114">+IF(M441&lt;10,_xlfn.CONCAT("0",M441),M441)</f>
        <v>20</v>
      </c>
      <c r="P441" s="4">
        <v>98600</v>
      </c>
      <c r="Q441" s="5"/>
      <c r="R441" s="6"/>
      <c r="S441" s="5"/>
      <c r="T441" s="5" t="s">
        <v>69</v>
      </c>
      <c r="U441" s="3" t="s">
        <v>1</v>
      </c>
      <c r="V441" s="3" t="s">
        <v>4</v>
      </c>
      <c r="W441" s="3"/>
    </row>
    <row r="442" spans="1:23" s="10" customFormat="1" hidden="1">
      <c r="A442" s="3"/>
      <c r="B442" s="1"/>
      <c r="C442" s="1"/>
      <c r="D442" s="1"/>
      <c r="E442" s="1"/>
      <c r="F442" s="1"/>
      <c r="G442" s="52"/>
      <c r="H442" s="9"/>
      <c r="I442" s="36"/>
      <c r="J442" s="1" t="str">
        <f t="shared" si="109"/>
        <v>0</v>
      </c>
      <c r="K442" s="3">
        <f t="shared" si="110"/>
        <v>-100</v>
      </c>
      <c r="L442" s="3">
        <f t="shared" si="111"/>
        <v>1</v>
      </c>
      <c r="M442" s="3">
        <f t="shared" si="112"/>
        <v>0</v>
      </c>
      <c r="N442" s="3" t="str">
        <f t="shared" si="113"/>
        <v>01</v>
      </c>
      <c r="O442" s="14" t="str">
        <f t="shared" si="114"/>
        <v>00</v>
      </c>
      <c r="P442" s="11"/>
      <c r="Q442" s="12"/>
      <c r="R442" s="13"/>
      <c r="S442" s="12"/>
      <c r="T442" s="12"/>
    </row>
    <row r="443" spans="1:23" s="10" customFormat="1">
      <c r="A443" s="3">
        <v>234</v>
      </c>
      <c r="B443" s="1">
        <f>IF(G443="-",0,IF(G442=G443,1,0))</f>
        <v>0</v>
      </c>
      <c r="C443" s="1">
        <f>+IF(G443="-",0,IF(I443=I442+1,0,(IF(I443=1,0,1))))</f>
        <v>1</v>
      </c>
      <c r="D443" s="1">
        <f>+IF(AND(P443="",Q443=""),1,0)</f>
        <v>0</v>
      </c>
      <c r="E443" s="1">
        <f t="shared" ref="E443:F445" si="115">IF(U443="",1,0)</f>
        <v>0</v>
      </c>
      <c r="F443" s="1">
        <f t="shared" si="115"/>
        <v>0</v>
      </c>
      <c r="G443" s="1" t="str">
        <f>IF(H443=0,"-",_xlfn.CONCAT(K443,N443,O443,J443))</f>
        <v>24042007</v>
      </c>
      <c r="H443" s="2">
        <v>45402</v>
      </c>
      <c r="I443" s="36">
        <v>7</v>
      </c>
      <c r="J443" s="1" t="str">
        <f t="shared" si="109"/>
        <v>07</v>
      </c>
      <c r="K443" s="3">
        <f t="shared" si="110"/>
        <v>24</v>
      </c>
      <c r="L443" s="3">
        <f t="shared" si="111"/>
        <v>4</v>
      </c>
      <c r="M443" s="3">
        <f t="shared" si="112"/>
        <v>20</v>
      </c>
      <c r="N443" s="3" t="str">
        <f t="shared" si="113"/>
        <v>04</v>
      </c>
      <c r="O443" s="14">
        <f t="shared" si="114"/>
        <v>20</v>
      </c>
      <c r="P443" s="4">
        <v>320000</v>
      </c>
      <c r="Q443" s="5"/>
      <c r="R443" s="6"/>
      <c r="S443" s="5"/>
      <c r="T443" s="5" t="s">
        <v>70</v>
      </c>
      <c r="U443" s="3" t="s">
        <v>1</v>
      </c>
      <c r="V443" s="3" t="s">
        <v>4</v>
      </c>
      <c r="W443" s="3"/>
    </row>
    <row r="444" spans="1:23" s="10" customFormat="1">
      <c r="A444" s="3">
        <v>235</v>
      </c>
      <c r="B444" s="1">
        <f>IF(G444="-",0,IF(G443=G444,1,0))</f>
        <v>0</v>
      </c>
      <c r="C444" s="1">
        <f>+IF(G444="-",0,IF(I444=I443+1,0,(IF(I444=1,0,1))))</f>
        <v>0</v>
      </c>
      <c r="D444" s="1">
        <f>+IF(AND(P444="",Q444=""),1,0)</f>
        <v>0</v>
      </c>
      <c r="E444" s="1">
        <f t="shared" si="115"/>
        <v>0</v>
      </c>
      <c r="F444" s="1">
        <f t="shared" si="115"/>
        <v>0</v>
      </c>
      <c r="G444" s="1" t="str">
        <f>IF(H444=0,"-",_xlfn.CONCAT(K444,N444,O444,J444))</f>
        <v>24042008</v>
      </c>
      <c r="H444" s="2">
        <v>45402</v>
      </c>
      <c r="I444" s="36">
        <v>8</v>
      </c>
      <c r="J444" s="1" t="str">
        <f t="shared" si="109"/>
        <v>08</v>
      </c>
      <c r="K444" s="3">
        <f t="shared" si="110"/>
        <v>24</v>
      </c>
      <c r="L444" s="3">
        <f t="shared" si="111"/>
        <v>4</v>
      </c>
      <c r="M444" s="3">
        <f t="shared" si="112"/>
        <v>20</v>
      </c>
      <c r="N444" s="3" t="str">
        <f t="shared" si="113"/>
        <v>04</v>
      </c>
      <c r="O444" s="14">
        <f t="shared" si="114"/>
        <v>20</v>
      </c>
      <c r="P444" s="4">
        <f>6*3*507</f>
        <v>9126</v>
      </c>
      <c r="Q444" s="5"/>
      <c r="R444" s="6"/>
      <c r="S444" s="5"/>
      <c r="T444" s="5" t="s">
        <v>51</v>
      </c>
      <c r="U444" s="3" t="s">
        <v>1</v>
      </c>
      <c r="V444" s="3" t="s">
        <v>4</v>
      </c>
      <c r="W444" s="3"/>
    </row>
    <row r="445" spans="1:23" s="10" customFormat="1">
      <c r="A445" s="3">
        <v>245</v>
      </c>
      <c r="B445" s="1">
        <f>IF(G445="-",0,IF(G444=G445,1,0))</f>
        <v>0</v>
      </c>
      <c r="C445" s="1">
        <f>+IF(G445="-",0,IF(I445=I444+1,0,(IF(I445=1,0,1))))</f>
        <v>1</v>
      </c>
      <c r="D445" s="1">
        <f>+IF(AND(P445="",Q445=""),1,0)</f>
        <v>0</v>
      </c>
      <c r="E445" s="1">
        <f t="shared" si="115"/>
        <v>0</v>
      </c>
      <c r="F445" s="1">
        <f t="shared" si="115"/>
        <v>0</v>
      </c>
      <c r="G445" s="1" t="str">
        <f>IF(H445=0,"-",_xlfn.CONCAT(K445,N445,O445,J445))</f>
        <v>24042202</v>
      </c>
      <c r="H445" s="2">
        <v>45404</v>
      </c>
      <c r="I445" s="36">
        <v>2</v>
      </c>
      <c r="J445" s="1" t="str">
        <f t="shared" si="109"/>
        <v>02</v>
      </c>
      <c r="K445" s="3">
        <f t="shared" si="110"/>
        <v>24</v>
      </c>
      <c r="L445" s="3">
        <f t="shared" si="111"/>
        <v>4</v>
      </c>
      <c r="M445" s="3">
        <f t="shared" si="112"/>
        <v>22</v>
      </c>
      <c r="N445" s="3" t="str">
        <f t="shared" si="113"/>
        <v>04</v>
      </c>
      <c r="O445" s="14">
        <f t="shared" si="114"/>
        <v>22</v>
      </c>
      <c r="P445" s="4">
        <v>54666.01</v>
      </c>
      <c r="Q445" s="5"/>
      <c r="R445" s="6"/>
      <c r="S445" s="5"/>
      <c r="T445" s="5" t="s">
        <v>40</v>
      </c>
      <c r="U445" s="3" t="s">
        <v>29</v>
      </c>
      <c r="V445" s="3" t="s">
        <v>4</v>
      </c>
      <c r="W445" s="3"/>
    </row>
    <row r="446" spans="1:23" s="10" customFormat="1" hidden="1">
      <c r="A446" s="3"/>
      <c r="B446" s="1"/>
      <c r="C446" s="1"/>
      <c r="D446" s="1"/>
      <c r="E446" s="1"/>
      <c r="F446" s="1"/>
      <c r="G446" s="52"/>
      <c r="H446" s="9"/>
      <c r="I446" s="36"/>
      <c r="J446" s="1" t="str">
        <f t="shared" si="109"/>
        <v>0</v>
      </c>
      <c r="K446" s="3">
        <f t="shared" si="110"/>
        <v>-100</v>
      </c>
      <c r="L446" s="3">
        <f t="shared" si="111"/>
        <v>1</v>
      </c>
      <c r="M446" s="3">
        <f t="shared" si="112"/>
        <v>0</v>
      </c>
      <c r="N446" s="3" t="str">
        <f t="shared" si="113"/>
        <v>01</v>
      </c>
      <c r="O446" s="14" t="str">
        <f t="shared" si="114"/>
        <v>00</v>
      </c>
      <c r="P446" s="11"/>
      <c r="Q446" s="12"/>
      <c r="R446" s="13"/>
      <c r="S446" s="12"/>
      <c r="T446" s="12"/>
    </row>
    <row r="447" spans="1:23" s="10" customFormat="1" hidden="1">
      <c r="A447" s="3"/>
      <c r="B447" s="1"/>
      <c r="C447" s="1"/>
      <c r="D447" s="1"/>
      <c r="E447" s="1"/>
      <c r="F447" s="1"/>
      <c r="G447" s="52"/>
      <c r="H447" s="9"/>
      <c r="I447" s="36"/>
      <c r="J447" s="1" t="str">
        <f t="shared" si="109"/>
        <v>0</v>
      </c>
      <c r="K447" s="3">
        <f t="shared" si="110"/>
        <v>-100</v>
      </c>
      <c r="L447" s="3">
        <f t="shared" si="111"/>
        <v>1</v>
      </c>
      <c r="M447" s="3">
        <f t="shared" si="112"/>
        <v>0</v>
      </c>
      <c r="N447" s="3" t="str">
        <f t="shared" si="113"/>
        <v>01</v>
      </c>
      <c r="O447" s="14" t="str">
        <f t="shared" si="114"/>
        <v>00</v>
      </c>
      <c r="P447" s="11"/>
      <c r="Q447" s="12"/>
      <c r="R447" s="13"/>
      <c r="S447" s="12"/>
      <c r="T447" s="12"/>
    </row>
    <row r="448" spans="1:23" s="10" customFormat="1" hidden="1">
      <c r="A448" s="3"/>
      <c r="B448" s="1"/>
      <c r="C448" s="1"/>
      <c r="D448" s="1"/>
      <c r="E448" s="1"/>
      <c r="F448" s="1"/>
      <c r="G448" s="52"/>
      <c r="H448" s="9"/>
      <c r="I448" s="36"/>
      <c r="J448" s="1" t="str">
        <f t="shared" si="109"/>
        <v>0</v>
      </c>
      <c r="K448" s="3">
        <f t="shared" si="110"/>
        <v>-100</v>
      </c>
      <c r="L448" s="3">
        <f t="shared" si="111"/>
        <v>1</v>
      </c>
      <c r="M448" s="3">
        <f t="shared" si="112"/>
        <v>0</v>
      </c>
      <c r="N448" s="3" t="str">
        <f t="shared" si="113"/>
        <v>01</v>
      </c>
      <c r="O448" s="14" t="str">
        <f t="shared" si="114"/>
        <v>00</v>
      </c>
      <c r="P448" s="11"/>
      <c r="Q448" s="12"/>
      <c r="R448" s="13"/>
      <c r="S448" s="12"/>
      <c r="T448" s="12"/>
    </row>
    <row r="449" spans="1:23" s="10" customFormat="1" hidden="1">
      <c r="A449" s="3"/>
      <c r="B449" s="1"/>
      <c r="C449" s="1"/>
      <c r="D449" s="1"/>
      <c r="E449" s="1"/>
      <c r="F449" s="1"/>
      <c r="G449" s="52"/>
      <c r="H449" s="9"/>
      <c r="I449" s="36"/>
      <c r="J449" s="1" t="str">
        <f t="shared" si="109"/>
        <v>0</v>
      </c>
      <c r="K449" s="3">
        <f t="shared" si="110"/>
        <v>-100</v>
      </c>
      <c r="L449" s="3">
        <f t="shared" si="111"/>
        <v>1</v>
      </c>
      <c r="M449" s="3">
        <f t="shared" si="112"/>
        <v>0</v>
      </c>
      <c r="N449" s="3" t="str">
        <f t="shared" si="113"/>
        <v>01</v>
      </c>
      <c r="O449" s="14" t="str">
        <f t="shared" si="114"/>
        <v>00</v>
      </c>
      <c r="P449" s="11"/>
      <c r="Q449" s="12"/>
      <c r="R449" s="13"/>
      <c r="S449" s="12"/>
      <c r="T449" s="12"/>
    </row>
    <row r="450" spans="1:23" s="10" customFormat="1" hidden="1">
      <c r="A450" s="3"/>
      <c r="B450" s="1"/>
      <c r="C450" s="1"/>
      <c r="D450" s="1"/>
      <c r="E450" s="1"/>
      <c r="F450" s="1"/>
      <c r="G450" s="52"/>
      <c r="H450" s="9"/>
      <c r="I450" s="36"/>
      <c r="J450" s="1" t="str">
        <f t="shared" si="109"/>
        <v>0</v>
      </c>
      <c r="K450" s="3">
        <f t="shared" si="110"/>
        <v>-100</v>
      </c>
      <c r="L450" s="3">
        <f t="shared" si="111"/>
        <v>1</v>
      </c>
      <c r="M450" s="3">
        <f t="shared" si="112"/>
        <v>0</v>
      </c>
      <c r="N450" s="3" t="str">
        <f t="shared" si="113"/>
        <v>01</v>
      </c>
      <c r="O450" s="14" t="str">
        <f t="shared" si="114"/>
        <v>00</v>
      </c>
      <c r="P450" s="11"/>
      <c r="Q450" s="12"/>
      <c r="R450" s="13"/>
      <c r="S450" s="12"/>
      <c r="T450" s="12"/>
    </row>
    <row r="451" spans="1:23" s="10" customFormat="1">
      <c r="A451" s="3">
        <v>246</v>
      </c>
      <c r="B451" s="1">
        <f>IF(G451="-",0,IF(G450=G451,1,0))</f>
        <v>0</v>
      </c>
      <c r="C451" s="1">
        <f>+IF(G451="-",0,IF(I451=I450+1,0,(IF(I451=1,0,1))))</f>
        <v>1</v>
      </c>
      <c r="D451" s="1">
        <f>+IF(AND(P451="",Q451=""),1,0)</f>
        <v>0</v>
      </c>
      <c r="E451" s="1">
        <f t="shared" ref="E451:F453" si="116">IF(U451="",1,0)</f>
        <v>0</v>
      </c>
      <c r="F451" s="1">
        <f t="shared" si="116"/>
        <v>0</v>
      </c>
      <c r="G451" s="1" t="str">
        <f>IF(H451=0,"-",_xlfn.CONCAT(K451,N451,O451,J451))</f>
        <v>24042203</v>
      </c>
      <c r="H451" s="2">
        <v>45404</v>
      </c>
      <c r="I451" s="36">
        <v>3</v>
      </c>
      <c r="J451" s="1" t="str">
        <f t="shared" si="109"/>
        <v>03</v>
      </c>
      <c r="K451" s="3">
        <f t="shared" si="110"/>
        <v>24</v>
      </c>
      <c r="L451" s="3">
        <f t="shared" si="111"/>
        <v>4</v>
      </c>
      <c r="M451" s="3">
        <f t="shared" si="112"/>
        <v>22</v>
      </c>
      <c r="N451" s="3" t="str">
        <f t="shared" si="113"/>
        <v>04</v>
      </c>
      <c r="O451" s="14">
        <f t="shared" si="114"/>
        <v>22</v>
      </c>
      <c r="P451" s="4">
        <v>1830.6</v>
      </c>
      <c r="Q451" s="5"/>
      <c r="R451" s="6"/>
      <c r="S451" s="5"/>
      <c r="T451" s="5" t="s">
        <v>40</v>
      </c>
      <c r="U451" s="3" t="s">
        <v>29</v>
      </c>
      <c r="V451" s="3" t="s">
        <v>4</v>
      </c>
      <c r="W451" s="3"/>
    </row>
    <row r="452" spans="1:23" s="10" customFormat="1">
      <c r="A452" s="3">
        <v>250</v>
      </c>
      <c r="B452" s="1">
        <f>IF(G452="-",0,IF(G451=G452,1,0))</f>
        <v>0</v>
      </c>
      <c r="C452" s="1">
        <f>+IF(G452="-",0,IF(I452=I451+1,0,(IF(I452=1,0,1))))</f>
        <v>0</v>
      </c>
      <c r="D452" s="1">
        <f>+IF(AND(P452="",Q452=""),1,0)</f>
        <v>0</v>
      </c>
      <c r="E452" s="1">
        <f t="shared" si="116"/>
        <v>0</v>
      </c>
      <c r="F452" s="1">
        <f t="shared" si="116"/>
        <v>0</v>
      </c>
      <c r="G452" s="1" t="str">
        <f>IF(H452=0,"-",_xlfn.CONCAT(K452,N452,O452,J452))</f>
        <v>24042301</v>
      </c>
      <c r="H452" s="9">
        <v>45405</v>
      </c>
      <c r="I452" s="36">
        <v>1</v>
      </c>
      <c r="J452" s="1" t="str">
        <f t="shared" si="109"/>
        <v>01</v>
      </c>
      <c r="K452" s="3">
        <f t="shared" si="110"/>
        <v>24</v>
      </c>
      <c r="L452" s="3">
        <f t="shared" si="111"/>
        <v>4</v>
      </c>
      <c r="M452" s="3">
        <f t="shared" si="112"/>
        <v>23</v>
      </c>
      <c r="N452" s="3" t="str">
        <f t="shared" si="113"/>
        <v>04</v>
      </c>
      <c r="O452" s="14">
        <f t="shared" si="114"/>
        <v>23</v>
      </c>
      <c r="P452" s="11">
        <v>124300</v>
      </c>
      <c r="Q452" s="12"/>
      <c r="R452" s="13"/>
      <c r="S452" s="12"/>
      <c r="T452" s="12" t="s">
        <v>289</v>
      </c>
      <c r="U452" s="10" t="s">
        <v>1</v>
      </c>
      <c r="V452" s="10" t="s">
        <v>4</v>
      </c>
    </row>
    <row r="453" spans="1:23" s="10" customFormat="1">
      <c r="A453" s="3">
        <v>257</v>
      </c>
      <c r="B453" s="1">
        <f>IF(G453="-",0,IF(G452=G453,1,0))</f>
        <v>0</v>
      </c>
      <c r="C453" s="1">
        <f>+IF(G453="-",0,IF(I453=I452+1,0,(IF(I453=1,0,1))))</f>
        <v>0</v>
      </c>
      <c r="D453" s="1">
        <f>+IF(AND(P453="",Q453=""),1,0)</f>
        <v>0</v>
      </c>
      <c r="E453" s="1">
        <f t="shared" si="116"/>
        <v>0</v>
      </c>
      <c r="F453" s="1">
        <f t="shared" si="116"/>
        <v>0</v>
      </c>
      <c r="G453" s="1" t="str">
        <f>IF(H453=0,"-",_xlfn.CONCAT(K453,N453,O453,J453))</f>
        <v>24042401</v>
      </c>
      <c r="H453" s="2">
        <v>45406</v>
      </c>
      <c r="I453" s="36">
        <v>1</v>
      </c>
      <c r="J453" s="1" t="str">
        <f t="shared" si="109"/>
        <v>01</v>
      </c>
      <c r="K453" s="3">
        <f t="shared" si="110"/>
        <v>24</v>
      </c>
      <c r="L453" s="3">
        <f t="shared" si="111"/>
        <v>4</v>
      </c>
      <c r="M453" s="3">
        <f t="shared" si="112"/>
        <v>24</v>
      </c>
      <c r="N453" s="3" t="str">
        <f t="shared" si="113"/>
        <v>04</v>
      </c>
      <c r="O453" s="14">
        <f t="shared" si="114"/>
        <v>24</v>
      </c>
      <c r="P453" s="4">
        <f>165833.33+135369.23</f>
        <v>301202.56</v>
      </c>
      <c r="Q453" s="5"/>
      <c r="R453" s="6">
        <v>494</v>
      </c>
      <c r="S453" s="5">
        <f>+P453/R453</f>
        <v>609.72178137651827</v>
      </c>
      <c r="T453" s="5" t="s">
        <v>64</v>
      </c>
      <c r="U453" s="3" t="s">
        <v>3</v>
      </c>
      <c r="V453" s="3" t="s">
        <v>4</v>
      </c>
      <c r="W453" s="3"/>
    </row>
    <row r="454" spans="1:23" s="10" customFormat="1" hidden="1">
      <c r="A454" s="3"/>
      <c r="B454" s="1"/>
      <c r="C454" s="1"/>
      <c r="D454" s="1"/>
      <c r="E454" s="1"/>
      <c r="F454" s="1"/>
      <c r="G454" s="52"/>
      <c r="H454" s="9"/>
      <c r="I454" s="36"/>
      <c r="J454" s="1" t="str">
        <f t="shared" si="109"/>
        <v>0</v>
      </c>
      <c r="K454" s="3">
        <f t="shared" si="110"/>
        <v>-100</v>
      </c>
      <c r="L454" s="3">
        <f t="shared" si="111"/>
        <v>1</v>
      </c>
      <c r="M454" s="3">
        <f t="shared" si="112"/>
        <v>0</v>
      </c>
      <c r="N454" s="3" t="str">
        <f t="shared" si="113"/>
        <v>01</v>
      </c>
      <c r="O454" s="14" t="str">
        <f t="shared" si="114"/>
        <v>00</v>
      </c>
      <c r="P454" s="11"/>
      <c r="Q454" s="12"/>
      <c r="R454" s="13"/>
      <c r="S454" s="12"/>
      <c r="T454" s="12"/>
    </row>
    <row r="455" spans="1:23" s="10" customFormat="1" hidden="1">
      <c r="A455" s="3"/>
      <c r="B455" s="1"/>
      <c r="C455" s="1"/>
      <c r="D455" s="1"/>
      <c r="E455" s="1"/>
      <c r="F455" s="1"/>
      <c r="G455" s="52"/>
      <c r="H455" s="9"/>
      <c r="I455" s="36"/>
      <c r="J455" s="1" t="str">
        <f t="shared" si="109"/>
        <v>0</v>
      </c>
      <c r="K455" s="3">
        <f t="shared" si="110"/>
        <v>-100</v>
      </c>
      <c r="L455" s="3">
        <f t="shared" si="111"/>
        <v>1</v>
      </c>
      <c r="M455" s="3">
        <f t="shared" si="112"/>
        <v>0</v>
      </c>
      <c r="N455" s="3" t="str">
        <f t="shared" si="113"/>
        <v>01</v>
      </c>
      <c r="O455" s="14" t="str">
        <f t="shared" si="114"/>
        <v>00</v>
      </c>
      <c r="P455" s="11"/>
      <c r="Q455" s="12"/>
      <c r="R455" s="13"/>
      <c r="S455" s="12"/>
      <c r="T455" s="12"/>
    </row>
    <row r="456" spans="1:23" s="10" customFormat="1" hidden="1">
      <c r="A456" s="3"/>
      <c r="B456" s="1"/>
      <c r="C456" s="1"/>
      <c r="D456" s="1"/>
      <c r="E456" s="1"/>
      <c r="F456" s="1"/>
      <c r="G456" s="52"/>
      <c r="H456" s="9"/>
      <c r="I456" s="36"/>
      <c r="J456" s="1" t="str">
        <f t="shared" si="109"/>
        <v>0</v>
      </c>
      <c r="K456" s="3">
        <f t="shared" si="110"/>
        <v>-100</v>
      </c>
      <c r="L456" s="3">
        <f t="shared" si="111"/>
        <v>1</v>
      </c>
      <c r="M456" s="3">
        <f t="shared" si="112"/>
        <v>0</v>
      </c>
      <c r="N456" s="3" t="str">
        <f t="shared" si="113"/>
        <v>01</v>
      </c>
      <c r="O456" s="14" t="str">
        <f t="shared" si="114"/>
        <v>00</v>
      </c>
      <c r="P456" s="11"/>
      <c r="Q456" s="12"/>
      <c r="R456" s="13"/>
      <c r="S456" s="12"/>
      <c r="T456" s="12"/>
    </row>
    <row r="457" spans="1:23" s="10" customFormat="1" hidden="1">
      <c r="A457" s="3"/>
      <c r="B457" s="1"/>
      <c r="C457" s="1"/>
      <c r="D457" s="1"/>
      <c r="E457" s="1"/>
      <c r="F457" s="1"/>
      <c r="G457" s="52"/>
      <c r="H457" s="9"/>
      <c r="I457" s="36"/>
      <c r="J457" s="1" t="str">
        <f t="shared" si="109"/>
        <v>0</v>
      </c>
      <c r="K457" s="3">
        <f t="shared" si="110"/>
        <v>-100</v>
      </c>
      <c r="L457" s="3">
        <f t="shared" si="111"/>
        <v>1</v>
      </c>
      <c r="M457" s="3">
        <f t="shared" si="112"/>
        <v>0</v>
      </c>
      <c r="N457" s="3" t="str">
        <f t="shared" si="113"/>
        <v>01</v>
      </c>
      <c r="O457" s="14" t="str">
        <f t="shared" si="114"/>
        <v>00</v>
      </c>
      <c r="P457" s="11"/>
      <c r="Q457" s="12"/>
      <c r="R457" s="13"/>
      <c r="S457" s="12"/>
      <c r="T457" s="12"/>
    </row>
    <row r="458" spans="1:23" s="10" customFormat="1" hidden="1">
      <c r="A458" s="3"/>
      <c r="B458" s="1"/>
      <c r="C458" s="1"/>
      <c r="D458" s="1"/>
      <c r="E458" s="1"/>
      <c r="F458" s="1"/>
      <c r="G458" s="52"/>
      <c r="H458" s="9"/>
      <c r="I458" s="36"/>
      <c r="J458" s="1" t="str">
        <f t="shared" si="109"/>
        <v>0</v>
      </c>
      <c r="K458" s="3">
        <f t="shared" si="110"/>
        <v>-100</v>
      </c>
      <c r="L458" s="3">
        <f t="shared" si="111"/>
        <v>1</v>
      </c>
      <c r="M458" s="3">
        <f t="shared" si="112"/>
        <v>0</v>
      </c>
      <c r="N458" s="3" t="str">
        <f t="shared" si="113"/>
        <v>01</v>
      </c>
      <c r="O458" s="14" t="str">
        <f t="shared" si="114"/>
        <v>00</v>
      </c>
      <c r="P458" s="11"/>
      <c r="Q458" s="12"/>
      <c r="R458" s="13"/>
      <c r="S458" s="12"/>
      <c r="T458" s="12"/>
    </row>
    <row r="459" spans="1:23" s="10" customFormat="1" hidden="1">
      <c r="A459" s="3"/>
      <c r="B459" s="1"/>
      <c r="C459" s="1"/>
      <c r="D459" s="1"/>
      <c r="E459" s="1"/>
      <c r="F459" s="1"/>
      <c r="G459" s="52"/>
      <c r="H459" s="9"/>
      <c r="I459" s="36"/>
      <c r="J459" s="1" t="str">
        <f t="shared" si="109"/>
        <v>0</v>
      </c>
      <c r="K459" s="3">
        <f t="shared" si="110"/>
        <v>-100</v>
      </c>
      <c r="L459" s="3">
        <f t="shared" si="111"/>
        <v>1</v>
      </c>
      <c r="M459" s="3">
        <f t="shared" si="112"/>
        <v>0</v>
      </c>
      <c r="N459" s="3" t="str">
        <f t="shared" si="113"/>
        <v>01</v>
      </c>
      <c r="O459" s="14" t="str">
        <f t="shared" si="114"/>
        <v>00</v>
      </c>
      <c r="P459" s="11"/>
      <c r="Q459" s="12"/>
      <c r="R459" s="13"/>
      <c r="S459" s="12"/>
      <c r="T459" s="12"/>
    </row>
    <row r="460" spans="1:23" s="10" customFormat="1" hidden="1">
      <c r="A460" s="3"/>
      <c r="B460" s="1"/>
      <c r="C460" s="1"/>
      <c r="D460" s="1"/>
      <c r="E460" s="1"/>
      <c r="F460" s="1"/>
      <c r="G460" s="52"/>
      <c r="H460" s="9"/>
      <c r="I460" s="36"/>
      <c r="J460" s="1" t="str">
        <f t="shared" si="109"/>
        <v>0</v>
      </c>
      <c r="K460" s="3">
        <f t="shared" si="110"/>
        <v>-100</v>
      </c>
      <c r="L460" s="3">
        <f t="shared" si="111"/>
        <v>1</v>
      </c>
      <c r="M460" s="3">
        <f t="shared" si="112"/>
        <v>0</v>
      </c>
      <c r="N460" s="3" t="str">
        <f t="shared" si="113"/>
        <v>01</v>
      </c>
      <c r="O460" s="14" t="str">
        <f t="shared" si="114"/>
        <v>00</v>
      </c>
      <c r="P460" s="11"/>
      <c r="Q460" s="12"/>
      <c r="R460" s="13"/>
      <c r="S460" s="12"/>
      <c r="T460" s="12"/>
    </row>
    <row r="461" spans="1:23" s="10" customFormat="1" hidden="1">
      <c r="A461" s="3"/>
      <c r="B461" s="1"/>
      <c r="C461" s="1"/>
      <c r="D461" s="1"/>
      <c r="E461" s="1"/>
      <c r="F461" s="1"/>
      <c r="G461" s="52"/>
      <c r="H461" s="9"/>
      <c r="I461" s="36"/>
      <c r="J461" s="1" t="str">
        <f t="shared" si="109"/>
        <v>0</v>
      </c>
      <c r="K461" s="3">
        <f t="shared" si="110"/>
        <v>-100</v>
      </c>
      <c r="L461" s="3">
        <f t="shared" si="111"/>
        <v>1</v>
      </c>
      <c r="M461" s="3">
        <f t="shared" si="112"/>
        <v>0</v>
      </c>
      <c r="N461" s="3" t="str">
        <f t="shared" si="113"/>
        <v>01</v>
      </c>
      <c r="O461" s="14" t="str">
        <f t="shared" si="114"/>
        <v>00</v>
      </c>
      <c r="P461" s="11"/>
      <c r="Q461" s="12"/>
      <c r="R461" s="13"/>
      <c r="S461" s="12"/>
      <c r="T461" s="12"/>
    </row>
    <row r="462" spans="1:23" s="10" customFormat="1">
      <c r="A462" s="3">
        <v>259</v>
      </c>
      <c r="B462" s="1">
        <f>IF(G462="-",0,IF(G460=G462,1,0))</f>
        <v>0</v>
      </c>
      <c r="C462" s="1">
        <f>+IF(G462="-",0,IF(I462=I460+1,0,(IF(I462=1,0,1))))</f>
        <v>1</v>
      </c>
      <c r="D462" s="1">
        <f>+IF(AND(P462="",Q462=""),1,0)</f>
        <v>0</v>
      </c>
      <c r="E462" s="1">
        <f>IF(U462="",1,0)</f>
        <v>0</v>
      </c>
      <c r="F462" s="1">
        <f>IF(V462="",1,0)</f>
        <v>0</v>
      </c>
      <c r="G462" s="1" t="str">
        <f>IF(H462=0,"-",_xlfn.CONCAT(K462,N462,O462,J462))</f>
        <v>24042402</v>
      </c>
      <c r="H462" s="2">
        <v>45406</v>
      </c>
      <c r="I462" s="36">
        <v>2</v>
      </c>
      <c r="J462" s="1" t="str">
        <f t="shared" si="109"/>
        <v>02</v>
      </c>
      <c r="K462" s="3">
        <f t="shared" si="110"/>
        <v>24</v>
      </c>
      <c r="L462" s="3">
        <f t="shared" si="111"/>
        <v>4</v>
      </c>
      <c r="M462" s="3">
        <f t="shared" si="112"/>
        <v>24</v>
      </c>
      <c r="N462" s="3" t="str">
        <f t="shared" si="113"/>
        <v>04</v>
      </c>
      <c r="O462" s="14">
        <f t="shared" si="114"/>
        <v>24</v>
      </c>
      <c r="P462" s="4">
        <f>+(230000/6)-10000</f>
        <v>28333.333333333336</v>
      </c>
      <c r="Q462" s="5"/>
      <c r="R462" s="6">
        <v>494</v>
      </c>
      <c r="S462" s="5">
        <f>+P462/R462</f>
        <v>57.354925775978415</v>
      </c>
      <c r="T462" s="5" t="s">
        <v>61</v>
      </c>
      <c r="U462" s="3" t="s">
        <v>3</v>
      </c>
      <c r="V462" s="3" t="s">
        <v>4</v>
      </c>
      <c r="W462" s="3"/>
    </row>
    <row r="463" spans="1:23" hidden="1">
      <c r="G463" s="52"/>
      <c r="H463" s="9"/>
      <c r="J463" s="1" t="str">
        <f t="shared" si="109"/>
        <v>0</v>
      </c>
      <c r="K463" s="3">
        <f t="shared" si="110"/>
        <v>-100</v>
      </c>
      <c r="L463" s="3">
        <f t="shared" si="111"/>
        <v>1</v>
      </c>
      <c r="M463" s="3">
        <f t="shared" si="112"/>
        <v>0</v>
      </c>
      <c r="N463" s="3" t="str">
        <f t="shared" si="113"/>
        <v>01</v>
      </c>
      <c r="O463" s="14" t="str">
        <f t="shared" si="114"/>
        <v>00</v>
      </c>
      <c r="P463" s="11"/>
      <c r="Q463" s="12"/>
      <c r="R463" s="13"/>
      <c r="S463" s="12"/>
      <c r="T463" s="12"/>
      <c r="U463" s="10"/>
      <c r="V463" s="10"/>
      <c r="W463" s="10"/>
    </row>
    <row r="464" spans="1:23" hidden="1">
      <c r="G464" s="52"/>
      <c r="H464" s="9"/>
      <c r="J464" s="1" t="str">
        <f t="shared" si="109"/>
        <v>0</v>
      </c>
      <c r="K464" s="3">
        <f t="shared" si="110"/>
        <v>-100</v>
      </c>
      <c r="L464" s="3">
        <f t="shared" si="111"/>
        <v>1</v>
      </c>
      <c r="M464" s="3">
        <f t="shared" si="112"/>
        <v>0</v>
      </c>
      <c r="N464" s="3" t="str">
        <f t="shared" si="113"/>
        <v>01</v>
      </c>
      <c r="O464" s="14" t="str">
        <f t="shared" si="114"/>
        <v>00</v>
      </c>
      <c r="P464" s="11"/>
      <c r="Q464" s="12"/>
      <c r="R464" s="13"/>
      <c r="S464" s="12"/>
      <c r="T464" s="12"/>
      <c r="U464" s="10"/>
      <c r="V464" s="10"/>
      <c r="W464" s="10"/>
    </row>
    <row r="465" spans="1:23">
      <c r="A465" s="3">
        <v>261</v>
      </c>
      <c r="B465" s="1">
        <f>IF(G465="-",0,IF(G463=G465,1,0))</f>
        <v>0</v>
      </c>
      <c r="C465" s="1">
        <f>+IF(G465="-",0,IF(I465=I463+1,0,(IF(I465=1,0,1))))</f>
        <v>1</v>
      </c>
      <c r="D465" s="1">
        <f>+IF(AND(P465="",Q465=""),1,0)</f>
        <v>0</v>
      </c>
      <c r="E465" s="1">
        <f>IF(U465="",1,0)</f>
        <v>0</v>
      </c>
      <c r="F465" s="1">
        <f>IF(V465="",1,0)</f>
        <v>0</v>
      </c>
      <c r="G465" s="1" t="str">
        <f>IF(H465=0,"-",_xlfn.CONCAT(K465,N465,O465,J465))</f>
        <v>24042403</v>
      </c>
      <c r="H465" s="2">
        <v>45406</v>
      </c>
      <c r="I465" s="36">
        <v>3</v>
      </c>
      <c r="J465" s="1" t="str">
        <f t="shared" si="109"/>
        <v>03</v>
      </c>
      <c r="K465" s="3">
        <f t="shared" si="110"/>
        <v>24</v>
      </c>
      <c r="L465" s="3">
        <f t="shared" si="111"/>
        <v>4</v>
      </c>
      <c r="M465" s="3">
        <f t="shared" si="112"/>
        <v>24</v>
      </c>
      <c r="N465" s="3" t="str">
        <f t="shared" si="113"/>
        <v>04</v>
      </c>
      <c r="O465" s="14">
        <f t="shared" si="114"/>
        <v>24</v>
      </c>
      <c r="P465" s="4">
        <v>70000</v>
      </c>
      <c r="R465" s="6">
        <v>494</v>
      </c>
      <c r="S465" s="5">
        <f>+P465/R465</f>
        <v>141.70040485829961</v>
      </c>
      <c r="T465" s="5" t="s">
        <v>63</v>
      </c>
      <c r="U465" s="3" t="s">
        <v>3</v>
      </c>
      <c r="V465" s="3" t="s">
        <v>4</v>
      </c>
    </row>
    <row r="466" spans="1:23">
      <c r="A466" s="3">
        <v>263</v>
      </c>
      <c r="B466" s="1">
        <f>IF(G466="-",0,IF(G464=G466,1,0))</f>
        <v>0</v>
      </c>
      <c r="C466" s="1">
        <f>+IF(G466="-",0,IF(I466=I464+1,0,(IF(I466=1,0,1))))</f>
        <v>1</v>
      </c>
      <c r="D466" s="1">
        <f>+IF(AND(P466="",Q466=""),1,0)</f>
        <v>0</v>
      </c>
      <c r="E466" s="1">
        <f>IF(U466="",1,0)</f>
        <v>0</v>
      </c>
      <c r="F466" s="1">
        <f>IF(V466="",1,0)</f>
        <v>0</v>
      </c>
      <c r="G466" s="1" t="str">
        <f>IF(H466=0,"-",_xlfn.CONCAT(K466,N466,O466,J466))</f>
        <v>24042404</v>
      </c>
      <c r="H466" s="2">
        <v>45406</v>
      </c>
      <c r="I466" s="36">
        <v>4</v>
      </c>
      <c r="J466" s="1" t="str">
        <f t="shared" si="109"/>
        <v>04</v>
      </c>
      <c r="K466" s="3">
        <f t="shared" si="110"/>
        <v>24</v>
      </c>
      <c r="L466" s="3">
        <f t="shared" si="111"/>
        <v>4</v>
      </c>
      <c r="M466" s="3">
        <f t="shared" si="112"/>
        <v>24</v>
      </c>
      <c r="N466" s="3" t="str">
        <f t="shared" si="113"/>
        <v>04</v>
      </c>
      <c r="O466" s="14">
        <f t="shared" si="114"/>
        <v>24</v>
      </c>
      <c r="P466" s="4">
        <v>506562</v>
      </c>
      <c r="T466" s="5" t="s">
        <v>71</v>
      </c>
      <c r="U466" s="3" t="s">
        <v>726</v>
      </c>
      <c r="V466" s="3" t="s">
        <v>4</v>
      </c>
    </row>
    <row r="467" spans="1:23" hidden="1">
      <c r="J467" s="1" t="str">
        <f t="shared" si="109"/>
        <v>0</v>
      </c>
      <c r="K467" s="3">
        <f t="shared" si="110"/>
        <v>-100</v>
      </c>
      <c r="L467" s="3">
        <f t="shared" si="111"/>
        <v>1</v>
      </c>
      <c r="M467" s="3">
        <f t="shared" si="112"/>
        <v>0</v>
      </c>
      <c r="N467" s="3" t="str">
        <f t="shared" si="113"/>
        <v>01</v>
      </c>
      <c r="O467" s="14" t="str">
        <f t="shared" si="114"/>
        <v>00</v>
      </c>
    </row>
    <row r="468" spans="1:23" hidden="1">
      <c r="J468" s="1" t="str">
        <f t="shared" si="109"/>
        <v>0</v>
      </c>
      <c r="K468" s="3">
        <f t="shared" si="110"/>
        <v>-100</v>
      </c>
      <c r="L468" s="3">
        <f t="shared" si="111"/>
        <v>1</v>
      </c>
      <c r="M468" s="3">
        <f t="shared" si="112"/>
        <v>0</v>
      </c>
      <c r="N468" s="3" t="str">
        <f t="shared" si="113"/>
        <v>01</v>
      </c>
      <c r="O468" s="14" t="str">
        <f t="shared" si="114"/>
        <v>00</v>
      </c>
    </row>
    <row r="469" spans="1:23" hidden="1">
      <c r="J469" s="1" t="str">
        <f t="shared" si="109"/>
        <v>0</v>
      </c>
      <c r="K469" s="3">
        <f t="shared" si="110"/>
        <v>-100</v>
      </c>
      <c r="L469" s="3">
        <f t="shared" si="111"/>
        <v>1</v>
      </c>
      <c r="M469" s="3">
        <f t="shared" si="112"/>
        <v>0</v>
      </c>
      <c r="N469" s="3" t="str">
        <f t="shared" si="113"/>
        <v>01</v>
      </c>
      <c r="O469" s="14" t="str">
        <f t="shared" si="114"/>
        <v>00</v>
      </c>
    </row>
    <row r="470" spans="1:23" hidden="1">
      <c r="J470" s="1" t="str">
        <f t="shared" si="109"/>
        <v>0</v>
      </c>
      <c r="K470" s="3">
        <f t="shared" si="110"/>
        <v>-100</v>
      </c>
      <c r="L470" s="3">
        <f t="shared" si="111"/>
        <v>1</v>
      </c>
      <c r="M470" s="3">
        <f t="shared" si="112"/>
        <v>0</v>
      </c>
      <c r="N470" s="3" t="str">
        <f t="shared" si="113"/>
        <v>01</v>
      </c>
      <c r="O470" s="14" t="str">
        <f t="shared" si="114"/>
        <v>00</v>
      </c>
    </row>
    <row r="471" spans="1:23">
      <c r="A471" s="3">
        <v>264</v>
      </c>
      <c r="B471" s="1">
        <f>IF(G471="-",0,IF(G470=G471,1,0))</f>
        <v>0</v>
      </c>
      <c r="C471" s="1">
        <f>+IF(G471="-",0,IF(I471=I470+1,0,(IF(I471=1,0,1))))</f>
        <v>1</v>
      </c>
      <c r="D471" s="1">
        <f>+IF(AND(P471="",Q471=""),1,0)</f>
        <v>0</v>
      </c>
      <c r="E471" s="1">
        <f t="shared" ref="E471:F473" si="117">IF(U471="",1,0)</f>
        <v>0</v>
      </c>
      <c r="F471" s="1">
        <f t="shared" si="117"/>
        <v>0</v>
      </c>
      <c r="G471" s="1" t="str">
        <f>IF(H471=0,"-",_xlfn.CONCAT(K471,N471,O471,J471))</f>
        <v>24042405</v>
      </c>
      <c r="H471" s="2">
        <v>45406</v>
      </c>
      <c r="I471" s="36">
        <v>5</v>
      </c>
      <c r="J471" s="1" t="str">
        <f t="shared" si="109"/>
        <v>05</v>
      </c>
      <c r="K471" s="3">
        <f t="shared" si="110"/>
        <v>24</v>
      </c>
      <c r="L471" s="3">
        <f t="shared" si="111"/>
        <v>4</v>
      </c>
      <c r="M471" s="3">
        <f t="shared" si="112"/>
        <v>24</v>
      </c>
      <c r="N471" s="3" t="str">
        <f t="shared" si="113"/>
        <v>04</v>
      </c>
      <c r="O471" s="14">
        <f t="shared" si="114"/>
        <v>24</v>
      </c>
      <c r="P471" s="4">
        <v>211961.51</v>
      </c>
      <c r="T471" s="5" t="s">
        <v>194</v>
      </c>
      <c r="U471" s="3" t="s">
        <v>1</v>
      </c>
      <c r="V471" s="3" t="s">
        <v>4</v>
      </c>
    </row>
    <row r="472" spans="1:23">
      <c r="A472" s="3">
        <v>265</v>
      </c>
      <c r="B472" s="1">
        <f>IF(G472="-",0,IF(G471=G472,1,0))</f>
        <v>0</v>
      </c>
      <c r="C472" s="1">
        <f>+IF(G472="-",0,IF(I472=I471+1,0,(IF(I472=1,0,1))))</f>
        <v>0</v>
      </c>
      <c r="D472" s="1">
        <f>+IF(AND(P472="",Q472=""),1,0)</f>
        <v>0</v>
      </c>
      <c r="E472" s="1">
        <f t="shared" si="117"/>
        <v>0</v>
      </c>
      <c r="F472" s="1">
        <f t="shared" si="117"/>
        <v>0</v>
      </c>
      <c r="G472" s="1" t="str">
        <f>IF(H472=0,"-",_xlfn.CONCAT(K472,N472,O472,J472))</f>
        <v>24042406</v>
      </c>
      <c r="H472" s="2">
        <v>45406</v>
      </c>
      <c r="I472" s="36">
        <v>6</v>
      </c>
      <c r="J472" s="1" t="str">
        <f t="shared" si="109"/>
        <v>06</v>
      </c>
      <c r="K472" s="3">
        <f t="shared" si="110"/>
        <v>24</v>
      </c>
      <c r="L472" s="3">
        <f t="shared" si="111"/>
        <v>4</v>
      </c>
      <c r="M472" s="3">
        <f t="shared" si="112"/>
        <v>24</v>
      </c>
      <c r="N472" s="3" t="str">
        <f t="shared" si="113"/>
        <v>04</v>
      </c>
      <c r="O472" s="14">
        <f t="shared" si="114"/>
        <v>24</v>
      </c>
      <c r="P472" s="4">
        <v>162720</v>
      </c>
      <c r="T472" s="5" t="s">
        <v>844</v>
      </c>
      <c r="U472" s="3" t="s">
        <v>1</v>
      </c>
      <c r="V472" s="3" t="s">
        <v>4</v>
      </c>
    </row>
    <row r="473" spans="1:23">
      <c r="A473" s="3">
        <v>266</v>
      </c>
      <c r="B473" s="1">
        <f>IF(G473="-",0,IF(G472=G473,1,0))</f>
        <v>0</v>
      </c>
      <c r="C473" s="1">
        <f>+IF(G473="-",0,IF(I473=I472+1,0,(IF(I473=1,0,1))))</f>
        <v>0</v>
      </c>
      <c r="D473" s="1">
        <f>+IF(AND(P473="",Q473=""),1,0)</f>
        <v>0</v>
      </c>
      <c r="E473" s="1">
        <f t="shared" si="117"/>
        <v>1</v>
      </c>
      <c r="F473" s="1">
        <f t="shared" si="117"/>
        <v>0</v>
      </c>
      <c r="G473" s="38" t="str">
        <f>IF(H473=0,"-",_xlfn.CONCAT(K473,N473,O473,J473))</f>
        <v>24042407</v>
      </c>
      <c r="H473" s="37">
        <v>45406</v>
      </c>
      <c r="I473" s="38">
        <v>7</v>
      </c>
      <c r="J473" s="38" t="str">
        <f t="shared" si="109"/>
        <v>07</v>
      </c>
      <c r="K473" s="42">
        <f t="shared" si="110"/>
        <v>24</v>
      </c>
      <c r="L473" s="42">
        <f t="shared" si="111"/>
        <v>4</v>
      </c>
      <c r="M473" s="42">
        <f t="shared" si="112"/>
        <v>24</v>
      </c>
      <c r="N473" s="42" t="str">
        <f t="shared" si="113"/>
        <v>04</v>
      </c>
      <c r="O473" s="50">
        <f t="shared" si="114"/>
        <v>24</v>
      </c>
      <c r="P473" s="39">
        <v>262567.11</v>
      </c>
      <c r="Q473" s="40"/>
      <c r="R473" s="41"/>
      <c r="S473" s="40"/>
      <c r="T473" s="40" t="s">
        <v>1057</v>
      </c>
      <c r="U473" s="42"/>
      <c r="V473" s="42" t="s">
        <v>4</v>
      </c>
      <c r="W473" s="42" t="s">
        <v>1058</v>
      </c>
    </row>
    <row r="474" spans="1:23" hidden="1">
      <c r="J474" s="1" t="str">
        <f t="shared" si="109"/>
        <v>0</v>
      </c>
      <c r="K474" s="3">
        <f t="shared" si="110"/>
        <v>-100</v>
      </c>
      <c r="L474" s="3">
        <f t="shared" si="111"/>
        <v>1</v>
      </c>
      <c r="M474" s="3">
        <f t="shared" si="112"/>
        <v>0</v>
      </c>
      <c r="N474" s="3" t="str">
        <f t="shared" si="113"/>
        <v>01</v>
      </c>
      <c r="O474" s="14" t="str">
        <f t="shared" si="114"/>
        <v>00</v>
      </c>
    </row>
    <row r="475" spans="1:23" hidden="1">
      <c r="J475" s="1" t="str">
        <f t="shared" si="109"/>
        <v>0</v>
      </c>
      <c r="K475" s="3">
        <f t="shared" si="110"/>
        <v>-100</v>
      </c>
      <c r="L475" s="3">
        <f t="shared" si="111"/>
        <v>1</v>
      </c>
      <c r="M475" s="3">
        <f t="shared" si="112"/>
        <v>0</v>
      </c>
      <c r="N475" s="3" t="str">
        <f t="shared" si="113"/>
        <v>01</v>
      </c>
      <c r="O475" s="14" t="str">
        <f t="shared" si="114"/>
        <v>00</v>
      </c>
    </row>
    <row r="476" spans="1:23" hidden="1">
      <c r="J476" s="1" t="str">
        <f t="shared" si="109"/>
        <v>0</v>
      </c>
      <c r="K476" s="3">
        <f t="shared" si="110"/>
        <v>-100</v>
      </c>
      <c r="L476" s="3">
        <f t="shared" si="111"/>
        <v>1</v>
      </c>
      <c r="M476" s="3">
        <f t="shared" si="112"/>
        <v>0</v>
      </c>
      <c r="N476" s="3" t="str">
        <f t="shared" si="113"/>
        <v>01</v>
      </c>
      <c r="O476" s="14" t="str">
        <f t="shared" si="114"/>
        <v>00</v>
      </c>
    </row>
    <row r="477" spans="1:23">
      <c r="A477" s="3">
        <v>260</v>
      </c>
      <c r="H477" s="2">
        <v>45406</v>
      </c>
      <c r="P477" s="4">
        <v>10000</v>
      </c>
      <c r="T477" s="5" t="s">
        <v>61</v>
      </c>
      <c r="V477" s="3" t="s">
        <v>4</v>
      </c>
    </row>
    <row r="478" spans="1:23" hidden="1">
      <c r="J478" s="1" t="str">
        <f t="shared" ref="J478:J541" si="118">+IF(I478&lt;10,_xlfn.CONCAT("0",I478),I478)</f>
        <v>0</v>
      </c>
      <c r="K478" s="3">
        <f t="shared" ref="K478:K541" si="119">+YEAR(H478)-2000</f>
        <v>-100</v>
      </c>
      <c r="L478" s="3">
        <f t="shared" ref="L478:L541" si="120">+MONTH(H478)</f>
        <v>1</v>
      </c>
      <c r="M478" s="3">
        <f t="shared" ref="M478:M541" si="121">+DAY(H478)</f>
        <v>0</v>
      </c>
      <c r="N478" s="3" t="str">
        <f t="shared" ref="N478:N541" si="122">+IF(L478&lt;10,_xlfn.CONCAT("0",L478),L478)</f>
        <v>01</v>
      </c>
      <c r="O478" s="14" t="str">
        <f t="shared" ref="O478:O541" si="123">+IF(M478&lt;10,_xlfn.CONCAT("0",M478),M478)</f>
        <v>00</v>
      </c>
    </row>
    <row r="479" spans="1:23" hidden="1">
      <c r="J479" s="1" t="str">
        <f t="shared" si="118"/>
        <v>0</v>
      </c>
      <c r="K479" s="3">
        <f t="shared" si="119"/>
        <v>-100</v>
      </c>
      <c r="L479" s="3">
        <f t="shared" si="120"/>
        <v>1</v>
      </c>
      <c r="M479" s="3">
        <f t="shared" si="121"/>
        <v>0</v>
      </c>
      <c r="N479" s="3" t="str">
        <f t="shared" si="122"/>
        <v>01</v>
      </c>
      <c r="O479" s="14" t="str">
        <f t="shared" si="123"/>
        <v>00</v>
      </c>
    </row>
    <row r="480" spans="1:23" hidden="1">
      <c r="J480" s="1" t="str">
        <f t="shared" si="118"/>
        <v>0</v>
      </c>
      <c r="K480" s="3">
        <f t="shared" si="119"/>
        <v>-100</v>
      </c>
      <c r="L480" s="3">
        <f t="shared" si="120"/>
        <v>1</v>
      </c>
      <c r="M480" s="3">
        <f t="shared" si="121"/>
        <v>0</v>
      </c>
      <c r="N480" s="3" t="str">
        <f t="shared" si="122"/>
        <v>01</v>
      </c>
      <c r="O480" s="14" t="str">
        <f t="shared" si="123"/>
        <v>00</v>
      </c>
    </row>
    <row r="481" spans="1:22">
      <c r="A481" s="3">
        <v>272</v>
      </c>
      <c r="B481" s="1">
        <f>IF(G481="-",0,IF(G480=G481,1,0))</f>
        <v>0</v>
      </c>
      <c r="C481" s="1">
        <f>+IF(G481="-",0,IF(I481=I480+1,0,(IF(I481=1,0,1))))</f>
        <v>1</v>
      </c>
      <c r="D481" s="1">
        <f>+IF(AND(P481="",Q481=""),1,0)</f>
        <v>0</v>
      </c>
      <c r="E481" s="1">
        <f t="shared" ref="E481:F484" si="124">IF(U481="",1,0)</f>
        <v>0</v>
      </c>
      <c r="F481" s="1">
        <f t="shared" si="124"/>
        <v>0</v>
      </c>
      <c r="G481" s="1" t="str">
        <f>IF(H481=0,"-",_xlfn.CONCAT(K481,N481,O481,J481))</f>
        <v>24042505</v>
      </c>
      <c r="H481" s="2">
        <v>45407</v>
      </c>
      <c r="I481" s="36">
        <v>5</v>
      </c>
      <c r="J481" s="1" t="str">
        <f t="shared" si="118"/>
        <v>05</v>
      </c>
      <c r="K481" s="3">
        <f t="shared" si="119"/>
        <v>24</v>
      </c>
      <c r="L481" s="3">
        <f t="shared" si="120"/>
        <v>4</v>
      </c>
      <c r="M481" s="3">
        <f t="shared" si="121"/>
        <v>25</v>
      </c>
      <c r="N481" s="3" t="str">
        <f t="shared" si="122"/>
        <v>04</v>
      </c>
      <c r="O481" s="14">
        <f t="shared" si="123"/>
        <v>25</v>
      </c>
      <c r="P481" s="4">
        <v>169500</v>
      </c>
      <c r="T481" s="5" t="s">
        <v>74</v>
      </c>
      <c r="U481" s="3" t="s">
        <v>1</v>
      </c>
      <c r="V481" s="3" t="s">
        <v>4</v>
      </c>
    </row>
    <row r="482" spans="1:22">
      <c r="A482" s="3">
        <v>274</v>
      </c>
      <c r="B482" s="1">
        <f>IF(G482="-",0,IF(G481=G482,1,0))</f>
        <v>0</v>
      </c>
      <c r="C482" s="1">
        <f>+IF(G482="-",0,IF(I482=I481+1,0,(IF(I482=1,0,1))))</f>
        <v>1</v>
      </c>
      <c r="D482" s="1">
        <f>+IF(AND(P482="",Q482=""),1,0)</f>
        <v>0</v>
      </c>
      <c r="E482" s="1">
        <f t="shared" si="124"/>
        <v>0</v>
      </c>
      <c r="F482" s="1">
        <f t="shared" si="124"/>
        <v>0</v>
      </c>
      <c r="G482" s="1" t="str">
        <f>IF(H482=0,"-",_xlfn.CONCAT(K482,N482,O482,J482))</f>
        <v>24042507</v>
      </c>
      <c r="H482" s="2">
        <v>45407</v>
      </c>
      <c r="I482" s="36">
        <v>7</v>
      </c>
      <c r="J482" s="1" t="str">
        <f t="shared" si="118"/>
        <v>07</v>
      </c>
      <c r="K482" s="3">
        <f t="shared" si="119"/>
        <v>24</v>
      </c>
      <c r="L482" s="3">
        <f t="shared" si="120"/>
        <v>4</v>
      </c>
      <c r="M482" s="3">
        <f t="shared" si="121"/>
        <v>25</v>
      </c>
      <c r="N482" s="3" t="str">
        <f t="shared" si="122"/>
        <v>04</v>
      </c>
      <c r="O482" s="14">
        <f t="shared" si="123"/>
        <v>25</v>
      </c>
      <c r="P482" s="4">
        <f>3*509</f>
        <v>1527</v>
      </c>
      <c r="T482" s="5" t="s">
        <v>75</v>
      </c>
      <c r="U482" s="3" t="s">
        <v>1</v>
      </c>
      <c r="V482" s="3" t="s">
        <v>4</v>
      </c>
    </row>
    <row r="483" spans="1:22">
      <c r="A483" s="3">
        <v>275</v>
      </c>
      <c r="B483" s="1">
        <f>IF(G483="-",0,IF(G482=G483,1,0))</f>
        <v>0</v>
      </c>
      <c r="C483" s="1">
        <f>+IF(G483="-",0,IF(I483=I482+1,0,(IF(I483=1,0,1))))</f>
        <v>0</v>
      </c>
      <c r="D483" s="1">
        <f>+IF(AND(P483="",Q483=""),1,0)</f>
        <v>0</v>
      </c>
      <c r="E483" s="1">
        <f t="shared" si="124"/>
        <v>0</v>
      </c>
      <c r="F483" s="1">
        <f t="shared" si="124"/>
        <v>0</v>
      </c>
      <c r="G483" s="1" t="str">
        <f>IF(H483=0,"-",_xlfn.CONCAT(K483,N483,O483,J483))</f>
        <v>24042508</v>
      </c>
      <c r="H483" s="2">
        <v>45407</v>
      </c>
      <c r="I483" s="36">
        <v>8</v>
      </c>
      <c r="J483" s="1" t="str">
        <f t="shared" si="118"/>
        <v>08</v>
      </c>
      <c r="K483" s="3">
        <f t="shared" si="119"/>
        <v>24</v>
      </c>
      <c r="L483" s="3">
        <f t="shared" si="120"/>
        <v>4</v>
      </c>
      <c r="M483" s="3">
        <f t="shared" si="121"/>
        <v>25</v>
      </c>
      <c r="N483" s="3" t="str">
        <f t="shared" si="122"/>
        <v>04</v>
      </c>
      <c r="O483" s="14">
        <f t="shared" si="123"/>
        <v>25</v>
      </c>
      <c r="P483" s="4">
        <v>115580.6</v>
      </c>
      <c r="T483" s="5" t="s">
        <v>296</v>
      </c>
      <c r="U483" s="3" t="s">
        <v>1</v>
      </c>
      <c r="V483" s="3" t="s">
        <v>4</v>
      </c>
    </row>
    <row r="484" spans="1:22">
      <c r="A484" s="3">
        <v>276</v>
      </c>
      <c r="B484" s="1">
        <f>IF(G484="-",0,IF(G483=G484,1,0))</f>
        <v>0</v>
      </c>
      <c r="C484" s="1">
        <f>+IF(G484="-",0,IF(I484=I483+1,0,(IF(I484=1,0,1))))</f>
        <v>0</v>
      </c>
      <c r="D484" s="1">
        <f>+IF(AND(P484="",Q484=""),1,0)</f>
        <v>0</v>
      </c>
      <c r="E484" s="1">
        <f t="shared" si="124"/>
        <v>0</v>
      </c>
      <c r="F484" s="1">
        <f t="shared" si="124"/>
        <v>0</v>
      </c>
      <c r="G484" s="1" t="str">
        <f>IF(H484=0,"-",_xlfn.CONCAT(K484,N484,O484,J484))</f>
        <v>24042509</v>
      </c>
      <c r="H484" s="2">
        <v>45407</v>
      </c>
      <c r="I484" s="36">
        <v>9</v>
      </c>
      <c r="J484" s="1" t="str">
        <f t="shared" si="118"/>
        <v>09</v>
      </c>
      <c r="K484" s="3">
        <f t="shared" si="119"/>
        <v>24</v>
      </c>
      <c r="L484" s="3">
        <f t="shared" si="120"/>
        <v>4</v>
      </c>
      <c r="M484" s="3">
        <f t="shared" si="121"/>
        <v>25</v>
      </c>
      <c r="N484" s="3" t="str">
        <f t="shared" si="122"/>
        <v>04</v>
      </c>
      <c r="O484" s="14">
        <f t="shared" si="123"/>
        <v>25</v>
      </c>
      <c r="P484" s="4">
        <v>800000</v>
      </c>
      <c r="T484" s="5" t="s">
        <v>261</v>
      </c>
      <c r="U484" s="3" t="s">
        <v>1</v>
      </c>
      <c r="V484" s="3" t="s">
        <v>4</v>
      </c>
    </row>
    <row r="485" spans="1:22" hidden="1">
      <c r="J485" s="1" t="str">
        <f t="shared" si="118"/>
        <v>0</v>
      </c>
      <c r="K485" s="3">
        <f t="shared" si="119"/>
        <v>-100</v>
      </c>
      <c r="L485" s="3">
        <f t="shared" si="120"/>
        <v>1</v>
      </c>
      <c r="M485" s="3">
        <f t="shared" si="121"/>
        <v>0</v>
      </c>
      <c r="N485" s="3" t="str">
        <f t="shared" si="122"/>
        <v>01</v>
      </c>
      <c r="O485" s="14" t="str">
        <f t="shared" si="123"/>
        <v>00</v>
      </c>
      <c r="P485" s="11"/>
    </row>
    <row r="486" spans="1:22" hidden="1">
      <c r="J486" s="1" t="str">
        <f t="shared" si="118"/>
        <v>0</v>
      </c>
      <c r="K486" s="3">
        <f t="shared" si="119"/>
        <v>-100</v>
      </c>
      <c r="L486" s="3">
        <f t="shared" si="120"/>
        <v>1</v>
      </c>
      <c r="M486" s="3">
        <f t="shared" si="121"/>
        <v>0</v>
      </c>
      <c r="N486" s="3" t="str">
        <f t="shared" si="122"/>
        <v>01</v>
      </c>
      <c r="O486" s="14" t="str">
        <f t="shared" si="123"/>
        <v>00</v>
      </c>
      <c r="P486" s="11"/>
    </row>
    <row r="487" spans="1:22" hidden="1">
      <c r="J487" s="1" t="str">
        <f t="shared" si="118"/>
        <v>0</v>
      </c>
      <c r="K487" s="3">
        <f t="shared" si="119"/>
        <v>-100</v>
      </c>
      <c r="L487" s="3">
        <f t="shared" si="120"/>
        <v>1</v>
      </c>
      <c r="M487" s="3">
        <f t="shared" si="121"/>
        <v>0</v>
      </c>
      <c r="N487" s="3" t="str">
        <f t="shared" si="122"/>
        <v>01</v>
      </c>
      <c r="O487" s="14" t="str">
        <f t="shared" si="123"/>
        <v>00</v>
      </c>
      <c r="P487" s="11"/>
    </row>
    <row r="488" spans="1:22" hidden="1">
      <c r="J488" s="1" t="str">
        <f t="shared" si="118"/>
        <v>0</v>
      </c>
      <c r="K488" s="3">
        <f t="shared" si="119"/>
        <v>-100</v>
      </c>
      <c r="L488" s="3">
        <f t="shared" si="120"/>
        <v>1</v>
      </c>
      <c r="M488" s="3">
        <f t="shared" si="121"/>
        <v>0</v>
      </c>
      <c r="N488" s="3" t="str">
        <f t="shared" si="122"/>
        <v>01</v>
      </c>
      <c r="O488" s="14" t="str">
        <f t="shared" si="123"/>
        <v>00</v>
      </c>
      <c r="P488" s="11"/>
    </row>
    <row r="489" spans="1:22" hidden="1">
      <c r="J489" s="1" t="str">
        <f t="shared" si="118"/>
        <v>0</v>
      </c>
      <c r="K489" s="3">
        <f t="shared" si="119"/>
        <v>-100</v>
      </c>
      <c r="L489" s="3">
        <f t="shared" si="120"/>
        <v>1</v>
      </c>
      <c r="M489" s="3">
        <f t="shared" si="121"/>
        <v>0</v>
      </c>
      <c r="N489" s="3" t="str">
        <f t="shared" si="122"/>
        <v>01</v>
      </c>
      <c r="O489" s="14" t="str">
        <f t="shared" si="123"/>
        <v>00</v>
      </c>
      <c r="P489" s="11"/>
    </row>
    <row r="490" spans="1:22">
      <c r="A490" s="3">
        <v>287</v>
      </c>
      <c r="B490" s="1">
        <f>IF(G490="-",0,IF(G489=G490,1,0))</f>
        <v>0</v>
      </c>
      <c r="C490" s="1">
        <f>+IF(G490="-",0,IF(I490=I489+1,0,(IF(I490=1,0,1))))</f>
        <v>1</v>
      </c>
      <c r="D490" s="1">
        <f>+IF(AND(P490="",Q490=""),1,0)</f>
        <v>0</v>
      </c>
      <c r="E490" s="1">
        <f>IF(U490="",1,0)</f>
        <v>0</v>
      </c>
      <c r="F490" s="1">
        <f>IF(V490="",1,0)</f>
        <v>0</v>
      </c>
      <c r="G490" s="1" t="str">
        <f>IF(H490=0,"-",_xlfn.CONCAT(K490,N490,O490,J490))</f>
        <v>24042520</v>
      </c>
      <c r="H490" s="2">
        <v>45407</v>
      </c>
      <c r="I490" s="36">
        <v>20</v>
      </c>
      <c r="J490" s="1">
        <f t="shared" si="118"/>
        <v>20</v>
      </c>
      <c r="K490" s="3">
        <f t="shared" si="119"/>
        <v>24</v>
      </c>
      <c r="L490" s="3">
        <f t="shared" si="120"/>
        <v>4</v>
      </c>
      <c r="M490" s="3">
        <f t="shared" si="121"/>
        <v>25</v>
      </c>
      <c r="N490" s="3" t="str">
        <f t="shared" si="122"/>
        <v>04</v>
      </c>
      <c r="O490" s="14">
        <f t="shared" si="123"/>
        <v>25</v>
      </c>
      <c r="P490" s="4">
        <v>23463.88</v>
      </c>
      <c r="T490" s="5" t="s">
        <v>87</v>
      </c>
      <c r="U490" s="3" t="s">
        <v>29</v>
      </c>
      <c r="V490" s="3" t="s">
        <v>4</v>
      </c>
    </row>
    <row r="491" spans="1:22">
      <c r="A491" s="3">
        <v>293</v>
      </c>
      <c r="B491" s="1">
        <f>IF(G491="-",0,IF(G490=G491,1,0))</f>
        <v>0</v>
      </c>
      <c r="C491" s="1">
        <f>+IF(G491="-",0,IF(I491=I490+1,0,(IF(I491=1,0,1))))</f>
        <v>1</v>
      </c>
      <c r="D491" s="1">
        <f>+IF(AND(P491="",Q491=""),1,0)</f>
        <v>0</v>
      </c>
      <c r="E491" s="1">
        <f>IF(U491="",1,0)</f>
        <v>0</v>
      </c>
      <c r="F491" s="1">
        <f>IF(V491="",1,0)</f>
        <v>0</v>
      </c>
      <c r="G491" s="1" t="str">
        <f>IF(H491=0,"-",_xlfn.CONCAT(K491,N491,O491,J491))</f>
        <v>24042526</v>
      </c>
      <c r="H491" s="2">
        <v>45407</v>
      </c>
      <c r="I491" s="36">
        <v>26</v>
      </c>
      <c r="J491" s="1">
        <f t="shared" si="118"/>
        <v>26</v>
      </c>
      <c r="K491" s="3">
        <f t="shared" si="119"/>
        <v>24</v>
      </c>
      <c r="L491" s="3">
        <f t="shared" si="120"/>
        <v>4</v>
      </c>
      <c r="M491" s="3">
        <f t="shared" si="121"/>
        <v>25</v>
      </c>
      <c r="N491" s="3" t="str">
        <f t="shared" si="122"/>
        <v>04</v>
      </c>
      <c r="O491" s="14">
        <f t="shared" si="123"/>
        <v>25</v>
      </c>
      <c r="P491" s="4">
        <v>11266.1</v>
      </c>
      <c r="T491" s="5" t="s">
        <v>180</v>
      </c>
      <c r="U491" s="3" t="s">
        <v>29</v>
      </c>
      <c r="V491" s="3" t="s">
        <v>4</v>
      </c>
    </row>
    <row r="492" spans="1:22" hidden="1">
      <c r="J492" s="1" t="str">
        <f t="shared" si="118"/>
        <v>0</v>
      </c>
      <c r="K492" s="3">
        <f t="shared" si="119"/>
        <v>-100</v>
      </c>
      <c r="L492" s="3">
        <f t="shared" si="120"/>
        <v>1</v>
      </c>
      <c r="M492" s="3">
        <f t="shared" si="121"/>
        <v>0</v>
      </c>
      <c r="N492" s="3" t="str">
        <f t="shared" si="122"/>
        <v>01</v>
      </c>
      <c r="O492" s="14" t="str">
        <f t="shared" si="123"/>
        <v>00</v>
      </c>
    </row>
    <row r="493" spans="1:22" hidden="1">
      <c r="J493" s="1" t="str">
        <f t="shared" si="118"/>
        <v>0</v>
      </c>
      <c r="K493" s="3">
        <f t="shared" si="119"/>
        <v>-100</v>
      </c>
      <c r="L493" s="3">
        <f t="shared" si="120"/>
        <v>1</v>
      </c>
      <c r="M493" s="3">
        <f t="shared" si="121"/>
        <v>0</v>
      </c>
      <c r="N493" s="3" t="str">
        <f t="shared" si="122"/>
        <v>01</v>
      </c>
      <c r="O493" s="14" t="str">
        <f t="shared" si="123"/>
        <v>00</v>
      </c>
    </row>
    <row r="494" spans="1:22" hidden="1">
      <c r="J494" s="1" t="str">
        <f t="shared" si="118"/>
        <v>0</v>
      </c>
      <c r="K494" s="3">
        <f t="shared" si="119"/>
        <v>-100</v>
      </c>
      <c r="L494" s="3">
        <f t="shared" si="120"/>
        <v>1</v>
      </c>
      <c r="M494" s="3">
        <f t="shared" si="121"/>
        <v>0</v>
      </c>
      <c r="N494" s="3" t="str">
        <f t="shared" si="122"/>
        <v>01</v>
      </c>
      <c r="O494" s="14" t="str">
        <f t="shared" si="123"/>
        <v>00</v>
      </c>
    </row>
    <row r="495" spans="1:22" hidden="1">
      <c r="J495" s="1" t="str">
        <f t="shared" si="118"/>
        <v>0</v>
      </c>
      <c r="K495" s="3">
        <f t="shared" si="119"/>
        <v>-100</v>
      </c>
      <c r="L495" s="3">
        <f t="shared" si="120"/>
        <v>1</v>
      </c>
      <c r="M495" s="3">
        <f t="shared" si="121"/>
        <v>0</v>
      </c>
      <c r="N495" s="3" t="str">
        <f t="shared" si="122"/>
        <v>01</v>
      </c>
      <c r="O495" s="14" t="str">
        <f t="shared" si="123"/>
        <v>00</v>
      </c>
    </row>
    <row r="496" spans="1:22">
      <c r="A496" s="3">
        <v>297</v>
      </c>
      <c r="B496" s="1">
        <f>IF(G496="-",0,IF(G495=G496,1,0))</f>
        <v>0</v>
      </c>
      <c r="C496" s="1">
        <f>+IF(G496="-",0,IF(I496=I495+1,0,(IF(I496=1,0,1))))</f>
        <v>1</v>
      </c>
      <c r="D496" s="1">
        <f>+IF(AND(P496="",Q496=""),1,0)</f>
        <v>0</v>
      </c>
      <c r="E496" s="1">
        <f>IF(U496="",1,0)</f>
        <v>0</v>
      </c>
      <c r="F496" s="1">
        <f>IF(V496="",1,0)</f>
        <v>0</v>
      </c>
      <c r="G496" s="1" t="str">
        <f>IF(H496=0,"-",_xlfn.CONCAT(K496,N496,O496,J496))</f>
        <v>24042604</v>
      </c>
      <c r="H496" s="2">
        <v>45408</v>
      </c>
      <c r="I496" s="36">
        <v>4</v>
      </c>
      <c r="J496" s="1" t="str">
        <f t="shared" si="118"/>
        <v>04</v>
      </c>
      <c r="K496" s="3">
        <f t="shared" si="119"/>
        <v>24</v>
      </c>
      <c r="L496" s="3">
        <f t="shared" si="120"/>
        <v>4</v>
      </c>
      <c r="M496" s="3">
        <f t="shared" si="121"/>
        <v>26</v>
      </c>
      <c r="N496" s="3" t="str">
        <f t="shared" si="122"/>
        <v>04</v>
      </c>
      <c r="O496" s="14">
        <f t="shared" si="123"/>
        <v>26</v>
      </c>
      <c r="P496" s="4">
        <v>300000</v>
      </c>
      <c r="T496" s="5" t="s">
        <v>260</v>
      </c>
      <c r="U496" s="3" t="s">
        <v>1</v>
      </c>
      <c r="V496" s="3" t="s">
        <v>4</v>
      </c>
    </row>
    <row r="497" spans="1:23">
      <c r="A497" s="3">
        <v>298</v>
      </c>
      <c r="B497" s="1">
        <f>IF(G497="-",0,IF(G496=G497,1,0))</f>
        <v>0</v>
      </c>
      <c r="C497" s="1">
        <f>+IF(G497="-",0,IF(I497=I496+1,0,(IF(I497=1,0,1))))</f>
        <v>0</v>
      </c>
      <c r="D497" s="1">
        <f>+IF(AND(P497="",Q497=""),1,0)</f>
        <v>0</v>
      </c>
      <c r="E497" s="1">
        <f>IF(U497="",1,0)</f>
        <v>0</v>
      </c>
      <c r="F497" s="1">
        <f>IF(V497="",1,0)</f>
        <v>0</v>
      </c>
      <c r="G497" s="1" t="str">
        <f>IF(H497=0,"-",_xlfn.CONCAT(K497,N497,O497,J497))</f>
        <v>24042605</v>
      </c>
      <c r="H497" s="2">
        <v>45408</v>
      </c>
      <c r="I497" s="36">
        <v>5</v>
      </c>
      <c r="J497" s="1" t="str">
        <f t="shared" si="118"/>
        <v>05</v>
      </c>
      <c r="K497" s="3">
        <f t="shared" si="119"/>
        <v>24</v>
      </c>
      <c r="L497" s="3">
        <f t="shared" si="120"/>
        <v>4</v>
      </c>
      <c r="M497" s="3">
        <f t="shared" si="121"/>
        <v>26</v>
      </c>
      <c r="N497" s="3" t="str">
        <f t="shared" si="122"/>
        <v>04</v>
      </c>
      <c r="O497" s="14">
        <f t="shared" si="123"/>
        <v>26</v>
      </c>
      <c r="P497" s="4">
        <v>93341.96</v>
      </c>
      <c r="T497" s="5" t="s">
        <v>86</v>
      </c>
      <c r="U497" s="3" t="s">
        <v>29</v>
      </c>
      <c r="V497" s="3" t="s">
        <v>4</v>
      </c>
    </row>
    <row r="498" spans="1:23" hidden="1">
      <c r="J498" s="1" t="str">
        <f t="shared" si="118"/>
        <v>0</v>
      </c>
      <c r="K498" s="3">
        <f t="shared" si="119"/>
        <v>-100</v>
      </c>
      <c r="L498" s="3">
        <f t="shared" si="120"/>
        <v>1</v>
      </c>
      <c r="M498" s="3">
        <f t="shared" si="121"/>
        <v>0</v>
      </c>
      <c r="N498" s="3" t="str">
        <f t="shared" si="122"/>
        <v>01</v>
      </c>
      <c r="O498" s="14" t="str">
        <f t="shared" si="123"/>
        <v>00</v>
      </c>
    </row>
    <row r="499" spans="1:23" hidden="1">
      <c r="J499" s="1" t="str">
        <f t="shared" si="118"/>
        <v>0</v>
      </c>
      <c r="K499" s="3">
        <f t="shared" si="119"/>
        <v>-100</v>
      </c>
      <c r="L499" s="3">
        <f t="shared" si="120"/>
        <v>1</v>
      </c>
      <c r="M499" s="3">
        <f t="shared" si="121"/>
        <v>0</v>
      </c>
      <c r="N499" s="3" t="str">
        <f t="shared" si="122"/>
        <v>01</v>
      </c>
      <c r="O499" s="14" t="str">
        <f t="shared" si="123"/>
        <v>00</v>
      </c>
    </row>
    <row r="500" spans="1:23" hidden="1">
      <c r="J500" s="1" t="str">
        <f t="shared" si="118"/>
        <v>0</v>
      </c>
      <c r="K500" s="3">
        <f t="shared" si="119"/>
        <v>-100</v>
      </c>
      <c r="L500" s="3">
        <f t="shared" si="120"/>
        <v>1</v>
      </c>
      <c r="M500" s="3">
        <f t="shared" si="121"/>
        <v>0</v>
      </c>
      <c r="N500" s="3" t="str">
        <f t="shared" si="122"/>
        <v>01</v>
      </c>
      <c r="O500" s="14" t="str">
        <f t="shared" si="123"/>
        <v>00</v>
      </c>
    </row>
    <row r="501" spans="1:23" hidden="1">
      <c r="J501" s="1" t="str">
        <f t="shared" si="118"/>
        <v>0</v>
      </c>
      <c r="K501" s="3">
        <f t="shared" si="119"/>
        <v>-100</v>
      </c>
      <c r="L501" s="3">
        <f t="shared" si="120"/>
        <v>1</v>
      </c>
      <c r="M501" s="3">
        <f t="shared" si="121"/>
        <v>0</v>
      </c>
      <c r="N501" s="3" t="str">
        <f t="shared" si="122"/>
        <v>01</v>
      </c>
      <c r="O501" s="14" t="str">
        <f t="shared" si="123"/>
        <v>00</v>
      </c>
    </row>
    <row r="502" spans="1:23">
      <c r="A502" s="3">
        <v>306</v>
      </c>
      <c r="B502" s="1">
        <f>IF(G502="-",0,IF(G501=G502,1,0))</f>
        <v>0</v>
      </c>
      <c r="C502" s="1">
        <f>+IF(G502="-",0,IF(I502=I501+1,0,(IF(I502=1,0,1))))</f>
        <v>0</v>
      </c>
      <c r="D502" s="1">
        <f>+IF(AND(P502="",Q502=""),1,0)</f>
        <v>0</v>
      </c>
      <c r="E502" s="1">
        <f t="shared" ref="E502:F506" si="125">IF(U502="",1,0)</f>
        <v>0</v>
      </c>
      <c r="F502" s="1">
        <f t="shared" si="125"/>
        <v>0</v>
      </c>
      <c r="G502" s="1" t="str">
        <f>IF(H502=0,"-",_xlfn.CONCAT(K502,N502,O502,J502))</f>
        <v>24042701</v>
      </c>
      <c r="H502" s="2">
        <v>45409</v>
      </c>
      <c r="I502" s="36">
        <v>1</v>
      </c>
      <c r="J502" s="1" t="str">
        <f t="shared" si="118"/>
        <v>01</v>
      </c>
      <c r="K502" s="3">
        <f t="shared" si="119"/>
        <v>24</v>
      </c>
      <c r="L502" s="3">
        <f t="shared" si="120"/>
        <v>4</v>
      </c>
      <c r="M502" s="3">
        <f t="shared" si="121"/>
        <v>27</v>
      </c>
      <c r="N502" s="3" t="str">
        <f t="shared" si="122"/>
        <v>04</v>
      </c>
      <c r="O502" s="14">
        <f t="shared" si="123"/>
        <v>27</v>
      </c>
      <c r="P502" s="4">
        <v>262567.11</v>
      </c>
      <c r="T502" s="5" t="s">
        <v>291</v>
      </c>
      <c r="U502" s="3" t="s">
        <v>1</v>
      </c>
      <c r="V502" s="3" t="s">
        <v>4</v>
      </c>
      <c r="W502" s="3" t="s">
        <v>72</v>
      </c>
    </row>
    <row r="503" spans="1:23">
      <c r="A503" s="3">
        <v>307</v>
      </c>
      <c r="B503" s="1">
        <f>IF(G503="-",0,IF(G502=G503,1,0))</f>
        <v>0</v>
      </c>
      <c r="C503" s="1">
        <f>+IF(G503="-",0,IF(I503=I502+1,0,(IF(I503=1,0,1))))</f>
        <v>0</v>
      </c>
      <c r="D503" s="1">
        <f>+IF(AND(P503="",Q503=""),1,0)</f>
        <v>0</v>
      </c>
      <c r="E503" s="1">
        <f t="shared" si="125"/>
        <v>0</v>
      </c>
      <c r="F503" s="1">
        <f t="shared" si="125"/>
        <v>0</v>
      </c>
      <c r="G503" s="1" t="str">
        <f>IF(H503=0,"-",_xlfn.CONCAT(K503,N503,O503,J503))</f>
        <v>24042702</v>
      </c>
      <c r="H503" s="2">
        <v>45409</v>
      </c>
      <c r="I503" s="36">
        <v>2</v>
      </c>
      <c r="J503" s="1" t="str">
        <f t="shared" si="118"/>
        <v>02</v>
      </c>
      <c r="K503" s="3">
        <f t="shared" si="119"/>
        <v>24</v>
      </c>
      <c r="L503" s="3">
        <f t="shared" si="120"/>
        <v>4</v>
      </c>
      <c r="M503" s="3">
        <f t="shared" si="121"/>
        <v>27</v>
      </c>
      <c r="N503" s="3" t="str">
        <f t="shared" si="122"/>
        <v>04</v>
      </c>
      <c r="O503" s="14">
        <f t="shared" si="123"/>
        <v>27</v>
      </c>
      <c r="P503" s="4">
        <v>19870</v>
      </c>
      <c r="T503" s="5" t="s">
        <v>87</v>
      </c>
      <c r="U503" s="3" t="s">
        <v>29</v>
      </c>
      <c r="V503" s="3" t="s">
        <v>4</v>
      </c>
    </row>
    <row r="504" spans="1:23">
      <c r="A504" s="3">
        <v>308</v>
      </c>
      <c r="B504" s="1">
        <f>IF(G504="-",0,IF(G503=G504,1,0))</f>
        <v>0</v>
      </c>
      <c r="C504" s="1">
        <f>+IF(G504="-",0,IF(I504=I503+1,0,(IF(I504=1,0,1))))</f>
        <v>0</v>
      </c>
      <c r="D504" s="1">
        <f>+IF(AND(P504="",Q504=""),1,0)</f>
        <v>0</v>
      </c>
      <c r="E504" s="1">
        <f t="shared" si="125"/>
        <v>0</v>
      </c>
      <c r="F504" s="1">
        <f t="shared" si="125"/>
        <v>0</v>
      </c>
      <c r="G504" s="1" t="str">
        <f>IF(H504=0,"-",_xlfn.CONCAT(K504,N504,O504,J504))</f>
        <v>24042703</v>
      </c>
      <c r="H504" s="2">
        <v>45409</v>
      </c>
      <c r="I504" s="36">
        <v>3</v>
      </c>
      <c r="J504" s="1" t="str">
        <f t="shared" si="118"/>
        <v>03</v>
      </c>
      <c r="K504" s="3">
        <f t="shared" si="119"/>
        <v>24</v>
      </c>
      <c r="L504" s="3">
        <f t="shared" si="120"/>
        <v>4</v>
      </c>
      <c r="M504" s="3">
        <f t="shared" si="121"/>
        <v>27</v>
      </c>
      <c r="N504" s="3" t="str">
        <f t="shared" si="122"/>
        <v>04</v>
      </c>
      <c r="O504" s="14">
        <f t="shared" si="123"/>
        <v>27</v>
      </c>
      <c r="P504" s="4">
        <v>3980</v>
      </c>
      <c r="T504" s="5" t="s">
        <v>87</v>
      </c>
      <c r="U504" s="3" t="s">
        <v>92</v>
      </c>
      <c r="V504" s="3" t="s">
        <v>4</v>
      </c>
      <c r="W504" s="3" t="s">
        <v>73</v>
      </c>
    </row>
    <row r="505" spans="1:23">
      <c r="A505" s="3">
        <v>309</v>
      </c>
      <c r="B505" s="1">
        <f>IF(G505="-",0,IF(G504=G505,1,0))</f>
        <v>0</v>
      </c>
      <c r="C505" s="1">
        <f>+IF(G505="-",0,IF(I505=I504+1,0,(IF(I505=1,0,1))))</f>
        <v>0</v>
      </c>
      <c r="D505" s="1">
        <f>+IF(AND(P505="",Q505=""),1,0)</f>
        <v>0</v>
      </c>
      <c r="E505" s="1">
        <f t="shared" si="125"/>
        <v>0</v>
      </c>
      <c r="F505" s="1">
        <f t="shared" si="125"/>
        <v>0</v>
      </c>
      <c r="G505" s="1" t="str">
        <f>IF(H505=0,"-",_xlfn.CONCAT(K505,N505,O505,J505))</f>
        <v>24042704</v>
      </c>
      <c r="H505" s="2">
        <v>45409</v>
      </c>
      <c r="I505" s="36">
        <v>4</v>
      </c>
      <c r="J505" s="1" t="str">
        <f t="shared" si="118"/>
        <v>04</v>
      </c>
      <c r="K505" s="3">
        <f t="shared" si="119"/>
        <v>24</v>
      </c>
      <c r="L505" s="3">
        <f t="shared" si="120"/>
        <v>4</v>
      </c>
      <c r="M505" s="3">
        <f t="shared" si="121"/>
        <v>27</v>
      </c>
      <c r="N505" s="3" t="str">
        <f t="shared" si="122"/>
        <v>04</v>
      </c>
      <c r="O505" s="14">
        <f t="shared" si="123"/>
        <v>27</v>
      </c>
      <c r="P505" s="4">
        <v>44605</v>
      </c>
      <c r="T505" s="5" t="s">
        <v>88</v>
      </c>
      <c r="U505" s="3" t="s">
        <v>1</v>
      </c>
      <c r="V505" s="3" t="s">
        <v>4</v>
      </c>
    </row>
    <row r="506" spans="1:23">
      <c r="A506" s="3">
        <v>310</v>
      </c>
      <c r="B506" s="1">
        <f>IF(G506="-",0,IF(G505=G506,1,0))</f>
        <v>0</v>
      </c>
      <c r="C506" s="1">
        <f>+IF(G506="-",0,IF(I506=I505+1,0,(IF(I506=1,0,1))))</f>
        <v>0</v>
      </c>
      <c r="D506" s="1">
        <f>+IF(AND(P506="",Q506=""),1,0)</f>
        <v>0</v>
      </c>
      <c r="E506" s="1">
        <f t="shared" si="125"/>
        <v>0</v>
      </c>
      <c r="F506" s="1">
        <f t="shared" si="125"/>
        <v>0</v>
      </c>
      <c r="G506" s="1" t="str">
        <f>IF(H506=0,"-",_xlfn.CONCAT(K506,N506,O506,J506))</f>
        <v>24042705</v>
      </c>
      <c r="H506" s="2">
        <v>45409</v>
      </c>
      <c r="I506" s="36">
        <v>5</v>
      </c>
      <c r="J506" s="1" t="str">
        <f t="shared" si="118"/>
        <v>05</v>
      </c>
      <c r="K506" s="3">
        <f t="shared" si="119"/>
        <v>24</v>
      </c>
      <c r="L506" s="3">
        <f t="shared" si="120"/>
        <v>4</v>
      </c>
      <c r="M506" s="3">
        <f t="shared" si="121"/>
        <v>27</v>
      </c>
      <c r="N506" s="3" t="str">
        <f t="shared" si="122"/>
        <v>04</v>
      </c>
      <c r="O506" s="14">
        <f t="shared" si="123"/>
        <v>27</v>
      </c>
      <c r="P506" s="4">
        <v>18080</v>
      </c>
      <c r="T506" s="5" t="s">
        <v>89</v>
      </c>
      <c r="U506" s="3" t="s">
        <v>1</v>
      </c>
      <c r="V506" s="3" t="s">
        <v>4</v>
      </c>
    </row>
    <row r="507" spans="1:23" hidden="1">
      <c r="J507" s="1" t="str">
        <f t="shared" si="118"/>
        <v>0</v>
      </c>
      <c r="K507" s="3">
        <f t="shared" si="119"/>
        <v>-100</v>
      </c>
      <c r="L507" s="3">
        <f t="shared" si="120"/>
        <v>1</v>
      </c>
      <c r="M507" s="3">
        <f t="shared" si="121"/>
        <v>0</v>
      </c>
      <c r="N507" s="3" t="str">
        <f t="shared" si="122"/>
        <v>01</v>
      </c>
      <c r="O507" s="14" t="str">
        <f t="shared" si="123"/>
        <v>00</v>
      </c>
    </row>
    <row r="508" spans="1:23" hidden="1">
      <c r="J508" s="1" t="str">
        <f t="shared" si="118"/>
        <v>0</v>
      </c>
      <c r="K508" s="3">
        <f t="shared" si="119"/>
        <v>-100</v>
      </c>
      <c r="L508" s="3">
        <f t="shared" si="120"/>
        <v>1</v>
      </c>
      <c r="M508" s="3">
        <f t="shared" si="121"/>
        <v>0</v>
      </c>
      <c r="N508" s="3" t="str">
        <f t="shared" si="122"/>
        <v>01</v>
      </c>
      <c r="O508" s="14" t="str">
        <f t="shared" si="123"/>
        <v>00</v>
      </c>
    </row>
    <row r="509" spans="1:23" hidden="1">
      <c r="J509" s="1" t="str">
        <f t="shared" si="118"/>
        <v>0</v>
      </c>
      <c r="K509" s="3">
        <f t="shared" si="119"/>
        <v>-100</v>
      </c>
      <c r="L509" s="3">
        <f t="shared" si="120"/>
        <v>1</v>
      </c>
      <c r="M509" s="3">
        <f t="shared" si="121"/>
        <v>0</v>
      </c>
      <c r="N509" s="3" t="str">
        <f t="shared" si="122"/>
        <v>01</v>
      </c>
      <c r="O509" s="14" t="str">
        <f t="shared" si="123"/>
        <v>00</v>
      </c>
    </row>
    <row r="510" spans="1:23" hidden="1">
      <c r="J510" s="1" t="str">
        <f t="shared" si="118"/>
        <v>0</v>
      </c>
      <c r="K510" s="3">
        <f t="shared" si="119"/>
        <v>-100</v>
      </c>
      <c r="L510" s="3">
        <f t="shared" si="120"/>
        <v>1</v>
      </c>
      <c r="M510" s="3">
        <f t="shared" si="121"/>
        <v>0</v>
      </c>
      <c r="N510" s="3" t="str">
        <f t="shared" si="122"/>
        <v>01</v>
      </c>
      <c r="O510" s="14" t="str">
        <f t="shared" si="123"/>
        <v>00</v>
      </c>
    </row>
    <row r="511" spans="1:23">
      <c r="A511" s="3">
        <v>311</v>
      </c>
      <c r="B511" s="1">
        <f>IF(G511="-",0,IF(G510=G511,1,0))</f>
        <v>0</v>
      </c>
      <c r="C511" s="1">
        <f>+IF(G511="-",0,IF(I511=I510+1,0,(IF(I511=1,0,1))))</f>
        <v>1</v>
      </c>
      <c r="D511" s="1">
        <f>+IF(AND(P511="",Q511=""),1,0)</f>
        <v>0</v>
      </c>
      <c r="E511" s="1">
        <f>IF(U511="",1,0)</f>
        <v>0</v>
      </c>
      <c r="F511" s="1">
        <f>IF(V511="",1,0)</f>
        <v>0</v>
      </c>
      <c r="G511" s="1" t="str">
        <f>IF(H511=0,"-",_xlfn.CONCAT(K511,N511,O511,J511))</f>
        <v>24042706</v>
      </c>
      <c r="H511" s="2">
        <v>45409</v>
      </c>
      <c r="I511" s="36">
        <v>6</v>
      </c>
      <c r="J511" s="1" t="str">
        <f t="shared" si="118"/>
        <v>06</v>
      </c>
      <c r="K511" s="3">
        <f t="shared" si="119"/>
        <v>24</v>
      </c>
      <c r="L511" s="3">
        <f t="shared" si="120"/>
        <v>4</v>
      </c>
      <c r="M511" s="3">
        <f t="shared" si="121"/>
        <v>27</v>
      </c>
      <c r="N511" s="3" t="str">
        <f t="shared" si="122"/>
        <v>04</v>
      </c>
      <c r="O511" s="14">
        <f t="shared" si="123"/>
        <v>27</v>
      </c>
      <c r="P511" s="4">
        <v>15966.9</v>
      </c>
      <c r="T511" s="5" t="s">
        <v>90</v>
      </c>
      <c r="U511" s="3" t="s">
        <v>29</v>
      </c>
      <c r="V511" s="3" t="s">
        <v>4</v>
      </c>
    </row>
    <row r="512" spans="1:23" hidden="1">
      <c r="J512" s="1" t="str">
        <f t="shared" si="118"/>
        <v>0</v>
      </c>
      <c r="K512" s="3">
        <f t="shared" si="119"/>
        <v>-100</v>
      </c>
      <c r="L512" s="3">
        <f t="shared" si="120"/>
        <v>1</v>
      </c>
      <c r="M512" s="3">
        <f t="shared" si="121"/>
        <v>0</v>
      </c>
      <c r="N512" s="3" t="str">
        <f t="shared" si="122"/>
        <v>01</v>
      </c>
      <c r="O512" s="14" t="str">
        <f t="shared" si="123"/>
        <v>00</v>
      </c>
    </row>
    <row r="513" spans="1:23" hidden="1">
      <c r="J513" s="1" t="str">
        <f t="shared" si="118"/>
        <v>0</v>
      </c>
      <c r="K513" s="3">
        <f t="shared" si="119"/>
        <v>-100</v>
      </c>
      <c r="L513" s="3">
        <f t="shared" si="120"/>
        <v>1</v>
      </c>
      <c r="M513" s="3">
        <f t="shared" si="121"/>
        <v>0</v>
      </c>
      <c r="N513" s="3" t="str">
        <f t="shared" si="122"/>
        <v>01</v>
      </c>
      <c r="O513" s="14" t="str">
        <f t="shared" si="123"/>
        <v>00</v>
      </c>
    </row>
    <row r="514" spans="1:23" hidden="1">
      <c r="J514" s="1" t="str">
        <f t="shared" si="118"/>
        <v>0</v>
      </c>
      <c r="K514" s="3">
        <f t="shared" si="119"/>
        <v>-100</v>
      </c>
      <c r="L514" s="3">
        <f t="shared" si="120"/>
        <v>1</v>
      </c>
      <c r="M514" s="3">
        <f t="shared" si="121"/>
        <v>0</v>
      </c>
      <c r="N514" s="3" t="str">
        <f t="shared" si="122"/>
        <v>01</v>
      </c>
      <c r="O514" s="14" t="str">
        <f t="shared" si="123"/>
        <v>00</v>
      </c>
    </row>
    <row r="515" spans="1:23" hidden="1">
      <c r="J515" s="1" t="str">
        <f t="shared" si="118"/>
        <v>0</v>
      </c>
      <c r="K515" s="3">
        <f t="shared" si="119"/>
        <v>-100</v>
      </c>
      <c r="L515" s="3">
        <f t="shared" si="120"/>
        <v>1</v>
      </c>
      <c r="M515" s="3">
        <f t="shared" si="121"/>
        <v>0</v>
      </c>
      <c r="N515" s="3" t="str">
        <f t="shared" si="122"/>
        <v>01</v>
      </c>
      <c r="O515" s="14" t="str">
        <f t="shared" si="123"/>
        <v>00</v>
      </c>
    </row>
    <row r="516" spans="1:23">
      <c r="A516" s="3">
        <v>314</v>
      </c>
      <c r="B516" s="52">
        <f>IF(G516="-",0,IF(G515=G516,1,0))</f>
        <v>0</v>
      </c>
      <c r="C516" s="52">
        <f>+IF(G516="-",0,IF(I516=I515+1,0,(IF(I516=1,0,1))))</f>
        <v>0</v>
      </c>
      <c r="D516" s="52">
        <f>+IF(AND(P516="",Q516=""),1,0)</f>
        <v>0</v>
      </c>
      <c r="E516" s="52">
        <f>IF(U516="",1,0)</f>
        <v>0</v>
      </c>
      <c r="F516" s="52">
        <f>IF(V516="",1,0)</f>
        <v>0</v>
      </c>
      <c r="G516" s="52" t="str">
        <f>IF(H516=0,"-",_xlfn.CONCAT(K516,N516,O516,J516))</f>
        <v>24042801</v>
      </c>
      <c r="H516" s="9">
        <v>45410</v>
      </c>
      <c r="I516" s="52">
        <v>1</v>
      </c>
      <c r="J516" s="52" t="str">
        <f t="shared" si="118"/>
        <v>01</v>
      </c>
      <c r="K516" s="10">
        <f t="shared" si="119"/>
        <v>24</v>
      </c>
      <c r="L516" s="10">
        <f t="shared" si="120"/>
        <v>4</v>
      </c>
      <c r="M516" s="10">
        <f t="shared" si="121"/>
        <v>28</v>
      </c>
      <c r="N516" s="10" t="str">
        <f t="shared" si="122"/>
        <v>04</v>
      </c>
      <c r="O516" s="70">
        <f t="shared" si="123"/>
        <v>28</v>
      </c>
      <c r="P516" s="11">
        <f>138000+102000+95000</f>
        <v>335000</v>
      </c>
      <c r="Q516" s="12"/>
      <c r="R516" s="13"/>
      <c r="S516" s="12"/>
      <c r="T516" s="12" t="s">
        <v>77</v>
      </c>
      <c r="U516" s="10" t="s">
        <v>1</v>
      </c>
      <c r="V516" s="10" t="s">
        <v>4</v>
      </c>
      <c r="W516" s="10"/>
    </row>
    <row r="517" spans="1:23">
      <c r="A517" s="3">
        <v>315</v>
      </c>
      <c r="B517" s="52">
        <f>IF(G517="-",0,IF(G516=G517,1,0))</f>
        <v>0</v>
      </c>
      <c r="C517" s="52">
        <f>+IF(G517="-",0,IF(I517=I516+1,0,(IF(I517=1,0,1))))</f>
        <v>0</v>
      </c>
      <c r="D517" s="52">
        <f>+IF(AND(P517="",Q517=""),1,0)</f>
        <v>0</v>
      </c>
      <c r="E517" s="52">
        <f>IF(U517="",1,0)</f>
        <v>0</v>
      </c>
      <c r="F517" s="52">
        <f>IF(V517="",1,0)</f>
        <v>0</v>
      </c>
      <c r="G517" s="52" t="str">
        <f>IF(H517=0,"-",_xlfn.CONCAT(K517,N517,O517,J517))</f>
        <v>24042802</v>
      </c>
      <c r="H517" s="9">
        <v>45410</v>
      </c>
      <c r="I517" s="52">
        <v>2</v>
      </c>
      <c r="J517" s="52" t="str">
        <f t="shared" si="118"/>
        <v>02</v>
      </c>
      <c r="K517" s="10">
        <f t="shared" si="119"/>
        <v>24</v>
      </c>
      <c r="L517" s="10">
        <f t="shared" si="120"/>
        <v>4</v>
      </c>
      <c r="M517" s="10">
        <f t="shared" si="121"/>
        <v>28</v>
      </c>
      <c r="N517" s="10" t="str">
        <f t="shared" si="122"/>
        <v>04</v>
      </c>
      <c r="O517" s="70">
        <f t="shared" si="123"/>
        <v>28</v>
      </c>
      <c r="P517" s="11">
        <v>0</v>
      </c>
      <c r="Q517" s="12"/>
      <c r="R517" s="13"/>
      <c r="S517" s="12"/>
      <c r="T517" s="12" t="s">
        <v>78</v>
      </c>
      <c r="U517" s="10" t="s">
        <v>1</v>
      </c>
      <c r="V517" s="10" t="s">
        <v>4</v>
      </c>
      <c r="W517" s="10"/>
    </row>
    <row r="518" spans="1:23" hidden="1">
      <c r="J518" s="1" t="str">
        <f t="shared" si="118"/>
        <v>0</v>
      </c>
      <c r="K518" s="3">
        <f t="shared" si="119"/>
        <v>-100</v>
      </c>
      <c r="L518" s="3">
        <f t="shared" si="120"/>
        <v>1</v>
      </c>
      <c r="M518" s="3">
        <f t="shared" si="121"/>
        <v>0</v>
      </c>
      <c r="N518" s="3" t="str">
        <f t="shared" si="122"/>
        <v>01</v>
      </c>
      <c r="O518" s="14" t="str">
        <f t="shared" si="123"/>
        <v>00</v>
      </c>
    </row>
    <row r="519" spans="1:23" hidden="1">
      <c r="J519" s="1" t="str">
        <f t="shared" si="118"/>
        <v>0</v>
      </c>
      <c r="K519" s="3">
        <f t="shared" si="119"/>
        <v>-100</v>
      </c>
      <c r="L519" s="3">
        <f t="shared" si="120"/>
        <v>1</v>
      </c>
      <c r="M519" s="3">
        <f t="shared" si="121"/>
        <v>0</v>
      </c>
      <c r="N519" s="3" t="str">
        <f t="shared" si="122"/>
        <v>01</v>
      </c>
      <c r="O519" s="14" t="str">
        <f t="shared" si="123"/>
        <v>00</v>
      </c>
    </row>
    <row r="520" spans="1:23" hidden="1">
      <c r="J520" s="1" t="str">
        <f t="shared" si="118"/>
        <v>0</v>
      </c>
      <c r="K520" s="3">
        <f t="shared" si="119"/>
        <v>-100</v>
      </c>
      <c r="L520" s="3">
        <f t="shared" si="120"/>
        <v>1</v>
      </c>
      <c r="M520" s="3">
        <f t="shared" si="121"/>
        <v>0</v>
      </c>
      <c r="N520" s="3" t="str">
        <f t="shared" si="122"/>
        <v>01</v>
      </c>
      <c r="O520" s="14" t="str">
        <f t="shared" si="123"/>
        <v>00</v>
      </c>
    </row>
    <row r="521" spans="1:23">
      <c r="A521" s="3">
        <v>316</v>
      </c>
      <c r="B521" s="52">
        <f>IF(G521="-",0,IF(G520=G521,1,0))</f>
        <v>0</v>
      </c>
      <c r="C521" s="52">
        <f>+IF(G521="-",0,IF(I521=I520+1,0,(IF(I521=1,0,1))))</f>
        <v>1</v>
      </c>
      <c r="D521" s="52">
        <f>+IF(AND(P521="",Q521=""),1,0)</f>
        <v>0</v>
      </c>
      <c r="E521" s="52">
        <f t="shared" ref="E521:F523" si="126">IF(U521="",1,0)</f>
        <v>0</v>
      </c>
      <c r="F521" s="52">
        <f t="shared" si="126"/>
        <v>0</v>
      </c>
      <c r="G521" s="52" t="str">
        <f>IF(H521=0,"-",_xlfn.CONCAT(K521,N521,O521,J521))</f>
        <v>24042803</v>
      </c>
      <c r="H521" s="9">
        <v>45410</v>
      </c>
      <c r="I521" s="52">
        <v>3</v>
      </c>
      <c r="J521" s="52" t="str">
        <f t="shared" si="118"/>
        <v>03</v>
      </c>
      <c r="K521" s="10">
        <f t="shared" si="119"/>
        <v>24</v>
      </c>
      <c r="L521" s="10">
        <f t="shared" si="120"/>
        <v>4</v>
      </c>
      <c r="M521" s="10">
        <f t="shared" si="121"/>
        <v>28</v>
      </c>
      <c r="N521" s="10" t="str">
        <f t="shared" si="122"/>
        <v>04</v>
      </c>
      <c r="O521" s="70">
        <f t="shared" si="123"/>
        <v>28</v>
      </c>
      <c r="P521" s="11">
        <v>0</v>
      </c>
      <c r="Q521" s="12"/>
      <c r="R521" s="13"/>
      <c r="S521" s="12"/>
      <c r="T521" s="12" t="s">
        <v>76</v>
      </c>
      <c r="U521" s="10" t="s">
        <v>1</v>
      </c>
      <c r="V521" s="10" t="s">
        <v>4</v>
      </c>
      <c r="W521" s="10"/>
    </row>
    <row r="522" spans="1:23">
      <c r="A522" s="3">
        <v>317</v>
      </c>
      <c r="B522" s="52">
        <f>IF(G522="-",0,IF(G521=G522,1,0))</f>
        <v>0</v>
      </c>
      <c r="C522" s="52">
        <f>+IF(G522="-",0,IF(I522=I521+1,0,(IF(I522=1,0,1))))</f>
        <v>0</v>
      </c>
      <c r="D522" s="52">
        <f>+IF(AND(P522="",Q522=""),1,0)</f>
        <v>0</v>
      </c>
      <c r="E522" s="52">
        <f t="shared" si="126"/>
        <v>0</v>
      </c>
      <c r="F522" s="52">
        <f t="shared" si="126"/>
        <v>0</v>
      </c>
      <c r="G522" s="52" t="str">
        <f>IF(H522=0,"-",_xlfn.CONCAT(K522,N522,O522,J522))</f>
        <v>24042804</v>
      </c>
      <c r="H522" s="9">
        <v>45410</v>
      </c>
      <c r="I522" s="52">
        <v>4</v>
      </c>
      <c r="J522" s="52" t="str">
        <f t="shared" si="118"/>
        <v>04</v>
      </c>
      <c r="K522" s="10">
        <f t="shared" si="119"/>
        <v>24</v>
      </c>
      <c r="L522" s="10">
        <f t="shared" si="120"/>
        <v>4</v>
      </c>
      <c r="M522" s="10">
        <f t="shared" si="121"/>
        <v>28</v>
      </c>
      <c r="N522" s="10" t="str">
        <f t="shared" si="122"/>
        <v>04</v>
      </c>
      <c r="O522" s="70">
        <f t="shared" si="123"/>
        <v>28</v>
      </c>
      <c r="P522" s="11">
        <f>108000+102000</f>
        <v>210000</v>
      </c>
      <c r="Q522" s="12"/>
      <c r="R522" s="13"/>
      <c r="S522" s="12"/>
      <c r="T522" s="12" t="s">
        <v>79</v>
      </c>
      <c r="U522" s="10" t="s">
        <v>1</v>
      </c>
      <c r="V522" s="10" t="s">
        <v>4</v>
      </c>
      <c r="W522" s="10"/>
    </row>
    <row r="523" spans="1:23">
      <c r="A523" s="3">
        <v>318</v>
      </c>
      <c r="B523" s="52">
        <f>IF(G523="-",0,IF(G522=G523,1,0))</f>
        <v>0</v>
      </c>
      <c r="C523" s="52">
        <f>+IF(G523="-",0,IF(I523=I522+1,0,(IF(I523=1,0,1))))</f>
        <v>0</v>
      </c>
      <c r="D523" s="52">
        <f>+IF(AND(P523="",Q523=""),1,0)</f>
        <v>0</v>
      </c>
      <c r="E523" s="52">
        <f t="shared" si="126"/>
        <v>0</v>
      </c>
      <c r="F523" s="52">
        <f t="shared" si="126"/>
        <v>0</v>
      </c>
      <c r="G523" s="52" t="str">
        <f>IF(H523=0,"-",_xlfn.CONCAT(K523,N523,O523,J523))</f>
        <v>24042805</v>
      </c>
      <c r="H523" s="9">
        <v>45410</v>
      </c>
      <c r="I523" s="52">
        <v>5</v>
      </c>
      <c r="J523" s="52" t="str">
        <f t="shared" si="118"/>
        <v>05</v>
      </c>
      <c r="K523" s="10">
        <f t="shared" si="119"/>
        <v>24</v>
      </c>
      <c r="L523" s="10">
        <f t="shared" si="120"/>
        <v>4</v>
      </c>
      <c r="M523" s="10">
        <f t="shared" si="121"/>
        <v>28</v>
      </c>
      <c r="N523" s="10" t="str">
        <f t="shared" si="122"/>
        <v>04</v>
      </c>
      <c r="O523" s="70">
        <f t="shared" si="123"/>
        <v>28</v>
      </c>
      <c r="P523" s="11">
        <v>0</v>
      </c>
      <c r="Q523" s="12"/>
      <c r="R523" s="13"/>
      <c r="S523" s="12"/>
      <c r="T523" s="12" t="s">
        <v>83</v>
      </c>
      <c r="U523" s="10" t="s">
        <v>1</v>
      </c>
      <c r="V523" s="10" t="s">
        <v>4</v>
      </c>
      <c r="W523" s="10"/>
    </row>
    <row r="524" spans="1:23" hidden="1">
      <c r="J524" s="1" t="str">
        <f t="shared" si="118"/>
        <v>0</v>
      </c>
      <c r="K524" s="3">
        <f t="shared" si="119"/>
        <v>-100</v>
      </c>
      <c r="L524" s="3">
        <f t="shared" si="120"/>
        <v>1</v>
      </c>
      <c r="M524" s="3">
        <f t="shared" si="121"/>
        <v>0</v>
      </c>
      <c r="N524" s="3" t="str">
        <f t="shared" si="122"/>
        <v>01</v>
      </c>
      <c r="O524" s="14" t="str">
        <f t="shared" si="123"/>
        <v>00</v>
      </c>
    </row>
    <row r="525" spans="1:23" hidden="1">
      <c r="J525" s="1" t="str">
        <f t="shared" si="118"/>
        <v>0</v>
      </c>
      <c r="K525" s="3">
        <f t="shared" si="119"/>
        <v>-100</v>
      </c>
      <c r="L525" s="3">
        <f t="shared" si="120"/>
        <v>1</v>
      </c>
      <c r="M525" s="3">
        <f t="shared" si="121"/>
        <v>0</v>
      </c>
      <c r="N525" s="3" t="str">
        <f t="shared" si="122"/>
        <v>01</v>
      </c>
      <c r="O525" s="14" t="str">
        <f t="shared" si="123"/>
        <v>00</v>
      </c>
    </row>
    <row r="526" spans="1:23">
      <c r="A526" s="3">
        <v>319</v>
      </c>
      <c r="B526" s="52">
        <f>IF(G526="-",0,IF(G525=G526,1,0))</f>
        <v>0</v>
      </c>
      <c r="C526" s="52">
        <f>+IF(G526="-",0,IF(I526=I525+1,0,(IF(I526=1,0,1))))</f>
        <v>1</v>
      </c>
      <c r="D526" s="52">
        <f>+IF(AND(P526="",Q526=""),1,0)</f>
        <v>0</v>
      </c>
      <c r="E526" s="52">
        <f>IF(U526="",1,0)</f>
        <v>0</v>
      </c>
      <c r="F526" s="52">
        <f>IF(V526="",1,0)</f>
        <v>0</v>
      </c>
      <c r="G526" s="52" t="str">
        <f>IF(H526=0,"-",_xlfn.CONCAT(K526,N526,O526,J526))</f>
        <v>24042806</v>
      </c>
      <c r="H526" s="9">
        <v>45410</v>
      </c>
      <c r="I526" s="52">
        <v>6</v>
      </c>
      <c r="J526" s="52" t="str">
        <f t="shared" si="118"/>
        <v>06</v>
      </c>
      <c r="K526" s="10">
        <f t="shared" si="119"/>
        <v>24</v>
      </c>
      <c r="L526" s="10">
        <f t="shared" si="120"/>
        <v>4</v>
      </c>
      <c r="M526" s="10">
        <f t="shared" si="121"/>
        <v>28</v>
      </c>
      <c r="N526" s="10" t="str">
        <f t="shared" si="122"/>
        <v>04</v>
      </c>
      <c r="O526" s="70">
        <f t="shared" si="123"/>
        <v>28</v>
      </c>
      <c r="P526" s="11">
        <v>150000</v>
      </c>
      <c r="Q526" s="12"/>
      <c r="R526" s="13"/>
      <c r="S526" s="12"/>
      <c r="T526" s="12" t="s">
        <v>80</v>
      </c>
      <c r="U526" s="10" t="s">
        <v>1</v>
      </c>
      <c r="V526" s="10" t="s">
        <v>4</v>
      </c>
      <c r="W526" s="10"/>
    </row>
    <row r="527" spans="1:23" hidden="1">
      <c r="J527" s="1" t="str">
        <f t="shared" si="118"/>
        <v>0</v>
      </c>
      <c r="K527" s="3">
        <f t="shared" si="119"/>
        <v>-100</v>
      </c>
      <c r="L527" s="3">
        <f t="shared" si="120"/>
        <v>1</v>
      </c>
      <c r="M527" s="3">
        <f t="shared" si="121"/>
        <v>0</v>
      </c>
      <c r="N527" s="3" t="str">
        <f t="shared" si="122"/>
        <v>01</v>
      </c>
      <c r="O527" s="14" t="str">
        <f t="shared" si="123"/>
        <v>00</v>
      </c>
    </row>
    <row r="528" spans="1:23" hidden="1">
      <c r="J528" s="1" t="str">
        <f t="shared" si="118"/>
        <v>0</v>
      </c>
      <c r="K528" s="3">
        <f t="shared" si="119"/>
        <v>-100</v>
      </c>
      <c r="L528" s="3">
        <f t="shared" si="120"/>
        <v>1</v>
      </c>
      <c r="M528" s="3">
        <f t="shared" si="121"/>
        <v>0</v>
      </c>
      <c r="N528" s="3" t="str">
        <f t="shared" si="122"/>
        <v>01</v>
      </c>
      <c r="O528" s="14" t="str">
        <f t="shared" si="123"/>
        <v>00</v>
      </c>
      <c r="T528" s="16"/>
    </row>
    <row r="529" spans="1:23" hidden="1">
      <c r="J529" s="1" t="str">
        <f t="shared" si="118"/>
        <v>0</v>
      </c>
      <c r="K529" s="3">
        <f t="shared" si="119"/>
        <v>-100</v>
      </c>
      <c r="L529" s="3">
        <f t="shared" si="120"/>
        <v>1</v>
      </c>
      <c r="M529" s="3">
        <f t="shared" si="121"/>
        <v>0</v>
      </c>
      <c r="N529" s="3" t="str">
        <f t="shared" si="122"/>
        <v>01</v>
      </c>
      <c r="O529" s="14" t="str">
        <f t="shared" si="123"/>
        <v>00</v>
      </c>
    </row>
    <row r="530" spans="1:23" hidden="1">
      <c r="J530" s="1" t="str">
        <f t="shared" si="118"/>
        <v>0</v>
      </c>
      <c r="K530" s="3">
        <f t="shared" si="119"/>
        <v>-100</v>
      </c>
      <c r="L530" s="3">
        <f t="shared" si="120"/>
        <v>1</v>
      </c>
      <c r="M530" s="3">
        <f t="shared" si="121"/>
        <v>0</v>
      </c>
      <c r="N530" s="3" t="str">
        <f t="shared" si="122"/>
        <v>01</v>
      </c>
      <c r="O530" s="14" t="str">
        <f t="shared" si="123"/>
        <v>00</v>
      </c>
    </row>
    <row r="531" spans="1:23" hidden="1">
      <c r="J531" s="1" t="str">
        <f t="shared" si="118"/>
        <v>0</v>
      </c>
      <c r="K531" s="3">
        <f t="shared" si="119"/>
        <v>-100</v>
      </c>
      <c r="L531" s="3">
        <f t="shared" si="120"/>
        <v>1</v>
      </c>
      <c r="M531" s="3">
        <f t="shared" si="121"/>
        <v>0</v>
      </c>
      <c r="N531" s="3" t="str">
        <f t="shared" si="122"/>
        <v>01</v>
      </c>
      <c r="O531" s="14" t="str">
        <f t="shared" si="123"/>
        <v>00</v>
      </c>
    </row>
    <row r="532" spans="1:23" hidden="1">
      <c r="J532" s="1" t="str">
        <f t="shared" si="118"/>
        <v>0</v>
      </c>
      <c r="K532" s="3">
        <f t="shared" si="119"/>
        <v>-100</v>
      </c>
      <c r="L532" s="3">
        <f t="shared" si="120"/>
        <v>1</v>
      </c>
      <c r="M532" s="3">
        <f t="shared" si="121"/>
        <v>0</v>
      </c>
      <c r="N532" s="3" t="str">
        <f t="shared" si="122"/>
        <v>01</v>
      </c>
      <c r="O532" s="14" t="str">
        <f t="shared" si="123"/>
        <v>00</v>
      </c>
    </row>
    <row r="533" spans="1:23" hidden="1">
      <c r="J533" s="1" t="str">
        <f t="shared" si="118"/>
        <v>0</v>
      </c>
      <c r="K533" s="3">
        <f t="shared" si="119"/>
        <v>-100</v>
      </c>
      <c r="L533" s="3">
        <f t="shared" si="120"/>
        <v>1</v>
      </c>
      <c r="M533" s="3">
        <f t="shared" si="121"/>
        <v>0</v>
      </c>
      <c r="N533" s="3" t="str">
        <f t="shared" si="122"/>
        <v>01</v>
      </c>
      <c r="O533" s="14" t="str">
        <f t="shared" si="123"/>
        <v>00</v>
      </c>
    </row>
    <row r="534" spans="1:23" hidden="1">
      <c r="J534" s="1" t="str">
        <f t="shared" si="118"/>
        <v>0</v>
      </c>
      <c r="K534" s="3">
        <f t="shared" si="119"/>
        <v>-100</v>
      </c>
      <c r="L534" s="3">
        <f t="shared" si="120"/>
        <v>1</v>
      </c>
      <c r="M534" s="3">
        <f t="shared" si="121"/>
        <v>0</v>
      </c>
      <c r="N534" s="3" t="str">
        <f t="shared" si="122"/>
        <v>01</v>
      </c>
      <c r="O534" s="14" t="str">
        <f t="shared" si="123"/>
        <v>00</v>
      </c>
    </row>
    <row r="535" spans="1:23" hidden="1">
      <c r="J535" s="1" t="str">
        <f t="shared" si="118"/>
        <v>0</v>
      </c>
      <c r="K535" s="3">
        <f t="shared" si="119"/>
        <v>-100</v>
      </c>
      <c r="L535" s="3">
        <f t="shared" si="120"/>
        <v>1</v>
      </c>
      <c r="M535" s="3">
        <f t="shared" si="121"/>
        <v>0</v>
      </c>
      <c r="N535" s="3" t="str">
        <f t="shared" si="122"/>
        <v>01</v>
      </c>
      <c r="O535" s="14" t="str">
        <f t="shared" si="123"/>
        <v>00</v>
      </c>
    </row>
    <row r="536" spans="1:23">
      <c r="A536" s="3">
        <v>320</v>
      </c>
      <c r="B536" s="52">
        <f>IF(G536="-",0,IF(G535=G536,1,0))</f>
        <v>0</v>
      </c>
      <c r="C536" s="52">
        <f>+IF(G536="-",0,IF(I536=I535+1,0,(IF(I536=1,0,1))))</f>
        <v>1</v>
      </c>
      <c r="D536" s="52">
        <f>+IF(AND(P536="",Q536=""),1,0)</f>
        <v>0</v>
      </c>
      <c r="E536" s="52">
        <f t="shared" ref="E536:F539" si="127">IF(U536="",1,0)</f>
        <v>0</v>
      </c>
      <c r="F536" s="52">
        <f t="shared" si="127"/>
        <v>0</v>
      </c>
      <c r="G536" s="52" t="str">
        <f>IF(H536=0,"-",_xlfn.CONCAT(K536,N536,O536,J536))</f>
        <v>24042807</v>
      </c>
      <c r="H536" s="9">
        <v>45410</v>
      </c>
      <c r="I536" s="52">
        <v>7</v>
      </c>
      <c r="J536" s="52" t="str">
        <f t="shared" si="118"/>
        <v>07</v>
      </c>
      <c r="K536" s="10">
        <f t="shared" si="119"/>
        <v>24</v>
      </c>
      <c r="L536" s="10">
        <f t="shared" si="120"/>
        <v>4</v>
      </c>
      <c r="M536" s="10">
        <f t="shared" si="121"/>
        <v>28</v>
      </c>
      <c r="N536" s="10" t="str">
        <f t="shared" si="122"/>
        <v>04</v>
      </c>
      <c r="O536" s="70">
        <f t="shared" si="123"/>
        <v>28</v>
      </c>
      <c r="P536" s="11">
        <v>120000</v>
      </c>
      <c r="Q536" s="12"/>
      <c r="R536" s="13"/>
      <c r="S536" s="12"/>
      <c r="T536" s="12" t="s">
        <v>81</v>
      </c>
      <c r="U536" s="10" t="s">
        <v>1</v>
      </c>
      <c r="V536" s="10" t="s">
        <v>4</v>
      </c>
      <c r="W536" s="10"/>
    </row>
    <row r="537" spans="1:23">
      <c r="A537" s="3">
        <v>321</v>
      </c>
      <c r="B537" s="52">
        <f>IF(G537="-",0,IF(G536=G537,1,0))</f>
        <v>0</v>
      </c>
      <c r="C537" s="52">
        <f>+IF(G537="-",0,IF(I537=I536+1,0,(IF(I537=1,0,1))))</f>
        <v>0</v>
      </c>
      <c r="D537" s="52">
        <f>+IF(AND(P537="",Q537=""),1,0)</f>
        <v>0</v>
      </c>
      <c r="E537" s="52">
        <f t="shared" si="127"/>
        <v>0</v>
      </c>
      <c r="F537" s="52">
        <f t="shared" si="127"/>
        <v>0</v>
      </c>
      <c r="G537" s="52" t="str">
        <f>IF(H537=0,"-",_xlfn.CONCAT(K537,N537,O537,J537))</f>
        <v>24042808</v>
      </c>
      <c r="H537" s="9">
        <v>45410</v>
      </c>
      <c r="I537" s="52">
        <v>8</v>
      </c>
      <c r="J537" s="52" t="str">
        <f t="shared" si="118"/>
        <v>08</v>
      </c>
      <c r="K537" s="10">
        <f t="shared" si="119"/>
        <v>24</v>
      </c>
      <c r="L537" s="10">
        <f t="shared" si="120"/>
        <v>4</v>
      </c>
      <c r="M537" s="10">
        <f t="shared" si="121"/>
        <v>28</v>
      </c>
      <c r="N537" s="10" t="str">
        <f t="shared" si="122"/>
        <v>04</v>
      </c>
      <c r="O537" s="70">
        <f t="shared" si="123"/>
        <v>28</v>
      </c>
      <c r="P537" s="11">
        <v>102000</v>
      </c>
      <c r="Q537" s="12"/>
      <c r="R537" s="13"/>
      <c r="S537" s="12"/>
      <c r="T537" s="12" t="s">
        <v>82</v>
      </c>
      <c r="U537" s="10" t="s">
        <v>1</v>
      </c>
      <c r="V537" s="10" t="s">
        <v>4</v>
      </c>
      <c r="W537" s="10"/>
    </row>
    <row r="538" spans="1:23">
      <c r="A538" s="3">
        <v>322</v>
      </c>
      <c r="B538" s="52">
        <f>IF(G538="-",0,IF(G537=G538,1,0))</f>
        <v>0</v>
      </c>
      <c r="C538" s="52">
        <f>+IF(G538="-",0,IF(I538=I537+1,0,(IF(I538=1,0,1))))</f>
        <v>0</v>
      </c>
      <c r="D538" s="52">
        <f>+IF(AND(P538="",Q538=""),1,0)</f>
        <v>0</v>
      </c>
      <c r="E538" s="52">
        <f t="shared" si="127"/>
        <v>0</v>
      </c>
      <c r="F538" s="52">
        <f t="shared" si="127"/>
        <v>0</v>
      </c>
      <c r="G538" s="52" t="str">
        <f>IF(H538=0,"-",_xlfn.CONCAT(K538,N538,O538,J538))</f>
        <v>24042809</v>
      </c>
      <c r="H538" s="9">
        <v>45410</v>
      </c>
      <c r="I538" s="52">
        <v>9</v>
      </c>
      <c r="J538" s="52" t="str">
        <f t="shared" si="118"/>
        <v>09</v>
      </c>
      <c r="K538" s="10">
        <f t="shared" si="119"/>
        <v>24</v>
      </c>
      <c r="L538" s="10">
        <f t="shared" si="120"/>
        <v>4</v>
      </c>
      <c r="M538" s="10">
        <f t="shared" si="121"/>
        <v>28</v>
      </c>
      <c r="N538" s="10" t="str">
        <f t="shared" si="122"/>
        <v>04</v>
      </c>
      <c r="O538" s="70">
        <f t="shared" si="123"/>
        <v>28</v>
      </c>
      <c r="P538" s="11">
        <f>230000+90000</f>
        <v>320000</v>
      </c>
      <c r="Q538" s="12"/>
      <c r="R538" s="13"/>
      <c r="S538" s="12"/>
      <c r="T538" s="12" t="s">
        <v>84</v>
      </c>
      <c r="U538" s="10" t="s">
        <v>1</v>
      </c>
      <c r="V538" s="10" t="s">
        <v>4</v>
      </c>
      <c r="W538" s="10"/>
    </row>
    <row r="539" spans="1:23">
      <c r="A539" s="3">
        <v>323</v>
      </c>
      <c r="B539" s="52">
        <f>IF(G539="-",0,IF(G538=G539,1,0))</f>
        <v>0</v>
      </c>
      <c r="C539" s="52">
        <f>+IF(G539="-",0,IF(I539=I538+1,0,(IF(I539=1,0,1))))</f>
        <v>0</v>
      </c>
      <c r="D539" s="52">
        <f>+IF(AND(P539="",Q539=""),1,0)</f>
        <v>0</v>
      </c>
      <c r="E539" s="52">
        <f t="shared" si="127"/>
        <v>0</v>
      </c>
      <c r="F539" s="52">
        <f t="shared" si="127"/>
        <v>0</v>
      </c>
      <c r="G539" s="52" t="str">
        <f>IF(H539=0,"-",_xlfn.CONCAT(K539,N539,O539,J539))</f>
        <v>24042810</v>
      </c>
      <c r="H539" s="9">
        <v>45410</v>
      </c>
      <c r="I539" s="52">
        <v>10</v>
      </c>
      <c r="J539" s="52">
        <f t="shared" si="118"/>
        <v>10</v>
      </c>
      <c r="K539" s="10">
        <f t="shared" si="119"/>
        <v>24</v>
      </c>
      <c r="L539" s="10">
        <f t="shared" si="120"/>
        <v>4</v>
      </c>
      <c r="M539" s="10">
        <f t="shared" si="121"/>
        <v>28</v>
      </c>
      <c r="N539" s="10" t="str">
        <f t="shared" si="122"/>
        <v>04</v>
      </c>
      <c r="O539" s="70">
        <f t="shared" si="123"/>
        <v>28</v>
      </c>
      <c r="P539" s="11">
        <f>6*3*510</f>
        <v>9180</v>
      </c>
      <c r="Q539" s="12"/>
      <c r="R539" s="13"/>
      <c r="S539" s="12"/>
      <c r="T539" s="12" t="s">
        <v>85</v>
      </c>
      <c r="U539" s="10" t="s">
        <v>1</v>
      </c>
      <c r="V539" s="10" t="s">
        <v>4</v>
      </c>
      <c r="W539" s="10"/>
    </row>
    <row r="540" spans="1:23" hidden="1">
      <c r="J540" s="1" t="str">
        <f t="shared" si="118"/>
        <v>0</v>
      </c>
      <c r="K540" s="3">
        <f t="shared" si="119"/>
        <v>-100</v>
      </c>
      <c r="L540" s="3">
        <f t="shared" si="120"/>
        <v>1</v>
      </c>
      <c r="M540" s="3">
        <f t="shared" si="121"/>
        <v>0</v>
      </c>
      <c r="N540" s="3" t="str">
        <f t="shared" si="122"/>
        <v>01</v>
      </c>
      <c r="O540" s="14" t="str">
        <f t="shared" si="123"/>
        <v>00</v>
      </c>
    </row>
    <row r="541" spans="1:23" hidden="1">
      <c r="J541" s="1" t="str">
        <f t="shared" si="118"/>
        <v>0</v>
      </c>
      <c r="K541" s="3">
        <f t="shared" si="119"/>
        <v>-100</v>
      </c>
      <c r="L541" s="3">
        <f t="shared" si="120"/>
        <v>1</v>
      </c>
      <c r="M541" s="3">
        <f t="shared" si="121"/>
        <v>0</v>
      </c>
      <c r="N541" s="3" t="str">
        <f t="shared" si="122"/>
        <v>01</v>
      </c>
      <c r="O541" s="14" t="str">
        <f t="shared" si="123"/>
        <v>00</v>
      </c>
    </row>
    <row r="542" spans="1:23">
      <c r="A542" s="3">
        <v>330</v>
      </c>
      <c r="B542" s="1">
        <f>IF(G542="-",0,IF(G541=G542,1,0))</f>
        <v>0</v>
      </c>
      <c r="C542" s="1">
        <f>+IF(G542="-",0,IF(I542=I541+1,0,(IF(I542=1,0,1))))</f>
        <v>1</v>
      </c>
      <c r="D542" s="1">
        <f>+IF(AND(P542="",Q542=""),1,0)</f>
        <v>0</v>
      </c>
      <c r="E542" s="1">
        <f t="shared" ref="E542:F544" si="128">IF(U542="",1,0)</f>
        <v>0</v>
      </c>
      <c r="F542" s="1">
        <f t="shared" si="128"/>
        <v>0</v>
      </c>
      <c r="G542" s="1" t="str">
        <f>IF(H542=0,"-",_xlfn.CONCAT(K542,N542,O542,J542))</f>
        <v>24042903</v>
      </c>
      <c r="H542" s="2">
        <v>45411</v>
      </c>
      <c r="I542" s="36">
        <v>3</v>
      </c>
      <c r="J542" s="1" t="str">
        <f t="shared" ref="J542:J605" si="129">+IF(I542&lt;10,_xlfn.CONCAT("0",I542),I542)</f>
        <v>03</v>
      </c>
      <c r="K542" s="3">
        <f t="shared" ref="K542:K605" si="130">+YEAR(H542)-2000</f>
        <v>24</v>
      </c>
      <c r="L542" s="3">
        <f t="shared" ref="L542:L605" si="131">+MONTH(H542)</f>
        <v>4</v>
      </c>
      <c r="M542" s="3">
        <f t="shared" ref="M542:M605" si="132">+DAY(H542)</f>
        <v>29</v>
      </c>
      <c r="N542" s="3" t="str">
        <f t="shared" ref="N542:N605" si="133">+IF(L542&lt;10,_xlfn.CONCAT("0",L542),L542)</f>
        <v>04</v>
      </c>
      <c r="O542" s="14">
        <f t="shared" ref="O542:O605" si="134">+IF(M542&lt;10,_xlfn.CONCAT("0",M542),M542)</f>
        <v>29</v>
      </c>
      <c r="P542" s="4">
        <v>800000</v>
      </c>
      <c r="T542" s="5" t="s">
        <v>262</v>
      </c>
      <c r="U542" s="3" t="s">
        <v>1</v>
      </c>
      <c r="V542" s="3" t="s">
        <v>4</v>
      </c>
    </row>
    <row r="543" spans="1:23">
      <c r="A543" s="3">
        <v>331</v>
      </c>
      <c r="B543" s="1">
        <f>IF(G543="-",0,IF(G542=G543,1,0))</f>
        <v>0</v>
      </c>
      <c r="C543" s="1">
        <f>+IF(G543="-",0,IF(I543=I542+1,0,(IF(I543=1,0,1))))</f>
        <v>0</v>
      </c>
      <c r="D543" s="1">
        <f>+IF(AND(P543="",Q543=""),1,0)</f>
        <v>0</v>
      </c>
      <c r="E543" s="1">
        <f t="shared" si="128"/>
        <v>0</v>
      </c>
      <c r="F543" s="1">
        <f t="shared" si="128"/>
        <v>0</v>
      </c>
      <c r="G543" s="1" t="str">
        <f>IF(H543=0,"-",_xlfn.CONCAT(K543,N543,O543,J543))</f>
        <v>24042904</v>
      </c>
      <c r="H543" s="2">
        <v>45411</v>
      </c>
      <c r="I543" s="36">
        <v>4</v>
      </c>
      <c r="J543" s="1" t="str">
        <f t="shared" si="129"/>
        <v>04</v>
      </c>
      <c r="K543" s="3">
        <f t="shared" si="130"/>
        <v>24</v>
      </c>
      <c r="L543" s="3">
        <f t="shared" si="131"/>
        <v>4</v>
      </c>
      <c r="M543" s="3">
        <f t="shared" si="132"/>
        <v>29</v>
      </c>
      <c r="N543" s="3" t="str">
        <f t="shared" si="133"/>
        <v>04</v>
      </c>
      <c r="O543" s="14">
        <f t="shared" si="134"/>
        <v>29</v>
      </c>
      <c r="P543" s="4">
        <f>46000*1.13</f>
        <v>51979.999999999993</v>
      </c>
      <c r="T543" s="5" t="s">
        <v>91</v>
      </c>
      <c r="U543" s="3" t="s">
        <v>1</v>
      </c>
      <c r="V543" s="3" t="s">
        <v>4</v>
      </c>
    </row>
    <row r="544" spans="1:23">
      <c r="A544" s="3">
        <v>332</v>
      </c>
      <c r="B544" s="1">
        <f>IF(G544="-",0,IF(G543=G544,1,0))</f>
        <v>0</v>
      </c>
      <c r="C544" s="1">
        <f>+IF(G544="-",0,IF(I544=I543+1,0,(IF(I544=1,0,1))))</f>
        <v>0</v>
      </c>
      <c r="D544" s="1">
        <f>+IF(AND(P544="",Q544=""),1,0)</f>
        <v>0</v>
      </c>
      <c r="E544" s="1">
        <f t="shared" si="128"/>
        <v>0</v>
      </c>
      <c r="F544" s="1">
        <f t="shared" si="128"/>
        <v>0</v>
      </c>
      <c r="G544" s="1" t="str">
        <f>IF(H544=0,"-",_xlfn.CONCAT(K544,N544,O544,J544))</f>
        <v>24042905</v>
      </c>
      <c r="H544" s="2">
        <v>45411</v>
      </c>
      <c r="I544" s="36">
        <v>5</v>
      </c>
      <c r="J544" s="1" t="str">
        <f t="shared" si="129"/>
        <v>05</v>
      </c>
      <c r="K544" s="3">
        <f t="shared" si="130"/>
        <v>24</v>
      </c>
      <c r="L544" s="3">
        <f t="shared" si="131"/>
        <v>4</v>
      </c>
      <c r="M544" s="3">
        <f t="shared" si="132"/>
        <v>29</v>
      </c>
      <c r="N544" s="3" t="str">
        <f t="shared" si="133"/>
        <v>04</v>
      </c>
      <c r="O544" s="14">
        <f t="shared" si="134"/>
        <v>29</v>
      </c>
      <c r="P544" s="4">
        <v>7780.01</v>
      </c>
      <c r="T544" s="5" t="s">
        <v>87</v>
      </c>
      <c r="U544" s="3" t="s">
        <v>1</v>
      </c>
      <c r="V544" s="3" t="s">
        <v>4</v>
      </c>
    </row>
    <row r="545" spans="1:22" hidden="1">
      <c r="J545" s="1" t="str">
        <f t="shared" si="129"/>
        <v>0</v>
      </c>
      <c r="K545" s="3">
        <f t="shared" si="130"/>
        <v>-100</v>
      </c>
      <c r="L545" s="3">
        <f t="shared" si="131"/>
        <v>1</v>
      </c>
      <c r="M545" s="3">
        <f t="shared" si="132"/>
        <v>0</v>
      </c>
      <c r="N545" s="3" t="str">
        <f t="shared" si="133"/>
        <v>01</v>
      </c>
      <c r="O545" s="14" t="str">
        <f t="shared" si="134"/>
        <v>00</v>
      </c>
    </row>
    <row r="546" spans="1:22" hidden="1">
      <c r="J546" s="1" t="str">
        <f t="shared" si="129"/>
        <v>0</v>
      </c>
      <c r="K546" s="3">
        <f t="shared" si="130"/>
        <v>-100</v>
      </c>
      <c r="L546" s="3">
        <f t="shared" si="131"/>
        <v>1</v>
      </c>
      <c r="M546" s="3">
        <f t="shared" si="132"/>
        <v>0</v>
      </c>
      <c r="N546" s="3" t="str">
        <f t="shared" si="133"/>
        <v>01</v>
      </c>
      <c r="O546" s="14" t="str">
        <f t="shared" si="134"/>
        <v>00</v>
      </c>
    </row>
    <row r="547" spans="1:22" hidden="1">
      <c r="J547" s="1" t="str">
        <f t="shared" si="129"/>
        <v>0</v>
      </c>
      <c r="K547" s="3">
        <f t="shared" si="130"/>
        <v>-100</v>
      </c>
      <c r="L547" s="3">
        <f t="shared" si="131"/>
        <v>1</v>
      </c>
      <c r="M547" s="3">
        <f t="shared" si="132"/>
        <v>0</v>
      </c>
      <c r="N547" s="3" t="str">
        <f t="shared" si="133"/>
        <v>01</v>
      </c>
      <c r="O547" s="14" t="str">
        <f t="shared" si="134"/>
        <v>00</v>
      </c>
    </row>
    <row r="548" spans="1:22" hidden="1">
      <c r="J548" s="1" t="str">
        <f t="shared" si="129"/>
        <v>0</v>
      </c>
      <c r="K548" s="3">
        <f t="shared" si="130"/>
        <v>-100</v>
      </c>
      <c r="L548" s="3">
        <f t="shared" si="131"/>
        <v>1</v>
      </c>
      <c r="M548" s="3">
        <f t="shared" si="132"/>
        <v>0</v>
      </c>
      <c r="N548" s="3" t="str">
        <f t="shared" si="133"/>
        <v>01</v>
      </c>
      <c r="O548" s="14" t="str">
        <f t="shared" si="134"/>
        <v>00</v>
      </c>
    </row>
    <row r="549" spans="1:22">
      <c r="A549" s="3">
        <v>342</v>
      </c>
      <c r="B549" s="1">
        <f>IF(G549="-",0,IF(G548=G549,1,0))</f>
        <v>0</v>
      </c>
      <c r="C549" s="1">
        <f>+IF(G549="-",0,IF(I549=I548+1,0,(IF(I549=1,0,1))))</f>
        <v>1</v>
      </c>
      <c r="D549" s="1">
        <f>+IF(AND(P549="",Q549=""),1,0)</f>
        <v>0</v>
      </c>
      <c r="E549" s="1">
        <f>IF(U549="",1,0)</f>
        <v>0</v>
      </c>
      <c r="F549" s="1">
        <f>IF(V549="",1,0)</f>
        <v>0</v>
      </c>
      <c r="G549" s="1" t="str">
        <f>IF(H549=0,"-",_xlfn.CONCAT(K549,N549,O549,J549))</f>
        <v>24043006</v>
      </c>
      <c r="H549" s="2">
        <v>45412</v>
      </c>
      <c r="I549" s="36">
        <v>6</v>
      </c>
      <c r="J549" s="1" t="str">
        <f t="shared" si="129"/>
        <v>06</v>
      </c>
      <c r="K549" s="3">
        <f t="shared" si="130"/>
        <v>24</v>
      </c>
      <c r="L549" s="3">
        <f t="shared" si="131"/>
        <v>4</v>
      </c>
      <c r="M549" s="3">
        <f t="shared" si="132"/>
        <v>30</v>
      </c>
      <c r="N549" s="3" t="str">
        <f t="shared" si="133"/>
        <v>04</v>
      </c>
      <c r="O549" s="14">
        <f t="shared" si="134"/>
        <v>30</v>
      </c>
      <c r="P549" s="4">
        <v>3980</v>
      </c>
      <c r="T549" s="5" t="s">
        <v>93</v>
      </c>
      <c r="U549" s="3" t="s">
        <v>1</v>
      </c>
      <c r="V549" s="3" t="s">
        <v>4</v>
      </c>
    </row>
    <row r="550" spans="1:22" hidden="1">
      <c r="J550" s="1" t="str">
        <f t="shared" si="129"/>
        <v>0</v>
      </c>
      <c r="K550" s="3">
        <f t="shared" si="130"/>
        <v>-100</v>
      </c>
      <c r="L550" s="3">
        <f t="shared" si="131"/>
        <v>1</v>
      </c>
      <c r="M550" s="3">
        <f t="shared" si="132"/>
        <v>0</v>
      </c>
      <c r="N550" s="3" t="str">
        <f t="shared" si="133"/>
        <v>01</v>
      </c>
      <c r="O550" s="14" t="str">
        <f t="shared" si="134"/>
        <v>00</v>
      </c>
    </row>
    <row r="551" spans="1:22">
      <c r="A551" s="3">
        <v>343</v>
      </c>
      <c r="B551" s="1">
        <f>IF(G551="-",0,IF(G550=G551,1,0))</f>
        <v>0</v>
      </c>
      <c r="C551" s="1">
        <f>+IF(G551="-",0,IF(I551=I550+1,0,(IF(I551=1,0,1))))</f>
        <v>1</v>
      </c>
      <c r="D551" s="1">
        <f>+IF(AND(P551="",Q551=""),1,0)</f>
        <v>0</v>
      </c>
      <c r="E551" s="1">
        <f>IF(U551="",1,0)</f>
        <v>0</v>
      </c>
      <c r="F551" s="1">
        <f>IF(V551="",1,0)</f>
        <v>0</v>
      </c>
      <c r="G551" s="1" t="str">
        <f>IF(H551=0,"-",_xlfn.CONCAT(K551,N551,O551,J551))</f>
        <v>24043007</v>
      </c>
      <c r="H551" s="2">
        <v>45412</v>
      </c>
      <c r="I551" s="36">
        <v>7</v>
      </c>
      <c r="J551" s="1" t="str">
        <f t="shared" si="129"/>
        <v>07</v>
      </c>
      <c r="K551" s="3">
        <f t="shared" si="130"/>
        <v>24</v>
      </c>
      <c r="L551" s="3">
        <f t="shared" si="131"/>
        <v>4</v>
      </c>
      <c r="M551" s="3">
        <f t="shared" si="132"/>
        <v>30</v>
      </c>
      <c r="N551" s="3" t="str">
        <f t="shared" si="133"/>
        <v>04</v>
      </c>
      <c r="O551" s="14">
        <f t="shared" si="134"/>
        <v>30</v>
      </c>
      <c r="P551" s="4">
        <f>400000+1545</f>
        <v>401545</v>
      </c>
      <c r="T551" s="5" t="s">
        <v>259</v>
      </c>
      <c r="U551" s="3" t="s">
        <v>1</v>
      </c>
      <c r="V551" s="3" t="s">
        <v>4</v>
      </c>
    </row>
    <row r="552" spans="1:22" hidden="1">
      <c r="J552" s="1" t="str">
        <f t="shared" si="129"/>
        <v>0</v>
      </c>
      <c r="K552" s="3">
        <f t="shared" si="130"/>
        <v>-100</v>
      </c>
      <c r="L552" s="3">
        <f t="shared" si="131"/>
        <v>1</v>
      </c>
      <c r="M552" s="3">
        <f t="shared" si="132"/>
        <v>0</v>
      </c>
      <c r="N552" s="3" t="str">
        <f t="shared" si="133"/>
        <v>01</v>
      </c>
      <c r="O552" s="14" t="str">
        <f t="shared" si="134"/>
        <v>00</v>
      </c>
    </row>
    <row r="553" spans="1:22" hidden="1">
      <c r="J553" s="1" t="str">
        <f t="shared" si="129"/>
        <v>0</v>
      </c>
      <c r="K553" s="3">
        <f t="shared" si="130"/>
        <v>-100</v>
      </c>
      <c r="L553" s="3">
        <f t="shared" si="131"/>
        <v>1</v>
      </c>
      <c r="M553" s="3">
        <f t="shared" si="132"/>
        <v>0</v>
      </c>
      <c r="N553" s="3" t="str">
        <f t="shared" si="133"/>
        <v>01</v>
      </c>
      <c r="O553" s="14" t="str">
        <f t="shared" si="134"/>
        <v>00</v>
      </c>
    </row>
    <row r="554" spans="1:22" hidden="1">
      <c r="J554" s="1" t="str">
        <f t="shared" si="129"/>
        <v>0</v>
      </c>
      <c r="K554" s="3">
        <f t="shared" si="130"/>
        <v>-100</v>
      </c>
      <c r="L554" s="3">
        <f t="shared" si="131"/>
        <v>1</v>
      </c>
      <c r="M554" s="3">
        <f t="shared" si="132"/>
        <v>0</v>
      </c>
      <c r="N554" s="3" t="str">
        <f t="shared" si="133"/>
        <v>01</v>
      </c>
      <c r="O554" s="14" t="str">
        <f t="shared" si="134"/>
        <v>00</v>
      </c>
    </row>
    <row r="555" spans="1:22" hidden="1">
      <c r="J555" s="1" t="str">
        <f t="shared" si="129"/>
        <v>0</v>
      </c>
      <c r="K555" s="3">
        <f t="shared" si="130"/>
        <v>-100</v>
      </c>
      <c r="L555" s="3">
        <f t="shared" si="131"/>
        <v>1</v>
      </c>
      <c r="M555" s="3">
        <f t="shared" si="132"/>
        <v>0</v>
      </c>
      <c r="N555" s="3" t="str">
        <f t="shared" si="133"/>
        <v>01</v>
      </c>
      <c r="O555" s="14" t="str">
        <f t="shared" si="134"/>
        <v>00</v>
      </c>
    </row>
    <row r="556" spans="1:22" hidden="1">
      <c r="J556" s="1" t="str">
        <f t="shared" si="129"/>
        <v>0</v>
      </c>
      <c r="K556" s="3">
        <f t="shared" si="130"/>
        <v>-100</v>
      </c>
      <c r="L556" s="3">
        <f t="shared" si="131"/>
        <v>1</v>
      </c>
      <c r="M556" s="3">
        <f t="shared" si="132"/>
        <v>0</v>
      </c>
      <c r="N556" s="3" t="str">
        <f t="shared" si="133"/>
        <v>01</v>
      </c>
      <c r="O556" s="14" t="str">
        <f t="shared" si="134"/>
        <v>00</v>
      </c>
    </row>
    <row r="557" spans="1:22">
      <c r="A557" s="3">
        <v>344</v>
      </c>
      <c r="B557" s="1">
        <f t="shared" ref="B557:B562" si="135">IF(G557="-",0,IF(G556=G557,1,0))</f>
        <v>0</v>
      </c>
      <c r="C557" s="1">
        <f t="shared" ref="C557:C562" si="136">+IF(G557="-",0,IF(I557=I556+1,0,(IF(I557=1,0,1))))</f>
        <v>1</v>
      </c>
      <c r="D557" s="1">
        <f t="shared" ref="D557:D562" si="137">+IF(AND(P557="",Q557=""),1,0)</f>
        <v>0</v>
      </c>
      <c r="E557" s="1">
        <f t="shared" ref="E557:F562" si="138">IF(U557="",1,0)</f>
        <v>0</v>
      </c>
      <c r="F557" s="1">
        <f t="shared" si="138"/>
        <v>0</v>
      </c>
      <c r="G557" s="1" t="str">
        <f t="shared" ref="G557:G562" si="139">IF(H557=0,"-",_xlfn.CONCAT(K557,N557,O557,J557))</f>
        <v>24043008</v>
      </c>
      <c r="H557" s="2">
        <v>45412</v>
      </c>
      <c r="I557" s="36">
        <v>8</v>
      </c>
      <c r="J557" s="1" t="str">
        <f t="shared" si="129"/>
        <v>08</v>
      </c>
      <c r="K557" s="3">
        <f t="shared" si="130"/>
        <v>24</v>
      </c>
      <c r="L557" s="3">
        <f t="shared" si="131"/>
        <v>4</v>
      </c>
      <c r="M557" s="3">
        <f t="shared" si="132"/>
        <v>30</v>
      </c>
      <c r="N557" s="3" t="str">
        <f t="shared" si="133"/>
        <v>04</v>
      </c>
      <c r="O557" s="14">
        <f t="shared" si="134"/>
        <v>30</v>
      </c>
      <c r="P557" s="4">
        <v>149160</v>
      </c>
      <c r="T557" s="5" t="s">
        <v>95</v>
      </c>
      <c r="U557" s="3" t="s">
        <v>1</v>
      </c>
      <c r="V557" s="3" t="s">
        <v>4</v>
      </c>
    </row>
    <row r="558" spans="1:22">
      <c r="A558" s="3">
        <v>345</v>
      </c>
      <c r="B558" s="1">
        <f t="shared" si="135"/>
        <v>0</v>
      </c>
      <c r="C558" s="1">
        <f t="shared" si="136"/>
        <v>0</v>
      </c>
      <c r="D558" s="1">
        <f t="shared" si="137"/>
        <v>0</v>
      </c>
      <c r="E558" s="1">
        <f t="shared" si="138"/>
        <v>0</v>
      </c>
      <c r="F558" s="1">
        <f t="shared" si="138"/>
        <v>0</v>
      </c>
      <c r="G558" s="1" t="str">
        <f t="shared" si="139"/>
        <v>24043009</v>
      </c>
      <c r="H558" s="2">
        <v>45412</v>
      </c>
      <c r="I558" s="36">
        <v>9</v>
      </c>
      <c r="J558" s="1" t="str">
        <f t="shared" si="129"/>
        <v>09</v>
      </c>
      <c r="K558" s="3">
        <f t="shared" si="130"/>
        <v>24</v>
      </c>
      <c r="L558" s="3">
        <f t="shared" si="131"/>
        <v>4</v>
      </c>
      <c r="M558" s="3">
        <f t="shared" si="132"/>
        <v>30</v>
      </c>
      <c r="N558" s="3" t="str">
        <f t="shared" si="133"/>
        <v>04</v>
      </c>
      <c r="O558" s="14">
        <f t="shared" si="134"/>
        <v>30</v>
      </c>
      <c r="P558" s="4">
        <f>150000*1.13</f>
        <v>169499.99999999997</v>
      </c>
      <c r="T558" s="5" t="s">
        <v>94</v>
      </c>
      <c r="U558" s="3" t="s">
        <v>1</v>
      </c>
      <c r="V558" s="3" t="s">
        <v>4</v>
      </c>
    </row>
    <row r="559" spans="1:22">
      <c r="A559" s="3">
        <v>349</v>
      </c>
      <c r="B559" s="1">
        <f t="shared" si="135"/>
        <v>0</v>
      </c>
      <c r="C559" s="1">
        <f t="shared" si="136"/>
        <v>1</v>
      </c>
      <c r="D559" s="1">
        <f t="shared" si="137"/>
        <v>0</v>
      </c>
      <c r="E559" s="1">
        <f t="shared" si="138"/>
        <v>0</v>
      </c>
      <c r="F559" s="1">
        <f t="shared" si="138"/>
        <v>0</v>
      </c>
      <c r="G559" s="1" t="str">
        <f t="shared" si="139"/>
        <v>24043013</v>
      </c>
      <c r="H559" s="2">
        <v>45412</v>
      </c>
      <c r="I559" s="36">
        <v>13</v>
      </c>
      <c r="J559" s="1">
        <f t="shared" si="129"/>
        <v>13</v>
      </c>
      <c r="K559" s="3">
        <f t="shared" si="130"/>
        <v>24</v>
      </c>
      <c r="L559" s="3">
        <f t="shared" si="131"/>
        <v>4</v>
      </c>
      <c r="M559" s="3">
        <f t="shared" si="132"/>
        <v>30</v>
      </c>
      <c r="N559" s="3" t="str">
        <f t="shared" si="133"/>
        <v>04</v>
      </c>
      <c r="O559" s="14">
        <f t="shared" si="134"/>
        <v>30</v>
      </c>
      <c r="P559" s="4">
        <f>200000+1545</f>
        <v>201545</v>
      </c>
      <c r="T559" s="5" t="s">
        <v>39</v>
      </c>
      <c r="U559" s="3" t="s">
        <v>1</v>
      </c>
      <c r="V559" s="3" t="s">
        <v>4</v>
      </c>
    </row>
    <row r="560" spans="1:22">
      <c r="A560" s="3">
        <v>356</v>
      </c>
      <c r="B560" s="1">
        <f t="shared" si="135"/>
        <v>0</v>
      </c>
      <c r="C560" s="1">
        <f t="shared" si="136"/>
        <v>0</v>
      </c>
      <c r="D560" s="1">
        <f t="shared" si="137"/>
        <v>0</v>
      </c>
      <c r="E560" s="1">
        <f t="shared" si="138"/>
        <v>0</v>
      </c>
      <c r="F560" s="1">
        <f t="shared" si="138"/>
        <v>0</v>
      </c>
      <c r="G560" s="1" t="str">
        <f t="shared" si="139"/>
        <v>24050101</v>
      </c>
      <c r="H560" s="2">
        <v>45413</v>
      </c>
      <c r="I560" s="1">
        <v>1</v>
      </c>
      <c r="J560" s="1" t="str">
        <f t="shared" si="129"/>
        <v>01</v>
      </c>
      <c r="K560" s="3">
        <f t="shared" si="130"/>
        <v>24</v>
      </c>
      <c r="L560" s="3">
        <f t="shared" si="131"/>
        <v>5</v>
      </c>
      <c r="M560" s="3">
        <f t="shared" si="132"/>
        <v>1</v>
      </c>
      <c r="N560" s="3" t="str">
        <f t="shared" si="133"/>
        <v>05</v>
      </c>
      <c r="O560" s="14" t="str">
        <f t="shared" si="134"/>
        <v>01</v>
      </c>
      <c r="P560" s="4">
        <v>559185.06000000006</v>
      </c>
      <c r="T560" s="5" t="s">
        <v>205</v>
      </c>
      <c r="U560" s="3" t="s">
        <v>1</v>
      </c>
      <c r="V560" s="3" t="s">
        <v>4</v>
      </c>
    </row>
    <row r="561" spans="1:23">
      <c r="A561" s="3">
        <v>357</v>
      </c>
      <c r="B561" s="1">
        <f t="shared" si="135"/>
        <v>0</v>
      </c>
      <c r="C561" s="1">
        <f t="shared" si="136"/>
        <v>0</v>
      </c>
      <c r="D561" s="1">
        <f t="shared" si="137"/>
        <v>0</v>
      </c>
      <c r="E561" s="1">
        <f t="shared" si="138"/>
        <v>0</v>
      </c>
      <c r="F561" s="1">
        <f t="shared" si="138"/>
        <v>0</v>
      </c>
      <c r="G561" s="1" t="str">
        <f t="shared" si="139"/>
        <v>24050102</v>
      </c>
      <c r="H561" s="2">
        <v>45413</v>
      </c>
      <c r="I561" s="1">
        <v>2</v>
      </c>
      <c r="J561" s="1" t="str">
        <f t="shared" si="129"/>
        <v>02</v>
      </c>
      <c r="K561" s="3">
        <f t="shared" si="130"/>
        <v>24</v>
      </c>
      <c r="L561" s="3">
        <f t="shared" si="131"/>
        <v>5</v>
      </c>
      <c r="M561" s="3">
        <f t="shared" si="132"/>
        <v>1</v>
      </c>
      <c r="N561" s="3" t="str">
        <f t="shared" si="133"/>
        <v>05</v>
      </c>
      <c r="O561" s="14" t="str">
        <f t="shared" si="134"/>
        <v>01</v>
      </c>
      <c r="P561" s="4">
        <v>1269753.8799999999</v>
      </c>
      <c r="R561" s="6">
        <v>497</v>
      </c>
      <c r="S561" s="5">
        <f>+P561/R561</f>
        <v>2554.8367806841043</v>
      </c>
      <c r="T561" s="5" t="s">
        <v>837</v>
      </c>
      <c r="U561" s="3" t="s">
        <v>3</v>
      </c>
      <c r="V561" s="3" t="s">
        <v>4</v>
      </c>
      <c r="W561" s="3" t="s">
        <v>97</v>
      </c>
    </row>
    <row r="562" spans="1:23">
      <c r="A562" s="3">
        <v>362</v>
      </c>
      <c r="B562" s="1">
        <f t="shared" si="135"/>
        <v>0</v>
      </c>
      <c r="C562" s="1">
        <f t="shared" si="136"/>
        <v>0</v>
      </c>
      <c r="D562" s="1">
        <f t="shared" si="137"/>
        <v>0</v>
      </c>
      <c r="E562" s="1">
        <f t="shared" si="138"/>
        <v>0</v>
      </c>
      <c r="F562" s="1">
        <f t="shared" si="138"/>
        <v>0</v>
      </c>
      <c r="G562" s="1" t="str">
        <f t="shared" si="139"/>
        <v>24050201</v>
      </c>
      <c r="H562" s="2">
        <v>45414</v>
      </c>
      <c r="I562" s="36">
        <v>1</v>
      </c>
      <c r="J562" s="1" t="str">
        <f t="shared" si="129"/>
        <v>01</v>
      </c>
      <c r="K562" s="3">
        <f t="shared" si="130"/>
        <v>24</v>
      </c>
      <c r="L562" s="3">
        <f t="shared" si="131"/>
        <v>5</v>
      </c>
      <c r="M562" s="3">
        <f t="shared" si="132"/>
        <v>2</v>
      </c>
      <c r="N562" s="3" t="str">
        <f t="shared" si="133"/>
        <v>05</v>
      </c>
      <c r="O562" s="14" t="str">
        <f t="shared" si="134"/>
        <v>02</v>
      </c>
      <c r="P562" s="4">
        <v>877024.64</v>
      </c>
      <c r="R562" s="6">
        <v>497</v>
      </c>
      <c r="S562" s="5">
        <f>+P562/R562</f>
        <v>1764.6371026156942</v>
      </c>
      <c r="T562" s="5" t="s">
        <v>297</v>
      </c>
      <c r="U562" s="3" t="s">
        <v>3</v>
      </c>
      <c r="V562" s="3" t="s">
        <v>4</v>
      </c>
    </row>
    <row r="563" spans="1:23" hidden="1">
      <c r="J563" s="1" t="str">
        <f t="shared" si="129"/>
        <v>0</v>
      </c>
      <c r="K563" s="3">
        <f t="shared" si="130"/>
        <v>-100</v>
      </c>
      <c r="L563" s="3">
        <f t="shared" si="131"/>
        <v>1</v>
      </c>
      <c r="M563" s="3">
        <f t="shared" si="132"/>
        <v>0</v>
      </c>
      <c r="N563" s="3" t="str">
        <f t="shared" si="133"/>
        <v>01</v>
      </c>
      <c r="O563" s="14" t="str">
        <f t="shared" si="134"/>
        <v>00</v>
      </c>
      <c r="Q563" s="3"/>
      <c r="R563" s="6">
        <v>504</v>
      </c>
      <c r="S563" s="5">
        <f>IFERROR(P563/R563,"")</f>
        <v>0</v>
      </c>
      <c r="T563" s="3"/>
    </row>
    <row r="564" spans="1:23">
      <c r="A564" s="3">
        <v>364</v>
      </c>
      <c r="B564" s="1">
        <f>IF(G564="-",0,IF(G562=G564,1,0))</f>
        <v>0</v>
      </c>
      <c r="C564" s="1">
        <f>+IF(G564="-",0,IF(I564=I562+1,0,(IF(I564=1,0,1))))</f>
        <v>0</v>
      </c>
      <c r="D564" s="1">
        <f>+IF(AND(P564="",Q564=""),1,0)</f>
        <v>0</v>
      </c>
      <c r="E564" s="1">
        <f>IF(U564="",1,0)</f>
        <v>0</v>
      </c>
      <c r="F564" s="1">
        <f>IF(V564="",1,0)</f>
        <v>0</v>
      </c>
      <c r="G564" s="1" t="str">
        <f>IF(H564=0,"-",_xlfn.CONCAT(K564,N564,O564,J564))</f>
        <v>24050202</v>
      </c>
      <c r="H564" s="2">
        <v>45414</v>
      </c>
      <c r="I564" s="36">
        <v>2</v>
      </c>
      <c r="J564" s="1" t="str">
        <f t="shared" si="129"/>
        <v>02</v>
      </c>
      <c r="K564" s="3">
        <f t="shared" si="130"/>
        <v>24</v>
      </c>
      <c r="L564" s="3">
        <f t="shared" si="131"/>
        <v>5</v>
      </c>
      <c r="M564" s="3">
        <f t="shared" si="132"/>
        <v>2</v>
      </c>
      <c r="N564" s="3" t="str">
        <f t="shared" si="133"/>
        <v>05</v>
      </c>
      <c r="O564" s="14" t="str">
        <f t="shared" si="134"/>
        <v>02</v>
      </c>
      <c r="P564" s="4">
        <v>25212.560000000001</v>
      </c>
      <c r="T564" s="5" t="s">
        <v>99</v>
      </c>
      <c r="U564" s="3" t="s">
        <v>29</v>
      </c>
      <c r="V564" s="3" t="s">
        <v>4</v>
      </c>
      <c r="W564" s="3" t="s">
        <v>119</v>
      </c>
    </row>
    <row r="565" spans="1:23" hidden="1">
      <c r="J565" s="1" t="str">
        <f t="shared" si="129"/>
        <v>0</v>
      </c>
      <c r="K565" s="3">
        <f t="shared" si="130"/>
        <v>-100</v>
      </c>
      <c r="L565" s="3">
        <f t="shared" si="131"/>
        <v>1</v>
      </c>
      <c r="M565" s="3">
        <f t="shared" si="132"/>
        <v>0</v>
      </c>
      <c r="N565" s="3" t="str">
        <f t="shared" si="133"/>
        <v>01</v>
      </c>
      <c r="O565" s="14" t="str">
        <f t="shared" si="134"/>
        <v>00</v>
      </c>
      <c r="Q565" s="3"/>
      <c r="R565" s="6">
        <v>504</v>
      </c>
      <c r="S565" s="5">
        <f>IFERROR(P565/R565,"")</f>
        <v>0</v>
      </c>
      <c r="T565" s="3"/>
    </row>
    <row r="566" spans="1:23" hidden="1">
      <c r="J566" s="1" t="str">
        <f t="shared" si="129"/>
        <v>0</v>
      </c>
      <c r="K566" s="3">
        <f t="shared" si="130"/>
        <v>-100</v>
      </c>
      <c r="L566" s="3">
        <f t="shared" si="131"/>
        <v>1</v>
      </c>
      <c r="M566" s="3">
        <f t="shared" si="132"/>
        <v>0</v>
      </c>
      <c r="N566" s="3" t="str">
        <f t="shared" si="133"/>
        <v>01</v>
      </c>
      <c r="O566" s="14" t="str">
        <f t="shared" si="134"/>
        <v>00</v>
      </c>
      <c r="Q566" s="3"/>
      <c r="R566" s="6">
        <v>504</v>
      </c>
      <c r="S566" s="5">
        <f>IFERROR(P566/R566,"")</f>
        <v>0</v>
      </c>
      <c r="T566" s="3"/>
    </row>
    <row r="567" spans="1:23" hidden="1">
      <c r="J567" s="1" t="str">
        <f t="shared" si="129"/>
        <v>0</v>
      </c>
      <c r="K567" s="3">
        <f t="shared" si="130"/>
        <v>-100</v>
      </c>
      <c r="L567" s="3">
        <f t="shared" si="131"/>
        <v>1</v>
      </c>
      <c r="M567" s="3">
        <f t="shared" si="132"/>
        <v>0</v>
      </c>
      <c r="N567" s="3" t="str">
        <f t="shared" si="133"/>
        <v>01</v>
      </c>
      <c r="O567" s="14" t="str">
        <f t="shared" si="134"/>
        <v>00</v>
      </c>
      <c r="R567" s="6">
        <v>504</v>
      </c>
      <c r="S567" s="5">
        <f>IFERROR(P567/R567,"")</f>
        <v>0</v>
      </c>
      <c r="T567" s="3"/>
    </row>
    <row r="568" spans="1:23" hidden="1">
      <c r="J568" s="1" t="str">
        <f t="shared" si="129"/>
        <v>0</v>
      </c>
      <c r="K568" s="3">
        <f t="shared" si="130"/>
        <v>-100</v>
      </c>
      <c r="L568" s="3">
        <f t="shared" si="131"/>
        <v>1</v>
      </c>
      <c r="M568" s="3">
        <f t="shared" si="132"/>
        <v>0</v>
      </c>
      <c r="N568" s="3" t="str">
        <f t="shared" si="133"/>
        <v>01</v>
      </c>
      <c r="O568" s="14" t="str">
        <f t="shared" si="134"/>
        <v>00</v>
      </c>
      <c r="R568" s="6">
        <v>504</v>
      </c>
      <c r="S568" s="5">
        <f>IFERROR(P568/R568,"")</f>
        <v>0</v>
      </c>
      <c r="T568" s="3"/>
    </row>
    <row r="569" spans="1:23" hidden="1">
      <c r="J569" s="1" t="str">
        <f t="shared" si="129"/>
        <v>0</v>
      </c>
      <c r="K569" s="3">
        <f t="shared" si="130"/>
        <v>-100</v>
      </c>
      <c r="L569" s="3">
        <f t="shared" si="131"/>
        <v>1</v>
      </c>
      <c r="M569" s="3">
        <f t="shared" si="132"/>
        <v>0</v>
      </c>
      <c r="N569" s="3" t="str">
        <f t="shared" si="133"/>
        <v>01</v>
      </c>
      <c r="O569" s="14" t="str">
        <f t="shared" si="134"/>
        <v>00</v>
      </c>
      <c r="R569" s="6">
        <v>504</v>
      </c>
      <c r="S569" s="5">
        <f>IFERROR(P569/R569,"")</f>
        <v>0</v>
      </c>
    </row>
    <row r="570" spans="1:23">
      <c r="A570" s="3">
        <v>366</v>
      </c>
      <c r="B570" s="1">
        <f>IF(G570="-",0,IF(G569=G570,1,0))</f>
        <v>0</v>
      </c>
      <c r="C570" s="1">
        <f>+IF(G570="-",0,IF(I570=I569+1,0,(IF(I570=1,0,1))))</f>
        <v>1</v>
      </c>
      <c r="D570" s="1">
        <f>+IF(AND(P570="",Q570=""),1,0)</f>
        <v>0</v>
      </c>
      <c r="E570" s="1">
        <f t="shared" ref="E570:F573" si="140">IF(U570="",1,0)</f>
        <v>0</v>
      </c>
      <c r="F570" s="1">
        <f t="shared" si="140"/>
        <v>0</v>
      </c>
      <c r="G570" s="1" t="str">
        <f>IF(H570=0,"-",_xlfn.CONCAT(K570,N570,O570,J570))</f>
        <v>24050204</v>
      </c>
      <c r="H570" s="2">
        <v>45414</v>
      </c>
      <c r="I570" s="36">
        <v>4</v>
      </c>
      <c r="J570" s="1" t="str">
        <f t="shared" si="129"/>
        <v>04</v>
      </c>
      <c r="K570" s="3">
        <f t="shared" si="130"/>
        <v>24</v>
      </c>
      <c r="L570" s="3">
        <f t="shared" si="131"/>
        <v>5</v>
      </c>
      <c r="M570" s="3">
        <f t="shared" si="132"/>
        <v>2</v>
      </c>
      <c r="N570" s="3" t="str">
        <f t="shared" si="133"/>
        <v>05</v>
      </c>
      <c r="O570" s="14" t="str">
        <f t="shared" si="134"/>
        <v>02</v>
      </c>
      <c r="P570" s="4">
        <v>46747.1</v>
      </c>
      <c r="T570" s="5" t="s">
        <v>87</v>
      </c>
      <c r="U570" s="3" t="s">
        <v>29</v>
      </c>
      <c r="V570" s="3" t="s">
        <v>4</v>
      </c>
    </row>
    <row r="571" spans="1:23">
      <c r="A571" s="3">
        <v>368</v>
      </c>
      <c r="B571" s="1">
        <f>IF(G571="-",0,IF(G570=G571,1,0))</f>
        <v>0</v>
      </c>
      <c r="C571" s="1">
        <f>+IF(G571="-",0,IF(I571=I570+1,0,(IF(I571=1,0,1))))</f>
        <v>1</v>
      </c>
      <c r="D571" s="1">
        <f>+IF(AND(P571="",Q571=""),1,0)</f>
        <v>0</v>
      </c>
      <c r="E571" s="1">
        <f t="shared" si="140"/>
        <v>0</v>
      </c>
      <c r="F571" s="1">
        <f t="shared" si="140"/>
        <v>0</v>
      </c>
      <c r="G571" s="1" t="str">
        <f>IF(H571=0,"-",_xlfn.CONCAT(K571,N571,O571,J571))</f>
        <v>24050206</v>
      </c>
      <c r="H571" s="2">
        <v>45414</v>
      </c>
      <c r="I571" s="36">
        <v>6</v>
      </c>
      <c r="J571" s="1" t="str">
        <f t="shared" si="129"/>
        <v>06</v>
      </c>
      <c r="K571" s="3">
        <f t="shared" si="130"/>
        <v>24</v>
      </c>
      <c r="L571" s="3">
        <f t="shared" si="131"/>
        <v>5</v>
      </c>
      <c r="M571" s="3">
        <f t="shared" si="132"/>
        <v>2</v>
      </c>
      <c r="N571" s="3" t="str">
        <f t="shared" si="133"/>
        <v>05</v>
      </c>
      <c r="O571" s="14" t="str">
        <f t="shared" si="134"/>
        <v>02</v>
      </c>
      <c r="P571" s="4">
        <v>30000</v>
      </c>
      <c r="T571" s="5" t="s">
        <v>118</v>
      </c>
      <c r="U571" s="3" t="s">
        <v>29</v>
      </c>
      <c r="V571" s="3" t="s">
        <v>4</v>
      </c>
    </row>
    <row r="572" spans="1:23" s="92" customFormat="1">
      <c r="A572" s="3">
        <v>369</v>
      </c>
      <c r="B572" s="1">
        <f>IF(G572="-",0,IF(G571=G572,1,0))</f>
        <v>0</v>
      </c>
      <c r="C572" s="1">
        <f>+IF(G572="-",0,IF(I572=I571+1,0,(IF(I572=1,0,1))))</f>
        <v>0</v>
      </c>
      <c r="D572" s="1">
        <f>+IF(AND(P572="",Q572=""),1,0)</f>
        <v>0</v>
      </c>
      <c r="E572" s="1">
        <f t="shared" si="140"/>
        <v>0</v>
      </c>
      <c r="F572" s="1">
        <f t="shared" si="140"/>
        <v>0</v>
      </c>
      <c r="G572" s="1" t="str">
        <f>IF(H572=0,"-",_xlfn.CONCAT(K572,N572,O572,J572))</f>
        <v>24050207</v>
      </c>
      <c r="H572" s="2">
        <v>45414</v>
      </c>
      <c r="I572" s="36">
        <v>7</v>
      </c>
      <c r="J572" s="1" t="str">
        <f t="shared" si="129"/>
        <v>07</v>
      </c>
      <c r="K572" s="3">
        <f t="shared" si="130"/>
        <v>24</v>
      </c>
      <c r="L572" s="3">
        <f t="shared" si="131"/>
        <v>5</v>
      </c>
      <c r="M572" s="3">
        <f t="shared" si="132"/>
        <v>2</v>
      </c>
      <c r="N572" s="3" t="str">
        <f t="shared" si="133"/>
        <v>05</v>
      </c>
      <c r="O572" s="14" t="str">
        <f t="shared" si="134"/>
        <v>02</v>
      </c>
      <c r="P572" s="4">
        <v>25628.400000000001</v>
      </c>
      <c r="Q572" s="5"/>
      <c r="R572" s="6"/>
      <c r="S572" s="5"/>
      <c r="T572" s="5" t="s">
        <v>178</v>
      </c>
      <c r="U572" s="3" t="s">
        <v>29</v>
      </c>
      <c r="V572" s="3" t="s">
        <v>4</v>
      </c>
      <c r="W572" s="3"/>
    </row>
    <row r="573" spans="1:23">
      <c r="A573" s="3">
        <v>371</v>
      </c>
      <c r="B573" s="1">
        <f>IF(G573="-",0,IF(G572=G573,1,0))</f>
        <v>0</v>
      </c>
      <c r="C573" s="1">
        <f>+IF(G573="-",0,IF(I573=I572+1,0,(IF(I573=1,0,1))))</f>
        <v>1</v>
      </c>
      <c r="D573" s="1">
        <f>+IF(AND(P573="",Q573=""),1,0)</f>
        <v>0</v>
      </c>
      <c r="E573" s="1">
        <f t="shared" si="140"/>
        <v>0</v>
      </c>
      <c r="F573" s="1">
        <f t="shared" si="140"/>
        <v>0</v>
      </c>
      <c r="G573" s="1" t="str">
        <f>IF(H573=0,"-",_xlfn.CONCAT(K573,N573,O573,J573))</f>
        <v>24050209</v>
      </c>
      <c r="H573" s="2">
        <v>45414</v>
      </c>
      <c r="I573" s="36">
        <v>9</v>
      </c>
      <c r="J573" s="1" t="str">
        <f t="shared" si="129"/>
        <v>09</v>
      </c>
      <c r="K573" s="3">
        <f t="shared" si="130"/>
        <v>24</v>
      </c>
      <c r="L573" s="3">
        <f t="shared" si="131"/>
        <v>5</v>
      </c>
      <c r="M573" s="3">
        <f t="shared" si="132"/>
        <v>2</v>
      </c>
      <c r="N573" s="3" t="str">
        <f t="shared" si="133"/>
        <v>05</v>
      </c>
      <c r="O573" s="14" t="str">
        <f t="shared" si="134"/>
        <v>02</v>
      </c>
      <c r="P573" s="4">
        <v>43200</v>
      </c>
      <c r="T573" s="5" t="s">
        <v>181</v>
      </c>
      <c r="U573" s="3" t="s">
        <v>29</v>
      </c>
      <c r="V573" s="3" t="s">
        <v>4</v>
      </c>
    </row>
    <row r="574" spans="1:23" hidden="1">
      <c r="J574" s="1" t="str">
        <f t="shared" si="129"/>
        <v>0</v>
      </c>
      <c r="K574" s="3">
        <f t="shared" si="130"/>
        <v>-100</v>
      </c>
      <c r="L574" s="3">
        <f t="shared" si="131"/>
        <v>1</v>
      </c>
      <c r="M574" s="3">
        <f t="shared" si="132"/>
        <v>0</v>
      </c>
      <c r="N574" s="3" t="str">
        <f t="shared" si="133"/>
        <v>01</v>
      </c>
      <c r="O574" s="14" t="str">
        <f t="shared" si="134"/>
        <v>00</v>
      </c>
      <c r="R574" s="6">
        <v>504</v>
      </c>
      <c r="S574" s="5">
        <f>IFERROR(P574/R574,"")</f>
        <v>0</v>
      </c>
    </row>
    <row r="575" spans="1:23" hidden="1">
      <c r="J575" s="1" t="str">
        <f t="shared" si="129"/>
        <v>0</v>
      </c>
      <c r="K575" s="3">
        <f t="shared" si="130"/>
        <v>-100</v>
      </c>
      <c r="L575" s="3">
        <f t="shared" si="131"/>
        <v>1</v>
      </c>
      <c r="M575" s="3">
        <f t="shared" si="132"/>
        <v>0</v>
      </c>
      <c r="N575" s="3" t="str">
        <f t="shared" si="133"/>
        <v>01</v>
      </c>
      <c r="O575" s="14" t="str">
        <f t="shared" si="134"/>
        <v>00</v>
      </c>
      <c r="R575" s="6">
        <v>504</v>
      </c>
      <c r="S575" s="5">
        <f>IFERROR(P575/R575,"")</f>
        <v>0</v>
      </c>
      <c r="T575" s="16"/>
    </row>
    <row r="576" spans="1:23" hidden="1">
      <c r="J576" s="1" t="str">
        <f t="shared" si="129"/>
        <v>0</v>
      </c>
      <c r="K576" s="3">
        <f t="shared" si="130"/>
        <v>-100</v>
      </c>
      <c r="L576" s="3">
        <f t="shared" si="131"/>
        <v>1</v>
      </c>
      <c r="M576" s="3">
        <f t="shared" si="132"/>
        <v>0</v>
      </c>
      <c r="N576" s="3" t="str">
        <f t="shared" si="133"/>
        <v>01</v>
      </c>
      <c r="O576" s="14" t="str">
        <f t="shared" si="134"/>
        <v>00</v>
      </c>
      <c r="R576" s="6">
        <v>504</v>
      </c>
      <c r="S576" s="5">
        <f>IFERROR(P576/R576,"")</f>
        <v>0</v>
      </c>
    </row>
    <row r="577" spans="1:23" hidden="1">
      <c r="J577" s="1" t="str">
        <f t="shared" si="129"/>
        <v>0</v>
      </c>
      <c r="K577" s="3">
        <f t="shared" si="130"/>
        <v>-100</v>
      </c>
      <c r="L577" s="3">
        <f t="shared" si="131"/>
        <v>1</v>
      </c>
      <c r="M577" s="3">
        <f t="shared" si="132"/>
        <v>0</v>
      </c>
      <c r="N577" s="3" t="str">
        <f t="shared" si="133"/>
        <v>01</v>
      </c>
      <c r="O577" s="14" t="str">
        <f t="shared" si="134"/>
        <v>00</v>
      </c>
    </row>
    <row r="578" spans="1:23" hidden="1">
      <c r="J578" s="1" t="str">
        <f t="shared" si="129"/>
        <v>0</v>
      </c>
      <c r="K578" s="3">
        <f t="shared" si="130"/>
        <v>-100</v>
      </c>
      <c r="L578" s="3">
        <f t="shared" si="131"/>
        <v>1</v>
      </c>
      <c r="M578" s="3">
        <f t="shared" si="132"/>
        <v>0</v>
      </c>
      <c r="N578" s="3" t="str">
        <f t="shared" si="133"/>
        <v>01</v>
      </c>
      <c r="O578" s="14" t="str">
        <f t="shared" si="134"/>
        <v>00</v>
      </c>
      <c r="R578" s="6">
        <v>504</v>
      </c>
      <c r="S578" s="5">
        <f t="shared" ref="S578:S584" si="141">IFERROR(P578/R578,"")</f>
        <v>0</v>
      </c>
    </row>
    <row r="579" spans="1:23" hidden="1">
      <c r="J579" s="1" t="str">
        <f t="shared" si="129"/>
        <v>0</v>
      </c>
      <c r="K579" s="3">
        <f t="shared" si="130"/>
        <v>-100</v>
      </c>
      <c r="L579" s="3">
        <f t="shared" si="131"/>
        <v>1</v>
      </c>
      <c r="M579" s="3">
        <f t="shared" si="132"/>
        <v>0</v>
      </c>
      <c r="N579" s="3" t="str">
        <f t="shared" si="133"/>
        <v>01</v>
      </c>
      <c r="O579" s="14" t="str">
        <f t="shared" si="134"/>
        <v>00</v>
      </c>
      <c r="R579" s="6">
        <v>504</v>
      </c>
      <c r="S579" s="5">
        <f t="shared" si="141"/>
        <v>0</v>
      </c>
    </row>
    <row r="580" spans="1:23" hidden="1">
      <c r="J580" s="1" t="str">
        <f t="shared" si="129"/>
        <v>0</v>
      </c>
      <c r="K580" s="3">
        <f t="shared" si="130"/>
        <v>-100</v>
      </c>
      <c r="L580" s="3">
        <f t="shared" si="131"/>
        <v>1</v>
      </c>
      <c r="M580" s="3">
        <f t="shared" si="132"/>
        <v>0</v>
      </c>
      <c r="N580" s="3" t="str">
        <f t="shared" si="133"/>
        <v>01</v>
      </c>
      <c r="O580" s="14" t="str">
        <f t="shared" si="134"/>
        <v>00</v>
      </c>
      <c r="R580" s="6">
        <v>504</v>
      </c>
      <c r="S580" s="5">
        <f t="shared" si="141"/>
        <v>0</v>
      </c>
    </row>
    <row r="581" spans="1:23" hidden="1">
      <c r="J581" s="1" t="str">
        <f t="shared" si="129"/>
        <v>0</v>
      </c>
      <c r="K581" s="3">
        <f t="shared" si="130"/>
        <v>-100</v>
      </c>
      <c r="L581" s="3">
        <f t="shared" si="131"/>
        <v>1</v>
      </c>
      <c r="M581" s="3">
        <f t="shared" si="132"/>
        <v>0</v>
      </c>
      <c r="N581" s="3" t="str">
        <f t="shared" si="133"/>
        <v>01</v>
      </c>
      <c r="O581" s="14" t="str">
        <f t="shared" si="134"/>
        <v>00</v>
      </c>
      <c r="R581" s="6">
        <v>504</v>
      </c>
      <c r="S581" s="5">
        <f t="shared" si="141"/>
        <v>0</v>
      </c>
    </row>
    <row r="582" spans="1:23" hidden="1">
      <c r="J582" s="1" t="str">
        <f t="shared" si="129"/>
        <v>0</v>
      </c>
      <c r="K582" s="3">
        <f t="shared" si="130"/>
        <v>-100</v>
      </c>
      <c r="L582" s="3">
        <f t="shared" si="131"/>
        <v>1</v>
      </c>
      <c r="M582" s="3">
        <f t="shared" si="132"/>
        <v>0</v>
      </c>
      <c r="N582" s="3" t="str">
        <f t="shared" si="133"/>
        <v>01</v>
      </c>
      <c r="O582" s="14" t="str">
        <f t="shared" si="134"/>
        <v>00</v>
      </c>
      <c r="R582" s="6">
        <v>504</v>
      </c>
      <c r="S582" s="5">
        <f t="shared" si="141"/>
        <v>0</v>
      </c>
    </row>
    <row r="583" spans="1:23" hidden="1">
      <c r="J583" s="1" t="str">
        <f t="shared" si="129"/>
        <v>0</v>
      </c>
      <c r="K583" s="3">
        <f t="shared" si="130"/>
        <v>-100</v>
      </c>
      <c r="L583" s="3">
        <f t="shared" si="131"/>
        <v>1</v>
      </c>
      <c r="M583" s="3">
        <f t="shared" si="132"/>
        <v>0</v>
      </c>
      <c r="N583" s="3" t="str">
        <f t="shared" si="133"/>
        <v>01</v>
      </c>
      <c r="O583" s="14" t="str">
        <f t="shared" si="134"/>
        <v>00</v>
      </c>
      <c r="R583" s="6">
        <v>504</v>
      </c>
      <c r="S583" s="5">
        <f t="shared" si="141"/>
        <v>0</v>
      </c>
    </row>
    <row r="584" spans="1:23" s="42" customFormat="1" hidden="1">
      <c r="A584" s="3"/>
      <c r="B584" s="1"/>
      <c r="C584" s="1"/>
      <c r="D584" s="1"/>
      <c r="E584" s="1"/>
      <c r="F584" s="1"/>
      <c r="G584" s="1"/>
      <c r="H584" s="2"/>
      <c r="I584" s="36"/>
      <c r="J584" s="1" t="str">
        <f t="shared" si="129"/>
        <v>0</v>
      </c>
      <c r="K584" s="3">
        <f t="shared" si="130"/>
        <v>-100</v>
      </c>
      <c r="L584" s="3">
        <f t="shared" si="131"/>
        <v>1</v>
      </c>
      <c r="M584" s="3">
        <f t="shared" si="132"/>
        <v>0</v>
      </c>
      <c r="N584" s="3" t="str">
        <f t="shared" si="133"/>
        <v>01</v>
      </c>
      <c r="O584" s="14" t="str">
        <f t="shared" si="134"/>
        <v>00</v>
      </c>
      <c r="P584" s="4"/>
      <c r="Q584" s="5"/>
      <c r="R584" s="6">
        <v>504</v>
      </c>
      <c r="S584" s="5">
        <f t="shared" si="141"/>
        <v>0</v>
      </c>
      <c r="T584" s="5"/>
      <c r="U584" s="3"/>
      <c r="V584" s="3"/>
      <c r="W584" s="3"/>
    </row>
    <row r="585" spans="1:23">
      <c r="A585" s="3">
        <v>372</v>
      </c>
      <c r="B585" s="1">
        <f>IF(G585="-",0,IF(G584=G585,1,0))</f>
        <v>0</v>
      </c>
      <c r="C585" s="1">
        <f>+IF(G585="-",0,IF(I585=I584+1,0,(IF(I585=1,0,1))))</f>
        <v>0</v>
      </c>
      <c r="D585" s="1">
        <f>+IF(AND(P585="",Q585=""),1,0)</f>
        <v>0</v>
      </c>
      <c r="E585" s="1">
        <f>IF(U585="",1,0)</f>
        <v>0</v>
      </c>
      <c r="F585" s="1">
        <f>IF(V585="",1,0)</f>
        <v>0</v>
      </c>
      <c r="G585" s="1" t="str">
        <f>IF(H585=0,"-",_xlfn.CONCAT(K585,N585,O585,J585))</f>
        <v>24050301</v>
      </c>
      <c r="H585" s="2">
        <v>45415</v>
      </c>
      <c r="I585" s="36">
        <v>1</v>
      </c>
      <c r="J585" s="1" t="str">
        <f t="shared" si="129"/>
        <v>01</v>
      </c>
      <c r="K585" s="3">
        <f t="shared" si="130"/>
        <v>24</v>
      </c>
      <c r="L585" s="3">
        <f t="shared" si="131"/>
        <v>5</v>
      </c>
      <c r="M585" s="3">
        <f t="shared" si="132"/>
        <v>3</v>
      </c>
      <c r="N585" s="3" t="str">
        <f t="shared" si="133"/>
        <v>05</v>
      </c>
      <c r="O585" s="14" t="str">
        <f t="shared" si="134"/>
        <v>03</v>
      </c>
      <c r="P585" s="4">
        <v>3864200.49</v>
      </c>
      <c r="R585" s="6">
        <v>501</v>
      </c>
      <c r="S585" s="5">
        <f>+P585/R585</f>
        <v>7712.9750299401203</v>
      </c>
      <c r="T585" s="5" t="s">
        <v>100</v>
      </c>
      <c r="U585" s="3" t="s">
        <v>1</v>
      </c>
      <c r="V585" s="3" t="s">
        <v>4</v>
      </c>
      <c r="W585" s="3" t="s">
        <v>101</v>
      </c>
    </row>
    <row r="586" spans="1:23" hidden="1">
      <c r="J586" s="1" t="str">
        <f t="shared" si="129"/>
        <v>0</v>
      </c>
      <c r="K586" s="3">
        <f t="shared" si="130"/>
        <v>-100</v>
      </c>
      <c r="L586" s="3">
        <f t="shared" si="131"/>
        <v>1</v>
      </c>
      <c r="M586" s="3">
        <f t="shared" si="132"/>
        <v>0</v>
      </c>
      <c r="N586" s="3" t="str">
        <f t="shared" si="133"/>
        <v>01</v>
      </c>
      <c r="O586" s="14" t="str">
        <f t="shared" si="134"/>
        <v>00</v>
      </c>
      <c r="S586" s="5" t="str">
        <f>IFERROR(P586/R586,"")</f>
        <v/>
      </c>
    </row>
    <row r="587" spans="1:23">
      <c r="A587" s="3">
        <v>373</v>
      </c>
      <c r="B587" s="1">
        <f>IF(G587="-",0,IF(G586=G587,1,0))</f>
        <v>0</v>
      </c>
      <c r="C587" s="1">
        <f>+IF(G587="-",0,IF(I587=I586+1,0,(IF(I587=1,0,1))))</f>
        <v>1</v>
      </c>
      <c r="D587" s="1">
        <f>+IF(AND(P587="",Q587=""),1,0)</f>
        <v>0</v>
      </c>
      <c r="E587" s="1">
        <f t="shared" ref="E587:F590" si="142">IF(U587="",1,0)</f>
        <v>0</v>
      </c>
      <c r="F587" s="1">
        <f t="shared" si="142"/>
        <v>0</v>
      </c>
      <c r="G587" s="1" t="str">
        <f>IF(H587=0,"-",_xlfn.CONCAT(K587,N587,O587,J587))</f>
        <v>24050302</v>
      </c>
      <c r="H587" s="2">
        <v>45415</v>
      </c>
      <c r="I587" s="36">
        <v>2</v>
      </c>
      <c r="J587" s="1" t="str">
        <f t="shared" si="129"/>
        <v>02</v>
      </c>
      <c r="K587" s="3">
        <f t="shared" si="130"/>
        <v>24</v>
      </c>
      <c r="L587" s="3">
        <f t="shared" si="131"/>
        <v>5</v>
      </c>
      <c r="M587" s="3">
        <f t="shared" si="132"/>
        <v>3</v>
      </c>
      <c r="N587" s="3" t="str">
        <f t="shared" si="133"/>
        <v>05</v>
      </c>
      <c r="O587" s="14" t="str">
        <f t="shared" si="134"/>
        <v>03</v>
      </c>
      <c r="P587" s="4">
        <v>106229.44</v>
      </c>
      <c r="T587" s="5" t="s">
        <v>102</v>
      </c>
      <c r="U587" s="3" t="s">
        <v>1</v>
      </c>
      <c r="V587" s="3" t="s">
        <v>4</v>
      </c>
    </row>
    <row r="588" spans="1:23">
      <c r="A588" s="3">
        <v>374</v>
      </c>
      <c r="B588" s="1">
        <f>IF(G588="-",0,IF(G587=G588,1,0))</f>
        <v>0</v>
      </c>
      <c r="C588" s="1">
        <f>+IF(G588="-",0,IF(I588=I587+1,0,(IF(I588=1,0,1))))</f>
        <v>0</v>
      </c>
      <c r="D588" s="1">
        <f>+IF(AND(P588="",Q588=""),1,0)</f>
        <v>0</v>
      </c>
      <c r="E588" s="1">
        <f t="shared" si="142"/>
        <v>0</v>
      </c>
      <c r="F588" s="1">
        <f t="shared" si="142"/>
        <v>0</v>
      </c>
      <c r="G588" s="90" t="str">
        <f>IF(H588=0,"-",_xlfn.CONCAT(K588,N588,O588,J588))</f>
        <v>24050303</v>
      </c>
      <c r="H588" s="2">
        <v>45415</v>
      </c>
      <c r="I588" s="36">
        <v>3</v>
      </c>
      <c r="J588" s="1" t="str">
        <f t="shared" si="129"/>
        <v>03</v>
      </c>
      <c r="K588" s="3">
        <f t="shared" si="130"/>
        <v>24</v>
      </c>
      <c r="L588" s="3">
        <f t="shared" si="131"/>
        <v>5</v>
      </c>
      <c r="M588" s="3">
        <f t="shared" si="132"/>
        <v>3</v>
      </c>
      <c r="N588" s="3" t="str">
        <f t="shared" si="133"/>
        <v>05</v>
      </c>
      <c r="O588" s="14" t="str">
        <f t="shared" si="134"/>
        <v>03</v>
      </c>
      <c r="P588" s="4">
        <v>100000</v>
      </c>
      <c r="T588" s="5" t="s">
        <v>392</v>
      </c>
      <c r="U588" s="3" t="s">
        <v>1</v>
      </c>
      <c r="V588" s="3" t="s">
        <v>4</v>
      </c>
    </row>
    <row r="589" spans="1:23">
      <c r="A589" s="3">
        <v>375</v>
      </c>
      <c r="B589" s="1">
        <f>IF(G589="-",0,IF(G588=G589,1,0))</f>
        <v>0</v>
      </c>
      <c r="C589" s="1">
        <f>+IF(G589="-",0,IF(I589=I588+1,0,(IF(I589=1,0,1))))</f>
        <v>0</v>
      </c>
      <c r="D589" s="1">
        <f>+IF(AND(P589="",Q589=""),1,0)</f>
        <v>0</v>
      </c>
      <c r="E589" s="1">
        <f t="shared" si="142"/>
        <v>0</v>
      </c>
      <c r="F589" s="1">
        <f t="shared" si="142"/>
        <v>0</v>
      </c>
      <c r="G589" s="1" t="str">
        <f>IF(H589=0,"-",_xlfn.CONCAT(K589,N589,O589,J589))</f>
        <v>24050304</v>
      </c>
      <c r="H589" s="2">
        <v>45415</v>
      </c>
      <c r="I589" s="36">
        <v>4</v>
      </c>
      <c r="J589" s="1" t="str">
        <f t="shared" si="129"/>
        <v>04</v>
      </c>
      <c r="K589" s="3">
        <f t="shared" si="130"/>
        <v>24</v>
      </c>
      <c r="L589" s="3">
        <f t="shared" si="131"/>
        <v>5</v>
      </c>
      <c r="M589" s="3">
        <f t="shared" si="132"/>
        <v>3</v>
      </c>
      <c r="N589" s="3" t="str">
        <f t="shared" si="133"/>
        <v>05</v>
      </c>
      <c r="O589" s="14" t="str">
        <f t="shared" si="134"/>
        <v>03</v>
      </c>
      <c r="P589" s="4">
        <v>203849.99</v>
      </c>
      <c r="T589" s="5" t="s">
        <v>206</v>
      </c>
      <c r="U589" s="3" t="s">
        <v>1</v>
      </c>
      <c r="V589" s="3" t="s">
        <v>4</v>
      </c>
      <c r="W589" s="3" t="s">
        <v>103</v>
      </c>
    </row>
    <row r="590" spans="1:23">
      <c r="A590" s="3">
        <v>377</v>
      </c>
      <c r="B590" s="1">
        <f>IF(G590="-",0,IF(G589=G590,1,0))</f>
        <v>0</v>
      </c>
      <c r="C590" s="1">
        <f>+IF(G590="-",0,IF(I590=I589+1,0,(IF(I590=1,0,1))))</f>
        <v>1</v>
      </c>
      <c r="D590" s="1">
        <f>+IF(AND(P590="",Q590=""),1,0)</f>
        <v>0</v>
      </c>
      <c r="E590" s="1">
        <f t="shared" si="142"/>
        <v>0</v>
      </c>
      <c r="F590" s="1">
        <f t="shared" si="142"/>
        <v>0</v>
      </c>
      <c r="G590" s="1" t="str">
        <f>IF(H590=0,"-",_xlfn.CONCAT(K590,N590,O590,J590))</f>
        <v>24050306</v>
      </c>
      <c r="H590" s="2">
        <v>45415</v>
      </c>
      <c r="I590" s="36">
        <v>6</v>
      </c>
      <c r="J590" s="1" t="str">
        <f t="shared" si="129"/>
        <v>06</v>
      </c>
      <c r="K590" s="3">
        <f t="shared" si="130"/>
        <v>24</v>
      </c>
      <c r="L590" s="3">
        <f t="shared" si="131"/>
        <v>5</v>
      </c>
      <c r="M590" s="3">
        <f t="shared" si="132"/>
        <v>3</v>
      </c>
      <c r="N590" s="3" t="str">
        <f t="shared" si="133"/>
        <v>05</v>
      </c>
      <c r="O590" s="14" t="str">
        <f t="shared" si="134"/>
        <v>03</v>
      </c>
      <c r="P590" s="4">
        <v>45546.35</v>
      </c>
      <c r="T590" s="5" t="s">
        <v>117</v>
      </c>
      <c r="U590" s="3" t="s">
        <v>29</v>
      </c>
      <c r="V590" s="3" t="s">
        <v>4</v>
      </c>
    </row>
    <row r="591" spans="1:23" hidden="1">
      <c r="J591" s="1" t="str">
        <f t="shared" si="129"/>
        <v>0</v>
      </c>
      <c r="K591" s="3">
        <f t="shared" si="130"/>
        <v>-100</v>
      </c>
      <c r="L591" s="3">
        <f t="shared" si="131"/>
        <v>1</v>
      </c>
      <c r="M591" s="3">
        <f t="shared" si="132"/>
        <v>0</v>
      </c>
      <c r="N591" s="3" t="str">
        <f t="shared" si="133"/>
        <v>01</v>
      </c>
      <c r="O591" s="14" t="str">
        <f t="shared" si="134"/>
        <v>00</v>
      </c>
      <c r="R591" s="6">
        <v>505</v>
      </c>
      <c r="S591" s="5">
        <f>IFERROR(P591/R591,"")</f>
        <v>0</v>
      </c>
    </row>
    <row r="592" spans="1:23" hidden="1">
      <c r="J592" s="1" t="str">
        <f t="shared" si="129"/>
        <v>0</v>
      </c>
      <c r="K592" s="3">
        <f t="shared" si="130"/>
        <v>-100</v>
      </c>
      <c r="L592" s="3">
        <f t="shared" si="131"/>
        <v>1</v>
      </c>
      <c r="M592" s="3">
        <f t="shared" si="132"/>
        <v>0</v>
      </c>
      <c r="N592" s="3" t="str">
        <f t="shared" si="133"/>
        <v>01</v>
      </c>
      <c r="O592" s="14" t="str">
        <f t="shared" si="134"/>
        <v>00</v>
      </c>
      <c r="R592" s="6">
        <v>505</v>
      </c>
      <c r="S592" s="5">
        <f>IFERROR(P592/R592,"")</f>
        <v>0</v>
      </c>
    </row>
    <row r="593" spans="1:23" hidden="1">
      <c r="J593" s="1" t="str">
        <f t="shared" si="129"/>
        <v>0</v>
      </c>
      <c r="K593" s="3">
        <f t="shared" si="130"/>
        <v>-100</v>
      </c>
      <c r="L593" s="3">
        <f t="shared" si="131"/>
        <v>1</v>
      </c>
      <c r="M593" s="3">
        <f t="shared" si="132"/>
        <v>0</v>
      </c>
      <c r="N593" s="3" t="str">
        <f t="shared" si="133"/>
        <v>01</v>
      </c>
      <c r="O593" s="14" t="str">
        <f t="shared" si="134"/>
        <v>00</v>
      </c>
      <c r="R593" s="6">
        <v>505</v>
      </c>
      <c r="S593" s="5">
        <f>IFERROR(P593/R593,"")</f>
        <v>0</v>
      </c>
    </row>
    <row r="594" spans="1:23" s="42" customFormat="1" hidden="1">
      <c r="A594" s="3"/>
      <c r="B594" s="1"/>
      <c r="C594" s="1"/>
      <c r="D594" s="1"/>
      <c r="E594" s="1"/>
      <c r="F594" s="1"/>
      <c r="G594" s="1"/>
      <c r="H594" s="2"/>
      <c r="I594" s="36"/>
      <c r="J594" s="1" t="str">
        <f t="shared" si="129"/>
        <v>0</v>
      </c>
      <c r="K594" s="3">
        <f t="shared" si="130"/>
        <v>-100</v>
      </c>
      <c r="L594" s="3">
        <f t="shared" si="131"/>
        <v>1</v>
      </c>
      <c r="M594" s="3">
        <f t="shared" si="132"/>
        <v>0</v>
      </c>
      <c r="N594" s="3" t="str">
        <f t="shared" si="133"/>
        <v>01</v>
      </c>
      <c r="O594" s="14" t="str">
        <f t="shared" si="134"/>
        <v>00</v>
      </c>
      <c r="P594" s="4"/>
      <c r="Q594" s="5"/>
      <c r="R594" s="6">
        <v>505</v>
      </c>
      <c r="S594" s="5">
        <f>IFERROR(P594/R594,"")</f>
        <v>0</v>
      </c>
      <c r="T594" s="5"/>
      <c r="U594" s="3"/>
      <c r="V594" s="3"/>
      <c r="W594" s="3"/>
    </row>
    <row r="595" spans="1:23" hidden="1">
      <c r="J595" s="1" t="str">
        <f t="shared" si="129"/>
        <v>0</v>
      </c>
      <c r="K595" s="3">
        <f t="shared" si="130"/>
        <v>-100</v>
      </c>
      <c r="L595" s="3">
        <f t="shared" si="131"/>
        <v>1</v>
      </c>
      <c r="M595" s="3">
        <f t="shared" si="132"/>
        <v>0</v>
      </c>
      <c r="N595" s="3" t="str">
        <f t="shared" si="133"/>
        <v>01</v>
      </c>
      <c r="O595" s="14" t="str">
        <f t="shared" si="134"/>
        <v>00</v>
      </c>
      <c r="R595" s="6">
        <v>505</v>
      </c>
      <c r="S595" s="5">
        <f>IFERROR(P595/R595,"")</f>
        <v>0</v>
      </c>
    </row>
    <row r="596" spans="1:23">
      <c r="A596" s="3">
        <v>378</v>
      </c>
      <c r="B596" s="1">
        <f>IF(G596="-",0,IF(G595=G596,1,0))</f>
        <v>0</v>
      </c>
      <c r="C596" s="1">
        <f>+IF(G596="-",0,IF(I596=I595+1,0,(IF(I596=1,0,1))))</f>
        <v>1</v>
      </c>
      <c r="D596" s="1">
        <f>+IF(AND(P596="",Q596=""),1,0)</f>
        <v>0</v>
      </c>
      <c r="E596" s="1">
        <f>IF(U596="",1,0)</f>
        <v>0</v>
      </c>
      <c r="F596" s="1">
        <f>IF(V596="",1,0)</f>
        <v>0</v>
      </c>
      <c r="G596" s="1" t="str">
        <f>IF(H596=0,"-",_xlfn.CONCAT(K596,N596,O596,J596))</f>
        <v>24050307</v>
      </c>
      <c r="H596" s="2">
        <v>45415</v>
      </c>
      <c r="I596" s="36">
        <v>7</v>
      </c>
      <c r="J596" s="1" t="str">
        <f t="shared" si="129"/>
        <v>07</v>
      </c>
      <c r="K596" s="3">
        <f t="shared" si="130"/>
        <v>24</v>
      </c>
      <c r="L596" s="3">
        <f t="shared" si="131"/>
        <v>5</v>
      </c>
      <c r="M596" s="3">
        <f t="shared" si="132"/>
        <v>3</v>
      </c>
      <c r="N596" s="3" t="str">
        <f t="shared" si="133"/>
        <v>05</v>
      </c>
      <c r="O596" s="14" t="str">
        <f t="shared" si="134"/>
        <v>03</v>
      </c>
      <c r="P596" s="4">
        <v>7929.94</v>
      </c>
      <c r="T596" s="5" t="s">
        <v>87</v>
      </c>
      <c r="U596" s="3" t="s">
        <v>29</v>
      </c>
      <c r="V596" s="3" t="s">
        <v>4</v>
      </c>
    </row>
    <row r="597" spans="1:23">
      <c r="A597" s="3">
        <v>379</v>
      </c>
      <c r="B597" s="1">
        <f>IF(G597="-",0,IF(G596=G597,1,0))</f>
        <v>0</v>
      </c>
      <c r="C597" s="1">
        <f>+IF(G597="-",0,IF(I597=I596+1,0,(IF(I597=1,0,1))))</f>
        <v>0</v>
      </c>
      <c r="D597" s="1">
        <f>+IF(AND(P597="",Q597=""),1,0)</f>
        <v>0</v>
      </c>
      <c r="E597" s="1">
        <f>IF(U597="",1,0)</f>
        <v>0</v>
      </c>
      <c r="F597" s="1">
        <f>IF(V597="",1,0)</f>
        <v>0</v>
      </c>
      <c r="G597" s="1" t="str">
        <f>IF(H597=0,"-",_xlfn.CONCAT(K597,N597,O597,J597))</f>
        <v>24050308</v>
      </c>
      <c r="H597" s="2">
        <v>45415</v>
      </c>
      <c r="I597" s="36">
        <v>8</v>
      </c>
      <c r="J597" s="1" t="str">
        <f t="shared" si="129"/>
        <v>08</v>
      </c>
      <c r="K597" s="3">
        <f t="shared" si="130"/>
        <v>24</v>
      </c>
      <c r="L597" s="3">
        <f t="shared" si="131"/>
        <v>5</v>
      </c>
      <c r="M597" s="3">
        <f t="shared" si="132"/>
        <v>3</v>
      </c>
      <c r="N597" s="3" t="str">
        <f t="shared" si="133"/>
        <v>05</v>
      </c>
      <c r="O597" s="14" t="str">
        <f t="shared" si="134"/>
        <v>03</v>
      </c>
      <c r="P597" s="4">
        <v>5700.85</v>
      </c>
      <c r="T597" s="5" t="s">
        <v>179</v>
      </c>
      <c r="U597" s="3" t="s">
        <v>29</v>
      </c>
      <c r="V597" s="3" t="s">
        <v>4</v>
      </c>
    </row>
    <row r="598" spans="1:23" hidden="1">
      <c r="J598" s="1" t="str">
        <f t="shared" si="129"/>
        <v>0</v>
      </c>
      <c r="K598" s="3">
        <f t="shared" si="130"/>
        <v>-100</v>
      </c>
      <c r="L598" s="3">
        <f t="shared" si="131"/>
        <v>1</v>
      </c>
      <c r="M598" s="3">
        <f t="shared" si="132"/>
        <v>0</v>
      </c>
      <c r="N598" s="3" t="str">
        <f t="shared" si="133"/>
        <v>01</v>
      </c>
      <c r="O598" s="14" t="str">
        <f t="shared" si="134"/>
        <v>00</v>
      </c>
      <c r="R598" s="6">
        <v>505</v>
      </c>
      <c r="S598" s="5">
        <f>IFERROR(P598/R598,"")</f>
        <v>0</v>
      </c>
    </row>
    <row r="599" spans="1:23" hidden="1">
      <c r="J599" s="1" t="str">
        <f t="shared" si="129"/>
        <v>0</v>
      </c>
      <c r="K599" s="3">
        <f t="shared" si="130"/>
        <v>-100</v>
      </c>
      <c r="L599" s="3">
        <f t="shared" si="131"/>
        <v>1</v>
      </c>
      <c r="M599" s="3">
        <f t="shared" si="132"/>
        <v>0</v>
      </c>
      <c r="N599" s="3" t="str">
        <f t="shared" si="133"/>
        <v>01</v>
      </c>
      <c r="O599" s="14" t="str">
        <f t="shared" si="134"/>
        <v>00</v>
      </c>
      <c r="R599" s="6">
        <v>506</v>
      </c>
      <c r="S599" s="5">
        <f>IFERROR(P599/R599,"")</f>
        <v>0</v>
      </c>
    </row>
    <row r="600" spans="1:23">
      <c r="A600" s="3">
        <v>383</v>
      </c>
      <c r="B600" s="1">
        <f>IF(G600="-",0,IF(G599=G600,1,0))</f>
        <v>0</v>
      </c>
      <c r="C600" s="1">
        <f>+IF(G600="-",0,IF(I600=I599+1,0,(IF(I600=1,0,1))))</f>
        <v>1</v>
      </c>
      <c r="D600" s="1">
        <f>+IF(AND(P600="",Q600=""),1,0)</f>
        <v>0</v>
      </c>
      <c r="E600" s="1">
        <f>IF(U600="",1,0)</f>
        <v>0</v>
      </c>
      <c r="F600" s="1">
        <f>IF(V600="",1,0)</f>
        <v>0</v>
      </c>
      <c r="G600" s="1" t="str">
        <f>IF(H600=0,"-",_xlfn.CONCAT(K600,N600,O600,J600))</f>
        <v>24050402</v>
      </c>
      <c r="H600" s="2">
        <v>45416</v>
      </c>
      <c r="I600" s="36">
        <v>2</v>
      </c>
      <c r="J600" s="1" t="str">
        <f t="shared" si="129"/>
        <v>02</v>
      </c>
      <c r="K600" s="3">
        <f t="shared" si="130"/>
        <v>24</v>
      </c>
      <c r="L600" s="3">
        <f t="shared" si="131"/>
        <v>5</v>
      </c>
      <c r="M600" s="3">
        <f t="shared" si="132"/>
        <v>4</v>
      </c>
      <c r="N600" s="3" t="str">
        <f t="shared" si="133"/>
        <v>05</v>
      </c>
      <c r="O600" s="14" t="str">
        <f t="shared" si="134"/>
        <v>04</v>
      </c>
      <c r="P600" s="11">
        <v>160000</v>
      </c>
      <c r="R600" s="6">
        <v>501</v>
      </c>
      <c r="T600" s="5" t="s">
        <v>106</v>
      </c>
      <c r="U600" s="3" t="s">
        <v>1</v>
      </c>
      <c r="V600" s="3" t="s">
        <v>4</v>
      </c>
      <c r="W600" s="3" t="s">
        <v>114</v>
      </c>
    </row>
    <row r="601" spans="1:23" hidden="1">
      <c r="J601" s="1" t="str">
        <f t="shared" si="129"/>
        <v>0</v>
      </c>
      <c r="K601" s="3">
        <f t="shared" si="130"/>
        <v>-100</v>
      </c>
      <c r="L601" s="3">
        <f t="shared" si="131"/>
        <v>1</v>
      </c>
      <c r="M601" s="3">
        <f t="shared" si="132"/>
        <v>0</v>
      </c>
      <c r="N601" s="3" t="str">
        <f t="shared" si="133"/>
        <v>01</v>
      </c>
      <c r="O601" s="14" t="str">
        <f t="shared" si="134"/>
        <v>00</v>
      </c>
    </row>
    <row r="602" spans="1:23" hidden="1">
      <c r="J602" s="1" t="str">
        <f t="shared" si="129"/>
        <v>0</v>
      </c>
      <c r="K602" s="3">
        <f t="shared" si="130"/>
        <v>-100</v>
      </c>
      <c r="L602" s="3">
        <f t="shared" si="131"/>
        <v>1</v>
      </c>
      <c r="M602" s="3">
        <f t="shared" si="132"/>
        <v>0</v>
      </c>
      <c r="N602" s="3" t="str">
        <f t="shared" si="133"/>
        <v>01</v>
      </c>
      <c r="O602" s="14" t="str">
        <f t="shared" si="134"/>
        <v>00</v>
      </c>
    </row>
    <row r="603" spans="1:23" hidden="1">
      <c r="J603" s="1" t="str">
        <f t="shared" si="129"/>
        <v>0</v>
      </c>
      <c r="K603" s="3">
        <f t="shared" si="130"/>
        <v>-100</v>
      </c>
      <c r="L603" s="3">
        <f t="shared" si="131"/>
        <v>1</v>
      </c>
      <c r="M603" s="3">
        <f t="shared" si="132"/>
        <v>0</v>
      </c>
      <c r="N603" s="3" t="str">
        <f t="shared" si="133"/>
        <v>01</v>
      </c>
      <c r="O603" s="14" t="str">
        <f t="shared" si="134"/>
        <v>00</v>
      </c>
      <c r="R603" s="6">
        <v>506</v>
      </c>
      <c r="S603" s="5">
        <f>IFERROR(P603/R603,"")</f>
        <v>0</v>
      </c>
    </row>
    <row r="604" spans="1:23" hidden="1">
      <c r="J604" s="1" t="str">
        <f t="shared" si="129"/>
        <v>0</v>
      </c>
      <c r="K604" s="3">
        <f t="shared" si="130"/>
        <v>-100</v>
      </c>
      <c r="L604" s="3">
        <f t="shared" si="131"/>
        <v>1</v>
      </c>
      <c r="M604" s="3">
        <f t="shared" si="132"/>
        <v>0</v>
      </c>
      <c r="N604" s="3" t="str">
        <f t="shared" si="133"/>
        <v>01</v>
      </c>
      <c r="O604" s="14" t="str">
        <f t="shared" si="134"/>
        <v>00</v>
      </c>
      <c r="R604" s="6">
        <v>506</v>
      </c>
      <c r="S604" s="5">
        <f>IFERROR(P604/R604,"")</f>
        <v>0</v>
      </c>
    </row>
    <row r="605" spans="1:23">
      <c r="A605" s="3">
        <v>384</v>
      </c>
      <c r="B605" s="1">
        <f>IF(G605="-",0,IF(G604=G605,1,0))</f>
        <v>0</v>
      </c>
      <c r="C605" s="1">
        <f>+IF(G605="-",0,IF(I605=I604+1,0,(IF(I605=1,0,1))))</f>
        <v>1</v>
      </c>
      <c r="D605" s="1">
        <f>+IF(AND(P605="",Q605=""),1,0)</f>
        <v>0</v>
      </c>
      <c r="E605" s="1">
        <f>IF(U605="",1,0)</f>
        <v>0</v>
      </c>
      <c r="F605" s="1">
        <f>IF(V605="",1,0)</f>
        <v>0</v>
      </c>
      <c r="G605" s="1" t="str">
        <f>IF(H605=0,"-",_xlfn.CONCAT(K605,N605,O605,J605))</f>
        <v>24050403</v>
      </c>
      <c r="H605" s="2">
        <v>45416</v>
      </c>
      <c r="I605" s="36">
        <v>3</v>
      </c>
      <c r="J605" s="1" t="str">
        <f t="shared" si="129"/>
        <v>03</v>
      </c>
      <c r="K605" s="3">
        <f t="shared" si="130"/>
        <v>24</v>
      </c>
      <c r="L605" s="3">
        <f t="shared" si="131"/>
        <v>5</v>
      </c>
      <c r="M605" s="3">
        <f t="shared" si="132"/>
        <v>4</v>
      </c>
      <c r="N605" s="3" t="str">
        <f t="shared" si="133"/>
        <v>05</v>
      </c>
      <c r="O605" s="14" t="str">
        <f t="shared" si="134"/>
        <v>04</v>
      </c>
      <c r="P605" s="11">
        <f>136000+115600</f>
        <v>251600</v>
      </c>
      <c r="R605" s="6">
        <v>501</v>
      </c>
      <c r="T605" s="5" t="s">
        <v>111</v>
      </c>
      <c r="U605" s="3" t="s">
        <v>1</v>
      </c>
      <c r="V605" s="3" t="s">
        <v>4</v>
      </c>
    </row>
    <row r="606" spans="1:23" hidden="1">
      <c r="J606" s="1" t="str">
        <f t="shared" ref="J606:J669" si="143">+IF(I606&lt;10,_xlfn.CONCAT("0",I606),I606)</f>
        <v>0</v>
      </c>
      <c r="K606" s="3">
        <f t="shared" ref="K606:K669" si="144">+YEAR(H606)-2000</f>
        <v>-100</v>
      </c>
      <c r="L606" s="3">
        <f t="shared" ref="L606:L669" si="145">+MONTH(H606)</f>
        <v>1</v>
      </c>
      <c r="M606" s="3">
        <f t="shared" ref="M606:M669" si="146">+DAY(H606)</f>
        <v>0</v>
      </c>
      <c r="N606" s="3" t="str">
        <f t="shared" ref="N606:N669" si="147">+IF(L606&lt;10,_xlfn.CONCAT("0",L606),L606)</f>
        <v>01</v>
      </c>
      <c r="O606" s="14" t="str">
        <f t="shared" ref="O606:O669" si="148">+IF(M606&lt;10,_xlfn.CONCAT("0",M606),M606)</f>
        <v>00</v>
      </c>
      <c r="R606" s="6">
        <v>507</v>
      </c>
      <c r="S606" s="5">
        <f>IFERROR(P606/R606,"")</f>
        <v>0</v>
      </c>
    </row>
    <row r="607" spans="1:23" hidden="1">
      <c r="J607" s="1" t="str">
        <f t="shared" si="143"/>
        <v>0</v>
      </c>
      <c r="K607" s="3">
        <f t="shared" si="144"/>
        <v>-100</v>
      </c>
      <c r="L607" s="3">
        <f t="shared" si="145"/>
        <v>1</v>
      </c>
      <c r="M607" s="3">
        <f t="shared" si="146"/>
        <v>0</v>
      </c>
      <c r="N607" s="3" t="str">
        <f t="shared" si="147"/>
        <v>01</v>
      </c>
      <c r="O607" s="14" t="str">
        <f t="shared" si="148"/>
        <v>00</v>
      </c>
      <c r="R607" s="6">
        <v>507</v>
      </c>
      <c r="S607" s="5">
        <f>IFERROR(P607/R607,"")</f>
        <v>0</v>
      </c>
    </row>
    <row r="608" spans="1:23" hidden="1">
      <c r="J608" s="1" t="str">
        <f t="shared" si="143"/>
        <v>0</v>
      </c>
      <c r="K608" s="3">
        <f t="shared" si="144"/>
        <v>-100</v>
      </c>
      <c r="L608" s="3">
        <f t="shared" si="145"/>
        <v>1</v>
      </c>
      <c r="M608" s="3">
        <f t="shared" si="146"/>
        <v>0</v>
      </c>
      <c r="N608" s="3" t="str">
        <f t="shared" si="147"/>
        <v>01</v>
      </c>
      <c r="O608" s="14" t="str">
        <f t="shared" si="148"/>
        <v>00</v>
      </c>
      <c r="R608" s="6">
        <v>507</v>
      </c>
      <c r="S608" s="5">
        <f>IFERROR(P608/R608,"")</f>
        <v>0</v>
      </c>
    </row>
    <row r="609" spans="1:23" hidden="1">
      <c r="J609" s="1" t="str">
        <f t="shared" si="143"/>
        <v>0</v>
      </c>
      <c r="K609" s="3">
        <f t="shared" si="144"/>
        <v>-100</v>
      </c>
      <c r="L609" s="3">
        <f t="shared" si="145"/>
        <v>1</v>
      </c>
      <c r="M609" s="3">
        <f t="shared" si="146"/>
        <v>0</v>
      </c>
      <c r="N609" s="3" t="str">
        <f t="shared" si="147"/>
        <v>01</v>
      </c>
      <c r="O609" s="14" t="str">
        <f t="shared" si="148"/>
        <v>00</v>
      </c>
      <c r="R609" s="6">
        <v>507</v>
      </c>
      <c r="S609" s="5">
        <f>IFERROR(P609/R609,"")</f>
        <v>0</v>
      </c>
    </row>
    <row r="610" spans="1:23">
      <c r="A610" s="3">
        <v>385</v>
      </c>
      <c r="B610" s="1">
        <f>IF(G610="-",0,IF(G609=G610,1,0))</f>
        <v>0</v>
      </c>
      <c r="C610" s="1">
        <f>+IF(G610="-",0,IF(I610=I609+1,0,(IF(I610=1,0,1))))</f>
        <v>1</v>
      </c>
      <c r="D610" s="1">
        <f>+IF(AND(P610="",Q610=""),1,0)</f>
        <v>0</v>
      </c>
      <c r="E610" s="1">
        <f t="shared" ref="E610:F614" si="149">IF(U610="",1,0)</f>
        <v>0</v>
      </c>
      <c r="F610" s="1">
        <f t="shared" si="149"/>
        <v>0</v>
      </c>
      <c r="G610" s="1" t="str">
        <f>IF(H610=0,"-",_xlfn.CONCAT(K610,N610,O610,J610))</f>
        <v>24050404</v>
      </c>
      <c r="H610" s="2">
        <v>45416</v>
      </c>
      <c r="I610" s="36">
        <v>4</v>
      </c>
      <c r="J610" s="1" t="str">
        <f t="shared" si="143"/>
        <v>04</v>
      </c>
      <c r="K610" s="3">
        <f t="shared" si="144"/>
        <v>24</v>
      </c>
      <c r="L610" s="3">
        <f t="shared" si="145"/>
        <v>5</v>
      </c>
      <c r="M610" s="3">
        <f t="shared" si="146"/>
        <v>4</v>
      </c>
      <c r="N610" s="3" t="str">
        <f t="shared" si="147"/>
        <v>05</v>
      </c>
      <c r="O610" s="14" t="str">
        <f t="shared" si="148"/>
        <v>04</v>
      </c>
      <c r="P610" s="11">
        <f>122800+115600</f>
        <v>238400</v>
      </c>
      <c r="R610" s="6">
        <v>501</v>
      </c>
      <c r="T610" s="5" t="s">
        <v>110</v>
      </c>
      <c r="U610" s="3" t="s">
        <v>1</v>
      </c>
      <c r="V610" s="3" t="s">
        <v>4</v>
      </c>
    </row>
    <row r="611" spans="1:23">
      <c r="A611" s="3">
        <v>389</v>
      </c>
      <c r="B611" s="1">
        <f>IF(G611="-",0,IF(G610=G611,1,0))</f>
        <v>0</v>
      </c>
      <c r="C611" s="1">
        <f>+IF(G611="-",0,IF(I611=I610+1,0,(IF(I611=1,0,1))))</f>
        <v>1</v>
      </c>
      <c r="D611" s="1">
        <f>+IF(AND(P611="",Q611=""),1,0)</f>
        <v>0</v>
      </c>
      <c r="E611" s="1">
        <f t="shared" si="149"/>
        <v>0</v>
      </c>
      <c r="F611" s="1">
        <f t="shared" si="149"/>
        <v>0</v>
      </c>
      <c r="G611" s="1" t="str">
        <f>IF(H611=0,"-",_xlfn.CONCAT(K611,N611,O611,J611))</f>
        <v>24050408</v>
      </c>
      <c r="H611" s="2">
        <v>45416</v>
      </c>
      <c r="I611" s="36">
        <v>8</v>
      </c>
      <c r="J611" s="1" t="str">
        <f t="shared" si="143"/>
        <v>08</v>
      </c>
      <c r="K611" s="3">
        <f t="shared" si="144"/>
        <v>24</v>
      </c>
      <c r="L611" s="3">
        <f t="shared" si="145"/>
        <v>5</v>
      </c>
      <c r="M611" s="3">
        <f t="shared" si="146"/>
        <v>4</v>
      </c>
      <c r="N611" s="3" t="str">
        <f t="shared" si="147"/>
        <v>05</v>
      </c>
      <c r="O611" s="14" t="str">
        <f t="shared" si="148"/>
        <v>04</v>
      </c>
      <c r="P611" s="11">
        <f>115000+45000</f>
        <v>160000</v>
      </c>
      <c r="R611" s="6">
        <v>501</v>
      </c>
      <c r="T611" s="5" t="s">
        <v>109</v>
      </c>
      <c r="U611" s="3" t="s">
        <v>1</v>
      </c>
      <c r="V611" s="3" t="s">
        <v>4</v>
      </c>
    </row>
    <row r="612" spans="1:23">
      <c r="A612" s="3">
        <v>392</v>
      </c>
      <c r="B612" s="1">
        <f>IF(G612="-",0,IF(G611=G612,1,0))</f>
        <v>0</v>
      </c>
      <c r="C612" s="1">
        <f>+IF(G612="-",0,IF(I612=I611+1,0,(IF(I612=1,0,1))))</f>
        <v>1</v>
      </c>
      <c r="D612" s="1">
        <f>+IF(AND(P612="",Q612=""),1,0)</f>
        <v>0</v>
      </c>
      <c r="E612" s="1">
        <f t="shared" si="149"/>
        <v>0</v>
      </c>
      <c r="F612" s="1">
        <f t="shared" si="149"/>
        <v>0</v>
      </c>
      <c r="G612" s="38" t="str">
        <f>IF(H612=0,"-",_xlfn.CONCAT(K612,N612,O612,J612))</f>
        <v>24050411</v>
      </c>
      <c r="H612" s="37">
        <v>45416</v>
      </c>
      <c r="I612" s="38">
        <v>11</v>
      </c>
      <c r="J612" s="38">
        <f t="shared" si="143"/>
        <v>11</v>
      </c>
      <c r="K612" s="42">
        <f t="shared" si="144"/>
        <v>24</v>
      </c>
      <c r="L612" s="42">
        <f t="shared" si="145"/>
        <v>5</v>
      </c>
      <c r="M612" s="42">
        <f t="shared" si="146"/>
        <v>4</v>
      </c>
      <c r="N612" s="42" t="str">
        <f t="shared" si="147"/>
        <v>05</v>
      </c>
      <c r="O612" s="50" t="str">
        <f t="shared" si="148"/>
        <v>04</v>
      </c>
      <c r="P612" s="11">
        <f>3.5*3*515</f>
        <v>5407.5</v>
      </c>
      <c r="Q612" s="40"/>
      <c r="R612" s="41">
        <v>501</v>
      </c>
      <c r="S612" s="40"/>
      <c r="T612" s="40" t="s">
        <v>113</v>
      </c>
      <c r="U612" s="42" t="s">
        <v>1</v>
      </c>
      <c r="V612" s="42" t="s">
        <v>4</v>
      </c>
      <c r="W612" s="42"/>
    </row>
    <row r="613" spans="1:23">
      <c r="A613" s="3">
        <v>395</v>
      </c>
      <c r="B613" s="1">
        <f>IF(G613="-",0,IF(G612=G613,1,0))</f>
        <v>0</v>
      </c>
      <c r="C613" s="1">
        <f>+IF(G613="-",0,IF(I613=I612+1,0,(IF(I613=1,0,1))))</f>
        <v>1</v>
      </c>
      <c r="D613" s="1">
        <f>+IF(AND(P613="",Q613=""),1,0)</f>
        <v>0</v>
      </c>
      <c r="E613" s="1">
        <f t="shared" si="149"/>
        <v>0</v>
      </c>
      <c r="F613" s="1">
        <f t="shared" si="149"/>
        <v>0</v>
      </c>
      <c r="G613" s="1" t="str">
        <f>IF(H613=0,"-",_xlfn.CONCAT(K613,N613,O613,J613))</f>
        <v>24050414</v>
      </c>
      <c r="H613" s="2">
        <v>45416</v>
      </c>
      <c r="I613" s="36">
        <v>14</v>
      </c>
      <c r="J613" s="1">
        <f t="shared" si="143"/>
        <v>14</v>
      </c>
      <c r="K613" s="3">
        <f t="shared" si="144"/>
        <v>24</v>
      </c>
      <c r="L613" s="3">
        <f t="shared" si="145"/>
        <v>5</v>
      </c>
      <c r="M613" s="3">
        <f t="shared" si="146"/>
        <v>4</v>
      </c>
      <c r="N613" s="3" t="str">
        <f t="shared" si="147"/>
        <v>05</v>
      </c>
      <c r="O613" s="14" t="str">
        <f t="shared" si="148"/>
        <v>04</v>
      </c>
      <c r="P613" s="4">
        <v>1000000</v>
      </c>
      <c r="R613" s="6">
        <v>501</v>
      </c>
      <c r="T613" s="5" t="s">
        <v>258</v>
      </c>
      <c r="U613" s="3" t="s">
        <v>1</v>
      </c>
      <c r="V613" s="3" t="s">
        <v>4</v>
      </c>
      <c r="W613" s="3" t="s">
        <v>116</v>
      </c>
    </row>
    <row r="614" spans="1:23">
      <c r="A614" s="3">
        <v>398</v>
      </c>
      <c r="B614" s="1">
        <f>IF(G614="-",0,IF(G613=G614,1,0))</f>
        <v>0</v>
      </c>
      <c r="C614" s="1">
        <f>+IF(G614="-",0,IF(I614=I613+1,0,(IF(I614=1,0,1))))</f>
        <v>1</v>
      </c>
      <c r="D614" s="1">
        <f>+IF(AND(P614="",Q614=""),1,0)</f>
        <v>0</v>
      </c>
      <c r="E614" s="1">
        <f t="shared" si="149"/>
        <v>0</v>
      </c>
      <c r="F614" s="1">
        <f t="shared" si="149"/>
        <v>0</v>
      </c>
      <c r="G614" s="1" t="str">
        <f>IF(H614=0,"-",_xlfn.CONCAT(K614,N614,O614,J614))</f>
        <v>24050417</v>
      </c>
      <c r="H614" s="2">
        <v>45416</v>
      </c>
      <c r="I614" s="36">
        <v>17</v>
      </c>
      <c r="J614" s="1">
        <f t="shared" si="143"/>
        <v>17</v>
      </c>
      <c r="K614" s="3">
        <f t="shared" si="144"/>
        <v>24</v>
      </c>
      <c r="L614" s="3">
        <f t="shared" si="145"/>
        <v>5</v>
      </c>
      <c r="M614" s="3">
        <f t="shared" si="146"/>
        <v>4</v>
      </c>
      <c r="N614" s="3" t="str">
        <f t="shared" si="147"/>
        <v>05</v>
      </c>
      <c r="O614" s="14" t="str">
        <f t="shared" si="148"/>
        <v>04</v>
      </c>
      <c r="P614" s="4">
        <v>2903</v>
      </c>
      <c r="T614" s="5" t="s">
        <v>369</v>
      </c>
      <c r="U614" s="3" t="s">
        <v>29</v>
      </c>
      <c r="V614" s="3" t="s">
        <v>4</v>
      </c>
    </row>
    <row r="615" spans="1:23" hidden="1">
      <c r="J615" s="1" t="str">
        <f t="shared" si="143"/>
        <v>0</v>
      </c>
      <c r="K615" s="3">
        <f t="shared" si="144"/>
        <v>-100</v>
      </c>
      <c r="L615" s="3">
        <f t="shared" si="145"/>
        <v>1</v>
      </c>
      <c r="M615" s="3">
        <f t="shared" si="146"/>
        <v>0</v>
      </c>
      <c r="N615" s="3" t="str">
        <f t="shared" si="147"/>
        <v>01</v>
      </c>
      <c r="O615" s="14" t="str">
        <f t="shared" si="148"/>
        <v>00</v>
      </c>
      <c r="S615" s="5" t="str">
        <f>IFERROR(P615/R615,"")</f>
        <v/>
      </c>
    </row>
    <row r="616" spans="1:23">
      <c r="A616" s="3">
        <v>402</v>
      </c>
      <c r="B616" s="1">
        <f>IF(G616="-",0,IF(G615=G616,1,0))</f>
        <v>0</v>
      </c>
      <c r="C616" s="1">
        <f>+IF(G616="-",0,IF(I616=I615+1,0,(IF(I616=1,0,1))))</f>
        <v>1</v>
      </c>
      <c r="D616" s="1">
        <f>+IF(AND(P616="",Q616=""),1,0)</f>
        <v>0</v>
      </c>
      <c r="E616" s="1">
        <f>IF(U616="",1,0)</f>
        <v>1</v>
      </c>
      <c r="F616" s="1">
        <f>IF(V616="",1,0)</f>
        <v>0</v>
      </c>
      <c r="G616" s="1" t="str">
        <f>IF(H616=0,"-",_xlfn.CONCAT(K616,N616,O616,J616))</f>
        <v>24050504</v>
      </c>
      <c r="H616" s="9">
        <v>45417</v>
      </c>
      <c r="I616" s="36">
        <v>4</v>
      </c>
      <c r="J616" s="1" t="str">
        <f t="shared" si="143"/>
        <v>04</v>
      </c>
      <c r="K616" s="3">
        <f t="shared" si="144"/>
        <v>24</v>
      </c>
      <c r="L616" s="3">
        <f t="shared" si="145"/>
        <v>5</v>
      </c>
      <c r="M616" s="3">
        <f t="shared" si="146"/>
        <v>5</v>
      </c>
      <c r="N616" s="3" t="str">
        <f t="shared" si="147"/>
        <v>05</v>
      </c>
      <c r="O616" s="14" t="str">
        <f t="shared" si="148"/>
        <v>05</v>
      </c>
      <c r="P616" s="11">
        <v>748625</v>
      </c>
      <c r="Q616" s="12"/>
      <c r="R616" s="13"/>
      <c r="S616" s="12"/>
      <c r="T616" s="12" t="s">
        <v>122</v>
      </c>
      <c r="U616" s="10"/>
      <c r="V616" s="10" t="s">
        <v>4</v>
      </c>
      <c r="W616" s="10"/>
    </row>
    <row r="617" spans="1:23">
      <c r="A617" s="3">
        <v>407</v>
      </c>
      <c r="B617" s="1">
        <f>IF(G617="-",0,IF(G616=G617,1,0))</f>
        <v>0</v>
      </c>
      <c r="C617" s="1">
        <f>+IF(G617="-",0,IF(I617=I616+1,0,(IF(I617=1,0,1))))</f>
        <v>1</v>
      </c>
      <c r="D617" s="1">
        <f>+IF(AND(P617="",Q617=""),1,0)</f>
        <v>0</v>
      </c>
      <c r="E617" s="1">
        <f>IF(U617="",1,0)</f>
        <v>0</v>
      </c>
      <c r="F617" s="1">
        <f>IF(V617="",1,0)</f>
        <v>0</v>
      </c>
      <c r="G617" s="1" t="str">
        <f>IF(H617=0,"-",_xlfn.CONCAT(K617,N617,O617,J617))</f>
        <v>24050602</v>
      </c>
      <c r="H617" s="2">
        <v>45418</v>
      </c>
      <c r="I617" s="36">
        <v>2</v>
      </c>
      <c r="J617" s="1" t="str">
        <f t="shared" si="143"/>
        <v>02</v>
      </c>
      <c r="K617" s="3">
        <f t="shared" si="144"/>
        <v>24</v>
      </c>
      <c r="L617" s="3">
        <f t="shared" si="145"/>
        <v>5</v>
      </c>
      <c r="M617" s="3">
        <f t="shared" si="146"/>
        <v>6</v>
      </c>
      <c r="N617" s="3" t="str">
        <f t="shared" si="147"/>
        <v>05</v>
      </c>
      <c r="O617" s="14" t="str">
        <f t="shared" si="148"/>
        <v>06</v>
      </c>
      <c r="P617" s="4">
        <f>150000+38333.33</f>
        <v>188333.33000000002</v>
      </c>
      <c r="T617" s="5" t="s">
        <v>120</v>
      </c>
      <c r="U617" s="3" t="s">
        <v>1</v>
      </c>
      <c r="V617" s="3" t="s">
        <v>4</v>
      </c>
    </row>
    <row r="618" spans="1:23" hidden="1">
      <c r="J618" s="1" t="str">
        <f t="shared" si="143"/>
        <v>0</v>
      </c>
      <c r="K618" s="3">
        <f t="shared" si="144"/>
        <v>-100</v>
      </c>
      <c r="L618" s="3">
        <f t="shared" si="145"/>
        <v>1</v>
      </c>
      <c r="M618" s="3">
        <f t="shared" si="146"/>
        <v>0</v>
      </c>
      <c r="N618" s="3" t="str">
        <f t="shared" si="147"/>
        <v>01</v>
      </c>
      <c r="O618" s="14" t="str">
        <f t="shared" si="148"/>
        <v>00</v>
      </c>
      <c r="R618" s="6">
        <v>507</v>
      </c>
      <c r="S618" s="5">
        <f>IFERROR(P618/R618,"")</f>
        <v>0</v>
      </c>
    </row>
    <row r="619" spans="1:23" hidden="1">
      <c r="J619" s="1" t="str">
        <f t="shared" si="143"/>
        <v>0</v>
      </c>
      <c r="K619" s="3">
        <f t="shared" si="144"/>
        <v>-100</v>
      </c>
      <c r="L619" s="3">
        <f t="shared" si="145"/>
        <v>1</v>
      </c>
      <c r="M619" s="3">
        <f t="shared" si="146"/>
        <v>0</v>
      </c>
      <c r="N619" s="3" t="str">
        <f t="shared" si="147"/>
        <v>01</v>
      </c>
      <c r="O619" s="14" t="str">
        <f t="shared" si="148"/>
        <v>00</v>
      </c>
      <c r="P619" s="11"/>
      <c r="Q619" s="12"/>
      <c r="R619" s="13"/>
      <c r="S619" s="12"/>
      <c r="T619" s="12"/>
      <c r="U619" s="10"/>
      <c r="V619" s="10"/>
    </row>
    <row r="620" spans="1:23">
      <c r="A620" s="3">
        <v>408</v>
      </c>
      <c r="B620" s="1">
        <f>IF(G620="-",0,IF(G619=G620,1,0))</f>
        <v>0</v>
      </c>
      <c r="C620" s="1">
        <f>+IF(G620="-",0,IF(I620=I619+1,0,(IF(I620=1,0,1))))</f>
        <v>1</v>
      </c>
      <c r="D620" s="1">
        <f>+IF(AND(P620="",Q620=""),1,0)</f>
        <v>0</v>
      </c>
      <c r="E620" s="1">
        <f t="shared" ref="E620:F622" si="150">IF(U620="",1,0)</f>
        <v>0</v>
      </c>
      <c r="F620" s="1">
        <f t="shared" si="150"/>
        <v>0</v>
      </c>
      <c r="G620" s="1" t="str">
        <f>IF(H620=0,"-",_xlfn.CONCAT(K620,N620,O620,J620))</f>
        <v>24050603</v>
      </c>
      <c r="H620" s="2">
        <v>45418</v>
      </c>
      <c r="I620" s="36">
        <v>3</v>
      </c>
      <c r="J620" s="1" t="str">
        <f t="shared" si="143"/>
        <v>03</v>
      </c>
      <c r="K620" s="3">
        <f t="shared" si="144"/>
        <v>24</v>
      </c>
      <c r="L620" s="3">
        <f t="shared" si="145"/>
        <v>5</v>
      </c>
      <c r="M620" s="3">
        <f t="shared" si="146"/>
        <v>6</v>
      </c>
      <c r="N620" s="3" t="str">
        <f t="shared" si="147"/>
        <v>05</v>
      </c>
      <c r="O620" s="14" t="str">
        <f t="shared" si="148"/>
        <v>06</v>
      </c>
      <c r="P620" s="4">
        <v>135369.32999999999</v>
      </c>
      <c r="T620" s="5" t="s">
        <v>121</v>
      </c>
      <c r="U620" s="3" t="s">
        <v>1</v>
      </c>
      <c r="V620" s="3" t="s">
        <v>4</v>
      </c>
    </row>
    <row r="621" spans="1:23">
      <c r="A621" s="3">
        <v>413</v>
      </c>
      <c r="B621" s="1">
        <f>IF(G621="-",0,IF(G620=G621,1,0))</f>
        <v>0</v>
      </c>
      <c r="C621" s="1">
        <f>+IF(G621="-",0,IF(I621=I620+1,0,(IF(I621=1,0,1))))</f>
        <v>1</v>
      </c>
      <c r="D621" s="1">
        <f>+IF(AND(P621="",Q621=""),1,0)</f>
        <v>0</v>
      </c>
      <c r="E621" s="1">
        <f t="shared" si="150"/>
        <v>0</v>
      </c>
      <c r="F621" s="1">
        <f t="shared" si="150"/>
        <v>0</v>
      </c>
      <c r="G621" s="1" t="str">
        <f>IF(H621=0,"-",_xlfn.CONCAT(K621,N621,O621,J621))</f>
        <v>24050608</v>
      </c>
      <c r="H621" s="2">
        <v>45418</v>
      </c>
      <c r="I621" s="36">
        <v>8</v>
      </c>
      <c r="J621" s="1" t="str">
        <f t="shared" si="143"/>
        <v>08</v>
      </c>
      <c r="K621" s="3">
        <f t="shared" si="144"/>
        <v>24</v>
      </c>
      <c r="L621" s="3">
        <f t="shared" si="145"/>
        <v>5</v>
      </c>
      <c r="M621" s="3">
        <f t="shared" si="146"/>
        <v>6</v>
      </c>
      <c r="N621" s="3" t="str">
        <f t="shared" si="147"/>
        <v>05</v>
      </c>
      <c r="O621" s="14" t="str">
        <f t="shared" si="148"/>
        <v>06</v>
      </c>
      <c r="P621" s="4">
        <v>13514</v>
      </c>
      <c r="T621" s="5" t="s">
        <v>1031</v>
      </c>
      <c r="U621" s="3" t="s">
        <v>29</v>
      </c>
      <c r="V621" s="3" t="s">
        <v>4</v>
      </c>
    </row>
    <row r="622" spans="1:23">
      <c r="A622" s="3">
        <v>417</v>
      </c>
      <c r="B622" s="1">
        <f>IF(G622="-",0,IF(G621=G622,1,0))</f>
        <v>0</v>
      </c>
      <c r="C622" s="1">
        <f>+IF(G622="-",0,IF(I622=I621+1,0,(IF(I622=1,0,1))))</f>
        <v>1</v>
      </c>
      <c r="D622" s="1">
        <f>+IF(AND(P622="",Q622=""),1,0)</f>
        <v>0</v>
      </c>
      <c r="E622" s="1">
        <f t="shared" si="150"/>
        <v>0</v>
      </c>
      <c r="F622" s="1">
        <f t="shared" si="150"/>
        <v>0</v>
      </c>
      <c r="G622" s="1" t="str">
        <f>IF(H622=0,"-",_xlfn.CONCAT(K622,N622,O622,J622))</f>
        <v>24050702</v>
      </c>
      <c r="H622" s="2">
        <v>45419</v>
      </c>
      <c r="I622" s="36">
        <v>2</v>
      </c>
      <c r="J622" s="1" t="str">
        <f t="shared" si="143"/>
        <v>02</v>
      </c>
      <c r="K622" s="3">
        <f t="shared" si="144"/>
        <v>24</v>
      </c>
      <c r="L622" s="3">
        <f t="shared" si="145"/>
        <v>5</v>
      </c>
      <c r="M622" s="3">
        <f t="shared" si="146"/>
        <v>7</v>
      </c>
      <c r="N622" s="3" t="str">
        <f t="shared" si="147"/>
        <v>05</v>
      </c>
      <c r="O622" s="14" t="str">
        <f t="shared" si="148"/>
        <v>07</v>
      </c>
      <c r="P622" s="4">
        <v>42714</v>
      </c>
      <c r="T622" s="5" t="s">
        <v>125</v>
      </c>
      <c r="U622" s="3" t="s">
        <v>29</v>
      </c>
      <c r="V622" s="3" t="s">
        <v>4</v>
      </c>
    </row>
    <row r="623" spans="1:23" hidden="1">
      <c r="J623" s="1" t="str">
        <f t="shared" si="143"/>
        <v>0</v>
      </c>
      <c r="K623" s="3">
        <f t="shared" si="144"/>
        <v>-100</v>
      </c>
      <c r="L623" s="3">
        <f t="shared" si="145"/>
        <v>1</v>
      </c>
      <c r="M623" s="3">
        <f t="shared" si="146"/>
        <v>0</v>
      </c>
      <c r="N623" s="3" t="str">
        <f t="shared" si="147"/>
        <v>01</v>
      </c>
      <c r="O623" s="14" t="str">
        <f t="shared" si="148"/>
        <v>00</v>
      </c>
      <c r="R623" s="6">
        <v>508</v>
      </c>
      <c r="S623" s="5">
        <f>IFERROR(P623/R623,"")</f>
        <v>0</v>
      </c>
    </row>
    <row r="624" spans="1:23" hidden="1">
      <c r="J624" s="1" t="str">
        <f t="shared" si="143"/>
        <v>0</v>
      </c>
      <c r="K624" s="3">
        <f t="shared" si="144"/>
        <v>-100</v>
      </c>
      <c r="L624" s="3">
        <f t="shared" si="145"/>
        <v>1</v>
      </c>
      <c r="M624" s="3">
        <f t="shared" si="146"/>
        <v>0</v>
      </c>
      <c r="N624" s="3" t="str">
        <f t="shared" si="147"/>
        <v>01</v>
      </c>
      <c r="O624" s="14" t="str">
        <f t="shared" si="148"/>
        <v>00</v>
      </c>
      <c r="R624" s="6">
        <v>508</v>
      </c>
      <c r="S624" s="5">
        <f>IFERROR(P624/R624,"")</f>
        <v>0</v>
      </c>
    </row>
    <row r="625" spans="1:23">
      <c r="A625" s="3">
        <v>421</v>
      </c>
      <c r="B625" s="1">
        <f>IF(G625="-",0,IF(G624=G625,1,0))</f>
        <v>0</v>
      </c>
      <c r="C625" s="1">
        <f>+IF(G625="-",0,IF(I625=I624+1,0,(IF(I625=1,0,1))))</f>
        <v>1</v>
      </c>
      <c r="D625" s="1">
        <f>+IF(AND(P625="",Q625=""),1,0)</f>
        <v>0</v>
      </c>
      <c r="E625" s="1">
        <f t="shared" ref="E625:F627" si="151">IF(U625="",1,0)</f>
        <v>0</v>
      </c>
      <c r="F625" s="1">
        <f t="shared" si="151"/>
        <v>0</v>
      </c>
      <c r="G625" s="1" t="str">
        <f>IF(H625=0,"-",_xlfn.CONCAT(K625,N625,O625,J625))</f>
        <v>24050706</v>
      </c>
      <c r="H625" s="2">
        <v>45419</v>
      </c>
      <c r="I625" s="36">
        <v>6</v>
      </c>
      <c r="J625" s="1" t="str">
        <f t="shared" si="143"/>
        <v>06</v>
      </c>
      <c r="K625" s="3">
        <f t="shared" si="144"/>
        <v>24</v>
      </c>
      <c r="L625" s="3">
        <f t="shared" si="145"/>
        <v>5</v>
      </c>
      <c r="M625" s="3">
        <f t="shared" si="146"/>
        <v>7</v>
      </c>
      <c r="N625" s="3" t="str">
        <f t="shared" si="147"/>
        <v>05</v>
      </c>
      <c r="O625" s="14" t="str">
        <f t="shared" si="148"/>
        <v>07</v>
      </c>
      <c r="P625" s="4">
        <v>47400</v>
      </c>
      <c r="T625" s="5" t="s">
        <v>182</v>
      </c>
      <c r="U625" s="3" t="s">
        <v>29</v>
      </c>
      <c r="V625" s="3" t="s">
        <v>4</v>
      </c>
    </row>
    <row r="626" spans="1:23">
      <c r="A626" s="3">
        <v>422</v>
      </c>
      <c r="B626" s="1">
        <f>IF(G626="-",0,IF(G625=G626,1,0))</f>
        <v>0</v>
      </c>
      <c r="C626" s="1">
        <f>+IF(G626="-",0,IF(I626=I625+1,0,(IF(I626=1,0,1))))</f>
        <v>0</v>
      </c>
      <c r="D626" s="1">
        <f>+IF(AND(P626="",Q626=""),1,0)</f>
        <v>0</v>
      </c>
      <c r="E626" s="1">
        <f t="shared" si="151"/>
        <v>0</v>
      </c>
      <c r="F626" s="1">
        <f t="shared" si="151"/>
        <v>0</v>
      </c>
      <c r="G626" s="1" t="str">
        <f>IF(H626=0,"-",_xlfn.CONCAT(K626,N626,O626,J626))</f>
        <v>24050707</v>
      </c>
      <c r="H626" s="2">
        <v>45419</v>
      </c>
      <c r="I626" s="36">
        <v>7</v>
      </c>
      <c r="J626" s="1" t="str">
        <f t="shared" si="143"/>
        <v>07</v>
      </c>
      <c r="K626" s="3">
        <f t="shared" si="144"/>
        <v>24</v>
      </c>
      <c r="L626" s="3">
        <f t="shared" si="145"/>
        <v>5</v>
      </c>
      <c r="M626" s="3">
        <f t="shared" si="146"/>
        <v>7</v>
      </c>
      <c r="N626" s="3" t="str">
        <f t="shared" si="147"/>
        <v>05</v>
      </c>
      <c r="O626" s="14" t="str">
        <f t="shared" si="148"/>
        <v>07</v>
      </c>
      <c r="P626" s="4">
        <v>43200</v>
      </c>
      <c r="T626" s="5" t="s">
        <v>181</v>
      </c>
      <c r="U626" s="3" t="s">
        <v>29</v>
      </c>
      <c r="V626" s="3" t="s">
        <v>4</v>
      </c>
    </row>
    <row r="627" spans="1:23">
      <c r="A627" s="3">
        <v>429</v>
      </c>
      <c r="B627" s="1">
        <f>IF(G627="-",0,IF(G626=G627,1,0))</f>
        <v>0</v>
      </c>
      <c r="C627" s="1">
        <f>+IF(G627="-",0,IF(I627=I626+1,0,(IF(I627=1,0,1))))</f>
        <v>1</v>
      </c>
      <c r="D627" s="1">
        <f>+IF(AND(P627="",Q627=""),1,0)</f>
        <v>0</v>
      </c>
      <c r="E627" s="1">
        <f t="shared" si="151"/>
        <v>0</v>
      </c>
      <c r="F627" s="1">
        <f t="shared" si="151"/>
        <v>0</v>
      </c>
      <c r="G627" s="52" t="str">
        <f>IF(H627=0,"-",_xlfn.CONCAT(K627,N627,O627,J627))</f>
        <v>24050805</v>
      </c>
      <c r="H627" s="9">
        <v>45420</v>
      </c>
      <c r="I627" s="36">
        <v>5</v>
      </c>
      <c r="J627" s="1" t="str">
        <f t="shared" si="143"/>
        <v>05</v>
      </c>
      <c r="K627" s="3">
        <f t="shared" si="144"/>
        <v>24</v>
      </c>
      <c r="L627" s="3">
        <f t="shared" si="145"/>
        <v>5</v>
      </c>
      <c r="M627" s="3">
        <f t="shared" si="146"/>
        <v>8</v>
      </c>
      <c r="N627" s="3" t="str">
        <f t="shared" si="147"/>
        <v>05</v>
      </c>
      <c r="O627" s="14" t="str">
        <f t="shared" si="148"/>
        <v>08</v>
      </c>
      <c r="P627" s="11">
        <v>97166.49</v>
      </c>
      <c r="Q627" s="12"/>
      <c r="R627" s="13"/>
      <c r="S627" s="12"/>
      <c r="T627" s="12" t="s">
        <v>126</v>
      </c>
      <c r="U627" s="10" t="s">
        <v>1</v>
      </c>
      <c r="V627" s="10" t="s">
        <v>4</v>
      </c>
      <c r="W627" s="10"/>
    </row>
    <row r="628" spans="1:23" hidden="1">
      <c r="J628" s="1" t="str">
        <f t="shared" si="143"/>
        <v>0</v>
      </c>
      <c r="K628" s="3">
        <f t="shared" si="144"/>
        <v>-100</v>
      </c>
      <c r="L628" s="3">
        <f t="shared" si="145"/>
        <v>1</v>
      </c>
      <c r="M628" s="3">
        <f t="shared" si="146"/>
        <v>0</v>
      </c>
      <c r="N628" s="3" t="str">
        <f t="shared" si="147"/>
        <v>01</v>
      </c>
      <c r="O628" s="14" t="str">
        <f t="shared" si="148"/>
        <v>00</v>
      </c>
      <c r="R628" s="6">
        <v>512</v>
      </c>
      <c r="S628" s="5">
        <f>IFERROR(P628/R628,"")</f>
        <v>0</v>
      </c>
    </row>
    <row r="629" spans="1:23" hidden="1">
      <c r="J629" s="1" t="str">
        <f t="shared" si="143"/>
        <v>0</v>
      </c>
      <c r="K629" s="3">
        <f t="shared" si="144"/>
        <v>-100</v>
      </c>
      <c r="L629" s="3">
        <f t="shared" si="145"/>
        <v>1</v>
      </c>
      <c r="M629" s="3">
        <f t="shared" si="146"/>
        <v>0</v>
      </c>
      <c r="N629" s="3" t="str">
        <f t="shared" si="147"/>
        <v>01</v>
      </c>
      <c r="O629" s="14" t="str">
        <f t="shared" si="148"/>
        <v>00</v>
      </c>
      <c r="S629" s="5" t="str">
        <f>IFERROR(P629/R629,"")</f>
        <v/>
      </c>
    </row>
    <row r="630" spans="1:23" hidden="1">
      <c r="J630" s="1" t="str">
        <f t="shared" si="143"/>
        <v>0</v>
      </c>
      <c r="K630" s="3">
        <f t="shared" si="144"/>
        <v>-100</v>
      </c>
      <c r="L630" s="3">
        <f t="shared" si="145"/>
        <v>1</v>
      </c>
      <c r="M630" s="3">
        <f t="shared" si="146"/>
        <v>0</v>
      </c>
      <c r="N630" s="3" t="str">
        <f t="shared" si="147"/>
        <v>01</v>
      </c>
      <c r="O630" s="14" t="str">
        <f t="shared" si="148"/>
        <v>00</v>
      </c>
      <c r="R630" s="6">
        <v>512</v>
      </c>
      <c r="S630" s="5">
        <f>IFERROR(P630/R630,"")</f>
        <v>0</v>
      </c>
    </row>
    <row r="631" spans="1:23" hidden="1">
      <c r="J631" s="1" t="str">
        <f t="shared" si="143"/>
        <v>0</v>
      </c>
      <c r="K631" s="3">
        <f t="shared" si="144"/>
        <v>-100</v>
      </c>
      <c r="L631" s="3">
        <f t="shared" si="145"/>
        <v>1</v>
      </c>
      <c r="M631" s="3">
        <f t="shared" si="146"/>
        <v>0</v>
      </c>
      <c r="N631" s="3" t="str">
        <f t="shared" si="147"/>
        <v>01</v>
      </c>
      <c r="O631" s="14" t="str">
        <f t="shared" si="148"/>
        <v>00</v>
      </c>
      <c r="R631" s="6">
        <v>512</v>
      </c>
      <c r="S631" s="5">
        <f>IFERROR(P631/R631,"")</f>
        <v>0</v>
      </c>
    </row>
    <row r="632" spans="1:23">
      <c r="A632" s="3">
        <v>430</v>
      </c>
      <c r="B632" s="1">
        <f>IF(G632="-",0,IF(G631=G632,1,0))</f>
        <v>0</v>
      </c>
      <c r="C632" s="1">
        <f>+IF(G632="-",0,IF(I632=I631+1,0,(IF(I632=1,0,1))))</f>
        <v>1</v>
      </c>
      <c r="D632" s="1">
        <f>+IF(AND(P632="",Q632=""),1,0)</f>
        <v>0</v>
      </c>
      <c r="E632" s="1">
        <f t="shared" ref="E632:F634" si="152">IF(U632="",1,0)</f>
        <v>0</v>
      </c>
      <c r="F632" s="1">
        <f t="shared" si="152"/>
        <v>0</v>
      </c>
      <c r="G632" s="52" t="str">
        <f>IF(H632=0,"-",_xlfn.CONCAT(K632,N632,O632,J632))</f>
        <v>24050806</v>
      </c>
      <c r="H632" s="9">
        <v>45420</v>
      </c>
      <c r="I632" s="36">
        <v>6</v>
      </c>
      <c r="J632" s="1" t="str">
        <f t="shared" si="143"/>
        <v>06</v>
      </c>
      <c r="K632" s="3">
        <f t="shared" si="144"/>
        <v>24</v>
      </c>
      <c r="L632" s="3">
        <f t="shared" si="145"/>
        <v>5</v>
      </c>
      <c r="M632" s="3">
        <f t="shared" si="146"/>
        <v>8</v>
      </c>
      <c r="N632" s="3" t="str">
        <f t="shared" si="147"/>
        <v>05</v>
      </c>
      <c r="O632" s="14" t="str">
        <f t="shared" si="148"/>
        <v>08</v>
      </c>
      <c r="P632" s="11">
        <v>31439.54</v>
      </c>
      <c r="Q632" s="12"/>
      <c r="R632" s="13"/>
      <c r="S632" s="12"/>
      <c r="T632" s="12" t="s">
        <v>132</v>
      </c>
      <c r="U632" s="10" t="s">
        <v>29</v>
      </c>
      <c r="V632" s="10" t="s">
        <v>4</v>
      </c>
      <c r="W632" s="10"/>
    </row>
    <row r="633" spans="1:23">
      <c r="A633" s="3">
        <v>431</v>
      </c>
      <c r="B633" s="1">
        <f>IF(G633="-",0,IF(G632=G633,1,0))</f>
        <v>0</v>
      </c>
      <c r="C633" s="1">
        <f>+IF(G633="-",0,IF(I633=I632+1,0,(IF(I633=1,0,1))))</f>
        <v>0</v>
      </c>
      <c r="D633" s="1">
        <f>+IF(AND(P633="",Q633=""),1,0)</f>
        <v>1</v>
      </c>
      <c r="E633" s="1">
        <f t="shared" si="152"/>
        <v>0</v>
      </c>
      <c r="F633" s="1">
        <f t="shared" si="152"/>
        <v>0</v>
      </c>
      <c r="G633" s="52" t="str">
        <f>IF(H633=0,"-",_xlfn.CONCAT(K633,N633,O633,J633))</f>
        <v>24050807</v>
      </c>
      <c r="H633" s="9">
        <v>45420</v>
      </c>
      <c r="I633" s="36">
        <v>7</v>
      </c>
      <c r="J633" s="1" t="str">
        <f t="shared" si="143"/>
        <v>07</v>
      </c>
      <c r="K633" s="3">
        <f t="shared" si="144"/>
        <v>24</v>
      </c>
      <c r="L633" s="3">
        <f t="shared" si="145"/>
        <v>5</v>
      </c>
      <c r="M633" s="3">
        <f t="shared" si="146"/>
        <v>8</v>
      </c>
      <c r="N633" s="3" t="str">
        <f t="shared" si="147"/>
        <v>05</v>
      </c>
      <c r="O633" s="14" t="str">
        <f t="shared" si="148"/>
        <v>08</v>
      </c>
      <c r="P633" s="11"/>
      <c r="Q633" s="12"/>
      <c r="R633" s="13"/>
      <c r="S633" s="12">
        <v>1409.56</v>
      </c>
      <c r="T633" s="12" t="s">
        <v>567</v>
      </c>
      <c r="U633" s="10" t="s">
        <v>3</v>
      </c>
      <c r="V633" s="10" t="s">
        <v>4</v>
      </c>
      <c r="W633" s="10"/>
    </row>
    <row r="634" spans="1:23">
      <c r="A634" s="3">
        <v>434</v>
      </c>
      <c r="B634" s="1">
        <f>IF(G634="-",0,IF(G633=G634,1,0))</f>
        <v>0</v>
      </c>
      <c r="C634" s="1">
        <f>+IF(G634="-",0,IF(I634=I633+1,0,(IF(I634=1,0,1))))</f>
        <v>0</v>
      </c>
      <c r="D634" s="1">
        <f>+IF(AND(P634="",Q634=""),1,0)</f>
        <v>0</v>
      </c>
      <c r="E634" s="1">
        <f t="shared" si="152"/>
        <v>0</v>
      </c>
      <c r="F634" s="1">
        <f t="shared" si="152"/>
        <v>0</v>
      </c>
      <c r="G634" s="52" t="str">
        <f>IF(H634=0,"-",_xlfn.CONCAT(K634,N634,O634,J634))</f>
        <v>24050901</v>
      </c>
      <c r="H634" s="9">
        <v>45421</v>
      </c>
      <c r="I634" s="36">
        <v>1</v>
      </c>
      <c r="J634" s="1" t="str">
        <f t="shared" si="143"/>
        <v>01</v>
      </c>
      <c r="K634" s="3">
        <f t="shared" si="144"/>
        <v>24</v>
      </c>
      <c r="L634" s="3">
        <f t="shared" si="145"/>
        <v>5</v>
      </c>
      <c r="M634" s="3">
        <f t="shared" si="146"/>
        <v>9</v>
      </c>
      <c r="N634" s="3" t="str">
        <f t="shared" si="147"/>
        <v>05</v>
      </c>
      <c r="O634" s="14" t="str">
        <f t="shared" si="148"/>
        <v>09</v>
      </c>
      <c r="P634" s="11">
        <v>549256.43999999994</v>
      </c>
      <c r="Q634" s="12"/>
      <c r="R634" s="13"/>
      <c r="S634" s="12"/>
      <c r="T634" s="12" t="s">
        <v>127</v>
      </c>
      <c r="U634" s="10" t="s">
        <v>2</v>
      </c>
      <c r="V634" s="10" t="s">
        <v>4</v>
      </c>
      <c r="W634" s="10"/>
    </row>
    <row r="635" spans="1:23" hidden="1">
      <c r="J635" s="1" t="str">
        <f t="shared" si="143"/>
        <v>0</v>
      </c>
      <c r="K635" s="3">
        <f t="shared" si="144"/>
        <v>-100</v>
      </c>
      <c r="L635" s="3">
        <f t="shared" si="145"/>
        <v>1</v>
      </c>
      <c r="M635" s="3">
        <f t="shared" si="146"/>
        <v>0</v>
      </c>
      <c r="N635" s="3" t="str">
        <f t="shared" si="147"/>
        <v>01</v>
      </c>
      <c r="O635" s="14" t="str">
        <f t="shared" si="148"/>
        <v>00</v>
      </c>
      <c r="R635" s="6">
        <v>512</v>
      </c>
      <c r="S635" s="5">
        <f>IFERROR(P635/R635,"")</f>
        <v>0</v>
      </c>
    </row>
    <row r="636" spans="1:23">
      <c r="A636" s="3">
        <v>436</v>
      </c>
      <c r="B636" s="1">
        <f>IF(G636="-",0,IF(G635=G636,1,0))</f>
        <v>0</v>
      </c>
      <c r="C636" s="1">
        <f>+IF(G636="-",0,IF(I636=I635+1,0,(IF(I636=1,0,1))))</f>
        <v>1</v>
      </c>
      <c r="D636" s="1">
        <f>+IF(AND(P636="",Q636=""),1,0)</f>
        <v>0</v>
      </c>
      <c r="E636" s="1">
        <f t="shared" ref="E636:F640" si="153">IF(U636="",1,0)</f>
        <v>0</v>
      </c>
      <c r="F636" s="1">
        <f t="shared" si="153"/>
        <v>0</v>
      </c>
      <c r="G636" s="52" t="str">
        <f>IF(H636=0,"-",_xlfn.CONCAT(K636,N636,O636,J636))</f>
        <v>24050903</v>
      </c>
      <c r="H636" s="9">
        <v>45421</v>
      </c>
      <c r="I636" s="36">
        <v>3</v>
      </c>
      <c r="J636" s="1" t="str">
        <f t="shared" si="143"/>
        <v>03</v>
      </c>
      <c r="K636" s="3">
        <f t="shared" si="144"/>
        <v>24</v>
      </c>
      <c r="L636" s="3">
        <f t="shared" si="145"/>
        <v>5</v>
      </c>
      <c r="M636" s="3">
        <f t="shared" si="146"/>
        <v>9</v>
      </c>
      <c r="N636" s="3" t="str">
        <f t="shared" si="147"/>
        <v>05</v>
      </c>
      <c r="O636" s="14" t="str">
        <f t="shared" si="148"/>
        <v>09</v>
      </c>
      <c r="P636" s="11">
        <v>60000</v>
      </c>
      <c r="Q636" s="12"/>
      <c r="R636" s="13"/>
      <c r="S636" s="12"/>
      <c r="T636" s="12" t="s">
        <v>130</v>
      </c>
      <c r="U636" s="10" t="s">
        <v>2</v>
      </c>
      <c r="V636" s="10" t="s">
        <v>4</v>
      </c>
      <c r="W636" s="10"/>
    </row>
    <row r="637" spans="1:23">
      <c r="A637" s="3">
        <v>446</v>
      </c>
      <c r="B637" s="1">
        <f>IF(G637="-",0,IF(G636=G637,1,0))</f>
        <v>0</v>
      </c>
      <c r="C637" s="1">
        <f>+IF(G637="-",0,IF(I637=I636+1,0,(IF(I637=1,0,1))))</f>
        <v>1</v>
      </c>
      <c r="D637" s="1">
        <f>+IF(AND(P637="",Q637=""),1,0)</f>
        <v>0</v>
      </c>
      <c r="E637" s="1">
        <f t="shared" si="153"/>
        <v>0</v>
      </c>
      <c r="F637" s="1">
        <f t="shared" si="153"/>
        <v>0</v>
      </c>
      <c r="G637" s="52" t="str">
        <f>IF(H637=0,"-",_xlfn.CONCAT(K637,N637,O637,J637))</f>
        <v>24050912</v>
      </c>
      <c r="H637" s="9">
        <v>45421</v>
      </c>
      <c r="I637" s="36">
        <v>12</v>
      </c>
      <c r="J637" s="1">
        <f t="shared" si="143"/>
        <v>12</v>
      </c>
      <c r="K637" s="3">
        <f t="shared" si="144"/>
        <v>24</v>
      </c>
      <c r="L637" s="3">
        <f t="shared" si="145"/>
        <v>5</v>
      </c>
      <c r="M637" s="3">
        <f t="shared" si="146"/>
        <v>9</v>
      </c>
      <c r="N637" s="3" t="str">
        <f t="shared" si="147"/>
        <v>05</v>
      </c>
      <c r="O637" s="14" t="str">
        <f t="shared" si="148"/>
        <v>09</v>
      </c>
      <c r="P637" s="11">
        <v>45003.38</v>
      </c>
      <c r="Q637" s="12"/>
      <c r="R637" s="13"/>
      <c r="S637" s="12"/>
      <c r="T637" s="12" t="s">
        <v>134</v>
      </c>
      <c r="U637" s="10" t="s">
        <v>29</v>
      </c>
      <c r="V637" s="10" t="s">
        <v>4</v>
      </c>
      <c r="W637" s="10"/>
    </row>
    <row r="638" spans="1:23">
      <c r="A638" s="3">
        <v>447</v>
      </c>
      <c r="B638" s="1">
        <f>IF(G638="-",0,IF(G637=G638,1,0))</f>
        <v>0</v>
      </c>
      <c r="C638" s="1">
        <f>+IF(G638="-",0,IF(I638=I637+1,0,(IF(I638=1,0,1))))</f>
        <v>0</v>
      </c>
      <c r="D638" s="1">
        <f>+IF(AND(P638="",Q638=""),1,0)</f>
        <v>0</v>
      </c>
      <c r="E638" s="1">
        <f t="shared" si="153"/>
        <v>0</v>
      </c>
      <c r="F638" s="1">
        <f t="shared" si="153"/>
        <v>0</v>
      </c>
      <c r="G638" s="52" t="str">
        <f>IF(H638=0,"-",_xlfn.CONCAT(K638,N638,O638,J638))</f>
        <v>24050913</v>
      </c>
      <c r="H638" s="9">
        <v>45421</v>
      </c>
      <c r="I638" s="36">
        <v>13</v>
      </c>
      <c r="J638" s="1">
        <f t="shared" si="143"/>
        <v>13</v>
      </c>
      <c r="K638" s="3">
        <f t="shared" si="144"/>
        <v>24</v>
      </c>
      <c r="L638" s="3">
        <f t="shared" si="145"/>
        <v>5</v>
      </c>
      <c r="M638" s="3">
        <f t="shared" si="146"/>
        <v>9</v>
      </c>
      <c r="N638" s="3" t="str">
        <f t="shared" si="147"/>
        <v>05</v>
      </c>
      <c r="O638" s="14" t="str">
        <f t="shared" si="148"/>
        <v>09</v>
      </c>
      <c r="P638" s="11">
        <v>12549.99</v>
      </c>
      <c r="Q638" s="12"/>
      <c r="R638" s="13"/>
      <c r="S638" s="12"/>
      <c r="T638" s="12" t="s">
        <v>135</v>
      </c>
      <c r="U638" s="10" t="s">
        <v>29</v>
      </c>
      <c r="V638" s="10" t="s">
        <v>4</v>
      </c>
      <c r="W638" s="10"/>
    </row>
    <row r="639" spans="1:23">
      <c r="A639" s="3">
        <v>456</v>
      </c>
      <c r="B639" s="1">
        <f>IF(G639="-",0,IF(G638=G639,1,0))</f>
        <v>0</v>
      </c>
      <c r="C639" s="1">
        <f>+IF(G639="-",0,IF(I639=I638+1,0,(IF(I639=1,0,1))))</f>
        <v>1</v>
      </c>
      <c r="D639" s="1">
        <f>+IF(AND(P639="",Q639=""),1,0)</f>
        <v>0</v>
      </c>
      <c r="E639" s="1">
        <f t="shared" si="153"/>
        <v>0</v>
      </c>
      <c r="F639" s="1">
        <f t="shared" si="153"/>
        <v>0</v>
      </c>
      <c r="G639" s="52" t="str">
        <f>IF(H639=0,"-",_xlfn.CONCAT(K639,N639,O639,J639))</f>
        <v>24050922</v>
      </c>
      <c r="H639" s="9">
        <v>45421</v>
      </c>
      <c r="I639" s="36">
        <v>22</v>
      </c>
      <c r="J639" s="1">
        <f t="shared" si="143"/>
        <v>22</v>
      </c>
      <c r="K639" s="3">
        <f t="shared" si="144"/>
        <v>24</v>
      </c>
      <c r="L639" s="3">
        <f t="shared" si="145"/>
        <v>5</v>
      </c>
      <c r="M639" s="3">
        <f t="shared" si="146"/>
        <v>9</v>
      </c>
      <c r="N639" s="3" t="str">
        <f t="shared" si="147"/>
        <v>05</v>
      </c>
      <c r="O639" s="14" t="str">
        <f t="shared" si="148"/>
        <v>09</v>
      </c>
      <c r="P639" s="11">
        <v>9702.18</v>
      </c>
      <c r="Q639" s="12"/>
      <c r="R639" s="13"/>
      <c r="S639" s="12"/>
      <c r="T639" s="12" t="s">
        <v>145</v>
      </c>
      <c r="U639" s="10" t="s">
        <v>29</v>
      </c>
      <c r="V639" s="10" t="s">
        <v>4</v>
      </c>
      <c r="W639" s="10"/>
    </row>
    <row r="640" spans="1:23">
      <c r="A640" s="3">
        <v>459</v>
      </c>
      <c r="B640" s="1">
        <f>IF(G640="-",0,IF(G639=G640,1,0))</f>
        <v>0</v>
      </c>
      <c r="C640" s="1">
        <f>+IF(G640="-",0,IF(I640=I639+1,0,(IF(I640=1,0,1))))</f>
        <v>0</v>
      </c>
      <c r="D640" s="1">
        <f>+IF(AND(P640="",Q640=""),1,0)</f>
        <v>0</v>
      </c>
      <c r="E640" s="1">
        <f t="shared" si="153"/>
        <v>0</v>
      </c>
      <c r="F640" s="1">
        <f t="shared" si="153"/>
        <v>0</v>
      </c>
      <c r="G640" s="1" t="str">
        <f>IF(H640=0,"-",_xlfn.CONCAT(K640,N640,O640,J640))</f>
        <v>24051001</v>
      </c>
      <c r="H640" s="2">
        <v>45422</v>
      </c>
      <c r="I640" s="36">
        <v>1</v>
      </c>
      <c r="J640" s="1" t="str">
        <f t="shared" si="143"/>
        <v>01</v>
      </c>
      <c r="K640" s="3">
        <f t="shared" si="144"/>
        <v>24</v>
      </c>
      <c r="L640" s="3">
        <f t="shared" si="145"/>
        <v>5</v>
      </c>
      <c r="M640" s="3">
        <f t="shared" si="146"/>
        <v>10</v>
      </c>
      <c r="N640" s="3" t="str">
        <f t="shared" si="147"/>
        <v>05</v>
      </c>
      <c r="O640" s="14">
        <f t="shared" si="148"/>
        <v>10</v>
      </c>
      <c r="P640" s="4">
        <v>18000</v>
      </c>
      <c r="T640" s="5" t="s">
        <v>144</v>
      </c>
      <c r="U640" s="3" t="s">
        <v>29</v>
      </c>
      <c r="V640" s="3" t="s">
        <v>4</v>
      </c>
    </row>
    <row r="641" spans="1:22" hidden="1">
      <c r="J641" s="1" t="str">
        <f t="shared" si="143"/>
        <v>0</v>
      </c>
      <c r="K641" s="3">
        <f t="shared" si="144"/>
        <v>-100</v>
      </c>
      <c r="L641" s="3">
        <f t="shared" si="145"/>
        <v>1</v>
      </c>
      <c r="M641" s="3">
        <f t="shared" si="146"/>
        <v>0</v>
      </c>
      <c r="N641" s="3" t="str">
        <f t="shared" si="147"/>
        <v>01</v>
      </c>
      <c r="O641" s="14" t="str">
        <f t="shared" si="148"/>
        <v>00</v>
      </c>
      <c r="P641" s="57"/>
      <c r="R641" s="6">
        <v>512</v>
      </c>
      <c r="S641" s="5">
        <f>IFERROR(P641/R641,"")</f>
        <v>0</v>
      </c>
      <c r="T641" s="3"/>
    </row>
    <row r="642" spans="1:22">
      <c r="A642" s="3">
        <v>464</v>
      </c>
      <c r="B642" s="1">
        <f>IF(G642="-",0,IF(G641=G642,1,0))</f>
        <v>0</v>
      </c>
      <c r="C642" s="1">
        <f>+IF(G642="-",0,IF(I642=I641+1,0,(IF(I642=1,0,1))))</f>
        <v>1</v>
      </c>
      <c r="D642" s="1">
        <f>+IF(AND(P642="",Q642=""),1,0)</f>
        <v>0</v>
      </c>
      <c r="E642" s="1">
        <f>IF(U642="",1,0)</f>
        <v>0</v>
      </c>
      <c r="F642" s="1">
        <f>IF(V642="",1,0)</f>
        <v>0</v>
      </c>
      <c r="G642" s="1" t="str">
        <f>IF(H642=0,"-",_xlfn.CONCAT(K642,N642,O642,J642))</f>
        <v>24051006</v>
      </c>
      <c r="H642" s="2">
        <v>45422</v>
      </c>
      <c r="I642" s="36">
        <v>6</v>
      </c>
      <c r="J642" s="1" t="str">
        <f t="shared" si="143"/>
        <v>06</v>
      </c>
      <c r="K642" s="3">
        <f t="shared" si="144"/>
        <v>24</v>
      </c>
      <c r="L642" s="3">
        <f t="shared" si="145"/>
        <v>5</v>
      </c>
      <c r="M642" s="3">
        <f t="shared" si="146"/>
        <v>10</v>
      </c>
      <c r="N642" s="3" t="str">
        <f t="shared" si="147"/>
        <v>05</v>
      </c>
      <c r="O642" s="14">
        <f t="shared" si="148"/>
        <v>10</v>
      </c>
      <c r="P642" s="4">
        <v>39730.370000000003</v>
      </c>
      <c r="T642" s="5" t="s">
        <v>147</v>
      </c>
      <c r="U642" s="3" t="s">
        <v>1</v>
      </c>
      <c r="V642" s="3" t="s">
        <v>4</v>
      </c>
    </row>
    <row r="643" spans="1:22" hidden="1">
      <c r="J643" s="1" t="str">
        <f t="shared" si="143"/>
        <v>0</v>
      </c>
      <c r="K643" s="3">
        <f t="shared" si="144"/>
        <v>-100</v>
      </c>
      <c r="L643" s="3">
        <f t="shared" si="145"/>
        <v>1</v>
      </c>
      <c r="M643" s="3">
        <f t="shared" si="146"/>
        <v>0</v>
      </c>
      <c r="N643" s="3" t="str">
        <f t="shared" si="147"/>
        <v>01</v>
      </c>
      <c r="O643" s="14" t="str">
        <f t="shared" si="148"/>
        <v>00</v>
      </c>
      <c r="P643" s="57"/>
      <c r="R643" s="6">
        <v>512</v>
      </c>
      <c r="S643" s="5">
        <f>IFERROR(P643/R643,"")</f>
        <v>0</v>
      </c>
      <c r="T643" s="3"/>
    </row>
    <row r="644" spans="1:22">
      <c r="A644" s="3">
        <v>474</v>
      </c>
      <c r="B644" s="1">
        <f>IF(G644="-",0,IF(G643=G644,1,0))</f>
        <v>0</v>
      </c>
      <c r="C644" s="1">
        <f>+IF(G644="-",0,IF(I644=I643+1,0,(IF(I644=1,0,1))))</f>
        <v>1</v>
      </c>
      <c r="D644" s="1">
        <f>+IF(AND(P644="",Q644=""),1,0)</f>
        <v>0</v>
      </c>
      <c r="E644" s="1">
        <f>IF(U644="",1,0)</f>
        <v>0</v>
      </c>
      <c r="F644" s="1">
        <f>IF(V644="",1,0)</f>
        <v>0</v>
      </c>
      <c r="G644" s="1" t="str">
        <f>IF(H644=0,"-",_xlfn.CONCAT(K644,N644,O644,J644))</f>
        <v>24051104</v>
      </c>
      <c r="H644" s="2">
        <v>45423</v>
      </c>
      <c r="I644" s="36">
        <v>4</v>
      </c>
      <c r="J644" s="1" t="str">
        <f t="shared" si="143"/>
        <v>04</v>
      </c>
      <c r="K644" s="3">
        <f t="shared" si="144"/>
        <v>24</v>
      </c>
      <c r="L644" s="3">
        <f t="shared" si="145"/>
        <v>5</v>
      </c>
      <c r="M644" s="3">
        <f t="shared" si="146"/>
        <v>11</v>
      </c>
      <c r="N644" s="3" t="str">
        <f t="shared" si="147"/>
        <v>05</v>
      </c>
      <c r="O644" s="14">
        <f t="shared" si="148"/>
        <v>11</v>
      </c>
      <c r="P644" s="11">
        <v>150000</v>
      </c>
      <c r="T644" s="5" t="s">
        <v>136</v>
      </c>
      <c r="U644" s="3" t="s">
        <v>1</v>
      </c>
      <c r="V644" s="3" t="s">
        <v>4</v>
      </c>
    </row>
    <row r="645" spans="1:22" hidden="1">
      <c r="J645" s="1" t="str">
        <f t="shared" si="143"/>
        <v>0</v>
      </c>
      <c r="K645" s="3">
        <f t="shared" si="144"/>
        <v>-100</v>
      </c>
      <c r="L645" s="3">
        <f t="shared" si="145"/>
        <v>1</v>
      </c>
      <c r="M645" s="3">
        <f t="shared" si="146"/>
        <v>0</v>
      </c>
      <c r="N645" s="3" t="str">
        <f t="shared" si="147"/>
        <v>01</v>
      </c>
      <c r="O645" s="14" t="str">
        <f t="shared" si="148"/>
        <v>00</v>
      </c>
      <c r="P645" s="57"/>
      <c r="R645" s="6">
        <v>512</v>
      </c>
      <c r="S645" s="5">
        <f>IFERROR(P645/R645,"")</f>
        <v>0</v>
      </c>
      <c r="T645" s="3"/>
    </row>
    <row r="646" spans="1:22" hidden="1">
      <c r="J646" s="1" t="str">
        <f t="shared" si="143"/>
        <v>0</v>
      </c>
      <c r="K646" s="3">
        <f t="shared" si="144"/>
        <v>-100</v>
      </c>
      <c r="L646" s="3">
        <f t="shared" si="145"/>
        <v>1</v>
      </c>
      <c r="M646" s="3">
        <f t="shared" si="146"/>
        <v>0</v>
      </c>
      <c r="N646" s="3" t="str">
        <f t="shared" si="147"/>
        <v>01</v>
      </c>
      <c r="O646" s="14" t="str">
        <f t="shared" si="148"/>
        <v>00</v>
      </c>
      <c r="P646" s="57"/>
      <c r="R646" s="6">
        <v>512</v>
      </c>
      <c r="S646" s="5">
        <f>IFERROR(P646/R646,"")</f>
        <v>0</v>
      </c>
      <c r="T646" s="3"/>
    </row>
    <row r="647" spans="1:22" hidden="1">
      <c r="J647" s="1" t="str">
        <f t="shared" si="143"/>
        <v>0</v>
      </c>
      <c r="K647" s="3">
        <f t="shared" si="144"/>
        <v>-100</v>
      </c>
      <c r="L647" s="3">
        <f t="shared" si="145"/>
        <v>1</v>
      </c>
      <c r="M647" s="3">
        <f t="shared" si="146"/>
        <v>0</v>
      </c>
      <c r="N647" s="3" t="str">
        <f t="shared" si="147"/>
        <v>01</v>
      </c>
      <c r="O647" s="14" t="str">
        <f t="shared" si="148"/>
        <v>00</v>
      </c>
      <c r="P647" s="57"/>
      <c r="R647" s="6">
        <v>512</v>
      </c>
      <c r="S647" s="5">
        <f>IFERROR(P647/R647,"")</f>
        <v>0</v>
      </c>
      <c r="T647" s="3"/>
    </row>
    <row r="648" spans="1:22" hidden="1">
      <c r="J648" s="1" t="str">
        <f t="shared" si="143"/>
        <v>0</v>
      </c>
      <c r="K648" s="3">
        <f t="shared" si="144"/>
        <v>-100</v>
      </c>
      <c r="L648" s="3">
        <f t="shared" si="145"/>
        <v>1</v>
      </c>
      <c r="M648" s="3">
        <f t="shared" si="146"/>
        <v>0</v>
      </c>
      <c r="N648" s="3" t="str">
        <f t="shared" si="147"/>
        <v>01</v>
      </c>
      <c r="O648" s="14" t="str">
        <f t="shared" si="148"/>
        <v>00</v>
      </c>
      <c r="P648" s="57"/>
      <c r="R648" s="6">
        <v>512</v>
      </c>
      <c r="S648" s="5">
        <f>IFERROR(P648/R648,"")</f>
        <v>0</v>
      </c>
      <c r="T648" s="3"/>
    </row>
    <row r="649" spans="1:22">
      <c r="A649" s="3">
        <v>475</v>
      </c>
      <c r="B649" s="1">
        <f>IF(G649="-",0,IF(G648=G649,1,0))</f>
        <v>0</v>
      </c>
      <c r="C649" s="1">
        <f>+IF(G649="-",0,IF(I649=I648+1,0,(IF(I649=1,0,1))))</f>
        <v>1</v>
      </c>
      <c r="D649" s="1">
        <f>+IF(AND(P649="",Q649=""),1,0)</f>
        <v>0</v>
      </c>
      <c r="E649" s="1">
        <f t="shared" ref="E649:F651" si="154">IF(U649="",1,0)</f>
        <v>0</v>
      </c>
      <c r="F649" s="1">
        <f t="shared" si="154"/>
        <v>0</v>
      </c>
      <c r="G649" s="1" t="str">
        <f>IF(H649=0,"-",_xlfn.CONCAT(K649,N649,O649,J649))</f>
        <v>24051105</v>
      </c>
      <c r="H649" s="2">
        <v>45423</v>
      </c>
      <c r="I649" s="36">
        <v>5</v>
      </c>
      <c r="J649" s="1" t="str">
        <f t="shared" si="143"/>
        <v>05</v>
      </c>
      <c r="K649" s="3">
        <f t="shared" si="144"/>
        <v>24</v>
      </c>
      <c r="L649" s="3">
        <f t="shared" si="145"/>
        <v>5</v>
      </c>
      <c r="M649" s="3">
        <f t="shared" si="146"/>
        <v>11</v>
      </c>
      <c r="N649" s="3" t="str">
        <f t="shared" si="147"/>
        <v>05</v>
      </c>
      <c r="O649" s="14">
        <f t="shared" si="148"/>
        <v>11</v>
      </c>
      <c r="P649" s="11">
        <f>99000+102000</f>
        <v>201000</v>
      </c>
      <c r="T649" s="5" t="s">
        <v>137</v>
      </c>
      <c r="U649" s="3" t="s">
        <v>1</v>
      </c>
      <c r="V649" s="3" t="s">
        <v>4</v>
      </c>
    </row>
    <row r="650" spans="1:22">
      <c r="A650" s="3">
        <v>476</v>
      </c>
      <c r="B650" s="1">
        <f>IF(G650="-",0,IF(G649=G650,1,0))</f>
        <v>0</v>
      </c>
      <c r="C650" s="1">
        <f>+IF(G650="-",0,IF(I650=I649+1,0,(IF(I650=1,0,1))))</f>
        <v>0</v>
      </c>
      <c r="D650" s="1">
        <f>+IF(AND(P650="",Q650=""),1,0)</f>
        <v>0</v>
      </c>
      <c r="E650" s="1">
        <f t="shared" si="154"/>
        <v>0</v>
      </c>
      <c r="F650" s="1">
        <f t="shared" si="154"/>
        <v>0</v>
      </c>
      <c r="G650" s="1" t="str">
        <f>IF(H650=0,"-",_xlfn.CONCAT(K650,N650,O650,J650))</f>
        <v>24051106</v>
      </c>
      <c r="H650" s="2">
        <v>45423</v>
      </c>
      <c r="I650" s="36">
        <v>6</v>
      </c>
      <c r="J650" s="1" t="str">
        <f t="shared" si="143"/>
        <v>06</v>
      </c>
      <c r="K650" s="3">
        <f t="shared" si="144"/>
        <v>24</v>
      </c>
      <c r="L650" s="3">
        <f t="shared" si="145"/>
        <v>5</v>
      </c>
      <c r="M650" s="3">
        <f t="shared" si="146"/>
        <v>11</v>
      </c>
      <c r="N650" s="3" t="str">
        <f t="shared" si="147"/>
        <v>05</v>
      </c>
      <c r="O650" s="14">
        <f t="shared" si="148"/>
        <v>11</v>
      </c>
      <c r="P650" s="11">
        <f>120000+102000</f>
        <v>222000</v>
      </c>
      <c r="T650" s="5" t="s">
        <v>138</v>
      </c>
      <c r="U650" s="3" t="s">
        <v>1</v>
      </c>
      <c r="V650" s="3" t="s">
        <v>4</v>
      </c>
    </row>
    <row r="651" spans="1:22">
      <c r="A651" s="3">
        <v>477</v>
      </c>
      <c r="B651" s="1">
        <f>IF(G651="-",0,IF(G650=G651,1,0))</f>
        <v>0</v>
      </c>
      <c r="C651" s="1">
        <f>+IF(G651="-",0,IF(I651=I650+1,0,(IF(I651=1,0,1))))</f>
        <v>0</v>
      </c>
      <c r="D651" s="1">
        <f>+IF(AND(P651="",Q651=""),1,0)</f>
        <v>0</v>
      </c>
      <c r="E651" s="1">
        <f t="shared" si="154"/>
        <v>0</v>
      </c>
      <c r="F651" s="1">
        <f t="shared" si="154"/>
        <v>0</v>
      </c>
      <c r="G651" s="1" t="str">
        <f>IF(H651=0,"-",_xlfn.CONCAT(K651,N651,O651,J651))</f>
        <v>24051107</v>
      </c>
      <c r="H651" s="2">
        <v>45423</v>
      </c>
      <c r="I651" s="36">
        <v>7</v>
      </c>
      <c r="J651" s="1" t="str">
        <f t="shared" si="143"/>
        <v>07</v>
      </c>
      <c r="K651" s="3">
        <f t="shared" si="144"/>
        <v>24</v>
      </c>
      <c r="L651" s="3">
        <f t="shared" si="145"/>
        <v>5</v>
      </c>
      <c r="M651" s="3">
        <f t="shared" si="146"/>
        <v>11</v>
      </c>
      <c r="N651" s="3" t="str">
        <f t="shared" si="147"/>
        <v>05</v>
      </c>
      <c r="O651" s="14">
        <f t="shared" si="148"/>
        <v>11</v>
      </c>
      <c r="P651" s="11">
        <v>85000</v>
      </c>
      <c r="T651" s="5" t="s">
        <v>141</v>
      </c>
      <c r="U651" s="3" t="s">
        <v>1</v>
      </c>
      <c r="V651" s="3" t="s">
        <v>4</v>
      </c>
    </row>
    <row r="652" spans="1:22" hidden="1">
      <c r="J652" s="1" t="str">
        <f t="shared" si="143"/>
        <v>0</v>
      </c>
      <c r="K652" s="3">
        <f t="shared" si="144"/>
        <v>-100</v>
      </c>
      <c r="L652" s="3">
        <f t="shared" si="145"/>
        <v>1</v>
      </c>
      <c r="M652" s="3">
        <f t="shared" si="146"/>
        <v>0</v>
      </c>
      <c r="N652" s="3" t="str">
        <f t="shared" si="147"/>
        <v>01</v>
      </c>
      <c r="O652" s="14" t="str">
        <f t="shared" si="148"/>
        <v>00</v>
      </c>
      <c r="R652" s="6">
        <v>512</v>
      </c>
      <c r="S652" s="5">
        <f>IFERROR(P652/R652,"")</f>
        <v>0</v>
      </c>
    </row>
    <row r="653" spans="1:22" hidden="1">
      <c r="J653" s="1" t="str">
        <f t="shared" si="143"/>
        <v>0</v>
      </c>
      <c r="K653" s="3">
        <f t="shared" si="144"/>
        <v>-100</v>
      </c>
      <c r="L653" s="3">
        <f t="shared" si="145"/>
        <v>1</v>
      </c>
      <c r="M653" s="3">
        <f t="shared" si="146"/>
        <v>0</v>
      </c>
      <c r="N653" s="3" t="str">
        <f t="shared" si="147"/>
        <v>01</v>
      </c>
      <c r="O653" s="14" t="str">
        <f t="shared" si="148"/>
        <v>00</v>
      </c>
      <c r="R653" s="6">
        <v>512</v>
      </c>
      <c r="S653" s="5">
        <f>IFERROR(P653/R653,"")</f>
        <v>0</v>
      </c>
    </row>
    <row r="654" spans="1:22" hidden="1">
      <c r="J654" s="1" t="str">
        <f t="shared" si="143"/>
        <v>0</v>
      </c>
      <c r="K654" s="3">
        <f t="shared" si="144"/>
        <v>-100</v>
      </c>
      <c r="L654" s="3">
        <f t="shared" si="145"/>
        <v>1</v>
      </c>
      <c r="M654" s="3">
        <f t="shared" si="146"/>
        <v>0</v>
      </c>
      <c r="N654" s="3" t="str">
        <f t="shared" si="147"/>
        <v>01</v>
      </c>
      <c r="O654" s="14" t="str">
        <f t="shared" si="148"/>
        <v>00</v>
      </c>
      <c r="R654" s="6">
        <v>512</v>
      </c>
      <c r="S654" s="5">
        <f>IFERROR(P654/R654,"")</f>
        <v>0</v>
      </c>
    </row>
    <row r="655" spans="1:22" hidden="1">
      <c r="J655" s="1" t="str">
        <f t="shared" si="143"/>
        <v>0</v>
      </c>
      <c r="K655" s="3">
        <f t="shared" si="144"/>
        <v>-100</v>
      </c>
      <c r="L655" s="3">
        <f t="shared" si="145"/>
        <v>1</v>
      </c>
      <c r="M655" s="3">
        <f t="shared" si="146"/>
        <v>0</v>
      </c>
      <c r="N655" s="3" t="str">
        <f t="shared" si="147"/>
        <v>01</v>
      </c>
      <c r="O655" s="14" t="str">
        <f t="shared" si="148"/>
        <v>00</v>
      </c>
      <c r="R655" s="6">
        <v>512</v>
      </c>
      <c r="S655" s="5">
        <f>IFERROR(P655/R655,"")</f>
        <v>0</v>
      </c>
    </row>
    <row r="656" spans="1:22">
      <c r="A656" s="3">
        <v>483</v>
      </c>
      <c r="B656" s="1">
        <f>IF(G656="-",0,IF(G655=G656,1,0))</f>
        <v>0</v>
      </c>
      <c r="C656" s="1">
        <f>+IF(G656="-",0,IF(I656=I655+1,0,(IF(I656=1,0,1))))</f>
        <v>1</v>
      </c>
      <c r="D656" s="1">
        <f>+IF(AND(P656="",Q656=""),1,0)</f>
        <v>0</v>
      </c>
      <c r="E656" s="1">
        <f>IF(U656="",1,0)</f>
        <v>0</v>
      </c>
      <c r="F656" s="1">
        <f>IF(V656="",1,0)</f>
        <v>0</v>
      </c>
      <c r="G656" s="1" t="str">
        <f>IF(H656=0,"-",_xlfn.CONCAT(K656,N656,O656,J656))</f>
        <v>24051113</v>
      </c>
      <c r="H656" s="2">
        <v>45423</v>
      </c>
      <c r="I656" s="36">
        <v>13</v>
      </c>
      <c r="J656" s="1">
        <f t="shared" si="143"/>
        <v>13</v>
      </c>
      <c r="K656" s="3">
        <f t="shared" si="144"/>
        <v>24</v>
      </c>
      <c r="L656" s="3">
        <f t="shared" si="145"/>
        <v>5</v>
      </c>
      <c r="M656" s="3">
        <f t="shared" si="146"/>
        <v>11</v>
      </c>
      <c r="N656" s="3" t="str">
        <f t="shared" si="147"/>
        <v>05</v>
      </c>
      <c r="O656" s="14">
        <f t="shared" si="148"/>
        <v>11</v>
      </c>
      <c r="P656" s="4">
        <v>13729.5</v>
      </c>
      <c r="T656" s="5" t="s">
        <v>146</v>
      </c>
      <c r="U656" s="3" t="s">
        <v>29</v>
      </c>
      <c r="V656" s="3" t="s">
        <v>4</v>
      </c>
    </row>
    <row r="657" spans="1:22">
      <c r="A657" s="3">
        <v>484</v>
      </c>
      <c r="B657" s="1">
        <f>IF(G657="-",0,IF(G656=G657,1,0))</f>
        <v>0</v>
      </c>
      <c r="C657" s="1">
        <f>+IF(G657="-",0,IF(I657=I656+1,0,(IF(I657=1,0,1))))</f>
        <v>0</v>
      </c>
      <c r="D657" s="1">
        <f>+IF(AND(P657="",Q657=""),1,0)</f>
        <v>0</v>
      </c>
      <c r="E657" s="1">
        <f>IF(U657="",1,0)</f>
        <v>0</v>
      </c>
      <c r="F657" s="1">
        <f>IF(V657="",1,0)</f>
        <v>0</v>
      </c>
      <c r="G657" s="1" t="str">
        <f>IF(H657=0,"-",_xlfn.CONCAT(K657,N657,O657,J657))</f>
        <v>24051114</v>
      </c>
      <c r="H657" s="2">
        <v>45423</v>
      </c>
      <c r="I657" s="36">
        <v>14</v>
      </c>
      <c r="J657" s="1">
        <f t="shared" si="143"/>
        <v>14</v>
      </c>
      <c r="K657" s="3">
        <f t="shared" si="144"/>
        <v>24</v>
      </c>
      <c r="L657" s="3">
        <f t="shared" si="145"/>
        <v>5</v>
      </c>
      <c r="M657" s="3">
        <f t="shared" si="146"/>
        <v>11</v>
      </c>
      <c r="N657" s="3" t="str">
        <f t="shared" si="147"/>
        <v>05</v>
      </c>
      <c r="O657" s="14">
        <f t="shared" si="148"/>
        <v>11</v>
      </c>
      <c r="P657" s="4">
        <v>25000</v>
      </c>
      <c r="T657" s="5" t="s">
        <v>150</v>
      </c>
      <c r="U657" s="3" t="s">
        <v>1</v>
      </c>
      <c r="V657" s="3" t="s">
        <v>4</v>
      </c>
    </row>
    <row r="658" spans="1:22" hidden="1">
      <c r="J658" s="1" t="str">
        <f t="shared" si="143"/>
        <v>0</v>
      </c>
      <c r="K658" s="3">
        <f t="shared" si="144"/>
        <v>-100</v>
      </c>
      <c r="L658" s="3">
        <f t="shared" si="145"/>
        <v>1</v>
      </c>
      <c r="M658" s="3">
        <f t="shared" si="146"/>
        <v>0</v>
      </c>
      <c r="N658" s="3" t="str">
        <f t="shared" si="147"/>
        <v>01</v>
      </c>
      <c r="O658" s="14" t="str">
        <f t="shared" si="148"/>
        <v>00</v>
      </c>
      <c r="R658" s="6">
        <v>514</v>
      </c>
      <c r="S658" s="5">
        <f>IFERROR(P658/R658,"")</f>
        <v>0</v>
      </c>
    </row>
    <row r="659" spans="1:22" hidden="1">
      <c r="J659" s="1" t="str">
        <f t="shared" si="143"/>
        <v>0</v>
      </c>
      <c r="K659" s="3">
        <f t="shared" si="144"/>
        <v>-100</v>
      </c>
      <c r="L659" s="3">
        <f t="shared" si="145"/>
        <v>1</v>
      </c>
      <c r="M659" s="3">
        <f t="shared" si="146"/>
        <v>0</v>
      </c>
      <c r="N659" s="3" t="str">
        <f t="shared" si="147"/>
        <v>01</v>
      </c>
      <c r="O659" s="14" t="str">
        <f t="shared" si="148"/>
        <v>00</v>
      </c>
      <c r="R659" s="6">
        <v>514</v>
      </c>
      <c r="S659" s="5">
        <f>IFERROR(P659/R659,"")</f>
        <v>0</v>
      </c>
    </row>
    <row r="660" spans="1:22" hidden="1">
      <c r="J660" s="1" t="str">
        <f t="shared" si="143"/>
        <v>0</v>
      </c>
      <c r="K660" s="3">
        <f t="shared" si="144"/>
        <v>-100</v>
      </c>
      <c r="L660" s="3">
        <f t="shared" si="145"/>
        <v>1</v>
      </c>
      <c r="M660" s="3">
        <f t="shared" si="146"/>
        <v>0</v>
      </c>
      <c r="N660" s="3" t="str">
        <f t="shared" si="147"/>
        <v>01</v>
      </c>
      <c r="O660" s="14" t="str">
        <f t="shared" si="148"/>
        <v>00</v>
      </c>
      <c r="R660" s="6">
        <v>514</v>
      </c>
      <c r="S660" s="5">
        <f>IFERROR(P660/R660,"")</f>
        <v>0</v>
      </c>
    </row>
    <row r="661" spans="1:22" hidden="1">
      <c r="J661" s="1" t="str">
        <f t="shared" si="143"/>
        <v>0</v>
      </c>
      <c r="K661" s="3">
        <f t="shared" si="144"/>
        <v>-100</v>
      </c>
      <c r="L661" s="3">
        <f t="shared" si="145"/>
        <v>1</v>
      </c>
      <c r="M661" s="3">
        <f t="shared" si="146"/>
        <v>0</v>
      </c>
      <c r="N661" s="3" t="str">
        <f t="shared" si="147"/>
        <v>01</v>
      </c>
      <c r="O661" s="14" t="str">
        <f t="shared" si="148"/>
        <v>00</v>
      </c>
      <c r="S661" s="5" t="str">
        <f>IFERROR(P661/R661,"")</f>
        <v/>
      </c>
    </row>
    <row r="662" spans="1:22">
      <c r="A662" s="3">
        <v>489</v>
      </c>
      <c r="B662" s="1">
        <f>IF(G662="-",0,IF(G661=G662,1,0))</f>
        <v>0</v>
      </c>
      <c r="C662" s="1">
        <f>+IF(G662="-",0,IF(I662=I661+1,0,(IF(I662=1,0,1))))</f>
        <v>1</v>
      </c>
      <c r="D662" s="1">
        <f>+IF(AND(P662="",Q662=""),1,0)</f>
        <v>0</v>
      </c>
      <c r="E662" s="1">
        <f>IF(U662="",1,0)</f>
        <v>0</v>
      </c>
      <c r="F662" s="1">
        <f>IF(V662="",1,0)</f>
        <v>0</v>
      </c>
      <c r="G662" s="1" t="str">
        <f>IF(H662=0,"-",_xlfn.CONCAT(K662,N662,O662,J662))</f>
        <v>24051119</v>
      </c>
      <c r="H662" s="2">
        <v>45423</v>
      </c>
      <c r="I662" s="36">
        <v>19</v>
      </c>
      <c r="J662" s="1">
        <f t="shared" si="143"/>
        <v>19</v>
      </c>
      <c r="K662" s="3">
        <f t="shared" si="144"/>
        <v>24</v>
      </c>
      <c r="L662" s="3">
        <f t="shared" si="145"/>
        <v>5</v>
      </c>
      <c r="M662" s="3">
        <f t="shared" si="146"/>
        <v>11</v>
      </c>
      <c r="N662" s="3" t="str">
        <f t="shared" si="147"/>
        <v>05</v>
      </c>
      <c r="O662" s="14">
        <f t="shared" si="148"/>
        <v>11</v>
      </c>
      <c r="P662" s="4">
        <v>30000</v>
      </c>
      <c r="T662" s="5" t="s">
        <v>156</v>
      </c>
      <c r="U662" s="3" t="s">
        <v>1</v>
      </c>
      <c r="V662" s="3" t="s">
        <v>4</v>
      </c>
    </row>
    <row r="663" spans="1:22">
      <c r="A663" s="3">
        <v>490</v>
      </c>
      <c r="B663" s="1">
        <f>IF(G663="-",0,IF(G662=G663,1,0))</f>
        <v>0</v>
      </c>
      <c r="C663" s="1">
        <f>+IF(G663="-",0,IF(I663=I662+1,0,(IF(I663=1,0,1))))</f>
        <v>0</v>
      </c>
      <c r="D663" s="1">
        <f>+IF(AND(P663="",Q663=""),1,0)</f>
        <v>0</v>
      </c>
      <c r="E663" s="1">
        <f>IF(U663="",1,0)</f>
        <v>0</v>
      </c>
      <c r="F663" s="1">
        <f>IF(V663="",1,0)</f>
        <v>0</v>
      </c>
      <c r="G663" s="1" t="str">
        <f>IF(H663=0,"-",_xlfn.CONCAT(K663,N663,O663,J663))</f>
        <v>24051120</v>
      </c>
      <c r="H663" s="2">
        <v>45423</v>
      </c>
      <c r="I663" s="36">
        <v>20</v>
      </c>
      <c r="J663" s="1">
        <f t="shared" si="143"/>
        <v>20</v>
      </c>
      <c r="K663" s="3">
        <f t="shared" si="144"/>
        <v>24</v>
      </c>
      <c r="L663" s="3">
        <f t="shared" si="145"/>
        <v>5</v>
      </c>
      <c r="M663" s="3">
        <f t="shared" si="146"/>
        <v>11</v>
      </c>
      <c r="N663" s="3" t="str">
        <f t="shared" si="147"/>
        <v>05</v>
      </c>
      <c r="O663" s="14">
        <f t="shared" si="148"/>
        <v>11</v>
      </c>
      <c r="P663" s="4">
        <v>45012.27</v>
      </c>
      <c r="T663" s="5" t="s">
        <v>177</v>
      </c>
      <c r="U663" s="3" t="s">
        <v>29</v>
      </c>
      <c r="V663" s="3" t="s">
        <v>4</v>
      </c>
    </row>
    <row r="664" spans="1:22" hidden="1">
      <c r="J664" s="1" t="str">
        <f t="shared" si="143"/>
        <v>0</v>
      </c>
      <c r="K664" s="3">
        <f t="shared" si="144"/>
        <v>-100</v>
      </c>
      <c r="L664" s="3">
        <f t="shared" si="145"/>
        <v>1</v>
      </c>
      <c r="M664" s="3">
        <f t="shared" si="146"/>
        <v>0</v>
      </c>
      <c r="N664" s="3" t="str">
        <f t="shared" si="147"/>
        <v>01</v>
      </c>
      <c r="O664" s="14" t="str">
        <f t="shared" si="148"/>
        <v>00</v>
      </c>
      <c r="R664" s="6">
        <v>516</v>
      </c>
      <c r="S664" s="5">
        <f>IFERROR(P664/R664,"")</f>
        <v>0</v>
      </c>
    </row>
    <row r="665" spans="1:22" hidden="1">
      <c r="J665" s="1" t="str">
        <f t="shared" si="143"/>
        <v>0</v>
      </c>
      <c r="K665" s="3">
        <f t="shared" si="144"/>
        <v>-100</v>
      </c>
      <c r="L665" s="3">
        <f t="shared" si="145"/>
        <v>1</v>
      </c>
      <c r="M665" s="3">
        <f t="shared" si="146"/>
        <v>0</v>
      </c>
      <c r="N665" s="3" t="str">
        <f t="shared" si="147"/>
        <v>01</v>
      </c>
      <c r="O665" s="14" t="str">
        <f t="shared" si="148"/>
        <v>00</v>
      </c>
      <c r="R665" s="6">
        <v>516</v>
      </c>
      <c r="S665" s="5">
        <f>IFERROR(P665/R665,"")</f>
        <v>0</v>
      </c>
    </row>
    <row r="666" spans="1:22" hidden="1">
      <c r="J666" s="1" t="str">
        <f t="shared" si="143"/>
        <v>0</v>
      </c>
      <c r="K666" s="3">
        <f t="shared" si="144"/>
        <v>-100</v>
      </c>
      <c r="L666" s="3">
        <f t="shared" si="145"/>
        <v>1</v>
      </c>
      <c r="M666" s="3">
        <f t="shared" si="146"/>
        <v>0</v>
      </c>
      <c r="N666" s="3" t="str">
        <f t="shared" si="147"/>
        <v>01</v>
      </c>
      <c r="O666" s="14" t="str">
        <f t="shared" si="148"/>
        <v>00</v>
      </c>
      <c r="S666" s="5" t="str">
        <f>IFERROR(P666/R666,"")</f>
        <v/>
      </c>
    </row>
    <row r="667" spans="1:22" hidden="1">
      <c r="J667" s="1" t="str">
        <f t="shared" si="143"/>
        <v>0</v>
      </c>
      <c r="K667" s="3">
        <f t="shared" si="144"/>
        <v>-100</v>
      </c>
      <c r="L667" s="3">
        <f t="shared" si="145"/>
        <v>1</v>
      </c>
      <c r="M667" s="3">
        <f t="shared" si="146"/>
        <v>0</v>
      </c>
      <c r="N667" s="3" t="str">
        <f t="shared" si="147"/>
        <v>01</v>
      </c>
      <c r="O667" s="14" t="str">
        <f t="shared" si="148"/>
        <v>00</v>
      </c>
      <c r="S667" s="5" t="str">
        <f>IFERROR(P667/R667,"")</f>
        <v/>
      </c>
    </row>
    <row r="668" spans="1:22" hidden="1">
      <c r="J668" s="1" t="str">
        <f t="shared" si="143"/>
        <v>0</v>
      </c>
      <c r="K668" s="3">
        <f t="shared" si="144"/>
        <v>-100</v>
      </c>
      <c r="L668" s="3">
        <f t="shared" si="145"/>
        <v>1</v>
      </c>
      <c r="M668" s="3">
        <f t="shared" si="146"/>
        <v>0</v>
      </c>
      <c r="N668" s="3" t="str">
        <f t="shared" si="147"/>
        <v>01</v>
      </c>
      <c r="O668" s="14" t="str">
        <f t="shared" si="148"/>
        <v>00</v>
      </c>
      <c r="R668" s="6">
        <v>516</v>
      </c>
      <c r="S668" s="5">
        <f>IFERROR(P668/R668,"")</f>
        <v>0</v>
      </c>
    </row>
    <row r="669" spans="1:22">
      <c r="A669" s="3">
        <v>495</v>
      </c>
      <c r="B669" s="1">
        <f>IF(G669="-",0,IF(G668=G669,1,0))</f>
        <v>0</v>
      </c>
      <c r="C669" s="1">
        <f>+IF(G669="-",0,IF(I669=I668+1,0,(IF(I669=1,0,1))))</f>
        <v>1</v>
      </c>
      <c r="D669" s="1">
        <f>+IF(AND(P669="",Q669=""),1,0)</f>
        <v>0</v>
      </c>
      <c r="E669" s="1">
        <f>IF(U669="",1,0)</f>
        <v>0</v>
      </c>
      <c r="F669" s="1">
        <f>IF(V669="",1,0)</f>
        <v>0</v>
      </c>
      <c r="G669" s="1" t="str">
        <f>IF(H669=0,"-",_xlfn.CONCAT(K669,N669,O669,J669))</f>
        <v>24051302</v>
      </c>
      <c r="H669" s="2">
        <v>45425</v>
      </c>
      <c r="I669" s="36">
        <v>2</v>
      </c>
      <c r="J669" s="1" t="str">
        <f t="shared" si="143"/>
        <v>02</v>
      </c>
      <c r="K669" s="3">
        <f t="shared" si="144"/>
        <v>24</v>
      </c>
      <c r="L669" s="3">
        <f t="shared" si="145"/>
        <v>5</v>
      </c>
      <c r="M669" s="3">
        <f t="shared" si="146"/>
        <v>13</v>
      </c>
      <c r="N669" s="3" t="str">
        <f t="shared" si="147"/>
        <v>05</v>
      </c>
      <c r="O669" s="14">
        <f t="shared" si="148"/>
        <v>13</v>
      </c>
      <c r="P669" s="4">
        <v>150000</v>
      </c>
      <c r="T669" s="5" t="s">
        <v>151</v>
      </c>
      <c r="U669" s="3" t="s">
        <v>1</v>
      </c>
      <c r="V669" s="3" t="s">
        <v>4</v>
      </c>
    </row>
    <row r="670" spans="1:22" hidden="1">
      <c r="J670" s="1" t="str">
        <f t="shared" ref="J670:J733" si="155">+IF(I670&lt;10,_xlfn.CONCAT("0",I670),I670)</f>
        <v>0</v>
      </c>
      <c r="K670" s="3">
        <f t="shared" ref="K670:K733" si="156">+YEAR(H670)-2000</f>
        <v>-100</v>
      </c>
      <c r="L670" s="3">
        <f t="shared" ref="L670:L733" si="157">+MONTH(H670)</f>
        <v>1</v>
      </c>
      <c r="M670" s="3">
        <f t="shared" ref="M670:M733" si="158">+DAY(H670)</f>
        <v>0</v>
      </c>
      <c r="N670" s="3" t="str">
        <f t="shared" ref="N670:N733" si="159">+IF(L670&lt;10,_xlfn.CONCAT("0",L670),L670)</f>
        <v>01</v>
      </c>
      <c r="O670" s="14" t="str">
        <f t="shared" ref="O670:O733" si="160">+IF(M670&lt;10,_xlfn.CONCAT("0",M670),M670)</f>
        <v>00</v>
      </c>
      <c r="R670" s="6">
        <v>516</v>
      </c>
      <c r="S670" s="5">
        <f>IFERROR(P670/R670,"")</f>
        <v>0</v>
      </c>
    </row>
    <row r="671" spans="1:22" hidden="1">
      <c r="J671" s="1" t="str">
        <f t="shared" si="155"/>
        <v>0</v>
      </c>
      <c r="K671" s="3">
        <f t="shared" si="156"/>
        <v>-100</v>
      </c>
      <c r="L671" s="3">
        <f t="shared" si="157"/>
        <v>1</v>
      </c>
      <c r="M671" s="3">
        <f t="shared" si="158"/>
        <v>0</v>
      </c>
      <c r="N671" s="3" t="str">
        <f t="shared" si="159"/>
        <v>01</v>
      </c>
      <c r="O671" s="14" t="str">
        <f t="shared" si="160"/>
        <v>00</v>
      </c>
      <c r="R671" s="6">
        <v>516</v>
      </c>
      <c r="S671" s="5">
        <f>IFERROR(P671/R671,"")</f>
        <v>0</v>
      </c>
    </row>
    <row r="672" spans="1:22" hidden="1">
      <c r="J672" s="1" t="str">
        <f t="shared" si="155"/>
        <v>0</v>
      </c>
      <c r="K672" s="3">
        <f t="shared" si="156"/>
        <v>-100</v>
      </c>
      <c r="L672" s="3">
        <f t="shared" si="157"/>
        <v>1</v>
      </c>
      <c r="M672" s="3">
        <f t="shared" si="158"/>
        <v>0</v>
      </c>
      <c r="N672" s="3" t="str">
        <f t="shared" si="159"/>
        <v>01</v>
      </c>
      <c r="O672" s="14" t="str">
        <f t="shared" si="160"/>
        <v>00</v>
      </c>
      <c r="R672" s="6">
        <v>516</v>
      </c>
      <c r="S672" s="5">
        <f>IFERROR(P672/R672,"")</f>
        <v>0</v>
      </c>
    </row>
    <row r="673" spans="1:22" hidden="1">
      <c r="J673" s="1" t="str">
        <f t="shared" si="155"/>
        <v>0</v>
      </c>
      <c r="K673" s="3">
        <f t="shared" si="156"/>
        <v>-100</v>
      </c>
      <c r="L673" s="3">
        <f t="shared" si="157"/>
        <v>1</v>
      </c>
      <c r="M673" s="3">
        <f t="shared" si="158"/>
        <v>0</v>
      </c>
      <c r="N673" s="3" t="str">
        <f t="shared" si="159"/>
        <v>01</v>
      </c>
      <c r="O673" s="14" t="str">
        <f t="shared" si="160"/>
        <v>00</v>
      </c>
      <c r="R673" s="6">
        <v>516</v>
      </c>
      <c r="S673" s="5">
        <f>IFERROR(P673/R673,"")</f>
        <v>0</v>
      </c>
    </row>
    <row r="674" spans="1:22" hidden="1">
      <c r="J674" s="1" t="str">
        <f t="shared" si="155"/>
        <v>0</v>
      </c>
      <c r="K674" s="3">
        <f t="shared" si="156"/>
        <v>-100</v>
      </c>
      <c r="L674" s="3">
        <f t="shared" si="157"/>
        <v>1</v>
      </c>
      <c r="M674" s="3">
        <f t="shared" si="158"/>
        <v>0</v>
      </c>
      <c r="N674" s="3" t="str">
        <f t="shared" si="159"/>
        <v>01</v>
      </c>
      <c r="O674" s="14" t="str">
        <f t="shared" si="160"/>
        <v>00</v>
      </c>
      <c r="R674" s="6">
        <v>516</v>
      </c>
      <c r="S674" s="5">
        <f>IFERROR(P674/R674,"")</f>
        <v>0</v>
      </c>
    </row>
    <row r="675" spans="1:22">
      <c r="A675" s="3">
        <v>496</v>
      </c>
      <c r="B675" s="1">
        <f>IF(G675="-",0,IF(G674=G675,1,0))</f>
        <v>0</v>
      </c>
      <c r="C675" s="1">
        <f>+IF(G675="-",0,IF(I675=I674+1,0,(IF(I675=1,0,1))))</f>
        <v>1</v>
      </c>
      <c r="D675" s="1">
        <f>+IF(AND(P675="",Q675=""),1,0)</f>
        <v>0</v>
      </c>
      <c r="E675" s="1">
        <f>IF(U675="",1,0)</f>
        <v>0</v>
      </c>
      <c r="F675" s="1">
        <f>IF(V675="",1,0)</f>
        <v>0</v>
      </c>
      <c r="G675" s="1" t="str">
        <f>IF(H675=0,"-",_xlfn.CONCAT(K675,N675,O675,J675))</f>
        <v>24051303</v>
      </c>
      <c r="H675" s="2">
        <v>45425</v>
      </c>
      <c r="I675" s="36">
        <v>3</v>
      </c>
      <c r="J675" s="1" t="str">
        <f t="shared" si="155"/>
        <v>03</v>
      </c>
      <c r="K675" s="3">
        <f t="shared" si="156"/>
        <v>24</v>
      </c>
      <c r="L675" s="3">
        <f t="shared" si="157"/>
        <v>5</v>
      </c>
      <c r="M675" s="3">
        <f t="shared" si="158"/>
        <v>13</v>
      </c>
      <c r="N675" s="3" t="str">
        <f t="shared" si="159"/>
        <v>05</v>
      </c>
      <c r="O675" s="14">
        <f t="shared" si="160"/>
        <v>13</v>
      </c>
      <c r="P675" s="4">
        <v>361600</v>
      </c>
      <c r="T675" s="5" t="s">
        <v>152</v>
      </c>
      <c r="U675" s="3" t="s">
        <v>1</v>
      </c>
      <c r="V675" s="3" t="s">
        <v>4</v>
      </c>
    </row>
    <row r="676" spans="1:22">
      <c r="A676" s="3">
        <v>497</v>
      </c>
      <c r="B676" s="1">
        <f>IF(G676="-",0,IF(G675=G676,1,0))</f>
        <v>0</v>
      </c>
      <c r="C676" s="1">
        <f>+IF(G676="-",0,IF(I676=I675+1,0,(IF(I676=1,0,1))))</f>
        <v>0</v>
      </c>
      <c r="D676" s="1">
        <f>+IF(AND(P676="",Q676=""),1,0)</f>
        <v>0</v>
      </c>
      <c r="E676" s="1">
        <f>IF(U676="",1,0)</f>
        <v>0</v>
      </c>
      <c r="F676" s="1">
        <f>IF(V676="",1,0)</f>
        <v>0</v>
      </c>
      <c r="G676" s="1" t="str">
        <f>IF(H676=0,"-",_xlfn.CONCAT(K676,N676,O676,J676))</f>
        <v>24051304</v>
      </c>
      <c r="H676" s="2">
        <v>45425</v>
      </c>
      <c r="I676" s="36">
        <v>4</v>
      </c>
      <c r="J676" s="1" t="str">
        <f t="shared" si="155"/>
        <v>04</v>
      </c>
      <c r="K676" s="3">
        <f t="shared" si="156"/>
        <v>24</v>
      </c>
      <c r="L676" s="3">
        <f t="shared" si="157"/>
        <v>5</v>
      </c>
      <c r="M676" s="3">
        <f t="shared" si="158"/>
        <v>13</v>
      </c>
      <c r="N676" s="3" t="str">
        <f t="shared" si="159"/>
        <v>05</v>
      </c>
      <c r="O676" s="14">
        <f t="shared" si="160"/>
        <v>13</v>
      </c>
      <c r="P676" s="4">
        <v>29289.599999999999</v>
      </c>
      <c r="T676" s="5" t="s">
        <v>153</v>
      </c>
      <c r="U676" s="3" t="s">
        <v>29</v>
      </c>
      <c r="V676" s="3" t="s">
        <v>4</v>
      </c>
    </row>
    <row r="677" spans="1:22" hidden="1">
      <c r="J677" s="1" t="str">
        <f t="shared" si="155"/>
        <v>0</v>
      </c>
      <c r="K677" s="3">
        <f t="shared" si="156"/>
        <v>-100</v>
      </c>
      <c r="L677" s="3">
        <f t="shared" si="157"/>
        <v>1</v>
      </c>
      <c r="M677" s="3">
        <f t="shared" si="158"/>
        <v>0</v>
      </c>
      <c r="N677" s="3" t="str">
        <f t="shared" si="159"/>
        <v>01</v>
      </c>
      <c r="O677" s="14" t="str">
        <f t="shared" si="160"/>
        <v>00</v>
      </c>
      <c r="R677" s="6">
        <v>517</v>
      </c>
      <c r="S677" s="5">
        <f>IFERROR(P677/R677,"")</f>
        <v>0</v>
      </c>
    </row>
    <row r="678" spans="1:22" hidden="1">
      <c r="J678" s="1" t="str">
        <f t="shared" si="155"/>
        <v>0</v>
      </c>
      <c r="K678" s="3">
        <f t="shared" si="156"/>
        <v>-100</v>
      </c>
      <c r="L678" s="3">
        <f t="shared" si="157"/>
        <v>1</v>
      </c>
      <c r="M678" s="3">
        <f t="shared" si="158"/>
        <v>0</v>
      </c>
      <c r="N678" s="3" t="str">
        <f t="shared" si="159"/>
        <v>01</v>
      </c>
      <c r="O678" s="14" t="str">
        <f t="shared" si="160"/>
        <v>00</v>
      </c>
      <c r="R678" s="6">
        <v>517</v>
      </c>
      <c r="S678" s="5">
        <f>IFERROR(P678/R678,"")</f>
        <v>0</v>
      </c>
    </row>
    <row r="679" spans="1:22" hidden="1">
      <c r="J679" s="1" t="str">
        <f t="shared" si="155"/>
        <v>0</v>
      </c>
      <c r="K679" s="3">
        <f t="shared" si="156"/>
        <v>-100</v>
      </c>
      <c r="L679" s="3">
        <f t="shared" si="157"/>
        <v>1</v>
      </c>
      <c r="M679" s="3">
        <f t="shared" si="158"/>
        <v>0</v>
      </c>
      <c r="N679" s="3" t="str">
        <f t="shared" si="159"/>
        <v>01</v>
      </c>
      <c r="O679" s="14" t="str">
        <f t="shared" si="160"/>
        <v>00</v>
      </c>
      <c r="R679" s="6">
        <v>517</v>
      </c>
      <c r="S679" s="5">
        <f>IFERROR(P679/R679,"")</f>
        <v>0</v>
      </c>
    </row>
    <row r="680" spans="1:22" hidden="1">
      <c r="J680" s="1" t="str">
        <f t="shared" si="155"/>
        <v>0</v>
      </c>
      <c r="K680" s="3">
        <f t="shared" si="156"/>
        <v>-100</v>
      </c>
      <c r="L680" s="3">
        <f t="shared" si="157"/>
        <v>1</v>
      </c>
      <c r="M680" s="3">
        <f t="shared" si="158"/>
        <v>0</v>
      </c>
      <c r="N680" s="3" t="str">
        <f t="shared" si="159"/>
        <v>01</v>
      </c>
      <c r="O680" s="14" t="str">
        <f t="shared" si="160"/>
        <v>00</v>
      </c>
      <c r="R680" s="6">
        <v>517</v>
      </c>
      <c r="S680" s="5">
        <f>IFERROR(P680/R680,"")</f>
        <v>0</v>
      </c>
    </row>
    <row r="681" spans="1:22">
      <c r="A681" s="3">
        <v>498</v>
      </c>
      <c r="B681" s="1">
        <f t="shared" ref="B681:B688" si="161">IF(G681="-",0,IF(G680=G681,1,0))</f>
        <v>0</v>
      </c>
      <c r="C681" s="1">
        <f t="shared" ref="C681:C688" si="162">+IF(G681="-",0,IF(I681=I680+1,0,(IF(I681=1,0,1))))</f>
        <v>1</v>
      </c>
      <c r="D681" s="1">
        <f t="shared" ref="D681:D688" si="163">+IF(AND(P681="",Q681=""),1,0)</f>
        <v>0</v>
      </c>
      <c r="E681" s="1">
        <f t="shared" ref="E681:F688" si="164">IF(U681="",1,0)</f>
        <v>0</v>
      </c>
      <c r="F681" s="1">
        <f t="shared" si="164"/>
        <v>0</v>
      </c>
      <c r="G681" s="1" t="str">
        <f t="shared" ref="G681:G688" si="165">IF(H681=0,"-",_xlfn.CONCAT(K681,N681,O681,J681))</f>
        <v>24051305</v>
      </c>
      <c r="H681" s="2">
        <v>45425</v>
      </c>
      <c r="I681" s="36">
        <v>5</v>
      </c>
      <c r="J681" s="1" t="str">
        <f t="shared" si="155"/>
        <v>05</v>
      </c>
      <c r="K681" s="3">
        <f t="shared" si="156"/>
        <v>24</v>
      </c>
      <c r="L681" s="3">
        <f t="shared" si="157"/>
        <v>5</v>
      </c>
      <c r="M681" s="3">
        <f t="shared" si="158"/>
        <v>13</v>
      </c>
      <c r="N681" s="3" t="str">
        <f t="shared" si="159"/>
        <v>05</v>
      </c>
      <c r="O681" s="14">
        <f t="shared" si="160"/>
        <v>13</v>
      </c>
      <c r="P681" s="4">
        <v>44677.26</v>
      </c>
      <c r="T681" s="5" t="s">
        <v>87</v>
      </c>
      <c r="U681" s="3" t="s">
        <v>29</v>
      </c>
      <c r="V681" s="3" t="s">
        <v>4</v>
      </c>
    </row>
    <row r="682" spans="1:22">
      <c r="A682" s="3">
        <v>499</v>
      </c>
      <c r="B682" s="1">
        <f t="shared" si="161"/>
        <v>0</v>
      </c>
      <c r="C682" s="1">
        <f t="shared" si="162"/>
        <v>0</v>
      </c>
      <c r="D682" s="1">
        <f t="shared" si="163"/>
        <v>0</v>
      </c>
      <c r="E682" s="1">
        <f t="shared" si="164"/>
        <v>0</v>
      </c>
      <c r="F682" s="1">
        <f t="shared" si="164"/>
        <v>0</v>
      </c>
      <c r="G682" s="1" t="str">
        <f t="shared" si="165"/>
        <v>24051306</v>
      </c>
      <c r="H682" s="2">
        <v>45425</v>
      </c>
      <c r="I682" s="36">
        <v>6</v>
      </c>
      <c r="J682" s="1" t="str">
        <f t="shared" si="155"/>
        <v>06</v>
      </c>
      <c r="K682" s="3">
        <f t="shared" si="156"/>
        <v>24</v>
      </c>
      <c r="L682" s="3">
        <f t="shared" si="157"/>
        <v>5</v>
      </c>
      <c r="M682" s="3">
        <f t="shared" si="158"/>
        <v>13</v>
      </c>
      <c r="N682" s="3" t="str">
        <f t="shared" si="159"/>
        <v>05</v>
      </c>
      <c r="O682" s="14">
        <f t="shared" si="160"/>
        <v>13</v>
      </c>
      <c r="P682" s="4">
        <v>580.01</v>
      </c>
      <c r="T682" s="5" t="s">
        <v>87</v>
      </c>
      <c r="U682" s="3" t="s">
        <v>29</v>
      </c>
      <c r="V682" s="3" t="s">
        <v>4</v>
      </c>
    </row>
    <row r="683" spans="1:22">
      <c r="A683" s="3">
        <v>504</v>
      </c>
      <c r="B683" s="1">
        <f t="shared" si="161"/>
        <v>0</v>
      </c>
      <c r="C683" s="1">
        <f t="shared" si="162"/>
        <v>1</v>
      </c>
      <c r="D683" s="1">
        <f t="shared" si="163"/>
        <v>0</v>
      </c>
      <c r="E683" s="1">
        <f t="shared" si="164"/>
        <v>0</v>
      </c>
      <c r="F683" s="1">
        <f t="shared" si="164"/>
        <v>0</v>
      </c>
      <c r="G683" s="1" t="str">
        <f t="shared" si="165"/>
        <v>24051311</v>
      </c>
      <c r="H683" s="2">
        <v>45425</v>
      </c>
      <c r="I683" s="36">
        <v>11</v>
      </c>
      <c r="J683" s="1">
        <f t="shared" si="155"/>
        <v>11</v>
      </c>
      <c r="K683" s="3">
        <f t="shared" si="156"/>
        <v>24</v>
      </c>
      <c r="L683" s="3">
        <f t="shared" si="157"/>
        <v>5</v>
      </c>
      <c r="M683" s="3">
        <f t="shared" si="158"/>
        <v>13</v>
      </c>
      <c r="N683" s="3" t="str">
        <f t="shared" si="159"/>
        <v>05</v>
      </c>
      <c r="O683" s="14">
        <f t="shared" si="160"/>
        <v>13</v>
      </c>
      <c r="P683" s="4">
        <v>34640.15</v>
      </c>
      <c r="T683" s="5" t="s">
        <v>180</v>
      </c>
      <c r="U683" s="3" t="s">
        <v>29</v>
      </c>
      <c r="V683" s="3" t="s">
        <v>4</v>
      </c>
    </row>
    <row r="684" spans="1:22">
      <c r="A684" s="3">
        <v>509</v>
      </c>
      <c r="B684" s="1">
        <f t="shared" si="161"/>
        <v>0</v>
      </c>
      <c r="C684" s="1">
        <f t="shared" si="162"/>
        <v>1</v>
      </c>
      <c r="D684" s="1">
        <f t="shared" si="163"/>
        <v>0</v>
      </c>
      <c r="E684" s="1">
        <f t="shared" si="164"/>
        <v>0</v>
      </c>
      <c r="F684" s="1">
        <f t="shared" si="164"/>
        <v>0</v>
      </c>
      <c r="G684" s="1" t="str">
        <f t="shared" si="165"/>
        <v>24051404</v>
      </c>
      <c r="H684" s="2">
        <v>45426</v>
      </c>
      <c r="I684" s="36">
        <v>4</v>
      </c>
      <c r="J684" s="1" t="str">
        <f t="shared" si="155"/>
        <v>04</v>
      </c>
      <c r="K684" s="3">
        <f t="shared" si="156"/>
        <v>24</v>
      </c>
      <c r="L684" s="3">
        <f t="shared" si="157"/>
        <v>5</v>
      </c>
      <c r="M684" s="3">
        <f t="shared" si="158"/>
        <v>14</v>
      </c>
      <c r="N684" s="3" t="str">
        <f t="shared" si="159"/>
        <v>05</v>
      </c>
      <c r="O684" s="14">
        <f t="shared" si="160"/>
        <v>14</v>
      </c>
      <c r="P684" s="4">
        <v>8280.01</v>
      </c>
      <c r="T684" s="5" t="s">
        <v>87</v>
      </c>
      <c r="U684" s="3" t="s">
        <v>29</v>
      </c>
      <c r="V684" s="3" t="s">
        <v>4</v>
      </c>
    </row>
    <row r="685" spans="1:22">
      <c r="A685" s="3">
        <v>510</v>
      </c>
      <c r="B685" s="1">
        <f t="shared" si="161"/>
        <v>0</v>
      </c>
      <c r="C685" s="1">
        <f t="shared" si="162"/>
        <v>0</v>
      </c>
      <c r="D685" s="1">
        <f t="shared" si="163"/>
        <v>0</v>
      </c>
      <c r="E685" s="1">
        <f t="shared" si="164"/>
        <v>0</v>
      </c>
      <c r="F685" s="1">
        <f t="shared" si="164"/>
        <v>0</v>
      </c>
      <c r="G685" s="1" t="str">
        <f t="shared" si="165"/>
        <v>24051405</v>
      </c>
      <c r="H685" s="2">
        <v>45426</v>
      </c>
      <c r="I685" s="36">
        <v>5</v>
      </c>
      <c r="J685" s="1" t="str">
        <f t="shared" si="155"/>
        <v>05</v>
      </c>
      <c r="K685" s="3">
        <f t="shared" si="156"/>
        <v>24</v>
      </c>
      <c r="L685" s="3">
        <f t="shared" si="157"/>
        <v>5</v>
      </c>
      <c r="M685" s="3">
        <f t="shared" si="158"/>
        <v>14</v>
      </c>
      <c r="N685" s="3" t="str">
        <f t="shared" si="159"/>
        <v>05</v>
      </c>
      <c r="O685" s="14">
        <f t="shared" si="160"/>
        <v>14</v>
      </c>
      <c r="P685" s="4">
        <v>26211.27</v>
      </c>
      <c r="T685" s="5" t="s">
        <v>87</v>
      </c>
      <c r="U685" s="3" t="s">
        <v>29</v>
      </c>
      <c r="V685" s="3" t="s">
        <v>4</v>
      </c>
    </row>
    <row r="686" spans="1:22">
      <c r="A686" s="3">
        <v>529</v>
      </c>
      <c r="B686" s="1">
        <f t="shared" si="161"/>
        <v>0</v>
      </c>
      <c r="C686" s="1">
        <f t="shared" si="162"/>
        <v>0</v>
      </c>
      <c r="D686" s="1">
        <f t="shared" si="163"/>
        <v>0</v>
      </c>
      <c r="E686" s="1">
        <f t="shared" si="164"/>
        <v>0</v>
      </c>
      <c r="F686" s="1">
        <f t="shared" si="164"/>
        <v>0</v>
      </c>
      <c r="G686" s="1" t="str">
        <f t="shared" si="165"/>
        <v>24051601</v>
      </c>
      <c r="H686" s="2">
        <v>45428</v>
      </c>
      <c r="I686" s="36">
        <v>1</v>
      </c>
      <c r="J686" s="1" t="str">
        <f t="shared" si="155"/>
        <v>01</v>
      </c>
      <c r="K686" s="3">
        <f t="shared" si="156"/>
        <v>24</v>
      </c>
      <c r="L686" s="3">
        <f t="shared" si="157"/>
        <v>5</v>
      </c>
      <c r="M686" s="3">
        <f t="shared" si="158"/>
        <v>16</v>
      </c>
      <c r="N686" s="3" t="str">
        <f t="shared" si="159"/>
        <v>05</v>
      </c>
      <c r="O686" s="14">
        <f t="shared" si="160"/>
        <v>16</v>
      </c>
      <c r="P686" s="4">
        <v>113038.13</v>
      </c>
      <c r="T686" s="5" t="s">
        <v>185</v>
      </c>
      <c r="U686" s="3" t="s">
        <v>1</v>
      </c>
      <c r="V686" s="3" t="s">
        <v>4</v>
      </c>
    </row>
    <row r="687" spans="1:22">
      <c r="A687" s="3">
        <v>530</v>
      </c>
      <c r="B687" s="1">
        <f t="shared" si="161"/>
        <v>0</v>
      </c>
      <c r="C687" s="1">
        <f t="shared" si="162"/>
        <v>0</v>
      </c>
      <c r="D687" s="1">
        <f t="shared" si="163"/>
        <v>0</v>
      </c>
      <c r="E687" s="1">
        <f t="shared" si="164"/>
        <v>0</v>
      </c>
      <c r="F687" s="1">
        <f t="shared" si="164"/>
        <v>0</v>
      </c>
      <c r="G687" s="1" t="str">
        <f t="shared" si="165"/>
        <v>24051602</v>
      </c>
      <c r="H687" s="2">
        <v>45428</v>
      </c>
      <c r="I687" s="36">
        <v>2</v>
      </c>
      <c r="J687" s="1" t="str">
        <f t="shared" si="155"/>
        <v>02</v>
      </c>
      <c r="K687" s="3">
        <f t="shared" si="156"/>
        <v>24</v>
      </c>
      <c r="L687" s="3">
        <f t="shared" si="157"/>
        <v>5</v>
      </c>
      <c r="M687" s="3">
        <f t="shared" si="158"/>
        <v>16</v>
      </c>
      <c r="N687" s="3" t="str">
        <f t="shared" si="159"/>
        <v>05</v>
      </c>
      <c r="O687" s="14">
        <f t="shared" si="160"/>
        <v>16</v>
      </c>
      <c r="P687" s="4">
        <v>757449.98</v>
      </c>
      <c r="T687" s="5" t="s">
        <v>184</v>
      </c>
      <c r="U687" s="3" t="s">
        <v>1</v>
      </c>
      <c r="V687" s="3" t="s">
        <v>4</v>
      </c>
    </row>
    <row r="688" spans="1:22">
      <c r="A688" s="3">
        <v>531</v>
      </c>
      <c r="B688" s="1">
        <f t="shared" si="161"/>
        <v>0</v>
      </c>
      <c r="C688" s="1">
        <f t="shared" si="162"/>
        <v>0</v>
      </c>
      <c r="D688" s="1">
        <f t="shared" si="163"/>
        <v>0</v>
      </c>
      <c r="E688" s="1">
        <f t="shared" si="164"/>
        <v>0</v>
      </c>
      <c r="F688" s="1">
        <f t="shared" si="164"/>
        <v>0</v>
      </c>
      <c r="G688" s="1" t="str">
        <f t="shared" si="165"/>
        <v>24051603</v>
      </c>
      <c r="H688" s="2">
        <v>45428</v>
      </c>
      <c r="I688" s="36">
        <v>3</v>
      </c>
      <c r="J688" s="1" t="str">
        <f t="shared" si="155"/>
        <v>03</v>
      </c>
      <c r="K688" s="3">
        <f t="shared" si="156"/>
        <v>24</v>
      </c>
      <c r="L688" s="3">
        <f t="shared" si="157"/>
        <v>5</v>
      </c>
      <c r="M688" s="3">
        <f t="shared" si="158"/>
        <v>16</v>
      </c>
      <c r="N688" s="3" t="str">
        <f t="shared" si="159"/>
        <v>05</v>
      </c>
      <c r="O688" s="14">
        <f t="shared" si="160"/>
        <v>16</v>
      </c>
      <c r="P688" s="4">
        <v>562793.78</v>
      </c>
      <c r="T688" s="5" t="s">
        <v>183</v>
      </c>
      <c r="U688" s="3" t="s">
        <v>1</v>
      </c>
      <c r="V688" s="3" t="s">
        <v>4</v>
      </c>
    </row>
    <row r="689" spans="1:22" hidden="1">
      <c r="J689" s="1" t="str">
        <f t="shared" si="155"/>
        <v>0</v>
      </c>
      <c r="K689" s="3">
        <f t="shared" si="156"/>
        <v>-100</v>
      </c>
      <c r="L689" s="3">
        <f t="shared" si="157"/>
        <v>1</v>
      </c>
      <c r="M689" s="3">
        <f t="shared" si="158"/>
        <v>0</v>
      </c>
      <c r="N689" s="3" t="str">
        <f t="shared" si="159"/>
        <v>01</v>
      </c>
      <c r="O689" s="14" t="str">
        <f t="shared" si="160"/>
        <v>00</v>
      </c>
      <c r="R689" s="6">
        <v>517</v>
      </c>
      <c r="S689" s="5">
        <f>IFERROR(P689/R689,"")</f>
        <v>0</v>
      </c>
    </row>
    <row r="690" spans="1:22" hidden="1">
      <c r="J690" s="1" t="str">
        <f t="shared" si="155"/>
        <v>0</v>
      </c>
      <c r="K690" s="3">
        <f t="shared" si="156"/>
        <v>-100</v>
      </c>
      <c r="L690" s="3">
        <f t="shared" si="157"/>
        <v>1</v>
      </c>
      <c r="M690" s="3">
        <f t="shared" si="158"/>
        <v>0</v>
      </c>
      <c r="N690" s="3" t="str">
        <f t="shared" si="159"/>
        <v>01</v>
      </c>
      <c r="O690" s="14" t="str">
        <f t="shared" si="160"/>
        <v>00</v>
      </c>
      <c r="R690" s="6">
        <v>517</v>
      </c>
      <c r="S690" s="5">
        <f>IFERROR(P690/R690,"")</f>
        <v>0</v>
      </c>
    </row>
    <row r="691" spans="1:22" hidden="1">
      <c r="J691" s="1" t="str">
        <f t="shared" si="155"/>
        <v>0</v>
      </c>
      <c r="K691" s="3">
        <f t="shared" si="156"/>
        <v>-100</v>
      </c>
      <c r="L691" s="3">
        <f t="shared" si="157"/>
        <v>1</v>
      </c>
      <c r="M691" s="3">
        <f t="shared" si="158"/>
        <v>0</v>
      </c>
      <c r="N691" s="3" t="str">
        <f t="shared" si="159"/>
        <v>01</v>
      </c>
      <c r="O691" s="14" t="str">
        <f t="shared" si="160"/>
        <v>00</v>
      </c>
      <c r="R691" s="6">
        <v>517</v>
      </c>
      <c r="S691" s="5">
        <f>IFERROR(P691/R691,"")</f>
        <v>0</v>
      </c>
    </row>
    <row r="692" spans="1:22" hidden="1">
      <c r="J692" s="1" t="str">
        <f t="shared" si="155"/>
        <v>0</v>
      </c>
      <c r="K692" s="3">
        <f t="shared" si="156"/>
        <v>-100</v>
      </c>
      <c r="L692" s="3">
        <f t="shared" si="157"/>
        <v>1</v>
      </c>
      <c r="M692" s="3">
        <f t="shared" si="158"/>
        <v>0</v>
      </c>
      <c r="N692" s="3" t="str">
        <f t="shared" si="159"/>
        <v>01</v>
      </c>
      <c r="O692" s="14" t="str">
        <f t="shared" si="160"/>
        <v>00</v>
      </c>
      <c r="R692" s="6">
        <v>517</v>
      </c>
      <c r="S692" s="5">
        <f>IFERROR(P692/R692,"")</f>
        <v>0</v>
      </c>
    </row>
    <row r="693" spans="1:22">
      <c r="A693" s="3">
        <v>532</v>
      </c>
      <c r="B693" s="1">
        <f>IF(G693="-",0,IF(G692=G693,1,0))</f>
        <v>0</v>
      </c>
      <c r="C693" s="1">
        <f>+IF(G693="-",0,IF(I693=I692+1,0,(IF(I693=1,0,1))))</f>
        <v>1</v>
      </c>
      <c r="D693" s="1">
        <f>+IF(AND(P693="",Q693=""),1,0)</f>
        <v>0</v>
      </c>
      <c r="E693" s="1">
        <f>IF(U693="",1,0)</f>
        <v>0</v>
      </c>
      <c r="F693" s="1">
        <f>IF(V693="",1,0)</f>
        <v>0</v>
      </c>
      <c r="G693" s="1" t="str">
        <f>IF(H693=0,"-",_xlfn.CONCAT(K693,N693,O693,J693))</f>
        <v>24051604</v>
      </c>
      <c r="H693" s="2">
        <v>45428</v>
      </c>
      <c r="I693" s="36">
        <v>4</v>
      </c>
      <c r="J693" s="1" t="str">
        <f t="shared" si="155"/>
        <v>04</v>
      </c>
      <c r="K693" s="3">
        <f t="shared" si="156"/>
        <v>24</v>
      </c>
      <c r="L693" s="3">
        <f t="shared" si="157"/>
        <v>5</v>
      </c>
      <c r="M693" s="3">
        <f t="shared" si="158"/>
        <v>16</v>
      </c>
      <c r="N693" s="3" t="str">
        <f t="shared" si="159"/>
        <v>05</v>
      </c>
      <c r="O693" s="14">
        <f t="shared" si="160"/>
        <v>16</v>
      </c>
      <c r="P693" s="4">
        <v>150000</v>
      </c>
      <c r="T693" s="5" t="s">
        <v>39</v>
      </c>
      <c r="U693" s="3" t="s">
        <v>1</v>
      </c>
      <c r="V693" s="3" t="s">
        <v>4</v>
      </c>
    </row>
    <row r="694" spans="1:22" hidden="1">
      <c r="J694" s="1" t="str">
        <f t="shared" si="155"/>
        <v>0</v>
      </c>
      <c r="K694" s="3">
        <f t="shared" si="156"/>
        <v>-100</v>
      </c>
      <c r="L694" s="3">
        <f t="shared" si="157"/>
        <v>1</v>
      </c>
      <c r="M694" s="3">
        <f t="shared" si="158"/>
        <v>0</v>
      </c>
      <c r="N694" s="3" t="str">
        <f t="shared" si="159"/>
        <v>01</v>
      </c>
      <c r="O694" s="14" t="str">
        <f t="shared" si="160"/>
        <v>00</v>
      </c>
      <c r="R694" s="6">
        <v>517</v>
      </c>
      <c r="S694" s="5">
        <f t="shared" ref="S694:S703" si="166">IFERROR(P694/R694,"")</f>
        <v>0</v>
      </c>
    </row>
    <row r="695" spans="1:22" hidden="1">
      <c r="J695" s="1" t="str">
        <f t="shared" si="155"/>
        <v>0</v>
      </c>
      <c r="K695" s="3">
        <f t="shared" si="156"/>
        <v>-100</v>
      </c>
      <c r="L695" s="3">
        <f t="shared" si="157"/>
        <v>1</v>
      </c>
      <c r="M695" s="3">
        <f t="shared" si="158"/>
        <v>0</v>
      </c>
      <c r="N695" s="3" t="str">
        <f t="shared" si="159"/>
        <v>01</v>
      </c>
      <c r="O695" s="14" t="str">
        <f t="shared" si="160"/>
        <v>00</v>
      </c>
      <c r="R695" s="6">
        <v>517</v>
      </c>
      <c r="S695" s="5">
        <f t="shared" si="166"/>
        <v>0</v>
      </c>
    </row>
    <row r="696" spans="1:22" hidden="1">
      <c r="G696" s="52"/>
      <c r="H696" s="9"/>
      <c r="J696" s="1" t="str">
        <f t="shared" si="155"/>
        <v>0</v>
      </c>
      <c r="K696" s="3">
        <f t="shared" si="156"/>
        <v>-100</v>
      </c>
      <c r="L696" s="3">
        <f t="shared" si="157"/>
        <v>1</v>
      </c>
      <c r="M696" s="3">
        <f t="shared" si="158"/>
        <v>0</v>
      </c>
      <c r="N696" s="3" t="str">
        <f t="shared" si="159"/>
        <v>01</v>
      </c>
      <c r="O696" s="14" t="str">
        <f t="shared" si="160"/>
        <v>00</v>
      </c>
      <c r="P696" s="11"/>
      <c r="Q696" s="12"/>
      <c r="R696" s="6">
        <v>517</v>
      </c>
      <c r="S696" s="5">
        <f t="shared" si="166"/>
        <v>0</v>
      </c>
      <c r="T696" s="12"/>
      <c r="U696" s="10"/>
      <c r="V696" s="10"/>
    </row>
    <row r="697" spans="1:22" hidden="1">
      <c r="J697" s="1" t="str">
        <f t="shared" si="155"/>
        <v>0</v>
      </c>
      <c r="K697" s="3">
        <f t="shared" si="156"/>
        <v>-100</v>
      </c>
      <c r="L697" s="3">
        <f t="shared" si="157"/>
        <v>1</v>
      </c>
      <c r="M697" s="3">
        <f t="shared" si="158"/>
        <v>0</v>
      </c>
      <c r="N697" s="3" t="str">
        <f t="shared" si="159"/>
        <v>01</v>
      </c>
      <c r="O697" s="14" t="str">
        <f t="shared" si="160"/>
        <v>00</v>
      </c>
      <c r="R697" s="6">
        <v>521</v>
      </c>
      <c r="S697" s="5">
        <f t="shared" si="166"/>
        <v>0</v>
      </c>
    </row>
    <row r="698" spans="1:22" hidden="1">
      <c r="J698" s="1" t="str">
        <f t="shared" si="155"/>
        <v>0</v>
      </c>
      <c r="K698" s="3">
        <f t="shared" si="156"/>
        <v>-100</v>
      </c>
      <c r="L698" s="3">
        <f t="shared" si="157"/>
        <v>1</v>
      </c>
      <c r="M698" s="3">
        <f t="shared" si="158"/>
        <v>0</v>
      </c>
      <c r="N698" s="3" t="str">
        <f t="shared" si="159"/>
        <v>01</v>
      </c>
      <c r="O698" s="14" t="str">
        <f t="shared" si="160"/>
        <v>00</v>
      </c>
      <c r="R698" s="6">
        <v>521</v>
      </c>
      <c r="S698" s="5">
        <f t="shared" si="166"/>
        <v>0</v>
      </c>
    </row>
    <row r="699" spans="1:22" hidden="1">
      <c r="J699" s="1" t="str">
        <f t="shared" si="155"/>
        <v>0</v>
      </c>
      <c r="K699" s="3">
        <f t="shared" si="156"/>
        <v>-100</v>
      </c>
      <c r="L699" s="3">
        <f t="shared" si="157"/>
        <v>1</v>
      </c>
      <c r="M699" s="3">
        <f t="shared" si="158"/>
        <v>0</v>
      </c>
      <c r="N699" s="3" t="str">
        <f t="shared" si="159"/>
        <v>01</v>
      </c>
      <c r="O699" s="14" t="str">
        <f t="shared" si="160"/>
        <v>00</v>
      </c>
      <c r="R699" s="6">
        <v>521</v>
      </c>
      <c r="S699" s="5">
        <f t="shared" si="166"/>
        <v>0</v>
      </c>
    </row>
    <row r="700" spans="1:22" hidden="1">
      <c r="J700" s="1" t="str">
        <f t="shared" si="155"/>
        <v>0</v>
      </c>
      <c r="K700" s="3">
        <f t="shared" si="156"/>
        <v>-100</v>
      </c>
      <c r="L700" s="3">
        <f t="shared" si="157"/>
        <v>1</v>
      </c>
      <c r="M700" s="3">
        <f t="shared" si="158"/>
        <v>0</v>
      </c>
      <c r="N700" s="3" t="str">
        <f t="shared" si="159"/>
        <v>01</v>
      </c>
      <c r="O700" s="14" t="str">
        <f t="shared" si="160"/>
        <v>00</v>
      </c>
      <c r="R700" s="6">
        <v>521</v>
      </c>
      <c r="S700" s="5">
        <f t="shared" si="166"/>
        <v>0</v>
      </c>
    </row>
    <row r="701" spans="1:22" hidden="1">
      <c r="J701" s="1" t="str">
        <f t="shared" si="155"/>
        <v>0</v>
      </c>
      <c r="K701" s="3">
        <f t="shared" si="156"/>
        <v>-100</v>
      </c>
      <c r="L701" s="3">
        <f t="shared" si="157"/>
        <v>1</v>
      </c>
      <c r="M701" s="3">
        <f t="shared" si="158"/>
        <v>0</v>
      </c>
      <c r="N701" s="3" t="str">
        <f t="shared" si="159"/>
        <v>01</v>
      </c>
      <c r="O701" s="14" t="str">
        <f t="shared" si="160"/>
        <v>00</v>
      </c>
      <c r="R701" s="6">
        <v>521</v>
      </c>
      <c r="S701" s="5">
        <f t="shared" si="166"/>
        <v>0</v>
      </c>
    </row>
    <row r="702" spans="1:22" hidden="1">
      <c r="J702" s="1" t="str">
        <f t="shared" si="155"/>
        <v>0</v>
      </c>
      <c r="K702" s="3">
        <f t="shared" si="156"/>
        <v>-100</v>
      </c>
      <c r="L702" s="3">
        <f t="shared" si="157"/>
        <v>1</v>
      </c>
      <c r="M702" s="3">
        <f t="shared" si="158"/>
        <v>0</v>
      </c>
      <c r="N702" s="3" t="str">
        <f t="shared" si="159"/>
        <v>01</v>
      </c>
      <c r="O702" s="14" t="str">
        <f t="shared" si="160"/>
        <v>00</v>
      </c>
      <c r="R702" s="6">
        <v>521</v>
      </c>
      <c r="S702" s="5">
        <f t="shared" si="166"/>
        <v>0</v>
      </c>
    </row>
    <row r="703" spans="1:22" hidden="1">
      <c r="J703" s="1" t="str">
        <f t="shared" si="155"/>
        <v>0</v>
      </c>
      <c r="K703" s="3">
        <f t="shared" si="156"/>
        <v>-100</v>
      </c>
      <c r="L703" s="3">
        <f t="shared" si="157"/>
        <v>1</v>
      </c>
      <c r="M703" s="3">
        <f t="shared" si="158"/>
        <v>0</v>
      </c>
      <c r="N703" s="3" t="str">
        <f t="shared" si="159"/>
        <v>01</v>
      </c>
      <c r="O703" s="14" t="str">
        <f t="shared" si="160"/>
        <v>00</v>
      </c>
      <c r="R703" s="6">
        <v>521</v>
      </c>
      <c r="S703" s="5">
        <f t="shared" si="166"/>
        <v>0</v>
      </c>
    </row>
    <row r="704" spans="1:22">
      <c r="A704" s="3">
        <v>536</v>
      </c>
      <c r="B704" s="1">
        <f>IF(G704="-",0,IF(G703=G704,1,0))</f>
        <v>0</v>
      </c>
      <c r="C704" s="1">
        <f>+IF(G704="-",0,IF(I704=I703+1,0,(IF(I704=1,0,1))))</f>
        <v>1</v>
      </c>
      <c r="D704" s="1">
        <f>+IF(AND(P704="",Q704=""),1,0)</f>
        <v>0</v>
      </c>
      <c r="E704" s="1">
        <f>IF(U704="",1,0)</f>
        <v>0</v>
      </c>
      <c r="F704" s="1">
        <f>IF(V704="",1,0)</f>
        <v>0</v>
      </c>
      <c r="G704" s="1" t="str">
        <f>IF(H704=0,"-",_xlfn.CONCAT(K704,N704,O704,J704))</f>
        <v>24051608</v>
      </c>
      <c r="H704" s="2">
        <v>45428</v>
      </c>
      <c r="I704" s="36">
        <v>8</v>
      </c>
      <c r="J704" s="1" t="str">
        <f t="shared" si="155"/>
        <v>08</v>
      </c>
      <c r="K704" s="3">
        <f t="shared" si="156"/>
        <v>24</v>
      </c>
      <c r="L704" s="3">
        <f t="shared" si="157"/>
        <v>5</v>
      </c>
      <c r="M704" s="3">
        <f t="shared" si="158"/>
        <v>16</v>
      </c>
      <c r="N704" s="3" t="str">
        <f t="shared" si="159"/>
        <v>05</v>
      </c>
      <c r="O704" s="14">
        <f t="shared" si="160"/>
        <v>16</v>
      </c>
      <c r="P704" s="4">
        <v>72700.53</v>
      </c>
      <c r="T704" s="5" t="s">
        <v>158</v>
      </c>
      <c r="U704" s="3" t="s">
        <v>29</v>
      </c>
      <c r="V704" s="3" t="s">
        <v>4</v>
      </c>
    </row>
    <row r="705" spans="1:22" hidden="1">
      <c r="J705" s="1" t="str">
        <f t="shared" si="155"/>
        <v>0</v>
      </c>
      <c r="K705" s="3">
        <f t="shared" si="156"/>
        <v>-100</v>
      </c>
      <c r="L705" s="3">
        <f t="shared" si="157"/>
        <v>1</v>
      </c>
      <c r="M705" s="3">
        <f t="shared" si="158"/>
        <v>0</v>
      </c>
      <c r="N705" s="3" t="str">
        <f t="shared" si="159"/>
        <v>01</v>
      </c>
      <c r="O705" s="14" t="str">
        <f t="shared" si="160"/>
        <v>00</v>
      </c>
      <c r="R705" s="6">
        <v>524</v>
      </c>
      <c r="S705" s="5">
        <f>IFERROR(P705/R705,"")</f>
        <v>0</v>
      </c>
    </row>
    <row r="706" spans="1:22" hidden="1">
      <c r="J706" s="1" t="str">
        <f t="shared" si="155"/>
        <v>0</v>
      </c>
      <c r="K706" s="3">
        <f t="shared" si="156"/>
        <v>-100</v>
      </c>
      <c r="L706" s="3">
        <f t="shared" si="157"/>
        <v>1</v>
      </c>
      <c r="M706" s="3">
        <f t="shared" si="158"/>
        <v>0</v>
      </c>
      <c r="N706" s="3" t="str">
        <f t="shared" si="159"/>
        <v>01</v>
      </c>
      <c r="O706" s="14" t="str">
        <f t="shared" si="160"/>
        <v>00</v>
      </c>
      <c r="R706" s="6">
        <v>524</v>
      </c>
      <c r="S706" s="5">
        <f>IFERROR(P706/R706,"")</f>
        <v>0</v>
      </c>
    </row>
    <row r="707" spans="1:22" hidden="1">
      <c r="J707" s="1" t="str">
        <f t="shared" si="155"/>
        <v>0</v>
      </c>
      <c r="K707" s="3">
        <f t="shared" si="156"/>
        <v>-100</v>
      </c>
      <c r="L707" s="3">
        <f t="shared" si="157"/>
        <v>1</v>
      </c>
      <c r="M707" s="3">
        <f t="shared" si="158"/>
        <v>0</v>
      </c>
      <c r="N707" s="3" t="str">
        <f t="shared" si="159"/>
        <v>01</v>
      </c>
      <c r="O707" s="14" t="str">
        <f t="shared" si="160"/>
        <v>00</v>
      </c>
      <c r="R707" s="6">
        <v>524</v>
      </c>
      <c r="S707" s="5">
        <f>IFERROR(P707/R707,"")</f>
        <v>0</v>
      </c>
    </row>
    <row r="708" spans="1:22" hidden="1">
      <c r="J708" s="1" t="str">
        <f t="shared" si="155"/>
        <v>0</v>
      </c>
      <c r="K708" s="3">
        <f t="shared" si="156"/>
        <v>-100</v>
      </c>
      <c r="L708" s="3">
        <f t="shared" si="157"/>
        <v>1</v>
      </c>
      <c r="M708" s="3">
        <f t="shared" si="158"/>
        <v>0</v>
      </c>
      <c r="N708" s="3" t="str">
        <f t="shared" si="159"/>
        <v>01</v>
      </c>
      <c r="O708" s="14" t="str">
        <f t="shared" si="160"/>
        <v>00</v>
      </c>
      <c r="R708" s="6">
        <v>524</v>
      </c>
      <c r="S708" s="5">
        <f>IFERROR(P708/R708,"")</f>
        <v>0</v>
      </c>
    </row>
    <row r="709" spans="1:22">
      <c r="A709" s="3">
        <v>537</v>
      </c>
      <c r="B709" s="1">
        <f>IF(G709="-",0,IF(G708=G709,1,0))</f>
        <v>0</v>
      </c>
      <c r="C709" s="1">
        <f>+IF(G709="-",0,IF(I709=I708+1,0,(IF(I709=1,0,1))))</f>
        <v>1</v>
      </c>
      <c r="D709" s="1">
        <f>+IF(AND(P709="",Q709=""),1,0)</f>
        <v>0</v>
      </c>
      <c r="E709" s="1">
        <f>IF(U709="",1,0)</f>
        <v>0</v>
      </c>
      <c r="F709" s="1">
        <f>IF(V709="",1,0)</f>
        <v>0</v>
      </c>
      <c r="G709" s="1" t="str">
        <f>IF(H709=0,"-",_xlfn.CONCAT(K709,N709,O709,J709))</f>
        <v>24051609</v>
      </c>
      <c r="H709" s="2">
        <v>45428</v>
      </c>
      <c r="I709" s="36">
        <v>9</v>
      </c>
      <c r="J709" s="1" t="str">
        <f t="shared" si="155"/>
        <v>09</v>
      </c>
      <c r="K709" s="3">
        <f t="shared" si="156"/>
        <v>24</v>
      </c>
      <c r="L709" s="3">
        <f t="shared" si="157"/>
        <v>5</v>
      </c>
      <c r="M709" s="3">
        <f t="shared" si="158"/>
        <v>16</v>
      </c>
      <c r="N709" s="3" t="str">
        <f t="shared" si="159"/>
        <v>05</v>
      </c>
      <c r="O709" s="14">
        <f t="shared" si="160"/>
        <v>16</v>
      </c>
      <c r="P709" s="4">
        <v>23730</v>
      </c>
      <c r="T709" s="5" t="s">
        <v>159</v>
      </c>
      <c r="U709" s="3" t="s">
        <v>29</v>
      </c>
      <c r="V709" s="3" t="s">
        <v>4</v>
      </c>
    </row>
    <row r="710" spans="1:22">
      <c r="A710" s="3">
        <v>542</v>
      </c>
      <c r="B710" s="1">
        <f>IF(G710="-",0,IF(G709=G710,1,0))</f>
        <v>0</v>
      </c>
      <c r="C710" s="1">
        <f>+IF(G710="-",0,IF(I710=I709+1,0,(IF(I710=1,0,1))))</f>
        <v>0</v>
      </c>
      <c r="D710" s="1">
        <f>+IF(AND(P710="",Q710=""),1,0)</f>
        <v>0</v>
      </c>
      <c r="E710" s="1">
        <f>IF(U710="",1,0)</f>
        <v>0</v>
      </c>
      <c r="F710" s="1">
        <f>IF(V710="",1,0)</f>
        <v>0</v>
      </c>
      <c r="G710" s="1" t="str">
        <f>IF(H710=0,"-",_xlfn.CONCAT(K710,N710,O710,J710))</f>
        <v>24051701</v>
      </c>
      <c r="H710" s="2">
        <v>45429</v>
      </c>
      <c r="I710" s="36">
        <v>1</v>
      </c>
      <c r="J710" s="1" t="str">
        <f t="shared" si="155"/>
        <v>01</v>
      </c>
      <c r="K710" s="3">
        <f t="shared" si="156"/>
        <v>24</v>
      </c>
      <c r="L710" s="3">
        <f t="shared" si="157"/>
        <v>5</v>
      </c>
      <c r="M710" s="3">
        <f t="shared" si="158"/>
        <v>17</v>
      </c>
      <c r="N710" s="3" t="str">
        <f t="shared" si="159"/>
        <v>05</v>
      </c>
      <c r="O710" s="14">
        <f t="shared" si="160"/>
        <v>17</v>
      </c>
      <c r="P710" s="4">
        <v>2750900</v>
      </c>
      <c r="T710" s="5" t="s">
        <v>173</v>
      </c>
      <c r="U710" s="3" t="s">
        <v>726</v>
      </c>
      <c r="V710" s="3" t="s">
        <v>4</v>
      </c>
    </row>
    <row r="711" spans="1:22" hidden="1">
      <c r="J711" s="1" t="str">
        <f t="shared" si="155"/>
        <v>0</v>
      </c>
      <c r="K711" s="3">
        <f t="shared" si="156"/>
        <v>-100</v>
      </c>
      <c r="L711" s="3">
        <f t="shared" si="157"/>
        <v>1</v>
      </c>
      <c r="M711" s="3">
        <f t="shared" si="158"/>
        <v>0</v>
      </c>
      <c r="N711" s="3" t="str">
        <f t="shared" si="159"/>
        <v>01</v>
      </c>
      <c r="O711" s="14" t="str">
        <f t="shared" si="160"/>
        <v>00</v>
      </c>
      <c r="R711" s="6">
        <v>524</v>
      </c>
      <c r="S711" s="5">
        <f t="shared" ref="S711:S725" si="167">IFERROR(P711/R711,"")</f>
        <v>0</v>
      </c>
    </row>
    <row r="712" spans="1:22" hidden="1">
      <c r="J712" s="1" t="str">
        <f t="shared" si="155"/>
        <v>0</v>
      </c>
      <c r="K712" s="3">
        <f t="shared" si="156"/>
        <v>-100</v>
      </c>
      <c r="L712" s="3">
        <f t="shared" si="157"/>
        <v>1</v>
      </c>
      <c r="M712" s="3">
        <f t="shared" si="158"/>
        <v>0</v>
      </c>
      <c r="N712" s="3" t="str">
        <f t="shared" si="159"/>
        <v>01</v>
      </c>
      <c r="O712" s="14" t="str">
        <f t="shared" si="160"/>
        <v>00</v>
      </c>
      <c r="R712" s="6">
        <v>524</v>
      </c>
      <c r="S712" s="5">
        <f t="shared" si="167"/>
        <v>0</v>
      </c>
    </row>
    <row r="713" spans="1:22" hidden="1">
      <c r="J713" s="1" t="str">
        <f t="shared" si="155"/>
        <v>0</v>
      </c>
      <c r="K713" s="3">
        <f t="shared" si="156"/>
        <v>-100</v>
      </c>
      <c r="L713" s="3">
        <f t="shared" si="157"/>
        <v>1</v>
      </c>
      <c r="M713" s="3">
        <f t="shared" si="158"/>
        <v>0</v>
      </c>
      <c r="N713" s="3" t="str">
        <f t="shared" si="159"/>
        <v>01</v>
      </c>
      <c r="O713" s="14" t="str">
        <f t="shared" si="160"/>
        <v>00</v>
      </c>
      <c r="R713" s="6">
        <v>524</v>
      </c>
      <c r="S713" s="5">
        <f t="shared" si="167"/>
        <v>0</v>
      </c>
    </row>
    <row r="714" spans="1:22">
      <c r="A714" s="3">
        <v>551</v>
      </c>
      <c r="B714" s="1">
        <f>IF(G714="-",0,IF(G713=G714,1,0))</f>
        <v>0</v>
      </c>
      <c r="C714" s="1">
        <f>+IF(G714="-",0,IF(I714=I713+1,0,(IF(I714=1,0,1))))</f>
        <v>0</v>
      </c>
      <c r="D714" s="1">
        <f>+IF(AND(P714="",Q714=""),1,0)</f>
        <v>0</v>
      </c>
      <c r="E714" s="1">
        <f t="shared" ref="E714:F717" si="168">IF(U714="",1,0)</f>
        <v>0</v>
      </c>
      <c r="F714" s="1">
        <f t="shared" si="168"/>
        <v>0</v>
      </c>
      <c r="G714" s="1" t="str">
        <f>IF(H714=0,"-",_xlfn.CONCAT(K714,N714,O714,J714))</f>
        <v>24051801</v>
      </c>
      <c r="H714" s="2">
        <v>45430</v>
      </c>
      <c r="I714" s="36">
        <v>1</v>
      </c>
      <c r="J714" s="1" t="str">
        <f t="shared" si="155"/>
        <v>01</v>
      </c>
      <c r="K714" s="3">
        <f t="shared" si="156"/>
        <v>24</v>
      </c>
      <c r="L714" s="3">
        <f t="shared" si="157"/>
        <v>5</v>
      </c>
      <c r="M714" s="3">
        <f t="shared" si="158"/>
        <v>18</v>
      </c>
      <c r="N714" s="3" t="str">
        <f t="shared" si="159"/>
        <v>05</v>
      </c>
      <c r="O714" s="14">
        <f t="shared" si="160"/>
        <v>18</v>
      </c>
      <c r="P714" s="4">
        <v>150000</v>
      </c>
      <c r="R714" s="6">
        <v>504</v>
      </c>
      <c r="S714" s="5">
        <f t="shared" si="167"/>
        <v>297.61904761904759</v>
      </c>
      <c r="T714" s="3" t="s">
        <v>160</v>
      </c>
      <c r="U714" s="3" t="s">
        <v>1</v>
      </c>
      <c r="V714" s="3" t="s">
        <v>4</v>
      </c>
    </row>
    <row r="715" spans="1:22">
      <c r="A715" s="3">
        <v>552</v>
      </c>
      <c r="B715" s="1">
        <f>IF(G715="-",0,IF(G714=G715,1,0))</f>
        <v>0</v>
      </c>
      <c r="C715" s="1">
        <f>+IF(G715="-",0,IF(I715=I714+1,0,(IF(I715=1,0,1))))</f>
        <v>0</v>
      </c>
      <c r="D715" s="1">
        <f>+IF(AND(P715="",Q715=""),1,0)</f>
        <v>0</v>
      </c>
      <c r="E715" s="1">
        <f t="shared" si="168"/>
        <v>0</v>
      </c>
      <c r="F715" s="1">
        <f t="shared" si="168"/>
        <v>0</v>
      </c>
      <c r="G715" s="1" t="str">
        <f>IF(H715=0,"-",_xlfn.CONCAT(K715,N715,O715,J715))</f>
        <v>24051802</v>
      </c>
      <c r="H715" s="2">
        <v>45430</v>
      </c>
      <c r="I715" s="36">
        <v>2</v>
      </c>
      <c r="J715" s="1" t="str">
        <f t="shared" si="155"/>
        <v>02</v>
      </c>
      <c r="K715" s="3">
        <f t="shared" si="156"/>
        <v>24</v>
      </c>
      <c r="L715" s="3">
        <f t="shared" si="157"/>
        <v>5</v>
      </c>
      <c r="M715" s="3">
        <f t="shared" si="158"/>
        <v>18</v>
      </c>
      <c r="N715" s="3" t="str">
        <f t="shared" si="159"/>
        <v>05</v>
      </c>
      <c r="O715" s="14">
        <f t="shared" si="160"/>
        <v>18</v>
      </c>
      <c r="P715" s="4">
        <v>120000</v>
      </c>
      <c r="R715" s="6">
        <v>504</v>
      </c>
      <c r="S715" s="5">
        <f t="shared" si="167"/>
        <v>238.0952380952381</v>
      </c>
      <c r="T715" s="3" t="s">
        <v>162</v>
      </c>
      <c r="U715" s="3" t="s">
        <v>1</v>
      </c>
      <c r="V715" s="3" t="s">
        <v>4</v>
      </c>
    </row>
    <row r="716" spans="1:22">
      <c r="A716" s="3">
        <v>553</v>
      </c>
      <c r="B716" s="1">
        <f>IF(G716="-",0,IF(G715=G716,1,0))</f>
        <v>0</v>
      </c>
      <c r="C716" s="1">
        <f>+IF(G716="-",0,IF(I716=I715+1,0,(IF(I716=1,0,1))))</f>
        <v>0</v>
      </c>
      <c r="D716" s="1">
        <f>+IF(AND(P716="",Q716=""),1,0)</f>
        <v>0</v>
      </c>
      <c r="E716" s="1">
        <f t="shared" si="168"/>
        <v>0</v>
      </c>
      <c r="F716" s="1">
        <f t="shared" si="168"/>
        <v>0</v>
      </c>
      <c r="G716" s="1" t="str">
        <f>IF(H716=0,"-",_xlfn.CONCAT(K716,N716,O716,J716))</f>
        <v>24051803</v>
      </c>
      <c r="H716" s="2">
        <v>45430</v>
      </c>
      <c r="I716" s="36">
        <v>3</v>
      </c>
      <c r="J716" s="1" t="str">
        <f t="shared" si="155"/>
        <v>03</v>
      </c>
      <c r="K716" s="3">
        <f t="shared" si="156"/>
        <v>24</v>
      </c>
      <c r="L716" s="3">
        <f t="shared" si="157"/>
        <v>5</v>
      </c>
      <c r="M716" s="3">
        <f t="shared" si="158"/>
        <v>18</v>
      </c>
      <c r="N716" s="3" t="str">
        <f t="shared" si="159"/>
        <v>05</v>
      </c>
      <c r="O716" s="14">
        <f t="shared" si="160"/>
        <v>18</v>
      </c>
      <c r="P716" s="4">
        <v>102000</v>
      </c>
      <c r="R716" s="6">
        <v>504</v>
      </c>
      <c r="S716" s="5">
        <f t="shared" si="167"/>
        <v>202.38095238095238</v>
      </c>
      <c r="T716" s="3" t="s">
        <v>164</v>
      </c>
      <c r="U716" s="3" t="s">
        <v>1</v>
      </c>
      <c r="V716" s="3" t="s">
        <v>4</v>
      </c>
    </row>
    <row r="717" spans="1:22">
      <c r="A717" s="3">
        <v>554</v>
      </c>
      <c r="B717" s="1">
        <f>IF(G717="-",0,IF(G716=G717,1,0))</f>
        <v>0</v>
      </c>
      <c r="C717" s="1">
        <f>+IF(G717="-",0,IF(I717=I716+1,0,(IF(I717=1,0,1))))</f>
        <v>0</v>
      </c>
      <c r="D717" s="1">
        <f>+IF(AND(P717="",Q717=""),1,0)</f>
        <v>0</v>
      </c>
      <c r="E717" s="1">
        <f t="shared" si="168"/>
        <v>0</v>
      </c>
      <c r="F717" s="1">
        <f t="shared" si="168"/>
        <v>0</v>
      </c>
      <c r="G717" s="1" t="str">
        <f>IF(H717=0,"-",_xlfn.CONCAT(K717,N717,O717,J717))</f>
        <v>24051804</v>
      </c>
      <c r="H717" s="2">
        <v>45430</v>
      </c>
      <c r="I717" s="36">
        <v>4</v>
      </c>
      <c r="J717" s="1" t="str">
        <f t="shared" si="155"/>
        <v>04</v>
      </c>
      <c r="K717" s="3">
        <f t="shared" si="156"/>
        <v>24</v>
      </c>
      <c r="L717" s="3">
        <f t="shared" si="157"/>
        <v>5</v>
      </c>
      <c r="M717" s="3">
        <f t="shared" si="158"/>
        <v>18</v>
      </c>
      <c r="N717" s="3" t="str">
        <f t="shared" si="159"/>
        <v>05</v>
      </c>
      <c r="O717" s="14">
        <f t="shared" si="160"/>
        <v>18</v>
      </c>
      <c r="P717" s="4">
        <v>108000</v>
      </c>
      <c r="R717" s="6">
        <v>504</v>
      </c>
      <c r="S717" s="5">
        <f t="shared" si="167"/>
        <v>214.28571428571428</v>
      </c>
      <c r="T717" s="3" t="s">
        <v>161</v>
      </c>
      <c r="U717" s="3" t="s">
        <v>1</v>
      </c>
      <c r="V717" s="3" t="s">
        <v>4</v>
      </c>
    </row>
    <row r="718" spans="1:22" hidden="1">
      <c r="J718" s="1" t="str">
        <f t="shared" si="155"/>
        <v>0</v>
      </c>
      <c r="K718" s="3">
        <f t="shared" si="156"/>
        <v>-100</v>
      </c>
      <c r="L718" s="3">
        <f t="shared" si="157"/>
        <v>1</v>
      </c>
      <c r="M718" s="3">
        <f t="shared" si="158"/>
        <v>0</v>
      </c>
      <c r="N718" s="3" t="str">
        <f t="shared" si="159"/>
        <v>01</v>
      </c>
      <c r="O718" s="14" t="str">
        <f t="shared" si="160"/>
        <v>00</v>
      </c>
      <c r="P718" s="58"/>
      <c r="R718" s="6">
        <v>524</v>
      </c>
      <c r="S718" s="5">
        <f t="shared" si="167"/>
        <v>0</v>
      </c>
      <c r="T718" s="3"/>
    </row>
    <row r="719" spans="1:22">
      <c r="A719" s="3">
        <v>555</v>
      </c>
      <c r="B719" s="1">
        <f>IF(G719="-",0,IF(G718=G719,1,0))</f>
        <v>0</v>
      </c>
      <c r="C719" s="1">
        <f>+IF(G719="-",0,IF(I719=I718+1,0,(IF(I719=1,0,1))))</f>
        <v>1</v>
      </c>
      <c r="D719" s="1">
        <f>+IF(AND(P719="",Q719=""),1,0)</f>
        <v>0</v>
      </c>
      <c r="E719" s="1">
        <f>IF(U719="",1,0)</f>
        <v>0</v>
      </c>
      <c r="F719" s="1">
        <f>IF(V719="",1,0)</f>
        <v>0</v>
      </c>
      <c r="G719" s="1" t="str">
        <f>IF(H719=0,"-",_xlfn.CONCAT(K719,N719,O719,J719))</f>
        <v>24051805</v>
      </c>
      <c r="H719" s="2">
        <v>45430</v>
      </c>
      <c r="I719" s="36">
        <v>5</v>
      </c>
      <c r="J719" s="1" t="str">
        <f t="shared" si="155"/>
        <v>05</v>
      </c>
      <c r="K719" s="3">
        <f t="shared" si="156"/>
        <v>24</v>
      </c>
      <c r="L719" s="3">
        <f t="shared" si="157"/>
        <v>5</v>
      </c>
      <c r="M719" s="3">
        <f t="shared" si="158"/>
        <v>18</v>
      </c>
      <c r="N719" s="3" t="str">
        <f t="shared" si="159"/>
        <v>05</v>
      </c>
      <c r="O719" s="14">
        <f t="shared" si="160"/>
        <v>18</v>
      </c>
      <c r="P719" s="4">
        <v>102000</v>
      </c>
      <c r="R719" s="6">
        <v>504</v>
      </c>
      <c r="S719" s="5">
        <f t="shared" si="167"/>
        <v>202.38095238095238</v>
      </c>
      <c r="T719" s="3" t="s">
        <v>163</v>
      </c>
      <c r="U719" s="3" t="s">
        <v>1</v>
      </c>
      <c r="V719" s="3" t="s">
        <v>4</v>
      </c>
    </row>
    <row r="720" spans="1:22" hidden="1">
      <c r="J720" s="1" t="str">
        <f t="shared" si="155"/>
        <v>0</v>
      </c>
      <c r="K720" s="3">
        <f t="shared" si="156"/>
        <v>-100</v>
      </c>
      <c r="L720" s="3">
        <f t="shared" si="157"/>
        <v>1</v>
      </c>
      <c r="M720" s="3">
        <f t="shared" si="158"/>
        <v>0</v>
      </c>
      <c r="N720" s="3" t="str">
        <f t="shared" si="159"/>
        <v>01</v>
      </c>
      <c r="O720" s="14" t="str">
        <f t="shared" si="160"/>
        <v>00</v>
      </c>
      <c r="P720" s="58"/>
      <c r="R720" s="6">
        <v>524</v>
      </c>
      <c r="S720" s="5">
        <f t="shared" si="167"/>
        <v>0</v>
      </c>
      <c r="T720" s="3"/>
    </row>
    <row r="721" spans="1:23" hidden="1">
      <c r="J721" s="1" t="str">
        <f t="shared" si="155"/>
        <v>0</v>
      </c>
      <c r="K721" s="3">
        <f t="shared" si="156"/>
        <v>-100</v>
      </c>
      <c r="L721" s="3">
        <f t="shared" si="157"/>
        <v>1</v>
      </c>
      <c r="M721" s="3">
        <f t="shared" si="158"/>
        <v>0</v>
      </c>
      <c r="N721" s="3" t="str">
        <f t="shared" si="159"/>
        <v>01</v>
      </c>
      <c r="O721" s="14" t="str">
        <f t="shared" si="160"/>
        <v>00</v>
      </c>
      <c r="P721" s="58"/>
      <c r="R721" s="6">
        <v>524</v>
      </c>
      <c r="S721" s="5">
        <f t="shared" si="167"/>
        <v>0</v>
      </c>
      <c r="T721" s="3"/>
    </row>
    <row r="722" spans="1:23" hidden="1">
      <c r="J722" s="1" t="str">
        <f t="shared" si="155"/>
        <v>0</v>
      </c>
      <c r="K722" s="3">
        <f t="shared" si="156"/>
        <v>-100</v>
      </c>
      <c r="L722" s="3">
        <f t="shared" si="157"/>
        <v>1</v>
      </c>
      <c r="M722" s="3">
        <f t="shared" si="158"/>
        <v>0</v>
      </c>
      <c r="N722" s="3" t="str">
        <f t="shared" si="159"/>
        <v>01</v>
      </c>
      <c r="O722" s="14" t="str">
        <f t="shared" si="160"/>
        <v>00</v>
      </c>
      <c r="P722" s="58"/>
      <c r="R722" s="6">
        <v>524</v>
      </c>
      <c r="S722" s="5">
        <f t="shared" si="167"/>
        <v>0</v>
      </c>
      <c r="T722" s="3"/>
    </row>
    <row r="723" spans="1:23">
      <c r="A723" s="3">
        <v>557</v>
      </c>
      <c r="B723" s="1">
        <f>IF(G723="-",0,IF(G722=G723,1,0))</f>
        <v>0</v>
      </c>
      <c r="C723" s="1">
        <f>+IF(G723="-",0,IF(I723=I722+1,0,(IF(I723=1,0,1))))</f>
        <v>1</v>
      </c>
      <c r="D723" s="1">
        <f>+IF(AND(P723="",Q723=""),1,0)</f>
        <v>0</v>
      </c>
      <c r="E723" s="1">
        <f>IF(U723="",1,0)</f>
        <v>0</v>
      </c>
      <c r="F723" s="1">
        <f>IF(V723="",1,0)</f>
        <v>0</v>
      </c>
      <c r="G723" s="1" t="str">
        <f>IF(H723=0,"-",_xlfn.CONCAT(K723,N723,O723,J723))</f>
        <v>24051807</v>
      </c>
      <c r="H723" s="2">
        <v>45430</v>
      </c>
      <c r="I723" s="36">
        <v>7</v>
      </c>
      <c r="J723" s="1" t="str">
        <f t="shared" si="155"/>
        <v>07</v>
      </c>
      <c r="K723" s="3">
        <f t="shared" si="156"/>
        <v>24</v>
      </c>
      <c r="L723" s="3">
        <f t="shared" si="157"/>
        <v>5</v>
      </c>
      <c r="M723" s="3">
        <f t="shared" si="158"/>
        <v>18</v>
      </c>
      <c r="N723" s="3" t="str">
        <f t="shared" si="159"/>
        <v>05</v>
      </c>
      <c r="O723" s="14">
        <f t="shared" si="160"/>
        <v>18</v>
      </c>
      <c r="P723" s="4">
        <v>108000</v>
      </c>
      <c r="R723" s="6">
        <v>504</v>
      </c>
      <c r="S723" s="5">
        <f t="shared" si="167"/>
        <v>214.28571428571428</v>
      </c>
      <c r="T723" s="3" t="s">
        <v>166</v>
      </c>
      <c r="U723" s="3" t="s">
        <v>1</v>
      </c>
      <c r="V723" s="3" t="s">
        <v>4</v>
      </c>
    </row>
    <row r="724" spans="1:23" hidden="1">
      <c r="J724" s="1" t="str">
        <f t="shared" si="155"/>
        <v>0</v>
      </c>
      <c r="K724" s="3">
        <f t="shared" si="156"/>
        <v>-100</v>
      </c>
      <c r="L724" s="3">
        <f t="shared" si="157"/>
        <v>1</v>
      </c>
      <c r="M724" s="3">
        <f t="shared" si="158"/>
        <v>0</v>
      </c>
      <c r="N724" s="3" t="str">
        <f t="shared" si="159"/>
        <v>01</v>
      </c>
      <c r="O724" s="14" t="str">
        <f t="shared" si="160"/>
        <v>00</v>
      </c>
      <c r="P724" s="57"/>
      <c r="R724" s="6">
        <v>524</v>
      </c>
      <c r="S724" s="5">
        <f t="shared" si="167"/>
        <v>0</v>
      </c>
      <c r="T724" s="3"/>
    </row>
    <row r="725" spans="1:23">
      <c r="A725" s="3">
        <v>563</v>
      </c>
      <c r="B725" s="1">
        <f>IF(G725="-",0,IF(G724=G725,1,0))</f>
        <v>0</v>
      </c>
      <c r="C725" s="1">
        <f>+IF(G725="-",0,IF(I725=I724+1,0,(IF(I725=1,0,1))))</f>
        <v>1</v>
      </c>
      <c r="D725" s="1">
        <f>+IF(AND(P725="",Q725=""),1,0)</f>
        <v>0</v>
      </c>
      <c r="E725" s="1">
        <f>IF(U725="",1,0)</f>
        <v>0</v>
      </c>
      <c r="F725" s="1">
        <f>IF(V725="",1,0)</f>
        <v>0</v>
      </c>
      <c r="G725" s="1" t="str">
        <f>IF(H725=0,"-",_xlfn.CONCAT(K725,N725,O725,J725))</f>
        <v>24051813</v>
      </c>
      <c r="H725" s="2">
        <v>45430</v>
      </c>
      <c r="I725" s="36">
        <v>13</v>
      </c>
      <c r="J725" s="1">
        <f t="shared" si="155"/>
        <v>13</v>
      </c>
      <c r="K725" s="3">
        <f t="shared" si="156"/>
        <v>24</v>
      </c>
      <c r="L725" s="3">
        <f t="shared" si="157"/>
        <v>5</v>
      </c>
      <c r="M725" s="3">
        <f t="shared" si="158"/>
        <v>18</v>
      </c>
      <c r="N725" s="3" t="str">
        <f t="shared" si="159"/>
        <v>05</v>
      </c>
      <c r="O725" s="14">
        <f t="shared" si="160"/>
        <v>18</v>
      </c>
      <c r="P725" s="4">
        <f>30000+3*518</f>
        <v>31554</v>
      </c>
      <c r="R725" s="6">
        <v>504</v>
      </c>
      <c r="S725" s="5">
        <f t="shared" si="167"/>
        <v>62.607142857142854</v>
      </c>
      <c r="T725" s="3" t="s">
        <v>840</v>
      </c>
      <c r="U725" s="3" t="s">
        <v>1</v>
      </c>
      <c r="V725" s="3" t="s">
        <v>4</v>
      </c>
    </row>
    <row r="726" spans="1:23" hidden="1">
      <c r="J726" s="1" t="str">
        <f t="shared" si="155"/>
        <v>0</v>
      </c>
      <c r="K726" s="3">
        <f t="shared" si="156"/>
        <v>-100</v>
      </c>
      <c r="L726" s="3">
        <f t="shared" si="157"/>
        <v>1</v>
      </c>
      <c r="M726" s="3">
        <f t="shared" si="158"/>
        <v>0</v>
      </c>
      <c r="N726" s="3" t="str">
        <f t="shared" si="159"/>
        <v>01</v>
      </c>
      <c r="O726" s="14" t="str">
        <f t="shared" si="160"/>
        <v>00</v>
      </c>
      <c r="P726" s="58"/>
      <c r="T726" s="3"/>
    </row>
    <row r="727" spans="1:23">
      <c r="A727" s="3">
        <v>564</v>
      </c>
      <c r="B727" s="1">
        <f>IF(G727="-",0,IF(G726=G727,1,0))</f>
        <v>0</v>
      </c>
      <c r="C727" s="1">
        <f>+IF(G727="-",0,IF(I727=I726+1,0,(IF(I727=1,0,1))))</f>
        <v>1</v>
      </c>
      <c r="D727" s="1">
        <f>+IF(AND(P727="",Q727=""),1,0)</f>
        <v>0</v>
      </c>
      <c r="E727" s="1">
        <f>IF(U727="",1,0)</f>
        <v>0</v>
      </c>
      <c r="F727" s="1">
        <f>IF(V727="",1,0)</f>
        <v>0</v>
      </c>
      <c r="G727" s="1" t="str">
        <f>IF(H727=0,"-",_xlfn.CONCAT(K727,N727,O727,J727))</f>
        <v>24051814</v>
      </c>
      <c r="H727" s="2">
        <v>45430</v>
      </c>
      <c r="I727" s="36">
        <v>14</v>
      </c>
      <c r="J727" s="1">
        <f t="shared" si="155"/>
        <v>14</v>
      </c>
      <c r="K727" s="3">
        <f t="shared" si="156"/>
        <v>24</v>
      </c>
      <c r="L727" s="3">
        <f t="shared" si="157"/>
        <v>5</v>
      </c>
      <c r="M727" s="3">
        <f t="shared" si="158"/>
        <v>18</v>
      </c>
      <c r="N727" s="3" t="str">
        <f t="shared" si="159"/>
        <v>05</v>
      </c>
      <c r="O727" s="14">
        <f t="shared" si="160"/>
        <v>18</v>
      </c>
      <c r="P727" s="4">
        <f>30000+3*518</f>
        <v>31554</v>
      </c>
      <c r="R727" s="6">
        <v>504</v>
      </c>
      <c r="S727" s="5">
        <f>IFERROR(P727/R727,"")</f>
        <v>62.607142857142854</v>
      </c>
      <c r="T727" s="3" t="s">
        <v>171</v>
      </c>
      <c r="U727" s="3" t="s">
        <v>1</v>
      </c>
      <c r="V727" s="3" t="s">
        <v>4</v>
      </c>
    </row>
    <row r="728" spans="1:23" hidden="1">
      <c r="J728" s="1" t="str">
        <f t="shared" si="155"/>
        <v>0</v>
      </c>
      <c r="K728" s="3">
        <f t="shared" si="156"/>
        <v>-100</v>
      </c>
      <c r="L728" s="3">
        <f t="shared" si="157"/>
        <v>1</v>
      </c>
      <c r="M728" s="3">
        <f t="shared" si="158"/>
        <v>0</v>
      </c>
      <c r="N728" s="3" t="str">
        <f t="shared" si="159"/>
        <v>01</v>
      </c>
      <c r="O728" s="14" t="str">
        <f t="shared" si="160"/>
        <v>00</v>
      </c>
    </row>
    <row r="729" spans="1:23" hidden="1">
      <c r="J729" s="1" t="str">
        <f t="shared" si="155"/>
        <v>0</v>
      </c>
      <c r="K729" s="3">
        <f t="shared" si="156"/>
        <v>-100</v>
      </c>
      <c r="L729" s="3">
        <f t="shared" si="157"/>
        <v>1</v>
      </c>
      <c r="M729" s="3">
        <f t="shared" si="158"/>
        <v>0</v>
      </c>
      <c r="N729" s="3" t="str">
        <f t="shared" si="159"/>
        <v>01</v>
      </c>
      <c r="O729" s="14" t="str">
        <f t="shared" si="160"/>
        <v>00</v>
      </c>
      <c r="Q729" s="3"/>
      <c r="R729" s="6">
        <v>524</v>
      </c>
      <c r="S729" s="5">
        <f t="shared" ref="S729:S760" si="169">IFERROR(P729/R729,"")</f>
        <v>0</v>
      </c>
      <c r="T729" s="3"/>
    </row>
    <row r="730" spans="1:23">
      <c r="A730" s="3">
        <v>565</v>
      </c>
      <c r="B730" s="90">
        <f>IF(G730="-",0,IF(G729=G730,1,0))</f>
        <v>0</v>
      </c>
      <c r="C730" s="90">
        <f>+IF(G730="-",0,IF(I730=I729+1,0,(IF(I730=1,0,1))))</f>
        <v>1</v>
      </c>
      <c r="D730" s="90">
        <f>+IF(AND(P730="",Q730=""),1,0)</f>
        <v>0</v>
      </c>
      <c r="E730" s="90">
        <f>IF(U730="",1,0)</f>
        <v>0</v>
      </c>
      <c r="F730" s="90">
        <f>IF(V730="",1,0)</f>
        <v>0</v>
      </c>
      <c r="G730" s="90" t="str">
        <f>IF(H730=0,"-",_xlfn.CONCAT(K730,N730,O730,J730))</f>
        <v>24051815</v>
      </c>
      <c r="H730" s="91">
        <v>45430</v>
      </c>
      <c r="I730" s="90">
        <v>15</v>
      </c>
      <c r="J730" s="90">
        <f t="shared" si="155"/>
        <v>15</v>
      </c>
      <c r="K730" s="92">
        <f t="shared" si="156"/>
        <v>24</v>
      </c>
      <c r="L730" s="92">
        <f t="shared" si="157"/>
        <v>5</v>
      </c>
      <c r="M730" s="92">
        <f t="shared" si="158"/>
        <v>18</v>
      </c>
      <c r="N730" s="92" t="str">
        <f t="shared" si="159"/>
        <v>05</v>
      </c>
      <c r="O730" s="93">
        <f t="shared" si="160"/>
        <v>18</v>
      </c>
      <c r="P730" s="94">
        <v>500000</v>
      </c>
      <c r="Q730" s="95"/>
      <c r="R730" s="96">
        <v>504</v>
      </c>
      <c r="S730" s="95">
        <f t="shared" si="169"/>
        <v>992.06349206349205</v>
      </c>
      <c r="T730" s="92" t="s">
        <v>846</v>
      </c>
      <c r="U730" s="92" t="s">
        <v>1</v>
      </c>
      <c r="V730" s="92" t="s">
        <v>4</v>
      </c>
      <c r="W730" s="92" t="s">
        <v>172</v>
      </c>
    </row>
    <row r="731" spans="1:23" hidden="1">
      <c r="J731" s="1" t="str">
        <f t="shared" si="155"/>
        <v>0</v>
      </c>
      <c r="K731" s="3">
        <f t="shared" si="156"/>
        <v>-100</v>
      </c>
      <c r="L731" s="3">
        <f t="shared" si="157"/>
        <v>1</v>
      </c>
      <c r="M731" s="3">
        <f t="shared" si="158"/>
        <v>0</v>
      </c>
      <c r="N731" s="3" t="str">
        <f t="shared" si="159"/>
        <v>01</v>
      </c>
      <c r="O731" s="14" t="str">
        <f t="shared" si="160"/>
        <v>00</v>
      </c>
      <c r="R731" s="6">
        <v>524</v>
      </c>
      <c r="S731" s="5">
        <f t="shared" si="169"/>
        <v>0</v>
      </c>
    </row>
    <row r="732" spans="1:23" hidden="1">
      <c r="J732" s="1" t="str">
        <f t="shared" si="155"/>
        <v>0</v>
      </c>
      <c r="K732" s="3">
        <f t="shared" si="156"/>
        <v>-100</v>
      </c>
      <c r="L732" s="3">
        <f t="shared" si="157"/>
        <v>1</v>
      </c>
      <c r="M732" s="3">
        <f t="shared" si="158"/>
        <v>0</v>
      </c>
      <c r="N732" s="3" t="str">
        <f t="shared" si="159"/>
        <v>01</v>
      </c>
      <c r="O732" s="14" t="str">
        <f t="shared" si="160"/>
        <v>00</v>
      </c>
      <c r="R732" s="6">
        <v>524</v>
      </c>
      <c r="S732" s="5">
        <f t="shared" si="169"/>
        <v>0</v>
      </c>
    </row>
    <row r="733" spans="1:23" hidden="1">
      <c r="J733" s="1" t="str">
        <f t="shared" si="155"/>
        <v>0</v>
      </c>
      <c r="K733" s="3">
        <f t="shared" si="156"/>
        <v>-100</v>
      </c>
      <c r="L733" s="3">
        <f t="shared" si="157"/>
        <v>1</v>
      </c>
      <c r="M733" s="3">
        <f t="shared" si="158"/>
        <v>0</v>
      </c>
      <c r="N733" s="3" t="str">
        <f t="shared" si="159"/>
        <v>01</v>
      </c>
      <c r="O733" s="14" t="str">
        <f t="shared" si="160"/>
        <v>00</v>
      </c>
      <c r="R733" s="6">
        <v>524</v>
      </c>
      <c r="S733" s="5">
        <f t="shared" si="169"/>
        <v>0</v>
      </c>
    </row>
    <row r="734" spans="1:23">
      <c r="A734" s="3">
        <v>566</v>
      </c>
      <c r="B734" s="1">
        <f>IF(G734="-",0,IF(G733=G734,1,0))</f>
        <v>0</v>
      </c>
      <c r="C734" s="1">
        <f>+IF(G734="-",0,IF(I734=I733+1,0,(IF(I734=1,0,1))))</f>
        <v>1</v>
      </c>
      <c r="D734" s="1">
        <f>+IF(AND(P734="",Q734=""),1,0)</f>
        <v>0</v>
      </c>
      <c r="E734" s="1">
        <f>IF(U734="",1,0)</f>
        <v>0</v>
      </c>
      <c r="F734" s="1">
        <f>IF(V734="",1,0)</f>
        <v>0</v>
      </c>
      <c r="G734" s="1" t="str">
        <f>IF(H734=0,"-",_xlfn.CONCAT(K734,N734,O734,J734))</f>
        <v>24051816</v>
      </c>
      <c r="H734" s="2">
        <v>45430</v>
      </c>
      <c r="I734" s="36">
        <v>16</v>
      </c>
      <c r="J734" s="1">
        <f t="shared" ref="J734:J797" si="170">+IF(I734&lt;10,_xlfn.CONCAT("0",I734),I734)</f>
        <v>16</v>
      </c>
      <c r="K734" s="3">
        <f t="shared" ref="K734:K797" si="171">+YEAR(H734)-2000</f>
        <v>24</v>
      </c>
      <c r="L734" s="3">
        <f t="shared" ref="L734:L797" si="172">+MONTH(H734)</f>
        <v>5</v>
      </c>
      <c r="M734" s="3">
        <f t="shared" ref="M734:M797" si="173">+DAY(H734)</f>
        <v>18</v>
      </c>
      <c r="N734" s="3" t="str">
        <f t="shared" ref="N734:N797" si="174">+IF(L734&lt;10,_xlfn.CONCAT("0",L734),L734)</f>
        <v>05</v>
      </c>
      <c r="O734" s="14">
        <f t="shared" ref="O734:O797" si="175">+IF(M734&lt;10,_xlfn.CONCAT("0",M734),M734)</f>
        <v>18</v>
      </c>
      <c r="P734" s="4">
        <v>17843.27</v>
      </c>
      <c r="R734" s="6">
        <v>504</v>
      </c>
      <c r="S734" s="5">
        <f t="shared" si="169"/>
        <v>35.403313492063496</v>
      </c>
      <c r="T734" s="5" t="s">
        <v>40</v>
      </c>
      <c r="U734" s="3" t="s">
        <v>29</v>
      </c>
      <c r="V734" s="3" t="s">
        <v>4</v>
      </c>
    </row>
    <row r="735" spans="1:23" hidden="1">
      <c r="J735" s="1" t="str">
        <f t="shared" si="170"/>
        <v>0</v>
      </c>
      <c r="K735" s="3">
        <f t="shared" si="171"/>
        <v>-100</v>
      </c>
      <c r="L735" s="3">
        <f t="shared" si="172"/>
        <v>1</v>
      </c>
      <c r="M735" s="3">
        <f t="shared" si="173"/>
        <v>0</v>
      </c>
      <c r="N735" s="3" t="str">
        <f t="shared" si="174"/>
        <v>01</v>
      </c>
      <c r="O735" s="14" t="str">
        <f t="shared" si="175"/>
        <v>00</v>
      </c>
      <c r="R735" s="6">
        <v>524</v>
      </c>
      <c r="S735" s="5">
        <f t="shared" si="169"/>
        <v>0</v>
      </c>
      <c r="T735" s="3"/>
    </row>
    <row r="736" spans="1:23" hidden="1">
      <c r="J736" s="1" t="str">
        <f t="shared" si="170"/>
        <v>0</v>
      </c>
      <c r="K736" s="3">
        <f t="shared" si="171"/>
        <v>-100</v>
      </c>
      <c r="L736" s="3">
        <f t="shared" si="172"/>
        <v>1</v>
      </c>
      <c r="M736" s="3">
        <f t="shared" si="173"/>
        <v>0</v>
      </c>
      <c r="N736" s="3" t="str">
        <f t="shared" si="174"/>
        <v>01</v>
      </c>
      <c r="O736" s="14" t="str">
        <f t="shared" si="175"/>
        <v>00</v>
      </c>
      <c r="R736" s="6">
        <v>524</v>
      </c>
      <c r="S736" s="5">
        <f t="shared" si="169"/>
        <v>0</v>
      </c>
    </row>
    <row r="737" spans="1:23" hidden="1">
      <c r="J737" s="1" t="str">
        <f t="shared" si="170"/>
        <v>0</v>
      </c>
      <c r="K737" s="3">
        <f t="shared" si="171"/>
        <v>-100</v>
      </c>
      <c r="L737" s="3">
        <f t="shared" si="172"/>
        <v>1</v>
      </c>
      <c r="M737" s="3">
        <f t="shared" si="173"/>
        <v>0</v>
      </c>
      <c r="N737" s="3" t="str">
        <f t="shared" si="174"/>
        <v>01</v>
      </c>
      <c r="O737" s="14" t="str">
        <f t="shared" si="175"/>
        <v>00</v>
      </c>
      <c r="R737" s="6">
        <v>524</v>
      </c>
      <c r="S737" s="5">
        <f t="shared" si="169"/>
        <v>0</v>
      </c>
    </row>
    <row r="738" spans="1:23" hidden="1">
      <c r="J738" s="1" t="str">
        <f t="shared" si="170"/>
        <v>0</v>
      </c>
      <c r="K738" s="3">
        <f t="shared" si="171"/>
        <v>-100</v>
      </c>
      <c r="L738" s="3">
        <f t="shared" si="172"/>
        <v>1</v>
      </c>
      <c r="M738" s="3">
        <f t="shared" si="173"/>
        <v>0</v>
      </c>
      <c r="N738" s="3" t="str">
        <f t="shared" si="174"/>
        <v>01</v>
      </c>
      <c r="O738" s="14" t="str">
        <f t="shared" si="175"/>
        <v>00</v>
      </c>
      <c r="R738" s="6">
        <v>524</v>
      </c>
      <c r="S738" s="5">
        <f t="shared" si="169"/>
        <v>0</v>
      </c>
    </row>
    <row r="739" spans="1:23" hidden="1">
      <c r="J739" s="1" t="str">
        <f t="shared" si="170"/>
        <v>0</v>
      </c>
      <c r="K739" s="3">
        <f t="shared" si="171"/>
        <v>-100</v>
      </c>
      <c r="L739" s="3">
        <f t="shared" si="172"/>
        <v>1</v>
      </c>
      <c r="M739" s="3">
        <f t="shared" si="173"/>
        <v>0</v>
      </c>
      <c r="N739" s="3" t="str">
        <f t="shared" si="174"/>
        <v>01</v>
      </c>
      <c r="O739" s="14" t="str">
        <f t="shared" si="175"/>
        <v>00</v>
      </c>
      <c r="R739" s="6">
        <v>524</v>
      </c>
      <c r="S739" s="5">
        <f t="shared" si="169"/>
        <v>0</v>
      </c>
    </row>
    <row r="740" spans="1:23" hidden="1">
      <c r="J740" s="1" t="str">
        <f t="shared" si="170"/>
        <v>0</v>
      </c>
      <c r="K740" s="3">
        <f t="shared" si="171"/>
        <v>-100</v>
      </c>
      <c r="L740" s="3">
        <f t="shared" si="172"/>
        <v>1</v>
      </c>
      <c r="M740" s="3">
        <f t="shared" si="173"/>
        <v>0</v>
      </c>
      <c r="N740" s="3" t="str">
        <f t="shared" si="174"/>
        <v>01</v>
      </c>
      <c r="O740" s="14" t="str">
        <f t="shared" si="175"/>
        <v>00</v>
      </c>
      <c r="R740" s="6">
        <v>523</v>
      </c>
      <c r="S740" s="5">
        <f t="shared" si="169"/>
        <v>0</v>
      </c>
    </row>
    <row r="741" spans="1:23">
      <c r="A741" s="3">
        <v>578</v>
      </c>
      <c r="B741" s="1">
        <f>IF(G741="-",0,IF(G740=G741,1,0))</f>
        <v>0</v>
      </c>
      <c r="C741" s="1">
        <f>+IF(G741="-",0,IF(I741=I740+1,0,(IF(I741=1,0,1))))</f>
        <v>1</v>
      </c>
      <c r="D741" s="1">
        <f>+IF(AND(P741="",Q741=""),1,0)</f>
        <v>0</v>
      </c>
      <c r="E741" s="1">
        <f>IF(U741="",1,0)</f>
        <v>0</v>
      </c>
      <c r="F741" s="1">
        <f>IF(V741="",1,0)</f>
        <v>0</v>
      </c>
      <c r="G741" s="1" t="str">
        <f>IF(H741=0,"-",_xlfn.CONCAT(K741,N741,O741,J741))</f>
        <v>24051828</v>
      </c>
      <c r="H741" s="2">
        <v>45430</v>
      </c>
      <c r="I741" s="36">
        <v>28</v>
      </c>
      <c r="J741" s="1">
        <f t="shared" si="170"/>
        <v>28</v>
      </c>
      <c r="K741" s="3">
        <f t="shared" si="171"/>
        <v>24</v>
      </c>
      <c r="L741" s="3">
        <f t="shared" si="172"/>
        <v>5</v>
      </c>
      <c r="M741" s="3">
        <f t="shared" si="173"/>
        <v>18</v>
      </c>
      <c r="N741" s="3" t="str">
        <f t="shared" si="174"/>
        <v>05</v>
      </c>
      <c r="O741" s="14">
        <f t="shared" si="175"/>
        <v>18</v>
      </c>
      <c r="P741" s="4">
        <v>47400</v>
      </c>
      <c r="R741" s="6">
        <v>504</v>
      </c>
      <c r="S741" s="5">
        <f t="shared" si="169"/>
        <v>94.047619047619051</v>
      </c>
      <c r="T741" s="5" t="s">
        <v>355</v>
      </c>
      <c r="U741" s="3" t="s">
        <v>29</v>
      </c>
      <c r="V741" s="3" t="s">
        <v>4</v>
      </c>
    </row>
    <row r="742" spans="1:23">
      <c r="A742" s="3">
        <v>580</v>
      </c>
      <c r="B742" s="1">
        <f>IF(G742="-",0,IF(G741=G742,1,0))</f>
        <v>0</v>
      </c>
      <c r="C742" s="1">
        <f>+IF(G742="-",0,IF(I742=I741+1,0,(IF(I742=1,0,1))))</f>
        <v>1</v>
      </c>
      <c r="D742" s="1">
        <f>+IF(AND(P742="",Q742=""),1,0)</f>
        <v>0</v>
      </c>
      <c r="E742" s="1">
        <f>IF(U742="",1,0)</f>
        <v>0</v>
      </c>
      <c r="F742" s="1">
        <f>IF(V742="",1,0)</f>
        <v>0</v>
      </c>
      <c r="G742" s="38" t="str">
        <f>IF(H742=0,"-",_xlfn.CONCAT(K742,N742,O742,J742))</f>
        <v>24052002</v>
      </c>
      <c r="H742" s="37">
        <v>45432</v>
      </c>
      <c r="I742" s="36">
        <v>2</v>
      </c>
      <c r="J742" s="1" t="str">
        <f t="shared" si="170"/>
        <v>02</v>
      </c>
      <c r="K742" s="3">
        <f t="shared" si="171"/>
        <v>24</v>
      </c>
      <c r="L742" s="3">
        <f t="shared" si="172"/>
        <v>5</v>
      </c>
      <c r="M742" s="3">
        <f t="shared" si="173"/>
        <v>20</v>
      </c>
      <c r="N742" s="3" t="str">
        <f t="shared" si="174"/>
        <v>05</v>
      </c>
      <c r="O742" s="14">
        <f t="shared" si="175"/>
        <v>20</v>
      </c>
      <c r="P742" s="39">
        <v>101293.2</v>
      </c>
      <c r="Q742" s="40"/>
      <c r="R742" s="41">
        <v>505</v>
      </c>
      <c r="S742" s="5">
        <f t="shared" si="169"/>
        <v>200.58059405940594</v>
      </c>
      <c r="T742" s="40" t="s">
        <v>187</v>
      </c>
      <c r="U742" s="42" t="s">
        <v>2</v>
      </c>
      <c r="V742" s="42" t="s">
        <v>4</v>
      </c>
      <c r="W742" s="42"/>
    </row>
    <row r="743" spans="1:23" hidden="1">
      <c r="H743" s="9"/>
      <c r="J743" s="1" t="str">
        <f t="shared" si="170"/>
        <v>0</v>
      </c>
      <c r="K743" s="3">
        <f t="shared" si="171"/>
        <v>-100</v>
      </c>
      <c r="L743" s="3">
        <f t="shared" si="172"/>
        <v>1</v>
      </c>
      <c r="M743" s="3">
        <f t="shared" si="173"/>
        <v>0</v>
      </c>
      <c r="N743" s="3" t="str">
        <f t="shared" si="174"/>
        <v>01</v>
      </c>
      <c r="O743" s="14" t="str">
        <f t="shared" si="175"/>
        <v>00</v>
      </c>
      <c r="P743" s="11"/>
      <c r="Q743" s="12"/>
      <c r="R743" s="13">
        <v>523</v>
      </c>
      <c r="S743" s="5">
        <f t="shared" si="169"/>
        <v>0</v>
      </c>
      <c r="T743" s="12"/>
      <c r="U743" s="10"/>
      <c r="V743" s="10"/>
      <c r="W743" s="10"/>
    </row>
    <row r="744" spans="1:23" hidden="1">
      <c r="J744" s="1" t="str">
        <f t="shared" si="170"/>
        <v>0</v>
      </c>
      <c r="K744" s="3">
        <f t="shared" si="171"/>
        <v>-100</v>
      </c>
      <c r="L744" s="3">
        <f t="shared" si="172"/>
        <v>1</v>
      </c>
      <c r="M744" s="3">
        <f t="shared" si="173"/>
        <v>0</v>
      </c>
      <c r="N744" s="3" t="str">
        <f t="shared" si="174"/>
        <v>01</v>
      </c>
      <c r="O744" s="14" t="str">
        <f t="shared" si="175"/>
        <v>00</v>
      </c>
      <c r="R744" s="6">
        <v>523</v>
      </c>
      <c r="S744" s="5">
        <f t="shared" si="169"/>
        <v>0</v>
      </c>
    </row>
    <row r="745" spans="1:23" hidden="1">
      <c r="J745" s="1" t="str">
        <f t="shared" si="170"/>
        <v>0</v>
      </c>
      <c r="K745" s="3">
        <f t="shared" si="171"/>
        <v>-100</v>
      </c>
      <c r="L745" s="3">
        <f t="shared" si="172"/>
        <v>1</v>
      </c>
      <c r="M745" s="3">
        <f t="shared" si="173"/>
        <v>0</v>
      </c>
      <c r="N745" s="3" t="str">
        <f t="shared" si="174"/>
        <v>01</v>
      </c>
      <c r="O745" s="14" t="str">
        <f t="shared" si="175"/>
        <v>00</v>
      </c>
      <c r="R745" s="6">
        <v>523</v>
      </c>
      <c r="S745" s="5">
        <f t="shared" si="169"/>
        <v>0</v>
      </c>
    </row>
    <row r="746" spans="1:23" hidden="1">
      <c r="J746" s="1" t="str">
        <f t="shared" si="170"/>
        <v>0</v>
      </c>
      <c r="K746" s="3">
        <f t="shared" si="171"/>
        <v>-100</v>
      </c>
      <c r="L746" s="3">
        <f t="shared" si="172"/>
        <v>1</v>
      </c>
      <c r="M746" s="3">
        <f t="shared" si="173"/>
        <v>0</v>
      </c>
      <c r="N746" s="3" t="str">
        <f t="shared" si="174"/>
        <v>01</v>
      </c>
      <c r="O746" s="14" t="str">
        <f t="shared" si="175"/>
        <v>00</v>
      </c>
      <c r="R746" s="6">
        <v>523</v>
      </c>
      <c r="S746" s="5">
        <f t="shared" si="169"/>
        <v>0</v>
      </c>
    </row>
    <row r="747" spans="1:23" hidden="1">
      <c r="J747" s="1" t="str">
        <f t="shared" si="170"/>
        <v>0</v>
      </c>
      <c r="K747" s="3">
        <f t="shared" si="171"/>
        <v>-100</v>
      </c>
      <c r="L747" s="3">
        <f t="shared" si="172"/>
        <v>1</v>
      </c>
      <c r="M747" s="3">
        <f t="shared" si="173"/>
        <v>0</v>
      </c>
      <c r="N747" s="3" t="str">
        <f t="shared" si="174"/>
        <v>01</v>
      </c>
      <c r="O747" s="14" t="str">
        <f t="shared" si="175"/>
        <v>00</v>
      </c>
      <c r="S747" s="5" t="str">
        <f t="shared" si="169"/>
        <v/>
      </c>
    </row>
    <row r="748" spans="1:23" hidden="1">
      <c r="J748" s="1" t="str">
        <f t="shared" si="170"/>
        <v>0</v>
      </c>
      <c r="K748" s="3">
        <f t="shared" si="171"/>
        <v>-100</v>
      </c>
      <c r="L748" s="3">
        <f t="shared" si="172"/>
        <v>1</v>
      </c>
      <c r="M748" s="3">
        <f t="shared" si="173"/>
        <v>0</v>
      </c>
      <c r="N748" s="3" t="str">
        <f t="shared" si="174"/>
        <v>01</v>
      </c>
      <c r="O748" s="14" t="str">
        <f t="shared" si="175"/>
        <v>00</v>
      </c>
      <c r="R748" s="6">
        <v>523</v>
      </c>
      <c r="S748" s="5">
        <f t="shared" si="169"/>
        <v>0</v>
      </c>
    </row>
    <row r="749" spans="1:23" hidden="1">
      <c r="J749" s="1" t="str">
        <f t="shared" si="170"/>
        <v>0</v>
      </c>
      <c r="K749" s="3">
        <f t="shared" si="171"/>
        <v>-100</v>
      </c>
      <c r="L749" s="3">
        <f t="shared" si="172"/>
        <v>1</v>
      </c>
      <c r="M749" s="3">
        <f t="shared" si="173"/>
        <v>0</v>
      </c>
      <c r="N749" s="3" t="str">
        <f t="shared" si="174"/>
        <v>01</v>
      </c>
      <c r="O749" s="14" t="str">
        <f t="shared" si="175"/>
        <v>00</v>
      </c>
      <c r="R749" s="6">
        <v>523</v>
      </c>
      <c r="S749" s="5">
        <f t="shared" si="169"/>
        <v>0</v>
      </c>
    </row>
    <row r="750" spans="1:23">
      <c r="A750" s="3">
        <v>582</v>
      </c>
      <c r="B750" s="1">
        <f>IF(G750="-",0,IF(G749=G750,1,0))</f>
        <v>0</v>
      </c>
      <c r="C750" s="1">
        <f>+IF(G750="-",0,IF(I750=I749+1,0,(IF(I750=1,0,1))))</f>
        <v>1</v>
      </c>
      <c r="D750" s="1">
        <f>+IF(AND(P750="",Q750=""),1,0)</f>
        <v>0</v>
      </c>
      <c r="E750" s="1">
        <f>IF(U750="",1,0)</f>
        <v>0</v>
      </c>
      <c r="F750" s="1">
        <f>IF(V750="",1,0)</f>
        <v>0</v>
      </c>
      <c r="G750" s="1" t="str">
        <f>IF(H750=0,"-",_xlfn.CONCAT(K750,N750,O750,J750))</f>
        <v>24052004</v>
      </c>
      <c r="H750" s="2">
        <v>45432</v>
      </c>
      <c r="I750" s="36">
        <v>4</v>
      </c>
      <c r="J750" s="1" t="str">
        <f t="shared" si="170"/>
        <v>04</v>
      </c>
      <c r="K750" s="3">
        <f t="shared" si="171"/>
        <v>24</v>
      </c>
      <c r="L750" s="3">
        <f t="shared" si="172"/>
        <v>5</v>
      </c>
      <c r="M750" s="3">
        <f t="shared" si="173"/>
        <v>20</v>
      </c>
      <c r="N750" s="3" t="str">
        <f t="shared" si="174"/>
        <v>05</v>
      </c>
      <c r="O750" s="14">
        <f t="shared" si="175"/>
        <v>20</v>
      </c>
      <c r="P750" s="4">
        <v>13139.08</v>
      </c>
      <c r="R750" s="6">
        <v>505</v>
      </c>
      <c r="S750" s="5">
        <f t="shared" si="169"/>
        <v>26.017980198019803</v>
      </c>
      <c r="T750" s="5" t="s">
        <v>188</v>
      </c>
      <c r="U750" s="3" t="s">
        <v>29</v>
      </c>
      <c r="V750" s="3" t="s">
        <v>4</v>
      </c>
    </row>
    <row r="751" spans="1:23">
      <c r="A751" s="3">
        <v>583</v>
      </c>
      <c r="B751" s="1">
        <f>IF(G751="-",0,IF(G750=G751,1,0))</f>
        <v>0</v>
      </c>
      <c r="C751" s="1">
        <f>+IF(G751="-",0,IF(I751=I750+1,0,(IF(I751=1,0,1))))</f>
        <v>0</v>
      </c>
      <c r="D751" s="1">
        <f>+IF(AND(P751="",Q751=""),1,0)</f>
        <v>0</v>
      </c>
      <c r="E751" s="1">
        <f>IF(U751="",1,0)</f>
        <v>0</v>
      </c>
      <c r="F751" s="1">
        <f>IF(V751="",1,0)</f>
        <v>0</v>
      </c>
      <c r="G751" s="1" t="str">
        <f>IF(H751=0,"-",_xlfn.CONCAT(K751,N751,O751,J751))</f>
        <v>24052005</v>
      </c>
      <c r="H751" s="2">
        <v>45432</v>
      </c>
      <c r="I751" s="36">
        <v>5</v>
      </c>
      <c r="J751" s="1" t="str">
        <f t="shared" si="170"/>
        <v>05</v>
      </c>
      <c r="K751" s="3">
        <f t="shared" si="171"/>
        <v>24</v>
      </c>
      <c r="L751" s="3">
        <f t="shared" si="172"/>
        <v>5</v>
      </c>
      <c r="M751" s="3">
        <f t="shared" si="173"/>
        <v>20</v>
      </c>
      <c r="N751" s="3" t="str">
        <f t="shared" si="174"/>
        <v>05</v>
      </c>
      <c r="O751" s="14">
        <f t="shared" si="175"/>
        <v>20</v>
      </c>
      <c r="P751" s="4">
        <v>10000</v>
      </c>
      <c r="R751" s="6">
        <v>505</v>
      </c>
      <c r="S751" s="5">
        <f t="shared" si="169"/>
        <v>19.801980198019802</v>
      </c>
      <c r="T751" s="5" t="s">
        <v>189</v>
      </c>
      <c r="U751" s="3" t="s">
        <v>29</v>
      </c>
      <c r="V751" s="3" t="s">
        <v>4</v>
      </c>
    </row>
    <row r="752" spans="1:23" hidden="1">
      <c r="J752" s="1" t="str">
        <f t="shared" si="170"/>
        <v>0</v>
      </c>
      <c r="K752" s="3">
        <f t="shared" si="171"/>
        <v>-100</v>
      </c>
      <c r="L752" s="3">
        <f t="shared" si="172"/>
        <v>1</v>
      </c>
      <c r="M752" s="3">
        <f t="shared" si="173"/>
        <v>0</v>
      </c>
      <c r="N752" s="3" t="str">
        <f t="shared" si="174"/>
        <v>01</v>
      </c>
      <c r="O752" s="14" t="str">
        <f t="shared" si="175"/>
        <v>00</v>
      </c>
      <c r="S752" s="5" t="str">
        <f t="shared" si="169"/>
        <v/>
      </c>
    </row>
    <row r="753" spans="1:23">
      <c r="A753" s="3">
        <v>589</v>
      </c>
      <c r="B753" s="1">
        <f>IF(G753="-",0,IF(G752=G753,1,0))</f>
        <v>0</v>
      </c>
      <c r="C753" s="1">
        <f>+IF(G753="-",0,IF(I753=I752+1,0,(IF(I753=1,0,1))))</f>
        <v>1</v>
      </c>
      <c r="D753" s="1">
        <f>+IF(AND(P753="",Q753=""),1,0)</f>
        <v>0</v>
      </c>
      <c r="E753" s="1">
        <f>IF(U753="",1,0)</f>
        <v>0</v>
      </c>
      <c r="F753" s="1">
        <f>IF(V753="",1,0)</f>
        <v>0</v>
      </c>
      <c r="G753" s="1" t="str">
        <f>IF(H753=0,"-",_xlfn.CONCAT(K753,N753,O753,J753))</f>
        <v>24052011</v>
      </c>
      <c r="H753" s="2">
        <v>45432</v>
      </c>
      <c r="I753" s="36">
        <v>11</v>
      </c>
      <c r="J753" s="1">
        <f t="shared" si="170"/>
        <v>11</v>
      </c>
      <c r="K753" s="3">
        <f t="shared" si="171"/>
        <v>24</v>
      </c>
      <c r="L753" s="3">
        <f t="shared" si="172"/>
        <v>5</v>
      </c>
      <c r="M753" s="3">
        <f t="shared" si="173"/>
        <v>20</v>
      </c>
      <c r="N753" s="3" t="str">
        <f t="shared" si="174"/>
        <v>05</v>
      </c>
      <c r="O753" s="14">
        <f t="shared" si="175"/>
        <v>20</v>
      </c>
      <c r="P753" s="4">
        <v>31811.759999999998</v>
      </c>
      <c r="R753" s="6">
        <v>505</v>
      </c>
      <c r="S753" s="5">
        <f t="shared" si="169"/>
        <v>62.993584158415835</v>
      </c>
      <c r="T753" s="5" t="s">
        <v>191</v>
      </c>
      <c r="U753" s="3" t="s">
        <v>29</v>
      </c>
      <c r="V753" s="3" t="s">
        <v>4</v>
      </c>
    </row>
    <row r="754" spans="1:23">
      <c r="A754" s="3">
        <v>590</v>
      </c>
      <c r="B754" s="1">
        <f>IF(G754="-",0,IF(G753=G754,1,0))</f>
        <v>0</v>
      </c>
      <c r="C754" s="1">
        <f>+IF(G754="-",0,IF(I754=I753+1,0,(IF(I754=1,0,1))))</f>
        <v>0</v>
      </c>
      <c r="D754" s="1">
        <f>+IF(AND(P754="",Q754=""),1,0)</f>
        <v>0</v>
      </c>
      <c r="E754" s="1">
        <f>IF(U754="",1,0)</f>
        <v>0</v>
      </c>
      <c r="F754" s="1">
        <f>IF(V754="",1,0)</f>
        <v>0</v>
      </c>
      <c r="G754" s="38" t="str">
        <f>IF(H754=0,"-",_xlfn.CONCAT(K754,N754,O754,J754))</f>
        <v>24052012</v>
      </c>
      <c r="H754" s="37">
        <v>45432</v>
      </c>
      <c r="I754" s="36">
        <v>12</v>
      </c>
      <c r="J754" s="1">
        <f t="shared" si="170"/>
        <v>12</v>
      </c>
      <c r="K754" s="3">
        <f t="shared" si="171"/>
        <v>24</v>
      </c>
      <c r="L754" s="3">
        <f t="shared" si="172"/>
        <v>5</v>
      </c>
      <c r="M754" s="3">
        <f t="shared" si="173"/>
        <v>20</v>
      </c>
      <c r="N754" s="3" t="str">
        <f t="shared" si="174"/>
        <v>05</v>
      </c>
      <c r="O754" s="14">
        <f t="shared" si="175"/>
        <v>20</v>
      </c>
      <c r="P754" s="39">
        <v>159899.99</v>
      </c>
      <c r="Q754" s="40"/>
      <c r="R754" s="41">
        <v>505</v>
      </c>
      <c r="S754" s="5">
        <f t="shared" si="169"/>
        <v>316.63364356435642</v>
      </c>
      <c r="T754" s="40" t="s">
        <v>210</v>
      </c>
      <c r="U754" s="42" t="s">
        <v>726</v>
      </c>
      <c r="V754" s="42" t="s">
        <v>4</v>
      </c>
      <c r="W754" s="42" t="s">
        <v>287</v>
      </c>
    </row>
    <row r="755" spans="1:23" hidden="1">
      <c r="J755" s="1" t="str">
        <f t="shared" si="170"/>
        <v>0</v>
      </c>
      <c r="K755" s="3">
        <f t="shared" si="171"/>
        <v>-100</v>
      </c>
      <c r="L755" s="3">
        <f t="shared" si="172"/>
        <v>1</v>
      </c>
      <c r="M755" s="3">
        <f t="shared" si="173"/>
        <v>0</v>
      </c>
      <c r="N755" s="3" t="str">
        <f t="shared" si="174"/>
        <v>01</v>
      </c>
      <c r="O755" s="14" t="str">
        <f t="shared" si="175"/>
        <v>00</v>
      </c>
      <c r="R755" s="6">
        <v>525</v>
      </c>
      <c r="S755" s="5">
        <f t="shared" si="169"/>
        <v>0</v>
      </c>
    </row>
    <row r="756" spans="1:23" hidden="1">
      <c r="J756" s="1" t="str">
        <f t="shared" si="170"/>
        <v>0</v>
      </c>
      <c r="K756" s="3">
        <f t="shared" si="171"/>
        <v>-100</v>
      </c>
      <c r="L756" s="3">
        <f t="shared" si="172"/>
        <v>1</v>
      </c>
      <c r="M756" s="3">
        <f t="shared" si="173"/>
        <v>0</v>
      </c>
      <c r="N756" s="3" t="str">
        <f t="shared" si="174"/>
        <v>01</v>
      </c>
      <c r="O756" s="14" t="str">
        <f t="shared" si="175"/>
        <v>00</v>
      </c>
      <c r="R756" s="6">
        <v>525</v>
      </c>
      <c r="S756" s="5">
        <f t="shared" si="169"/>
        <v>0</v>
      </c>
    </row>
    <row r="757" spans="1:23">
      <c r="A757" s="3">
        <v>593</v>
      </c>
      <c r="B757" s="1">
        <f>IF(G757="-",0,IF(G756=G757,1,0))</f>
        <v>0</v>
      </c>
      <c r="C757" s="1">
        <f>+IF(G757="-",0,IF(I757=I756+1,0,(IF(I757=1,0,1))))</f>
        <v>1</v>
      </c>
      <c r="D757" s="1">
        <f>+IF(AND(P757="",Q757=""),1,0)</f>
        <v>0</v>
      </c>
      <c r="E757" s="1">
        <f>IF(U757="",1,0)</f>
        <v>0</v>
      </c>
      <c r="F757" s="1">
        <f>IF(V757="",1,0)</f>
        <v>0</v>
      </c>
      <c r="G757" s="1" t="str">
        <f>IF(H757=0,"-",_xlfn.CONCAT(K757,N757,O757,J757))</f>
        <v>24052102</v>
      </c>
      <c r="H757" s="2">
        <v>45433</v>
      </c>
      <c r="I757" s="36">
        <v>2</v>
      </c>
      <c r="J757" s="1" t="str">
        <f t="shared" si="170"/>
        <v>02</v>
      </c>
      <c r="K757" s="3">
        <f t="shared" si="171"/>
        <v>24</v>
      </c>
      <c r="L757" s="3">
        <f t="shared" si="172"/>
        <v>5</v>
      </c>
      <c r="M757" s="3">
        <f t="shared" si="173"/>
        <v>21</v>
      </c>
      <c r="N757" s="3" t="str">
        <f t="shared" si="174"/>
        <v>05</v>
      </c>
      <c r="O757" s="14">
        <f t="shared" si="175"/>
        <v>21</v>
      </c>
      <c r="P757" s="4">
        <v>51980</v>
      </c>
      <c r="R757" s="6">
        <v>506</v>
      </c>
      <c r="S757" s="5">
        <f t="shared" si="169"/>
        <v>102.72727272727273</v>
      </c>
      <c r="T757" s="5" t="s">
        <v>190</v>
      </c>
      <c r="U757" s="3" t="s">
        <v>1</v>
      </c>
      <c r="V757" s="3" t="s">
        <v>4</v>
      </c>
    </row>
    <row r="758" spans="1:23" hidden="1">
      <c r="J758" s="1" t="str">
        <f t="shared" si="170"/>
        <v>0</v>
      </c>
      <c r="K758" s="3">
        <f t="shared" si="171"/>
        <v>-100</v>
      </c>
      <c r="L758" s="3">
        <f t="shared" si="172"/>
        <v>1</v>
      </c>
      <c r="M758" s="3">
        <f t="shared" si="173"/>
        <v>0</v>
      </c>
      <c r="N758" s="3" t="str">
        <f t="shared" si="174"/>
        <v>01</v>
      </c>
      <c r="O758" s="14" t="str">
        <f t="shared" si="175"/>
        <v>00</v>
      </c>
      <c r="R758" s="6">
        <v>525</v>
      </c>
      <c r="S758" s="5">
        <f t="shared" si="169"/>
        <v>0</v>
      </c>
    </row>
    <row r="759" spans="1:23" hidden="1">
      <c r="J759" s="1" t="str">
        <f t="shared" si="170"/>
        <v>0</v>
      </c>
      <c r="K759" s="3">
        <f t="shared" si="171"/>
        <v>-100</v>
      </c>
      <c r="L759" s="3">
        <f t="shared" si="172"/>
        <v>1</v>
      </c>
      <c r="M759" s="3">
        <f t="shared" si="173"/>
        <v>0</v>
      </c>
      <c r="N759" s="3" t="str">
        <f t="shared" si="174"/>
        <v>01</v>
      </c>
      <c r="O759" s="14" t="str">
        <f t="shared" si="175"/>
        <v>00</v>
      </c>
      <c r="R759" s="6">
        <v>525</v>
      </c>
      <c r="S759" s="5">
        <f t="shared" si="169"/>
        <v>0</v>
      </c>
    </row>
    <row r="760" spans="1:23">
      <c r="A760" s="3">
        <v>598</v>
      </c>
      <c r="B760" s="1">
        <f>IF(G760="-",0,IF(G759=G760,1,0))</f>
        <v>0</v>
      </c>
      <c r="C760" s="1">
        <f>+IF(G760="-",0,IF(I760=I759+1,0,(IF(I760=1,0,1))))</f>
        <v>1</v>
      </c>
      <c r="D760" s="1">
        <f>+IF(AND(P760="",Q760=""),1,0)</f>
        <v>0</v>
      </c>
      <c r="E760" s="1">
        <f>IF(U760="",1,0)</f>
        <v>0</v>
      </c>
      <c r="F760" s="1">
        <f>IF(V760="",1,0)</f>
        <v>0</v>
      </c>
      <c r="G760" s="1" t="str">
        <f>IF(H760=0,"-",_xlfn.CONCAT(K760,N760,O760,J760))</f>
        <v>24052107</v>
      </c>
      <c r="H760" s="8">
        <v>45433</v>
      </c>
      <c r="I760" s="36">
        <v>7</v>
      </c>
      <c r="J760" s="1" t="str">
        <f t="shared" si="170"/>
        <v>07</v>
      </c>
      <c r="K760" s="3">
        <f t="shared" si="171"/>
        <v>24</v>
      </c>
      <c r="L760" s="3">
        <f t="shared" si="172"/>
        <v>5</v>
      </c>
      <c r="M760" s="3">
        <f t="shared" si="173"/>
        <v>21</v>
      </c>
      <c r="N760" s="3" t="str">
        <f t="shared" si="174"/>
        <v>05</v>
      </c>
      <c r="O760" s="14">
        <f t="shared" si="175"/>
        <v>21</v>
      </c>
      <c r="P760" s="53">
        <v>754308</v>
      </c>
      <c r="Q760" s="54"/>
      <c r="R760" s="55">
        <v>506</v>
      </c>
      <c r="S760" s="5">
        <f t="shared" si="169"/>
        <v>1490.7272727272727</v>
      </c>
      <c r="T760" s="54" t="s">
        <v>231</v>
      </c>
      <c r="U760" s="56" t="s">
        <v>1</v>
      </c>
      <c r="V760" s="56" t="s">
        <v>4</v>
      </c>
      <c r="W760" s="3" t="s">
        <v>288</v>
      </c>
    </row>
    <row r="761" spans="1:23" hidden="1">
      <c r="J761" s="1" t="str">
        <f t="shared" si="170"/>
        <v>0</v>
      </c>
      <c r="K761" s="3">
        <f t="shared" si="171"/>
        <v>-100</v>
      </c>
      <c r="L761" s="3">
        <f t="shared" si="172"/>
        <v>1</v>
      </c>
      <c r="M761" s="3">
        <f t="shared" si="173"/>
        <v>0</v>
      </c>
      <c r="N761" s="3" t="str">
        <f t="shared" si="174"/>
        <v>01</v>
      </c>
      <c r="O761" s="14" t="str">
        <f t="shared" si="175"/>
        <v>00</v>
      </c>
      <c r="R761" s="6">
        <v>525</v>
      </c>
      <c r="S761" s="5">
        <f t="shared" ref="S761:S792" si="176">IFERROR(P761/R761,"")</f>
        <v>0</v>
      </c>
    </row>
    <row r="762" spans="1:23" hidden="1">
      <c r="J762" s="1" t="str">
        <f t="shared" si="170"/>
        <v>0</v>
      </c>
      <c r="K762" s="3">
        <f t="shared" si="171"/>
        <v>-100</v>
      </c>
      <c r="L762" s="3">
        <f t="shared" si="172"/>
        <v>1</v>
      </c>
      <c r="M762" s="3">
        <f t="shared" si="173"/>
        <v>0</v>
      </c>
      <c r="N762" s="3" t="str">
        <f t="shared" si="174"/>
        <v>01</v>
      </c>
      <c r="O762" s="14" t="str">
        <f t="shared" si="175"/>
        <v>00</v>
      </c>
      <c r="R762" s="6">
        <v>525</v>
      </c>
      <c r="S762" s="5">
        <f t="shared" si="176"/>
        <v>0</v>
      </c>
    </row>
    <row r="763" spans="1:23">
      <c r="A763" s="3">
        <v>603</v>
      </c>
      <c r="B763" s="1">
        <f>IF(G763="-",0,IF(G762=G763,1,0))</f>
        <v>0</v>
      </c>
      <c r="C763" s="1">
        <f>+IF(G763="-",0,IF(I763=I762+1,0,(IF(I763=1,0,1))))</f>
        <v>1</v>
      </c>
      <c r="D763" s="1">
        <f>+IF(AND(P763="",Q763=""),1,0)</f>
        <v>0</v>
      </c>
      <c r="E763" s="1">
        <f>IF(U763="",1,0)</f>
        <v>0</v>
      </c>
      <c r="F763" s="1">
        <f>IF(V763="",1,0)</f>
        <v>0</v>
      </c>
      <c r="G763" s="1" t="str">
        <f>IF(H763=0,"-",_xlfn.CONCAT(K763,N763,O763,J763))</f>
        <v>24052205</v>
      </c>
      <c r="H763" s="2">
        <v>45434</v>
      </c>
      <c r="I763" s="36">
        <v>5</v>
      </c>
      <c r="J763" s="1" t="str">
        <f t="shared" si="170"/>
        <v>05</v>
      </c>
      <c r="K763" s="3">
        <f t="shared" si="171"/>
        <v>24</v>
      </c>
      <c r="L763" s="3">
        <f t="shared" si="172"/>
        <v>5</v>
      </c>
      <c r="M763" s="3">
        <f t="shared" si="173"/>
        <v>22</v>
      </c>
      <c r="N763" s="3" t="str">
        <f t="shared" si="174"/>
        <v>05</v>
      </c>
      <c r="O763" s="14">
        <f t="shared" si="175"/>
        <v>22</v>
      </c>
      <c r="P763" s="4">
        <v>200000</v>
      </c>
      <c r="R763" s="6">
        <v>507</v>
      </c>
      <c r="S763" s="5">
        <f t="shared" si="176"/>
        <v>394.47731755424064</v>
      </c>
      <c r="T763" s="5" t="s">
        <v>192</v>
      </c>
      <c r="U763" s="3" t="s">
        <v>1</v>
      </c>
      <c r="V763" s="3" t="s">
        <v>4</v>
      </c>
    </row>
    <row r="764" spans="1:23">
      <c r="A764" s="3">
        <v>604</v>
      </c>
      <c r="B764" s="1">
        <f>IF(G764="-",0,IF(G763=G764,1,0))</f>
        <v>0</v>
      </c>
      <c r="C764" s="1">
        <f>+IF(G764="-",0,IF(I764=I763+1,0,(IF(I764=1,0,1))))</f>
        <v>0</v>
      </c>
      <c r="D764" s="1">
        <f>+IF(AND(P764="",Q764=""),1,0)</f>
        <v>0</v>
      </c>
      <c r="E764" s="1">
        <f>IF(U764="",1,0)</f>
        <v>0</v>
      </c>
      <c r="F764" s="1">
        <f>IF(V764="",1,0)</f>
        <v>0</v>
      </c>
      <c r="G764" s="1" t="str">
        <f>IF(H764=0,"-",_xlfn.CONCAT(K764,N764,O764,J764))</f>
        <v>24052206</v>
      </c>
      <c r="H764" s="2">
        <v>45434</v>
      </c>
      <c r="I764" s="36">
        <v>6</v>
      </c>
      <c r="J764" s="1" t="str">
        <f t="shared" si="170"/>
        <v>06</v>
      </c>
      <c r="K764" s="3">
        <f t="shared" si="171"/>
        <v>24</v>
      </c>
      <c r="L764" s="3">
        <f t="shared" si="172"/>
        <v>5</v>
      </c>
      <c r="M764" s="3">
        <f t="shared" si="173"/>
        <v>22</v>
      </c>
      <c r="N764" s="3" t="str">
        <f t="shared" si="174"/>
        <v>05</v>
      </c>
      <c r="O764" s="14">
        <f t="shared" si="175"/>
        <v>22</v>
      </c>
      <c r="P764" s="4">
        <v>142693.85999999999</v>
      </c>
      <c r="R764" s="6">
        <v>507</v>
      </c>
      <c r="S764" s="5">
        <f t="shared" si="176"/>
        <v>281.44745562130174</v>
      </c>
      <c r="T764" s="5" t="s">
        <v>199</v>
      </c>
      <c r="U764" s="3" t="s">
        <v>29</v>
      </c>
      <c r="V764" s="3" t="s">
        <v>4</v>
      </c>
    </row>
    <row r="765" spans="1:23" hidden="1">
      <c r="J765" s="1" t="str">
        <f t="shared" si="170"/>
        <v>0</v>
      </c>
      <c r="K765" s="3">
        <f t="shared" si="171"/>
        <v>-100</v>
      </c>
      <c r="L765" s="3">
        <f t="shared" si="172"/>
        <v>1</v>
      </c>
      <c r="M765" s="3">
        <f t="shared" si="173"/>
        <v>0</v>
      </c>
      <c r="N765" s="3" t="str">
        <f t="shared" si="174"/>
        <v>01</v>
      </c>
      <c r="O765" s="14" t="str">
        <f t="shared" si="175"/>
        <v>00</v>
      </c>
      <c r="R765" s="6">
        <v>523</v>
      </c>
      <c r="S765" s="5">
        <f t="shared" si="176"/>
        <v>0</v>
      </c>
    </row>
    <row r="766" spans="1:23" hidden="1">
      <c r="J766" s="1" t="str">
        <f t="shared" si="170"/>
        <v>0</v>
      </c>
      <c r="K766" s="3">
        <f t="shared" si="171"/>
        <v>-100</v>
      </c>
      <c r="L766" s="3">
        <f t="shared" si="172"/>
        <v>1</v>
      </c>
      <c r="M766" s="3">
        <f t="shared" si="173"/>
        <v>0</v>
      </c>
      <c r="N766" s="3" t="str">
        <f t="shared" si="174"/>
        <v>01</v>
      </c>
      <c r="O766" s="14" t="str">
        <f t="shared" si="175"/>
        <v>00</v>
      </c>
      <c r="R766" s="6">
        <v>523</v>
      </c>
      <c r="S766" s="5">
        <f t="shared" si="176"/>
        <v>0</v>
      </c>
    </row>
    <row r="767" spans="1:23" hidden="1">
      <c r="J767" s="1" t="str">
        <f t="shared" si="170"/>
        <v>0</v>
      </c>
      <c r="K767" s="3">
        <f t="shared" si="171"/>
        <v>-100</v>
      </c>
      <c r="L767" s="3">
        <f t="shared" si="172"/>
        <v>1</v>
      </c>
      <c r="M767" s="3">
        <f t="shared" si="173"/>
        <v>0</v>
      </c>
      <c r="N767" s="3" t="str">
        <f t="shared" si="174"/>
        <v>01</v>
      </c>
      <c r="O767" s="14" t="str">
        <f t="shared" si="175"/>
        <v>00</v>
      </c>
      <c r="R767" s="6">
        <v>523</v>
      </c>
      <c r="S767" s="5">
        <f t="shared" si="176"/>
        <v>0</v>
      </c>
    </row>
    <row r="768" spans="1:23" hidden="1">
      <c r="J768" s="1" t="str">
        <f t="shared" si="170"/>
        <v>0</v>
      </c>
      <c r="K768" s="3">
        <f t="shared" si="171"/>
        <v>-100</v>
      </c>
      <c r="L768" s="3">
        <f t="shared" si="172"/>
        <v>1</v>
      </c>
      <c r="M768" s="3">
        <f t="shared" si="173"/>
        <v>0</v>
      </c>
      <c r="N768" s="3" t="str">
        <f t="shared" si="174"/>
        <v>01</v>
      </c>
      <c r="O768" s="14" t="str">
        <f t="shared" si="175"/>
        <v>00</v>
      </c>
      <c r="R768" s="6">
        <v>523</v>
      </c>
      <c r="S768" s="5">
        <f t="shared" si="176"/>
        <v>0</v>
      </c>
    </row>
    <row r="769" spans="1:23" hidden="1">
      <c r="J769" s="1" t="str">
        <f t="shared" si="170"/>
        <v>0</v>
      </c>
      <c r="K769" s="3">
        <f t="shared" si="171"/>
        <v>-100</v>
      </c>
      <c r="L769" s="3">
        <f t="shared" si="172"/>
        <v>1</v>
      </c>
      <c r="M769" s="3">
        <f t="shared" si="173"/>
        <v>0</v>
      </c>
      <c r="N769" s="3" t="str">
        <f t="shared" si="174"/>
        <v>01</v>
      </c>
      <c r="O769" s="14" t="str">
        <f t="shared" si="175"/>
        <v>00</v>
      </c>
      <c r="R769" s="6">
        <v>523</v>
      </c>
      <c r="S769" s="5">
        <f t="shared" si="176"/>
        <v>0</v>
      </c>
    </row>
    <row r="770" spans="1:23" hidden="1">
      <c r="J770" s="1" t="str">
        <f t="shared" si="170"/>
        <v>0</v>
      </c>
      <c r="K770" s="3">
        <f t="shared" si="171"/>
        <v>-100</v>
      </c>
      <c r="L770" s="3">
        <f t="shared" si="172"/>
        <v>1</v>
      </c>
      <c r="M770" s="3">
        <f t="shared" si="173"/>
        <v>0</v>
      </c>
      <c r="N770" s="3" t="str">
        <f t="shared" si="174"/>
        <v>01</v>
      </c>
      <c r="O770" s="14" t="str">
        <f t="shared" si="175"/>
        <v>00</v>
      </c>
      <c r="R770" s="6">
        <v>523</v>
      </c>
      <c r="S770" s="5">
        <f t="shared" si="176"/>
        <v>0</v>
      </c>
    </row>
    <row r="771" spans="1:23" hidden="1">
      <c r="J771" s="1" t="str">
        <f t="shared" si="170"/>
        <v>0</v>
      </c>
      <c r="K771" s="3">
        <f t="shared" si="171"/>
        <v>-100</v>
      </c>
      <c r="L771" s="3">
        <f t="shared" si="172"/>
        <v>1</v>
      </c>
      <c r="M771" s="3">
        <f t="shared" si="173"/>
        <v>0</v>
      </c>
      <c r="N771" s="3" t="str">
        <f t="shared" si="174"/>
        <v>01</v>
      </c>
      <c r="O771" s="14" t="str">
        <f t="shared" si="175"/>
        <v>00</v>
      </c>
      <c r="R771" s="6">
        <v>523</v>
      </c>
      <c r="S771" s="5">
        <f t="shared" si="176"/>
        <v>0</v>
      </c>
    </row>
    <row r="772" spans="1:23" hidden="1">
      <c r="J772" s="1" t="str">
        <f t="shared" si="170"/>
        <v>0</v>
      </c>
      <c r="K772" s="3">
        <f t="shared" si="171"/>
        <v>-100</v>
      </c>
      <c r="L772" s="3">
        <f t="shared" si="172"/>
        <v>1</v>
      </c>
      <c r="M772" s="3">
        <f t="shared" si="173"/>
        <v>0</v>
      </c>
      <c r="N772" s="3" t="str">
        <f t="shared" si="174"/>
        <v>01</v>
      </c>
      <c r="O772" s="14" t="str">
        <f t="shared" si="175"/>
        <v>00</v>
      </c>
      <c r="R772" s="6">
        <v>531</v>
      </c>
      <c r="S772" s="5">
        <f t="shared" si="176"/>
        <v>0</v>
      </c>
    </row>
    <row r="773" spans="1:23" s="10" customFormat="1">
      <c r="A773" s="3">
        <v>605</v>
      </c>
      <c r="B773" s="1">
        <f>IF(G773="-",0,IF(G772=G773,1,0))</f>
        <v>0</v>
      </c>
      <c r="C773" s="1">
        <f>+IF(G773="-",0,IF(I773=I772+1,0,(IF(I773=1,0,1))))</f>
        <v>1</v>
      </c>
      <c r="D773" s="1">
        <f>+IF(AND(P773="",Q773=""),1,0)</f>
        <v>0</v>
      </c>
      <c r="E773" s="1">
        <f>IF(U773="",1,0)</f>
        <v>0</v>
      </c>
      <c r="F773" s="1">
        <f>IF(V773="",1,0)</f>
        <v>0</v>
      </c>
      <c r="G773" s="1" t="str">
        <f>IF(H773=0,"-",_xlfn.CONCAT(K773,N773,O773,J773))</f>
        <v>24052207</v>
      </c>
      <c r="H773" s="2">
        <v>45434</v>
      </c>
      <c r="I773" s="36">
        <v>7</v>
      </c>
      <c r="J773" s="1" t="str">
        <f t="shared" si="170"/>
        <v>07</v>
      </c>
      <c r="K773" s="3">
        <f t="shared" si="171"/>
        <v>24</v>
      </c>
      <c r="L773" s="3">
        <f t="shared" si="172"/>
        <v>5</v>
      </c>
      <c r="M773" s="3">
        <f t="shared" si="173"/>
        <v>22</v>
      </c>
      <c r="N773" s="3" t="str">
        <f t="shared" si="174"/>
        <v>05</v>
      </c>
      <c r="O773" s="14">
        <f t="shared" si="175"/>
        <v>22</v>
      </c>
      <c r="P773" s="4">
        <v>38442.6</v>
      </c>
      <c r="Q773" s="5"/>
      <c r="R773" s="6">
        <v>507</v>
      </c>
      <c r="S773" s="5">
        <f t="shared" si="176"/>
        <v>75.823668639053253</v>
      </c>
      <c r="T773" s="5" t="s">
        <v>200</v>
      </c>
      <c r="U773" s="3" t="s">
        <v>29</v>
      </c>
      <c r="V773" s="3" t="s">
        <v>4</v>
      </c>
      <c r="W773" s="3"/>
    </row>
    <row r="774" spans="1:23" s="10" customFormat="1">
      <c r="A774" s="3">
        <v>606</v>
      </c>
      <c r="B774" s="1">
        <f>IF(G774="-",0,IF(G773=G774,1,0))</f>
        <v>0</v>
      </c>
      <c r="C774" s="1">
        <f>+IF(G774="-",0,IF(I774=I773+1,0,(IF(I774=1,0,1))))</f>
        <v>0</v>
      </c>
      <c r="D774" s="1">
        <f>+IF(AND(P774="",Q774=""),1,0)</f>
        <v>0</v>
      </c>
      <c r="E774" s="1">
        <f>IF(U774="",1,0)</f>
        <v>0</v>
      </c>
      <c r="F774" s="1">
        <f>IF(V774="",1,0)</f>
        <v>0</v>
      </c>
      <c r="G774" s="1" t="str">
        <f>IF(H774=0,"-",_xlfn.CONCAT(K774,N774,O774,J774))</f>
        <v>24052208</v>
      </c>
      <c r="H774" s="2">
        <v>45434</v>
      </c>
      <c r="I774" s="36">
        <v>8</v>
      </c>
      <c r="J774" s="1" t="str">
        <f t="shared" si="170"/>
        <v>08</v>
      </c>
      <c r="K774" s="3">
        <f t="shared" si="171"/>
        <v>24</v>
      </c>
      <c r="L774" s="3">
        <f t="shared" si="172"/>
        <v>5</v>
      </c>
      <c r="M774" s="3">
        <f t="shared" si="173"/>
        <v>22</v>
      </c>
      <c r="N774" s="3" t="str">
        <f t="shared" si="174"/>
        <v>05</v>
      </c>
      <c r="O774" s="14">
        <f t="shared" si="175"/>
        <v>22</v>
      </c>
      <c r="P774" s="4">
        <v>569.52</v>
      </c>
      <c r="Q774" s="5"/>
      <c r="R774" s="6">
        <v>507</v>
      </c>
      <c r="S774" s="5">
        <f t="shared" si="176"/>
        <v>1.1233136094674556</v>
      </c>
      <c r="T774" s="5" t="s">
        <v>201</v>
      </c>
      <c r="U774" s="3" t="s">
        <v>29</v>
      </c>
      <c r="V774" s="3" t="s">
        <v>4</v>
      </c>
      <c r="W774" s="3"/>
    </row>
    <row r="775" spans="1:23" s="10" customFormat="1" hidden="1">
      <c r="A775" s="3"/>
      <c r="B775" s="1"/>
      <c r="C775" s="1"/>
      <c r="D775" s="1"/>
      <c r="E775" s="1"/>
      <c r="F775" s="1"/>
      <c r="G775" s="1"/>
      <c r="H775" s="2"/>
      <c r="I775" s="36"/>
      <c r="J775" s="1" t="str">
        <f t="shared" si="170"/>
        <v>0</v>
      </c>
      <c r="K775" s="3">
        <f t="shared" si="171"/>
        <v>-100</v>
      </c>
      <c r="L775" s="3">
        <f t="shared" si="172"/>
        <v>1</v>
      </c>
      <c r="M775" s="3">
        <f t="shared" si="173"/>
        <v>0</v>
      </c>
      <c r="N775" s="3" t="str">
        <f t="shared" si="174"/>
        <v>01</v>
      </c>
      <c r="O775" s="14" t="str">
        <f t="shared" si="175"/>
        <v>00</v>
      </c>
      <c r="P775" s="4"/>
      <c r="Q775" s="5"/>
      <c r="R775" s="6">
        <v>531</v>
      </c>
      <c r="S775" s="5">
        <f t="shared" si="176"/>
        <v>0</v>
      </c>
      <c r="T775" s="5"/>
      <c r="U775" s="3"/>
      <c r="V775" s="3"/>
      <c r="W775" s="3"/>
    </row>
    <row r="776" spans="1:23" s="10" customFormat="1" hidden="1">
      <c r="A776" s="3"/>
      <c r="B776" s="1"/>
      <c r="C776" s="1"/>
      <c r="D776" s="1"/>
      <c r="E776" s="1"/>
      <c r="F776" s="1"/>
      <c r="G776" s="1"/>
      <c r="H776" s="2"/>
      <c r="I776" s="36"/>
      <c r="J776" s="1" t="str">
        <f t="shared" si="170"/>
        <v>0</v>
      </c>
      <c r="K776" s="3">
        <f t="shared" si="171"/>
        <v>-100</v>
      </c>
      <c r="L776" s="3">
        <f t="shared" si="172"/>
        <v>1</v>
      </c>
      <c r="M776" s="3">
        <f t="shared" si="173"/>
        <v>0</v>
      </c>
      <c r="N776" s="3" t="str">
        <f t="shared" si="174"/>
        <v>01</v>
      </c>
      <c r="O776" s="14" t="str">
        <f t="shared" si="175"/>
        <v>00</v>
      </c>
      <c r="P776" s="4"/>
      <c r="Q776" s="5"/>
      <c r="R776" s="6">
        <v>531</v>
      </c>
      <c r="S776" s="5">
        <f t="shared" si="176"/>
        <v>0</v>
      </c>
      <c r="T776" s="5"/>
      <c r="U776" s="3"/>
      <c r="V776" s="3"/>
      <c r="W776" s="3"/>
    </row>
    <row r="777" spans="1:23" s="10" customFormat="1" hidden="1">
      <c r="A777" s="3"/>
      <c r="B777" s="1"/>
      <c r="C777" s="1"/>
      <c r="D777" s="1"/>
      <c r="E777" s="1"/>
      <c r="F777" s="1"/>
      <c r="G777" s="1"/>
      <c r="H777" s="2"/>
      <c r="I777" s="36"/>
      <c r="J777" s="1" t="str">
        <f t="shared" si="170"/>
        <v>0</v>
      </c>
      <c r="K777" s="3">
        <f t="shared" si="171"/>
        <v>-100</v>
      </c>
      <c r="L777" s="3">
        <f t="shared" si="172"/>
        <v>1</v>
      </c>
      <c r="M777" s="3">
        <f t="shared" si="173"/>
        <v>0</v>
      </c>
      <c r="N777" s="3" t="str">
        <f t="shared" si="174"/>
        <v>01</v>
      </c>
      <c r="O777" s="14" t="str">
        <f t="shared" si="175"/>
        <v>00</v>
      </c>
      <c r="P777" s="4"/>
      <c r="Q777" s="5"/>
      <c r="R777" s="6">
        <v>531</v>
      </c>
      <c r="S777" s="5">
        <f t="shared" si="176"/>
        <v>0</v>
      </c>
      <c r="T777" s="5"/>
      <c r="U777" s="3"/>
      <c r="V777" s="3"/>
      <c r="W777" s="3"/>
    </row>
    <row r="778" spans="1:23" s="10" customFormat="1" hidden="1">
      <c r="A778" s="3"/>
      <c r="B778" s="1"/>
      <c r="C778" s="1"/>
      <c r="D778" s="1"/>
      <c r="E778" s="1"/>
      <c r="F778" s="1"/>
      <c r="G778" s="1"/>
      <c r="H778" s="2"/>
      <c r="I778" s="36"/>
      <c r="J778" s="1" t="str">
        <f t="shared" si="170"/>
        <v>0</v>
      </c>
      <c r="K778" s="3">
        <f t="shared" si="171"/>
        <v>-100</v>
      </c>
      <c r="L778" s="3">
        <f t="shared" si="172"/>
        <v>1</v>
      </c>
      <c r="M778" s="3">
        <f t="shared" si="173"/>
        <v>0</v>
      </c>
      <c r="N778" s="3" t="str">
        <f t="shared" si="174"/>
        <v>01</v>
      </c>
      <c r="O778" s="14" t="str">
        <f t="shared" si="175"/>
        <v>00</v>
      </c>
      <c r="P778" s="4"/>
      <c r="Q778" s="5"/>
      <c r="R778" s="6">
        <v>531</v>
      </c>
      <c r="S778" s="5">
        <f t="shared" si="176"/>
        <v>0</v>
      </c>
      <c r="T778" s="5"/>
      <c r="U778" s="3"/>
      <c r="V778" s="3"/>
      <c r="W778" s="3"/>
    </row>
    <row r="779" spans="1:23" s="10" customFormat="1" hidden="1">
      <c r="A779" s="3"/>
      <c r="B779" s="1"/>
      <c r="C779" s="1"/>
      <c r="D779" s="1"/>
      <c r="E779" s="1"/>
      <c r="F779" s="1"/>
      <c r="G779" s="1"/>
      <c r="H779" s="2"/>
      <c r="I779" s="36"/>
      <c r="J779" s="1" t="str">
        <f t="shared" si="170"/>
        <v>0</v>
      </c>
      <c r="K779" s="3">
        <f t="shared" si="171"/>
        <v>-100</v>
      </c>
      <c r="L779" s="3">
        <f t="shared" si="172"/>
        <v>1</v>
      </c>
      <c r="M779" s="3">
        <f t="shared" si="173"/>
        <v>0</v>
      </c>
      <c r="N779" s="3" t="str">
        <f t="shared" si="174"/>
        <v>01</v>
      </c>
      <c r="O779" s="14" t="str">
        <f t="shared" si="175"/>
        <v>00</v>
      </c>
      <c r="P779" s="4"/>
      <c r="Q779" s="5"/>
      <c r="R779" s="6">
        <v>531</v>
      </c>
      <c r="S779" s="5">
        <f t="shared" si="176"/>
        <v>0</v>
      </c>
      <c r="T779" s="5"/>
      <c r="U779" s="3"/>
      <c r="V779" s="3"/>
      <c r="W779" s="3"/>
    </row>
    <row r="780" spans="1:23" s="10" customFormat="1" hidden="1">
      <c r="A780" s="3"/>
      <c r="B780" s="1"/>
      <c r="C780" s="1"/>
      <c r="D780" s="1"/>
      <c r="E780" s="1"/>
      <c r="F780" s="1"/>
      <c r="G780" s="1"/>
      <c r="H780" s="2"/>
      <c r="I780" s="36"/>
      <c r="J780" s="1" t="str">
        <f t="shared" si="170"/>
        <v>0</v>
      </c>
      <c r="K780" s="3">
        <f t="shared" si="171"/>
        <v>-100</v>
      </c>
      <c r="L780" s="3">
        <f t="shared" si="172"/>
        <v>1</v>
      </c>
      <c r="M780" s="3">
        <f t="shared" si="173"/>
        <v>0</v>
      </c>
      <c r="N780" s="3" t="str">
        <f t="shared" si="174"/>
        <v>01</v>
      </c>
      <c r="O780" s="14" t="str">
        <f t="shared" si="175"/>
        <v>00</v>
      </c>
      <c r="P780" s="4"/>
      <c r="Q780" s="5"/>
      <c r="R780" s="6"/>
      <c r="S780" s="5" t="str">
        <f t="shared" si="176"/>
        <v/>
      </c>
      <c r="T780" s="5"/>
      <c r="U780" s="3"/>
      <c r="V780" s="3"/>
      <c r="W780" s="3"/>
    </row>
    <row r="781" spans="1:23" s="10" customFormat="1" hidden="1">
      <c r="A781" s="3"/>
      <c r="B781" s="1"/>
      <c r="C781" s="1"/>
      <c r="D781" s="1"/>
      <c r="E781" s="1"/>
      <c r="F781" s="1"/>
      <c r="G781" s="1"/>
      <c r="H781" s="2"/>
      <c r="I781" s="36"/>
      <c r="J781" s="1" t="str">
        <f t="shared" si="170"/>
        <v>0</v>
      </c>
      <c r="K781" s="3">
        <f t="shared" si="171"/>
        <v>-100</v>
      </c>
      <c r="L781" s="3">
        <f t="shared" si="172"/>
        <v>1</v>
      </c>
      <c r="M781" s="3">
        <f t="shared" si="173"/>
        <v>0</v>
      </c>
      <c r="N781" s="3" t="str">
        <f t="shared" si="174"/>
        <v>01</v>
      </c>
      <c r="O781" s="14" t="str">
        <f t="shared" si="175"/>
        <v>00</v>
      </c>
      <c r="P781" s="4"/>
      <c r="Q781" s="5"/>
      <c r="R781" s="6">
        <v>501</v>
      </c>
      <c r="S781" s="5">
        <f t="shared" si="176"/>
        <v>0</v>
      </c>
      <c r="T781" s="5"/>
      <c r="U781" s="3"/>
      <c r="V781" s="3"/>
      <c r="W781" s="3"/>
    </row>
    <row r="782" spans="1:23" s="10" customFormat="1" hidden="1">
      <c r="A782" s="3"/>
      <c r="B782" s="1"/>
      <c r="C782" s="1"/>
      <c r="D782" s="1"/>
      <c r="E782" s="1"/>
      <c r="F782" s="1"/>
      <c r="G782" s="1"/>
      <c r="H782" s="2"/>
      <c r="I782" s="36"/>
      <c r="J782" s="1" t="str">
        <f t="shared" si="170"/>
        <v>0</v>
      </c>
      <c r="K782" s="3">
        <f t="shared" si="171"/>
        <v>-100</v>
      </c>
      <c r="L782" s="3">
        <f t="shared" si="172"/>
        <v>1</v>
      </c>
      <c r="M782" s="3">
        <f t="shared" si="173"/>
        <v>0</v>
      </c>
      <c r="N782" s="3" t="str">
        <f t="shared" si="174"/>
        <v>01</v>
      </c>
      <c r="O782" s="14" t="str">
        <f t="shared" si="175"/>
        <v>00</v>
      </c>
      <c r="P782" s="4"/>
      <c r="Q782" s="5"/>
      <c r="R782" s="6">
        <v>531</v>
      </c>
      <c r="S782" s="5">
        <f t="shared" si="176"/>
        <v>0</v>
      </c>
      <c r="T782" s="5"/>
      <c r="U782" s="3"/>
      <c r="V782" s="3"/>
      <c r="W782" s="3"/>
    </row>
    <row r="783" spans="1:23" s="10" customFormat="1" hidden="1">
      <c r="A783" s="3"/>
      <c r="B783" s="1"/>
      <c r="C783" s="1"/>
      <c r="D783" s="1"/>
      <c r="E783" s="1"/>
      <c r="F783" s="1"/>
      <c r="G783" s="1"/>
      <c r="H783" s="2"/>
      <c r="I783" s="36"/>
      <c r="J783" s="1" t="str">
        <f t="shared" si="170"/>
        <v>0</v>
      </c>
      <c r="K783" s="3">
        <f t="shared" si="171"/>
        <v>-100</v>
      </c>
      <c r="L783" s="3">
        <f t="shared" si="172"/>
        <v>1</v>
      </c>
      <c r="M783" s="3">
        <f t="shared" si="173"/>
        <v>0</v>
      </c>
      <c r="N783" s="3" t="str">
        <f t="shared" si="174"/>
        <v>01</v>
      </c>
      <c r="O783" s="14" t="str">
        <f t="shared" si="175"/>
        <v>00</v>
      </c>
      <c r="P783" s="4"/>
      <c r="Q783" s="5"/>
      <c r="R783" s="6">
        <v>531</v>
      </c>
      <c r="S783" s="5">
        <f t="shared" si="176"/>
        <v>0</v>
      </c>
      <c r="T783" s="5"/>
      <c r="U783" s="3"/>
      <c r="V783" s="3"/>
      <c r="W783" s="3"/>
    </row>
    <row r="784" spans="1:23" s="10" customFormat="1">
      <c r="A784" s="3">
        <v>607</v>
      </c>
      <c r="B784" s="1">
        <f>IF(G784="-",0,IF(G783=G784,1,0))</f>
        <v>0</v>
      </c>
      <c r="C784" s="1">
        <f>+IF(G784="-",0,IF(I784=I783+1,0,(IF(I784=1,0,1))))</f>
        <v>1</v>
      </c>
      <c r="D784" s="1">
        <f>+IF(AND(P784="",Q784=""),1,0)</f>
        <v>0</v>
      </c>
      <c r="E784" s="1">
        <f>IF(U784="",1,0)</f>
        <v>0</v>
      </c>
      <c r="F784" s="1">
        <f>IF(V784="",1,0)</f>
        <v>0</v>
      </c>
      <c r="G784" s="1" t="str">
        <f>IF(H784=0,"-",_xlfn.CONCAT(K784,N784,O784,J784))</f>
        <v>24052209</v>
      </c>
      <c r="H784" s="2">
        <v>45434</v>
      </c>
      <c r="I784" s="36">
        <v>9</v>
      </c>
      <c r="J784" s="1" t="str">
        <f t="shared" si="170"/>
        <v>09</v>
      </c>
      <c r="K784" s="3">
        <f t="shared" si="171"/>
        <v>24</v>
      </c>
      <c r="L784" s="3">
        <f t="shared" si="172"/>
        <v>5</v>
      </c>
      <c r="M784" s="3">
        <f t="shared" si="173"/>
        <v>22</v>
      </c>
      <c r="N784" s="3" t="str">
        <f t="shared" si="174"/>
        <v>05</v>
      </c>
      <c r="O784" s="14">
        <f t="shared" si="175"/>
        <v>22</v>
      </c>
      <c r="P784" s="4">
        <v>320028.90999999997</v>
      </c>
      <c r="Q784" s="5"/>
      <c r="R784" s="6">
        <v>507</v>
      </c>
      <c r="S784" s="5">
        <f t="shared" si="176"/>
        <v>631.22072978303743</v>
      </c>
      <c r="T784" s="5" t="s">
        <v>202</v>
      </c>
      <c r="U784" s="3" t="s">
        <v>1</v>
      </c>
      <c r="V784" s="3" t="s">
        <v>4</v>
      </c>
      <c r="W784" s="3"/>
    </row>
    <row r="785" spans="1:23" s="10" customFormat="1">
      <c r="A785" s="3">
        <v>609</v>
      </c>
      <c r="B785" s="1">
        <f>IF(G785="-",0,IF(G784=G785,1,0))</f>
        <v>0</v>
      </c>
      <c r="C785" s="1">
        <f>+IF(G785="-",0,IF(I785=I784+1,0,(IF(I785=1,0,1))))</f>
        <v>1</v>
      </c>
      <c r="D785" s="1">
        <f>+IF(AND(P785="",Q785=""),1,0)</f>
        <v>0</v>
      </c>
      <c r="E785" s="1">
        <f>IF(U785="",1,0)</f>
        <v>0</v>
      </c>
      <c r="F785" s="1">
        <f>IF(V785="",1,0)</f>
        <v>0</v>
      </c>
      <c r="G785" s="1" t="str">
        <f>IF(H785=0,"-",_xlfn.CONCAT(K785,N785,O785,J785))</f>
        <v>24052211</v>
      </c>
      <c r="H785" s="2">
        <v>45434</v>
      </c>
      <c r="I785" s="36">
        <v>11</v>
      </c>
      <c r="J785" s="1">
        <f t="shared" si="170"/>
        <v>11</v>
      </c>
      <c r="K785" s="3">
        <f t="shared" si="171"/>
        <v>24</v>
      </c>
      <c r="L785" s="3">
        <f t="shared" si="172"/>
        <v>5</v>
      </c>
      <c r="M785" s="3">
        <f t="shared" si="173"/>
        <v>22</v>
      </c>
      <c r="N785" s="3" t="str">
        <f t="shared" si="174"/>
        <v>05</v>
      </c>
      <c r="O785" s="14">
        <f t="shared" si="175"/>
        <v>22</v>
      </c>
      <c r="P785" s="4">
        <v>400000</v>
      </c>
      <c r="Q785" s="5"/>
      <c r="R785" s="6">
        <v>507</v>
      </c>
      <c r="S785" s="5">
        <f t="shared" si="176"/>
        <v>788.95463510848128</v>
      </c>
      <c r="T785" s="5" t="s">
        <v>203</v>
      </c>
      <c r="U785" s="3" t="s">
        <v>3</v>
      </c>
      <c r="V785" s="3" t="s">
        <v>4</v>
      </c>
      <c r="W785" s="3"/>
    </row>
    <row r="786" spans="1:23" s="10" customFormat="1" hidden="1">
      <c r="A786" s="3"/>
      <c r="B786" s="1"/>
      <c r="C786" s="1"/>
      <c r="D786" s="1"/>
      <c r="E786" s="1"/>
      <c r="F786" s="1"/>
      <c r="G786" s="1"/>
      <c r="H786" s="2"/>
      <c r="I786" s="36"/>
      <c r="J786" s="1" t="str">
        <f t="shared" si="170"/>
        <v>0</v>
      </c>
      <c r="K786" s="3">
        <f t="shared" si="171"/>
        <v>-100</v>
      </c>
      <c r="L786" s="3">
        <f t="shared" si="172"/>
        <v>1</v>
      </c>
      <c r="M786" s="3">
        <f t="shared" si="173"/>
        <v>0</v>
      </c>
      <c r="N786" s="3" t="str">
        <f t="shared" si="174"/>
        <v>01</v>
      </c>
      <c r="O786" s="14" t="str">
        <f t="shared" si="175"/>
        <v>00</v>
      </c>
      <c r="P786" s="4"/>
      <c r="Q786" s="5"/>
      <c r="R786" s="6">
        <v>523</v>
      </c>
      <c r="S786" s="5">
        <f t="shared" si="176"/>
        <v>0</v>
      </c>
      <c r="T786" s="5"/>
      <c r="U786" s="3"/>
      <c r="V786" s="3"/>
      <c r="W786" s="3"/>
    </row>
    <row r="787" spans="1:23" s="10" customFormat="1">
      <c r="A787" s="3">
        <v>611</v>
      </c>
      <c r="B787" s="1">
        <f>IF(G787="-",0,IF(G785=G787,1,0))</f>
        <v>0</v>
      </c>
      <c r="C787" s="1">
        <f>+IF(G787="-",0,IF(I787=I785+1,0,(IF(I787=1,0,1))))</f>
        <v>0</v>
      </c>
      <c r="D787" s="1">
        <f>+IF(AND(P787="",Q787=""),1,0)</f>
        <v>0</v>
      </c>
      <c r="E787" s="1">
        <f t="shared" ref="E787:F789" si="177">IF(U787="",1,0)</f>
        <v>0</v>
      </c>
      <c r="F787" s="1">
        <f t="shared" si="177"/>
        <v>0</v>
      </c>
      <c r="G787" s="1" t="str">
        <f>IF(H787=0,"-",_xlfn.CONCAT(K787,N787,O787,J787))</f>
        <v>24052212</v>
      </c>
      <c r="H787" s="2">
        <v>45434</v>
      </c>
      <c r="I787" s="36">
        <v>12</v>
      </c>
      <c r="J787" s="1">
        <f t="shared" si="170"/>
        <v>12</v>
      </c>
      <c r="K787" s="3">
        <f t="shared" si="171"/>
        <v>24</v>
      </c>
      <c r="L787" s="3">
        <f t="shared" si="172"/>
        <v>5</v>
      </c>
      <c r="M787" s="3">
        <f t="shared" si="173"/>
        <v>22</v>
      </c>
      <c r="N787" s="3" t="str">
        <f t="shared" si="174"/>
        <v>05</v>
      </c>
      <c r="O787" s="14">
        <f t="shared" si="175"/>
        <v>22</v>
      </c>
      <c r="P787" s="4">
        <v>1000000</v>
      </c>
      <c r="Q787" s="5"/>
      <c r="R787" s="6">
        <v>507</v>
      </c>
      <c r="S787" s="5">
        <f t="shared" si="176"/>
        <v>1972.3865877712033</v>
      </c>
      <c r="T787" s="5" t="s">
        <v>204</v>
      </c>
      <c r="U787" s="3" t="s">
        <v>1</v>
      </c>
      <c r="V787" s="3" t="s">
        <v>4</v>
      </c>
      <c r="W787" s="3"/>
    </row>
    <row r="788" spans="1:23" s="10" customFormat="1">
      <c r="A788" s="3">
        <v>614</v>
      </c>
      <c r="B788" s="1">
        <f>IF(G788="-",0,IF(G787=G788,1,0))</f>
        <v>0</v>
      </c>
      <c r="C788" s="1">
        <f>+IF(G788="-",0,IF(I788=I787+1,0,(IF(I788=1,0,1))))</f>
        <v>0</v>
      </c>
      <c r="D788" s="1">
        <f>+IF(AND(P788="",Q788=""),1,0)</f>
        <v>0</v>
      </c>
      <c r="E788" s="1">
        <f t="shared" si="177"/>
        <v>0</v>
      </c>
      <c r="F788" s="1">
        <f t="shared" si="177"/>
        <v>0</v>
      </c>
      <c r="G788" s="1" t="str">
        <f>IF(H788=0,"-",_xlfn.CONCAT(K788,N788,O788,J788))</f>
        <v>24052301</v>
      </c>
      <c r="H788" s="2">
        <v>45435</v>
      </c>
      <c r="I788" s="36">
        <v>1</v>
      </c>
      <c r="J788" s="1" t="str">
        <f t="shared" si="170"/>
        <v>01</v>
      </c>
      <c r="K788" s="3">
        <f t="shared" si="171"/>
        <v>24</v>
      </c>
      <c r="L788" s="3">
        <f t="shared" si="172"/>
        <v>5</v>
      </c>
      <c r="M788" s="3">
        <f t="shared" si="173"/>
        <v>23</v>
      </c>
      <c r="N788" s="3" t="str">
        <f t="shared" si="174"/>
        <v>05</v>
      </c>
      <c r="O788" s="14">
        <f t="shared" si="175"/>
        <v>23</v>
      </c>
      <c r="P788" s="4">
        <v>41918.300000000003</v>
      </c>
      <c r="Q788" s="5"/>
      <c r="R788" s="6">
        <v>508</v>
      </c>
      <c r="S788" s="5">
        <f t="shared" si="176"/>
        <v>82.516338582677164</v>
      </c>
      <c r="T788" s="5" t="s">
        <v>87</v>
      </c>
      <c r="U788" s="3" t="s">
        <v>29</v>
      </c>
      <c r="V788" s="3" t="s">
        <v>4</v>
      </c>
      <c r="W788" s="3"/>
    </row>
    <row r="789" spans="1:23">
      <c r="A789" s="3">
        <v>618</v>
      </c>
      <c r="B789" s="1">
        <f>IF(G789="-",0,IF(G788=G789,1,0))</f>
        <v>0</v>
      </c>
      <c r="C789" s="1">
        <f>+IF(G789="-",0,IF(I789=I788+1,0,(IF(I789=1,0,1))))</f>
        <v>1</v>
      </c>
      <c r="D789" s="1">
        <f>+IF(AND(P789="",Q789=""),1,0)</f>
        <v>0</v>
      </c>
      <c r="E789" s="1">
        <f t="shared" si="177"/>
        <v>0</v>
      </c>
      <c r="F789" s="1">
        <f t="shared" si="177"/>
        <v>0</v>
      </c>
      <c r="G789" s="1" t="str">
        <f>IF(H789=0,"-",_xlfn.CONCAT(K789,N789,O789,J789))</f>
        <v>24052305</v>
      </c>
      <c r="H789" s="2">
        <v>45435</v>
      </c>
      <c r="I789" s="36">
        <v>5</v>
      </c>
      <c r="J789" s="1" t="str">
        <f t="shared" si="170"/>
        <v>05</v>
      </c>
      <c r="K789" s="3">
        <f t="shared" si="171"/>
        <v>24</v>
      </c>
      <c r="L789" s="3">
        <f t="shared" si="172"/>
        <v>5</v>
      </c>
      <c r="M789" s="3">
        <f t="shared" si="173"/>
        <v>23</v>
      </c>
      <c r="N789" s="3" t="str">
        <f t="shared" si="174"/>
        <v>05</v>
      </c>
      <c r="O789" s="14">
        <f t="shared" si="175"/>
        <v>23</v>
      </c>
      <c r="P789" s="4">
        <v>141250</v>
      </c>
      <c r="R789" s="6">
        <v>508</v>
      </c>
      <c r="S789" s="5">
        <f t="shared" si="176"/>
        <v>278.05118110236219</v>
      </c>
      <c r="T789" s="5" t="s">
        <v>228</v>
      </c>
      <c r="U789" s="3" t="s">
        <v>1</v>
      </c>
      <c r="V789" s="3" t="s">
        <v>4</v>
      </c>
    </row>
    <row r="790" spans="1:23" hidden="1">
      <c r="J790" s="1" t="str">
        <f t="shared" si="170"/>
        <v>0</v>
      </c>
      <c r="K790" s="3">
        <f t="shared" si="171"/>
        <v>-100</v>
      </c>
      <c r="L790" s="3">
        <f t="shared" si="172"/>
        <v>1</v>
      </c>
      <c r="M790" s="3">
        <f t="shared" si="173"/>
        <v>0</v>
      </c>
      <c r="N790" s="3" t="str">
        <f t="shared" si="174"/>
        <v>01</v>
      </c>
      <c r="O790" s="14" t="str">
        <f t="shared" si="175"/>
        <v>00</v>
      </c>
      <c r="R790" s="6">
        <v>523</v>
      </c>
      <c r="S790" s="5">
        <f t="shared" si="176"/>
        <v>0</v>
      </c>
    </row>
    <row r="791" spans="1:23">
      <c r="A791" s="3">
        <v>619</v>
      </c>
      <c r="B791" s="1">
        <f>IF(G791="-",0,IF(G790=G791,1,0))</f>
        <v>0</v>
      </c>
      <c r="C791" s="1">
        <f>+IF(G791="-",0,IF(I791=I790+1,0,(IF(I791=1,0,1))))</f>
        <v>1</v>
      </c>
      <c r="D791" s="1">
        <f>+IF(AND(P791="",Q791=""),1,0)</f>
        <v>0</v>
      </c>
      <c r="E791" s="1">
        <f>IF(U791="",1,0)</f>
        <v>0</v>
      </c>
      <c r="F791" s="1">
        <f>IF(V791="",1,0)</f>
        <v>0</v>
      </c>
      <c r="G791" s="1" t="str">
        <f>IF(H791=0,"-",_xlfn.CONCAT(K791,N791,O791,J791))</f>
        <v>24052306</v>
      </c>
      <c r="H791" s="2">
        <v>45435</v>
      </c>
      <c r="I791" s="36">
        <v>6</v>
      </c>
      <c r="J791" s="1" t="str">
        <f t="shared" si="170"/>
        <v>06</v>
      </c>
      <c r="K791" s="3">
        <f t="shared" si="171"/>
        <v>24</v>
      </c>
      <c r="L791" s="3">
        <f t="shared" si="172"/>
        <v>5</v>
      </c>
      <c r="M791" s="3">
        <f t="shared" si="173"/>
        <v>23</v>
      </c>
      <c r="N791" s="3" t="str">
        <f t="shared" si="174"/>
        <v>05</v>
      </c>
      <c r="O791" s="14">
        <f t="shared" si="175"/>
        <v>23</v>
      </c>
      <c r="P791" s="4">
        <v>300000</v>
      </c>
      <c r="R791" s="6">
        <v>508</v>
      </c>
      <c r="S791" s="5">
        <f t="shared" si="176"/>
        <v>590.55118110236219</v>
      </c>
      <c r="T791" s="5" t="s">
        <v>229</v>
      </c>
      <c r="U791" s="3" t="s">
        <v>1</v>
      </c>
      <c r="V791" s="3" t="s">
        <v>4</v>
      </c>
    </row>
    <row r="792" spans="1:23" hidden="1">
      <c r="J792" s="1" t="str">
        <f t="shared" si="170"/>
        <v>0</v>
      </c>
      <c r="K792" s="3">
        <f t="shared" si="171"/>
        <v>-100</v>
      </c>
      <c r="L792" s="3">
        <f t="shared" si="172"/>
        <v>1</v>
      </c>
      <c r="M792" s="3">
        <f t="shared" si="173"/>
        <v>0</v>
      </c>
      <c r="N792" s="3" t="str">
        <f t="shared" si="174"/>
        <v>01</v>
      </c>
      <c r="O792" s="14" t="str">
        <f t="shared" si="175"/>
        <v>00</v>
      </c>
      <c r="R792" s="6">
        <v>523</v>
      </c>
      <c r="S792" s="5">
        <f t="shared" si="176"/>
        <v>0</v>
      </c>
    </row>
    <row r="793" spans="1:23">
      <c r="A793" s="3">
        <v>620</v>
      </c>
      <c r="B793" s="1">
        <f t="shared" ref="B793:B798" si="178">IF(G793="-",0,IF(G792=G793,1,0))</f>
        <v>0</v>
      </c>
      <c r="C793" s="1">
        <f t="shared" ref="C793:C798" si="179">+IF(G793="-",0,IF(I793=I792+1,0,(IF(I793=1,0,1))))</f>
        <v>0</v>
      </c>
      <c r="D793" s="1">
        <f t="shared" ref="D793:D798" si="180">+IF(AND(P793="",Q793=""),1,0)</f>
        <v>0</v>
      </c>
      <c r="E793" s="1">
        <f t="shared" ref="E793:F798" si="181">IF(U793="",1,0)</f>
        <v>0</v>
      </c>
      <c r="F793" s="1">
        <f t="shared" si="181"/>
        <v>0</v>
      </c>
      <c r="G793" s="1" t="str">
        <f t="shared" ref="G793:G798" si="182">IF(H793=0,"-",_xlfn.CONCAT(K793,N793,O793,J793))</f>
        <v>24052401</v>
      </c>
      <c r="H793" s="2">
        <v>45436</v>
      </c>
      <c r="I793" s="36">
        <v>1</v>
      </c>
      <c r="J793" s="1" t="str">
        <f t="shared" si="170"/>
        <v>01</v>
      </c>
      <c r="K793" s="3">
        <f t="shared" si="171"/>
        <v>24</v>
      </c>
      <c r="L793" s="3">
        <f t="shared" si="172"/>
        <v>5</v>
      </c>
      <c r="M793" s="3">
        <f t="shared" si="173"/>
        <v>24</v>
      </c>
      <c r="N793" s="3" t="str">
        <f t="shared" si="174"/>
        <v>05</v>
      </c>
      <c r="O793" s="14">
        <f t="shared" si="175"/>
        <v>24</v>
      </c>
      <c r="P793" s="4">
        <v>8792.59</v>
      </c>
      <c r="R793" s="6">
        <v>512</v>
      </c>
      <c r="S793" s="5">
        <f t="shared" ref="S793:S824" si="183">IFERROR(P793/R793,"")</f>
        <v>17.17302734375</v>
      </c>
      <c r="T793" s="5" t="s">
        <v>213</v>
      </c>
      <c r="U793" s="3" t="s">
        <v>29</v>
      </c>
      <c r="V793" s="3" t="s">
        <v>4</v>
      </c>
    </row>
    <row r="794" spans="1:23">
      <c r="A794" s="3">
        <v>625</v>
      </c>
      <c r="B794" s="1">
        <f t="shared" si="178"/>
        <v>0</v>
      </c>
      <c r="C794" s="1">
        <f t="shared" si="179"/>
        <v>1</v>
      </c>
      <c r="D794" s="1">
        <f t="shared" si="180"/>
        <v>0</v>
      </c>
      <c r="E794" s="1">
        <f t="shared" si="181"/>
        <v>0</v>
      </c>
      <c r="F794" s="1">
        <f t="shared" si="181"/>
        <v>0</v>
      </c>
      <c r="G794" s="1" t="str">
        <f t="shared" si="182"/>
        <v>24052406</v>
      </c>
      <c r="H794" s="2">
        <v>45436</v>
      </c>
      <c r="I794" s="36">
        <v>6</v>
      </c>
      <c r="J794" s="1" t="str">
        <f t="shared" si="170"/>
        <v>06</v>
      </c>
      <c r="K794" s="3">
        <f t="shared" si="171"/>
        <v>24</v>
      </c>
      <c r="L794" s="3">
        <f t="shared" si="172"/>
        <v>5</v>
      </c>
      <c r="M794" s="3">
        <f t="shared" si="173"/>
        <v>24</v>
      </c>
      <c r="N794" s="3" t="str">
        <f t="shared" si="174"/>
        <v>05</v>
      </c>
      <c r="O794" s="14">
        <f t="shared" si="175"/>
        <v>24</v>
      </c>
      <c r="P794" s="4">
        <v>34323.75</v>
      </c>
      <c r="R794" s="6">
        <v>512</v>
      </c>
      <c r="S794" s="5">
        <f t="shared" si="183"/>
        <v>67.03857421875</v>
      </c>
      <c r="T794" s="5" t="s">
        <v>268</v>
      </c>
      <c r="U794" s="3" t="s">
        <v>29</v>
      </c>
      <c r="V794" s="3" t="s">
        <v>4</v>
      </c>
    </row>
    <row r="795" spans="1:23">
      <c r="A795" s="3">
        <v>626</v>
      </c>
      <c r="B795" s="1">
        <f t="shared" si="178"/>
        <v>0</v>
      </c>
      <c r="C795" s="1">
        <f t="shared" si="179"/>
        <v>0</v>
      </c>
      <c r="D795" s="1">
        <f t="shared" si="180"/>
        <v>0</v>
      </c>
      <c r="E795" s="1">
        <f t="shared" si="181"/>
        <v>0</v>
      </c>
      <c r="F795" s="1">
        <f t="shared" si="181"/>
        <v>0</v>
      </c>
      <c r="G795" s="1" t="str">
        <f t="shared" si="182"/>
        <v>24052501</v>
      </c>
      <c r="H795" s="2">
        <v>45437</v>
      </c>
      <c r="I795" s="36">
        <v>1</v>
      </c>
      <c r="J795" s="1" t="str">
        <f t="shared" si="170"/>
        <v>01</v>
      </c>
      <c r="K795" s="3">
        <f t="shared" si="171"/>
        <v>24</v>
      </c>
      <c r="L795" s="3">
        <f t="shared" si="172"/>
        <v>5</v>
      </c>
      <c r="M795" s="3">
        <f t="shared" si="173"/>
        <v>25</v>
      </c>
      <c r="N795" s="3" t="str">
        <f t="shared" si="174"/>
        <v>05</v>
      </c>
      <c r="O795" s="14">
        <f t="shared" si="175"/>
        <v>25</v>
      </c>
      <c r="P795" s="4">
        <v>319774.57</v>
      </c>
      <c r="R795" s="6">
        <v>512</v>
      </c>
      <c r="S795" s="5">
        <f t="shared" si="183"/>
        <v>624.55970703125001</v>
      </c>
      <c r="T795" s="5" t="s">
        <v>230</v>
      </c>
      <c r="U795" s="3" t="s">
        <v>2</v>
      </c>
      <c r="V795" s="3" t="s">
        <v>4</v>
      </c>
    </row>
    <row r="796" spans="1:23">
      <c r="A796" s="3">
        <v>627</v>
      </c>
      <c r="B796" s="1">
        <f t="shared" si="178"/>
        <v>0</v>
      </c>
      <c r="C796" s="1">
        <f t="shared" si="179"/>
        <v>0</v>
      </c>
      <c r="D796" s="1">
        <f t="shared" si="180"/>
        <v>0</v>
      </c>
      <c r="E796" s="1">
        <f t="shared" si="181"/>
        <v>0</v>
      </c>
      <c r="F796" s="1">
        <f t="shared" si="181"/>
        <v>0</v>
      </c>
      <c r="G796" s="1" t="str">
        <f t="shared" si="182"/>
        <v>24052502</v>
      </c>
      <c r="H796" s="2">
        <v>45437</v>
      </c>
      <c r="I796" s="36">
        <v>2</v>
      </c>
      <c r="J796" s="1" t="str">
        <f t="shared" si="170"/>
        <v>02</v>
      </c>
      <c r="K796" s="3">
        <f t="shared" si="171"/>
        <v>24</v>
      </c>
      <c r="L796" s="3">
        <f t="shared" si="172"/>
        <v>5</v>
      </c>
      <c r="M796" s="3">
        <f t="shared" si="173"/>
        <v>25</v>
      </c>
      <c r="N796" s="3" t="str">
        <f t="shared" si="174"/>
        <v>05</v>
      </c>
      <c r="O796" s="14">
        <f t="shared" si="175"/>
        <v>25</v>
      </c>
      <c r="P796" s="4">
        <v>200000</v>
      </c>
      <c r="R796" s="6">
        <v>512</v>
      </c>
      <c r="S796" s="5">
        <f t="shared" si="183"/>
        <v>390.625</v>
      </c>
      <c r="T796" s="5" t="s">
        <v>264</v>
      </c>
      <c r="U796" s="3" t="s">
        <v>1</v>
      </c>
      <c r="V796" s="3" t="s">
        <v>4</v>
      </c>
    </row>
    <row r="797" spans="1:23">
      <c r="A797" s="3">
        <v>629</v>
      </c>
      <c r="B797" s="1">
        <f t="shared" si="178"/>
        <v>0</v>
      </c>
      <c r="C797" s="1">
        <f t="shared" si="179"/>
        <v>1</v>
      </c>
      <c r="D797" s="1">
        <f t="shared" si="180"/>
        <v>0</v>
      </c>
      <c r="E797" s="1">
        <f t="shared" si="181"/>
        <v>0</v>
      </c>
      <c r="F797" s="1">
        <f t="shared" si="181"/>
        <v>0</v>
      </c>
      <c r="G797" s="1" t="str">
        <f t="shared" si="182"/>
        <v>24052504</v>
      </c>
      <c r="H797" s="2">
        <v>45437</v>
      </c>
      <c r="I797" s="36">
        <v>4</v>
      </c>
      <c r="J797" s="1" t="str">
        <f t="shared" si="170"/>
        <v>04</v>
      </c>
      <c r="K797" s="3">
        <f t="shared" si="171"/>
        <v>24</v>
      </c>
      <c r="L797" s="3">
        <f t="shared" si="172"/>
        <v>5</v>
      </c>
      <c r="M797" s="3">
        <f t="shared" si="173"/>
        <v>25</v>
      </c>
      <c r="N797" s="3" t="str">
        <f t="shared" si="174"/>
        <v>05</v>
      </c>
      <c r="O797" s="14">
        <f t="shared" si="175"/>
        <v>25</v>
      </c>
      <c r="P797" s="57">
        <v>150000</v>
      </c>
      <c r="R797" s="6">
        <v>512</v>
      </c>
      <c r="S797" s="5">
        <f t="shared" si="183"/>
        <v>292.96875</v>
      </c>
      <c r="T797" s="3" t="s">
        <v>214</v>
      </c>
      <c r="U797" s="3" t="s">
        <v>1</v>
      </c>
      <c r="V797" s="3" t="s">
        <v>4</v>
      </c>
    </row>
    <row r="798" spans="1:23">
      <c r="A798" s="3">
        <v>630</v>
      </c>
      <c r="B798" s="1">
        <f t="shared" si="178"/>
        <v>0</v>
      </c>
      <c r="C798" s="1">
        <f t="shared" si="179"/>
        <v>0</v>
      </c>
      <c r="D798" s="1">
        <f t="shared" si="180"/>
        <v>0</v>
      </c>
      <c r="E798" s="1">
        <f t="shared" si="181"/>
        <v>0</v>
      </c>
      <c r="F798" s="1">
        <f t="shared" si="181"/>
        <v>0</v>
      </c>
      <c r="G798" s="1" t="str">
        <f t="shared" si="182"/>
        <v>24052505</v>
      </c>
      <c r="H798" s="2">
        <v>45437</v>
      </c>
      <c r="I798" s="36">
        <v>5</v>
      </c>
      <c r="J798" s="1" t="str">
        <f t="shared" ref="J798:J861" si="184">+IF(I798&lt;10,_xlfn.CONCAT("0",I798),I798)</f>
        <v>05</v>
      </c>
      <c r="K798" s="3">
        <f t="shared" ref="K798:K861" si="185">+YEAR(H798)-2000</f>
        <v>24</v>
      </c>
      <c r="L798" s="3">
        <f t="shared" ref="L798:L861" si="186">+MONTH(H798)</f>
        <v>5</v>
      </c>
      <c r="M798" s="3">
        <f t="shared" ref="M798:M861" si="187">+DAY(H798)</f>
        <v>25</v>
      </c>
      <c r="N798" s="3" t="str">
        <f t="shared" ref="N798:N861" si="188">+IF(L798&lt;10,_xlfn.CONCAT("0",L798),L798)</f>
        <v>05</v>
      </c>
      <c r="O798" s="14">
        <f t="shared" ref="O798:O861" si="189">+IF(M798&lt;10,_xlfn.CONCAT("0",M798),M798)</f>
        <v>25</v>
      </c>
      <c r="P798" s="57">
        <v>120000</v>
      </c>
      <c r="R798" s="6">
        <v>512</v>
      </c>
      <c r="S798" s="5">
        <f t="shared" si="183"/>
        <v>234.375</v>
      </c>
      <c r="T798" s="3" t="s">
        <v>215</v>
      </c>
      <c r="U798" s="3" t="s">
        <v>1</v>
      </c>
      <c r="V798" s="3" t="s">
        <v>4</v>
      </c>
    </row>
    <row r="799" spans="1:23" hidden="1">
      <c r="G799" s="52"/>
      <c r="H799" s="9"/>
      <c r="J799" s="1" t="str">
        <f t="shared" si="184"/>
        <v>0</v>
      </c>
      <c r="K799" s="3">
        <f t="shared" si="185"/>
        <v>-100</v>
      </c>
      <c r="L799" s="3">
        <f t="shared" si="186"/>
        <v>1</v>
      </c>
      <c r="M799" s="3">
        <f t="shared" si="187"/>
        <v>0</v>
      </c>
      <c r="N799" s="3" t="str">
        <f t="shared" si="188"/>
        <v>01</v>
      </c>
      <c r="O799" s="14" t="str">
        <f t="shared" si="189"/>
        <v>00</v>
      </c>
      <c r="P799" s="11"/>
      <c r="Q799" s="12"/>
      <c r="R799" s="13">
        <v>526</v>
      </c>
      <c r="S799" s="5">
        <f t="shared" si="183"/>
        <v>0</v>
      </c>
      <c r="T799" s="12"/>
      <c r="U799" s="10"/>
      <c r="V799" s="10"/>
      <c r="W799" s="10"/>
    </row>
    <row r="800" spans="1:23" hidden="1">
      <c r="G800" s="52"/>
      <c r="H800" s="9"/>
      <c r="J800" s="1" t="str">
        <f t="shared" si="184"/>
        <v>0</v>
      </c>
      <c r="K800" s="3">
        <f t="shared" si="185"/>
        <v>-100</v>
      </c>
      <c r="L800" s="3">
        <f t="shared" si="186"/>
        <v>1</v>
      </c>
      <c r="M800" s="3">
        <f t="shared" si="187"/>
        <v>0</v>
      </c>
      <c r="N800" s="3" t="str">
        <f t="shared" si="188"/>
        <v>01</v>
      </c>
      <c r="O800" s="14" t="str">
        <f t="shared" si="189"/>
        <v>00</v>
      </c>
      <c r="P800" s="11"/>
      <c r="Q800" s="12"/>
      <c r="R800" s="13">
        <v>526</v>
      </c>
      <c r="S800" s="5">
        <f t="shared" si="183"/>
        <v>0</v>
      </c>
      <c r="T800" s="12"/>
      <c r="U800" s="10"/>
      <c r="V800" s="10"/>
      <c r="W800" s="10"/>
    </row>
    <row r="801" spans="1:23">
      <c r="A801" s="3">
        <v>631</v>
      </c>
      <c r="B801" s="1">
        <f>IF(G801="-",0,IF(G800=G801,1,0))</f>
        <v>0</v>
      </c>
      <c r="C801" s="1">
        <f>+IF(G801="-",0,IF(I801=I800+1,0,(IF(I801=1,0,1))))</f>
        <v>1</v>
      </c>
      <c r="D801" s="1">
        <f>+IF(AND(P801="",Q801=""),1,0)</f>
        <v>0</v>
      </c>
      <c r="E801" s="1">
        <f>IF(U801="",1,0)</f>
        <v>0</v>
      </c>
      <c r="F801" s="1">
        <f>IF(V801="",1,0)</f>
        <v>0</v>
      </c>
      <c r="G801" s="1" t="str">
        <f>IF(H801=0,"-",_xlfn.CONCAT(K801,N801,O801,J801))</f>
        <v>24052506</v>
      </c>
      <c r="H801" s="2">
        <v>45437</v>
      </c>
      <c r="I801" s="36">
        <v>6</v>
      </c>
      <c r="J801" s="1" t="str">
        <f t="shared" si="184"/>
        <v>06</v>
      </c>
      <c r="K801" s="3">
        <f t="shared" si="185"/>
        <v>24</v>
      </c>
      <c r="L801" s="3">
        <f t="shared" si="186"/>
        <v>5</v>
      </c>
      <c r="M801" s="3">
        <f t="shared" si="187"/>
        <v>25</v>
      </c>
      <c r="N801" s="3" t="str">
        <f t="shared" si="188"/>
        <v>05</v>
      </c>
      <c r="O801" s="14">
        <f t="shared" si="189"/>
        <v>25</v>
      </c>
      <c r="P801" s="57">
        <v>102000</v>
      </c>
      <c r="R801" s="6">
        <v>512</v>
      </c>
      <c r="S801" s="5">
        <f t="shared" si="183"/>
        <v>199.21875</v>
      </c>
      <c r="T801" s="3" t="s">
        <v>216</v>
      </c>
      <c r="U801" s="3" t="s">
        <v>1</v>
      </c>
      <c r="V801" s="3" t="s">
        <v>4</v>
      </c>
    </row>
    <row r="802" spans="1:23" hidden="1">
      <c r="G802" s="52"/>
      <c r="H802" s="9"/>
      <c r="J802" s="1" t="str">
        <f t="shared" si="184"/>
        <v>0</v>
      </c>
      <c r="K802" s="3">
        <f t="shared" si="185"/>
        <v>-100</v>
      </c>
      <c r="L802" s="3">
        <f t="shared" si="186"/>
        <v>1</v>
      </c>
      <c r="M802" s="3">
        <f t="shared" si="187"/>
        <v>0</v>
      </c>
      <c r="N802" s="3" t="str">
        <f t="shared" si="188"/>
        <v>01</v>
      </c>
      <c r="O802" s="14" t="str">
        <f t="shared" si="189"/>
        <v>00</v>
      </c>
      <c r="P802" s="11"/>
      <c r="Q802" s="12"/>
      <c r="R802" s="13">
        <v>526</v>
      </c>
      <c r="S802" s="5">
        <f t="shared" si="183"/>
        <v>0</v>
      </c>
      <c r="T802" s="12"/>
      <c r="U802" s="10"/>
      <c r="V802" s="10"/>
      <c r="W802" s="10"/>
    </row>
    <row r="803" spans="1:23" hidden="1">
      <c r="G803" s="52"/>
      <c r="H803" s="9"/>
      <c r="J803" s="1" t="str">
        <f t="shared" si="184"/>
        <v>0</v>
      </c>
      <c r="K803" s="3">
        <f t="shared" si="185"/>
        <v>-100</v>
      </c>
      <c r="L803" s="3">
        <f t="shared" si="186"/>
        <v>1</v>
      </c>
      <c r="M803" s="3">
        <f t="shared" si="187"/>
        <v>0</v>
      </c>
      <c r="N803" s="3" t="str">
        <f t="shared" si="188"/>
        <v>01</v>
      </c>
      <c r="O803" s="14" t="str">
        <f t="shared" si="189"/>
        <v>00</v>
      </c>
      <c r="P803" s="11"/>
      <c r="Q803" s="12"/>
      <c r="R803" s="13">
        <v>526</v>
      </c>
      <c r="S803" s="5">
        <f t="shared" si="183"/>
        <v>0</v>
      </c>
      <c r="T803" s="12"/>
      <c r="U803" s="10"/>
      <c r="V803" s="10"/>
      <c r="W803" s="10"/>
    </row>
    <row r="804" spans="1:23" hidden="1">
      <c r="G804" s="52"/>
      <c r="H804" s="9"/>
      <c r="J804" s="1" t="str">
        <f t="shared" si="184"/>
        <v>0</v>
      </c>
      <c r="K804" s="3">
        <f t="shared" si="185"/>
        <v>-100</v>
      </c>
      <c r="L804" s="3">
        <f t="shared" si="186"/>
        <v>1</v>
      </c>
      <c r="M804" s="3">
        <f t="shared" si="187"/>
        <v>0</v>
      </c>
      <c r="N804" s="3" t="str">
        <f t="shared" si="188"/>
        <v>01</v>
      </c>
      <c r="O804" s="14" t="str">
        <f t="shared" si="189"/>
        <v>00</v>
      </c>
      <c r="P804" s="11"/>
      <c r="Q804" s="12"/>
      <c r="R804" s="13">
        <v>526</v>
      </c>
      <c r="S804" s="5">
        <f t="shared" si="183"/>
        <v>0</v>
      </c>
      <c r="T804" s="12"/>
      <c r="U804" s="10"/>
      <c r="V804" s="10"/>
      <c r="W804" s="10"/>
    </row>
    <row r="805" spans="1:23">
      <c r="A805" s="3">
        <v>632</v>
      </c>
      <c r="B805" s="1">
        <f>IF(G805="-",0,IF(G804=G805,1,0))</f>
        <v>0</v>
      </c>
      <c r="C805" s="1">
        <f>+IF(G805="-",0,IF(I805=I804+1,0,(IF(I805=1,0,1))))</f>
        <v>1</v>
      </c>
      <c r="D805" s="1">
        <f>+IF(AND(P805="",Q805=""),1,0)</f>
        <v>0</v>
      </c>
      <c r="E805" s="1">
        <f>IF(U805="",1,0)</f>
        <v>0</v>
      </c>
      <c r="F805" s="1">
        <f>IF(V805="",1,0)</f>
        <v>0</v>
      </c>
      <c r="G805" s="1" t="str">
        <f>IF(H805=0,"-",_xlfn.CONCAT(K805,N805,O805,J805))</f>
        <v>24052507</v>
      </c>
      <c r="H805" s="2">
        <v>45437</v>
      </c>
      <c r="I805" s="36">
        <v>7</v>
      </c>
      <c r="J805" s="1" t="str">
        <f t="shared" si="184"/>
        <v>07</v>
      </c>
      <c r="K805" s="3">
        <f t="shared" si="185"/>
        <v>24</v>
      </c>
      <c r="L805" s="3">
        <f t="shared" si="186"/>
        <v>5</v>
      </c>
      <c r="M805" s="3">
        <f t="shared" si="187"/>
        <v>25</v>
      </c>
      <c r="N805" s="3" t="str">
        <f t="shared" si="188"/>
        <v>05</v>
      </c>
      <c r="O805" s="14">
        <f t="shared" si="189"/>
        <v>25</v>
      </c>
      <c r="P805" s="57">
        <v>102000</v>
      </c>
      <c r="R805" s="6">
        <v>512</v>
      </c>
      <c r="S805" s="5">
        <f t="shared" si="183"/>
        <v>199.21875</v>
      </c>
      <c r="T805" s="3" t="s">
        <v>217</v>
      </c>
      <c r="U805" s="3" t="s">
        <v>1</v>
      </c>
      <c r="V805" s="3" t="s">
        <v>4</v>
      </c>
    </row>
    <row r="806" spans="1:23" hidden="1">
      <c r="G806" s="52"/>
      <c r="H806" s="9"/>
      <c r="J806" s="1" t="str">
        <f t="shared" si="184"/>
        <v>0</v>
      </c>
      <c r="K806" s="3">
        <f t="shared" si="185"/>
        <v>-100</v>
      </c>
      <c r="L806" s="3">
        <f t="shared" si="186"/>
        <v>1</v>
      </c>
      <c r="M806" s="3">
        <f t="shared" si="187"/>
        <v>0</v>
      </c>
      <c r="N806" s="3" t="str">
        <f t="shared" si="188"/>
        <v>01</v>
      </c>
      <c r="O806" s="14" t="str">
        <f t="shared" si="189"/>
        <v>00</v>
      </c>
      <c r="P806" s="11"/>
      <c r="Q806" s="12"/>
      <c r="R806" s="13">
        <v>526</v>
      </c>
      <c r="S806" s="5">
        <f t="shared" si="183"/>
        <v>0</v>
      </c>
      <c r="T806" s="12"/>
      <c r="U806" s="10"/>
      <c r="V806" s="10"/>
      <c r="W806" s="10"/>
    </row>
    <row r="807" spans="1:23">
      <c r="A807" s="3">
        <v>633</v>
      </c>
      <c r="B807" s="1">
        <f>IF(G807="-",0,IF(G806=G807,1,0))</f>
        <v>0</v>
      </c>
      <c r="C807" s="1">
        <f>+IF(G807="-",0,IF(I807=I806+1,0,(IF(I807=1,0,1))))</f>
        <v>1</v>
      </c>
      <c r="D807" s="1">
        <f>+IF(AND(P807="",Q807=""),1,0)</f>
        <v>0</v>
      </c>
      <c r="E807" s="1">
        <f>IF(U807="",1,0)</f>
        <v>0</v>
      </c>
      <c r="F807" s="1">
        <f>IF(V807="",1,0)</f>
        <v>0</v>
      </c>
      <c r="G807" s="1" t="str">
        <f>IF(H807=0,"-",_xlfn.CONCAT(K807,N807,O807,J807))</f>
        <v>24052508</v>
      </c>
      <c r="H807" s="2">
        <v>45437</v>
      </c>
      <c r="I807" s="36">
        <v>8</v>
      </c>
      <c r="J807" s="1" t="str">
        <f t="shared" si="184"/>
        <v>08</v>
      </c>
      <c r="K807" s="3">
        <f t="shared" si="185"/>
        <v>24</v>
      </c>
      <c r="L807" s="3">
        <f t="shared" si="186"/>
        <v>5</v>
      </c>
      <c r="M807" s="3">
        <f t="shared" si="187"/>
        <v>25</v>
      </c>
      <c r="N807" s="3" t="str">
        <f t="shared" si="188"/>
        <v>05</v>
      </c>
      <c r="O807" s="14">
        <f t="shared" si="189"/>
        <v>25</v>
      </c>
      <c r="P807" s="57">
        <v>102000</v>
      </c>
      <c r="R807" s="6">
        <v>512</v>
      </c>
      <c r="S807" s="5">
        <f t="shared" si="183"/>
        <v>199.21875</v>
      </c>
      <c r="T807" s="3" t="s">
        <v>218</v>
      </c>
      <c r="U807" s="3" t="s">
        <v>1</v>
      </c>
      <c r="V807" s="3" t="s">
        <v>4</v>
      </c>
    </row>
    <row r="808" spans="1:23" hidden="1">
      <c r="G808" s="52"/>
      <c r="H808" s="9"/>
      <c r="J808" s="1" t="str">
        <f t="shared" si="184"/>
        <v>0</v>
      </c>
      <c r="K808" s="3">
        <f t="shared" si="185"/>
        <v>-100</v>
      </c>
      <c r="L808" s="3">
        <f t="shared" si="186"/>
        <v>1</v>
      </c>
      <c r="M808" s="3">
        <f t="shared" si="187"/>
        <v>0</v>
      </c>
      <c r="N808" s="3" t="str">
        <f t="shared" si="188"/>
        <v>01</v>
      </c>
      <c r="O808" s="14" t="str">
        <f t="shared" si="189"/>
        <v>00</v>
      </c>
      <c r="P808" s="11"/>
      <c r="Q808" s="12"/>
      <c r="R808" s="13">
        <v>526</v>
      </c>
      <c r="S808" s="5">
        <f t="shared" si="183"/>
        <v>0</v>
      </c>
      <c r="T808" s="12"/>
      <c r="U808" s="10"/>
      <c r="V808" s="10"/>
      <c r="W808" s="10"/>
    </row>
    <row r="809" spans="1:23">
      <c r="A809" s="3">
        <v>635</v>
      </c>
      <c r="B809" s="1">
        <f>IF(G809="-",0,IF(G808=G809,1,0))</f>
        <v>0</v>
      </c>
      <c r="C809" s="1">
        <f>+IF(G809="-",0,IF(I809=I808+1,0,(IF(I809=1,0,1))))</f>
        <v>1</v>
      </c>
      <c r="D809" s="1">
        <f>+IF(AND(P809="",Q809=""),1,0)</f>
        <v>0</v>
      </c>
      <c r="E809" s="1">
        <f>IF(U809="",1,0)</f>
        <v>0</v>
      </c>
      <c r="F809" s="1">
        <f>IF(V809="",1,0)</f>
        <v>0</v>
      </c>
      <c r="G809" s="1" t="str">
        <f>IF(H809=0,"-",_xlfn.CONCAT(K809,N809,O809,J809))</f>
        <v>24052510</v>
      </c>
      <c r="H809" s="2">
        <v>45437</v>
      </c>
      <c r="I809" s="36">
        <v>10</v>
      </c>
      <c r="J809" s="1">
        <f t="shared" si="184"/>
        <v>10</v>
      </c>
      <c r="K809" s="3">
        <f t="shared" si="185"/>
        <v>24</v>
      </c>
      <c r="L809" s="3">
        <f t="shared" si="186"/>
        <v>5</v>
      </c>
      <c r="M809" s="3">
        <f t="shared" si="187"/>
        <v>25</v>
      </c>
      <c r="N809" s="3" t="str">
        <f t="shared" si="188"/>
        <v>05</v>
      </c>
      <c r="O809" s="14">
        <f t="shared" si="189"/>
        <v>25</v>
      </c>
      <c r="P809" s="57">
        <v>108000</v>
      </c>
      <c r="R809" s="6">
        <v>512</v>
      </c>
      <c r="S809" s="5">
        <f t="shared" si="183"/>
        <v>210.9375</v>
      </c>
      <c r="T809" s="3" t="s">
        <v>220</v>
      </c>
      <c r="U809" s="3" t="s">
        <v>1</v>
      </c>
      <c r="V809" s="3" t="s">
        <v>4</v>
      </c>
    </row>
    <row r="810" spans="1:23">
      <c r="A810" s="3">
        <v>637</v>
      </c>
      <c r="B810" s="1">
        <f>IF(G810="-",0,IF(G809=G810,1,0))</f>
        <v>0</v>
      </c>
      <c r="C810" s="1">
        <f>+IF(G810="-",0,IF(I810=I809+1,0,(IF(I810=1,0,1))))</f>
        <v>1</v>
      </c>
      <c r="D810" s="1">
        <f>+IF(AND(P810="",Q810=""),1,0)</f>
        <v>0</v>
      </c>
      <c r="E810" s="1">
        <f>IF(U810="",1,0)</f>
        <v>0</v>
      </c>
      <c r="F810" s="1">
        <f>IF(V810="",1,0)</f>
        <v>0</v>
      </c>
      <c r="G810" s="1" t="str">
        <f>IF(H810=0,"-",_xlfn.CONCAT(K810,N810,O810,J810))</f>
        <v>24052512</v>
      </c>
      <c r="H810" s="2">
        <v>45437</v>
      </c>
      <c r="I810" s="36">
        <v>12</v>
      </c>
      <c r="J810" s="1">
        <f t="shared" si="184"/>
        <v>12</v>
      </c>
      <c r="K810" s="3">
        <f t="shared" si="185"/>
        <v>24</v>
      </c>
      <c r="L810" s="3">
        <f t="shared" si="186"/>
        <v>5</v>
      </c>
      <c r="M810" s="3">
        <f t="shared" si="187"/>
        <v>25</v>
      </c>
      <c r="N810" s="3" t="str">
        <f t="shared" si="188"/>
        <v>05</v>
      </c>
      <c r="O810" s="14">
        <f t="shared" si="189"/>
        <v>25</v>
      </c>
      <c r="P810" s="57">
        <v>230000</v>
      </c>
      <c r="R810" s="6">
        <v>512</v>
      </c>
      <c r="S810" s="5">
        <f t="shared" si="183"/>
        <v>449.21875</v>
      </c>
      <c r="T810" s="3" t="s">
        <v>222</v>
      </c>
      <c r="U810" s="3" t="s">
        <v>1</v>
      </c>
      <c r="V810" s="3" t="s">
        <v>4</v>
      </c>
    </row>
    <row r="811" spans="1:23" hidden="1">
      <c r="J811" s="1" t="str">
        <f t="shared" si="184"/>
        <v>0</v>
      </c>
      <c r="K811" s="3">
        <f t="shared" si="185"/>
        <v>-100</v>
      </c>
      <c r="L811" s="3">
        <f t="shared" si="186"/>
        <v>1</v>
      </c>
      <c r="M811" s="3">
        <f t="shared" si="187"/>
        <v>0</v>
      </c>
      <c r="N811" s="3" t="str">
        <f t="shared" si="188"/>
        <v>01</v>
      </c>
      <c r="O811" s="14" t="str">
        <f t="shared" si="189"/>
        <v>00</v>
      </c>
      <c r="R811" s="6">
        <v>526</v>
      </c>
      <c r="S811" s="5">
        <f t="shared" si="183"/>
        <v>0</v>
      </c>
    </row>
    <row r="812" spans="1:23" hidden="1">
      <c r="J812" s="1" t="str">
        <f t="shared" si="184"/>
        <v>0</v>
      </c>
      <c r="K812" s="3">
        <f t="shared" si="185"/>
        <v>-100</v>
      </c>
      <c r="L812" s="3">
        <f t="shared" si="186"/>
        <v>1</v>
      </c>
      <c r="M812" s="3">
        <f t="shared" si="187"/>
        <v>0</v>
      </c>
      <c r="N812" s="3" t="str">
        <f t="shared" si="188"/>
        <v>01</v>
      </c>
      <c r="O812" s="14" t="str">
        <f t="shared" si="189"/>
        <v>00</v>
      </c>
      <c r="R812" s="6">
        <v>526</v>
      </c>
      <c r="S812" s="5">
        <f t="shared" si="183"/>
        <v>0</v>
      </c>
    </row>
    <row r="813" spans="1:23" hidden="1">
      <c r="J813" s="1" t="str">
        <f t="shared" si="184"/>
        <v>0</v>
      </c>
      <c r="K813" s="3">
        <f t="shared" si="185"/>
        <v>-100</v>
      </c>
      <c r="L813" s="3">
        <f t="shared" si="186"/>
        <v>1</v>
      </c>
      <c r="M813" s="3">
        <f t="shared" si="187"/>
        <v>0</v>
      </c>
      <c r="N813" s="3" t="str">
        <f t="shared" si="188"/>
        <v>01</v>
      </c>
      <c r="O813" s="14" t="str">
        <f t="shared" si="189"/>
        <v>00</v>
      </c>
      <c r="R813" s="6">
        <v>526</v>
      </c>
      <c r="S813" s="5">
        <f t="shared" si="183"/>
        <v>0</v>
      </c>
    </row>
    <row r="814" spans="1:23">
      <c r="A814" s="3">
        <v>642</v>
      </c>
      <c r="B814" s="1">
        <f>IF(G814="-",0,IF(G813=G814,1,0))</f>
        <v>0</v>
      </c>
      <c r="C814" s="1">
        <f>+IF(G814="-",0,IF(I814=I813+1,0,(IF(I814=1,0,1))))</f>
        <v>1</v>
      </c>
      <c r="D814" s="1">
        <f>+IF(AND(P814="",Q814=""),1,0)</f>
        <v>0</v>
      </c>
      <c r="E814" s="1">
        <f>IF(U814="",1,0)</f>
        <v>0</v>
      </c>
      <c r="F814" s="1">
        <f>IF(V814="",1,0)</f>
        <v>0</v>
      </c>
      <c r="G814" s="1" t="str">
        <f>IF(H814=0,"-",_xlfn.CONCAT(K814,N814,O814,J814))</f>
        <v>24052517</v>
      </c>
      <c r="H814" s="2">
        <v>45437</v>
      </c>
      <c r="I814" s="36">
        <v>17</v>
      </c>
      <c r="J814" s="1">
        <f t="shared" si="184"/>
        <v>17</v>
      </c>
      <c r="K814" s="3">
        <f t="shared" si="185"/>
        <v>24</v>
      </c>
      <c r="L814" s="3">
        <f t="shared" si="186"/>
        <v>5</v>
      </c>
      <c r="M814" s="3">
        <f t="shared" si="187"/>
        <v>25</v>
      </c>
      <c r="N814" s="3" t="str">
        <f t="shared" si="188"/>
        <v>05</v>
      </c>
      <c r="O814" s="14">
        <f t="shared" si="189"/>
        <v>25</v>
      </c>
      <c r="P814" s="57">
        <f>70000+25000</f>
        <v>95000</v>
      </c>
      <c r="R814" s="6">
        <v>512</v>
      </c>
      <c r="S814" s="5">
        <f t="shared" si="183"/>
        <v>185.546875</v>
      </c>
      <c r="T814" s="3" t="s">
        <v>256</v>
      </c>
      <c r="U814" s="3" t="s">
        <v>1</v>
      </c>
      <c r="V814" s="3" t="s">
        <v>4</v>
      </c>
    </row>
    <row r="815" spans="1:23" hidden="1">
      <c r="J815" s="1" t="str">
        <f t="shared" si="184"/>
        <v>0</v>
      </c>
      <c r="K815" s="3">
        <f t="shared" si="185"/>
        <v>-100</v>
      </c>
      <c r="L815" s="3">
        <f t="shared" si="186"/>
        <v>1</v>
      </c>
      <c r="M815" s="3">
        <f t="shared" si="187"/>
        <v>0</v>
      </c>
      <c r="N815" s="3" t="str">
        <f t="shared" si="188"/>
        <v>01</v>
      </c>
      <c r="O815" s="14" t="str">
        <f t="shared" si="189"/>
        <v>00</v>
      </c>
      <c r="R815" s="6">
        <v>526</v>
      </c>
      <c r="S815" s="5">
        <f t="shared" si="183"/>
        <v>0</v>
      </c>
    </row>
    <row r="816" spans="1:23" hidden="1">
      <c r="J816" s="1" t="str">
        <f t="shared" si="184"/>
        <v>0</v>
      </c>
      <c r="K816" s="3">
        <f t="shared" si="185"/>
        <v>-100</v>
      </c>
      <c r="L816" s="3">
        <f t="shared" si="186"/>
        <v>1</v>
      </c>
      <c r="M816" s="3">
        <f t="shared" si="187"/>
        <v>0</v>
      </c>
      <c r="N816" s="3" t="str">
        <f t="shared" si="188"/>
        <v>01</v>
      </c>
      <c r="O816" s="14" t="str">
        <f t="shared" si="189"/>
        <v>00</v>
      </c>
      <c r="R816" s="6">
        <v>526</v>
      </c>
      <c r="S816" s="5">
        <f t="shared" si="183"/>
        <v>0</v>
      </c>
    </row>
    <row r="817" spans="1:23" hidden="1">
      <c r="J817" s="1" t="str">
        <f t="shared" si="184"/>
        <v>0</v>
      </c>
      <c r="K817" s="3">
        <f t="shared" si="185"/>
        <v>-100</v>
      </c>
      <c r="L817" s="3">
        <f t="shared" si="186"/>
        <v>1</v>
      </c>
      <c r="M817" s="3">
        <f t="shared" si="187"/>
        <v>0</v>
      </c>
      <c r="N817" s="3" t="str">
        <f t="shared" si="188"/>
        <v>01</v>
      </c>
      <c r="O817" s="14" t="str">
        <f t="shared" si="189"/>
        <v>00</v>
      </c>
      <c r="R817" s="6">
        <v>526</v>
      </c>
      <c r="S817" s="5">
        <f t="shared" si="183"/>
        <v>0</v>
      </c>
    </row>
    <row r="818" spans="1:23" hidden="1">
      <c r="J818" s="1" t="str">
        <f t="shared" si="184"/>
        <v>0</v>
      </c>
      <c r="K818" s="3">
        <f t="shared" si="185"/>
        <v>-100</v>
      </c>
      <c r="L818" s="3">
        <f t="shared" si="186"/>
        <v>1</v>
      </c>
      <c r="M818" s="3">
        <f t="shared" si="187"/>
        <v>0</v>
      </c>
      <c r="N818" s="3" t="str">
        <f t="shared" si="188"/>
        <v>01</v>
      </c>
      <c r="O818" s="14" t="str">
        <f t="shared" si="189"/>
        <v>00</v>
      </c>
      <c r="R818" s="6">
        <v>526</v>
      </c>
      <c r="S818" s="5">
        <f t="shared" si="183"/>
        <v>0</v>
      </c>
    </row>
    <row r="819" spans="1:23">
      <c r="A819" s="3">
        <v>643</v>
      </c>
      <c r="B819" s="1">
        <f>IF(G819="-",0,IF(G818=G819,1,0))</f>
        <v>0</v>
      </c>
      <c r="C819" s="1">
        <f>+IF(G819="-",0,IF(I819=I818+1,0,(IF(I819=1,0,1))))</f>
        <v>1</v>
      </c>
      <c r="D819" s="1">
        <f>+IF(AND(P819="",Q819=""),1,0)</f>
        <v>0</v>
      </c>
      <c r="E819" s="1">
        <f t="shared" ref="E819:F822" si="190">IF(U819="",1,0)</f>
        <v>0</v>
      </c>
      <c r="F819" s="1">
        <f t="shared" si="190"/>
        <v>0</v>
      </c>
      <c r="G819" s="1" t="str">
        <f>IF(H819=0,"-",_xlfn.CONCAT(K819,N819,O819,J819))</f>
        <v>24052518</v>
      </c>
      <c r="H819" s="2">
        <v>45437</v>
      </c>
      <c r="I819" s="36">
        <v>18</v>
      </c>
      <c r="J819" s="1">
        <f t="shared" si="184"/>
        <v>18</v>
      </c>
      <c r="K819" s="3">
        <f t="shared" si="185"/>
        <v>24</v>
      </c>
      <c r="L819" s="3">
        <f t="shared" si="186"/>
        <v>5</v>
      </c>
      <c r="M819" s="3">
        <f t="shared" si="187"/>
        <v>25</v>
      </c>
      <c r="N819" s="3" t="str">
        <f t="shared" si="188"/>
        <v>05</v>
      </c>
      <c r="O819" s="14">
        <f t="shared" si="189"/>
        <v>25</v>
      </c>
      <c r="P819" s="58">
        <v>30000</v>
      </c>
      <c r="R819" s="6">
        <v>512</v>
      </c>
      <c r="S819" s="5">
        <f t="shared" si="183"/>
        <v>58.59375</v>
      </c>
      <c r="T819" s="3" t="s">
        <v>704</v>
      </c>
      <c r="U819" s="3" t="s">
        <v>1</v>
      </c>
      <c r="V819" s="3" t="s">
        <v>4</v>
      </c>
    </row>
    <row r="820" spans="1:23">
      <c r="A820" s="3">
        <v>644</v>
      </c>
      <c r="B820" s="1">
        <f>IF(G820="-",0,IF(G819=G820,1,0))</f>
        <v>0</v>
      </c>
      <c r="C820" s="1">
        <f>+IF(G820="-",0,IF(I820=I819+1,0,(IF(I820=1,0,1))))</f>
        <v>0</v>
      </c>
      <c r="D820" s="1">
        <f>+IF(AND(P820="",Q820=""),1,0)</f>
        <v>0</v>
      </c>
      <c r="E820" s="1">
        <f t="shared" si="190"/>
        <v>0</v>
      </c>
      <c r="F820" s="1">
        <f t="shared" si="190"/>
        <v>0</v>
      </c>
      <c r="G820" s="1" t="str">
        <f>IF(H820=0,"-",_xlfn.CONCAT(K820,N820,O820,J820))</f>
        <v>24052519</v>
      </c>
      <c r="H820" s="2">
        <v>45437</v>
      </c>
      <c r="I820" s="36">
        <v>19</v>
      </c>
      <c r="J820" s="1">
        <f t="shared" si="184"/>
        <v>19</v>
      </c>
      <c r="K820" s="3">
        <f t="shared" si="185"/>
        <v>24</v>
      </c>
      <c r="L820" s="3">
        <f t="shared" si="186"/>
        <v>5</v>
      </c>
      <c r="M820" s="3">
        <f t="shared" si="187"/>
        <v>25</v>
      </c>
      <c r="N820" s="3" t="str">
        <f t="shared" si="188"/>
        <v>05</v>
      </c>
      <c r="O820" s="14">
        <f t="shared" si="189"/>
        <v>25</v>
      </c>
      <c r="P820" s="4">
        <v>361600</v>
      </c>
      <c r="R820" s="6">
        <v>512</v>
      </c>
      <c r="S820" s="5">
        <f t="shared" si="183"/>
        <v>706.25</v>
      </c>
      <c r="T820" s="5" t="s">
        <v>227</v>
      </c>
      <c r="U820" s="3" t="s">
        <v>1</v>
      </c>
      <c r="V820" s="3" t="s">
        <v>4</v>
      </c>
    </row>
    <row r="821" spans="1:23">
      <c r="A821" s="3">
        <v>649</v>
      </c>
      <c r="B821" s="1">
        <f>IF(G821="-",0,IF(G820=G821,1,0))</f>
        <v>0</v>
      </c>
      <c r="C821" s="1">
        <f>+IF(G821="-",0,IF(I821=I820+1,0,(IF(I821=1,0,1))))</f>
        <v>0</v>
      </c>
      <c r="D821" s="1">
        <f>+IF(AND(P821="",Q821=""),1,0)</f>
        <v>0</v>
      </c>
      <c r="E821" s="1">
        <f t="shared" si="190"/>
        <v>0</v>
      </c>
      <c r="F821" s="1">
        <f t="shared" si="190"/>
        <v>0</v>
      </c>
      <c r="G821" s="1" t="str">
        <f>IF(H821=0,"-",_xlfn.CONCAT(K821,N821,O821,J821))</f>
        <v>24052701</v>
      </c>
      <c r="H821" s="2">
        <v>45439</v>
      </c>
      <c r="I821" s="36">
        <v>1</v>
      </c>
      <c r="J821" s="1" t="str">
        <f t="shared" si="184"/>
        <v>01</v>
      </c>
      <c r="K821" s="3">
        <f t="shared" si="185"/>
        <v>24</v>
      </c>
      <c r="L821" s="3">
        <f t="shared" si="186"/>
        <v>5</v>
      </c>
      <c r="M821" s="3">
        <f t="shared" si="187"/>
        <v>27</v>
      </c>
      <c r="N821" s="3" t="str">
        <f t="shared" si="188"/>
        <v>05</v>
      </c>
      <c r="O821" s="14">
        <f t="shared" si="189"/>
        <v>27</v>
      </c>
      <c r="P821" s="4">
        <v>500000</v>
      </c>
      <c r="R821" s="6">
        <v>514</v>
      </c>
      <c r="S821" s="5">
        <f t="shared" si="183"/>
        <v>972.7626459143969</v>
      </c>
      <c r="T821" s="5" t="s">
        <v>255</v>
      </c>
      <c r="U821" s="3" t="s">
        <v>1</v>
      </c>
      <c r="V821" s="3" t="s">
        <v>4</v>
      </c>
    </row>
    <row r="822" spans="1:23">
      <c r="A822" s="3">
        <v>650</v>
      </c>
      <c r="B822" s="1">
        <f>IF(G822="-",0,IF(G821=G822,1,0))</f>
        <v>0</v>
      </c>
      <c r="C822" s="1">
        <f>+IF(G822="-",0,IF(I822=I821+1,0,(IF(I822=1,0,1))))</f>
        <v>0</v>
      </c>
      <c r="D822" s="1">
        <f>+IF(AND(P822="",Q822=""),1,0)</f>
        <v>0</v>
      </c>
      <c r="E822" s="1">
        <f t="shared" si="190"/>
        <v>0</v>
      </c>
      <c r="F822" s="1">
        <f t="shared" si="190"/>
        <v>0</v>
      </c>
      <c r="G822" s="1" t="str">
        <f>IF(H822=0,"-",_xlfn.CONCAT(K822,N822,O822,J822))</f>
        <v>24052702</v>
      </c>
      <c r="H822" s="2">
        <v>45439</v>
      </c>
      <c r="I822" s="36">
        <v>2</v>
      </c>
      <c r="J822" s="1" t="str">
        <f t="shared" si="184"/>
        <v>02</v>
      </c>
      <c r="K822" s="3">
        <f t="shared" si="185"/>
        <v>24</v>
      </c>
      <c r="L822" s="3">
        <f t="shared" si="186"/>
        <v>5</v>
      </c>
      <c r="M822" s="3">
        <f t="shared" si="187"/>
        <v>27</v>
      </c>
      <c r="N822" s="3" t="str">
        <f t="shared" si="188"/>
        <v>05</v>
      </c>
      <c r="O822" s="14">
        <f t="shared" si="189"/>
        <v>27</v>
      </c>
      <c r="P822" s="4">
        <v>1950</v>
      </c>
      <c r="R822" s="6">
        <v>514</v>
      </c>
      <c r="S822" s="5">
        <f t="shared" si="183"/>
        <v>3.7937743190661477</v>
      </c>
      <c r="T822" s="5" t="s">
        <v>213</v>
      </c>
      <c r="U822" s="3" t="s">
        <v>29</v>
      </c>
      <c r="V822" s="3" t="s">
        <v>4</v>
      </c>
    </row>
    <row r="823" spans="1:23" hidden="1">
      <c r="J823" s="1" t="str">
        <f t="shared" si="184"/>
        <v>0</v>
      </c>
      <c r="K823" s="3">
        <f t="shared" si="185"/>
        <v>-100</v>
      </c>
      <c r="L823" s="3">
        <f t="shared" si="186"/>
        <v>1</v>
      </c>
      <c r="M823" s="3">
        <f t="shared" si="187"/>
        <v>0</v>
      </c>
      <c r="N823" s="3" t="str">
        <f t="shared" si="188"/>
        <v>01</v>
      </c>
      <c r="O823" s="14" t="str">
        <f t="shared" si="189"/>
        <v>00</v>
      </c>
      <c r="R823" s="6">
        <v>523</v>
      </c>
      <c r="S823" s="5">
        <f t="shared" si="183"/>
        <v>0</v>
      </c>
    </row>
    <row r="824" spans="1:23" hidden="1">
      <c r="H824" s="8"/>
      <c r="J824" s="1" t="str">
        <f t="shared" si="184"/>
        <v>0</v>
      </c>
      <c r="K824" s="3">
        <f t="shared" si="185"/>
        <v>-100</v>
      </c>
      <c r="L824" s="3">
        <f t="shared" si="186"/>
        <v>1</v>
      </c>
      <c r="M824" s="3">
        <f t="shared" si="187"/>
        <v>0</v>
      </c>
      <c r="N824" s="3" t="str">
        <f t="shared" si="188"/>
        <v>01</v>
      </c>
      <c r="O824" s="14" t="str">
        <f t="shared" si="189"/>
        <v>00</v>
      </c>
      <c r="P824" s="53"/>
      <c r="Q824" s="54"/>
      <c r="R824" s="55">
        <v>523</v>
      </c>
      <c r="S824" s="5">
        <f t="shared" si="183"/>
        <v>0</v>
      </c>
      <c r="T824" s="54"/>
      <c r="U824" s="56"/>
      <c r="V824" s="56"/>
    </row>
    <row r="825" spans="1:23" hidden="1">
      <c r="J825" s="1" t="str">
        <f t="shared" si="184"/>
        <v>0</v>
      </c>
      <c r="K825" s="3">
        <f t="shared" si="185"/>
        <v>-100</v>
      </c>
      <c r="L825" s="3">
        <f t="shared" si="186"/>
        <v>1</v>
      </c>
      <c r="M825" s="3">
        <f t="shared" si="187"/>
        <v>0</v>
      </c>
      <c r="N825" s="3" t="str">
        <f t="shared" si="188"/>
        <v>01</v>
      </c>
      <c r="O825" s="14" t="str">
        <f t="shared" si="189"/>
        <v>00</v>
      </c>
      <c r="R825" s="6">
        <v>523</v>
      </c>
      <c r="S825" s="5">
        <f t="shared" ref="S825:S856" si="191">IFERROR(P825/R825,"")</f>
        <v>0</v>
      </c>
    </row>
    <row r="826" spans="1:23">
      <c r="A826" s="3">
        <v>655</v>
      </c>
      <c r="B826" s="1">
        <f>IF(G826="-",0,IF(G825=G826,1,0))</f>
        <v>0</v>
      </c>
      <c r="C826" s="1">
        <f>+IF(G826="-",0,IF(I826=I825+1,0,(IF(I826=1,0,1))))</f>
        <v>1</v>
      </c>
      <c r="D826" s="1">
        <f>+IF(AND(P826="",Q826=""),1,0)</f>
        <v>0</v>
      </c>
      <c r="E826" s="1">
        <f>IF(U826="",1,0)</f>
        <v>0</v>
      </c>
      <c r="F826" s="1">
        <f>IF(V826="",1,0)</f>
        <v>0</v>
      </c>
      <c r="G826" s="1" t="str">
        <f>IF(H826=0,"-",_xlfn.CONCAT(K826,N826,O826,J826))</f>
        <v>24052707</v>
      </c>
      <c r="H826" s="2">
        <v>45439</v>
      </c>
      <c r="I826" s="36">
        <v>7</v>
      </c>
      <c r="J826" s="1" t="str">
        <f t="shared" si="184"/>
        <v>07</v>
      </c>
      <c r="K826" s="3">
        <f t="shared" si="185"/>
        <v>24</v>
      </c>
      <c r="L826" s="3">
        <f t="shared" si="186"/>
        <v>5</v>
      </c>
      <c r="M826" s="3">
        <f t="shared" si="187"/>
        <v>27</v>
      </c>
      <c r="N826" s="3" t="str">
        <f t="shared" si="188"/>
        <v>05</v>
      </c>
      <c r="O826" s="14">
        <f t="shared" si="189"/>
        <v>27</v>
      </c>
      <c r="P826" s="4">
        <v>38724</v>
      </c>
      <c r="R826" s="6">
        <v>514</v>
      </c>
      <c r="S826" s="5">
        <f t="shared" si="191"/>
        <v>75.338521400778205</v>
      </c>
      <c r="T826" s="5" t="s">
        <v>449</v>
      </c>
      <c r="U826" s="3" t="s">
        <v>29</v>
      </c>
      <c r="V826" s="3" t="s">
        <v>4</v>
      </c>
      <c r="W826" s="3" t="s">
        <v>397</v>
      </c>
    </row>
    <row r="827" spans="1:23" hidden="1">
      <c r="J827" s="1" t="str">
        <f t="shared" si="184"/>
        <v>0</v>
      </c>
      <c r="K827" s="3">
        <f t="shared" si="185"/>
        <v>-100</v>
      </c>
      <c r="L827" s="3">
        <f t="shared" si="186"/>
        <v>1</v>
      </c>
      <c r="M827" s="3">
        <f t="shared" si="187"/>
        <v>0</v>
      </c>
      <c r="N827" s="3" t="str">
        <f t="shared" si="188"/>
        <v>01</v>
      </c>
      <c r="O827" s="14" t="str">
        <f t="shared" si="189"/>
        <v>00</v>
      </c>
      <c r="R827" s="6">
        <v>523</v>
      </c>
      <c r="S827" s="5">
        <f t="shared" si="191"/>
        <v>0</v>
      </c>
    </row>
    <row r="828" spans="1:23" hidden="1">
      <c r="J828" s="1" t="str">
        <f t="shared" si="184"/>
        <v>0</v>
      </c>
      <c r="K828" s="3">
        <f t="shared" si="185"/>
        <v>-100</v>
      </c>
      <c r="L828" s="3">
        <f t="shared" si="186"/>
        <v>1</v>
      </c>
      <c r="M828" s="3">
        <f t="shared" si="187"/>
        <v>0</v>
      </c>
      <c r="N828" s="3" t="str">
        <f t="shared" si="188"/>
        <v>01</v>
      </c>
      <c r="O828" s="14" t="str">
        <f t="shared" si="189"/>
        <v>00</v>
      </c>
      <c r="R828" s="6">
        <v>523</v>
      </c>
      <c r="S828" s="5">
        <f t="shared" si="191"/>
        <v>0</v>
      </c>
    </row>
    <row r="829" spans="1:23" hidden="1">
      <c r="J829" s="1" t="str">
        <f t="shared" si="184"/>
        <v>0</v>
      </c>
      <c r="K829" s="3">
        <f t="shared" si="185"/>
        <v>-100</v>
      </c>
      <c r="L829" s="3">
        <f t="shared" si="186"/>
        <v>1</v>
      </c>
      <c r="M829" s="3">
        <f t="shared" si="187"/>
        <v>0</v>
      </c>
      <c r="N829" s="3" t="str">
        <f t="shared" si="188"/>
        <v>01</v>
      </c>
      <c r="O829" s="14" t="str">
        <f t="shared" si="189"/>
        <v>00</v>
      </c>
      <c r="R829" s="6">
        <v>519</v>
      </c>
      <c r="S829" s="5">
        <f t="shared" si="191"/>
        <v>0</v>
      </c>
    </row>
    <row r="830" spans="1:23" hidden="1">
      <c r="J830" s="1" t="str">
        <f t="shared" si="184"/>
        <v>0</v>
      </c>
      <c r="K830" s="3">
        <f t="shared" si="185"/>
        <v>-100</v>
      </c>
      <c r="L830" s="3">
        <f t="shared" si="186"/>
        <v>1</v>
      </c>
      <c r="M830" s="3">
        <f t="shared" si="187"/>
        <v>0</v>
      </c>
      <c r="N830" s="3" t="str">
        <f t="shared" si="188"/>
        <v>01</v>
      </c>
      <c r="O830" s="14" t="str">
        <f t="shared" si="189"/>
        <v>00</v>
      </c>
      <c r="R830" s="6">
        <v>519</v>
      </c>
      <c r="S830" s="5">
        <f t="shared" si="191"/>
        <v>0</v>
      </c>
    </row>
    <row r="831" spans="1:23" hidden="1">
      <c r="J831" s="1" t="str">
        <f t="shared" si="184"/>
        <v>0</v>
      </c>
      <c r="K831" s="3">
        <f t="shared" si="185"/>
        <v>-100</v>
      </c>
      <c r="L831" s="3">
        <f t="shared" si="186"/>
        <v>1</v>
      </c>
      <c r="M831" s="3">
        <f t="shared" si="187"/>
        <v>0</v>
      </c>
      <c r="N831" s="3" t="str">
        <f t="shared" si="188"/>
        <v>01</v>
      </c>
      <c r="O831" s="14" t="str">
        <f t="shared" si="189"/>
        <v>00</v>
      </c>
      <c r="R831" s="6">
        <v>519</v>
      </c>
      <c r="S831" s="5">
        <f t="shared" si="191"/>
        <v>0</v>
      </c>
    </row>
    <row r="832" spans="1:23" hidden="1">
      <c r="J832" s="1" t="str">
        <f t="shared" si="184"/>
        <v>0</v>
      </c>
      <c r="K832" s="3">
        <f t="shared" si="185"/>
        <v>-100</v>
      </c>
      <c r="L832" s="3">
        <f t="shared" si="186"/>
        <v>1</v>
      </c>
      <c r="M832" s="3">
        <f t="shared" si="187"/>
        <v>0</v>
      </c>
      <c r="N832" s="3" t="str">
        <f t="shared" si="188"/>
        <v>01</v>
      </c>
      <c r="O832" s="14" t="str">
        <f t="shared" si="189"/>
        <v>00</v>
      </c>
      <c r="R832" s="6">
        <v>519</v>
      </c>
      <c r="S832" s="5">
        <f t="shared" si="191"/>
        <v>0</v>
      </c>
    </row>
    <row r="833" spans="1:23" s="10" customFormat="1">
      <c r="A833" s="3">
        <v>656</v>
      </c>
      <c r="B833" s="1">
        <f>IF(G833="-",0,IF(G832=G833,1,0))</f>
        <v>0</v>
      </c>
      <c r="C833" s="1">
        <f>+IF(G833="-",0,IF(I833=I832+1,0,(IF(I833=1,0,1))))</f>
        <v>1</v>
      </c>
      <c r="D833" s="1">
        <f>+IF(AND(P833="",Q833=""),1,0)</f>
        <v>0</v>
      </c>
      <c r="E833" s="1">
        <f>IF(U833="",1,0)</f>
        <v>0</v>
      </c>
      <c r="F833" s="1">
        <f>IF(V833="",1,0)</f>
        <v>0</v>
      </c>
      <c r="G833" s="1" t="str">
        <f>IF(H833=0,"-",_xlfn.CONCAT(K833,N833,O833,J833))</f>
        <v>24052708</v>
      </c>
      <c r="H833" s="2">
        <v>45439</v>
      </c>
      <c r="I833" s="36">
        <v>8</v>
      </c>
      <c r="J833" s="1" t="str">
        <f t="shared" si="184"/>
        <v>08</v>
      </c>
      <c r="K833" s="3">
        <f t="shared" si="185"/>
        <v>24</v>
      </c>
      <c r="L833" s="3">
        <f t="shared" si="186"/>
        <v>5</v>
      </c>
      <c r="M833" s="3">
        <f t="shared" si="187"/>
        <v>27</v>
      </c>
      <c r="N833" s="3" t="str">
        <f t="shared" si="188"/>
        <v>05</v>
      </c>
      <c r="O833" s="14">
        <f t="shared" si="189"/>
        <v>27</v>
      </c>
      <c r="P833" s="4">
        <v>7000</v>
      </c>
      <c r="Q833" s="5"/>
      <c r="R833" s="6">
        <v>514</v>
      </c>
      <c r="S833" s="5">
        <f t="shared" si="191"/>
        <v>13.618677042801556</v>
      </c>
      <c r="T833" s="5" t="s">
        <v>398</v>
      </c>
      <c r="U833" s="3" t="s">
        <v>29</v>
      </c>
      <c r="V833" s="3" t="s">
        <v>4</v>
      </c>
      <c r="W833" s="3" t="s">
        <v>404</v>
      </c>
    </row>
    <row r="834" spans="1:23" s="10" customFormat="1" hidden="1">
      <c r="A834" s="3"/>
      <c r="B834" s="1"/>
      <c r="C834" s="1"/>
      <c r="D834" s="1"/>
      <c r="E834" s="1"/>
      <c r="F834" s="1"/>
      <c r="G834" s="1"/>
      <c r="H834" s="2"/>
      <c r="I834" s="36"/>
      <c r="J834" s="1" t="str">
        <f t="shared" si="184"/>
        <v>0</v>
      </c>
      <c r="K834" s="3">
        <f t="shared" si="185"/>
        <v>-100</v>
      </c>
      <c r="L834" s="3">
        <f t="shared" si="186"/>
        <v>1</v>
      </c>
      <c r="M834" s="3">
        <f t="shared" si="187"/>
        <v>0</v>
      </c>
      <c r="N834" s="3" t="str">
        <f t="shared" si="188"/>
        <v>01</v>
      </c>
      <c r="O834" s="14" t="str">
        <f t="shared" si="189"/>
        <v>00</v>
      </c>
      <c r="P834" s="4"/>
      <c r="Q834" s="5"/>
      <c r="R834" s="6">
        <v>519</v>
      </c>
      <c r="S834" s="5">
        <f t="shared" si="191"/>
        <v>0</v>
      </c>
      <c r="T834" s="5"/>
      <c r="U834" s="3"/>
      <c r="V834" s="3"/>
      <c r="W834" s="3"/>
    </row>
    <row r="835" spans="1:23" s="10" customFormat="1" hidden="1">
      <c r="A835" s="3"/>
      <c r="B835" s="1"/>
      <c r="C835" s="1"/>
      <c r="D835" s="1"/>
      <c r="E835" s="1"/>
      <c r="F835" s="1"/>
      <c r="G835" s="1"/>
      <c r="H835" s="2"/>
      <c r="I835" s="36"/>
      <c r="J835" s="1" t="str">
        <f t="shared" si="184"/>
        <v>0</v>
      </c>
      <c r="K835" s="3">
        <f t="shared" si="185"/>
        <v>-100</v>
      </c>
      <c r="L835" s="3">
        <f t="shared" si="186"/>
        <v>1</v>
      </c>
      <c r="M835" s="3">
        <f t="shared" si="187"/>
        <v>0</v>
      </c>
      <c r="N835" s="3" t="str">
        <f t="shared" si="188"/>
        <v>01</v>
      </c>
      <c r="O835" s="14" t="str">
        <f t="shared" si="189"/>
        <v>00</v>
      </c>
      <c r="P835" s="4"/>
      <c r="Q835" s="5"/>
      <c r="R835" s="6">
        <v>519</v>
      </c>
      <c r="S835" s="5">
        <f t="shared" si="191"/>
        <v>0</v>
      </c>
      <c r="T835" s="5"/>
      <c r="U835" s="3"/>
      <c r="V835" s="3"/>
      <c r="W835" s="3"/>
    </row>
    <row r="836" spans="1:23" s="10" customFormat="1" hidden="1">
      <c r="A836" s="3"/>
      <c r="B836" s="1"/>
      <c r="C836" s="1"/>
      <c r="D836" s="1"/>
      <c r="E836" s="1"/>
      <c r="F836" s="1"/>
      <c r="G836" s="1"/>
      <c r="H836" s="2"/>
      <c r="I836" s="36"/>
      <c r="J836" s="1" t="str">
        <f t="shared" si="184"/>
        <v>0</v>
      </c>
      <c r="K836" s="3">
        <f t="shared" si="185"/>
        <v>-100</v>
      </c>
      <c r="L836" s="3">
        <f t="shared" si="186"/>
        <v>1</v>
      </c>
      <c r="M836" s="3">
        <f t="shared" si="187"/>
        <v>0</v>
      </c>
      <c r="N836" s="3" t="str">
        <f t="shared" si="188"/>
        <v>01</v>
      </c>
      <c r="O836" s="14" t="str">
        <f t="shared" si="189"/>
        <v>00</v>
      </c>
      <c r="P836" s="4"/>
      <c r="Q836" s="5"/>
      <c r="R836" s="6"/>
      <c r="S836" s="5" t="str">
        <f t="shared" si="191"/>
        <v/>
      </c>
      <c r="T836" s="5"/>
      <c r="U836" s="3"/>
      <c r="V836" s="3"/>
      <c r="W836" s="3"/>
    </row>
    <row r="837" spans="1:23" s="10" customFormat="1">
      <c r="A837" s="3">
        <v>662</v>
      </c>
      <c r="B837" s="1">
        <f>IF(G837="-",0,IF(G836=G837,1,0))</f>
        <v>0</v>
      </c>
      <c r="C837" s="1">
        <f>+IF(G837="-",0,IF(I837=I836+1,0,(IF(I837=1,0,1))))</f>
        <v>1</v>
      </c>
      <c r="D837" s="1">
        <f>+IF(AND(P837="",Q837=""),1,0)</f>
        <v>0</v>
      </c>
      <c r="E837" s="1">
        <f>IF(U837="",1,0)</f>
        <v>0</v>
      </c>
      <c r="F837" s="1">
        <f>IF(V837="",1,0)</f>
        <v>0</v>
      </c>
      <c r="G837" s="1" t="str">
        <f>IF(H837=0,"-",_xlfn.CONCAT(K837,N837,O837,J837))</f>
        <v>24052806</v>
      </c>
      <c r="H837" s="2">
        <v>45440</v>
      </c>
      <c r="I837" s="36">
        <v>6</v>
      </c>
      <c r="J837" s="1" t="str">
        <f t="shared" si="184"/>
        <v>06</v>
      </c>
      <c r="K837" s="3">
        <f t="shared" si="185"/>
        <v>24</v>
      </c>
      <c r="L837" s="3">
        <f t="shared" si="186"/>
        <v>5</v>
      </c>
      <c r="M837" s="3">
        <f t="shared" si="187"/>
        <v>28</v>
      </c>
      <c r="N837" s="3" t="str">
        <f t="shared" si="188"/>
        <v>05</v>
      </c>
      <c r="O837" s="14">
        <f t="shared" si="189"/>
        <v>28</v>
      </c>
      <c r="P837" s="4">
        <v>12203</v>
      </c>
      <c r="Q837" s="5"/>
      <c r="R837" s="6">
        <v>516</v>
      </c>
      <c r="S837" s="5">
        <f t="shared" si="191"/>
        <v>23.649224806201552</v>
      </c>
      <c r="T837" s="5" t="s">
        <v>87</v>
      </c>
      <c r="U837" s="3" t="s">
        <v>29</v>
      </c>
      <c r="V837" s="3" t="s">
        <v>4</v>
      </c>
      <c r="W837" s="3"/>
    </row>
    <row r="838" spans="1:23" s="10" customFormat="1" hidden="1">
      <c r="A838" s="3"/>
      <c r="B838" s="1"/>
      <c r="C838" s="1"/>
      <c r="D838" s="1"/>
      <c r="E838" s="1"/>
      <c r="F838" s="1"/>
      <c r="G838" s="1"/>
      <c r="H838" s="2"/>
      <c r="I838" s="36"/>
      <c r="J838" s="1" t="str">
        <f t="shared" si="184"/>
        <v>0</v>
      </c>
      <c r="K838" s="3">
        <f t="shared" si="185"/>
        <v>-100</v>
      </c>
      <c r="L838" s="3">
        <f t="shared" si="186"/>
        <v>1</v>
      </c>
      <c r="M838" s="3">
        <f t="shared" si="187"/>
        <v>0</v>
      </c>
      <c r="N838" s="3" t="str">
        <f t="shared" si="188"/>
        <v>01</v>
      </c>
      <c r="O838" s="14" t="str">
        <f t="shared" si="189"/>
        <v>00</v>
      </c>
      <c r="P838" s="4"/>
      <c r="Q838" s="5"/>
      <c r="R838" s="6"/>
      <c r="S838" s="5" t="str">
        <f t="shared" si="191"/>
        <v/>
      </c>
      <c r="T838" s="5"/>
      <c r="U838" s="3"/>
      <c r="V838" s="3"/>
      <c r="W838" s="3"/>
    </row>
    <row r="839" spans="1:23" s="10" customFormat="1">
      <c r="A839" s="3">
        <v>668</v>
      </c>
      <c r="B839" s="1">
        <f>IF(G839="-",0,IF(G838=G839,1,0))</f>
        <v>0</v>
      </c>
      <c r="C839" s="1">
        <f>+IF(G839="-",0,IF(I839=I838+1,0,(IF(I839=1,0,1))))</f>
        <v>1</v>
      </c>
      <c r="D839" s="1">
        <f>+IF(AND(P839="",Q839=""),1,0)</f>
        <v>0</v>
      </c>
      <c r="E839" s="1">
        <f>IF(U839="",1,0)</f>
        <v>0</v>
      </c>
      <c r="F839" s="1">
        <f>IF(V839="",1,0)</f>
        <v>0</v>
      </c>
      <c r="G839" s="1" t="str">
        <f>IF(H839=0,"-",_xlfn.CONCAT(K839,N839,O839,J839))</f>
        <v>24052812</v>
      </c>
      <c r="H839" s="2">
        <v>45440</v>
      </c>
      <c r="I839" s="36">
        <v>12</v>
      </c>
      <c r="J839" s="1">
        <f t="shared" si="184"/>
        <v>12</v>
      </c>
      <c r="K839" s="3">
        <f t="shared" si="185"/>
        <v>24</v>
      </c>
      <c r="L839" s="3">
        <f t="shared" si="186"/>
        <v>5</v>
      </c>
      <c r="M839" s="3">
        <f t="shared" si="187"/>
        <v>28</v>
      </c>
      <c r="N839" s="3" t="str">
        <f t="shared" si="188"/>
        <v>05</v>
      </c>
      <c r="O839" s="14">
        <f t="shared" si="189"/>
        <v>28</v>
      </c>
      <c r="P839" s="4">
        <v>200000</v>
      </c>
      <c r="Q839" s="5"/>
      <c r="R839" s="6">
        <v>516</v>
      </c>
      <c r="S839" s="5">
        <f t="shared" si="191"/>
        <v>387.59689922480618</v>
      </c>
      <c r="T839" s="5" t="s">
        <v>234</v>
      </c>
      <c r="U839" s="3" t="s">
        <v>1</v>
      </c>
      <c r="V839" s="3" t="s">
        <v>4</v>
      </c>
      <c r="W839" s="3" t="s">
        <v>57</v>
      </c>
    </row>
    <row r="840" spans="1:23" s="10" customFormat="1" hidden="1">
      <c r="A840" s="3"/>
      <c r="B840" s="1"/>
      <c r="C840" s="1"/>
      <c r="D840" s="1"/>
      <c r="E840" s="1"/>
      <c r="F840" s="1"/>
      <c r="G840" s="1"/>
      <c r="H840" s="2"/>
      <c r="I840" s="36"/>
      <c r="J840" s="1" t="str">
        <f t="shared" si="184"/>
        <v>0</v>
      </c>
      <c r="K840" s="3">
        <f t="shared" si="185"/>
        <v>-100</v>
      </c>
      <c r="L840" s="3">
        <f t="shared" si="186"/>
        <v>1</v>
      </c>
      <c r="M840" s="3">
        <f t="shared" si="187"/>
        <v>0</v>
      </c>
      <c r="N840" s="3" t="str">
        <f t="shared" si="188"/>
        <v>01</v>
      </c>
      <c r="O840" s="14" t="str">
        <f t="shared" si="189"/>
        <v>00</v>
      </c>
      <c r="P840" s="4"/>
      <c r="Q840" s="5"/>
      <c r="R840" s="6">
        <v>517</v>
      </c>
      <c r="S840" s="5">
        <f t="shared" si="191"/>
        <v>0</v>
      </c>
      <c r="T840" s="5"/>
      <c r="U840" s="3"/>
      <c r="V840" s="3"/>
      <c r="W840" s="3"/>
    </row>
    <row r="841" spans="1:23" s="10" customFormat="1" hidden="1">
      <c r="A841" s="3"/>
      <c r="B841" s="1"/>
      <c r="C841" s="1"/>
      <c r="D841" s="1"/>
      <c r="E841" s="1"/>
      <c r="F841" s="1"/>
      <c r="G841" s="1"/>
      <c r="H841" s="2"/>
      <c r="I841" s="36"/>
      <c r="J841" s="1" t="str">
        <f t="shared" si="184"/>
        <v>0</v>
      </c>
      <c r="K841" s="3">
        <f t="shared" si="185"/>
        <v>-100</v>
      </c>
      <c r="L841" s="3">
        <f t="shared" si="186"/>
        <v>1</v>
      </c>
      <c r="M841" s="3">
        <f t="shared" si="187"/>
        <v>0</v>
      </c>
      <c r="N841" s="3" t="str">
        <f t="shared" si="188"/>
        <v>01</v>
      </c>
      <c r="O841" s="14" t="str">
        <f t="shared" si="189"/>
        <v>00</v>
      </c>
      <c r="P841" s="4"/>
      <c r="Q841" s="5"/>
      <c r="R841" s="6">
        <v>517</v>
      </c>
      <c r="S841" s="5">
        <f t="shared" si="191"/>
        <v>0</v>
      </c>
      <c r="T841" s="5"/>
      <c r="U841" s="3"/>
      <c r="V841" s="3"/>
      <c r="W841" s="3"/>
    </row>
    <row r="842" spans="1:23" s="10" customFormat="1">
      <c r="A842" s="3">
        <v>669</v>
      </c>
      <c r="B842" s="1">
        <f>IF(G842="-",0,IF(G841=G842,1,0))</f>
        <v>0</v>
      </c>
      <c r="C842" s="1">
        <f>+IF(G842="-",0,IF(I842=I841+1,0,(IF(I842=1,0,1))))</f>
        <v>1</v>
      </c>
      <c r="D842" s="1">
        <f>+IF(AND(P842="",Q842=""),1,0)</f>
        <v>0</v>
      </c>
      <c r="E842" s="1">
        <f>IF(U842="",1,0)</f>
        <v>0</v>
      </c>
      <c r="F842" s="1">
        <f>IF(V842="",1,0)</f>
        <v>0</v>
      </c>
      <c r="G842" s="1" t="str">
        <f>IF(H842=0,"-",_xlfn.CONCAT(K842,N842,O842,J842))</f>
        <v>24052813</v>
      </c>
      <c r="H842" s="2">
        <v>45440</v>
      </c>
      <c r="I842" s="36">
        <v>13</v>
      </c>
      <c r="J842" s="1">
        <f t="shared" si="184"/>
        <v>13</v>
      </c>
      <c r="K842" s="3">
        <f t="shared" si="185"/>
        <v>24</v>
      </c>
      <c r="L842" s="3">
        <f t="shared" si="186"/>
        <v>5</v>
      </c>
      <c r="M842" s="3">
        <f t="shared" si="187"/>
        <v>28</v>
      </c>
      <c r="N842" s="3" t="str">
        <f t="shared" si="188"/>
        <v>05</v>
      </c>
      <c r="O842" s="14">
        <f t="shared" si="189"/>
        <v>28</v>
      </c>
      <c r="P842" s="4">
        <v>5170.03</v>
      </c>
      <c r="Q842" s="5"/>
      <c r="R842" s="6">
        <v>516</v>
      </c>
      <c r="S842" s="5">
        <f t="shared" si="191"/>
        <v>10.019437984496124</v>
      </c>
      <c r="T842" s="5" t="s">
        <v>399</v>
      </c>
      <c r="U842" s="3" t="s">
        <v>29</v>
      </c>
      <c r="V842" s="3" t="s">
        <v>4</v>
      </c>
      <c r="W842" s="3" t="s">
        <v>400</v>
      </c>
    </row>
    <row r="843" spans="1:23" s="10" customFormat="1">
      <c r="A843" s="3">
        <v>674</v>
      </c>
      <c r="B843" s="1">
        <f>IF(G843="-",0,IF(G842=G843,1,0))</f>
        <v>0</v>
      </c>
      <c r="C843" s="1">
        <f>+IF(G843="-",0,IF(I843=I842+1,0,(IF(I843=1,0,1))))</f>
        <v>1</v>
      </c>
      <c r="D843" s="1">
        <f>+IF(AND(P843="",Q843=""),1,0)</f>
        <v>0</v>
      </c>
      <c r="E843" s="1">
        <f>IF(U843="",1,0)</f>
        <v>0</v>
      </c>
      <c r="F843" s="1">
        <f>IF(V843="",1,0)</f>
        <v>0</v>
      </c>
      <c r="G843" s="1" t="str">
        <f>IF(H843=0,"-",_xlfn.CONCAT(K843,N843,O843,J843))</f>
        <v>24052905</v>
      </c>
      <c r="H843" s="2">
        <v>45441</v>
      </c>
      <c r="I843" s="36">
        <v>5</v>
      </c>
      <c r="J843" s="1" t="str">
        <f t="shared" si="184"/>
        <v>05</v>
      </c>
      <c r="K843" s="3">
        <f t="shared" si="185"/>
        <v>24</v>
      </c>
      <c r="L843" s="3">
        <f t="shared" si="186"/>
        <v>5</v>
      </c>
      <c r="M843" s="3">
        <f t="shared" si="187"/>
        <v>29</v>
      </c>
      <c r="N843" s="3" t="str">
        <f t="shared" si="188"/>
        <v>05</v>
      </c>
      <c r="O843" s="14">
        <f t="shared" si="189"/>
        <v>29</v>
      </c>
      <c r="P843" s="4">
        <v>15332.12</v>
      </c>
      <c r="Q843" s="5"/>
      <c r="R843" s="6">
        <v>517</v>
      </c>
      <c r="S843" s="5">
        <f t="shared" si="191"/>
        <v>29.655938104448744</v>
      </c>
      <c r="T843" s="5" t="s">
        <v>87</v>
      </c>
      <c r="U843" s="3" t="s">
        <v>29</v>
      </c>
      <c r="V843" s="3" t="s">
        <v>4</v>
      </c>
      <c r="W843" s="3"/>
    </row>
    <row r="844" spans="1:23" s="10" customFormat="1" hidden="1">
      <c r="A844" s="3"/>
      <c r="B844" s="1"/>
      <c r="C844" s="1"/>
      <c r="D844" s="1"/>
      <c r="E844" s="1"/>
      <c r="F844" s="1"/>
      <c r="G844" s="1"/>
      <c r="H844" s="2"/>
      <c r="I844" s="36"/>
      <c r="J844" s="1" t="str">
        <f t="shared" si="184"/>
        <v>0</v>
      </c>
      <c r="K844" s="3">
        <f t="shared" si="185"/>
        <v>-100</v>
      </c>
      <c r="L844" s="3">
        <f t="shared" si="186"/>
        <v>1</v>
      </c>
      <c r="M844" s="3">
        <f t="shared" si="187"/>
        <v>0</v>
      </c>
      <c r="N844" s="3" t="str">
        <f t="shared" si="188"/>
        <v>01</v>
      </c>
      <c r="O844" s="14" t="str">
        <f t="shared" si="189"/>
        <v>00</v>
      </c>
      <c r="P844" s="4"/>
      <c r="Q844" s="5"/>
      <c r="R844" s="6">
        <v>516</v>
      </c>
      <c r="S844" s="5">
        <f t="shared" si="191"/>
        <v>0</v>
      </c>
      <c r="T844" s="5"/>
      <c r="U844" s="3"/>
      <c r="V844" s="3"/>
      <c r="W844" s="3"/>
    </row>
    <row r="845" spans="1:23" s="10" customFormat="1" hidden="1">
      <c r="A845" s="3"/>
      <c r="B845" s="1"/>
      <c r="C845" s="1"/>
      <c r="D845" s="1"/>
      <c r="E845" s="1"/>
      <c r="F845" s="1"/>
      <c r="G845" s="1"/>
      <c r="H845" s="2"/>
      <c r="I845" s="36"/>
      <c r="J845" s="1" t="str">
        <f t="shared" si="184"/>
        <v>0</v>
      </c>
      <c r="K845" s="3">
        <f t="shared" si="185"/>
        <v>-100</v>
      </c>
      <c r="L845" s="3">
        <f t="shared" si="186"/>
        <v>1</v>
      </c>
      <c r="M845" s="3">
        <f t="shared" si="187"/>
        <v>0</v>
      </c>
      <c r="N845" s="3" t="str">
        <f t="shared" si="188"/>
        <v>01</v>
      </c>
      <c r="O845" s="14" t="str">
        <f t="shared" si="189"/>
        <v>00</v>
      </c>
      <c r="P845" s="4"/>
      <c r="Q845" s="5"/>
      <c r="R845" s="6">
        <v>516</v>
      </c>
      <c r="S845" s="5">
        <f t="shared" si="191"/>
        <v>0</v>
      </c>
      <c r="T845" s="5"/>
      <c r="U845" s="3"/>
      <c r="V845" s="3"/>
      <c r="W845" s="3"/>
    </row>
    <row r="846" spans="1:23" s="10" customFormat="1" hidden="1">
      <c r="A846" s="3"/>
      <c r="B846" s="1"/>
      <c r="C846" s="1"/>
      <c r="D846" s="1"/>
      <c r="E846" s="1"/>
      <c r="F846" s="1"/>
      <c r="G846" s="1"/>
      <c r="H846" s="2"/>
      <c r="I846" s="36"/>
      <c r="J846" s="1" t="str">
        <f t="shared" si="184"/>
        <v>0</v>
      </c>
      <c r="K846" s="3">
        <f t="shared" si="185"/>
        <v>-100</v>
      </c>
      <c r="L846" s="3">
        <f t="shared" si="186"/>
        <v>1</v>
      </c>
      <c r="M846" s="3">
        <f t="shared" si="187"/>
        <v>0</v>
      </c>
      <c r="N846" s="3" t="str">
        <f t="shared" si="188"/>
        <v>01</v>
      </c>
      <c r="O846" s="14" t="str">
        <f t="shared" si="189"/>
        <v>00</v>
      </c>
      <c r="P846" s="4"/>
      <c r="Q846" s="5"/>
      <c r="R846" s="6">
        <v>516</v>
      </c>
      <c r="S846" s="5">
        <f t="shared" si="191"/>
        <v>0</v>
      </c>
      <c r="T846" s="5"/>
      <c r="U846" s="3"/>
      <c r="V846" s="3"/>
      <c r="W846" s="3"/>
    </row>
    <row r="847" spans="1:23" s="10" customFormat="1" hidden="1">
      <c r="A847" s="3"/>
      <c r="B847" s="1"/>
      <c r="C847" s="1"/>
      <c r="D847" s="1"/>
      <c r="E847" s="1"/>
      <c r="F847" s="1"/>
      <c r="G847" s="1"/>
      <c r="H847" s="9"/>
      <c r="I847" s="36"/>
      <c r="J847" s="1" t="str">
        <f t="shared" si="184"/>
        <v>0</v>
      </c>
      <c r="K847" s="3">
        <f t="shared" si="185"/>
        <v>-100</v>
      </c>
      <c r="L847" s="3">
        <f t="shared" si="186"/>
        <v>1</v>
      </c>
      <c r="M847" s="3">
        <f t="shared" si="187"/>
        <v>0</v>
      </c>
      <c r="N847" s="3" t="str">
        <f t="shared" si="188"/>
        <v>01</v>
      </c>
      <c r="O847" s="14" t="str">
        <f t="shared" si="189"/>
        <v>00</v>
      </c>
      <c r="P847" s="11"/>
      <c r="Q847" s="12"/>
      <c r="R847" s="13">
        <v>516</v>
      </c>
      <c r="S847" s="5">
        <f t="shared" si="191"/>
        <v>0</v>
      </c>
      <c r="T847" s="12"/>
      <c r="U847" s="3"/>
      <c r="W847" s="3"/>
    </row>
    <row r="848" spans="1:23" s="10" customFormat="1" hidden="1">
      <c r="A848" s="3"/>
      <c r="B848" s="1"/>
      <c r="C848" s="1"/>
      <c r="D848" s="1"/>
      <c r="E848" s="1"/>
      <c r="F848" s="1"/>
      <c r="G848" s="1"/>
      <c r="H848" s="2"/>
      <c r="I848" s="36"/>
      <c r="J848" s="1" t="str">
        <f t="shared" si="184"/>
        <v>0</v>
      </c>
      <c r="K848" s="3">
        <f t="shared" si="185"/>
        <v>-100</v>
      </c>
      <c r="L848" s="3">
        <f t="shared" si="186"/>
        <v>1</v>
      </c>
      <c r="M848" s="3">
        <f t="shared" si="187"/>
        <v>0</v>
      </c>
      <c r="N848" s="3" t="str">
        <f t="shared" si="188"/>
        <v>01</v>
      </c>
      <c r="O848" s="14" t="str">
        <f t="shared" si="189"/>
        <v>00</v>
      </c>
      <c r="P848" s="4"/>
      <c r="Q848" s="5"/>
      <c r="R848" s="6">
        <v>516</v>
      </c>
      <c r="S848" s="5">
        <f t="shared" si="191"/>
        <v>0</v>
      </c>
      <c r="T848" s="5"/>
      <c r="U848" s="3"/>
      <c r="V848" s="3"/>
      <c r="W848" s="3"/>
    </row>
    <row r="849" spans="1:23" s="10" customFormat="1" hidden="1">
      <c r="A849" s="3"/>
      <c r="B849" s="1"/>
      <c r="C849" s="1"/>
      <c r="D849" s="1"/>
      <c r="E849" s="1"/>
      <c r="F849" s="1"/>
      <c r="G849" s="1"/>
      <c r="H849" s="2"/>
      <c r="I849" s="36"/>
      <c r="J849" s="1" t="str">
        <f t="shared" si="184"/>
        <v>0</v>
      </c>
      <c r="K849" s="3">
        <f t="shared" si="185"/>
        <v>-100</v>
      </c>
      <c r="L849" s="3">
        <f t="shared" si="186"/>
        <v>1</v>
      </c>
      <c r="M849" s="3">
        <f t="shared" si="187"/>
        <v>0</v>
      </c>
      <c r="N849" s="3" t="str">
        <f t="shared" si="188"/>
        <v>01</v>
      </c>
      <c r="O849" s="14" t="str">
        <f t="shared" si="189"/>
        <v>00</v>
      </c>
      <c r="P849" s="4"/>
      <c r="Q849" s="5"/>
      <c r="R849" s="6">
        <v>516</v>
      </c>
      <c r="S849" s="5">
        <f t="shared" si="191"/>
        <v>0</v>
      </c>
      <c r="T849" s="5"/>
      <c r="U849" s="3"/>
      <c r="V849" s="3"/>
      <c r="W849" s="3"/>
    </row>
    <row r="850" spans="1:23" s="10" customFormat="1" hidden="1">
      <c r="A850" s="3"/>
      <c r="B850" s="1"/>
      <c r="C850" s="1"/>
      <c r="D850" s="1"/>
      <c r="E850" s="1"/>
      <c r="F850" s="1"/>
      <c r="G850" s="1"/>
      <c r="H850" s="2"/>
      <c r="I850" s="36"/>
      <c r="J850" s="1" t="str">
        <f t="shared" si="184"/>
        <v>0</v>
      </c>
      <c r="K850" s="3">
        <f t="shared" si="185"/>
        <v>-100</v>
      </c>
      <c r="L850" s="3">
        <f t="shared" si="186"/>
        <v>1</v>
      </c>
      <c r="M850" s="3">
        <f t="shared" si="187"/>
        <v>0</v>
      </c>
      <c r="N850" s="3" t="str">
        <f t="shared" si="188"/>
        <v>01</v>
      </c>
      <c r="O850" s="14" t="str">
        <f t="shared" si="189"/>
        <v>00</v>
      </c>
      <c r="P850" s="4"/>
      <c r="Q850" s="5"/>
      <c r="R850" s="6">
        <v>516</v>
      </c>
      <c r="S850" s="5">
        <f t="shared" si="191"/>
        <v>0</v>
      </c>
      <c r="T850" s="5"/>
      <c r="U850" s="3"/>
      <c r="V850" s="3"/>
      <c r="W850" s="3"/>
    </row>
    <row r="851" spans="1:23" s="10" customFormat="1" hidden="1">
      <c r="A851" s="3"/>
      <c r="B851" s="1"/>
      <c r="C851" s="1"/>
      <c r="D851" s="1"/>
      <c r="E851" s="1"/>
      <c r="F851" s="1"/>
      <c r="G851" s="1"/>
      <c r="H851" s="2"/>
      <c r="I851" s="36"/>
      <c r="J851" s="1" t="str">
        <f t="shared" si="184"/>
        <v>0</v>
      </c>
      <c r="K851" s="3">
        <f t="shared" si="185"/>
        <v>-100</v>
      </c>
      <c r="L851" s="3">
        <f t="shared" si="186"/>
        <v>1</v>
      </c>
      <c r="M851" s="3">
        <f t="shared" si="187"/>
        <v>0</v>
      </c>
      <c r="N851" s="3" t="str">
        <f t="shared" si="188"/>
        <v>01</v>
      </c>
      <c r="O851" s="14" t="str">
        <f t="shared" si="189"/>
        <v>00</v>
      </c>
      <c r="P851" s="4"/>
      <c r="Q851" s="5"/>
      <c r="R851" s="6">
        <v>516</v>
      </c>
      <c r="S851" s="5">
        <f t="shared" si="191"/>
        <v>0</v>
      </c>
      <c r="T851" s="5"/>
      <c r="U851" s="3"/>
      <c r="V851" s="3"/>
      <c r="W851" s="3"/>
    </row>
    <row r="852" spans="1:23" s="10" customFormat="1">
      <c r="A852" s="3">
        <v>675</v>
      </c>
      <c r="B852" s="1">
        <f>IF(G852="-",0,IF(G851=G852,1,0))</f>
        <v>0</v>
      </c>
      <c r="C852" s="1">
        <f>+IF(G852="-",0,IF(I852=I851+1,0,(IF(I852=1,0,1))))</f>
        <v>1</v>
      </c>
      <c r="D852" s="1">
        <f>+IF(AND(P852="",Q852=""),1,0)</f>
        <v>0</v>
      </c>
      <c r="E852" s="1">
        <f>IF(U852="",1,0)</f>
        <v>0</v>
      </c>
      <c r="F852" s="1">
        <f>IF(V852="",1,0)</f>
        <v>0</v>
      </c>
      <c r="G852" s="1" t="str">
        <f>IF(H852=0,"-",_xlfn.CONCAT(K852,N852,O852,J852))</f>
        <v>24052906</v>
      </c>
      <c r="H852" s="2">
        <v>45441</v>
      </c>
      <c r="I852" s="36">
        <v>6</v>
      </c>
      <c r="J852" s="1" t="str">
        <f t="shared" si="184"/>
        <v>06</v>
      </c>
      <c r="K852" s="3">
        <f t="shared" si="185"/>
        <v>24</v>
      </c>
      <c r="L852" s="3">
        <f t="shared" si="186"/>
        <v>5</v>
      </c>
      <c r="M852" s="3">
        <f t="shared" si="187"/>
        <v>29</v>
      </c>
      <c r="N852" s="3" t="str">
        <f t="shared" si="188"/>
        <v>05</v>
      </c>
      <c r="O852" s="14">
        <f t="shared" si="189"/>
        <v>29</v>
      </c>
      <c r="P852" s="4">
        <v>4339.96</v>
      </c>
      <c r="Q852" s="5"/>
      <c r="R852" s="6">
        <v>517</v>
      </c>
      <c r="S852" s="5">
        <f t="shared" si="191"/>
        <v>8.3945067698259184</v>
      </c>
      <c r="T852" s="5" t="s">
        <v>87</v>
      </c>
      <c r="U852" s="3" t="s">
        <v>29</v>
      </c>
      <c r="V852" s="3" t="s">
        <v>4</v>
      </c>
      <c r="W852" s="3"/>
    </row>
    <row r="853" spans="1:23" s="10" customFormat="1" hidden="1">
      <c r="A853" s="3"/>
      <c r="B853" s="1"/>
      <c r="C853" s="1"/>
      <c r="D853" s="1"/>
      <c r="E853" s="1"/>
      <c r="F853" s="1"/>
      <c r="G853" s="1"/>
      <c r="H853" s="2"/>
      <c r="I853" s="36"/>
      <c r="J853" s="1" t="str">
        <f t="shared" si="184"/>
        <v>0</v>
      </c>
      <c r="K853" s="3">
        <f t="shared" si="185"/>
        <v>-100</v>
      </c>
      <c r="L853" s="3">
        <f t="shared" si="186"/>
        <v>1</v>
      </c>
      <c r="M853" s="3">
        <f t="shared" si="187"/>
        <v>0</v>
      </c>
      <c r="N853" s="3" t="str">
        <f t="shared" si="188"/>
        <v>01</v>
      </c>
      <c r="O853" s="14" t="str">
        <f t="shared" si="189"/>
        <v>00</v>
      </c>
      <c r="P853" s="4"/>
      <c r="Q853" s="5"/>
      <c r="R853" s="6">
        <v>516</v>
      </c>
      <c r="S853" s="5">
        <f t="shared" si="191"/>
        <v>0</v>
      </c>
      <c r="T853" s="5"/>
      <c r="U853" s="3"/>
      <c r="V853" s="3"/>
      <c r="W853" s="3"/>
    </row>
    <row r="854" spans="1:23" s="10" customFormat="1" hidden="1">
      <c r="A854" s="3"/>
      <c r="B854" s="1"/>
      <c r="C854" s="1"/>
      <c r="D854" s="1"/>
      <c r="E854" s="1"/>
      <c r="F854" s="1"/>
      <c r="G854" s="1"/>
      <c r="H854" s="2"/>
      <c r="I854" s="36"/>
      <c r="J854" s="1" t="str">
        <f t="shared" si="184"/>
        <v>0</v>
      </c>
      <c r="K854" s="3">
        <f t="shared" si="185"/>
        <v>-100</v>
      </c>
      <c r="L854" s="3">
        <f t="shared" si="186"/>
        <v>1</v>
      </c>
      <c r="M854" s="3">
        <f t="shared" si="187"/>
        <v>0</v>
      </c>
      <c r="N854" s="3" t="str">
        <f t="shared" si="188"/>
        <v>01</v>
      </c>
      <c r="O854" s="14" t="str">
        <f t="shared" si="189"/>
        <v>00</v>
      </c>
      <c r="P854" s="4"/>
      <c r="Q854" s="5"/>
      <c r="R854" s="6">
        <v>516</v>
      </c>
      <c r="S854" s="5">
        <f t="shared" si="191"/>
        <v>0</v>
      </c>
      <c r="T854" s="5"/>
      <c r="U854" s="3"/>
      <c r="V854" s="3"/>
      <c r="W854" s="3"/>
    </row>
    <row r="855" spans="1:23" s="10" customFormat="1" hidden="1">
      <c r="A855" s="3"/>
      <c r="B855" s="1"/>
      <c r="C855" s="1"/>
      <c r="D855" s="1"/>
      <c r="E855" s="1"/>
      <c r="F855" s="1"/>
      <c r="G855" s="1"/>
      <c r="H855" s="2"/>
      <c r="I855" s="36"/>
      <c r="J855" s="1" t="str">
        <f t="shared" si="184"/>
        <v>0</v>
      </c>
      <c r="K855" s="3">
        <f t="shared" si="185"/>
        <v>-100</v>
      </c>
      <c r="L855" s="3">
        <f t="shared" si="186"/>
        <v>1</v>
      </c>
      <c r="M855" s="3">
        <f t="shared" si="187"/>
        <v>0</v>
      </c>
      <c r="N855" s="3" t="str">
        <f t="shared" si="188"/>
        <v>01</v>
      </c>
      <c r="O855" s="14" t="str">
        <f t="shared" si="189"/>
        <v>00</v>
      </c>
      <c r="P855" s="4"/>
      <c r="Q855" s="5"/>
      <c r="R855" s="6">
        <v>528</v>
      </c>
      <c r="S855" s="5">
        <f t="shared" si="191"/>
        <v>0</v>
      </c>
      <c r="T855" s="5"/>
      <c r="U855" s="3"/>
      <c r="V855" s="3"/>
      <c r="W855" s="3"/>
    </row>
    <row r="856" spans="1:23" s="10" customFormat="1" hidden="1">
      <c r="A856" s="3"/>
      <c r="B856" s="1"/>
      <c r="C856" s="1"/>
      <c r="D856" s="1"/>
      <c r="E856" s="1"/>
      <c r="F856" s="1"/>
      <c r="G856" s="1"/>
      <c r="H856" s="2"/>
      <c r="I856" s="36"/>
      <c r="J856" s="1" t="str">
        <f t="shared" si="184"/>
        <v>0</v>
      </c>
      <c r="K856" s="3">
        <f t="shared" si="185"/>
        <v>-100</v>
      </c>
      <c r="L856" s="3">
        <f t="shared" si="186"/>
        <v>1</v>
      </c>
      <c r="M856" s="3">
        <f t="shared" si="187"/>
        <v>0</v>
      </c>
      <c r="N856" s="3" t="str">
        <f t="shared" si="188"/>
        <v>01</v>
      </c>
      <c r="O856" s="14" t="str">
        <f t="shared" si="189"/>
        <v>00</v>
      </c>
      <c r="P856" s="4"/>
      <c r="Q856" s="5"/>
      <c r="R856" s="6">
        <v>516</v>
      </c>
      <c r="S856" s="5">
        <f t="shared" si="191"/>
        <v>0</v>
      </c>
      <c r="T856" s="5"/>
      <c r="U856" s="3"/>
      <c r="V856" s="3"/>
      <c r="W856" s="3"/>
    </row>
    <row r="857" spans="1:23" s="10" customFormat="1" hidden="1">
      <c r="A857" s="3"/>
      <c r="B857" s="1"/>
      <c r="C857" s="1"/>
      <c r="D857" s="1"/>
      <c r="E857" s="1"/>
      <c r="F857" s="1"/>
      <c r="G857" s="1"/>
      <c r="H857" s="2"/>
      <c r="I857" s="36"/>
      <c r="J857" s="1" t="str">
        <f t="shared" si="184"/>
        <v>0</v>
      </c>
      <c r="K857" s="3">
        <f t="shared" si="185"/>
        <v>-100</v>
      </c>
      <c r="L857" s="3">
        <f t="shared" si="186"/>
        <v>1</v>
      </c>
      <c r="M857" s="3">
        <f t="shared" si="187"/>
        <v>0</v>
      </c>
      <c r="N857" s="3" t="str">
        <f t="shared" si="188"/>
        <v>01</v>
      </c>
      <c r="O857" s="14" t="str">
        <f t="shared" si="189"/>
        <v>00</v>
      </c>
      <c r="P857" s="4"/>
      <c r="Q857" s="5"/>
      <c r="R857" s="6">
        <v>516</v>
      </c>
      <c r="S857" s="5">
        <f t="shared" ref="S857:S888" si="192">IFERROR(P857/R857,"")</f>
        <v>0</v>
      </c>
      <c r="T857" s="5"/>
      <c r="U857" s="3"/>
      <c r="V857" s="3"/>
      <c r="W857" s="3"/>
    </row>
    <row r="858" spans="1:23" hidden="1">
      <c r="J858" s="1" t="str">
        <f t="shared" si="184"/>
        <v>0</v>
      </c>
      <c r="K858" s="3">
        <f t="shared" si="185"/>
        <v>-100</v>
      </c>
      <c r="L858" s="3">
        <f t="shared" si="186"/>
        <v>1</v>
      </c>
      <c r="M858" s="3">
        <f t="shared" si="187"/>
        <v>0</v>
      </c>
      <c r="N858" s="3" t="str">
        <f t="shared" si="188"/>
        <v>01</v>
      </c>
      <c r="O858" s="14" t="str">
        <f t="shared" si="189"/>
        <v>00</v>
      </c>
      <c r="R858" s="6">
        <v>516</v>
      </c>
      <c r="S858" s="5">
        <f t="shared" si="192"/>
        <v>0</v>
      </c>
    </row>
    <row r="859" spans="1:23" s="42" customFormat="1" hidden="1">
      <c r="A859" s="3"/>
      <c r="B859" s="38"/>
      <c r="C859" s="38"/>
      <c r="D859" s="1"/>
      <c r="E859" s="1"/>
      <c r="F859" s="1"/>
      <c r="G859" s="38"/>
      <c r="H859" s="37"/>
      <c r="I859" s="38"/>
      <c r="J859" s="38" t="str">
        <f t="shared" si="184"/>
        <v>0</v>
      </c>
      <c r="K859" s="42">
        <f t="shared" si="185"/>
        <v>-100</v>
      </c>
      <c r="L859" s="42">
        <f t="shared" si="186"/>
        <v>1</v>
      </c>
      <c r="M859" s="42">
        <f t="shared" si="187"/>
        <v>0</v>
      </c>
      <c r="N859" s="42" t="str">
        <f t="shared" si="188"/>
        <v>01</v>
      </c>
      <c r="O859" s="50" t="str">
        <f t="shared" si="189"/>
        <v>00</v>
      </c>
      <c r="P859" s="39"/>
      <c r="Q859" s="40"/>
      <c r="R859" s="41">
        <v>516</v>
      </c>
      <c r="S859" s="40">
        <f t="shared" si="192"/>
        <v>0</v>
      </c>
      <c r="T859" s="40"/>
    </row>
    <row r="860" spans="1:23" hidden="1">
      <c r="J860" s="1" t="str">
        <f t="shared" si="184"/>
        <v>0</v>
      </c>
      <c r="K860" s="3">
        <f t="shared" si="185"/>
        <v>-100</v>
      </c>
      <c r="L860" s="3">
        <f t="shared" si="186"/>
        <v>1</v>
      </c>
      <c r="M860" s="3">
        <f t="shared" si="187"/>
        <v>0</v>
      </c>
      <c r="N860" s="3" t="str">
        <f t="shared" si="188"/>
        <v>01</v>
      </c>
      <c r="O860" s="14" t="str">
        <f t="shared" si="189"/>
        <v>00</v>
      </c>
      <c r="R860" s="6">
        <v>514</v>
      </c>
      <c r="S860" s="5">
        <f t="shared" si="192"/>
        <v>0</v>
      </c>
    </row>
    <row r="861" spans="1:23" hidden="1">
      <c r="J861" s="1" t="str">
        <f t="shared" si="184"/>
        <v>0</v>
      </c>
      <c r="K861" s="3">
        <f t="shared" si="185"/>
        <v>-100</v>
      </c>
      <c r="L861" s="3">
        <f t="shared" si="186"/>
        <v>1</v>
      </c>
      <c r="M861" s="3">
        <f t="shared" si="187"/>
        <v>0</v>
      </c>
      <c r="N861" s="3" t="str">
        <f t="shared" si="188"/>
        <v>01</v>
      </c>
      <c r="O861" s="14" t="str">
        <f t="shared" si="189"/>
        <v>00</v>
      </c>
      <c r="R861" s="6">
        <v>514</v>
      </c>
      <c r="S861" s="5">
        <f t="shared" si="192"/>
        <v>0</v>
      </c>
    </row>
    <row r="862" spans="1:23" hidden="1">
      <c r="J862" s="1" t="str">
        <f t="shared" ref="J862:J895" si="193">+IF(I862&lt;10,_xlfn.CONCAT("0",I862),I862)</f>
        <v>0</v>
      </c>
      <c r="K862" s="3">
        <f t="shared" ref="K862:K925" si="194">+YEAR(H862)-2000</f>
        <v>-100</v>
      </c>
      <c r="L862" s="3">
        <f t="shared" ref="L862:L925" si="195">+MONTH(H862)</f>
        <v>1</v>
      </c>
      <c r="M862" s="3">
        <f t="shared" ref="M862:M925" si="196">+DAY(H862)</f>
        <v>0</v>
      </c>
      <c r="N862" s="3" t="str">
        <f t="shared" ref="N862:N925" si="197">+IF(L862&lt;10,_xlfn.CONCAT("0",L862),L862)</f>
        <v>01</v>
      </c>
      <c r="O862" s="14" t="str">
        <f t="shared" ref="O862:O925" si="198">+IF(M862&lt;10,_xlfn.CONCAT("0",M862),M862)</f>
        <v>00</v>
      </c>
      <c r="R862" s="6">
        <v>514</v>
      </c>
      <c r="S862" s="5">
        <f t="shared" si="192"/>
        <v>0</v>
      </c>
    </row>
    <row r="863" spans="1:23" hidden="1">
      <c r="J863" s="1" t="str">
        <f t="shared" si="193"/>
        <v>0</v>
      </c>
      <c r="K863" s="3">
        <f t="shared" si="194"/>
        <v>-100</v>
      </c>
      <c r="L863" s="3">
        <f t="shared" si="195"/>
        <v>1</v>
      </c>
      <c r="M863" s="3">
        <f t="shared" si="196"/>
        <v>0</v>
      </c>
      <c r="N863" s="3" t="str">
        <f t="shared" si="197"/>
        <v>01</v>
      </c>
      <c r="O863" s="14" t="str">
        <f t="shared" si="198"/>
        <v>00</v>
      </c>
      <c r="R863" s="6">
        <v>514</v>
      </c>
      <c r="S863" s="5">
        <f t="shared" si="192"/>
        <v>0</v>
      </c>
    </row>
    <row r="864" spans="1:23" hidden="1">
      <c r="J864" s="1" t="str">
        <f t="shared" si="193"/>
        <v>0</v>
      </c>
      <c r="K864" s="3">
        <f t="shared" si="194"/>
        <v>-100</v>
      </c>
      <c r="L864" s="3">
        <f t="shared" si="195"/>
        <v>1</v>
      </c>
      <c r="M864" s="3">
        <f t="shared" si="196"/>
        <v>0</v>
      </c>
      <c r="N864" s="3" t="str">
        <f t="shared" si="197"/>
        <v>01</v>
      </c>
      <c r="O864" s="14" t="str">
        <f t="shared" si="198"/>
        <v>00</v>
      </c>
      <c r="R864" s="6">
        <v>514</v>
      </c>
      <c r="S864" s="5">
        <f t="shared" si="192"/>
        <v>0</v>
      </c>
    </row>
    <row r="865" spans="1:23">
      <c r="A865" s="3">
        <v>676</v>
      </c>
      <c r="B865" s="1">
        <f>IF(G865="-",0,IF(G864=G865,1,0))</f>
        <v>0</v>
      </c>
      <c r="C865" s="1">
        <f>+IF(G865="-",0,IF(I865=I864+1,0,(IF(I865=1,0,1))))</f>
        <v>1</v>
      </c>
      <c r="D865" s="1">
        <f>+IF(AND(P865="",Q865=""),1,0)</f>
        <v>0</v>
      </c>
      <c r="E865" s="1">
        <f t="shared" ref="E865:F867" si="199">IF(U865="",1,0)</f>
        <v>0</v>
      </c>
      <c r="F865" s="1">
        <f t="shared" si="199"/>
        <v>0</v>
      </c>
      <c r="G865" s="1" t="str">
        <f>IF(H865=0,"-",_xlfn.CONCAT(K865,N865,O865,J865))</f>
        <v>24052907</v>
      </c>
      <c r="H865" s="2">
        <v>45441</v>
      </c>
      <c r="I865" s="36">
        <v>7</v>
      </c>
      <c r="J865" s="1" t="str">
        <f t="shared" si="193"/>
        <v>07</v>
      </c>
      <c r="K865" s="3">
        <f t="shared" si="194"/>
        <v>24</v>
      </c>
      <c r="L865" s="3">
        <f t="shared" si="195"/>
        <v>5</v>
      </c>
      <c r="M865" s="3">
        <f t="shared" si="196"/>
        <v>29</v>
      </c>
      <c r="N865" s="3" t="str">
        <f t="shared" si="197"/>
        <v>05</v>
      </c>
      <c r="O865" s="14">
        <f t="shared" si="198"/>
        <v>29</v>
      </c>
      <c r="P865" s="4">
        <v>4399.99</v>
      </c>
      <c r="R865" s="6">
        <v>517</v>
      </c>
      <c r="S865" s="5">
        <f t="shared" si="192"/>
        <v>8.5106189555125713</v>
      </c>
      <c r="T865" s="5" t="s">
        <v>87</v>
      </c>
      <c r="U865" s="3" t="s">
        <v>29</v>
      </c>
      <c r="V865" s="3" t="s">
        <v>4</v>
      </c>
    </row>
    <row r="866" spans="1:23">
      <c r="A866" s="3">
        <v>677</v>
      </c>
      <c r="B866" s="1">
        <f>IF(G866="-",0,IF(G865=G866,1,0))</f>
        <v>0</v>
      </c>
      <c r="C866" s="1">
        <f>+IF(G866="-",0,IF(I866=I865+1,0,(IF(I866=1,0,1))))</f>
        <v>0</v>
      </c>
      <c r="D866" s="1">
        <f>+IF(AND(P866="",Q866=""),1,0)</f>
        <v>0</v>
      </c>
      <c r="E866" s="1">
        <f t="shared" si="199"/>
        <v>0</v>
      </c>
      <c r="F866" s="1">
        <f t="shared" si="199"/>
        <v>0</v>
      </c>
      <c r="G866" s="1" t="str">
        <f>IF(H866=0,"-",_xlfn.CONCAT(K866,N866,O866,J866))</f>
        <v>24052908</v>
      </c>
      <c r="H866" s="2">
        <v>45441</v>
      </c>
      <c r="I866" s="36">
        <v>8</v>
      </c>
      <c r="J866" s="1" t="str">
        <f t="shared" si="193"/>
        <v>08</v>
      </c>
      <c r="K866" s="3">
        <f t="shared" si="194"/>
        <v>24</v>
      </c>
      <c r="L866" s="3">
        <f t="shared" si="195"/>
        <v>5</v>
      </c>
      <c r="M866" s="3">
        <f t="shared" si="196"/>
        <v>29</v>
      </c>
      <c r="N866" s="3" t="str">
        <f t="shared" si="197"/>
        <v>05</v>
      </c>
      <c r="O866" s="14">
        <f t="shared" si="198"/>
        <v>29</v>
      </c>
      <c r="P866" s="4">
        <v>21460.43</v>
      </c>
      <c r="R866" s="6">
        <v>517</v>
      </c>
      <c r="S866" s="5">
        <f t="shared" si="192"/>
        <v>41.509535783365571</v>
      </c>
      <c r="T866" s="5" t="s">
        <v>87</v>
      </c>
      <c r="U866" s="3" t="s">
        <v>29</v>
      </c>
      <c r="V866" s="3" t="s">
        <v>4</v>
      </c>
    </row>
    <row r="867" spans="1:23">
      <c r="A867" s="3">
        <v>678</v>
      </c>
      <c r="B867" s="1">
        <f>IF(G867="-",0,IF(G866=G867,1,0))</f>
        <v>0</v>
      </c>
      <c r="C867" s="1">
        <f>+IF(G867="-",0,IF(I867=I866+1,0,(IF(I867=1,0,1))))</f>
        <v>0</v>
      </c>
      <c r="D867" s="1">
        <f>+IF(AND(P867="",Q867=""),1,0)</f>
        <v>0</v>
      </c>
      <c r="E867" s="1">
        <f t="shared" si="199"/>
        <v>0</v>
      </c>
      <c r="F867" s="1">
        <f t="shared" si="199"/>
        <v>0</v>
      </c>
      <c r="G867" s="1" t="str">
        <f>IF(H867=0,"-",_xlfn.CONCAT(K867,N867,O867,J867))</f>
        <v>24052909</v>
      </c>
      <c r="H867" s="2">
        <v>45441</v>
      </c>
      <c r="I867" s="36">
        <v>9</v>
      </c>
      <c r="J867" s="1" t="str">
        <f t="shared" si="193"/>
        <v>09</v>
      </c>
      <c r="K867" s="3">
        <f t="shared" si="194"/>
        <v>24</v>
      </c>
      <c r="L867" s="3">
        <f t="shared" si="195"/>
        <v>5</v>
      </c>
      <c r="M867" s="3">
        <f t="shared" si="196"/>
        <v>29</v>
      </c>
      <c r="N867" s="3" t="str">
        <f t="shared" si="197"/>
        <v>05</v>
      </c>
      <c r="O867" s="14">
        <f t="shared" si="198"/>
        <v>29</v>
      </c>
      <c r="P867" s="4">
        <v>8203.2000000000007</v>
      </c>
      <c r="R867" s="6">
        <v>517</v>
      </c>
      <c r="S867" s="5">
        <f t="shared" si="192"/>
        <v>15.866924564796907</v>
      </c>
      <c r="T867" s="5" t="s">
        <v>87</v>
      </c>
      <c r="U867" s="3" t="s">
        <v>29</v>
      </c>
      <c r="V867" s="3" t="s">
        <v>4</v>
      </c>
    </row>
    <row r="868" spans="1:23" hidden="1">
      <c r="G868" s="52"/>
      <c r="H868" s="9"/>
      <c r="J868" s="1" t="str">
        <f t="shared" si="193"/>
        <v>0</v>
      </c>
      <c r="K868" s="3">
        <f t="shared" si="194"/>
        <v>-100</v>
      </c>
      <c r="L868" s="3">
        <f t="shared" si="195"/>
        <v>1</v>
      </c>
      <c r="M868" s="3">
        <f t="shared" si="196"/>
        <v>0</v>
      </c>
      <c r="N868" s="3" t="str">
        <f t="shared" si="197"/>
        <v>01</v>
      </c>
      <c r="O868" s="14" t="str">
        <f t="shared" si="198"/>
        <v>00</v>
      </c>
      <c r="P868" s="11"/>
      <c r="Q868" s="12"/>
      <c r="R868" s="13">
        <v>514</v>
      </c>
      <c r="S868" s="5">
        <f t="shared" si="192"/>
        <v>0</v>
      </c>
      <c r="U868" s="10"/>
      <c r="V868" s="10"/>
      <c r="W868" s="10"/>
    </row>
    <row r="869" spans="1:23">
      <c r="A869" s="3">
        <v>679</v>
      </c>
      <c r="B869" s="1">
        <f t="shared" ref="B869:B876" si="200">IF(G869="-",0,IF(G868=G869,1,0))</f>
        <v>0</v>
      </c>
      <c r="C869" s="1">
        <f t="shared" ref="C869:C876" si="201">+IF(G869="-",0,IF(I869=I868+1,0,(IF(I869=1,0,1))))</f>
        <v>1</v>
      </c>
      <c r="D869" s="1">
        <f t="shared" ref="D869:D876" si="202">+IF(AND(P869="",Q869=""),1,0)</f>
        <v>0</v>
      </c>
      <c r="E869" s="1">
        <f t="shared" ref="E869:F876" si="203">IF(U869="",1,0)</f>
        <v>0</v>
      </c>
      <c r="F869" s="1">
        <f t="shared" si="203"/>
        <v>0</v>
      </c>
      <c r="G869" s="1" t="str">
        <f t="shared" ref="G869:G876" si="204">IF(H869=0,"-",_xlfn.CONCAT(K869,N869,O869,J869))</f>
        <v>24052910</v>
      </c>
      <c r="H869" s="2">
        <v>45441</v>
      </c>
      <c r="I869" s="36">
        <v>10</v>
      </c>
      <c r="J869" s="1">
        <f t="shared" si="193"/>
        <v>10</v>
      </c>
      <c r="K869" s="3">
        <f t="shared" si="194"/>
        <v>24</v>
      </c>
      <c r="L869" s="3">
        <f t="shared" si="195"/>
        <v>5</v>
      </c>
      <c r="M869" s="3">
        <f t="shared" si="196"/>
        <v>29</v>
      </c>
      <c r="N869" s="3" t="str">
        <f t="shared" si="197"/>
        <v>05</v>
      </c>
      <c r="O869" s="14">
        <f t="shared" si="198"/>
        <v>29</v>
      </c>
      <c r="P869" s="4">
        <v>11249.1</v>
      </c>
      <c r="R869" s="6">
        <v>517</v>
      </c>
      <c r="S869" s="5">
        <f t="shared" si="192"/>
        <v>21.758413926499035</v>
      </c>
      <c r="T869" s="5" t="s">
        <v>87</v>
      </c>
      <c r="U869" s="3" t="s">
        <v>29</v>
      </c>
      <c r="V869" s="3" t="s">
        <v>4</v>
      </c>
    </row>
    <row r="870" spans="1:23">
      <c r="A870" s="3">
        <v>680</v>
      </c>
      <c r="B870" s="1">
        <f t="shared" si="200"/>
        <v>0</v>
      </c>
      <c r="C870" s="1">
        <f t="shared" si="201"/>
        <v>0</v>
      </c>
      <c r="D870" s="1">
        <f t="shared" si="202"/>
        <v>0</v>
      </c>
      <c r="E870" s="1">
        <f t="shared" si="203"/>
        <v>0</v>
      </c>
      <c r="F870" s="1">
        <f t="shared" si="203"/>
        <v>0</v>
      </c>
      <c r="G870" s="1" t="str">
        <f t="shared" si="204"/>
        <v>24052911</v>
      </c>
      <c r="H870" s="2">
        <v>45441</v>
      </c>
      <c r="I870" s="36">
        <v>11</v>
      </c>
      <c r="J870" s="1">
        <f t="shared" si="193"/>
        <v>11</v>
      </c>
      <c r="K870" s="3">
        <f t="shared" si="194"/>
        <v>24</v>
      </c>
      <c r="L870" s="3">
        <f t="shared" si="195"/>
        <v>5</v>
      </c>
      <c r="M870" s="3">
        <f t="shared" si="196"/>
        <v>29</v>
      </c>
      <c r="N870" s="3" t="str">
        <f t="shared" si="197"/>
        <v>05</v>
      </c>
      <c r="O870" s="14">
        <f t="shared" si="198"/>
        <v>29</v>
      </c>
      <c r="P870" s="4">
        <v>79268.09</v>
      </c>
      <c r="R870" s="6">
        <v>517</v>
      </c>
      <c r="S870" s="5">
        <f t="shared" si="192"/>
        <v>153.3231914893617</v>
      </c>
      <c r="T870" s="5" t="s">
        <v>907</v>
      </c>
      <c r="U870" s="3" t="s">
        <v>29</v>
      </c>
      <c r="V870" s="3" t="s">
        <v>4</v>
      </c>
    </row>
    <row r="871" spans="1:23">
      <c r="A871" s="3">
        <v>681</v>
      </c>
      <c r="B871" s="1">
        <f t="shared" si="200"/>
        <v>0</v>
      </c>
      <c r="C871" s="1">
        <f t="shared" si="201"/>
        <v>0</v>
      </c>
      <c r="D871" s="1">
        <f t="shared" si="202"/>
        <v>0</v>
      </c>
      <c r="E871" s="1">
        <f t="shared" si="203"/>
        <v>0</v>
      </c>
      <c r="F871" s="1">
        <f t="shared" si="203"/>
        <v>0</v>
      </c>
      <c r="G871" s="1" t="str">
        <f t="shared" si="204"/>
        <v>24052912</v>
      </c>
      <c r="H871" s="2">
        <v>45441</v>
      </c>
      <c r="I871" s="36">
        <v>12</v>
      </c>
      <c r="J871" s="1">
        <f t="shared" si="193"/>
        <v>12</v>
      </c>
      <c r="K871" s="3">
        <f t="shared" si="194"/>
        <v>24</v>
      </c>
      <c r="L871" s="3">
        <f t="shared" si="195"/>
        <v>5</v>
      </c>
      <c r="M871" s="3">
        <f t="shared" si="196"/>
        <v>29</v>
      </c>
      <c r="N871" s="3" t="str">
        <f t="shared" si="197"/>
        <v>05</v>
      </c>
      <c r="O871" s="14">
        <f t="shared" si="198"/>
        <v>29</v>
      </c>
      <c r="P871" s="4">
        <v>33893.22</v>
      </c>
      <c r="R871" s="6">
        <v>517</v>
      </c>
      <c r="S871" s="5">
        <f t="shared" si="192"/>
        <v>65.557485493230175</v>
      </c>
      <c r="T871" s="5" t="s">
        <v>40</v>
      </c>
      <c r="U871" s="3" t="s">
        <v>29</v>
      </c>
      <c r="V871" s="3" t="s">
        <v>4</v>
      </c>
    </row>
    <row r="872" spans="1:23">
      <c r="A872" s="3">
        <v>686</v>
      </c>
      <c r="B872" s="1">
        <f t="shared" si="200"/>
        <v>0</v>
      </c>
      <c r="C872" s="1">
        <f t="shared" si="201"/>
        <v>1</v>
      </c>
      <c r="D872" s="1">
        <f t="shared" si="202"/>
        <v>0</v>
      </c>
      <c r="E872" s="1">
        <f t="shared" si="203"/>
        <v>0</v>
      </c>
      <c r="F872" s="1">
        <f t="shared" si="203"/>
        <v>0</v>
      </c>
      <c r="G872" s="1" t="str">
        <f t="shared" si="204"/>
        <v>24052917</v>
      </c>
      <c r="H872" s="2">
        <v>45441</v>
      </c>
      <c r="I872" s="36">
        <v>17</v>
      </c>
      <c r="J872" s="1">
        <f t="shared" si="193"/>
        <v>17</v>
      </c>
      <c r="K872" s="3">
        <f t="shared" si="194"/>
        <v>24</v>
      </c>
      <c r="L872" s="3">
        <f t="shared" si="195"/>
        <v>5</v>
      </c>
      <c r="M872" s="3">
        <f t="shared" si="196"/>
        <v>29</v>
      </c>
      <c r="N872" s="3" t="str">
        <f t="shared" si="197"/>
        <v>05</v>
      </c>
      <c r="O872" s="14">
        <f t="shared" si="198"/>
        <v>29</v>
      </c>
      <c r="P872" s="4">
        <v>75050</v>
      </c>
      <c r="R872" s="6">
        <v>517</v>
      </c>
      <c r="S872" s="5">
        <f t="shared" si="192"/>
        <v>145.16441005802707</v>
      </c>
      <c r="T872" s="5" t="s">
        <v>674</v>
      </c>
      <c r="U872" s="3" t="s">
        <v>726</v>
      </c>
      <c r="V872" s="3" t="s">
        <v>4</v>
      </c>
      <c r="W872" s="3" t="s">
        <v>307</v>
      </c>
    </row>
    <row r="873" spans="1:23">
      <c r="A873" s="3">
        <v>697</v>
      </c>
      <c r="B873" s="1">
        <f t="shared" si="200"/>
        <v>0</v>
      </c>
      <c r="C873" s="1">
        <f t="shared" si="201"/>
        <v>0</v>
      </c>
      <c r="D873" s="1">
        <f t="shared" si="202"/>
        <v>0</v>
      </c>
      <c r="E873" s="1">
        <f t="shared" si="203"/>
        <v>0</v>
      </c>
      <c r="F873" s="1">
        <f t="shared" si="203"/>
        <v>0</v>
      </c>
      <c r="G873" s="1" t="str">
        <f t="shared" si="204"/>
        <v>24053101</v>
      </c>
      <c r="H873" s="2">
        <v>45443</v>
      </c>
      <c r="I873" s="36">
        <v>1</v>
      </c>
      <c r="J873" s="1" t="str">
        <f t="shared" si="193"/>
        <v>01</v>
      </c>
      <c r="K873" s="3">
        <f t="shared" si="194"/>
        <v>24</v>
      </c>
      <c r="L873" s="3">
        <f t="shared" si="195"/>
        <v>5</v>
      </c>
      <c r="M873" s="3">
        <f t="shared" si="196"/>
        <v>31</v>
      </c>
      <c r="N873" s="3" t="str">
        <f t="shared" si="197"/>
        <v>05</v>
      </c>
      <c r="O873" s="14">
        <f t="shared" si="198"/>
        <v>31</v>
      </c>
      <c r="P873" s="4">
        <v>32974.6</v>
      </c>
      <c r="R873" s="6">
        <v>524</v>
      </c>
      <c r="S873" s="5">
        <f t="shared" si="192"/>
        <v>62.928625954198473</v>
      </c>
      <c r="T873" s="5" t="s">
        <v>213</v>
      </c>
      <c r="U873" s="3" t="s">
        <v>29</v>
      </c>
      <c r="V873" s="3" t="s">
        <v>4</v>
      </c>
    </row>
    <row r="874" spans="1:23">
      <c r="A874" s="3">
        <v>702</v>
      </c>
      <c r="B874" s="1">
        <f t="shared" si="200"/>
        <v>0</v>
      </c>
      <c r="C874" s="1">
        <f t="shared" si="201"/>
        <v>1</v>
      </c>
      <c r="D874" s="1">
        <f t="shared" si="202"/>
        <v>0</v>
      </c>
      <c r="E874" s="1">
        <f t="shared" si="203"/>
        <v>0</v>
      </c>
      <c r="F874" s="1">
        <f t="shared" si="203"/>
        <v>0</v>
      </c>
      <c r="G874" s="1" t="str">
        <f t="shared" si="204"/>
        <v>24053106</v>
      </c>
      <c r="H874" s="2">
        <v>45443</v>
      </c>
      <c r="I874" s="36">
        <v>6</v>
      </c>
      <c r="J874" s="1" t="str">
        <f t="shared" si="193"/>
        <v>06</v>
      </c>
      <c r="K874" s="3">
        <f t="shared" si="194"/>
        <v>24</v>
      </c>
      <c r="L874" s="3">
        <f t="shared" si="195"/>
        <v>5</v>
      </c>
      <c r="M874" s="3">
        <f t="shared" si="196"/>
        <v>31</v>
      </c>
      <c r="N874" s="3" t="str">
        <f t="shared" si="197"/>
        <v>05</v>
      </c>
      <c r="O874" s="14">
        <f t="shared" si="198"/>
        <v>31</v>
      </c>
      <c r="P874" s="4">
        <v>3681</v>
      </c>
      <c r="R874" s="6">
        <v>524</v>
      </c>
      <c r="S874" s="5">
        <f t="shared" si="192"/>
        <v>7.0248091603053435</v>
      </c>
      <c r="T874" s="5" t="s">
        <v>401</v>
      </c>
      <c r="U874" s="3" t="s">
        <v>29</v>
      </c>
      <c r="V874" s="3" t="s">
        <v>4</v>
      </c>
      <c r="W874" s="3" t="s">
        <v>397</v>
      </c>
    </row>
    <row r="875" spans="1:23">
      <c r="A875" s="3">
        <v>703</v>
      </c>
      <c r="B875" s="1">
        <f t="shared" si="200"/>
        <v>0</v>
      </c>
      <c r="C875" s="1">
        <f t="shared" si="201"/>
        <v>0</v>
      </c>
      <c r="D875" s="1">
        <f t="shared" si="202"/>
        <v>0</v>
      </c>
      <c r="E875" s="1">
        <f t="shared" si="203"/>
        <v>0</v>
      </c>
      <c r="F875" s="1">
        <f t="shared" si="203"/>
        <v>0</v>
      </c>
      <c r="G875" s="1" t="str">
        <f t="shared" si="204"/>
        <v>24060101</v>
      </c>
      <c r="H875" s="2">
        <v>45444</v>
      </c>
      <c r="I875" s="36">
        <v>1</v>
      </c>
      <c r="J875" s="1" t="str">
        <f t="shared" si="193"/>
        <v>01</v>
      </c>
      <c r="K875" s="3">
        <f t="shared" si="194"/>
        <v>24</v>
      </c>
      <c r="L875" s="3">
        <f t="shared" si="195"/>
        <v>6</v>
      </c>
      <c r="M875" s="3">
        <f t="shared" si="196"/>
        <v>1</v>
      </c>
      <c r="N875" s="3" t="str">
        <f t="shared" si="197"/>
        <v>06</v>
      </c>
      <c r="O875" s="14" t="str">
        <f t="shared" si="198"/>
        <v>01</v>
      </c>
      <c r="P875" s="4">
        <v>516181.64</v>
      </c>
      <c r="R875" s="6">
        <v>524</v>
      </c>
      <c r="S875" s="5">
        <f t="shared" si="192"/>
        <v>985.07946564885503</v>
      </c>
      <c r="T875" s="5" t="s">
        <v>235</v>
      </c>
      <c r="U875" s="3" t="s">
        <v>1</v>
      </c>
      <c r="V875" s="3" t="s">
        <v>4</v>
      </c>
    </row>
    <row r="876" spans="1:23">
      <c r="A876" s="3">
        <v>707</v>
      </c>
      <c r="B876" s="1">
        <f t="shared" si="200"/>
        <v>0</v>
      </c>
      <c r="C876" s="1">
        <f t="shared" si="201"/>
        <v>1</v>
      </c>
      <c r="D876" s="1">
        <f t="shared" si="202"/>
        <v>0</v>
      </c>
      <c r="E876" s="1">
        <f t="shared" si="203"/>
        <v>0</v>
      </c>
      <c r="F876" s="1">
        <f t="shared" si="203"/>
        <v>0</v>
      </c>
      <c r="G876" s="1" t="str">
        <f t="shared" si="204"/>
        <v>24060105</v>
      </c>
      <c r="H876" s="2">
        <v>45444</v>
      </c>
      <c r="I876" s="36">
        <v>5</v>
      </c>
      <c r="J876" s="1" t="str">
        <f t="shared" si="193"/>
        <v>05</v>
      </c>
      <c r="K876" s="3">
        <f t="shared" si="194"/>
        <v>24</v>
      </c>
      <c r="L876" s="3">
        <f t="shared" si="195"/>
        <v>6</v>
      </c>
      <c r="M876" s="3">
        <f t="shared" si="196"/>
        <v>1</v>
      </c>
      <c r="N876" s="3" t="str">
        <f t="shared" si="197"/>
        <v>06</v>
      </c>
      <c r="O876" s="14" t="str">
        <f t="shared" si="198"/>
        <v>01</v>
      </c>
      <c r="P876" s="57">
        <v>75000</v>
      </c>
      <c r="R876" s="6">
        <v>524</v>
      </c>
      <c r="S876" s="5">
        <f t="shared" si="192"/>
        <v>143.12977099236642</v>
      </c>
      <c r="T876" s="3" t="s">
        <v>237</v>
      </c>
      <c r="U876" s="3" t="s">
        <v>1</v>
      </c>
      <c r="V876" s="3" t="s">
        <v>4</v>
      </c>
    </row>
    <row r="877" spans="1:23" hidden="1">
      <c r="G877" s="52"/>
      <c r="H877" s="9"/>
      <c r="J877" s="1" t="str">
        <f t="shared" si="193"/>
        <v>0</v>
      </c>
      <c r="K877" s="3">
        <f t="shared" si="194"/>
        <v>-100</v>
      </c>
      <c r="L877" s="3">
        <f t="shared" si="195"/>
        <v>1</v>
      </c>
      <c r="M877" s="3">
        <f t="shared" si="196"/>
        <v>0</v>
      </c>
      <c r="N877" s="3" t="str">
        <f t="shared" si="197"/>
        <v>01</v>
      </c>
      <c r="O877" s="14" t="str">
        <f t="shared" si="198"/>
        <v>00</v>
      </c>
      <c r="P877" s="11"/>
      <c r="Q877" s="12"/>
      <c r="R877" s="13">
        <v>514</v>
      </c>
      <c r="S877" s="5">
        <f t="shared" si="192"/>
        <v>0</v>
      </c>
      <c r="T877" s="12"/>
      <c r="U877" s="10"/>
      <c r="V877" s="10"/>
      <c r="W877" s="10"/>
    </row>
    <row r="878" spans="1:23" hidden="1">
      <c r="G878" s="52"/>
      <c r="H878" s="9"/>
      <c r="J878" s="1" t="str">
        <f t="shared" si="193"/>
        <v>0</v>
      </c>
      <c r="K878" s="3">
        <f t="shared" si="194"/>
        <v>-100</v>
      </c>
      <c r="L878" s="3">
        <f t="shared" si="195"/>
        <v>1</v>
      </c>
      <c r="M878" s="3">
        <f t="shared" si="196"/>
        <v>0</v>
      </c>
      <c r="N878" s="3" t="str">
        <f t="shared" si="197"/>
        <v>01</v>
      </c>
      <c r="O878" s="14" t="str">
        <f t="shared" si="198"/>
        <v>00</v>
      </c>
      <c r="P878" s="11"/>
      <c r="Q878" s="12"/>
      <c r="R878" s="13">
        <v>514</v>
      </c>
      <c r="S878" s="5">
        <f t="shared" si="192"/>
        <v>0</v>
      </c>
      <c r="T878" s="12"/>
      <c r="U878" s="10"/>
      <c r="V878" s="10"/>
      <c r="W878" s="10"/>
    </row>
    <row r="879" spans="1:23">
      <c r="A879" s="3">
        <v>708</v>
      </c>
      <c r="B879" s="1">
        <f>IF(G879="-",0,IF(G878=G879,1,0))</f>
        <v>0</v>
      </c>
      <c r="C879" s="1">
        <f>+IF(G879="-",0,IF(I879=I878+1,0,(IF(I879=1,0,1))))</f>
        <v>1</v>
      </c>
      <c r="D879" s="1">
        <f>+IF(AND(P879="",Q879=""),1,0)</f>
        <v>0</v>
      </c>
      <c r="E879" s="1">
        <f>IF(U879="",1,0)</f>
        <v>0</v>
      </c>
      <c r="F879" s="1">
        <f>IF(V879="",1,0)</f>
        <v>0</v>
      </c>
      <c r="G879" s="1" t="str">
        <f>IF(H879=0,"-",_xlfn.CONCAT(K879,N879,O879,J879))</f>
        <v>24060106</v>
      </c>
      <c r="H879" s="2">
        <v>45444</v>
      </c>
      <c r="I879" s="36">
        <v>6</v>
      </c>
      <c r="J879" s="1" t="str">
        <f t="shared" si="193"/>
        <v>06</v>
      </c>
      <c r="K879" s="3">
        <f t="shared" si="194"/>
        <v>24</v>
      </c>
      <c r="L879" s="3">
        <f t="shared" si="195"/>
        <v>6</v>
      </c>
      <c r="M879" s="3">
        <f t="shared" si="196"/>
        <v>1</v>
      </c>
      <c r="N879" s="3" t="str">
        <f t="shared" si="197"/>
        <v>06</v>
      </c>
      <c r="O879" s="14" t="str">
        <f t="shared" si="198"/>
        <v>01</v>
      </c>
      <c r="P879" s="57">
        <v>120000</v>
      </c>
      <c r="R879" s="6">
        <v>524</v>
      </c>
      <c r="S879" s="5">
        <f t="shared" si="192"/>
        <v>229.00763358778627</v>
      </c>
      <c r="T879" s="3" t="s">
        <v>238</v>
      </c>
      <c r="U879" s="3" t="s">
        <v>1</v>
      </c>
      <c r="V879" s="3" t="s">
        <v>4</v>
      </c>
    </row>
    <row r="880" spans="1:23" hidden="1">
      <c r="G880" s="52"/>
      <c r="H880" s="9"/>
      <c r="J880" s="1" t="str">
        <f t="shared" si="193"/>
        <v>0</v>
      </c>
      <c r="K880" s="3">
        <f t="shared" si="194"/>
        <v>-100</v>
      </c>
      <c r="L880" s="3">
        <f t="shared" si="195"/>
        <v>1</v>
      </c>
      <c r="M880" s="3">
        <f t="shared" si="196"/>
        <v>0</v>
      </c>
      <c r="N880" s="3" t="str">
        <f t="shared" si="197"/>
        <v>01</v>
      </c>
      <c r="O880" s="14" t="str">
        <f t="shared" si="198"/>
        <v>00</v>
      </c>
      <c r="P880" s="11"/>
      <c r="Q880" s="12"/>
      <c r="R880" s="13">
        <v>514</v>
      </c>
      <c r="S880" s="5">
        <f t="shared" si="192"/>
        <v>0</v>
      </c>
      <c r="T880" s="12"/>
      <c r="U880" s="10"/>
      <c r="V880" s="10"/>
      <c r="W880" s="10"/>
    </row>
    <row r="881" spans="1:23" hidden="1">
      <c r="G881" s="52"/>
      <c r="H881" s="9"/>
      <c r="J881" s="1" t="str">
        <f t="shared" si="193"/>
        <v>0</v>
      </c>
      <c r="K881" s="3">
        <f t="shared" si="194"/>
        <v>-100</v>
      </c>
      <c r="L881" s="3">
        <f t="shared" si="195"/>
        <v>1</v>
      </c>
      <c r="M881" s="3">
        <f t="shared" si="196"/>
        <v>0</v>
      </c>
      <c r="N881" s="3" t="str">
        <f t="shared" si="197"/>
        <v>01</v>
      </c>
      <c r="O881" s="14" t="str">
        <f t="shared" si="198"/>
        <v>00</v>
      </c>
      <c r="P881" s="11"/>
      <c r="Q881" s="12"/>
      <c r="R881" s="13">
        <v>514</v>
      </c>
      <c r="S881" s="5">
        <f t="shared" si="192"/>
        <v>0</v>
      </c>
      <c r="T881" s="12"/>
      <c r="U881" s="10"/>
      <c r="V881" s="10"/>
      <c r="W881" s="10"/>
    </row>
    <row r="882" spans="1:23" hidden="1">
      <c r="G882" s="52"/>
      <c r="H882" s="9"/>
      <c r="J882" s="1" t="str">
        <f t="shared" si="193"/>
        <v>0</v>
      </c>
      <c r="K882" s="3">
        <f t="shared" si="194"/>
        <v>-100</v>
      </c>
      <c r="L882" s="3">
        <f t="shared" si="195"/>
        <v>1</v>
      </c>
      <c r="M882" s="3">
        <f t="shared" si="196"/>
        <v>0</v>
      </c>
      <c r="N882" s="3" t="str">
        <f t="shared" si="197"/>
        <v>01</v>
      </c>
      <c r="O882" s="14" t="str">
        <f t="shared" si="198"/>
        <v>00</v>
      </c>
      <c r="P882" s="11"/>
      <c r="Q882" s="12"/>
      <c r="R882" s="13">
        <v>514</v>
      </c>
      <c r="S882" s="5">
        <f t="shared" si="192"/>
        <v>0</v>
      </c>
      <c r="T882" s="12"/>
      <c r="U882" s="10"/>
      <c r="V882" s="10"/>
      <c r="W882" s="10"/>
    </row>
    <row r="883" spans="1:23">
      <c r="A883" s="3">
        <v>709</v>
      </c>
      <c r="B883" s="1">
        <f>IF(G883="-",0,IF(G882=G883,1,0))</f>
        <v>0</v>
      </c>
      <c r="C883" s="1">
        <f>+IF(G883="-",0,IF(I883=I882+1,0,(IF(I883=1,0,1))))</f>
        <v>1</v>
      </c>
      <c r="D883" s="1">
        <f>+IF(AND(P883="",Q883=""),1,0)</f>
        <v>0</v>
      </c>
      <c r="E883" s="1">
        <f>IF(U883="",1,0)</f>
        <v>0</v>
      </c>
      <c r="F883" s="1">
        <f>IF(V883="",1,0)</f>
        <v>0</v>
      </c>
      <c r="G883" s="1" t="str">
        <f>IF(H883=0,"-",_xlfn.CONCAT(K883,N883,O883,J883))</f>
        <v>24060107</v>
      </c>
      <c r="H883" s="2">
        <v>45444</v>
      </c>
      <c r="I883" s="36">
        <v>7</v>
      </c>
      <c r="J883" s="1" t="str">
        <f t="shared" si="193"/>
        <v>07</v>
      </c>
      <c r="K883" s="3">
        <f t="shared" si="194"/>
        <v>24</v>
      </c>
      <c r="L883" s="3">
        <f t="shared" si="195"/>
        <v>6</v>
      </c>
      <c r="M883" s="3">
        <f t="shared" si="196"/>
        <v>1</v>
      </c>
      <c r="N883" s="3" t="str">
        <f t="shared" si="197"/>
        <v>06</v>
      </c>
      <c r="O883" s="14" t="str">
        <f t="shared" si="198"/>
        <v>01</v>
      </c>
      <c r="P883" s="58">
        <v>99000</v>
      </c>
      <c r="R883" s="6">
        <v>524</v>
      </c>
      <c r="S883" s="5">
        <f t="shared" si="192"/>
        <v>188.93129770992365</v>
      </c>
      <c r="T883" s="3" t="s">
        <v>239</v>
      </c>
      <c r="U883" s="3" t="s">
        <v>1</v>
      </c>
      <c r="V883" s="3" t="s">
        <v>4</v>
      </c>
    </row>
    <row r="884" spans="1:23" hidden="1">
      <c r="G884" s="52"/>
      <c r="H884" s="9"/>
      <c r="J884" s="1" t="str">
        <f t="shared" si="193"/>
        <v>0</v>
      </c>
      <c r="K884" s="3">
        <f t="shared" si="194"/>
        <v>-100</v>
      </c>
      <c r="L884" s="3">
        <f t="shared" si="195"/>
        <v>1</v>
      </c>
      <c r="M884" s="3">
        <f t="shared" si="196"/>
        <v>0</v>
      </c>
      <c r="N884" s="3" t="str">
        <f t="shared" si="197"/>
        <v>01</v>
      </c>
      <c r="O884" s="14" t="str">
        <f t="shared" si="198"/>
        <v>00</v>
      </c>
      <c r="P884" s="11"/>
      <c r="Q884" s="12"/>
      <c r="R884" s="13">
        <v>514</v>
      </c>
      <c r="S884" s="5">
        <f t="shared" si="192"/>
        <v>0</v>
      </c>
      <c r="T884" s="12"/>
      <c r="U884" s="10"/>
      <c r="V884" s="10"/>
      <c r="W884" s="10"/>
    </row>
    <row r="885" spans="1:23">
      <c r="A885" s="3">
        <v>710</v>
      </c>
      <c r="B885" s="1">
        <f>IF(G885="-",0,IF(G884=G885,1,0))</f>
        <v>0</v>
      </c>
      <c r="C885" s="1">
        <f>+IF(G885="-",0,IF(I885=I884+1,0,(IF(I885=1,0,1))))</f>
        <v>1</v>
      </c>
      <c r="D885" s="1">
        <f>+IF(AND(P885="",Q885=""),1,0)</f>
        <v>0</v>
      </c>
      <c r="E885" s="1">
        <f>IF(U885="",1,0)</f>
        <v>0</v>
      </c>
      <c r="F885" s="1">
        <f>IF(V885="",1,0)</f>
        <v>0</v>
      </c>
      <c r="G885" s="1" t="str">
        <f>IF(H885=0,"-",_xlfn.CONCAT(K885,N885,O885,J885))</f>
        <v>24060108</v>
      </c>
      <c r="H885" s="2">
        <v>45444</v>
      </c>
      <c r="I885" s="36">
        <v>8</v>
      </c>
      <c r="J885" s="1" t="str">
        <f t="shared" si="193"/>
        <v>08</v>
      </c>
      <c r="K885" s="3">
        <f t="shared" si="194"/>
        <v>24</v>
      </c>
      <c r="L885" s="3">
        <f t="shared" si="195"/>
        <v>6</v>
      </c>
      <c r="M885" s="3">
        <f t="shared" si="196"/>
        <v>1</v>
      </c>
      <c r="N885" s="3" t="str">
        <f t="shared" si="197"/>
        <v>06</v>
      </c>
      <c r="O885" s="14" t="str">
        <f t="shared" si="198"/>
        <v>01</v>
      </c>
      <c r="P885" s="58">
        <v>102000</v>
      </c>
      <c r="R885" s="6">
        <v>524</v>
      </c>
      <c r="S885" s="5">
        <f t="shared" si="192"/>
        <v>194.65648854961833</v>
      </c>
      <c r="T885" s="3" t="s">
        <v>240</v>
      </c>
      <c r="U885" s="3" t="s">
        <v>1</v>
      </c>
      <c r="V885" s="3" t="s">
        <v>4</v>
      </c>
    </row>
    <row r="886" spans="1:23">
      <c r="A886" s="3">
        <v>712</v>
      </c>
      <c r="B886" s="1">
        <f>IF(G886="-",0,IF(G885=G886,1,0))</f>
        <v>0</v>
      </c>
      <c r="C886" s="1">
        <f>+IF(G886="-",0,IF(I886=I885+1,0,(IF(I886=1,0,1))))</f>
        <v>1</v>
      </c>
      <c r="D886" s="1">
        <f>+IF(AND(P886="",Q886=""),1,0)</f>
        <v>0</v>
      </c>
      <c r="E886" s="1">
        <f>IF(U886="",1,0)</f>
        <v>0</v>
      </c>
      <c r="F886" s="1">
        <f>IF(V886="",1,0)</f>
        <v>0</v>
      </c>
      <c r="G886" s="1" t="str">
        <f>IF(H886=0,"-",_xlfn.CONCAT(K886,N886,O886,J886))</f>
        <v>24060110</v>
      </c>
      <c r="H886" s="2">
        <v>45444</v>
      </c>
      <c r="I886" s="36">
        <v>10</v>
      </c>
      <c r="J886" s="1">
        <f t="shared" si="193"/>
        <v>10</v>
      </c>
      <c r="K886" s="3">
        <f t="shared" si="194"/>
        <v>24</v>
      </c>
      <c r="L886" s="3">
        <f t="shared" si="195"/>
        <v>6</v>
      </c>
      <c r="M886" s="3">
        <f t="shared" si="196"/>
        <v>1</v>
      </c>
      <c r="N886" s="3" t="str">
        <f t="shared" si="197"/>
        <v>06</v>
      </c>
      <c r="O886" s="14" t="str">
        <f t="shared" si="198"/>
        <v>01</v>
      </c>
      <c r="P886" s="58">
        <v>120000</v>
      </c>
      <c r="R886" s="6">
        <v>524</v>
      </c>
      <c r="S886" s="5">
        <f t="shared" si="192"/>
        <v>229.00763358778627</v>
      </c>
      <c r="T886" s="3" t="s">
        <v>242</v>
      </c>
      <c r="U886" s="3" t="s">
        <v>1</v>
      </c>
      <c r="V886" s="3" t="s">
        <v>4</v>
      </c>
    </row>
    <row r="887" spans="1:23" hidden="1">
      <c r="G887" s="52"/>
      <c r="H887" s="9"/>
      <c r="J887" s="1" t="str">
        <f t="shared" si="193"/>
        <v>0</v>
      </c>
      <c r="K887" s="3">
        <f t="shared" si="194"/>
        <v>-100</v>
      </c>
      <c r="L887" s="3">
        <f t="shared" si="195"/>
        <v>1</v>
      </c>
      <c r="M887" s="3">
        <f t="shared" si="196"/>
        <v>0</v>
      </c>
      <c r="N887" s="3" t="str">
        <f t="shared" si="197"/>
        <v>01</v>
      </c>
      <c r="O887" s="14" t="str">
        <f t="shared" si="198"/>
        <v>00</v>
      </c>
      <c r="P887" s="11"/>
      <c r="Q887" s="12"/>
      <c r="R887" s="13">
        <v>514</v>
      </c>
      <c r="S887" s="5">
        <f t="shared" si="192"/>
        <v>0</v>
      </c>
      <c r="T887" s="12"/>
      <c r="U887" s="10"/>
      <c r="V887" s="10"/>
      <c r="W887" s="10"/>
    </row>
    <row r="888" spans="1:23" hidden="1">
      <c r="G888" s="52"/>
      <c r="H888" s="9"/>
      <c r="J888" s="1" t="str">
        <f t="shared" si="193"/>
        <v>0</v>
      </c>
      <c r="K888" s="3">
        <f t="shared" si="194"/>
        <v>-100</v>
      </c>
      <c r="L888" s="3">
        <f t="shared" si="195"/>
        <v>1</v>
      </c>
      <c r="M888" s="3">
        <f t="shared" si="196"/>
        <v>0</v>
      </c>
      <c r="N888" s="3" t="str">
        <f t="shared" si="197"/>
        <v>01</v>
      </c>
      <c r="O888" s="14" t="str">
        <f t="shared" si="198"/>
        <v>00</v>
      </c>
      <c r="P888" s="11"/>
      <c r="Q888" s="12"/>
      <c r="R888" s="13">
        <v>514</v>
      </c>
      <c r="S888" s="5">
        <f t="shared" si="192"/>
        <v>0</v>
      </c>
      <c r="T888" s="12"/>
      <c r="U888" s="10"/>
      <c r="V888" s="10"/>
      <c r="W888" s="10"/>
    </row>
    <row r="889" spans="1:23">
      <c r="A889" s="3">
        <v>716</v>
      </c>
      <c r="B889" s="1">
        <f>IF(G889="-",0,IF(G888=G889,1,0))</f>
        <v>0</v>
      </c>
      <c r="C889" s="1">
        <f>+IF(G889="-",0,IF(I889=I888+1,0,(IF(I889=1,0,1))))</f>
        <v>1</v>
      </c>
      <c r="D889" s="1">
        <f>+IF(AND(P889="",Q889=""),1,0)</f>
        <v>0</v>
      </c>
      <c r="E889" s="1">
        <f>IF(U889="",1,0)</f>
        <v>0</v>
      </c>
      <c r="F889" s="1">
        <f>IF(V889="",1,0)</f>
        <v>0</v>
      </c>
      <c r="G889" s="1" t="str">
        <f>IF(H889=0,"-",_xlfn.CONCAT(K889,N889,O889,J889))</f>
        <v>24060114</v>
      </c>
      <c r="H889" s="2">
        <v>45444</v>
      </c>
      <c r="I889" s="36">
        <v>14</v>
      </c>
      <c r="J889" s="1">
        <f t="shared" si="193"/>
        <v>14</v>
      </c>
      <c r="K889" s="3">
        <f t="shared" si="194"/>
        <v>24</v>
      </c>
      <c r="L889" s="3">
        <f t="shared" si="195"/>
        <v>6</v>
      </c>
      <c r="M889" s="3">
        <f t="shared" si="196"/>
        <v>1</v>
      </c>
      <c r="N889" s="3" t="str">
        <f t="shared" si="197"/>
        <v>06</v>
      </c>
      <c r="O889" s="14" t="str">
        <f t="shared" si="198"/>
        <v>01</v>
      </c>
      <c r="P889" s="58">
        <v>90000</v>
      </c>
      <c r="R889" s="6">
        <v>524</v>
      </c>
      <c r="S889" s="5">
        <f t="shared" ref="S889:S895" si="205">IFERROR(P889/R889,"")</f>
        <v>171.75572519083968</v>
      </c>
      <c r="T889" s="3" t="s">
        <v>246</v>
      </c>
      <c r="U889" s="3" t="s">
        <v>1</v>
      </c>
      <c r="V889" s="3" t="s">
        <v>4</v>
      </c>
    </row>
    <row r="890" spans="1:23" hidden="1">
      <c r="G890" s="52"/>
      <c r="H890" s="9"/>
      <c r="J890" s="1" t="str">
        <f t="shared" si="193"/>
        <v>0</v>
      </c>
      <c r="K890" s="3">
        <f t="shared" si="194"/>
        <v>-100</v>
      </c>
      <c r="L890" s="3">
        <f t="shared" si="195"/>
        <v>1</v>
      </c>
      <c r="M890" s="3">
        <f t="shared" si="196"/>
        <v>0</v>
      </c>
      <c r="N890" s="3" t="str">
        <f t="shared" si="197"/>
        <v>01</v>
      </c>
      <c r="O890" s="14" t="str">
        <f t="shared" si="198"/>
        <v>00</v>
      </c>
      <c r="P890" s="11"/>
      <c r="Q890" s="12"/>
      <c r="R890" s="13">
        <v>514</v>
      </c>
      <c r="S890" s="5">
        <f t="shared" si="205"/>
        <v>0</v>
      </c>
      <c r="T890" s="12"/>
      <c r="U890" s="10"/>
      <c r="V890" s="10"/>
      <c r="W890" s="10"/>
    </row>
    <row r="891" spans="1:23">
      <c r="A891" s="3">
        <v>718</v>
      </c>
      <c r="B891" s="1">
        <f>IF(G891="-",0,IF(G890=G891,1,0))</f>
        <v>0</v>
      </c>
      <c r="C891" s="1">
        <f>+IF(G891="-",0,IF(I891=I890+1,0,(IF(I891=1,0,1))))</f>
        <v>1</v>
      </c>
      <c r="D891" s="1">
        <f>+IF(AND(P891="",Q891=""),1,0)</f>
        <v>0</v>
      </c>
      <c r="E891" s="1">
        <f>IF(U891="",1,0)</f>
        <v>0</v>
      </c>
      <c r="F891" s="1">
        <f>IF(V891="",1,0)</f>
        <v>0</v>
      </c>
      <c r="G891" s="1" t="str">
        <f>IF(H891=0,"-",_xlfn.CONCAT(K891,N891,O891,J891))</f>
        <v>24060116</v>
      </c>
      <c r="H891" s="2">
        <v>45444</v>
      </c>
      <c r="I891" s="36">
        <v>16</v>
      </c>
      <c r="J891" s="1">
        <f t="shared" si="193"/>
        <v>16</v>
      </c>
      <c r="K891" s="3">
        <f t="shared" si="194"/>
        <v>24</v>
      </c>
      <c r="L891" s="3">
        <f t="shared" si="195"/>
        <v>6</v>
      </c>
      <c r="M891" s="3">
        <f t="shared" si="196"/>
        <v>1</v>
      </c>
      <c r="N891" s="3" t="str">
        <f t="shared" si="197"/>
        <v>06</v>
      </c>
      <c r="O891" s="14" t="str">
        <f t="shared" si="198"/>
        <v>01</v>
      </c>
      <c r="P891" s="58">
        <v>150000</v>
      </c>
      <c r="R891" s="6">
        <v>524</v>
      </c>
      <c r="S891" s="5">
        <f t="shared" si="205"/>
        <v>286.25954198473283</v>
      </c>
      <c r="T891" s="3" t="s">
        <v>248</v>
      </c>
      <c r="U891" s="3" t="s">
        <v>1</v>
      </c>
      <c r="V891" s="3" t="s">
        <v>4</v>
      </c>
    </row>
    <row r="892" spans="1:23">
      <c r="A892" s="3">
        <v>720</v>
      </c>
      <c r="B892" s="1">
        <f>IF(G892="-",0,IF(G891=G892,1,0))</f>
        <v>0</v>
      </c>
      <c r="C892" s="1">
        <f>+IF(G892="-",0,IF(I892=I891+1,0,(IF(I892=1,0,1))))</f>
        <v>1</v>
      </c>
      <c r="D892" s="1">
        <f>+IF(AND(P892="",Q892=""),1,0)</f>
        <v>0</v>
      </c>
      <c r="E892" s="1">
        <f>IF(U892="",1,0)</f>
        <v>0</v>
      </c>
      <c r="F892" s="1">
        <f>IF(V892="",1,0)</f>
        <v>0</v>
      </c>
      <c r="G892" s="1" t="str">
        <f>IF(H892=0,"-",_xlfn.CONCAT(K892,N892,O892,J892))</f>
        <v>24060118</v>
      </c>
      <c r="H892" s="2">
        <v>45444</v>
      </c>
      <c r="I892" s="36">
        <v>18</v>
      </c>
      <c r="J892" s="1">
        <f t="shared" si="193"/>
        <v>18</v>
      </c>
      <c r="K892" s="3">
        <f t="shared" si="194"/>
        <v>24</v>
      </c>
      <c r="L892" s="3">
        <f t="shared" si="195"/>
        <v>6</v>
      </c>
      <c r="M892" s="3">
        <f t="shared" si="196"/>
        <v>1</v>
      </c>
      <c r="N892" s="3" t="str">
        <f t="shared" si="197"/>
        <v>06</v>
      </c>
      <c r="O892" s="14" t="str">
        <f t="shared" si="198"/>
        <v>01</v>
      </c>
      <c r="P892" s="4">
        <v>30000</v>
      </c>
      <c r="R892" s="6">
        <v>524</v>
      </c>
      <c r="S892" s="5">
        <f t="shared" si="205"/>
        <v>57.251908396946568</v>
      </c>
      <c r="T892" s="5" t="s">
        <v>257</v>
      </c>
      <c r="U892" s="3" t="s">
        <v>1</v>
      </c>
      <c r="V892" s="3" t="s">
        <v>4</v>
      </c>
    </row>
    <row r="893" spans="1:23" hidden="1">
      <c r="J893" s="1" t="str">
        <f t="shared" si="193"/>
        <v>0</v>
      </c>
      <c r="K893" s="3">
        <f t="shared" si="194"/>
        <v>-100</v>
      </c>
      <c r="L893" s="3">
        <f t="shared" si="195"/>
        <v>1</v>
      </c>
      <c r="M893" s="3">
        <f t="shared" si="196"/>
        <v>0</v>
      </c>
      <c r="N893" s="3" t="str">
        <f t="shared" si="197"/>
        <v>01</v>
      </c>
      <c r="O893" s="14" t="str">
        <f t="shared" si="198"/>
        <v>00</v>
      </c>
      <c r="R893" s="6">
        <v>514</v>
      </c>
      <c r="S893" s="5">
        <f t="shared" si="205"/>
        <v>0</v>
      </c>
    </row>
    <row r="894" spans="1:23" hidden="1">
      <c r="J894" s="1" t="str">
        <f t="shared" si="193"/>
        <v>0</v>
      </c>
      <c r="K894" s="3">
        <f t="shared" si="194"/>
        <v>-100</v>
      </c>
      <c r="L894" s="3">
        <f t="shared" si="195"/>
        <v>1</v>
      </c>
      <c r="M894" s="3">
        <f t="shared" si="196"/>
        <v>0</v>
      </c>
      <c r="N894" s="3" t="str">
        <f t="shared" si="197"/>
        <v>01</v>
      </c>
      <c r="O894" s="14" t="str">
        <f t="shared" si="198"/>
        <v>00</v>
      </c>
      <c r="R894" s="6">
        <v>514</v>
      </c>
      <c r="S894" s="5">
        <f t="shared" si="205"/>
        <v>0</v>
      </c>
    </row>
    <row r="895" spans="1:23" hidden="1">
      <c r="B895" s="38"/>
      <c r="C895" s="38"/>
      <c r="G895" s="38"/>
      <c r="H895" s="37"/>
      <c r="I895" s="38"/>
      <c r="J895" s="38" t="str">
        <f t="shared" si="193"/>
        <v>0</v>
      </c>
      <c r="K895" s="42">
        <f t="shared" si="194"/>
        <v>-100</v>
      </c>
      <c r="L895" s="42">
        <f t="shared" si="195"/>
        <v>1</v>
      </c>
      <c r="M895" s="42">
        <f t="shared" si="196"/>
        <v>0</v>
      </c>
      <c r="N895" s="42" t="str">
        <f t="shared" si="197"/>
        <v>01</v>
      </c>
      <c r="O895" s="50" t="str">
        <f t="shared" si="198"/>
        <v>00</v>
      </c>
      <c r="P895" s="39"/>
      <c r="Q895" s="40"/>
      <c r="R895" s="41">
        <v>514</v>
      </c>
      <c r="S895" s="40">
        <f t="shared" si="205"/>
        <v>0</v>
      </c>
      <c r="T895" s="40"/>
      <c r="U895" s="42"/>
      <c r="V895" s="42"/>
      <c r="W895" s="42"/>
    </row>
    <row r="896" spans="1:23" s="42" customFormat="1" hidden="1">
      <c r="A896" s="3"/>
      <c r="B896" s="1"/>
      <c r="C896" s="1"/>
      <c r="D896" s="1"/>
      <c r="E896" s="1"/>
      <c r="F896" s="1"/>
      <c r="G896" s="52"/>
      <c r="H896" s="9"/>
      <c r="I896" s="36"/>
      <c r="J896" s="1"/>
      <c r="K896" s="3">
        <f t="shared" si="194"/>
        <v>-100</v>
      </c>
      <c r="L896" s="3">
        <f t="shared" si="195"/>
        <v>1</v>
      </c>
      <c r="M896" s="3">
        <f t="shared" si="196"/>
        <v>0</v>
      </c>
      <c r="N896" s="3" t="str">
        <f t="shared" si="197"/>
        <v>01</v>
      </c>
      <c r="O896" s="14" t="str">
        <f t="shared" si="198"/>
        <v>00</v>
      </c>
      <c r="P896" s="11"/>
      <c r="Q896" s="12"/>
      <c r="R896" s="13"/>
      <c r="S896" s="5"/>
      <c r="T896" s="12"/>
      <c r="U896" s="10"/>
      <c r="V896" s="10"/>
      <c r="W896" s="10"/>
    </row>
    <row r="897" spans="1:23">
      <c r="A897" s="3">
        <v>723</v>
      </c>
      <c r="B897" s="1">
        <f>IF(G897="-",0,IF(G896=G897,1,0))</f>
        <v>0</v>
      </c>
      <c r="C897" s="1">
        <f>+IF(G897="-",0,IF(I897=I896+1,0,(IF(I897=1,0,1))))</f>
        <v>1</v>
      </c>
      <c r="D897" s="1">
        <f>+IF(AND(P897="",Q897=""),1,0)</f>
        <v>0</v>
      </c>
      <c r="E897" s="1">
        <f>IF(U897="",1,0)</f>
        <v>0</v>
      </c>
      <c r="F897" s="1">
        <f>IF(V897="",1,0)</f>
        <v>0</v>
      </c>
      <c r="G897" s="1" t="str">
        <f>IF(H897=0,"-",_xlfn.CONCAT(K897,N897,O897,J897))</f>
        <v>24060121</v>
      </c>
      <c r="H897" s="2">
        <v>45444</v>
      </c>
      <c r="I897" s="36">
        <v>21</v>
      </c>
      <c r="J897" s="1">
        <f t="shared" ref="J897:J928" si="206">+IF(I897&lt;10,_xlfn.CONCAT("0",I897),I897)</f>
        <v>21</v>
      </c>
      <c r="K897" s="3">
        <f t="shared" si="194"/>
        <v>24</v>
      </c>
      <c r="L897" s="3">
        <f t="shared" si="195"/>
        <v>6</v>
      </c>
      <c r="M897" s="3">
        <f t="shared" si="196"/>
        <v>1</v>
      </c>
      <c r="N897" s="3" t="str">
        <f t="shared" si="197"/>
        <v>06</v>
      </c>
      <c r="O897" s="14" t="str">
        <f t="shared" si="198"/>
        <v>01</v>
      </c>
      <c r="P897" s="4">
        <v>250000</v>
      </c>
      <c r="R897" s="6">
        <v>524</v>
      </c>
      <c r="S897" s="5">
        <f t="shared" ref="S897:S928" si="207">IFERROR(P897/R897,"")</f>
        <v>477.09923664122135</v>
      </c>
      <c r="T897" s="5" t="s">
        <v>254</v>
      </c>
      <c r="U897" s="3" t="s">
        <v>1</v>
      </c>
      <c r="V897" s="3" t="s">
        <v>4</v>
      </c>
    </row>
    <row r="898" spans="1:23" hidden="1">
      <c r="J898" s="1" t="str">
        <f t="shared" si="206"/>
        <v>0</v>
      </c>
      <c r="K898" s="3">
        <f t="shared" si="194"/>
        <v>-100</v>
      </c>
      <c r="L898" s="3">
        <f t="shared" si="195"/>
        <v>1</v>
      </c>
      <c r="M898" s="3">
        <f t="shared" si="196"/>
        <v>0</v>
      </c>
      <c r="N898" s="3" t="str">
        <f t="shared" si="197"/>
        <v>01</v>
      </c>
      <c r="O898" s="14" t="str">
        <f t="shared" si="198"/>
        <v>00</v>
      </c>
      <c r="R898" s="6">
        <v>514</v>
      </c>
      <c r="S898" s="5">
        <f t="shared" si="207"/>
        <v>0</v>
      </c>
    </row>
    <row r="899" spans="1:23" hidden="1">
      <c r="J899" s="1" t="str">
        <f t="shared" si="206"/>
        <v>0</v>
      </c>
      <c r="K899" s="3">
        <f t="shared" si="194"/>
        <v>-100</v>
      </c>
      <c r="L899" s="3">
        <f t="shared" si="195"/>
        <v>1</v>
      </c>
      <c r="M899" s="3">
        <f t="shared" si="196"/>
        <v>0</v>
      </c>
      <c r="N899" s="3" t="str">
        <f t="shared" si="197"/>
        <v>01</v>
      </c>
      <c r="O899" s="14" t="str">
        <f t="shared" si="198"/>
        <v>00</v>
      </c>
      <c r="R899" s="6">
        <v>514</v>
      </c>
      <c r="S899" s="5">
        <f t="shared" si="207"/>
        <v>0</v>
      </c>
    </row>
    <row r="900" spans="1:23" hidden="1">
      <c r="J900" s="1" t="str">
        <f t="shared" si="206"/>
        <v>0</v>
      </c>
      <c r="K900" s="3">
        <f t="shared" si="194"/>
        <v>-100</v>
      </c>
      <c r="L900" s="3">
        <f t="shared" si="195"/>
        <v>1</v>
      </c>
      <c r="M900" s="3">
        <f t="shared" si="196"/>
        <v>0</v>
      </c>
      <c r="N900" s="3" t="str">
        <f t="shared" si="197"/>
        <v>01</v>
      </c>
      <c r="O900" s="14" t="str">
        <f t="shared" si="198"/>
        <v>00</v>
      </c>
      <c r="R900" s="6">
        <v>514</v>
      </c>
      <c r="S900" s="5">
        <f t="shared" si="207"/>
        <v>0</v>
      </c>
    </row>
    <row r="901" spans="1:23" hidden="1">
      <c r="J901" s="1" t="str">
        <f t="shared" si="206"/>
        <v>0</v>
      </c>
      <c r="K901" s="3">
        <f t="shared" si="194"/>
        <v>-100</v>
      </c>
      <c r="L901" s="3">
        <f t="shared" si="195"/>
        <v>1</v>
      </c>
      <c r="M901" s="3">
        <f t="shared" si="196"/>
        <v>0</v>
      </c>
      <c r="N901" s="3" t="str">
        <f t="shared" si="197"/>
        <v>01</v>
      </c>
      <c r="O901" s="14" t="str">
        <f t="shared" si="198"/>
        <v>00</v>
      </c>
      <c r="R901" s="6">
        <v>514</v>
      </c>
      <c r="S901" s="5">
        <f t="shared" si="207"/>
        <v>0</v>
      </c>
    </row>
    <row r="902" spans="1:23" hidden="1">
      <c r="J902" s="1" t="str">
        <f t="shared" si="206"/>
        <v>0</v>
      </c>
      <c r="K902" s="3">
        <f t="shared" si="194"/>
        <v>-100</v>
      </c>
      <c r="L902" s="3">
        <f t="shared" si="195"/>
        <v>1</v>
      </c>
      <c r="M902" s="3">
        <f t="shared" si="196"/>
        <v>0</v>
      </c>
      <c r="N902" s="3" t="str">
        <f t="shared" si="197"/>
        <v>01</v>
      </c>
      <c r="O902" s="14" t="str">
        <f t="shared" si="198"/>
        <v>00</v>
      </c>
      <c r="R902" s="6">
        <v>513</v>
      </c>
      <c r="S902" s="5">
        <f t="shared" si="207"/>
        <v>0</v>
      </c>
    </row>
    <row r="903" spans="1:23" hidden="1">
      <c r="J903" s="1" t="str">
        <f t="shared" si="206"/>
        <v>0</v>
      </c>
      <c r="K903" s="3">
        <f t="shared" si="194"/>
        <v>-100</v>
      </c>
      <c r="L903" s="3">
        <f t="shared" si="195"/>
        <v>1</v>
      </c>
      <c r="M903" s="3">
        <f t="shared" si="196"/>
        <v>0</v>
      </c>
      <c r="N903" s="3" t="str">
        <f t="shared" si="197"/>
        <v>01</v>
      </c>
      <c r="O903" s="14" t="str">
        <f t="shared" si="198"/>
        <v>00</v>
      </c>
      <c r="R903" s="6">
        <v>513</v>
      </c>
      <c r="S903" s="5">
        <f t="shared" si="207"/>
        <v>0</v>
      </c>
    </row>
    <row r="904" spans="1:23" hidden="1">
      <c r="J904" s="1" t="str">
        <f t="shared" si="206"/>
        <v>0</v>
      </c>
      <c r="K904" s="3">
        <f t="shared" si="194"/>
        <v>-100</v>
      </c>
      <c r="L904" s="3">
        <f t="shared" si="195"/>
        <v>1</v>
      </c>
      <c r="M904" s="3">
        <f t="shared" si="196"/>
        <v>0</v>
      </c>
      <c r="N904" s="3" t="str">
        <f t="shared" si="197"/>
        <v>01</v>
      </c>
      <c r="O904" s="14" t="str">
        <f t="shared" si="198"/>
        <v>00</v>
      </c>
      <c r="R904" s="6">
        <v>513</v>
      </c>
      <c r="S904" s="5">
        <f t="shared" si="207"/>
        <v>0</v>
      </c>
    </row>
    <row r="905" spans="1:23">
      <c r="A905" s="3">
        <v>727</v>
      </c>
      <c r="B905" s="1">
        <f>IF(G905="-",0,IF(G904=G905,1,0))</f>
        <v>0</v>
      </c>
      <c r="C905" s="1">
        <f>+IF(G905="-",0,IF(I905=I904+1,0,(IF(I905=1,0,1))))</f>
        <v>0</v>
      </c>
      <c r="D905" s="1">
        <f>+IF(AND(P905="",Q905=""),1,0)</f>
        <v>0</v>
      </c>
      <c r="E905" s="1">
        <f>IF(U905="",1,0)</f>
        <v>0</v>
      </c>
      <c r="F905" s="1">
        <f>IF(V905="",1,0)</f>
        <v>0</v>
      </c>
      <c r="G905" s="1" t="str">
        <f>IF(H905=0,"-",_xlfn.CONCAT(K905,N905,O905,J905))</f>
        <v>24060201</v>
      </c>
      <c r="H905" s="2">
        <v>45445</v>
      </c>
      <c r="I905" s="36">
        <v>1</v>
      </c>
      <c r="J905" s="1" t="str">
        <f t="shared" si="206"/>
        <v>01</v>
      </c>
      <c r="K905" s="3">
        <f t="shared" si="194"/>
        <v>24</v>
      </c>
      <c r="L905" s="3">
        <f t="shared" si="195"/>
        <v>6</v>
      </c>
      <c r="M905" s="3">
        <f t="shared" si="196"/>
        <v>2</v>
      </c>
      <c r="N905" s="3" t="str">
        <f t="shared" si="197"/>
        <v>06</v>
      </c>
      <c r="O905" s="14" t="str">
        <f t="shared" si="198"/>
        <v>02</v>
      </c>
      <c r="P905" s="4">
        <v>30000</v>
      </c>
      <c r="R905" s="6">
        <v>524</v>
      </c>
      <c r="S905" s="5">
        <f t="shared" si="207"/>
        <v>57.251908396946568</v>
      </c>
      <c r="T905" s="5" t="s">
        <v>265</v>
      </c>
      <c r="U905" s="3" t="s">
        <v>1</v>
      </c>
      <c r="V905" s="3" t="s">
        <v>4</v>
      </c>
    </row>
    <row r="906" spans="1:23" hidden="1">
      <c r="J906" s="1" t="str">
        <f t="shared" si="206"/>
        <v>0</v>
      </c>
      <c r="K906" s="3">
        <f t="shared" si="194"/>
        <v>-100</v>
      </c>
      <c r="L906" s="3">
        <f t="shared" si="195"/>
        <v>1</v>
      </c>
      <c r="M906" s="3">
        <f t="shared" si="196"/>
        <v>0</v>
      </c>
      <c r="N906" s="3" t="str">
        <f t="shared" si="197"/>
        <v>01</v>
      </c>
      <c r="O906" s="14" t="str">
        <f t="shared" si="198"/>
        <v>00</v>
      </c>
      <c r="R906" s="6">
        <v>513</v>
      </c>
      <c r="S906" s="5">
        <f t="shared" si="207"/>
        <v>0</v>
      </c>
    </row>
    <row r="907" spans="1:23">
      <c r="A907" s="3">
        <v>734</v>
      </c>
      <c r="B907" s="1">
        <f>IF(G907="-",0,IF(G906=G907,1,0))</f>
        <v>0</v>
      </c>
      <c r="C907" s="1">
        <f>+IF(G907="-",0,IF(I907=I906+1,0,(IF(I907=1,0,1))))</f>
        <v>1</v>
      </c>
      <c r="D907" s="1">
        <f>+IF(AND(P907="",Q907=""),1,0)</f>
        <v>0</v>
      </c>
      <c r="E907" s="1">
        <f>IF(U907="",1,0)</f>
        <v>0</v>
      </c>
      <c r="F907" s="1">
        <f>IF(V907="",1,0)</f>
        <v>0</v>
      </c>
      <c r="G907" s="1" t="str">
        <f>IF(H907=0,"-",_xlfn.CONCAT(K907,N907,O907,J907))</f>
        <v>24060302</v>
      </c>
      <c r="H907" s="2">
        <v>45446</v>
      </c>
      <c r="I907" s="36">
        <v>2</v>
      </c>
      <c r="J907" s="1" t="str">
        <f t="shared" si="206"/>
        <v>02</v>
      </c>
      <c r="K907" s="3">
        <f t="shared" si="194"/>
        <v>24</v>
      </c>
      <c r="L907" s="3">
        <f t="shared" si="195"/>
        <v>6</v>
      </c>
      <c r="M907" s="3">
        <f t="shared" si="196"/>
        <v>3</v>
      </c>
      <c r="N907" s="3" t="str">
        <f t="shared" si="197"/>
        <v>06</v>
      </c>
      <c r="O907" s="14" t="str">
        <f t="shared" si="198"/>
        <v>03</v>
      </c>
      <c r="P907" s="4">
        <v>2000000</v>
      </c>
      <c r="R907" s="6">
        <v>525</v>
      </c>
      <c r="S907" s="5">
        <f t="shared" si="207"/>
        <v>3809.5238095238096</v>
      </c>
      <c r="T907" s="5" t="s">
        <v>253</v>
      </c>
      <c r="U907" s="3" t="s">
        <v>3</v>
      </c>
      <c r="V907" s="3" t="s">
        <v>4</v>
      </c>
      <c r="W907" s="3" t="s">
        <v>252</v>
      </c>
    </row>
    <row r="908" spans="1:23">
      <c r="A908" s="3">
        <v>746</v>
      </c>
      <c r="B908" s="1">
        <f>IF(G908="-",0,IF(G907=G908,1,0))</f>
        <v>0</v>
      </c>
      <c r="C908" s="1">
        <f>+IF(G908="-",0,IF(I908=I907+1,0,(IF(I908=1,0,1))))</f>
        <v>1</v>
      </c>
      <c r="D908" s="1">
        <f>+IF(AND(P908="",Q908=""),1,0)</f>
        <v>0</v>
      </c>
      <c r="E908" s="1">
        <f>IF(U908="",1,0)</f>
        <v>0</v>
      </c>
      <c r="F908" s="1">
        <f>IF(V908="",1,0)</f>
        <v>0</v>
      </c>
      <c r="G908" s="1" t="str">
        <f>IF(H908=0,"-",_xlfn.CONCAT(K908,N908,O908,J908))</f>
        <v>24060402</v>
      </c>
      <c r="H908" s="2">
        <v>45447</v>
      </c>
      <c r="I908" s="36">
        <v>2</v>
      </c>
      <c r="J908" s="1" t="str">
        <f t="shared" si="206"/>
        <v>02</v>
      </c>
      <c r="K908" s="3">
        <f t="shared" si="194"/>
        <v>24</v>
      </c>
      <c r="L908" s="3">
        <f t="shared" si="195"/>
        <v>6</v>
      </c>
      <c r="M908" s="3">
        <f t="shared" si="196"/>
        <v>4</v>
      </c>
      <c r="N908" s="3" t="str">
        <f t="shared" si="197"/>
        <v>06</v>
      </c>
      <c r="O908" s="14" t="str">
        <f t="shared" si="198"/>
        <v>04</v>
      </c>
      <c r="P908" s="4">
        <v>210653.5</v>
      </c>
      <c r="R908" s="6">
        <v>525</v>
      </c>
      <c r="S908" s="5">
        <f t="shared" si="207"/>
        <v>401.2447619047619</v>
      </c>
      <c r="T908" s="5" t="s">
        <v>267</v>
      </c>
      <c r="U908" s="3" t="s">
        <v>1</v>
      </c>
      <c r="V908" s="3" t="s">
        <v>4</v>
      </c>
    </row>
    <row r="909" spans="1:23" hidden="1">
      <c r="J909" s="1" t="str">
        <f t="shared" si="206"/>
        <v>0</v>
      </c>
      <c r="K909" s="3">
        <f t="shared" si="194"/>
        <v>-100</v>
      </c>
      <c r="L909" s="3">
        <f t="shared" si="195"/>
        <v>1</v>
      </c>
      <c r="M909" s="3">
        <f t="shared" si="196"/>
        <v>0</v>
      </c>
      <c r="N909" s="3" t="str">
        <f t="shared" si="197"/>
        <v>01</v>
      </c>
      <c r="O909" s="14" t="str">
        <f t="shared" si="198"/>
        <v>00</v>
      </c>
      <c r="R909" s="6">
        <v>513</v>
      </c>
      <c r="S909" s="5">
        <f t="shared" si="207"/>
        <v>0</v>
      </c>
    </row>
    <row r="910" spans="1:23" hidden="1">
      <c r="J910" s="1" t="str">
        <f t="shared" si="206"/>
        <v>0</v>
      </c>
      <c r="K910" s="3">
        <f t="shared" si="194"/>
        <v>-100</v>
      </c>
      <c r="L910" s="3">
        <f t="shared" si="195"/>
        <v>1</v>
      </c>
      <c r="M910" s="3">
        <f t="shared" si="196"/>
        <v>0</v>
      </c>
      <c r="N910" s="3" t="str">
        <f t="shared" si="197"/>
        <v>01</v>
      </c>
      <c r="O910" s="14" t="str">
        <f t="shared" si="198"/>
        <v>00</v>
      </c>
      <c r="R910" s="6">
        <v>513</v>
      </c>
      <c r="S910" s="5">
        <f t="shared" si="207"/>
        <v>0</v>
      </c>
    </row>
    <row r="911" spans="1:23" hidden="1">
      <c r="J911" s="1" t="str">
        <f t="shared" si="206"/>
        <v>0</v>
      </c>
      <c r="K911" s="3">
        <f t="shared" si="194"/>
        <v>-100</v>
      </c>
      <c r="L911" s="3">
        <f t="shared" si="195"/>
        <v>1</v>
      </c>
      <c r="M911" s="3">
        <f t="shared" si="196"/>
        <v>0</v>
      </c>
      <c r="N911" s="3" t="str">
        <f t="shared" si="197"/>
        <v>01</v>
      </c>
      <c r="O911" s="14" t="str">
        <f t="shared" si="198"/>
        <v>00</v>
      </c>
      <c r="R911" s="6">
        <v>513</v>
      </c>
      <c r="S911" s="5">
        <f t="shared" si="207"/>
        <v>0</v>
      </c>
      <c r="U911" s="56"/>
    </row>
    <row r="912" spans="1:23">
      <c r="A912" s="3">
        <v>747</v>
      </c>
      <c r="B912" s="1">
        <f>IF(G912="-",0,IF(G911=G912,1,0))</f>
        <v>0</v>
      </c>
      <c r="C912" s="1">
        <f>+IF(G912="-",0,IF(I912=I911+1,0,(IF(I912=1,0,1))))</f>
        <v>1</v>
      </c>
      <c r="D912" s="1">
        <f>+IF(AND(P912="",Q912=""),1,0)</f>
        <v>0</v>
      </c>
      <c r="E912" s="1">
        <f>IF(U912="",1,0)</f>
        <v>0</v>
      </c>
      <c r="F912" s="1">
        <f>IF(V912="",1,0)</f>
        <v>0</v>
      </c>
      <c r="G912" s="1" t="str">
        <f>IF(H912=0,"-",_xlfn.CONCAT(K912,N912,O912,J912))</f>
        <v>24060403</v>
      </c>
      <c r="H912" s="2">
        <v>45447</v>
      </c>
      <c r="I912" s="36">
        <v>3</v>
      </c>
      <c r="J912" s="1" t="str">
        <f t="shared" si="206"/>
        <v>03</v>
      </c>
      <c r="K912" s="3">
        <f t="shared" si="194"/>
        <v>24</v>
      </c>
      <c r="L912" s="3">
        <f t="shared" si="195"/>
        <v>6</v>
      </c>
      <c r="M912" s="3">
        <f t="shared" si="196"/>
        <v>4</v>
      </c>
      <c r="N912" s="3" t="str">
        <f t="shared" si="197"/>
        <v>06</v>
      </c>
      <c r="O912" s="14" t="str">
        <f t="shared" si="198"/>
        <v>04</v>
      </c>
      <c r="P912" s="4">
        <v>425405.7</v>
      </c>
      <c r="R912" s="6">
        <v>525</v>
      </c>
      <c r="S912" s="5">
        <f t="shared" si="207"/>
        <v>810.2965714285715</v>
      </c>
      <c r="T912" s="5" t="s">
        <v>566</v>
      </c>
      <c r="U912" s="3" t="s">
        <v>3</v>
      </c>
      <c r="V912" s="3" t="s">
        <v>4</v>
      </c>
    </row>
    <row r="913" spans="1:23" hidden="1">
      <c r="J913" s="1" t="str">
        <f t="shared" si="206"/>
        <v>0</v>
      </c>
      <c r="K913" s="3">
        <f t="shared" si="194"/>
        <v>-100</v>
      </c>
      <c r="L913" s="3">
        <f t="shared" si="195"/>
        <v>1</v>
      </c>
      <c r="M913" s="3">
        <f t="shared" si="196"/>
        <v>0</v>
      </c>
      <c r="N913" s="3" t="str">
        <f t="shared" si="197"/>
        <v>01</v>
      </c>
      <c r="O913" s="14" t="str">
        <f t="shared" si="198"/>
        <v>00</v>
      </c>
      <c r="R913" s="6">
        <v>513</v>
      </c>
      <c r="S913" s="5">
        <f t="shared" si="207"/>
        <v>0</v>
      </c>
    </row>
    <row r="914" spans="1:23" hidden="1">
      <c r="J914" s="1" t="str">
        <f t="shared" si="206"/>
        <v>0</v>
      </c>
      <c r="K914" s="3">
        <f t="shared" si="194"/>
        <v>-100</v>
      </c>
      <c r="L914" s="3">
        <f t="shared" si="195"/>
        <v>1</v>
      </c>
      <c r="M914" s="3">
        <f t="shared" si="196"/>
        <v>0</v>
      </c>
      <c r="N914" s="3" t="str">
        <f t="shared" si="197"/>
        <v>01</v>
      </c>
      <c r="O914" s="14" t="str">
        <f t="shared" si="198"/>
        <v>00</v>
      </c>
      <c r="R914" s="6">
        <v>513</v>
      </c>
      <c r="S914" s="5">
        <f t="shared" si="207"/>
        <v>0</v>
      </c>
    </row>
    <row r="915" spans="1:23" hidden="1">
      <c r="J915" s="1" t="str">
        <f t="shared" si="206"/>
        <v>0</v>
      </c>
      <c r="K915" s="3">
        <f t="shared" si="194"/>
        <v>-100</v>
      </c>
      <c r="L915" s="3">
        <f t="shared" si="195"/>
        <v>1</v>
      </c>
      <c r="M915" s="3">
        <f t="shared" si="196"/>
        <v>0</v>
      </c>
      <c r="N915" s="3" t="str">
        <f t="shared" si="197"/>
        <v>01</v>
      </c>
      <c r="O915" s="14" t="str">
        <f t="shared" si="198"/>
        <v>00</v>
      </c>
      <c r="R915" s="6">
        <v>513</v>
      </c>
      <c r="S915" s="5">
        <f t="shared" si="207"/>
        <v>0</v>
      </c>
    </row>
    <row r="916" spans="1:23" hidden="1">
      <c r="J916" s="1" t="str">
        <f t="shared" si="206"/>
        <v>0</v>
      </c>
      <c r="K916" s="3">
        <f t="shared" si="194"/>
        <v>-100</v>
      </c>
      <c r="L916" s="3">
        <f t="shared" si="195"/>
        <v>1</v>
      </c>
      <c r="M916" s="3">
        <f t="shared" si="196"/>
        <v>0</v>
      </c>
      <c r="N916" s="3" t="str">
        <f t="shared" si="197"/>
        <v>01</v>
      </c>
      <c r="O916" s="14" t="str">
        <f t="shared" si="198"/>
        <v>00</v>
      </c>
      <c r="R916" s="6">
        <v>513</v>
      </c>
      <c r="S916" s="5">
        <f t="shared" si="207"/>
        <v>0</v>
      </c>
    </row>
    <row r="917" spans="1:23" hidden="1">
      <c r="J917" s="1" t="str">
        <f t="shared" si="206"/>
        <v>0</v>
      </c>
      <c r="K917" s="3">
        <f t="shared" si="194"/>
        <v>-100</v>
      </c>
      <c r="L917" s="3">
        <f t="shared" si="195"/>
        <v>1</v>
      </c>
      <c r="M917" s="3">
        <f t="shared" si="196"/>
        <v>0</v>
      </c>
      <c r="N917" s="3" t="str">
        <f t="shared" si="197"/>
        <v>01</v>
      </c>
      <c r="O917" s="14" t="str">
        <f t="shared" si="198"/>
        <v>00</v>
      </c>
      <c r="R917" s="6">
        <v>513</v>
      </c>
      <c r="S917" s="5">
        <f t="shared" si="207"/>
        <v>0</v>
      </c>
    </row>
    <row r="918" spans="1:23">
      <c r="A918" s="3">
        <v>751</v>
      </c>
      <c r="B918" s="1">
        <f>IF(G918="-",0,IF(G917=G918,1,0))</f>
        <v>0</v>
      </c>
      <c r="C918" s="1">
        <f>+IF(G918="-",0,IF(I918=I917+1,0,(IF(I918=1,0,1))))</f>
        <v>1</v>
      </c>
      <c r="D918" s="1">
        <f>+IF(AND(P918="",Q918=""),1,0)</f>
        <v>0</v>
      </c>
      <c r="E918" s="1">
        <f t="shared" ref="E918:F922" si="208">IF(U918="",1,0)</f>
        <v>0</v>
      </c>
      <c r="F918" s="1">
        <f t="shared" si="208"/>
        <v>0</v>
      </c>
      <c r="G918" s="1" t="str">
        <f>IF(H918=0,"-",_xlfn.CONCAT(K918,N918,O918,J918))</f>
        <v>24060406</v>
      </c>
      <c r="H918" s="2">
        <v>45447</v>
      </c>
      <c r="I918" s="36">
        <v>6</v>
      </c>
      <c r="J918" s="1" t="str">
        <f t="shared" si="206"/>
        <v>06</v>
      </c>
      <c r="K918" s="3">
        <f t="shared" si="194"/>
        <v>24</v>
      </c>
      <c r="L918" s="3">
        <f t="shared" si="195"/>
        <v>6</v>
      </c>
      <c r="M918" s="3">
        <f t="shared" si="196"/>
        <v>4</v>
      </c>
      <c r="N918" s="3" t="str">
        <f t="shared" si="197"/>
        <v>06</v>
      </c>
      <c r="O918" s="14" t="str">
        <f t="shared" si="198"/>
        <v>04</v>
      </c>
      <c r="P918" s="4">
        <v>37136.89</v>
      </c>
      <c r="R918" s="6">
        <v>525</v>
      </c>
      <c r="S918" s="5">
        <f t="shared" si="207"/>
        <v>70.736933333333326</v>
      </c>
      <c r="T918" s="5" t="s">
        <v>266</v>
      </c>
      <c r="U918" s="3" t="s">
        <v>29</v>
      </c>
      <c r="V918" s="3" t="s">
        <v>4</v>
      </c>
    </row>
    <row r="919" spans="1:23">
      <c r="A919" s="3">
        <v>754</v>
      </c>
      <c r="B919" s="1">
        <f>IF(G919="-",0,IF(G918=G919,1,0))</f>
        <v>0</v>
      </c>
      <c r="C919" s="1">
        <f>+IF(G919="-",0,IF(I919=I918+1,0,(IF(I919=1,0,1))))</f>
        <v>1</v>
      </c>
      <c r="D919" s="1">
        <f>+IF(AND(P919="",Q919=""),1,0)</f>
        <v>0</v>
      </c>
      <c r="E919" s="1">
        <f t="shared" si="208"/>
        <v>0</v>
      </c>
      <c r="F919" s="1">
        <f t="shared" si="208"/>
        <v>0</v>
      </c>
      <c r="G919" s="1" t="str">
        <f>IF(H919=0,"-",_xlfn.CONCAT(K919,N919,O919,J919))</f>
        <v>24060409</v>
      </c>
      <c r="H919" s="2">
        <v>45447</v>
      </c>
      <c r="I919" s="36">
        <v>9</v>
      </c>
      <c r="J919" s="1" t="str">
        <f t="shared" si="206"/>
        <v>09</v>
      </c>
      <c r="K919" s="3">
        <f t="shared" si="194"/>
        <v>24</v>
      </c>
      <c r="L919" s="3">
        <f t="shared" si="195"/>
        <v>6</v>
      </c>
      <c r="M919" s="3">
        <f t="shared" si="196"/>
        <v>4</v>
      </c>
      <c r="N919" s="3" t="str">
        <f t="shared" si="197"/>
        <v>06</v>
      </c>
      <c r="O919" s="14" t="str">
        <f t="shared" si="198"/>
        <v>04</v>
      </c>
      <c r="P919" s="4">
        <v>112129.9</v>
      </c>
      <c r="R919" s="6">
        <v>525</v>
      </c>
      <c r="S919" s="5">
        <f t="shared" si="207"/>
        <v>213.58076190476189</v>
      </c>
      <c r="T919" s="5" t="s">
        <v>370</v>
      </c>
      <c r="U919" s="3" t="s">
        <v>29</v>
      </c>
      <c r="V919" s="3" t="s">
        <v>4</v>
      </c>
    </row>
    <row r="920" spans="1:23">
      <c r="A920" s="3">
        <v>757</v>
      </c>
      <c r="B920" s="1">
        <f>IF(G920="-",0,IF(G919=G920,1,0))</f>
        <v>0</v>
      </c>
      <c r="C920" s="1">
        <f>+IF(G920="-",0,IF(I920=I919+1,0,(IF(I920=1,0,1))))</f>
        <v>0</v>
      </c>
      <c r="D920" s="1">
        <f>+IF(AND(P920="",Q920=""),1,0)</f>
        <v>0</v>
      </c>
      <c r="E920" s="1">
        <f t="shared" si="208"/>
        <v>0</v>
      </c>
      <c r="F920" s="1">
        <f t="shared" si="208"/>
        <v>0</v>
      </c>
      <c r="G920" s="1" t="str">
        <f>IF(H920=0,"-",_xlfn.CONCAT(K920,N920,O920,J920))</f>
        <v>24060501</v>
      </c>
      <c r="H920" s="2">
        <v>45448</v>
      </c>
      <c r="I920" s="36">
        <v>1</v>
      </c>
      <c r="J920" s="1" t="str">
        <f t="shared" si="206"/>
        <v>01</v>
      </c>
      <c r="K920" s="3">
        <f t="shared" si="194"/>
        <v>24</v>
      </c>
      <c r="L920" s="3">
        <f t="shared" si="195"/>
        <v>6</v>
      </c>
      <c r="M920" s="3">
        <f t="shared" si="196"/>
        <v>5</v>
      </c>
      <c r="N920" s="3" t="str">
        <f t="shared" si="197"/>
        <v>06</v>
      </c>
      <c r="O920" s="14" t="str">
        <f t="shared" si="198"/>
        <v>05</v>
      </c>
      <c r="P920" s="4">
        <v>41917.49</v>
      </c>
      <c r="R920" s="6">
        <v>523</v>
      </c>
      <c r="S920" s="5">
        <f t="shared" si="207"/>
        <v>80.148164435946455</v>
      </c>
      <c r="T920" s="5" t="s">
        <v>132</v>
      </c>
      <c r="U920" s="3" t="s">
        <v>1</v>
      </c>
      <c r="V920" s="3" t="s">
        <v>4</v>
      </c>
    </row>
    <row r="921" spans="1:23">
      <c r="A921" s="3">
        <v>766</v>
      </c>
      <c r="B921" s="1">
        <f>IF(G921="-",0,IF(G920=G921,1,0))</f>
        <v>0</v>
      </c>
      <c r="C921" s="1">
        <f>+IF(G921="-",0,IF(I921=I920+1,0,(IF(I921=1,0,1))))</f>
        <v>0</v>
      </c>
      <c r="D921" s="1">
        <f>+IF(AND(P921="",Q921=""),1,0)</f>
        <v>0</v>
      </c>
      <c r="E921" s="1">
        <f t="shared" si="208"/>
        <v>0</v>
      </c>
      <c r="F921" s="1">
        <f t="shared" si="208"/>
        <v>0</v>
      </c>
      <c r="G921" s="1" t="str">
        <f>IF(H921=0,"-",_xlfn.CONCAT(K921,N921,O921,J921))</f>
        <v>24060602</v>
      </c>
      <c r="H921" s="2">
        <v>45449</v>
      </c>
      <c r="I921" s="36">
        <v>2</v>
      </c>
      <c r="J921" s="1" t="str">
        <f t="shared" si="206"/>
        <v>02</v>
      </c>
      <c r="K921" s="3">
        <f t="shared" si="194"/>
        <v>24</v>
      </c>
      <c r="L921" s="3">
        <f t="shared" si="195"/>
        <v>6</v>
      </c>
      <c r="M921" s="3">
        <f t="shared" si="196"/>
        <v>6</v>
      </c>
      <c r="N921" s="3" t="str">
        <f t="shared" si="197"/>
        <v>06</v>
      </c>
      <c r="O921" s="14" t="str">
        <f t="shared" si="198"/>
        <v>06</v>
      </c>
      <c r="P921" s="4">
        <v>19452.3</v>
      </c>
      <c r="R921" s="6">
        <v>531</v>
      </c>
      <c r="S921" s="5">
        <f t="shared" si="207"/>
        <v>36.633333333333333</v>
      </c>
      <c r="T921" s="5" t="s">
        <v>132</v>
      </c>
      <c r="U921" s="3" t="s">
        <v>29</v>
      </c>
      <c r="V921" s="3" t="s">
        <v>4</v>
      </c>
      <c r="W921" s="3" t="s">
        <v>367</v>
      </c>
    </row>
    <row r="922" spans="1:23">
      <c r="A922" s="3">
        <v>767</v>
      </c>
      <c r="B922" s="1">
        <f>IF(G922="-",0,IF(G921=G922,1,0))</f>
        <v>0</v>
      </c>
      <c r="C922" s="1">
        <f>+IF(G922="-",0,IF(I922=I921+1,0,(IF(I922=1,0,1))))</f>
        <v>0</v>
      </c>
      <c r="D922" s="1">
        <f>+IF(AND(P922="",Q922=""),1,0)</f>
        <v>0</v>
      </c>
      <c r="E922" s="1">
        <f t="shared" si="208"/>
        <v>0</v>
      </c>
      <c r="F922" s="1">
        <f t="shared" si="208"/>
        <v>0</v>
      </c>
      <c r="G922" s="1" t="str">
        <f>IF(H922=0,"-",_xlfn.CONCAT(K922,N922,O922,J922))</f>
        <v>24060603</v>
      </c>
      <c r="H922" s="2">
        <v>45449</v>
      </c>
      <c r="I922" s="36">
        <v>3</v>
      </c>
      <c r="J922" s="1" t="str">
        <f t="shared" si="206"/>
        <v>03</v>
      </c>
      <c r="K922" s="3">
        <f t="shared" si="194"/>
        <v>24</v>
      </c>
      <c r="L922" s="3">
        <f t="shared" si="195"/>
        <v>6</v>
      </c>
      <c r="M922" s="3">
        <f t="shared" si="196"/>
        <v>6</v>
      </c>
      <c r="N922" s="3" t="str">
        <f t="shared" si="197"/>
        <v>06</v>
      </c>
      <c r="O922" s="14" t="str">
        <f t="shared" si="198"/>
        <v>06</v>
      </c>
      <c r="P922" s="4">
        <v>45283.01</v>
      </c>
      <c r="R922" s="6">
        <v>531</v>
      </c>
      <c r="S922" s="5">
        <f t="shared" si="207"/>
        <v>85.278738229755177</v>
      </c>
      <c r="T922" s="5" t="s">
        <v>132</v>
      </c>
      <c r="U922" s="3" t="s">
        <v>29</v>
      </c>
      <c r="V922" s="3" t="s">
        <v>4</v>
      </c>
    </row>
    <row r="923" spans="1:23" hidden="1">
      <c r="J923" s="1" t="str">
        <f t="shared" si="206"/>
        <v>0</v>
      </c>
      <c r="K923" s="3">
        <f t="shared" si="194"/>
        <v>-100</v>
      </c>
      <c r="L923" s="3">
        <f t="shared" si="195"/>
        <v>1</v>
      </c>
      <c r="M923" s="3">
        <f t="shared" si="196"/>
        <v>0</v>
      </c>
      <c r="N923" s="3" t="str">
        <f t="shared" si="197"/>
        <v>01</v>
      </c>
      <c r="O923" s="14" t="str">
        <f t="shared" si="198"/>
        <v>00</v>
      </c>
      <c r="R923" s="6">
        <v>511</v>
      </c>
      <c r="S923" s="5">
        <f t="shared" si="207"/>
        <v>0</v>
      </c>
    </row>
    <row r="924" spans="1:23" hidden="1">
      <c r="J924" s="1" t="str">
        <f t="shared" si="206"/>
        <v>0</v>
      </c>
      <c r="K924" s="3">
        <f t="shared" si="194"/>
        <v>-100</v>
      </c>
      <c r="L924" s="3">
        <f t="shared" si="195"/>
        <v>1</v>
      </c>
      <c r="M924" s="3">
        <f t="shared" si="196"/>
        <v>0</v>
      </c>
      <c r="N924" s="3" t="str">
        <f t="shared" si="197"/>
        <v>01</v>
      </c>
      <c r="O924" s="14" t="str">
        <f t="shared" si="198"/>
        <v>00</v>
      </c>
      <c r="R924" s="6">
        <v>511</v>
      </c>
      <c r="S924" s="5">
        <f t="shared" si="207"/>
        <v>0</v>
      </c>
    </row>
    <row r="925" spans="1:23">
      <c r="A925" s="3">
        <v>777</v>
      </c>
      <c r="B925" s="1">
        <f>IF(G925="-",0,IF(G924=G925,1,0))</f>
        <v>0</v>
      </c>
      <c r="C925" s="1">
        <f>+IF(G925="-",0,IF(I925=I924+1,0,(IF(I925=1,0,1))))</f>
        <v>1</v>
      </c>
      <c r="D925" s="1">
        <f>+IF(AND(P925="",Q925=""),1,0)</f>
        <v>0</v>
      </c>
      <c r="E925" s="1">
        <f>IF(U925="",1,0)</f>
        <v>0</v>
      </c>
      <c r="F925" s="1">
        <f>IF(V925="",1,0)</f>
        <v>0</v>
      </c>
      <c r="G925" s="1" t="str">
        <f>IF(H925=0,"-",_xlfn.CONCAT(K925,N925,O925,J925))</f>
        <v>24060613</v>
      </c>
      <c r="H925" s="2">
        <v>45449</v>
      </c>
      <c r="I925" s="36">
        <v>13</v>
      </c>
      <c r="J925" s="1">
        <f t="shared" si="206"/>
        <v>13</v>
      </c>
      <c r="K925" s="3">
        <f t="shared" si="194"/>
        <v>24</v>
      </c>
      <c r="L925" s="3">
        <f t="shared" si="195"/>
        <v>6</v>
      </c>
      <c r="M925" s="3">
        <f t="shared" si="196"/>
        <v>6</v>
      </c>
      <c r="N925" s="3" t="str">
        <f t="shared" si="197"/>
        <v>06</v>
      </c>
      <c r="O925" s="14" t="str">
        <f t="shared" si="198"/>
        <v>06</v>
      </c>
      <c r="P925" s="4">
        <v>4930</v>
      </c>
      <c r="R925" s="6">
        <v>531</v>
      </c>
      <c r="S925" s="5">
        <f t="shared" si="207"/>
        <v>9.28436911487759</v>
      </c>
      <c r="T925" s="5" t="s">
        <v>368</v>
      </c>
      <c r="U925" s="3" t="s">
        <v>29</v>
      </c>
      <c r="V925" s="3" t="s">
        <v>4</v>
      </c>
    </row>
    <row r="926" spans="1:23" hidden="1">
      <c r="J926" s="1" t="str">
        <f t="shared" si="206"/>
        <v>0</v>
      </c>
      <c r="K926" s="3">
        <f t="shared" ref="K926:K989" si="209">+YEAR(H926)-2000</f>
        <v>-100</v>
      </c>
      <c r="L926" s="3">
        <f t="shared" ref="L926:L989" si="210">+MONTH(H926)</f>
        <v>1</v>
      </c>
      <c r="M926" s="3">
        <f t="shared" ref="M926:M989" si="211">+DAY(H926)</f>
        <v>0</v>
      </c>
      <c r="N926" s="3" t="str">
        <f t="shared" ref="N926:N989" si="212">+IF(L926&lt;10,_xlfn.CONCAT("0",L926),L926)</f>
        <v>01</v>
      </c>
      <c r="O926" s="14" t="str">
        <f t="shared" ref="O926:O989" si="213">+IF(M926&lt;10,_xlfn.CONCAT("0",M926),M926)</f>
        <v>00</v>
      </c>
      <c r="R926" s="6">
        <v>511</v>
      </c>
      <c r="S926" s="5">
        <f t="shared" si="207"/>
        <v>0</v>
      </c>
    </row>
    <row r="927" spans="1:23" hidden="1">
      <c r="J927" s="1" t="str">
        <f t="shared" si="206"/>
        <v>0</v>
      </c>
      <c r="K927" s="3">
        <f t="shared" si="209"/>
        <v>-100</v>
      </c>
      <c r="L927" s="3">
        <f t="shared" si="210"/>
        <v>1</v>
      </c>
      <c r="M927" s="3">
        <f t="shared" si="211"/>
        <v>0</v>
      </c>
      <c r="N927" s="3" t="str">
        <f t="shared" si="212"/>
        <v>01</v>
      </c>
      <c r="O927" s="14" t="str">
        <f t="shared" si="213"/>
        <v>00</v>
      </c>
      <c r="R927" s="6">
        <v>511</v>
      </c>
      <c r="S927" s="5">
        <f t="shared" si="207"/>
        <v>0</v>
      </c>
    </row>
    <row r="928" spans="1:23" hidden="1">
      <c r="J928" s="1" t="str">
        <f t="shared" si="206"/>
        <v>0</v>
      </c>
      <c r="K928" s="3">
        <f t="shared" si="209"/>
        <v>-100</v>
      </c>
      <c r="L928" s="3">
        <f t="shared" si="210"/>
        <v>1</v>
      </c>
      <c r="M928" s="3">
        <f t="shared" si="211"/>
        <v>0</v>
      </c>
      <c r="N928" s="3" t="str">
        <f t="shared" si="212"/>
        <v>01</v>
      </c>
      <c r="O928" s="14" t="str">
        <f t="shared" si="213"/>
        <v>00</v>
      </c>
      <c r="R928" s="6">
        <v>511</v>
      </c>
      <c r="S928" s="5">
        <f t="shared" si="207"/>
        <v>0</v>
      </c>
    </row>
    <row r="929" spans="1:23">
      <c r="A929" s="3">
        <v>778</v>
      </c>
      <c r="B929" s="1">
        <f>IF(G929="-",0,IF(G928=G929,1,0))</f>
        <v>0</v>
      </c>
      <c r="C929" s="1">
        <f>+IF(G929="-",0,IF(I929=I928+1,0,(IF(I929=1,0,1))))</f>
        <v>0</v>
      </c>
      <c r="D929" s="1">
        <f>+IF(AND(P929="",Q929=""),1,0)</f>
        <v>0</v>
      </c>
      <c r="E929" s="1">
        <f t="shared" ref="E929:F933" si="214">IF(U929="",1,0)</f>
        <v>0</v>
      </c>
      <c r="F929" s="1">
        <f t="shared" si="214"/>
        <v>0</v>
      </c>
      <c r="G929" s="1" t="str">
        <f>IF(H929=0,"-",_xlfn.CONCAT(K929,N929,O929,J929))</f>
        <v>24060701</v>
      </c>
      <c r="H929" s="2">
        <v>45450</v>
      </c>
      <c r="I929" s="36">
        <v>1</v>
      </c>
      <c r="J929" s="1" t="str">
        <f t="shared" ref="J929:J960" si="215">+IF(I929&lt;10,_xlfn.CONCAT("0",I929),I929)</f>
        <v>01</v>
      </c>
      <c r="K929" s="3">
        <f t="shared" si="209"/>
        <v>24</v>
      </c>
      <c r="L929" s="3">
        <f t="shared" si="210"/>
        <v>6</v>
      </c>
      <c r="M929" s="3">
        <f t="shared" si="211"/>
        <v>7</v>
      </c>
      <c r="N929" s="3" t="str">
        <f t="shared" si="212"/>
        <v>06</v>
      </c>
      <c r="O929" s="14" t="str">
        <f t="shared" si="213"/>
        <v>07</v>
      </c>
      <c r="P929" s="4">
        <f>422011.2+12380.18</f>
        <v>434391.38</v>
      </c>
      <c r="R929" s="6">
        <v>523</v>
      </c>
      <c r="S929" s="5">
        <f t="shared" ref="S929:S949" si="216">IFERROR(P929/R929,"")</f>
        <v>830.57625239005733</v>
      </c>
      <c r="T929" s="5" t="s">
        <v>269</v>
      </c>
      <c r="U929" s="3" t="s">
        <v>1</v>
      </c>
      <c r="V929" s="3" t="s">
        <v>4</v>
      </c>
    </row>
    <row r="930" spans="1:23">
      <c r="A930" s="3">
        <v>780</v>
      </c>
      <c r="B930" s="1">
        <f>IF(G930="-",0,IF(G929=G930,1,0))</f>
        <v>0</v>
      </c>
      <c r="C930" s="1">
        <f>+IF(G930="-",0,IF(I930=I929+1,0,(IF(I930=1,0,1))))</f>
        <v>1</v>
      </c>
      <c r="D930" s="1">
        <f>+IF(AND(P930="",Q930=""),1,0)</f>
        <v>0</v>
      </c>
      <c r="E930" s="1">
        <f t="shared" si="214"/>
        <v>0</v>
      </c>
      <c r="F930" s="1">
        <f t="shared" si="214"/>
        <v>0</v>
      </c>
      <c r="G930" s="1" t="str">
        <f>IF(H930=0,"-",_xlfn.CONCAT(K930,N930,O930,J930))</f>
        <v>24060703</v>
      </c>
      <c r="H930" s="2">
        <v>45450</v>
      </c>
      <c r="I930" s="36">
        <v>3</v>
      </c>
      <c r="J930" s="1" t="str">
        <f t="shared" si="215"/>
        <v>03</v>
      </c>
      <c r="K930" s="3">
        <f t="shared" si="209"/>
        <v>24</v>
      </c>
      <c r="L930" s="3">
        <f t="shared" si="210"/>
        <v>6</v>
      </c>
      <c r="M930" s="3">
        <f t="shared" si="211"/>
        <v>7</v>
      </c>
      <c r="N930" s="3" t="str">
        <f t="shared" si="212"/>
        <v>06</v>
      </c>
      <c r="O930" s="14" t="str">
        <f t="shared" si="213"/>
        <v>07</v>
      </c>
      <c r="P930" s="4">
        <v>1741.33</v>
      </c>
      <c r="R930" s="6">
        <v>523</v>
      </c>
      <c r="S930" s="5">
        <f t="shared" si="216"/>
        <v>3.3295028680688334</v>
      </c>
      <c r="T930" s="5" t="s">
        <v>299</v>
      </c>
      <c r="U930" s="3" t="s">
        <v>1</v>
      </c>
      <c r="V930" s="3" t="s">
        <v>4</v>
      </c>
    </row>
    <row r="931" spans="1:23">
      <c r="A931" s="3">
        <v>781</v>
      </c>
      <c r="B931" s="1">
        <f>IF(G931="-",0,IF(G930=G931,1,0))</f>
        <v>0</v>
      </c>
      <c r="C931" s="1">
        <f>+IF(G931="-",0,IF(I931=I930+1,0,(IF(I931=1,0,1))))</f>
        <v>0</v>
      </c>
      <c r="D931" s="1">
        <f>+IF(AND(P931="",Q931=""),1,0)</f>
        <v>0</v>
      </c>
      <c r="E931" s="1">
        <f t="shared" si="214"/>
        <v>0</v>
      </c>
      <c r="F931" s="1">
        <f t="shared" si="214"/>
        <v>0</v>
      </c>
      <c r="G931" s="1" t="str">
        <f>IF(H931=0,"-",_xlfn.CONCAT(K931,N931,O931,J931))</f>
        <v>24060704</v>
      </c>
      <c r="H931" s="2">
        <v>45450</v>
      </c>
      <c r="I931" s="36">
        <v>4</v>
      </c>
      <c r="J931" s="1" t="str">
        <f t="shared" si="215"/>
        <v>04</v>
      </c>
      <c r="K931" s="3">
        <f t="shared" si="209"/>
        <v>24</v>
      </c>
      <c r="L931" s="3">
        <f t="shared" si="210"/>
        <v>6</v>
      </c>
      <c r="M931" s="3">
        <f t="shared" si="211"/>
        <v>7</v>
      </c>
      <c r="N931" s="3" t="str">
        <f t="shared" si="212"/>
        <v>06</v>
      </c>
      <c r="O931" s="14" t="str">
        <f t="shared" si="213"/>
        <v>07</v>
      </c>
      <c r="P931" s="4">
        <v>300000</v>
      </c>
      <c r="R931" s="6">
        <v>523</v>
      </c>
      <c r="S931" s="5">
        <f t="shared" si="216"/>
        <v>573.61376673040149</v>
      </c>
      <c r="T931" s="5" t="s">
        <v>302</v>
      </c>
      <c r="U931" s="3" t="s">
        <v>2</v>
      </c>
      <c r="V931" s="3" t="s">
        <v>4</v>
      </c>
    </row>
    <row r="932" spans="1:23">
      <c r="A932" s="3">
        <v>782</v>
      </c>
      <c r="B932" s="1">
        <f>IF(G932="-",0,IF(G931=G932,1,0))</f>
        <v>0</v>
      </c>
      <c r="C932" s="1">
        <f>+IF(G932="-",0,IF(I932=I931+1,0,(IF(I932=1,0,1))))</f>
        <v>0</v>
      </c>
      <c r="D932" s="1">
        <f>+IF(AND(P932="",Q932=""),1,0)</f>
        <v>0</v>
      </c>
      <c r="E932" s="1">
        <f t="shared" si="214"/>
        <v>0</v>
      </c>
      <c r="F932" s="1">
        <f t="shared" si="214"/>
        <v>0</v>
      </c>
      <c r="G932" s="1" t="str">
        <f>IF(H932=0,"-",_xlfn.CONCAT(K932,N932,O932,J932))</f>
        <v>24060705</v>
      </c>
      <c r="H932" s="9">
        <v>45450</v>
      </c>
      <c r="I932" s="36">
        <v>5</v>
      </c>
      <c r="J932" s="1" t="str">
        <f t="shared" si="215"/>
        <v>05</v>
      </c>
      <c r="K932" s="3">
        <f t="shared" si="209"/>
        <v>24</v>
      </c>
      <c r="L932" s="3">
        <f t="shared" si="210"/>
        <v>6</v>
      </c>
      <c r="M932" s="3">
        <f t="shared" si="211"/>
        <v>7</v>
      </c>
      <c r="N932" s="3" t="str">
        <f t="shared" si="212"/>
        <v>06</v>
      </c>
      <c r="O932" s="14" t="str">
        <f t="shared" si="213"/>
        <v>07</v>
      </c>
      <c r="P932" s="11">
        <v>748625</v>
      </c>
      <c r="Q932" s="12"/>
      <c r="R932" s="13">
        <v>523</v>
      </c>
      <c r="S932" s="5">
        <f t="shared" si="216"/>
        <v>1431.4053537284894</v>
      </c>
      <c r="T932" s="12" t="s">
        <v>303</v>
      </c>
      <c r="U932" s="10" t="s">
        <v>2</v>
      </c>
      <c r="V932" s="10" t="s">
        <v>4</v>
      </c>
    </row>
    <row r="933" spans="1:23">
      <c r="A933" s="3">
        <v>784</v>
      </c>
      <c r="B933" s="1">
        <f>IF(G933="-",0,IF(G932=G933,1,0))</f>
        <v>0</v>
      </c>
      <c r="C933" s="1">
        <f>+IF(G933="-",0,IF(I933=I932+1,0,(IF(I933=1,0,1))))</f>
        <v>1</v>
      </c>
      <c r="D933" s="1">
        <f>+IF(AND(P933="",Q933=""),1,0)</f>
        <v>0</v>
      </c>
      <c r="E933" s="1">
        <f t="shared" si="214"/>
        <v>0</v>
      </c>
      <c r="F933" s="1">
        <f t="shared" si="214"/>
        <v>0</v>
      </c>
      <c r="G933" s="1" t="str">
        <f>IF(H933=0,"-",_xlfn.CONCAT(K933,N933,O933,J933))</f>
        <v>24060707</v>
      </c>
      <c r="H933" s="2">
        <v>45450</v>
      </c>
      <c r="I933" s="36">
        <v>7</v>
      </c>
      <c r="J933" s="1" t="str">
        <f t="shared" si="215"/>
        <v>07</v>
      </c>
      <c r="K933" s="3">
        <f t="shared" si="209"/>
        <v>24</v>
      </c>
      <c r="L933" s="3">
        <f t="shared" si="210"/>
        <v>6</v>
      </c>
      <c r="M933" s="3">
        <f t="shared" si="211"/>
        <v>7</v>
      </c>
      <c r="N933" s="3" t="str">
        <f t="shared" si="212"/>
        <v>06</v>
      </c>
      <c r="O933" s="14" t="str">
        <f t="shared" si="213"/>
        <v>07</v>
      </c>
      <c r="P933" s="4">
        <v>14786.38</v>
      </c>
      <c r="R933" s="6">
        <v>523</v>
      </c>
      <c r="S933" s="5">
        <f t="shared" si="216"/>
        <v>28.272237093690247</v>
      </c>
      <c r="T933" s="5" t="s">
        <v>304</v>
      </c>
      <c r="U933" s="3" t="s">
        <v>1</v>
      </c>
      <c r="V933" s="3" t="s">
        <v>4</v>
      </c>
    </row>
    <row r="934" spans="1:23" hidden="1">
      <c r="J934" s="1" t="str">
        <f t="shared" si="215"/>
        <v>0</v>
      </c>
      <c r="K934" s="3">
        <f t="shared" si="209"/>
        <v>-100</v>
      </c>
      <c r="L934" s="3">
        <f t="shared" si="210"/>
        <v>1</v>
      </c>
      <c r="M934" s="3">
        <f t="shared" si="211"/>
        <v>0</v>
      </c>
      <c r="N934" s="3" t="str">
        <f t="shared" si="212"/>
        <v>01</v>
      </c>
      <c r="O934" s="14" t="str">
        <f t="shared" si="213"/>
        <v>00</v>
      </c>
      <c r="R934" s="6">
        <v>511</v>
      </c>
      <c r="S934" s="5">
        <f t="shared" si="216"/>
        <v>0</v>
      </c>
    </row>
    <row r="935" spans="1:23">
      <c r="A935" s="3">
        <v>786</v>
      </c>
      <c r="B935" s="1">
        <f>IF(G935="-",0,IF(G934=G935,1,0))</f>
        <v>0</v>
      </c>
      <c r="C935" s="1">
        <f>+IF(G935="-",0,IF(I935=I934+1,0,(IF(I935=1,0,1))))</f>
        <v>0</v>
      </c>
      <c r="D935" s="1">
        <f>+IF(AND(P935="",Q935=""),1,0)</f>
        <v>0</v>
      </c>
      <c r="E935" s="1">
        <f>IF(U935="",1,0)</f>
        <v>0</v>
      </c>
      <c r="F935" s="1">
        <f>IF(V935="",1,0)</f>
        <v>0</v>
      </c>
      <c r="G935" s="52" t="str">
        <f>IF(H935=0,"-",_xlfn.CONCAT(K935,N935,O935,J935))</f>
        <v>24060801</v>
      </c>
      <c r="H935" s="9">
        <v>45451</v>
      </c>
      <c r="I935" s="36">
        <v>1</v>
      </c>
      <c r="J935" s="1" t="str">
        <f t="shared" si="215"/>
        <v>01</v>
      </c>
      <c r="K935" s="3">
        <f t="shared" si="209"/>
        <v>24</v>
      </c>
      <c r="L935" s="3">
        <f t="shared" si="210"/>
        <v>6</v>
      </c>
      <c r="M935" s="3">
        <f t="shared" si="211"/>
        <v>8</v>
      </c>
      <c r="N935" s="3" t="str">
        <f t="shared" si="212"/>
        <v>06</v>
      </c>
      <c r="O935" s="14" t="str">
        <f t="shared" si="213"/>
        <v>08</v>
      </c>
      <c r="P935" s="11">
        <v>150000</v>
      </c>
      <c r="Q935" s="12"/>
      <c r="R935" s="13">
        <v>526</v>
      </c>
      <c r="S935" s="5">
        <f t="shared" si="216"/>
        <v>285.17110266159693</v>
      </c>
      <c r="T935" s="12" t="s">
        <v>270</v>
      </c>
      <c r="U935" s="10" t="s">
        <v>1</v>
      </c>
      <c r="V935" s="10" t="s">
        <v>4</v>
      </c>
      <c r="W935" s="10"/>
    </row>
    <row r="936" spans="1:23" hidden="1">
      <c r="J936" s="1" t="str">
        <f t="shared" si="215"/>
        <v>0</v>
      </c>
      <c r="K936" s="3">
        <f t="shared" si="209"/>
        <v>-100</v>
      </c>
      <c r="L936" s="3">
        <f t="shared" si="210"/>
        <v>1</v>
      </c>
      <c r="M936" s="3">
        <f t="shared" si="211"/>
        <v>0</v>
      </c>
      <c r="N936" s="3" t="str">
        <f t="shared" si="212"/>
        <v>01</v>
      </c>
      <c r="O936" s="14" t="str">
        <f t="shared" si="213"/>
        <v>00</v>
      </c>
      <c r="R936" s="6">
        <v>515</v>
      </c>
      <c r="S936" s="5">
        <f t="shared" si="216"/>
        <v>0</v>
      </c>
    </row>
    <row r="937" spans="1:23" hidden="1">
      <c r="J937" s="1" t="str">
        <f t="shared" si="215"/>
        <v>0</v>
      </c>
      <c r="K937" s="3">
        <f t="shared" si="209"/>
        <v>-100</v>
      </c>
      <c r="L937" s="3">
        <f t="shared" si="210"/>
        <v>1</v>
      </c>
      <c r="M937" s="3">
        <f t="shared" si="211"/>
        <v>0</v>
      </c>
      <c r="N937" s="3" t="str">
        <f t="shared" si="212"/>
        <v>01</v>
      </c>
      <c r="O937" s="14" t="str">
        <f t="shared" si="213"/>
        <v>00</v>
      </c>
      <c r="R937" s="6">
        <v>515</v>
      </c>
      <c r="S937" s="5">
        <f t="shared" si="216"/>
        <v>0</v>
      </c>
    </row>
    <row r="938" spans="1:23" hidden="1">
      <c r="J938" s="1" t="str">
        <f t="shared" si="215"/>
        <v>0</v>
      </c>
      <c r="K938" s="3">
        <f t="shared" si="209"/>
        <v>-100</v>
      </c>
      <c r="L938" s="3">
        <f t="shared" si="210"/>
        <v>1</v>
      </c>
      <c r="M938" s="3">
        <f t="shared" si="211"/>
        <v>0</v>
      </c>
      <c r="N938" s="3" t="str">
        <f t="shared" si="212"/>
        <v>01</v>
      </c>
      <c r="O938" s="14" t="str">
        <f t="shared" si="213"/>
        <v>00</v>
      </c>
      <c r="R938" s="6">
        <v>515</v>
      </c>
      <c r="S938" s="5">
        <f t="shared" si="216"/>
        <v>0</v>
      </c>
    </row>
    <row r="939" spans="1:23" hidden="1">
      <c r="J939" s="1" t="str">
        <f t="shared" si="215"/>
        <v>0</v>
      </c>
      <c r="K939" s="3">
        <f t="shared" si="209"/>
        <v>-100</v>
      </c>
      <c r="L939" s="3">
        <f t="shared" si="210"/>
        <v>1</v>
      </c>
      <c r="M939" s="3">
        <f t="shared" si="211"/>
        <v>0</v>
      </c>
      <c r="N939" s="3" t="str">
        <f t="shared" si="212"/>
        <v>01</v>
      </c>
      <c r="O939" s="14" t="str">
        <f t="shared" si="213"/>
        <v>00</v>
      </c>
      <c r="R939" s="6">
        <v>515</v>
      </c>
      <c r="S939" s="5">
        <f t="shared" si="216"/>
        <v>0</v>
      </c>
    </row>
    <row r="940" spans="1:23" hidden="1">
      <c r="J940" s="1" t="str">
        <f t="shared" si="215"/>
        <v>0</v>
      </c>
      <c r="K940" s="3">
        <f t="shared" si="209"/>
        <v>-100</v>
      </c>
      <c r="L940" s="3">
        <f t="shared" si="210"/>
        <v>1</v>
      </c>
      <c r="M940" s="3">
        <f t="shared" si="211"/>
        <v>0</v>
      </c>
      <c r="N940" s="3" t="str">
        <f t="shared" si="212"/>
        <v>01</v>
      </c>
      <c r="O940" s="14" t="str">
        <f t="shared" si="213"/>
        <v>00</v>
      </c>
      <c r="R940" s="6">
        <v>515</v>
      </c>
      <c r="S940" s="5">
        <f t="shared" si="216"/>
        <v>0</v>
      </c>
      <c r="T940" s="17"/>
    </row>
    <row r="941" spans="1:23" hidden="1">
      <c r="J941" s="1" t="str">
        <f t="shared" si="215"/>
        <v>0</v>
      </c>
      <c r="K941" s="3">
        <f t="shared" si="209"/>
        <v>-100</v>
      </c>
      <c r="L941" s="3">
        <f t="shared" si="210"/>
        <v>1</v>
      </c>
      <c r="M941" s="3">
        <f t="shared" si="211"/>
        <v>0</v>
      </c>
      <c r="N941" s="3" t="str">
        <f t="shared" si="212"/>
        <v>01</v>
      </c>
      <c r="O941" s="14" t="str">
        <f t="shared" si="213"/>
        <v>00</v>
      </c>
      <c r="R941" s="6">
        <v>515</v>
      </c>
      <c r="S941" s="5">
        <f t="shared" si="216"/>
        <v>0</v>
      </c>
    </row>
    <row r="942" spans="1:23">
      <c r="A942" s="3">
        <v>787</v>
      </c>
      <c r="B942" s="1">
        <f>IF(G942="-",0,IF(G941=G942,1,0))</f>
        <v>0</v>
      </c>
      <c r="C942" s="1">
        <f>+IF(G942="-",0,IF(I942=I941+1,0,(IF(I942=1,0,1))))</f>
        <v>1</v>
      </c>
      <c r="D942" s="1">
        <f>+IF(AND(P942="",Q942=""),1,0)</f>
        <v>0</v>
      </c>
      <c r="E942" s="1">
        <f t="shared" ref="E942:F945" si="217">IF(U942="",1,0)</f>
        <v>0</v>
      </c>
      <c r="F942" s="1">
        <f t="shared" si="217"/>
        <v>0</v>
      </c>
      <c r="G942" s="52" t="str">
        <f>IF(H942=0,"-",_xlfn.CONCAT(K942,N942,O942,J942))</f>
        <v>24060802</v>
      </c>
      <c r="H942" s="9">
        <v>45451</v>
      </c>
      <c r="I942" s="36">
        <v>2</v>
      </c>
      <c r="J942" s="1" t="str">
        <f t="shared" si="215"/>
        <v>02</v>
      </c>
      <c r="K942" s="3">
        <f t="shared" si="209"/>
        <v>24</v>
      </c>
      <c r="L942" s="3">
        <f t="shared" si="210"/>
        <v>6</v>
      </c>
      <c r="M942" s="3">
        <f t="shared" si="211"/>
        <v>8</v>
      </c>
      <c r="N942" s="3" t="str">
        <f t="shared" si="212"/>
        <v>06</v>
      </c>
      <c r="O942" s="14" t="str">
        <f t="shared" si="213"/>
        <v>08</v>
      </c>
      <c r="P942" s="11">
        <v>120000</v>
      </c>
      <c r="Q942" s="12"/>
      <c r="R942" s="13">
        <v>526</v>
      </c>
      <c r="S942" s="5">
        <f t="shared" si="216"/>
        <v>228.13688212927758</v>
      </c>
      <c r="T942" s="12" t="s">
        <v>271</v>
      </c>
      <c r="U942" s="10" t="s">
        <v>1</v>
      </c>
      <c r="V942" s="10" t="s">
        <v>4</v>
      </c>
      <c r="W942" s="10">
        <f>1874580/526</f>
        <v>3563.8403041825095</v>
      </c>
    </row>
    <row r="943" spans="1:23">
      <c r="A943" s="3">
        <v>788</v>
      </c>
      <c r="B943" s="1">
        <f>IF(G943="-",0,IF(G942=G943,1,0))</f>
        <v>0</v>
      </c>
      <c r="C943" s="1">
        <f>+IF(G943="-",0,IF(I943=I942+1,0,(IF(I943=1,0,1))))</f>
        <v>0</v>
      </c>
      <c r="D943" s="1">
        <f>+IF(AND(P943="",Q943=""),1,0)</f>
        <v>0</v>
      </c>
      <c r="E943" s="1">
        <f t="shared" si="217"/>
        <v>0</v>
      </c>
      <c r="F943" s="1">
        <f t="shared" si="217"/>
        <v>0</v>
      </c>
      <c r="G943" s="52" t="str">
        <f>IF(H943=0,"-",_xlfn.CONCAT(K943,N943,O943,J943))</f>
        <v>24060803</v>
      </c>
      <c r="H943" s="9">
        <v>45451</v>
      </c>
      <c r="I943" s="36">
        <v>3</v>
      </c>
      <c r="J943" s="1" t="str">
        <f t="shared" si="215"/>
        <v>03</v>
      </c>
      <c r="K943" s="3">
        <f t="shared" si="209"/>
        <v>24</v>
      </c>
      <c r="L943" s="3">
        <f t="shared" si="210"/>
        <v>6</v>
      </c>
      <c r="M943" s="3">
        <f t="shared" si="211"/>
        <v>8</v>
      </c>
      <c r="N943" s="3" t="str">
        <f t="shared" si="212"/>
        <v>06</v>
      </c>
      <c r="O943" s="14" t="str">
        <f t="shared" si="213"/>
        <v>08</v>
      </c>
      <c r="P943" s="11">
        <v>102000</v>
      </c>
      <c r="Q943" s="12"/>
      <c r="R943" s="13">
        <v>526</v>
      </c>
      <c r="S943" s="5">
        <f t="shared" si="216"/>
        <v>193.91634980988593</v>
      </c>
      <c r="T943" s="12" t="s">
        <v>273</v>
      </c>
      <c r="U943" s="10" t="s">
        <v>1</v>
      </c>
      <c r="V943" s="10" t="s">
        <v>4</v>
      </c>
      <c r="W943" s="10"/>
    </row>
    <row r="944" spans="1:23">
      <c r="A944" s="3">
        <v>789</v>
      </c>
      <c r="B944" s="1">
        <f>IF(G944="-",0,IF(G943=G944,1,0))</f>
        <v>0</v>
      </c>
      <c r="C944" s="1">
        <f>+IF(G944="-",0,IF(I944=I943+1,0,(IF(I944=1,0,1))))</f>
        <v>0</v>
      </c>
      <c r="D944" s="1">
        <f>+IF(AND(P944="",Q944=""),1,0)</f>
        <v>0</v>
      </c>
      <c r="E944" s="1">
        <f t="shared" si="217"/>
        <v>0</v>
      </c>
      <c r="F944" s="1">
        <f t="shared" si="217"/>
        <v>0</v>
      </c>
      <c r="G944" s="52" t="str">
        <f>IF(H944=0,"-",_xlfn.CONCAT(K944,N944,O944,J944))</f>
        <v>24060804</v>
      </c>
      <c r="H944" s="9">
        <v>45451</v>
      </c>
      <c r="I944" s="36">
        <v>4</v>
      </c>
      <c r="J944" s="1" t="str">
        <f t="shared" si="215"/>
        <v>04</v>
      </c>
      <c r="K944" s="3">
        <f t="shared" si="209"/>
        <v>24</v>
      </c>
      <c r="L944" s="3">
        <f t="shared" si="210"/>
        <v>6</v>
      </c>
      <c r="M944" s="3">
        <f t="shared" si="211"/>
        <v>8</v>
      </c>
      <c r="N944" s="3" t="str">
        <f t="shared" si="212"/>
        <v>06</v>
      </c>
      <c r="O944" s="14" t="str">
        <f t="shared" si="213"/>
        <v>08</v>
      </c>
      <c r="P944" s="11">
        <v>108000</v>
      </c>
      <c r="Q944" s="12"/>
      <c r="R944" s="13">
        <v>526</v>
      </c>
      <c r="S944" s="5">
        <f t="shared" si="216"/>
        <v>205.32319391634982</v>
      </c>
      <c r="T944" s="12" t="s">
        <v>274</v>
      </c>
      <c r="U944" s="10" t="s">
        <v>1</v>
      </c>
      <c r="V944" s="10" t="s">
        <v>4</v>
      </c>
      <c r="W944" s="10"/>
    </row>
    <row r="945" spans="1:23">
      <c r="A945" s="3">
        <v>790</v>
      </c>
      <c r="B945" s="1">
        <f>IF(G945="-",0,IF(G944=G945,1,0))</f>
        <v>0</v>
      </c>
      <c r="C945" s="1">
        <f>+IF(G945="-",0,IF(I945=I944+1,0,(IF(I945=1,0,1))))</f>
        <v>0</v>
      </c>
      <c r="D945" s="1">
        <f>+IF(AND(P945="",Q945=""),1,0)</f>
        <v>0</v>
      </c>
      <c r="E945" s="1">
        <f t="shared" si="217"/>
        <v>0</v>
      </c>
      <c r="F945" s="1">
        <f t="shared" si="217"/>
        <v>0</v>
      </c>
      <c r="G945" s="52" t="str">
        <f>IF(H945=0,"-",_xlfn.CONCAT(K945,N945,O945,J945))</f>
        <v>24060805</v>
      </c>
      <c r="H945" s="9">
        <v>45451</v>
      </c>
      <c r="I945" s="36">
        <v>5</v>
      </c>
      <c r="J945" s="1" t="str">
        <f t="shared" si="215"/>
        <v>05</v>
      </c>
      <c r="K945" s="3">
        <f t="shared" si="209"/>
        <v>24</v>
      </c>
      <c r="L945" s="3">
        <f t="shared" si="210"/>
        <v>6</v>
      </c>
      <c r="M945" s="3">
        <f t="shared" si="211"/>
        <v>8</v>
      </c>
      <c r="N945" s="3" t="str">
        <f t="shared" si="212"/>
        <v>06</v>
      </c>
      <c r="O945" s="14" t="str">
        <f t="shared" si="213"/>
        <v>08</v>
      </c>
      <c r="P945" s="11">
        <v>100000</v>
      </c>
      <c r="Q945" s="12"/>
      <c r="R945" s="13">
        <v>526</v>
      </c>
      <c r="S945" s="5">
        <f t="shared" si="216"/>
        <v>190.11406844106463</v>
      </c>
      <c r="T945" s="12" t="s">
        <v>275</v>
      </c>
      <c r="U945" s="10" t="s">
        <v>1</v>
      </c>
      <c r="V945" s="10" t="s">
        <v>4</v>
      </c>
      <c r="W945" s="10"/>
    </row>
    <row r="946" spans="1:23" hidden="1">
      <c r="J946" s="1" t="str">
        <f t="shared" si="215"/>
        <v>0</v>
      </c>
      <c r="K946" s="3">
        <f t="shared" si="209"/>
        <v>-100</v>
      </c>
      <c r="L946" s="3">
        <f t="shared" si="210"/>
        <v>1</v>
      </c>
      <c r="M946" s="3">
        <f t="shared" si="211"/>
        <v>0</v>
      </c>
      <c r="N946" s="3" t="str">
        <f t="shared" si="212"/>
        <v>01</v>
      </c>
      <c r="O946" s="14" t="str">
        <f t="shared" si="213"/>
        <v>00</v>
      </c>
      <c r="R946" s="6">
        <v>519</v>
      </c>
      <c r="S946" s="5">
        <f t="shared" si="216"/>
        <v>0</v>
      </c>
    </row>
    <row r="947" spans="1:23">
      <c r="A947" s="3">
        <v>791</v>
      </c>
      <c r="B947" s="1">
        <f>IF(G947="-",0,IF(G946=G947,1,0))</f>
        <v>0</v>
      </c>
      <c r="C947" s="1">
        <f>+IF(G947="-",0,IF(I947=I946+1,0,(IF(I947=1,0,1))))</f>
        <v>1</v>
      </c>
      <c r="D947" s="1">
        <f>+IF(AND(P947="",Q947=""),1,0)</f>
        <v>0</v>
      </c>
      <c r="E947" s="1">
        <f t="shared" ref="E947:F949" si="218">IF(U947="",1,0)</f>
        <v>0</v>
      </c>
      <c r="F947" s="1">
        <f t="shared" si="218"/>
        <v>0</v>
      </c>
      <c r="G947" s="52" t="str">
        <f>IF(H947=0,"-",_xlfn.CONCAT(K947,N947,O947,J947))</f>
        <v>24060806</v>
      </c>
      <c r="H947" s="9">
        <v>45451</v>
      </c>
      <c r="I947" s="36">
        <v>6</v>
      </c>
      <c r="J947" s="1" t="str">
        <f t="shared" si="215"/>
        <v>06</v>
      </c>
      <c r="K947" s="3">
        <f t="shared" si="209"/>
        <v>24</v>
      </c>
      <c r="L947" s="3">
        <f t="shared" si="210"/>
        <v>6</v>
      </c>
      <c r="M947" s="3">
        <f t="shared" si="211"/>
        <v>8</v>
      </c>
      <c r="N947" s="3" t="str">
        <f t="shared" si="212"/>
        <v>06</v>
      </c>
      <c r="O947" s="14" t="str">
        <f t="shared" si="213"/>
        <v>08</v>
      </c>
      <c r="P947" s="11">
        <v>180000</v>
      </c>
      <c r="Q947" s="12"/>
      <c r="R947" s="13">
        <v>526</v>
      </c>
      <c r="S947" s="5">
        <f t="shared" si="216"/>
        <v>342.20532319391634</v>
      </c>
      <c r="T947" s="12" t="s">
        <v>276</v>
      </c>
      <c r="U947" s="10" t="s">
        <v>1</v>
      </c>
      <c r="V947" s="10" t="s">
        <v>4</v>
      </c>
      <c r="W947" s="10"/>
    </row>
    <row r="948" spans="1:23">
      <c r="A948" s="3">
        <v>794</v>
      </c>
      <c r="B948" s="1">
        <f>IF(G948="-",0,IF(G947=G948,1,0))</f>
        <v>0</v>
      </c>
      <c r="C948" s="1">
        <f>+IF(G948="-",0,IF(I948=I947+1,0,(IF(I948=1,0,1))))</f>
        <v>1</v>
      </c>
      <c r="D948" s="1">
        <f>+IF(AND(P948="",Q948=""),1,0)</f>
        <v>0</v>
      </c>
      <c r="E948" s="1">
        <f t="shared" si="218"/>
        <v>0</v>
      </c>
      <c r="F948" s="1">
        <f t="shared" si="218"/>
        <v>0</v>
      </c>
      <c r="G948" s="52" t="str">
        <f>IF(H948=0,"-",_xlfn.CONCAT(K948,N948,O948,J948))</f>
        <v>24060809</v>
      </c>
      <c r="H948" s="9">
        <v>45451</v>
      </c>
      <c r="I948" s="36">
        <v>9</v>
      </c>
      <c r="J948" s="1" t="str">
        <f t="shared" si="215"/>
        <v>09</v>
      </c>
      <c r="K948" s="3">
        <f t="shared" si="209"/>
        <v>24</v>
      </c>
      <c r="L948" s="3">
        <f t="shared" si="210"/>
        <v>6</v>
      </c>
      <c r="M948" s="3">
        <f t="shared" si="211"/>
        <v>8</v>
      </c>
      <c r="N948" s="3" t="str">
        <f t="shared" si="212"/>
        <v>06</v>
      </c>
      <c r="O948" s="14" t="str">
        <f t="shared" si="213"/>
        <v>08</v>
      </c>
      <c r="P948" s="11">
        <v>130000</v>
      </c>
      <c r="Q948" s="12"/>
      <c r="R948" s="13">
        <v>526</v>
      </c>
      <c r="S948" s="5">
        <f t="shared" si="216"/>
        <v>247.14828897338404</v>
      </c>
      <c r="T948" s="12" t="s">
        <v>272</v>
      </c>
      <c r="U948" s="10" t="s">
        <v>1</v>
      </c>
      <c r="V948" s="10" t="s">
        <v>4</v>
      </c>
      <c r="W948" s="10"/>
    </row>
    <row r="949" spans="1:23">
      <c r="A949" s="3">
        <v>798</v>
      </c>
      <c r="B949" s="1">
        <f>IF(G949="-",0,IF(G948=G949,1,0))</f>
        <v>0</v>
      </c>
      <c r="C949" s="1">
        <f>+IF(G949="-",0,IF(I949=I948+1,0,(IF(I949=1,0,1))))</f>
        <v>1</v>
      </c>
      <c r="D949" s="1">
        <f>+IF(AND(P949="",Q949=""),1,0)</f>
        <v>0</v>
      </c>
      <c r="E949" s="1">
        <f t="shared" si="218"/>
        <v>0</v>
      </c>
      <c r="F949" s="1">
        <f t="shared" si="218"/>
        <v>0</v>
      </c>
      <c r="G949" s="52" t="str">
        <f>IF(H949=0,"-",_xlfn.CONCAT(K949,N949,O949,J949))</f>
        <v>24060813</v>
      </c>
      <c r="H949" s="9">
        <v>45451</v>
      </c>
      <c r="I949" s="36">
        <v>13</v>
      </c>
      <c r="J949" s="1">
        <f t="shared" si="215"/>
        <v>13</v>
      </c>
      <c r="K949" s="3">
        <f t="shared" si="209"/>
        <v>24</v>
      </c>
      <c r="L949" s="3">
        <f t="shared" si="210"/>
        <v>6</v>
      </c>
      <c r="M949" s="3">
        <f t="shared" si="211"/>
        <v>8</v>
      </c>
      <c r="N949" s="3" t="str">
        <f t="shared" si="212"/>
        <v>06</v>
      </c>
      <c r="O949" s="14" t="str">
        <f t="shared" si="213"/>
        <v>08</v>
      </c>
      <c r="P949" s="11">
        <v>120000</v>
      </c>
      <c r="Q949" s="12"/>
      <c r="R949" s="13">
        <v>526</v>
      </c>
      <c r="S949" s="5">
        <f t="shared" si="216"/>
        <v>228.13688212927758</v>
      </c>
      <c r="T949" s="12" t="s">
        <v>277</v>
      </c>
      <c r="U949" s="10" t="s">
        <v>1</v>
      </c>
      <c r="V949" s="10" t="s">
        <v>4</v>
      </c>
      <c r="W949" s="10"/>
    </row>
    <row r="950" spans="1:23" hidden="1">
      <c r="J950" s="1" t="str">
        <f t="shared" si="215"/>
        <v>0</v>
      </c>
      <c r="K950" s="3">
        <f t="shared" si="209"/>
        <v>-100</v>
      </c>
      <c r="L950" s="3">
        <f t="shared" si="210"/>
        <v>1</v>
      </c>
      <c r="M950" s="3">
        <f t="shared" si="211"/>
        <v>0</v>
      </c>
      <c r="N950" s="3" t="str">
        <f t="shared" si="212"/>
        <v>01</v>
      </c>
      <c r="O950" s="14" t="str">
        <f t="shared" si="213"/>
        <v>00</v>
      </c>
      <c r="R950" s="6">
        <v>519</v>
      </c>
    </row>
    <row r="951" spans="1:23">
      <c r="A951" s="3">
        <v>800</v>
      </c>
      <c r="B951" s="1">
        <f>IF(G951="-",0,IF(G950=G951,1,0))</f>
        <v>0</v>
      </c>
      <c r="C951" s="1">
        <f>+IF(G951="-",0,IF(I951=I950+1,0,(IF(I951=1,0,1))))</f>
        <v>1</v>
      </c>
      <c r="D951" s="1">
        <f>+IF(AND(P951="",Q951=""),1,0)</f>
        <v>0</v>
      </c>
      <c r="E951" s="1">
        <f t="shared" ref="E951:F953" si="219">IF(U951="",1,0)</f>
        <v>0</v>
      </c>
      <c r="F951" s="1">
        <f t="shared" si="219"/>
        <v>0</v>
      </c>
      <c r="G951" s="52" t="str">
        <f>IF(H951=0,"-",_xlfn.CONCAT(K951,N951,O951,J951))</f>
        <v>24060815</v>
      </c>
      <c r="H951" s="9">
        <v>45451</v>
      </c>
      <c r="I951" s="36">
        <v>15</v>
      </c>
      <c r="J951" s="1">
        <f t="shared" si="215"/>
        <v>15</v>
      </c>
      <c r="K951" s="3">
        <f t="shared" si="209"/>
        <v>24</v>
      </c>
      <c r="L951" s="3">
        <f t="shared" si="210"/>
        <v>6</v>
      </c>
      <c r="M951" s="3">
        <f t="shared" si="211"/>
        <v>8</v>
      </c>
      <c r="N951" s="3" t="str">
        <f t="shared" si="212"/>
        <v>06</v>
      </c>
      <c r="O951" s="14" t="str">
        <f t="shared" si="213"/>
        <v>08</v>
      </c>
      <c r="P951" s="11">
        <v>30000</v>
      </c>
      <c r="Q951" s="12"/>
      <c r="R951" s="13">
        <v>526</v>
      </c>
      <c r="S951" s="5">
        <f>IFERROR(P951/R951,"")</f>
        <v>57.034220532319395</v>
      </c>
      <c r="T951" s="12" t="s">
        <v>284</v>
      </c>
      <c r="U951" s="10" t="s">
        <v>1</v>
      </c>
      <c r="V951" s="10" t="s">
        <v>4</v>
      </c>
      <c r="W951" s="10"/>
    </row>
    <row r="952" spans="1:23">
      <c r="A952" s="3">
        <v>802</v>
      </c>
      <c r="B952" s="1">
        <f>IF(G952="-",0,IF(G951=G952,1,0))</f>
        <v>0</v>
      </c>
      <c r="C952" s="1">
        <f>+IF(G952="-",0,IF(I952=I951+1,0,(IF(I952=1,0,1))))</f>
        <v>1</v>
      </c>
      <c r="D952" s="1">
        <f>+IF(AND(P952="",Q952=""),1,0)</f>
        <v>0</v>
      </c>
      <c r="E952" s="1">
        <f t="shared" si="219"/>
        <v>0</v>
      </c>
      <c r="F952" s="1">
        <f t="shared" si="219"/>
        <v>0</v>
      </c>
      <c r="G952" s="1" t="str">
        <f>IF(H952=0,"-",_xlfn.CONCAT(K952,N952,O952,J952))</f>
        <v>24060817</v>
      </c>
      <c r="H952" s="2">
        <v>45451</v>
      </c>
      <c r="I952" s="36">
        <v>17</v>
      </c>
      <c r="J952" s="1">
        <f t="shared" si="215"/>
        <v>17</v>
      </c>
      <c r="K952" s="3">
        <f t="shared" si="209"/>
        <v>24</v>
      </c>
      <c r="L952" s="3">
        <f t="shared" si="210"/>
        <v>6</v>
      </c>
      <c r="M952" s="3">
        <f t="shared" si="211"/>
        <v>8</v>
      </c>
      <c r="N952" s="3" t="str">
        <f t="shared" si="212"/>
        <v>06</v>
      </c>
      <c r="O952" s="14" t="str">
        <f t="shared" si="213"/>
        <v>08</v>
      </c>
      <c r="P952" s="4">
        <v>200000</v>
      </c>
      <c r="R952" s="6">
        <v>526</v>
      </c>
      <c r="S952" s="5">
        <f>IFERROR(P952/R952,"")</f>
        <v>380.22813688212926</v>
      </c>
      <c r="T952" s="5" t="s">
        <v>293</v>
      </c>
      <c r="U952" s="3" t="s">
        <v>1</v>
      </c>
      <c r="V952" s="3" t="s">
        <v>4</v>
      </c>
    </row>
    <row r="953" spans="1:23">
      <c r="A953" s="3">
        <v>807</v>
      </c>
      <c r="B953" s="1">
        <f>IF(G953="-",0,IF(G952=G953,1,0))</f>
        <v>0</v>
      </c>
      <c r="C953" s="1">
        <f>+IF(G953="-",0,IF(I953=I952+1,0,(IF(I953=1,0,1))))</f>
        <v>1</v>
      </c>
      <c r="D953" s="1">
        <f>+IF(AND(P953="",Q953=""),1,0)</f>
        <v>0</v>
      </c>
      <c r="E953" s="1">
        <f t="shared" si="219"/>
        <v>0</v>
      </c>
      <c r="F953" s="1">
        <f t="shared" si="219"/>
        <v>0</v>
      </c>
      <c r="G953" s="1" t="str">
        <f>IF(H953=0,"-",_xlfn.CONCAT(K953,N953,O953,J953))</f>
        <v>24060822</v>
      </c>
      <c r="H953" s="2">
        <v>45451</v>
      </c>
      <c r="I953" s="36">
        <v>22</v>
      </c>
      <c r="J953" s="1">
        <f t="shared" si="215"/>
        <v>22</v>
      </c>
      <c r="K953" s="3">
        <f t="shared" si="209"/>
        <v>24</v>
      </c>
      <c r="L953" s="3">
        <f t="shared" si="210"/>
        <v>6</v>
      </c>
      <c r="M953" s="3">
        <f t="shared" si="211"/>
        <v>8</v>
      </c>
      <c r="N953" s="3" t="str">
        <f t="shared" si="212"/>
        <v>06</v>
      </c>
      <c r="O953" s="14" t="str">
        <f t="shared" si="213"/>
        <v>08</v>
      </c>
      <c r="P953" s="4">
        <v>5960</v>
      </c>
      <c r="R953" s="6">
        <v>526</v>
      </c>
      <c r="S953" s="5">
        <f>IFERROR(P953/R953,"")</f>
        <v>11.330798479087452</v>
      </c>
      <c r="T953" s="5" t="s">
        <v>402</v>
      </c>
      <c r="U953" s="3" t="s">
        <v>29</v>
      </c>
      <c r="V953" s="3" t="s">
        <v>4</v>
      </c>
      <c r="W953" s="3" t="s">
        <v>397</v>
      </c>
    </row>
    <row r="954" spans="1:23" hidden="1">
      <c r="J954" s="1" t="str">
        <f t="shared" si="215"/>
        <v>0</v>
      </c>
      <c r="K954" s="3">
        <f t="shared" si="209"/>
        <v>-100</v>
      </c>
      <c r="L954" s="3">
        <f t="shared" si="210"/>
        <v>1</v>
      </c>
      <c r="M954" s="3">
        <f t="shared" si="211"/>
        <v>0</v>
      </c>
      <c r="N954" s="3" t="str">
        <f t="shared" si="212"/>
        <v>01</v>
      </c>
      <c r="O954" s="14" t="str">
        <f t="shared" si="213"/>
        <v>00</v>
      </c>
      <c r="R954" s="6">
        <v>519</v>
      </c>
    </row>
    <row r="955" spans="1:23">
      <c r="A955" s="3">
        <v>813</v>
      </c>
      <c r="B955" s="1">
        <f t="shared" ref="B955:B960" si="220">IF(G955="-",0,IF(G954=G955,1,0))</f>
        <v>0</v>
      </c>
      <c r="C955" s="1">
        <f t="shared" ref="C955:C960" si="221">+IF(G955="-",0,IF(I955=I954+1,0,(IF(I955=1,0,1))))</f>
        <v>1</v>
      </c>
      <c r="D955" s="1">
        <f t="shared" ref="D955:D960" si="222">+IF(AND(P955="",Q955=""),1,0)</f>
        <v>0</v>
      </c>
      <c r="E955" s="1">
        <f t="shared" ref="E955:F960" si="223">IF(U955="",1,0)</f>
        <v>0</v>
      </c>
      <c r="F955" s="1">
        <f t="shared" si="223"/>
        <v>0</v>
      </c>
      <c r="G955" s="1" t="str">
        <f t="shared" ref="G955:G960" si="224">IF(H955=0,"-",_xlfn.CONCAT(K955,N955,O955,J955))</f>
        <v>24061002</v>
      </c>
      <c r="H955" s="2">
        <v>45453</v>
      </c>
      <c r="I955" s="36">
        <v>2</v>
      </c>
      <c r="J955" s="1" t="str">
        <f t="shared" si="215"/>
        <v>02</v>
      </c>
      <c r="K955" s="3">
        <f t="shared" si="209"/>
        <v>24</v>
      </c>
      <c r="L955" s="3">
        <f t="shared" si="210"/>
        <v>6</v>
      </c>
      <c r="M955" s="3">
        <f t="shared" si="211"/>
        <v>10</v>
      </c>
      <c r="N955" s="3" t="str">
        <f t="shared" si="212"/>
        <v>06</v>
      </c>
      <c r="O955" s="14">
        <f t="shared" si="213"/>
        <v>10</v>
      </c>
      <c r="P955" s="4">
        <v>5191.79</v>
      </c>
      <c r="R955" s="6">
        <v>523</v>
      </c>
      <c r="S955" s="5">
        <f t="shared" ref="S955:S960" si="225">IFERROR(P955/R955,"")</f>
        <v>9.9269407265774383</v>
      </c>
      <c r="T955" s="5" t="s">
        <v>300</v>
      </c>
      <c r="U955" s="3" t="s">
        <v>29</v>
      </c>
      <c r="V955" s="3" t="s">
        <v>4</v>
      </c>
    </row>
    <row r="956" spans="1:23">
      <c r="A956" s="3">
        <v>814</v>
      </c>
      <c r="B956" s="1">
        <f t="shared" si="220"/>
        <v>0</v>
      </c>
      <c r="C956" s="1">
        <f t="shared" si="221"/>
        <v>0</v>
      </c>
      <c r="D956" s="1">
        <f t="shared" si="222"/>
        <v>0</v>
      </c>
      <c r="E956" s="1">
        <f t="shared" si="223"/>
        <v>0</v>
      </c>
      <c r="F956" s="1">
        <f t="shared" si="223"/>
        <v>0</v>
      </c>
      <c r="G956" s="1" t="str">
        <f t="shared" si="224"/>
        <v>24061003</v>
      </c>
      <c r="H956" s="2">
        <v>45453</v>
      </c>
      <c r="I956" s="36">
        <v>3</v>
      </c>
      <c r="J956" s="1" t="str">
        <f t="shared" si="215"/>
        <v>03</v>
      </c>
      <c r="K956" s="3">
        <f t="shared" si="209"/>
        <v>24</v>
      </c>
      <c r="L956" s="3">
        <f t="shared" si="210"/>
        <v>6</v>
      </c>
      <c r="M956" s="3">
        <f t="shared" si="211"/>
        <v>10</v>
      </c>
      <c r="N956" s="3" t="str">
        <f t="shared" si="212"/>
        <v>06</v>
      </c>
      <c r="O956" s="14">
        <f t="shared" si="213"/>
        <v>10</v>
      </c>
      <c r="P956" s="4">
        <v>37349.040000000001</v>
      </c>
      <c r="R956" s="6">
        <v>523</v>
      </c>
      <c r="S956" s="5">
        <f t="shared" si="225"/>
        <v>71.413078393881449</v>
      </c>
      <c r="T956" s="5" t="s">
        <v>301</v>
      </c>
      <c r="U956" s="3" t="s">
        <v>29</v>
      </c>
      <c r="V956" s="3" t="s">
        <v>4</v>
      </c>
    </row>
    <row r="957" spans="1:23">
      <c r="A957" s="3">
        <v>815</v>
      </c>
      <c r="B957" s="1">
        <f t="shared" si="220"/>
        <v>0</v>
      </c>
      <c r="C957" s="1">
        <f t="shared" si="221"/>
        <v>0</v>
      </c>
      <c r="D957" s="1">
        <f t="shared" si="222"/>
        <v>0</v>
      </c>
      <c r="E957" s="1">
        <f t="shared" si="223"/>
        <v>0</v>
      </c>
      <c r="F957" s="1">
        <f t="shared" si="223"/>
        <v>0</v>
      </c>
      <c r="G957" s="1" t="str">
        <f t="shared" si="224"/>
        <v>24061004</v>
      </c>
      <c r="H957" s="2">
        <v>45453</v>
      </c>
      <c r="I957" s="36">
        <v>4</v>
      </c>
      <c r="J957" s="1" t="str">
        <f t="shared" si="215"/>
        <v>04</v>
      </c>
      <c r="K957" s="3">
        <f t="shared" si="209"/>
        <v>24</v>
      </c>
      <c r="L957" s="3">
        <f t="shared" si="210"/>
        <v>6</v>
      </c>
      <c r="M957" s="3">
        <f t="shared" si="211"/>
        <v>10</v>
      </c>
      <c r="N957" s="3" t="str">
        <f t="shared" si="212"/>
        <v>06</v>
      </c>
      <c r="O957" s="14">
        <f t="shared" si="213"/>
        <v>10</v>
      </c>
      <c r="P957" s="4">
        <v>48355</v>
      </c>
      <c r="R957" s="6">
        <v>501</v>
      </c>
      <c r="S957" s="5">
        <f t="shared" si="225"/>
        <v>96.516966067864274</v>
      </c>
      <c r="T957" s="5" t="s">
        <v>144</v>
      </c>
      <c r="U957" s="3" t="s">
        <v>29</v>
      </c>
      <c r="V957" s="3" t="s">
        <v>4</v>
      </c>
    </row>
    <row r="958" spans="1:23">
      <c r="A958" s="3">
        <v>819</v>
      </c>
      <c r="B958" s="1">
        <f t="shared" si="220"/>
        <v>0</v>
      </c>
      <c r="C958" s="1">
        <f t="shared" si="221"/>
        <v>1</v>
      </c>
      <c r="D958" s="1">
        <f t="shared" si="222"/>
        <v>0</v>
      </c>
      <c r="E958" s="1">
        <f t="shared" si="223"/>
        <v>0</v>
      </c>
      <c r="F958" s="1">
        <f t="shared" si="223"/>
        <v>0</v>
      </c>
      <c r="G958" s="1" t="str">
        <f t="shared" si="224"/>
        <v>24061008</v>
      </c>
      <c r="H958" s="2">
        <v>45453</v>
      </c>
      <c r="I958" s="36">
        <v>8</v>
      </c>
      <c r="J958" s="1" t="str">
        <f t="shared" si="215"/>
        <v>08</v>
      </c>
      <c r="K958" s="3">
        <f t="shared" si="209"/>
        <v>24</v>
      </c>
      <c r="L958" s="3">
        <f t="shared" si="210"/>
        <v>6</v>
      </c>
      <c r="M958" s="3">
        <f t="shared" si="211"/>
        <v>10</v>
      </c>
      <c r="N958" s="3" t="str">
        <f t="shared" si="212"/>
        <v>06</v>
      </c>
      <c r="O958" s="14">
        <f t="shared" si="213"/>
        <v>10</v>
      </c>
      <c r="P958" s="4">
        <v>4586</v>
      </c>
      <c r="R958" s="6">
        <v>523</v>
      </c>
      <c r="S958" s="5">
        <f t="shared" si="225"/>
        <v>8.7686424474187383</v>
      </c>
      <c r="T958" s="5" t="s">
        <v>449</v>
      </c>
      <c r="U958" s="3" t="s">
        <v>29</v>
      </c>
      <c r="V958" s="3" t="s">
        <v>4</v>
      </c>
      <c r="W958" s="3" t="s">
        <v>397</v>
      </c>
    </row>
    <row r="959" spans="1:23">
      <c r="A959" s="3">
        <v>826</v>
      </c>
      <c r="B959" s="1">
        <f t="shared" si="220"/>
        <v>0</v>
      </c>
      <c r="C959" s="1">
        <f t="shared" si="221"/>
        <v>1</v>
      </c>
      <c r="D959" s="1">
        <f t="shared" si="222"/>
        <v>0</v>
      </c>
      <c r="E959" s="1">
        <f t="shared" si="223"/>
        <v>0</v>
      </c>
      <c r="F959" s="1">
        <f t="shared" si="223"/>
        <v>0</v>
      </c>
      <c r="G959" s="1" t="str">
        <f t="shared" si="224"/>
        <v>24061105</v>
      </c>
      <c r="H959" s="2">
        <v>45454</v>
      </c>
      <c r="I959" s="36">
        <v>5</v>
      </c>
      <c r="J959" s="1" t="str">
        <f t="shared" si="215"/>
        <v>05</v>
      </c>
      <c r="K959" s="3">
        <f t="shared" si="209"/>
        <v>24</v>
      </c>
      <c r="L959" s="3">
        <f t="shared" si="210"/>
        <v>6</v>
      </c>
      <c r="M959" s="3">
        <f t="shared" si="211"/>
        <v>11</v>
      </c>
      <c r="N959" s="3" t="str">
        <f t="shared" si="212"/>
        <v>06</v>
      </c>
      <c r="O959" s="14">
        <f t="shared" si="213"/>
        <v>11</v>
      </c>
      <c r="P959" s="4">
        <v>200000</v>
      </c>
      <c r="R959" s="6">
        <v>522</v>
      </c>
      <c r="S959" s="5">
        <f t="shared" si="225"/>
        <v>383.14176245210729</v>
      </c>
      <c r="T959" s="5" t="s">
        <v>151</v>
      </c>
      <c r="U959" s="3" t="s">
        <v>305</v>
      </c>
      <c r="V959" s="3" t="s">
        <v>4</v>
      </c>
    </row>
    <row r="960" spans="1:23">
      <c r="A960" s="3">
        <v>830</v>
      </c>
      <c r="B960" s="1">
        <f t="shared" si="220"/>
        <v>0</v>
      </c>
      <c r="C960" s="1">
        <f t="shared" si="221"/>
        <v>1</v>
      </c>
      <c r="D960" s="1">
        <f t="shared" si="222"/>
        <v>0</v>
      </c>
      <c r="E960" s="1">
        <f t="shared" si="223"/>
        <v>0</v>
      </c>
      <c r="F960" s="1">
        <f t="shared" si="223"/>
        <v>0</v>
      </c>
      <c r="G960" s="1" t="str">
        <f t="shared" si="224"/>
        <v>24061109</v>
      </c>
      <c r="H960" s="2">
        <v>45454</v>
      </c>
      <c r="I960" s="36">
        <v>9</v>
      </c>
      <c r="J960" s="1" t="str">
        <f t="shared" si="215"/>
        <v>09</v>
      </c>
      <c r="K960" s="3">
        <f t="shared" si="209"/>
        <v>24</v>
      </c>
      <c r="L960" s="3">
        <f t="shared" si="210"/>
        <v>6</v>
      </c>
      <c r="M960" s="3">
        <f t="shared" si="211"/>
        <v>11</v>
      </c>
      <c r="N960" s="3" t="str">
        <f t="shared" si="212"/>
        <v>06</v>
      </c>
      <c r="O960" s="14">
        <f t="shared" si="213"/>
        <v>11</v>
      </c>
      <c r="P960" s="4">
        <v>5040</v>
      </c>
      <c r="R960" s="6">
        <v>519</v>
      </c>
      <c r="S960" s="5">
        <f t="shared" si="225"/>
        <v>9.7109826589595372</v>
      </c>
      <c r="T960" s="5" t="s">
        <v>402</v>
      </c>
      <c r="U960" s="3" t="s">
        <v>29</v>
      </c>
      <c r="V960" s="3" t="s">
        <v>4</v>
      </c>
      <c r="W960" s="3" t="s">
        <v>397</v>
      </c>
    </row>
    <row r="961" spans="1:23" hidden="1">
      <c r="H961" s="59"/>
      <c r="J961" s="1" t="str">
        <f t="shared" ref="J961:J992" si="226">+IF(I961&lt;10,_xlfn.CONCAT("0",I961),I961)</f>
        <v>0</v>
      </c>
      <c r="K961" s="3">
        <f t="shared" si="209"/>
        <v>-100</v>
      </c>
      <c r="L961" s="3">
        <f t="shared" si="210"/>
        <v>1</v>
      </c>
      <c r="M961" s="3">
        <f t="shared" si="211"/>
        <v>0</v>
      </c>
      <c r="N961" s="3" t="str">
        <f t="shared" si="212"/>
        <v>01</v>
      </c>
      <c r="O961" s="14" t="str">
        <f t="shared" si="213"/>
        <v>00</v>
      </c>
      <c r="P961" s="60"/>
      <c r="Q961" s="61"/>
      <c r="R961" s="62">
        <v>519</v>
      </c>
      <c r="S961" s="61"/>
      <c r="T961" s="61"/>
      <c r="U961" s="63"/>
      <c r="V961" s="63"/>
    </row>
    <row r="962" spans="1:23">
      <c r="A962" s="3">
        <v>832</v>
      </c>
      <c r="B962" s="1">
        <f>IF(G962="-",0,IF(G961=G962,1,0))</f>
        <v>0</v>
      </c>
      <c r="C962" s="1">
        <f>+IF(G962="-",0,IF(I962=I961+1,0,(IF(I962=1,0,1))))</f>
        <v>0</v>
      </c>
      <c r="D962" s="1">
        <f>+IF(AND(P962="",Q962=""),1,0)</f>
        <v>0</v>
      </c>
      <c r="E962" s="1">
        <f>IF(U962="",1,0)</f>
        <v>0</v>
      </c>
      <c r="F962" s="1">
        <f>IF(V962="",1,0)</f>
        <v>0</v>
      </c>
      <c r="G962" s="1" t="str">
        <f>IF(H962=0,"-",_xlfn.CONCAT(K962,N962,O962,J962))</f>
        <v>24061201</v>
      </c>
      <c r="H962" s="2">
        <v>45455</v>
      </c>
      <c r="I962" s="36">
        <v>1</v>
      </c>
      <c r="J962" s="1" t="str">
        <f t="shared" si="226"/>
        <v>01</v>
      </c>
      <c r="K962" s="3">
        <f t="shared" si="209"/>
        <v>24</v>
      </c>
      <c r="L962" s="3">
        <f t="shared" si="210"/>
        <v>6</v>
      </c>
      <c r="M962" s="3">
        <f t="shared" si="211"/>
        <v>12</v>
      </c>
      <c r="N962" s="3" t="str">
        <f t="shared" si="212"/>
        <v>06</v>
      </c>
      <c r="O962" s="14">
        <f t="shared" si="213"/>
        <v>12</v>
      </c>
      <c r="P962" s="4">
        <v>40318.99</v>
      </c>
      <c r="R962" s="6">
        <v>517</v>
      </c>
      <c r="S962" s="5">
        <f>IFERROR(P962/R962,"")</f>
        <v>77.986441005802703</v>
      </c>
      <c r="T962" s="5" t="s">
        <v>213</v>
      </c>
      <c r="U962" s="3" t="s">
        <v>29</v>
      </c>
      <c r="V962" s="3" t="s">
        <v>4</v>
      </c>
    </row>
    <row r="963" spans="1:23" hidden="1">
      <c r="H963" s="59"/>
      <c r="J963" s="1" t="str">
        <f t="shared" si="226"/>
        <v>0</v>
      </c>
      <c r="K963" s="3">
        <f t="shared" si="209"/>
        <v>-100</v>
      </c>
      <c r="L963" s="3">
        <f t="shared" si="210"/>
        <v>1</v>
      </c>
      <c r="M963" s="3">
        <f t="shared" si="211"/>
        <v>0</v>
      </c>
      <c r="N963" s="3" t="str">
        <f t="shared" si="212"/>
        <v>01</v>
      </c>
      <c r="O963" s="14" t="str">
        <f t="shared" si="213"/>
        <v>00</v>
      </c>
      <c r="P963" s="60"/>
      <c r="Q963" s="61"/>
      <c r="R963" s="62">
        <v>519</v>
      </c>
      <c r="S963" s="61"/>
      <c r="T963" s="61"/>
      <c r="U963" s="63"/>
      <c r="V963" s="63"/>
    </row>
    <row r="964" spans="1:23" hidden="1">
      <c r="H964" s="59"/>
      <c r="J964" s="1" t="str">
        <f t="shared" si="226"/>
        <v>0</v>
      </c>
      <c r="K964" s="3">
        <f t="shared" si="209"/>
        <v>-100</v>
      </c>
      <c r="L964" s="3">
        <f t="shared" si="210"/>
        <v>1</v>
      </c>
      <c r="M964" s="3">
        <f t="shared" si="211"/>
        <v>0</v>
      </c>
      <c r="N964" s="3" t="str">
        <f t="shared" si="212"/>
        <v>01</v>
      </c>
      <c r="O964" s="14" t="str">
        <f t="shared" si="213"/>
        <v>00</v>
      </c>
      <c r="P964" s="60"/>
      <c r="Q964" s="61"/>
      <c r="R964" s="62">
        <v>519</v>
      </c>
      <c r="S964" s="61"/>
      <c r="T964" s="61"/>
      <c r="U964" s="63"/>
      <c r="V964" s="63"/>
    </row>
    <row r="965" spans="1:23">
      <c r="A965" s="3">
        <v>835</v>
      </c>
      <c r="B965" s="1">
        <f>IF(G965="-",0,IF(G964=G965,1,0))</f>
        <v>0</v>
      </c>
      <c r="C965" s="1">
        <f>+IF(G965="-",0,IF(I965=I964+1,0,(IF(I965=1,0,1))))</f>
        <v>1</v>
      </c>
      <c r="D965" s="1">
        <f>+IF(AND(P965="",Q965=""),1,0)</f>
        <v>0</v>
      </c>
      <c r="E965" s="1">
        <f>IF(U965="",1,0)</f>
        <v>0</v>
      </c>
      <c r="F965" s="1">
        <f>IF(V965="",1,0)</f>
        <v>0</v>
      </c>
      <c r="G965" s="1" t="str">
        <f>IF(H965=0,"-",_xlfn.CONCAT(K965,N965,O965,J965))</f>
        <v>24061204</v>
      </c>
      <c r="H965" s="2">
        <v>45455</v>
      </c>
      <c r="I965" s="36">
        <v>4</v>
      </c>
      <c r="J965" s="1" t="str">
        <f t="shared" si="226"/>
        <v>04</v>
      </c>
      <c r="K965" s="3">
        <f t="shared" si="209"/>
        <v>24</v>
      </c>
      <c r="L965" s="3">
        <f t="shared" si="210"/>
        <v>6</v>
      </c>
      <c r="M965" s="3">
        <f t="shared" si="211"/>
        <v>12</v>
      </c>
      <c r="N965" s="3" t="str">
        <f t="shared" si="212"/>
        <v>06</v>
      </c>
      <c r="O965" s="14">
        <f t="shared" si="213"/>
        <v>12</v>
      </c>
      <c r="P965" s="4">
        <v>80000</v>
      </c>
      <c r="R965" s="6">
        <v>517</v>
      </c>
      <c r="S965" s="5">
        <f>IFERROR(P965/R965,"")</f>
        <v>154.73887814313346</v>
      </c>
      <c r="T965" s="5" t="s">
        <v>330</v>
      </c>
      <c r="U965" s="3" t="s">
        <v>29</v>
      </c>
      <c r="V965" s="3" t="s">
        <v>4</v>
      </c>
    </row>
    <row r="966" spans="1:23" hidden="1">
      <c r="H966" s="59"/>
      <c r="J966" s="1" t="str">
        <f t="shared" si="226"/>
        <v>0</v>
      </c>
      <c r="K966" s="3">
        <f t="shared" si="209"/>
        <v>-100</v>
      </c>
      <c r="L966" s="3">
        <f t="shared" si="210"/>
        <v>1</v>
      </c>
      <c r="M966" s="3">
        <f t="shared" si="211"/>
        <v>0</v>
      </c>
      <c r="N966" s="3" t="str">
        <f t="shared" si="212"/>
        <v>01</v>
      </c>
      <c r="O966" s="14" t="str">
        <f t="shared" si="213"/>
        <v>00</v>
      </c>
      <c r="P966" s="60"/>
      <c r="Q966" s="61"/>
      <c r="R966" s="62">
        <v>519</v>
      </c>
      <c r="S966" s="61"/>
      <c r="T966" s="61"/>
      <c r="U966" s="63"/>
      <c r="V966" s="63"/>
    </row>
    <row r="967" spans="1:23" hidden="1">
      <c r="H967" s="59"/>
      <c r="J967" s="1" t="str">
        <f t="shared" si="226"/>
        <v>0</v>
      </c>
      <c r="K967" s="3">
        <f t="shared" si="209"/>
        <v>-100</v>
      </c>
      <c r="L967" s="3">
        <f t="shared" si="210"/>
        <v>1</v>
      </c>
      <c r="M967" s="3">
        <f t="shared" si="211"/>
        <v>0</v>
      </c>
      <c r="N967" s="3" t="str">
        <f t="shared" si="212"/>
        <v>01</v>
      </c>
      <c r="O967" s="14" t="str">
        <f t="shared" si="213"/>
        <v>00</v>
      </c>
      <c r="P967" s="60"/>
      <c r="Q967" s="61"/>
      <c r="R967" s="62">
        <v>519</v>
      </c>
      <c r="S967" s="61"/>
      <c r="T967" s="61"/>
      <c r="U967" s="63"/>
      <c r="V967" s="63"/>
    </row>
    <row r="968" spans="1:23" hidden="1">
      <c r="H968" s="59"/>
      <c r="J968" s="1" t="str">
        <f t="shared" si="226"/>
        <v>0</v>
      </c>
      <c r="K968" s="3">
        <f t="shared" si="209"/>
        <v>-100</v>
      </c>
      <c r="L968" s="3">
        <f t="shared" si="210"/>
        <v>1</v>
      </c>
      <c r="M968" s="3">
        <f t="shared" si="211"/>
        <v>0</v>
      </c>
      <c r="N968" s="3" t="str">
        <f t="shared" si="212"/>
        <v>01</v>
      </c>
      <c r="O968" s="14" t="str">
        <f t="shared" si="213"/>
        <v>00</v>
      </c>
      <c r="P968" s="60"/>
      <c r="Q968" s="61"/>
      <c r="R968" s="62">
        <v>519</v>
      </c>
      <c r="S968" s="61"/>
      <c r="T968" s="61"/>
      <c r="U968" s="63"/>
      <c r="V968" s="63"/>
    </row>
    <row r="969" spans="1:23">
      <c r="A969" s="3">
        <v>836</v>
      </c>
      <c r="B969" s="1">
        <f>IF(G969="-",0,IF(G968=G969,1,0))</f>
        <v>0</v>
      </c>
      <c r="C969" s="1">
        <f>+IF(G969="-",0,IF(I969=I968+1,0,(IF(I969=1,0,1))))</f>
        <v>1</v>
      </c>
      <c r="D969" s="1">
        <f>+IF(AND(P969="",Q969=""),1,0)</f>
        <v>0</v>
      </c>
      <c r="E969" s="1">
        <f>IF(U969="",1,0)</f>
        <v>0</v>
      </c>
      <c r="F969" s="1">
        <f>IF(V969="",1,0)</f>
        <v>0</v>
      </c>
      <c r="G969" s="1" t="str">
        <f>IF(H969=0,"-",_xlfn.CONCAT(K969,N969,O969,J969))</f>
        <v>24061205</v>
      </c>
      <c r="H969" s="2">
        <v>45455</v>
      </c>
      <c r="I969" s="36">
        <v>5</v>
      </c>
      <c r="J969" s="1" t="str">
        <f t="shared" si="226"/>
        <v>05</v>
      </c>
      <c r="K969" s="3">
        <f t="shared" si="209"/>
        <v>24</v>
      </c>
      <c r="L969" s="3">
        <f t="shared" si="210"/>
        <v>6</v>
      </c>
      <c r="M969" s="3">
        <f t="shared" si="211"/>
        <v>12</v>
      </c>
      <c r="N969" s="3" t="str">
        <f t="shared" si="212"/>
        <v>06</v>
      </c>
      <c r="O969" s="14">
        <f t="shared" si="213"/>
        <v>12</v>
      </c>
      <c r="P969" s="4">
        <v>3300</v>
      </c>
      <c r="R969" s="6">
        <v>517</v>
      </c>
      <c r="S969" s="5">
        <f>IFERROR(P969/R969,"")</f>
        <v>6.3829787234042552</v>
      </c>
      <c r="T969" s="5" t="s">
        <v>402</v>
      </c>
      <c r="U969" s="3" t="s">
        <v>29</v>
      </c>
      <c r="V969" s="3" t="s">
        <v>4</v>
      </c>
      <c r="W969" s="3" t="s">
        <v>397</v>
      </c>
    </row>
    <row r="970" spans="1:23">
      <c r="A970" s="3">
        <v>845</v>
      </c>
      <c r="B970" s="1">
        <f>IF(G970="-",0,IF(G969=G970,1,0))</f>
        <v>0</v>
      </c>
      <c r="C970" s="1">
        <f>+IF(G970="-",0,IF(I970=I969+1,0,(IF(I970=1,0,1))))</f>
        <v>1</v>
      </c>
      <c r="D970" s="1">
        <f>+IF(AND(P970="",Q970=""),1,0)</f>
        <v>0</v>
      </c>
      <c r="E970" s="1">
        <f>IF(U970="",1,0)</f>
        <v>0</v>
      </c>
      <c r="F970" s="1">
        <f>IF(V970="",1,0)</f>
        <v>0</v>
      </c>
      <c r="G970" s="1" t="str">
        <f>IF(H970=0,"-",_xlfn.CONCAT(K970,N970,O970,J970))</f>
        <v>24061309</v>
      </c>
      <c r="H970" s="2">
        <v>45456</v>
      </c>
      <c r="I970" s="36">
        <v>9</v>
      </c>
      <c r="J970" s="1" t="str">
        <f t="shared" si="226"/>
        <v>09</v>
      </c>
      <c r="K970" s="3">
        <f t="shared" si="209"/>
        <v>24</v>
      </c>
      <c r="L970" s="3">
        <f t="shared" si="210"/>
        <v>6</v>
      </c>
      <c r="M970" s="3">
        <f t="shared" si="211"/>
        <v>13</v>
      </c>
      <c r="N970" s="3" t="str">
        <f t="shared" si="212"/>
        <v>06</v>
      </c>
      <c r="O970" s="14">
        <f t="shared" si="213"/>
        <v>13</v>
      </c>
      <c r="P970" s="4">
        <v>1334.6</v>
      </c>
      <c r="R970" s="6">
        <v>516</v>
      </c>
      <c r="S970" s="5">
        <f>IFERROR(P970/R970,"")</f>
        <v>2.5864341085271314</v>
      </c>
      <c r="T970" s="5" t="s">
        <v>213</v>
      </c>
      <c r="U970" s="3" t="s">
        <v>29</v>
      </c>
      <c r="V970" s="3" t="s">
        <v>4</v>
      </c>
    </row>
    <row r="971" spans="1:23" hidden="1">
      <c r="H971" s="59"/>
      <c r="J971" s="1" t="str">
        <f t="shared" si="226"/>
        <v>0</v>
      </c>
      <c r="K971" s="3">
        <f t="shared" si="209"/>
        <v>-100</v>
      </c>
      <c r="L971" s="3">
        <f t="shared" si="210"/>
        <v>1</v>
      </c>
      <c r="M971" s="3">
        <f t="shared" si="211"/>
        <v>0</v>
      </c>
      <c r="N971" s="3" t="str">
        <f t="shared" si="212"/>
        <v>01</v>
      </c>
      <c r="O971" s="14" t="str">
        <f t="shared" si="213"/>
        <v>00</v>
      </c>
      <c r="P971" s="60"/>
      <c r="Q971" s="61"/>
      <c r="R971" s="62">
        <v>519</v>
      </c>
      <c r="S971" s="61"/>
      <c r="T971" s="61"/>
      <c r="U971" s="63"/>
      <c r="V971" s="63"/>
    </row>
    <row r="972" spans="1:23">
      <c r="A972" s="3">
        <v>858</v>
      </c>
      <c r="B972" s="1">
        <f>IF(G972="-",0,IF(G971=G972,1,0))</f>
        <v>0</v>
      </c>
      <c r="C972" s="1">
        <f>+IF(G972="-",0,IF(I972=I971+1,0,(IF(I972=1,0,1))))</f>
        <v>1</v>
      </c>
      <c r="D972" s="1">
        <f>+IF(AND(P972="",Q972=""),1,0)</f>
        <v>0</v>
      </c>
      <c r="E972" s="1">
        <f>IF(U972="",1,0)</f>
        <v>0</v>
      </c>
      <c r="F972" s="1">
        <f>IF(V972="",1,0)</f>
        <v>0</v>
      </c>
      <c r="G972" s="1" t="str">
        <f>IF(H972=0,"-",_xlfn.CONCAT(K972,N972,O972,J972))</f>
        <v>24061406</v>
      </c>
      <c r="H972" s="2">
        <v>45457</v>
      </c>
      <c r="I972" s="36">
        <v>6</v>
      </c>
      <c r="J972" s="1" t="str">
        <f t="shared" si="226"/>
        <v>06</v>
      </c>
      <c r="K972" s="3">
        <f t="shared" si="209"/>
        <v>24</v>
      </c>
      <c r="L972" s="3">
        <f t="shared" si="210"/>
        <v>6</v>
      </c>
      <c r="M972" s="3">
        <f t="shared" si="211"/>
        <v>14</v>
      </c>
      <c r="N972" s="3" t="str">
        <f t="shared" si="212"/>
        <v>06</v>
      </c>
      <c r="O972" s="14">
        <f t="shared" si="213"/>
        <v>14</v>
      </c>
      <c r="P972" s="4">
        <v>454599</v>
      </c>
      <c r="R972" s="6">
        <v>514</v>
      </c>
      <c r="S972" s="5">
        <f>IFERROR(P972/R972,"")</f>
        <v>884.43385214007787</v>
      </c>
      <c r="T972" s="5" t="s">
        <v>366</v>
      </c>
      <c r="U972" s="3" t="s">
        <v>1</v>
      </c>
      <c r="V972" s="3" t="s">
        <v>4</v>
      </c>
    </row>
    <row r="973" spans="1:23" hidden="1">
      <c r="J973" s="1" t="str">
        <f t="shared" si="226"/>
        <v>0</v>
      </c>
      <c r="K973" s="3">
        <f t="shared" si="209"/>
        <v>-100</v>
      </c>
      <c r="L973" s="3">
        <f t="shared" si="210"/>
        <v>1</v>
      </c>
      <c r="M973" s="3">
        <f t="shared" si="211"/>
        <v>0</v>
      </c>
      <c r="N973" s="3" t="str">
        <f t="shared" si="212"/>
        <v>01</v>
      </c>
      <c r="O973" s="14" t="str">
        <f t="shared" si="213"/>
        <v>00</v>
      </c>
      <c r="R973" s="6">
        <v>519</v>
      </c>
    </row>
    <row r="974" spans="1:23" hidden="1">
      <c r="J974" s="1" t="str">
        <f t="shared" si="226"/>
        <v>0</v>
      </c>
      <c r="K974" s="3">
        <f t="shared" si="209"/>
        <v>-100</v>
      </c>
      <c r="L974" s="3">
        <f t="shared" si="210"/>
        <v>1</v>
      </c>
      <c r="M974" s="3">
        <f t="shared" si="211"/>
        <v>0</v>
      </c>
      <c r="N974" s="3" t="str">
        <f t="shared" si="212"/>
        <v>01</v>
      </c>
      <c r="O974" s="14" t="str">
        <f t="shared" si="213"/>
        <v>00</v>
      </c>
      <c r="R974" s="6">
        <v>519</v>
      </c>
    </row>
    <row r="975" spans="1:23" hidden="1">
      <c r="J975" s="1" t="str">
        <f t="shared" si="226"/>
        <v>0</v>
      </c>
      <c r="K975" s="3">
        <f t="shared" si="209"/>
        <v>-100</v>
      </c>
      <c r="L975" s="3">
        <f t="shared" si="210"/>
        <v>1</v>
      </c>
      <c r="M975" s="3">
        <f t="shared" si="211"/>
        <v>0</v>
      </c>
      <c r="N975" s="3" t="str">
        <f t="shared" si="212"/>
        <v>01</v>
      </c>
      <c r="O975" s="14" t="str">
        <f t="shared" si="213"/>
        <v>00</v>
      </c>
      <c r="R975" s="6">
        <v>519</v>
      </c>
    </row>
    <row r="976" spans="1:23">
      <c r="A976" s="3">
        <v>859</v>
      </c>
      <c r="B976" s="1">
        <f>IF(G976="-",0,IF(G975=G976,1,0))</f>
        <v>0</v>
      </c>
      <c r="C976" s="1">
        <f>+IF(G976="-",0,IF(I976=I975+1,0,(IF(I976=1,0,1))))</f>
        <v>1</v>
      </c>
      <c r="D976" s="1">
        <f>+IF(AND(P976="",Q976=""),1,0)</f>
        <v>0</v>
      </c>
      <c r="E976" s="1">
        <f>IF(U976="",1,0)</f>
        <v>1</v>
      </c>
      <c r="F976" s="1">
        <f>IF(V976="",1,0)</f>
        <v>0</v>
      </c>
      <c r="G976" s="1" t="str">
        <f>IF(H976=0,"-",_xlfn.CONCAT(K976,N976,O976,J976))</f>
        <v>24061407</v>
      </c>
      <c r="H976" s="2">
        <v>45457</v>
      </c>
      <c r="I976" s="36">
        <v>7</v>
      </c>
      <c r="J976" s="1" t="str">
        <f t="shared" si="226"/>
        <v>07</v>
      </c>
      <c r="K976" s="3">
        <f t="shared" si="209"/>
        <v>24</v>
      </c>
      <c r="L976" s="3">
        <f t="shared" si="210"/>
        <v>6</v>
      </c>
      <c r="M976" s="3">
        <f t="shared" si="211"/>
        <v>14</v>
      </c>
      <c r="N976" s="3" t="str">
        <f t="shared" si="212"/>
        <v>06</v>
      </c>
      <c r="O976" s="14">
        <f t="shared" si="213"/>
        <v>14</v>
      </c>
      <c r="P976" s="4">
        <v>226956.64</v>
      </c>
      <c r="R976" s="6">
        <v>514</v>
      </c>
      <c r="S976" s="5">
        <f>IFERROR(P976/R976,"")</f>
        <v>441.54988326848252</v>
      </c>
      <c r="T976" s="5" t="s">
        <v>363</v>
      </c>
      <c r="V976" s="3" t="s">
        <v>4</v>
      </c>
    </row>
    <row r="977" spans="1:23" hidden="1">
      <c r="J977" s="1" t="str">
        <f t="shared" si="226"/>
        <v>0</v>
      </c>
      <c r="K977" s="3">
        <f t="shared" si="209"/>
        <v>-100</v>
      </c>
      <c r="L977" s="3">
        <f t="shared" si="210"/>
        <v>1</v>
      </c>
      <c r="M977" s="3">
        <f t="shared" si="211"/>
        <v>0</v>
      </c>
      <c r="N977" s="3" t="str">
        <f t="shared" si="212"/>
        <v>01</v>
      </c>
      <c r="O977" s="14" t="str">
        <f t="shared" si="213"/>
        <v>00</v>
      </c>
      <c r="R977" s="6">
        <v>519</v>
      </c>
    </row>
    <row r="978" spans="1:23">
      <c r="A978" s="3">
        <v>860</v>
      </c>
      <c r="B978" s="1">
        <f>IF(G978="-",0,IF(G977=G978,1,0))</f>
        <v>0</v>
      </c>
      <c r="C978" s="1">
        <f>+IF(G978="-",0,IF(I978=I977+1,0,(IF(I978=1,0,1))))</f>
        <v>1</v>
      </c>
      <c r="D978" s="1">
        <f>+IF(AND(P978="",Q978=""),1,0)</f>
        <v>0</v>
      </c>
      <c r="E978" s="1">
        <f>IF(U978="",1,0)</f>
        <v>0</v>
      </c>
      <c r="F978" s="1">
        <f>IF(V978="",1,0)</f>
        <v>0</v>
      </c>
      <c r="G978" s="1" t="str">
        <f>IF(H978=0,"-",_xlfn.CONCAT(K978,N978,O978,J978))</f>
        <v>24061408</v>
      </c>
      <c r="H978" s="2">
        <v>45457</v>
      </c>
      <c r="I978" s="36">
        <v>8</v>
      </c>
      <c r="J978" s="1" t="str">
        <f t="shared" si="226"/>
        <v>08</v>
      </c>
      <c r="K978" s="3">
        <f t="shared" si="209"/>
        <v>24</v>
      </c>
      <c r="L978" s="3">
        <f t="shared" si="210"/>
        <v>6</v>
      </c>
      <c r="M978" s="3">
        <f t="shared" si="211"/>
        <v>14</v>
      </c>
      <c r="N978" s="3" t="str">
        <f t="shared" si="212"/>
        <v>06</v>
      </c>
      <c r="O978" s="14">
        <f t="shared" si="213"/>
        <v>14</v>
      </c>
      <c r="P978" s="4">
        <v>43039</v>
      </c>
      <c r="R978" s="6">
        <v>514</v>
      </c>
      <c r="S978" s="5">
        <f>IFERROR(P978/R978,"")</f>
        <v>83.733463035019454</v>
      </c>
      <c r="T978" s="5" t="s">
        <v>449</v>
      </c>
      <c r="U978" s="3" t="s">
        <v>29</v>
      </c>
      <c r="V978" s="3" t="s">
        <v>4</v>
      </c>
      <c r="W978" s="3" t="s">
        <v>397</v>
      </c>
    </row>
    <row r="979" spans="1:23" hidden="1">
      <c r="J979" s="1" t="str">
        <f t="shared" si="226"/>
        <v>0</v>
      </c>
      <c r="K979" s="3">
        <f t="shared" si="209"/>
        <v>-100</v>
      </c>
      <c r="L979" s="3">
        <f t="shared" si="210"/>
        <v>1</v>
      </c>
      <c r="M979" s="3">
        <f t="shared" si="211"/>
        <v>0</v>
      </c>
      <c r="N979" s="3" t="str">
        <f t="shared" si="212"/>
        <v>01</v>
      </c>
      <c r="O979" s="14" t="str">
        <f t="shared" si="213"/>
        <v>00</v>
      </c>
      <c r="R979" s="6">
        <v>519</v>
      </c>
    </row>
    <row r="980" spans="1:23" hidden="1">
      <c r="J980" s="1" t="str">
        <f t="shared" si="226"/>
        <v>0</v>
      </c>
      <c r="K980" s="3">
        <f t="shared" si="209"/>
        <v>-100</v>
      </c>
      <c r="L980" s="3">
        <f t="shared" si="210"/>
        <v>1</v>
      </c>
      <c r="M980" s="3">
        <f t="shared" si="211"/>
        <v>0</v>
      </c>
      <c r="N980" s="3" t="str">
        <f t="shared" si="212"/>
        <v>01</v>
      </c>
      <c r="O980" s="14" t="str">
        <f t="shared" si="213"/>
        <v>00</v>
      </c>
      <c r="R980" s="6">
        <v>519</v>
      </c>
    </row>
    <row r="981" spans="1:23">
      <c r="A981" s="3">
        <v>862</v>
      </c>
      <c r="B981" s="1">
        <f>IF(G981="-",0,IF(G980=G981,1,0))</f>
        <v>0</v>
      </c>
      <c r="C981" s="1">
        <f>+IF(G981="-",0,IF(I981=I980+1,0,(IF(I981=1,0,1))))</f>
        <v>1</v>
      </c>
      <c r="D981" s="1">
        <f>+IF(AND(P981="",Q981=""),1,0)</f>
        <v>0</v>
      </c>
      <c r="E981" s="1">
        <f>IF(U981="",1,0)</f>
        <v>0</v>
      </c>
      <c r="F981" s="1">
        <f>IF(V981="",1,0)</f>
        <v>0</v>
      </c>
      <c r="G981" s="52" t="str">
        <f>IF(H981=0,"-",_xlfn.CONCAT(K981,N981,O981,J981))</f>
        <v>24061502</v>
      </c>
      <c r="H981" s="9">
        <v>45458</v>
      </c>
      <c r="I981" s="36">
        <v>2</v>
      </c>
      <c r="J981" s="1" t="str">
        <f t="shared" si="226"/>
        <v>02</v>
      </c>
      <c r="K981" s="3">
        <f t="shared" si="209"/>
        <v>24</v>
      </c>
      <c r="L981" s="3">
        <f t="shared" si="210"/>
        <v>6</v>
      </c>
      <c r="M981" s="3">
        <f t="shared" si="211"/>
        <v>15</v>
      </c>
      <c r="N981" s="3" t="str">
        <f t="shared" si="212"/>
        <v>06</v>
      </c>
      <c r="O981" s="14">
        <f t="shared" si="213"/>
        <v>15</v>
      </c>
      <c r="P981" s="11">
        <v>978393.47</v>
      </c>
      <c r="Q981" s="12"/>
      <c r="R981" s="13">
        <v>514</v>
      </c>
      <c r="S981" s="5">
        <f>IFERROR(P981/R981,"")</f>
        <v>1903.4892412451361</v>
      </c>
      <c r="T981" s="12" t="s">
        <v>824</v>
      </c>
      <c r="U981" s="10" t="s">
        <v>1</v>
      </c>
      <c r="V981" s="10" t="s">
        <v>4</v>
      </c>
      <c r="W981" s="10"/>
    </row>
    <row r="982" spans="1:23" hidden="1">
      <c r="J982" s="1" t="str">
        <f t="shared" si="226"/>
        <v>0</v>
      </c>
      <c r="K982" s="3">
        <f t="shared" si="209"/>
        <v>-100</v>
      </c>
      <c r="L982" s="3">
        <f t="shared" si="210"/>
        <v>1</v>
      </c>
      <c r="M982" s="3">
        <f t="shared" si="211"/>
        <v>0</v>
      </c>
      <c r="N982" s="3" t="str">
        <f t="shared" si="212"/>
        <v>01</v>
      </c>
      <c r="O982" s="14" t="str">
        <f t="shared" si="213"/>
        <v>00</v>
      </c>
      <c r="R982" s="6">
        <v>519</v>
      </c>
    </row>
    <row r="983" spans="1:23">
      <c r="A983" s="3">
        <v>863</v>
      </c>
      <c r="B983" s="1">
        <f>IF(G983="-",0,IF(G982=G983,1,0))</f>
        <v>0</v>
      </c>
      <c r="C983" s="1">
        <f>+IF(G983="-",0,IF(I983=I982+1,0,(IF(I983=1,0,1))))</f>
        <v>1</v>
      </c>
      <c r="D983" s="1">
        <f>+IF(AND(P983="",Q983=""),1,0)</f>
        <v>1</v>
      </c>
      <c r="E983" s="1">
        <f>IF(U983="",1,0)</f>
        <v>0</v>
      </c>
      <c r="F983" s="1">
        <f>IF(V983="",1,0)</f>
        <v>0</v>
      </c>
      <c r="G983" s="52" t="str">
        <f>IF(H983=0,"-",_xlfn.CONCAT(K983,N983,O983,J983))</f>
        <v>24061503</v>
      </c>
      <c r="H983" s="9">
        <v>45458</v>
      </c>
      <c r="I983" s="36">
        <v>3</v>
      </c>
      <c r="J983" s="1" t="str">
        <f t="shared" si="226"/>
        <v>03</v>
      </c>
      <c r="K983" s="3">
        <f t="shared" si="209"/>
        <v>24</v>
      </c>
      <c r="L983" s="3">
        <f t="shared" si="210"/>
        <v>6</v>
      </c>
      <c r="M983" s="3">
        <f t="shared" si="211"/>
        <v>15</v>
      </c>
      <c r="N983" s="3" t="str">
        <f t="shared" si="212"/>
        <v>06</v>
      </c>
      <c r="O983" s="14">
        <f t="shared" si="213"/>
        <v>15</v>
      </c>
      <c r="P983" s="11"/>
      <c r="Q983" s="12"/>
      <c r="R983" s="13"/>
      <c r="S983" s="5">
        <v>1444.95</v>
      </c>
      <c r="T983" s="12" t="s">
        <v>308</v>
      </c>
      <c r="U983" s="10" t="s">
        <v>1</v>
      </c>
      <c r="V983" s="10" t="s">
        <v>4</v>
      </c>
      <c r="W983" s="10"/>
    </row>
    <row r="984" spans="1:23">
      <c r="A984" s="3">
        <v>865</v>
      </c>
      <c r="B984" s="1">
        <f>IF(G984="-",0,IF(G982=G984,1,0))</f>
        <v>0</v>
      </c>
      <c r="C984" s="1">
        <f>+IF(G984="-",0,IF(I984=I982+1,0,(IF(I984=1,0,1))))</f>
        <v>1</v>
      </c>
      <c r="D984" s="1">
        <f>+IF(AND(P984="",Q984=""),1,0)</f>
        <v>0</v>
      </c>
      <c r="E984" s="1">
        <f>IF(U984="",1,0)</f>
        <v>0</v>
      </c>
      <c r="F984" s="1">
        <f>IF(V984="",1,0)</f>
        <v>0</v>
      </c>
      <c r="G984" s="52" t="str">
        <f>IF(H984=0,"-",_xlfn.CONCAT(K984,N984,O984,J984))</f>
        <v>24061504</v>
      </c>
      <c r="H984" s="9">
        <v>45458</v>
      </c>
      <c r="I984" s="36">
        <v>4</v>
      </c>
      <c r="J984" s="1" t="str">
        <f t="shared" si="226"/>
        <v>04</v>
      </c>
      <c r="K984" s="3">
        <f t="shared" si="209"/>
        <v>24</v>
      </c>
      <c r="L984" s="3">
        <f t="shared" si="210"/>
        <v>6</v>
      </c>
      <c r="M984" s="3">
        <f t="shared" si="211"/>
        <v>15</v>
      </c>
      <c r="N984" s="3" t="str">
        <f t="shared" si="212"/>
        <v>06</v>
      </c>
      <c r="O984" s="14">
        <f t="shared" si="213"/>
        <v>15</v>
      </c>
      <c r="P984" s="11">
        <v>140000</v>
      </c>
      <c r="Q984" s="12"/>
      <c r="R984" s="13">
        <v>514</v>
      </c>
      <c r="S984" s="5">
        <f>IFERROR(P984/R984,"")</f>
        <v>272.37354085603113</v>
      </c>
      <c r="T984" s="12" t="s">
        <v>309</v>
      </c>
      <c r="U984" s="10" t="s">
        <v>1</v>
      </c>
      <c r="V984" s="10" t="s">
        <v>4</v>
      </c>
      <c r="W984" s="10" t="s">
        <v>323</v>
      </c>
    </row>
    <row r="985" spans="1:23" hidden="1">
      <c r="J985" s="1" t="str">
        <f t="shared" si="226"/>
        <v>0</v>
      </c>
      <c r="K985" s="3">
        <f t="shared" si="209"/>
        <v>-100</v>
      </c>
      <c r="L985" s="3">
        <f t="shared" si="210"/>
        <v>1</v>
      </c>
      <c r="M985" s="3">
        <f t="shared" si="211"/>
        <v>0</v>
      </c>
      <c r="N985" s="3" t="str">
        <f t="shared" si="212"/>
        <v>01</v>
      </c>
      <c r="O985" s="14" t="str">
        <f t="shared" si="213"/>
        <v>00</v>
      </c>
      <c r="R985" s="6">
        <v>517</v>
      </c>
    </row>
    <row r="986" spans="1:23" hidden="1">
      <c r="J986" s="1" t="str">
        <f t="shared" si="226"/>
        <v>0</v>
      </c>
      <c r="K986" s="3">
        <f t="shared" si="209"/>
        <v>-100</v>
      </c>
      <c r="L986" s="3">
        <f t="shared" si="210"/>
        <v>1</v>
      </c>
      <c r="M986" s="3">
        <f t="shared" si="211"/>
        <v>0</v>
      </c>
      <c r="N986" s="3" t="str">
        <f t="shared" si="212"/>
        <v>01</v>
      </c>
      <c r="O986" s="14" t="str">
        <f t="shared" si="213"/>
        <v>00</v>
      </c>
      <c r="R986" s="6">
        <v>517</v>
      </c>
    </row>
    <row r="987" spans="1:23" ht="15.75" hidden="1" thickBot="1">
      <c r="J987" s="1" t="str">
        <f t="shared" si="226"/>
        <v>0</v>
      </c>
      <c r="K987" s="3">
        <f t="shared" si="209"/>
        <v>-100</v>
      </c>
      <c r="L987" s="3">
        <f t="shared" si="210"/>
        <v>1</v>
      </c>
      <c r="M987" s="3">
        <f t="shared" si="211"/>
        <v>0</v>
      </c>
      <c r="N987" s="3" t="str">
        <f t="shared" si="212"/>
        <v>01</v>
      </c>
      <c r="O987" s="14" t="str">
        <f t="shared" si="213"/>
        <v>00</v>
      </c>
      <c r="P987" s="64"/>
      <c r="R987" s="6">
        <v>517</v>
      </c>
    </row>
    <row r="988" spans="1:23" hidden="1">
      <c r="J988" s="1" t="str">
        <f t="shared" si="226"/>
        <v>0</v>
      </c>
      <c r="K988" s="3">
        <f t="shared" si="209"/>
        <v>-100</v>
      </c>
      <c r="L988" s="3">
        <f t="shared" si="210"/>
        <v>1</v>
      </c>
      <c r="M988" s="3">
        <f t="shared" si="211"/>
        <v>0</v>
      </c>
      <c r="N988" s="3" t="str">
        <f t="shared" si="212"/>
        <v>01</v>
      </c>
      <c r="O988" s="14" t="str">
        <f t="shared" si="213"/>
        <v>00</v>
      </c>
      <c r="R988" s="6">
        <v>517</v>
      </c>
    </row>
    <row r="989" spans="1:23">
      <c r="A989" s="3">
        <v>866</v>
      </c>
      <c r="B989" s="1">
        <f>IF(G989="-",0,IF(G988=G989,1,0))</f>
        <v>0</v>
      </c>
      <c r="C989" s="1">
        <f>+IF(G989="-",0,IF(I989=I988+1,0,(IF(I989=1,0,1))))</f>
        <v>1</v>
      </c>
      <c r="D989" s="1">
        <f>+IF(AND(P989="",Q989=""),1,0)</f>
        <v>0</v>
      </c>
      <c r="E989" s="1">
        <f t="shared" ref="E989:F991" si="227">IF(U989="",1,0)</f>
        <v>0</v>
      </c>
      <c r="F989" s="1">
        <f t="shared" si="227"/>
        <v>0</v>
      </c>
      <c r="G989" s="52" t="str">
        <f>IF(H989=0,"-",_xlfn.CONCAT(K989,N989,O989,J989))</f>
        <v>24061505</v>
      </c>
      <c r="H989" s="9">
        <v>45458</v>
      </c>
      <c r="I989" s="36">
        <v>5</v>
      </c>
      <c r="J989" s="1" t="str">
        <f t="shared" si="226"/>
        <v>05</v>
      </c>
      <c r="K989" s="3">
        <f t="shared" si="209"/>
        <v>24</v>
      </c>
      <c r="L989" s="3">
        <f t="shared" si="210"/>
        <v>6</v>
      </c>
      <c r="M989" s="3">
        <f t="shared" si="211"/>
        <v>15</v>
      </c>
      <c r="N989" s="3" t="str">
        <f t="shared" si="212"/>
        <v>06</v>
      </c>
      <c r="O989" s="14">
        <f t="shared" si="213"/>
        <v>15</v>
      </c>
      <c r="P989" s="11">
        <v>120000</v>
      </c>
      <c r="Q989" s="12"/>
      <c r="R989" s="13">
        <v>514</v>
      </c>
      <c r="S989" s="5">
        <f>IFERROR(P989/R989,"")</f>
        <v>233.46303501945525</v>
      </c>
      <c r="T989" s="12" t="s">
        <v>310</v>
      </c>
      <c r="U989" s="10" t="s">
        <v>1</v>
      </c>
      <c r="V989" s="10" t="s">
        <v>4</v>
      </c>
      <c r="W989" s="10" t="s">
        <v>324</v>
      </c>
    </row>
    <row r="990" spans="1:23">
      <c r="A990" s="3">
        <v>867</v>
      </c>
      <c r="B990" s="1">
        <f>IF(G990="-",0,IF(G989=G990,1,0))</f>
        <v>0</v>
      </c>
      <c r="C990" s="1">
        <f>+IF(G990="-",0,IF(I990=I989+1,0,(IF(I990=1,0,1))))</f>
        <v>0</v>
      </c>
      <c r="D990" s="1">
        <f>+IF(AND(P990="",Q990=""),1,0)</f>
        <v>0</v>
      </c>
      <c r="E990" s="1">
        <f t="shared" si="227"/>
        <v>0</v>
      </c>
      <c r="F990" s="1">
        <f t="shared" si="227"/>
        <v>0</v>
      </c>
      <c r="G990" s="52" t="str">
        <f>IF(H990=0,"-",_xlfn.CONCAT(K990,N990,O990,J990))</f>
        <v>24061506</v>
      </c>
      <c r="H990" s="9">
        <v>45458</v>
      </c>
      <c r="I990" s="36">
        <v>6</v>
      </c>
      <c r="J990" s="1" t="str">
        <f t="shared" si="226"/>
        <v>06</v>
      </c>
      <c r="K990" s="3">
        <f t="shared" ref="K990:K1037" si="228">+YEAR(H990)-2000</f>
        <v>24</v>
      </c>
      <c r="L990" s="3">
        <f t="shared" ref="L990:L1037" si="229">+MONTH(H990)</f>
        <v>6</v>
      </c>
      <c r="M990" s="3">
        <f t="shared" ref="M990:M1037" si="230">+DAY(H990)</f>
        <v>15</v>
      </c>
      <c r="N990" s="3" t="str">
        <f t="shared" ref="N990:N1037" si="231">+IF(L990&lt;10,_xlfn.CONCAT("0",L990),L990)</f>
        <v>06</v>
      </c>
      <c r="O990" s="14">
        <f t="shared" ref="O990:O1037" si="232">+IF(M990&lt;10,_xlfn.CONCAT("0",M990),M990)</f>
        <v>15</v>
      </c>
      <c r="P990" s="11">
        <v>102000</v>
      </c>
      <c r="Q990" s="12"/>
      <c r="R990" s="13">
        <v>514</v>
      </c>
      <c r="S990" s="5">
        <f>IFERROR(P990/R990,"")</f>
        <v>198.44357976653697</v>
      </c>
      <c r="T990" s="12" t="s">
        <v>311</v>
      </c>
      <c r="U990" s="10" t="s">
        <v>1</v>
      </c>
      <c r="V990" s="10" t="s">
        <v>4</v>
      </c>
      <c r="W990" s="10"/>
    </row>
    <row r="991" spans="1:23">
      <c r="A991" s="3">
        <v>868</v>
      </c>
      <c r="B991" s="1">
        <f>IF(G991="-",0,IF(G990=G991,1,0))</f>
        <v>0</v>
      </c>
      <c r="C991" s="1">
        <f>+IF(G991="-",0,IF(I991=I990+1,0,(IF(I991=1,0,1))))</f>
        <v>0</v>
      </c>
      <c r="D991" s="1">
        <f>+IF(AND(P991="",Q991=""),1,0)</f>
        <v>0</v>
      </c>
      <c r="E991" s="1">
        <f t="shared" si="227"/>
        <v>0</v>
      </c>
      <c r="F991" s="1">
        <f t="shared" si="227"/>
        <v>0</v>
      </c>
      <c r="G991" s="52" t="str">
        <f>IF(H991=0,"-",_xlfn.CONCAT(K991,N991,O991,J991))</f>
        <v>24061507</v>
      </c>
      <c r="H991" s="9">
        <v>45458</v>
      </c>
      <c r="I991" s="36">
        <v>7</v>
      </c>
      <c r="J991" s="1" t="str">
        <f t="shared" si="226"/>
        <v>07</v>
      </c>
      <c r="K991" s="3">
        <f t="shared" si="228"/>
        <v>24</v>
      </c>
      <c r="L991" s="3">
        <f t="shared" si="229"/>
        <v>6</v>
      </c>
      <c r="M991" s="3">
        <f t="shared" si="230"/>
        <v>15</v>
      </c>
      <c r="N991" s="3" t="str">
        <f t="shared" si="231"/>
        <v>06</v>
      </c>
      <c r="O991" s="14">
        <f t="shared" si="232"/>
        <v>15</v>
      </c>
      <c r="P991" s="11">
        <v>102000</v>
      </c>
      <c r="Q991" s="12"/>
      <c r="R991" s="13">
        <v>514</v>
      </c>
      <c r="S991" s="5">
        <f>IFERROR(P991/R991,"")</f>
        <v>198.44357976653697</v>
      </c>
      <c r="T991" s="12" t="s">
        <v>312</v>
      </c>
      <c r="U991" s="10" t="s">
        <v>1</v>
      </c>
      <c r="V991" s="10" t="s">
        <v>4</v>
      </c>
      <c r="W991" s="10"/>
    </row>
    <row r="992" spans="1:23" hidden="1">
      <c r="J992" s="1" t="str">
        <f t="shared" si="226"/>
        <v>0</v>
      </c>
      <c r="K992" s="3">
        <f t="shared" si="228"/>
        <v>-100</v>
      </c>
      <c r="L992" s="3">
        <f t="shared" si="229"/>
        <v>1</v>
      </c>
      <c r="M992" s="3">
        <f t="shared" si="230"/>
        <v>0</v>
      </c>
      <c r="N992" s="3" t="str">
        <f t="shared" si="231"/>
        <v>01</v>
      </c>
      <c r="O992" s="14" t="str">
        <f t="shared" si="232"/>
        <v>00</v>
      </c>
      <c r="R992" s="6">
        <v>517</v>
      </c>
    </row>
    <row r="993" spans="1:23" hidden="1">
      <c r="J993" s="1" t="str">
        <f t="shared" ref="J993:J1024" si="233">+IF(I993&lt;10,_xlfn.CONCAT("0",I993),I993)</f>
        <v>0</v>
      </c>
      <c r="K993" s="3">
        <f t="shared" si="228"/>
        <v>-100</v>
      </c>
      <c r="L993" s="3">
        <f t="shared" si="229"/>
        <v>1</v>
      </c>
      <c r="M993" s="3">
        <f t="shared" si="230"/>
        <v>0</v>
      </c>
      <c r="N993" s="3" t="str">
        <f t="shared" si="231"/>
        <v>01</v>
      </c>
      <c r="O993" s="14" t="str">
        <f t="shared" si="232"/>
        <v>00</v>
      </c>
      <c r="R993" s="6">
        <v>517</v>
      </c>
    </row>
    <row r="994" spans="1:23" hidden="1">
      <c r="J994" s="1" t="str">
        <f t="shared" si="233"/>
        <v>0</v>
      </c>
      <c r="K994" s="3">
        <f t="shared" si="228"/>
        <v>-100</v>
      </c>
      <c r="L994" s="3">
        <f t="shared" si="229"/>
        <v>1</v>
      </c>
      <c r="M994" s="3">
        <f t="shared" si="230"/>
        <v>0</v>
      </c>
      <c r="N994" s="3" t="str">
        <f t="shared" si="231"/>
        <v>01</v>
      </c>
      <c r="O994" s="14" t="str">
        <f t="shared" si="232"/>
        <v>00</v>
      </c>
      <c r="R994" s="6">
        <v>517</v>
      </c>
    </row>
    <row r="995" spans="1:23" hidden="1">
      <c r="J995" s="1" t="str">
        <f t="shared" si="233"/>
        <v>0</v>
      </c>
      <c r="K995" s="3">
        <f t="shared" si="228"/>
        <v>-100</v>
      </c>
      <c r="L995" s="3">
        <f t="shared" si="229"/>
        <v>1</v>
      </c>
      <c r="M995" s="3">
        <f t="shared" si="230"/>
        <v>0</v>
      </c>
      <c r="N995" s="3" t="str">
        <f t="shared" si="231"/>
        <v>01</v>
      </c>
      <c r="O995" s="14" t="str">
        <f t="shared" si="232"/>
        <v>00</v>
      </c>
      <c r="R995" s="6">
        <v>517</v>
      </c>
    </row>
    <row r="996" spans="1:23" hidden="1">
      <c r="J996" s="1" t="str">
        <f t="shared" si="233"/>
        <v>0</v>
      </c>
      <c r="K996" s="3">
        <f t="shared" si="228"/>
        <v>-100</v>
      </c>
      <c r="L996" s="3">
        <f t="shared" si="229"/>
        <v>1</v>
      </c>
      <c r="M996" s="3">
        <f t="shared" si="230"/>
        <v>0</v>
      </c>
      <c r="N996" s="3" t="str">
        <f t="shared" si="231"/>
        <v>01</v>
      </c>
      <c r="O996" s="14" t="str">
        <f t="shared" si="232"/>
        <v>00</v>
      </c>
      <c r="R996" s="6">
        <v>517</v>
      </c>
      <c r="T996" s="16"/>
    </row>
    <row r="997" spans="1:23" hidden="1">
      <c r="J997" s="1" t="str">
        <f t="shared" si="233"/>
        <v>0</v>
      </c>
      <c r="K997" s="3">
        <f t="shared" si="228"/>
        <v>-100</v>
      </c>
      <c r="L997" s="3">
        <f t="shared" si="229"/>
        <v>1</v>
      </c>
      <c r="M997" s="3">
        <f t="shared" si="230"/>
        <v>0</v>
      </c>
      <c r="N997" s="3" t="str">
        <f t="shared" si="231"/>
        <v>01</v>
      </c>
      <c r="O997" s="14" t="str">
        <f t="shared" si="232"/>
        <v>00</v>
      </c>
      <c r="R997" s="6">
        <v>517</v>
      </c>
    </row>
    <row r="998" spans="1:23" hidden="1">
      <c r="J998" s="1" t="str">
        <f t="shared" si="233"/>
        <v>0</v>
      </c>
      <c r="K998" s="3">
        <f t="shared" si="228"/>
        <v>-100</v>
      </c>
      <c r="L998" s="3">
        <f t="shared" si="229"/>
        <v>1</v>
      </c>
      <c r="M998" s="3">
        <f t="shared" si="230"/>
        <v>0</v>
      </c>
      <c r="N998" s="3" t="str">
        <f t="shared" si="231"/>
        <v>01</v>
      </c>
      <c r="O998" s="14" t="str">
        <f t="shared" si="232"/>
        <v>00</v>
      </c>
      <c r="R998" s="6">
        <v>517</v>
      </c>
    </row>
    <row r="999" spans="1:23" hidden="1">
      <c r="J999" s="1" t="str">
        <f t="shared" si="233"/>
        <v>0</v>
      </c>
      <c r="K999" s="3">
        <f t="shared" si="228"/>
        <v>-100</v>
      </c>
      <c r="L999" s="3">
        <f t="shared" si="229"/>
        <v>1</v>
      </c>
      <c r="M999" s="3">
        <f t="shared" si="230"/>
        <v>0</v>
      </c>
      <c r="N999" s="3" t="str">
        <f t="shared" si="231"/>
        <v>01</v>
      </c>
      <c r="O999" s="14" t="str">
        <f t="shared" si="232"/>
        <v>00</v>
      </c>
      <c r="R999" s="6">
        <v>517</v>
      </c>
    </row>
    <row r="1000" spans="1:23">
      <c r="A1000" s="3">
        <v>869</v>
      </c>
      <c r="B1000" s="1">
        <f>IF(G1000="-",0,IF(G999=G1000,1,0))</f>
        <v>0</v>
      </c>
      <c r="C1000" s="1">
        <f>+IF(G1000="-",0,IF(I1000=I999+1,0,(IF(I1000=1,0,1))))</f>
        <v>1</v>
      </c>
      <c r="D1000" s="1">
        <f>+IF(AND(P1000="",Q1000=""),1,0)</f>
        <v>0</v>
      </c>
      <c r="E1000" s="1">
        <f>IF(U1000="",1,0)</f>
        <v>0</v>
      </c>
      <c r="F1000" s="1">
        <f>IF(V1000="",1,0)</f>
        <v>0</v>
      </c>
      <c r="G1000" s="52" t="str">
        <f>IF(H1000=0,"-",_xlfn.CONCAT(K1000,N1000,O1000,J1000))</f>
        <v>24061508</v>
      </c>
      <c r="H1000" s="9">
        <v>45458</v>
      </c>
      <c r="I1000" s="36">
        <v>8</v>
      </c>
      <c r="J1000" s="1" t="str">
        <f t="shared" si="233"/>
        <v>08</v>
      </c>
      <c r="K1000" s="3">
        <f t="shared" si="228"/>
        <v>24</v>
      </c>
      <c r="L1000" s="3">
        <f t="shared" si="229"/>
        <v>6</v>
      </c>
      <c r="M1000" s="3">
        <f t="shared" si="230"/>
        <v>15</v>
      </c>
      <c r="N1000" s="3" t="str">
        <f t="shared" si="231"/>
        <v>06</v>
      </c>
      <c r="O1000" s="14">
        <f t="shared" si="232"/>
        <v>15</v>
      </c>
      <c r="P1000" s="11">
        <v>100000</v>
      </c>
      <c r="Q1000" s="12"/>
      <c r="R1000" s="13">
        <v>514</v>
      </c>
      <c r="S1000" s="5">
        <f>IFERROR(P1000/R1000,"")</f>
        <v>194.55252918287937</v>
      </c>
      <c r="T1000" s="12" t="s">
        <v>313</v>
      </c>
      <c r="U1000" s="10" t="s">
        <v>1</v>
      </c>
      <c r="V1000" s="10" t="s">
        <v>4</v>
      </c>
      <c r="W1000" s="10"/>
    </row>
    <row r="1001" spans="1:23" hidden="1">
      <c r="J1001" s="1" t="str">
        <f t="shared" si="233"/>
        <v>0</v>
      </c>
      <c r="K1001" s="3">
        <f t="shared" si="228"/>
        <v>-100</v>
      </c>
      <c r="L1001" s="3">
        <f t="shared" si="229"/>
        <v>1</v>
      </c>
      <c r="M1001" s="3">
        <f t="shared" si="230"/>
        <v>0</v>
      </c>
      <c r="N1001" s="3" t="str">
        <f t="shared" si="231"/>
        <v>01</v>
      </c>
      <c r="O1001" s="14" t="str">
        <f t="shared" si="232"/>
        <v>00</v>
      </c>
      <c r="R1001" s="6">
        <v>517</v>
      </c>
    </row>
    <row r="1002" spans="1:23" hidden="1">
      <c r="J1002" s="1" t="str">
        <f t="shared" si="233"/>
        <v>0</v>
      </c>
      <c r="K1002" s="3">
        <f t="shared" si="228"/>
        <v>-100</v>
      </c>
      <c r="L1002" s="3">
        <f t="shared" si="229"/>
        <v>1</v>
      </c>
      <c r="M1002" s="3">
        <f t="shared" si="230"/>
        <v>0</v>
      </c>
      <c r="N1002" s="3" t="str">
        <f t="shared" si="231"/>
        <v>01</v>
      </c>
      <c r="O1002" s="14" t="str">
        <f t="shared" si="232"/>
        <v>00</v>
      </c>
      <c r="R1002" s="6">
        <v>517</v>
      </c>
    </row>
    <row r="1003" spans="1:23" hidden="1">
      <c r="J1003" s="1" t="str">
        <f t="shared" si="233"/>
        <v>0</v>
      </c>
      <c r="K1003" s="3">
        <f t="shared" si="228"/>
        <v>-100</v>
      </c>
      <c r="L1003" s="3">
        <f t="shared" si="229"/>
        <v>1</v>
      </c>
      <c r="M1003" s="3">
        <f t="shared" si="230"/>
        <v>0</v>
      </c>
      <c r="N1003" s="3" t="str">
        <f t="shared" si="231"/>
        <v>01</v>
      </c>
      <c r="O1003" s="14" t="str">
        <f t="shared" si="232"/>
        <v>00</v>
      </c>
      <c r="R1003" s="6">
        <v>517</v>
      </c>
    </row>
    <row r="1004" spans="1:23" hidden="1">
      <c r="J1004" s="1" t="str">
        <f t="shared" si="233"/>
        <v>0</v>
      </c>
      <c r="K1004" s="3">
        <f t="shared" si="228"/>
        <v>-100</v>
      </c>
      <c r="L1004" s="3">
        <f t="shared" si="229"/>
        <v>1</v>
      </c>
      <c r="M1004" s="3">
        <f t="shared" si="230"/>
        <v>0</v>
      </c>
      <c r="N1004" s="3" t="str">
        <f t="shared" si="231"/>
        <v>01</v>
      </c>
      <c r="O1004" s="14" t="str">
        <f t="shared" si="232"/>
        <v>00</v>
      </c>
      <c r="R1004" s="6">
        <v>517</v>
      </c>
    </row>
    <row r="1005" spans="1:23" hidden="1">
      <c r="J1005" s="1" t="str">
        <f t="shared" si="233"/>
        <v>0</v>
      </c>
      <c r="K1005" s="3">
        <f t="shared" si="228"/>
        <v>-100</v>
      </c>
      <c r="L1005" s="3">
        <f t="shared" si="229"/>
        <v>1</v>
      </c>
      <c r="M1005" s="3">
        <f t="shared" si="230"/>
        <v>0</v>
      </c>
      <c r="N1005" s="3" t="str">
        <f t="shared" si="231"/>
        <v>01</v>
      </c>
      <c r="O1005" s="14" t="str">
        <f t="shared" si="232"/>
        <v>00</v>
      </c>
      <c r="R1005" s="6">
        <v>517</v>
      </c>
    </row>
    <row r="1006" spans="1:23" hidden="1">
      <c r="J1006" s="1" t="str">
        <f t="shared" si="233"/>
        <v>0</v>
      </c>
      <c r="K1006" s="3">
        <f t="shared" si="228"/>
        <v>-100</v>
      </c>
      <c r="L1006" s="3">
        <f t="shared" si="229"/>
        <v>1</v>
      </c>
      <c r="M1006" s="3">
        <f t="shared" si="230"/>
        <v>0</v>
      </c>
      <c r="N1006" s="3" t="str">
        <f t="shared" si="231"/>
        <v>01</v>
      </c>
      <c r="O1006" s="14" t="str">
        <f t="shared" si="232"/>
        <v>00</v>
      </c>
      <c r="R1006" s="6">
        <v>517</v>
      </c>
    </row>
    <row r="1007" spans="1:23" hidden="1">
      <c r="J1007" s="1" t="str">
        <f t="shared" si="233"/>
        <v>0</v>
      </c>
      <c r="K1007" s="3">
        <f t="shared" si="228"/>
        <v>-100</v>
      </c>
      <c r="L1007" s="3">
        <f t="shared" si="229"/>
        <v>1</v>
      </c>
      <c r="M1007" s="3">
        <f t="shared" si="230"/>
        <v>0</v>
      </c>
      <c r="N1007" s="3" t="str">
        <f t="shared" si="231"/>
        <v>01</v>
      </c>
      <c r="O1007" s="14" t="str">
        <f t="shared" si="232"/>
        <v>00</v>
      </c>
      <c r="R1007" s="6">
        <v>505</v>
      </c>
      <c r="S1007" s="5">
        <v>19</v>
      </c>
    </row>
    <row r="1008" spans="1:23" hidden="1">
      <c r="J1008" s="1" t="str">
        <f t="shared" si="233"/>
        <v>0</v>
      </c>
      <c r="K1008" s="3">
        <f t="shared" si="228"/>
        <v>-100</v>
      </c>
      <c r="L1008" s="3">
        <f t="shared" si="229"/>
        <v>1</v>
      </c>
      <c r="M1008" s="3">
        <f t="shared" si="230"/>
        <v>0</v>
      </c>
      <c r="N1008" s="3" t="str">
        <f t="shared" si="231"/>
        <v>01</v>
      </c>
      <c r="O1008" s="14" t="str">
        <f t="shared" si="232"/>
        <v>00</v>
      </c>
      <c r="R1008" s="6">
        <v>505</v>
      </c>
      <c r="S1008" s="5">
        <v>50</v>
      </c>
    </row>
    <row r="1009" spans="1:23" hidden="1">
      <c r="J1009" s="1" t="str">
        <f t="shared" si="233"/>
        <v>0</v>
      </c>
      <c r="K1009" s="3">
        <f t="shared" si="228"/>
        <v>-100</v>
      </c>
      <c r="L1009" s="3">
        <f t="shared" si="229"/>
        <v>1</v>
      </c>
      <c r="M1009" s="3">
        <f t="shared" si="230"/>
        <v>0</v>
      </c>
      <c r="N1009" s="3" t="str">
        <f t="shared" si="231"/>
        <v>01</v>
      </c>
      <c r="O1009" s="14" t="str">
        <f t="shared" si="232"/>
        <v>00</v>
      </c>
      <c r="R1009" s="6">
        <v>526.72</v>
      </c>
      <c r="S1009" s="5">
        <f t="shared" ref="S1009:S1037" si="234">IFERROR(P1009/R1009,"")</f>
        <v>0</v>
      </c>
    </row>
    <row r="1010" spans="1:23" hidden="1">
      <c r="J1010" s="1" t="str">
        <f t="shared" si="233"/>
        <v>0</v>
      </c>
      <c r="K1010" s="3">
        <f t="shared" si="228"/>
        <v>-100</v>
      </c>
      <c r="L1010" s="3">
        <f t="shared" si="229"/>
        <v>1</v>
      </c>
      <c r="M1010" s="3">
        <f t="shared" si="230"/>
        <v>0</v>
      </c>
      <c r="N1010" s="3" t="str">
        <f t="shared" si="231"/>
        <v>01</v>
      </c>
      <c r="O1010" s="14" t="str">
        <f t="shared" si="232"/>
        <v>00</v>
      </c>
      <c r="R1010" s="6">
        <v>519</v>
      </c>
      <c r="S1010" s="5">
        <f t="shared" si="234"/>
        <v>0</v>
      </c>
    </row>
    <row r="1011" spans="1:23" hidden="1">
      <c r="J1011" s="1" t="str">
        <f t="shared" si="233"/>
        <v>0</v>
      </c>
      <c r="K1011" s="3">
        <f t="shared" si="228"/>
        <v>-100</v>
      </c>
      <c r="L1011" s="3">
        <f t="shared" si="229"/>
        <v>1</v>
      </c>
      <c r="M1011" s="3">
        <f t="shared" si="230"/>
        <v>0</v>
      </c>
      <c r="N1011" s="3" t="str">
        <f t="shared" si="231"/>
        <v>01</v>
      </c>
      <c r="O1011" s="14" t="str">
        <f t="shared" si="232"/>
        <v>00</v>
      </c>
      <c r="R1011" s="6">
        <v>519</v>
      </c>
      <c r="S1011" s="5">
        <f t="shared" si="234"/>
        <v>0</v>
      </c>
    </row>
    <row r="1012" spans="1:23">
      <c r="A1012" s="3">
        <v>870</v>
      </c>
      <c r="B1012" s="1">
        <f>IF(G1012="-",0,IF(G1011=G1012,1,0))</f>
        <v>0</v>
      </c>
      <c r="C1012" s="1">
        <f>+IF(G1012="-",0,IF(I1012=I1011+1,0,(IF(I1012=1,0,1))))</f>
        <v>1</v>
      </c>
      <c r="D1012" s="1">
        <f>+IF(AND(P1012="",Q1012=""),1,0)</f>
        <v>0</v>
      </c>
      <c r="E1012" s="1">
        <f>IF(U1012="",1,0)</f>
        <v>0</v>
      </c>
      <c r="F1012" s="1">
        <f>IF(V1012="",1,0)</f>
        <v>0</v>
      </c>
      <c r="G1012" s="52" t="str">
        <f>IF(H1012=0,"-",_xlfn.CONCAT(K1012,N1012,O1012,J1012))</f>
        <v>24061509</v>
      </c>
      <c r="H1012" s="9">
        <v>45458</v>
      </c>
      <c r="I1012" s="36">
        <v>9</v>
      </c>
      <c r="J1012" s="1" t="str">
        <f t="shared" si="233"/>
        <v>09</v>
      </c>
      <c r="K1012" s="3">
        <f t="shared" si="228"/>
        <v>24</v>
      </c>
      <c r="L1012" s="3">
        <f t="shared" si="229"/>
        <v>6</v>
      </c>
      <c r="M1012" s="3">
        <f t="shared" si="230"/>
        <v>15</v>
      </c>
      <c r="N1012" s="3" t="str">
        <f t="shared" si="231"/>
        <v>06</v>
      </c>
      <c r="O1012" s="14">
        <f t="shared" si="232"/>
        <v>15</v>
      </c>
      <c r="P1012" s="11">
        <v>150000</v>
      </c>
      <c r="Q1012" s="12"/>
      <c r="R1012" s="13">
        <v>514</v>
      </c>
      <c r="S1012" s="5">
        <f t="shared" si="234"/>
        <v>291.82879377431908</v>
      </c>
      <c r="T1012" s="12" t="s">
        <v>314</v>
      </c>
      <c r="U1012" s="10" t="s">
        <v>1</v>
      </c>
      <c r="V1012" s="10" t="s">
        <v>4</v>
      </c>
      <c r="W1012" s="10"/>
    </row>
    <row r="1013" spans="1:23" hidden="1">
      <c r="J1013" s="1" t="str">
        <f t="shared" si="233"/>
        <v>0</v>
      </c>
      <c r="K1013" s="3">
        <f t="shared" si="228"/>
        <v>-100</v>
      </c>
      <c r="L1013" s="3">
        <f t="shared" si="229"/>
        <v>1</v>
      </c>
      <c r="M1013" s="3">
        <f t="shared" si="230"/>
        <v>0</v>
      </c>
      <c r="N1013" s="3" t="str">
        <f t="shared" si="231"/>
        <v>01</v>
      </c>
      <c r="O1013" s="14" t="str">
        <f t="shared" si="232"/>
        <v>00</v>
      </c>
      <c r="R1013" s="6">
        <v>519</v>
      </c>
      <c r="S1013" s="5">
        <f t="shared" si="234"/>
        <v>0</v>
      </c>
    </row>
    <row r="1014" spans="1:23" hidden="1">
      <c r="J1014" s="1" t="str">
        <f t="shared" si="233"/>
        <v>0</v>
      </c>
      <c r="K1014" s="3">
        <f t="shared" si="228"/>
        <v>-100</v>
      </c>
      <c r="L1014" s="3">
        <f t="shared" si="229"/>
        <v>1</v>
      </c>
      <c r="M1014" s="3">
        <f t="shared" si="230"/>
        <v>0</v>
      </c>
      <c r="N1014" s="3" t="str">
        <f t="shared" si="231"/>
        <v>01</v>
      </c>
      <c r="O1014" s="14" t="str">
        <f t="shared" si="232"/>
        <v>00</v>
      </c>
      <c r="S1014" s="5" t="str">
        <f t="shared" si="234"/>
        <v/>
      </c>
    </row>
    <row r="1015" spans="1:23" hidden="1">
      <c r="G1015" s="65"/>
      <c r="H1015" s="15"/>
      <c r="J1015" s="1" t="str">
        <f t="shared" si="233"/>
        <v>0</v>
      </c>
      <c r="K1015" s="3">
        <f t="shared" si="228"/>
        <v>-100</v>
      </c>
      <c r="L1015" s="3">
        <f t="shared" si="229"/>
        <v>1</v>
      </c>
      <c r="M1015" s="3">
        <f t="shared" si="230"/>
        <v>0</v>
      </c>
      <c r="N1015" s="3" t="str">
        <f t="shared" si="231"/>
        <v>01</v>
      </c>
      <c r="O1015" s="14" t="str">
        <f t="shared" si="232"/>
        <v>00</v>
      </c>
      <c r="P1015" s="66"/>
      <c r="Q1015" s="67"/>
      <c r="R1015" s="68">
        <v>519</v>
      </c>
      <c r="S1015" s="5">
        <f t="shared" si="234"/>
        <v>0</v>
      </c>
      <c r="T1015" s="67"/>
      <c r="U1015" s="69"/>
      <c r="V1015" s="69"/>
    </row>
    <row r="1016" spans="1:23" hidden="1">
      <c r="J1016" s="1" t="str">
        <f t="shared" si="233"/>
        <v>0</v>
      </c>
      <c r="K1016" s="3">
        <f t="shared" si="228"/>
        <v>-100</v>
      </c>
      <c r="L1016" s="3">
        <f t="shared" si="229"/>
        <v>1</v>
      </c>
      <c r="M1016" s="3">
        <f t="shared" si="230"/>
        <v>0</v>
      </c>
      <c r="N1016" s="3" t="str">
        <f t="shared" si="231"/>
        <v>01</v>
      </c>
      <c r="O1016" s="14" t="str">
        <f t="shared" si="232"/>
        <v>00</v>
      </c>
      <c r="R1016" s="6">
        <v>520</v>
      </c>
      <c r="S1016" s="5">
        <f t="shared" si="234"/>
        <v>0</v>
      </c>
    </row>
    <row r="1017" spans="1:23" hidden="1">
      <c r="J1017" s="1" t="str">
        <f t="shared" si="233"/>
        <v>0</v>
      </c>
      <c r="K1017" s="3">
        <f t="shared" si="228"/>
        <v>-100</v>
      </c>
      <c r="L1017" s="3">
        <f t="shared" si="229"/>
        <v>1</v>
      </c>
      <c r="M1017" s="3">
        <f t="shared" si="230"/>
        <v>0</v>
      </c>
      <c r="N1017" s="3" t="str">
        <f t="shared" si="231"/>
        <v>01</v>
      </c>
      <c r="O1017" s="14" t="str">
        <f t="shared" si="232"/>
        <v>00</v>
      </c>
      <c r="R1017" s="6">
        <v>520</v>
      </c>
      <c r="S1017" s="5">
        <f t="shared" si="234"/>
        <v>0</v>
      </c>
      <c r="T1017" s="7"/>
    </row>
    <row r="1018" spans="1:23" hidden="1">
      <c r="J1018" s="1" t="str">
        <f t="shared" si="233"/>
        <v>0</v>
      </c>
      <c r="K1018" s="3">
        <f t="shared" si="228"/>
        <v>-100</v>
      </c>
      <c r="L1018" s="3">
        <f t="shared" si="229"/>
        <v>1</v>
      </c>
      <c r="M1018" s="3">
        <f t="shared" si="230"/>
        <v>0</v>
      </c>
      <c r="N1018" s="3" t="str">
        <f t="shared" si="231"/>
        <v>01</v>
      </c>
      <c r="O1018" s="14" t="str">
        <f t="shared" si="232"/>
        <v>00</v>
      </c>
      <c r="R1018" s="6">
        <v>520</v>
      </c>
      <c r="S1018" s="5">
        <f t="shared" si="234"/>
        <v>0</v>
      </c>
    </row>
    <row r="1019" spans="1:23" hidden="1">
      <c r="J1019" s="1" t="str">
        <f t="shared" si="233"/>
        <v>0</v>
      </c>
      <c r="K1019" s="3">
        <f t="shared" si="228"/>
        <v>-100</v>
      </c>
      <c r="L1019" s="3">
        <f t="shared" si="229"/>
        <v>1</v>
      </c>
      <c r="M1019" s="3">
        <f t="shared" si="230"/>
        <v>0</v>
      </c>
      <c r="N1019" s="3" t="str">
        <f t="shared" si="231"/>
        <v>01</v>
      </c>
      <c r="O1019" s="14" t="str">
        <f t="shared" si="232"/>
        <v>00</v>
      </c>
      <c r="R1019" s="6">
        <v>520</v>
      </c>
      <c r="S1019" s="5">
        <f t="shared" si="234"/>
        <v>0</v>
      </c>
    </row>
    <row r="1020" spans="1:23">
      <c r="A1020" s="3">
        <v>873</v>
      </c>
      <c r="B1020" s="1">
        <f>IF(G1020="-",0,IF(G1019=G1020,1,0))</f>
        <v>0</v>
      </c>
      <c r="C1020" s="1">
        <f>+IF(G1020="-",0,IF(I1020=I1019+1,0,(IF(I1020=1,0,1))))</f>
        <v>1</v>
      </c>
      <c r="D1020" s="1">
        <f>+IF(AND(P1020="",Q1020=""),1,0)</f>
        <v>0</v>
      </c>
      <c r="E1020" s="1">
        <f>IF(U1020="",1,0)</f>
        <v>0</v>
      </c>
      <c r="F1020" s="1">
        <f>IF(V1020="",1,0)</f>
        <v>0</v>
      </c>
      <c r="G1020" s="52" t="str">
        <f>IF(H1020=0,"-",_xlfn.CONCAT(K1020,N1020,O1020,J1020))</f>
        <v>24061512</v>
      </c>
      <c r="H1020" s="9">
        <v>45458</v>
      </c>
      <c r="I1020" s="36">
        <v>12</v>
      </c>
      <c r="J1020" s="1">
        <f t="shared" si="233"/>
        <v>12</v>
      </c>
      <c r="K1020" s="3">
        <f t="shared" si="228"/>
        <v>24</v>
      </c>
      <c r="L1020" s="3">
        <f t="shared" si="229"/>
        <v>6</v>
      </c>
      <c r="M1020" s="3">
        <f t="shared" si="230"/>
        <v>15</v>
      </c>
      <c r="N1020" s="3" t="str">
        <f t="shared" si="231"/>
        <v>06</v>
      </c>
      <c r="O1020" s="14">
        <f t="shared" si="232"/>
        <v>15</v>
      </c>
      <c r="P1020" s="11">
        <v>130000</v>
      </c>
      <c r="Q1020" s="12"/>
      <c r="R1020" s="13">
        <v>514</v>
      </c>
      <c r="S1020" s="5">
        <f t="shared" si="234"/>
        <v>252.9182879377432</v>
      </c>
      <c r="T1020" s="12" t="s">
        <v>317</v>
      </c>
      <c r="U1020" s="10" t="s">
        <v>1</v>
      </c>
      <c r="V1020" s="10" t="s">
        <v>4</v>
      </c>
      <c r="W1020" s="10"/>
    </row>
    <row r="1021" spans="1:23" hidden="1">
      <c r="J1021" s="1" t="str">
        <f t="shared" si="233"/>
        <v>0</v>
      </c>
      <c r="K1021" s="3">
        <f t="shared" si="228"/>
        <v>-100</v>
      </c>
      <c r="L1021" s="3">
        <f t="shared" si="229"/>
        <v>1</v>
      </c>
      <c r="M1021" s="3">
        <f t="shared" si="230"/>
        <v>0</v>
      </c>
      <c r="N1021" s="3" t="str">
        <f t="shared" si="231"/>
        <v>01</v>
      </c>
      <c r="O1021" s="14" t="str">
        <f t="shared" si="232"/>
        <v>00</v>
      </c>
      <c r="R1021" s="6">
        <v>520</v>
      </c>
      <c r="S1021" s="5">
        <f t="shared" si="234"/>
        <v>0</v>
      </c>
    </row>
    <row r="1022" spans="1:23" hidden="1">
      <c r="J1022" s="1" t="str">
        <f t="shared" si="233"/>
        <v>0</v>
      </c>
      <c r="K1022" s="3">
        <f t="shared" si="228"/>
        <v>-100</v>
      </c>
      <c r="L1022" s="3">
        <f t="shared" si="229"/>
        <v>1</v>
      </c>
      <c r="M1022" s="3">
        <f t="shared" si="230"/>
        <v>0</v>
      </c>
      <c r="N1022" s="3" t="str">
        <f t="shared" si="231"/>
        <v>01</v>
      </c>
      <c r="O1022" s="14" t="str">
        <f t="shared" si="232"/>
        <v>00</v>
      </c>
      <c r="R1022" s="6">
        <v>520</v>
      </c>
      <c r="S1022" s="5">
        <f t="shared" si="234"/>
        <v>0</v>
      </c>
    </row>
    <row r="1023" spans="1:23" hidden="1">
      <c r="J1023" s="1" t="str">
        <f t="shared" si="233"/>
        <v>0</v>
      </c>
      <c r="K1023" s="3">
        <f t="shared" si="228"/>
        <v>-100</v>
      </c>
      <c r="L1023" s="3">
        <f t="shared" si="229"/>
        <v>1</v>
      </c>
      <c r="M1023" s="3">
        <f t="shared" si="230"/>
        <v>0</v>
      </c>
      <c r="N1023" s="3" t="str">
        <f t="shared" si="231"/>
        <v>01</v>
      </c>
      <c r="O1023" s="14" t="str">
        <f t="shared" si="232"/>
        <v>00</v>
      </c>
      <c r="R1023" s="6">
        <v>520</v>
      </c>
      <c r="S1023" s="5">
        <f t="shared" si="234"/>
        <v>0</v>
      </c>
    </row>
    <row r="1024" spans="1:23">
      <c r="A1024" s="3">
        <v>877</v>
      </c>
      <c r="B1024" s="1">
        <f>IF(G1024="-",0,IF(G1023=G1024,1,0))</f>
        <v>0</v>
      </c>
      <c r="C1024" s="1">
        <f>+IF(G1024="-",0,IF(I1024=I1023+1,0,(IF(I1024=1,0,1))))</f>
        <v>1</v>
      </c>
      <c r="D1024" s="1">
        <f>+IF(AND(P1024="",Q1024=""),1,0)</f>
        <v>0</v>
      </c>
      <c r="E1024" s="1">
        <f>IF(U1024="",1,0)</f>
        <v>0</v>
      </c>
      <c r="F1024" s="1">
        <f>IF(V1024="",1,0)</f>
        <v>0</v>
      </c>
      <c r="G1024" s="52" t="str">
        <f>IF(H1024=0,"-",_xlfn.CONCAT(K1024,N1024,O1024,J1024))</f>
        <v>24061516</v>
      </c>
      <c r="H1024" s="9">
        <v>45458</v>
      </c>
      <c r="I1024" s="36">
        <v>16</v>
      </c>
      <c r="J1024" s="1">
        <f t="shared" si="233"/>
        <v>16</v>
      </c>
      <c r="K1024" s="3">
        <f t="shared" si="228"/>
        <v>24</v>
      </c>
      <c r="L1024" s="3">
        <f t="shared" si="229"/>
        <v>6</v>
      </c>
      <c r="M1024" s="3">
        <f t="shared" si="230"/>
        <v>15</v>
      </c>
      <c r="N1024" s="3" t="str">
        <f t="shared" si="231"/>
        <v>06</v>
      </c>
      <c r="O1024" s="14">
        <f t="shared" si="232"/>
        <v>15</v>
      </c>
      <c r="P1024" s="11">
        <v>120000</v>
      </c>
      <c r="Q1024" s="12"/>
      <c r="R1024" s="13">
        <v>514</v>
      </c>
      <c r="S1024" s="5">
        <f t="shared" si="234"/>
        <v>233.46303501945525</v>
      </c>
      <c r="T1024" s="12" t="s">
        <v>321</v>
      </c>
      <c r="U1024" s="10" t="s">
        <v>1</v>
      </c>
      <c r="V1024" s="10" t="s">
        <v>4</v>
      </c>
      <c r="W1024" s="10"/>
    </row>
    <row r="1025" spans="1:23" hidden="1">
      <c r="J1025" s="1" t="str">
        <f t="shared" ref="J1025:J1037" si="235">+IF(I1025&lt;10,_xlfn.CONCAT("0",I1025),I1025)</f>
        <v>0</v>
      </c>
      <c r="K1025" s="3">
        <f t="shared" si="228"/>
        <v>-100</v>
      </c>
      <c r="L1025" s="3">
        <f t="shared" si="229"/>
        <v>1</v>
      </c>
      <c r="M1025" s="3">
        <f t="shared" si="230"/>
        <v>0</v>
      </c>
      <c r="N1025" s="3" t="str">
        <f t="shared" si="231"/>
        <v>01</v>
      </c>
      <c r="O1025" s="14" t="str">
        <f t="shared" si="232"/>
        <v>00</v>
      </c>
      <c r="R1025" s="6">
        <v>520</v>
      </c>
      <c r="S1025" s="5">
        <f t="shared" si="234"/>
        <v>0</v>
      </c>
    </row>
    <row r="1026" spans="1:23" hidden="1">
      <c r="J1026" s="1" t="str">
        <f t="shared" si="235"/>
        <v>0</v>
      </c>
      <c r="K1026" s="3">
        <f t="shared" si="228"/>
        <v>-100</v>
      </c>
      <c r="L1026" s="3">
        <f t="shared" si="229"/>
        <v>1</v>
      </c>
      <c r="M1026" s="3">
        <f t="shared" si="230"/>
        <v>0</v>
      </c>
      <c r="N1026" s="3" t="str">
        <f t="shared" si="231"/>
        <v>01</v>
      </c>
      <c r="O1026" s="14" t="str">
        <f t="shared" si="232"/>
        <v>00</v>
      </c>
      <c r="R1026" s="6">
        <v>514</v>
      </c>
      <c r="S1026" s="5">
        <f t="shared" si="234"/>
        <v>0</v>
      </c>
    </row>
    <row r="1027" spans="1:23" hidden="1">
      <c r="J1027" s="1" t="str">
        <f t="shared" si="235"/>
        <v>0</v>
      </c>
      <c r="K1027" s="3">
        <f t="shared" si="228"/>
        <v>-100</v>
      </c>
      <c r="L1027" s="3">
        <f t="shared" si="229"/>
        <v>1</v>
      </c>
      <c r="M1027" s="3">
        <f t="shared" si="230"/>
        <v>0</v>
      </c>
      <c r="N1027" s="3" t="str">
        <f t="shared" si="231"/>
        <v>01</v>
      </c>
      <c r="O1027" s="14" t="str">
        <f t="shared" si="232"/>
        <v>00</v>
      </c>
      <c r="R1027" s="6">
        <v>514</v>
      </c>
      <c r="S1027" s="5">
        <f t="shared" si="234"/>
        <v>0</v>
      </c>
    </row>
    <row r="1028" spans="1:23" hidden="1">
      <c r="J1028" s="1" t="str">
        <f t="shared" si="235"/>
        <v>0</v>
      </c>
      <c r="K1028" s="3">
        <f t="shared" si="228"/>
        <v>-100</v>
      </c>
      <c r="L1028" s="3">
        <f t="shared" si="229"/>
        <v>1</v>
      </c>
      <c r="M1028" s="3">
        <f t="shared" si="230"/>
        <v>0</v>
      </c>
      <c r="N1028" s="3" t="str">
        <f t="shared" si="231"/>
        <v>01</v>
      </c>
      <c r="O1028" s="14" t="str">
        <f t="shared" si="232"/>
        <v>00</v>
      </c>
      <c r="R1028" s="6">
        <v>514</v>
      </c>
      <c r="S1028" s="5">
        <f t="shared" si="234"/>
        <v>0</v>
      </c>
    </row>
    <row r="1029" spans="1:23" hidden="1">
      <c r="J1029" s="1" t="str">
        <f t="shared" si="235"/>
        <v>0</v>
      </c>
      <c r="K1029" s="3">
        <f t="shared" si="228"/>
        <v>-100</v>
      </c>
      <c r="L1029" s="3">
        <f t="shared" si="229"/>
        <v>1</v>
      </c>
      <c r="M1029" s="3">
        <f t="shared" si="230"/>
        <v>0</v>
      </c>
      <c r="N1029" s="3" t="str">
        <f t="shared" si="231"/>
        <v>01</v>
      </c>
      <c r="O1029" s="14" t="str">
        <f t="shared" si="232"/>
        <v>00</v>
      </c>
      <c r="R1029" s="6">
        <v>514</v>
      </c>
      <c r="S1029" s="5">
        <f t="shared" si="234"/>
        <v>0</v>
      </c>
    </row>
    <row r="1030" spans="1:23" hidden="1">
      <c r="J1030" s="1" t="str">
        <f t="shared" si="235"/>
        <v>0</v>
      </c>
      <c r="K1030" s="3">
        <f t="shared" si="228"/>
        <v>-100</v>
      </c>
      <c r="L1030" s="3">
        <f t="shared" si="229"/>
        <v>1</v>
      </c>
      <c r="M1030" s="3">
        <f t="shared" si="230"/>
        <v>0</v>
      </c>
      <c r="N1030" s="3" t="str">
        <f t="shared" si="231"/>
        <v>01</v>
      </c>
      <c r="O1030" s="14" t="str">
        <f t="shared" si="232"/>
        <v>00</v>
      </c>
      <c r="R1030" s="6">
        <v>514</v>
      </c>
      <c r="S1030" s="5">
        <f t="shared" si="234"/>
        <v>0</v>
      </c>
    </row>
    <row r="1031" spans="1:23" hidden="1">
      <c r="J1031" s="1" t="str">
        <f t="shared" si="235"/>
        <v>0</v>
      </c>
      <c r="K1031" s="3">
        <f t="shared" si="228"/>
        <v>-100</v>
      </c>
      <c r="L1031" s="3">
        <f t="shared" si="229"/>
        <v>1</v>
      </c>
      <c r="M1031" s="3">
        <f t="shared" si="230"/>
        <v>0</v>
      </c>
      <c r="N1031" s="3" t="str">
        <f t="shared" si="231"/>
        <v>01</v>
      </c>
      <c r="O1031" s="14" t="str">
        <f t="shared" si="232"/>
        <v>00</v>
      </c>
      <c r="R1031" s="6">
        <v>514</v>
      </c>
      <c r="S1031" s="5">
        <f t="shared" si="234"/>
        <v>0</v>
      </c>
    </row>
    <row r="1032" spans="1:23" hidden="1">
      <c r="J1032" s="1" t="str">
        <f t="shared" si="235"/>
        <v>0</v>
      </c>
      <c r="K1032" s="3">
        <f t="shared" si="228"/>
        <v>-100</v>
      </c>
      <c r="L1032" s="3">
        <f t="shared" si="229"/>
        <v>1</v>
      </c>
      <c r="M1032" s="3">
        <f t="shared" si="230"/>
        <v>0</v>
      </c>
      <c r="N1032" s="3" t="str">
        <f t="shared" si="231"/>
        <v>01</v>
      </c>
      <c r="O1032" s="14" t="str">
        <f t="shared" si="232"/>
        <v>00</v>
      </c>
      <c r="R1032" s="6">
        <v>514</v>
      </c>
      <c r="S1032" s="5">
        <f t="shared" si="234"/>
        <v>0</v>
      </c>
    </row>
    <row r="1033" spans="1:23">
      <c r="A1033" s="3">
        <v>879</v>
      </c>
      <c r="B1033" s="1">
        <f>IF(G1033="-",0,IF(G1032=G1033,1,0))</f>
        <v>0</v>
      </c>
      <c r="C1033" s="1">
        <f>+IF(G1033="-",0,IF(I1033=I1032+1,0,(IF(I1033=1,0,1))))</f>
        <v>1</v>
      </c>
      <c r="D1033" s="1">
        <f>+IF(AND(P1033="",Q1033=""),1,0)</f>
        <v>0</v>
      </c>
      <c r="E1033" s="1">
        <f>IF(U1033="",1,0)</f>
        <v>0</v>
      </c>
      <c r="F1033" s="1">
        <f>IF(V1033="",1,0)</f>
        <v>0</v>
      </c>
      <c r="G1033" s="52" t="str">
        <f>IF(H1033=0,"-",_xlfn.CONCAT(K1033,N1033,O1033,J1033))</f>
        <v>24061518</v>
      </c>
      <c r="H1033" s="9">
        <v>45458</v>
      </c>
      <c r="I1033" s="36">
        <v>18</v>
      </c>
      <c r="J1033" s="1">
        <f t="shared" si="235"/>
        <v>18</v>
      </c>
      <c r="K1033" s="3">
        <f t="shared" si="228"/>
        <v>24</v>
      </c>
      <c r="L1033" s="3">
        <f t="shared" si="229"/>
        <v>6</v>
      </c>
      <c r="M1033" s="3">
        <f t="shared" si="230"/>
        <v>15</v>
      </c>
      <c r="N1033" s="3" t="str">
        <f t="shared" si="231"/>
        <v>06</v>
      </c>
      <c r="O1033" s="14">
        <f t="shared" si="232"/>
        <v>15</v>
      </c>
      <c r="P1033" s="11">
        <v>200000</v>
      </c>
      <c r="Q1033" s="12"/>
      <c r="R1033" s="13">
        <v>514</v>
      </c>
      <c r="S1033" s="5">
        <f t="shared" si="234"/>
        <v>389.10505836575874</v>
      </c>
      <c r="T1033" s="12" t="s">
        <v>466</v>
      </c>
      <c r="U1033" s="10" t="s">
        <v>1</v>
      </c>
      <c r="V1033" s="10" t="s">
        <v>4</v>
      </c>
      <c r="W1033" s="10"/>
    </row>
    <row r="1034" spans="1:23" hidden="1">
      <c r="J1034" s="1" t="str">
        <f t="shared" si="235"/>
        <v>0</v>
      </c>
      <c r="K1034" s="3">
        <f t="shared" si="228"/>
        <v>-100</v>
      </c>
      <c r="L1034" s="3">
        <f t="shared" si="229"/>
        <v>1</v>
      </c>
      <c r="M1034" s="3">
        <f t="shared" si="230"/>
        <v>0</v>
      </c>
      <c r="N1034" s="3" t="str">
        <f t="shared" si="231"/>
        <v>01</v>
      </c>
      <c r="O1034" s="14" t="str">
        <f t="shared" si="232"/>
        <v>00</v>
      </c>
      <c r="R1034" s="6">
        <v>514</v>
      </c>
      <c r="S1034" s="5">
        <f t="shared" si="234"/>
        <v>0</v>
      </c>
    </row>
    <row r="1035" spans="1:23" hidden="1">
      <c r="J1035" s="1" t="str">
        <f t="shared" si="235"/>
        <v>0</v>
      </c>
      <c r="K1035" s="3">
        <f t="shared" si="228"/>
        <v>-100</v>
      </c>
      <c r="L1035" s="3">
        <f t="shared" si="229"/>
        <v>1</v>
      </c>
      <c r="M1035" s="3">
        <f t="shared" si="230"/>
        <v>0</v>
      </c>
      <c r="N1035" s="3" t="str">
        <f t="shared" si="231"/>
        <v>01</v>
      </c>
      <c r="O1035" s="14" t="str">
        <f t="shared" si="232"/>
        <v>00</v>
      </c>
      <c r="R1035" s="6">
        <v>514</v>
      </c>
      <c r="S1035" s="5">
        <f t="shared" si="234"/>
        <v>0</v>
      </c>
    </row>
    <row r="1036" spans="1:23" hidden="1">
      <c r="J1036" s="1" t="str">
        <f t="shared" si="235"/>
        <v>0</v>
      </c>
      <c r="K1036" s="3">
        <f t="shared" si="228"/>
        <v>-100</v>
      </c>
      <c r="L1036" s="3">
        <f t="shared" si="229"/>
        <v>1</v>
      </c>
      <c r="M1036" s="3">
        <f t="shared" si="230"/>
        <v>0</v>
      </c>
      <c r="N1036" s="3" t="str">
        <f t="shared" si="231"/>
        <v>01</v>
      </c>
      <c r="O1036" s="14" t="str">
        <f t="shared" si="232"/>
        <v>00</v>
      </c>
      <c r="R1036" s="6">
        <v>519</v>
      </c>
      <c r="S1036" s="5">
        <f t="shared" si="234"/>
        <v>0</v>
      </c>
    </row>
    <row r="1037" spans="1:23">
      <c r="A1037" s="3">
        <v>880</v>
      </c>
      <c r="B1037" s="1">
        <f>IF(G1037="-",0,IF(G1036=G1037,1,0))</f>
        <v>0</v>
      </c>
      <c r="C1037" s="1">
        <f>+IF(G1037="-",0,IF(I1037=I1036+1,0,(IF(I1037=1,0,1))))</f>
        <v>1</v>
      </c>
      <c r="D1037" s="1">
        <f>+IF(AND(P1037="",Q1037=""),1,0)</f>
        <v>0</v>
      </c>
      <c r="E1037" s="1">
        <f>IF(U1037="",1,0)</f>
        <v>0</v>
      </c>
      <c r="F1037" s="1">
        <f>IF(V1037="",1,0)</f>
        <v>0</v>
      </c>
      <c r="G1037" s="52" t="str">
        <f>IF(H1037=0,"-",_xlfn.CONCAT(K1037,N1037,O1037,J1037))</f>
        <v>24061519</v>
      </c>
      <c r="H1037" s="9">
        <v>45458</v>
      </c>
      <c r="I1037" s="36">
        <v>19</v>
      </c>
      <c r="J1037" s="1">
        <f t="shared" si="235"/>
        <v>19</v>
      </c>
      <c r="K1037" s="3">
        <f t="shared" si="228"/>
        <v>24</v>
      </c>
      <c r="L1037" s="3">
        <f t="shared" si="229"/>
        <v>6</v>
      </c>
      <c r="M1037" s="3">
        <f t="shared" si="230"/>
        <v>15</v>
      </c>
      <c r="N1037" s="3" t="str">
        <f t="shared" si="231"/>
        <v>06</v>
      </c>
      <c r="O1037" s="14">
        <f t="shared" si="232"/>
        <v>15</v>
      </c>
      <c r="P1037" s="11">
        <v>1000000</v>
      </c>
      <c r="Q1037" s="12"/>
      <c r="R1037" s="13">
        <v>514</v>
      </c>
      <c r="S1037" s="5">
        <f t="shared" si="234"/>
        <v>1945.5252918287938</v>
      </c>
      <c r="T1037" s="12" t="s">
        <v>832</v>
      </c>
      <c r="U1037" s="10" t="s">
        <v>1</v>
      </c>
      <c r="V1037" s="10" t="s">
        <v>4</v>
      </c>
      <c r="W1037" s="10"/>
    </row>
    <row r="1038" spans="1:23" hidden="1"/>
    <row r="1039" spans="1:23" s="10" customFormat="1">
      <c r="A1039" s="3">
        <v>883</v>
      </c>
      <c r="B1039" s="1">
        <f t="shared" ref="B1039:B1044" si="236">IF(G1039="-",0,IF(G1038=G1039,1,0))</f>
        <v>0</v>
      </c>
      <c r="C1039" s="1">
        <f t="shared" ref="C1039:C1044" si="237">+IF(G1039="-",0,IF(I1039=I1038+1,0,(IF(I1039=1,0,1))))</f>
        <v>1</v>
      </c>
      <c r="D1039" s="1">
        <f t="shared" ref="D1039:D1044" si="238">+IF(AND(P1039="",Q1039=""),1,0)</f>
        <v>0</v>
      </c>
      <c r="E1039" s="1">
        <f t="shared" ref="E1039:F1044" si="239">IF(U1039="",1,0)</f>
        <v>0</v>
      </c>
      <c r="F1039" s="1">
        <f t="shared" si="239"/>
        <v>0</v>
      </c>
      <c r="G1039" s="52" t="str">
        <f t="shared" ref="G1039:G1044" si="240">IF(H1039=0,"-",_xlfn.CONCAT(K1039,N1039,O1039,J1039))</f>
        <v>24061522</v>
      </c>
      <c r="H1039" s="9">
        <v>45458</v>
      </c>
      <c r="I1039" s="36">
        <v>22</v>
      </c>
      <c r="J1039" s="1">
        <f t="shared" ref="J1039:J1070" si="241">+IF(I1039&lt;10,_xlfn.CONCAT("0",I1039),I1039)</f>
        <v>22</v>
      </c>
      <c r="K1039" s="3">
        <f t="shared" ref="K1039:K1070" si="242">+YEAR(H1039)-2000</f>
        <v>24</v>
      </c>
      <c r="L1039" s="3">
        <f t="shared" ref="L1039:L1070" si="243">+MONTH(H1039)</f>
        <v>6</v>
      </c>
      <c r="M1039" s="3">
        <f t="shared" ref="M1039:M1070" si="244">+DAY(H1039)</f>
        <v>15</v>
      </c>
      <c r="N1039" s="3" t="str">
        <f t="shared" ref="N1039:N1070" si="245">+IF(L1039&lt;10,_xlfn.CONCAT("0",L1039),L1039)</f>
        <v>06</v>
      </c>
      <c r="O1039" s="14">
        <f t="shared" ref="O1039:O1070" si="246">+IF(M1039&lt;10,_xlfn.CONCAT("0",M1039),M1039)</f>
        <v>15</v>
      </c>
      <c r="P1039" s="11">
        <v>14670.02</v>
      </c>
      <c r="Q1039" s="12"/>
      <c r="R1039" s="13">
        <v>514</v>
      </c>
      <c r="S1039" s="5">
        <f t="shared" ref="S1039:S1082" si="247">IFERROR(P1039/R1039,"")</f>
        <v>28.540894941634242</v>
      </c>
      <c r="T1039" s="12" t="s">
        <v>824</v>
      </c>
      <c r="U1039" s="10" t="s">
        <v>29</v>
      </c>
      <c r="V1039" s="10" t="s">
        <v>4</v>
      </c>
    </row>
    <row r="1040" spans="1:23" s="10" customFormat="1">
      <c r="A1040" s="3">
        <v>885</v>
      </c>
      <c r="B1040" s="1">
        <f t="shared" si="236"/>
        <v>0</v>
      </c>
      <c r="C1040" s="1">
        <f t="shared" si="237"/>
        <v>1</v>
      </c>
      <c r="D1040" s="1">
        <f t="shared" si="238"/>
        <v>0</v>
      </c>
      <c r="E1040" s="1">
        <f t="shared" si="239"/>
        <v>0</v>
      </c>
      <c r="F1040" s="1">
        <f t="shared" si="239"/>
        <v>0</v>
      </c>
      <c r="G1040" s="52" t="str">
        <f t="shared" si="240"/>
        <v>24061524</v>
      </c>
      <c r="H1040" s="9">
        <v>45458</v>
      </c>
      <c r="I1040" s="36">
        <v>24</v>
      </c>
      <c r="J1040" s="1">
        <f t="shared" si="241"/>
        <v>24</v>
      </c>
      <c r="K1040" s="3">
        <f t="shared" si="242"/>
        <v>24</v>
      </c>
      <c r="L1040" s="3">
        <f t="shared" si="243"/>
        <v>6</v>
      </c>
      <c r="M1040" s="3">
        <f t="shared" si="244"/>
        <v>15</v>
      </c>
      <c r="N1040" s="3" t="str">
        <f t="shared" si="245"/>
        <v>06</v>
      </c>
      <c r="O1040" s="14">
        <f t="shared" si="246"/>
        <v>15</v>
      </c>
      <c r="P1040" s="11">
        <v>16000</v>
      </c>
      <c r="Q1040" s="12"/>
      <c r="R1040" s="13">
        <v>514</v>
      </c>
      <c r="S1040" s="5">
        <f t="shared" si="247"/>
        <v>31.1284046692607</v>
      </c>
      <c r="T1040" s="12" t="s">
        <v>326</v>
      </c>
      <c r="U1040" s="10" t="s">
        <v>29</v>
      </c>
      <c r="V1040" s="10" t="s">
        <v>4</v>
      </c>
    </row>
    <row r="1041" spans="1:23" s="10" customFormat="1">
      <c r="A1041" s="3">
        <v>886</v>
      </c>
      <c r="B1041" s="1">
        <f t="shared" si="236"/>
        <v>0</v>
      </c>
      <c r="C1041" s="1">
        <f t="shared" si="237"/>
        <v>0</v>
      </c>
      <c r="D1041" s="1">
        <f t="shared" si="238"/>
        <v>0</v>
      </c>
      <c r="E1041" s="1">
        <f t="shared" si="239"/>
        <v>0</v>
      </c>
      <c r="F1041" s="1">
        <f t="shared" si="239"/>
        <v>0</v>
      </c>
      <c r="G1041" s="1" t="str">
        <f t="shared" si="240"/>
        <v>24061525</v>
      </c>
      <c r="H1041" s="2">
        <v>45458</v>
      </c>
      <c r="I1041" s="36">
        <v>25</v>
      </c>
      <c r="J1041" s="1">
        <f t="shared" si="241"/>
        <v>25</v>
      </c>
      <c r="K1041" s="3">
        <f t="shared" si="242"/>
        <v>24</v>
      </c>
      <c r="L1041" s="3">
        <f t="shared" si="243"/>
        <v>6</v>
      </c>
      <c r="M1041" s="3">
        <f t="shared" si="244"/>
        <v>15</v>
      </c>
      <c r="N1041" s="3" t="str">
        <f t="shared" si="245"/>
        <v>06</v>
      </c>
      <c r="O1041" s="14">
        <f t="shared" si="246"/>
        <v>15</v>
      </c>
      <c r="P1041" s="4">
        <v>12473</v>
      </c>
      <c r="Q1041" s="5"/>
      <c r="R1041" s="6">
        <v>514</v>
      </c>
      <c r="S1041" s="5">
        <f t="shared" si="247"/>
        <v>24.266536964980546</v>
      </c>
      <c r="T1041" s="5" t="s">
        <v>402</v>
      </c>
      <c r="U1041" s="3" t="s">
        <v>29</v>
      </c>
      <c r="V1041" s="3" t="s">
        <v>4</v>
      </c>
      <c r="W1041" s="3" t="s">
        <v>397</v>
      </c>
    </row>
    <row r="1042" spans="1:23" s="10" customFormat="1">
      <c r="A1042" s="3">
        <v>890</v>
      </c>
      <c r="B1042" s="1">
        <f t="shared" si="236"/>
        <v>0</v>
      </c>
      <c r="C1042" s="1">
        <f t="shared" si="237"/>
        <v>0</v>
      </c>
      <c r="D1042" s="1">
        <f t="shared" si="238"/>
        <v>0</v>
      </c>
      <c r="E1042" s="1">
        <f t="shared" si="239"/>
        <v>0</v>
      </c>
      <c r="F1042" s="1">
        <f t="shared" si="239"/>
        <v>0</v>
      </c>
      <c r="G1042" s="1" t="str">
        <f t="shared" si="240"/>
        <v>24061601</v>
      </c>
      <c r="H1042" s="2">
        <v>45459</v>
      </c>
      <c r="I1042" s="36">
        <v>1</v>
      </c>
      <c r="J1042" s="1" t="str">
        <f t="shared" si="241"/>
        <v>01</v>
      </c>
      <c r="K1042" s="3">
        <f t="shared" si="242"/>
        <v>24</v>
      </c>
      <c r="L1042" s="3">
        <f t="shared" si="243"/>
        <v>6</v>
      </c>
      <c r="M1042" s="3">
        <f t="shared" si="244"/>
        <v>16</v>
      </c>
      <c r="N1042" s="3" t="str">
        <f t="shared" si="245"/>
        <v>06</v>
      </c>
      <c r="O1042" s="14">
        <f t="shared" si="246"/>
        <v>16</v>
      </c>
      <c r="P1042" s="4">
        <v>14680</v>
      </c>
      <c r="Q1042" s="5"/>
      <c r="R1042" s="6">
        <v>514</v>
      </c>
      <c r="S1042" s="5">
        <f t="shared" si="247"/>
        <v>28.560311284046694</v>
      </c>
      <c r="T1042" s="5" t="s">
        <v>144</v>
      </c>
      <c r="U1042" s="3" t="s">
        <v>29</v>
      </c>
      <c r="V1042" s="3" t="s">
        <v>4</v>
      </c>
      <c r="W1042" s="3"/>
    </row>
    <row r="1043" spans="1:23" s="10" customFormat="1">
      <c r="A1043" s="3">
        <v>898</v>
      </c>
      <c r="B1043" s="1">
        <f t="shared" si="236"/>
        <v>0</v>
      </c>
      <c r="C1043" s="1">
        <f t="shared" si="237"/>
        <v>1</v>
      </c>
      <c r="D1043" s="1">
        <f t="shared" si="238"/>
        <v>0</v>
      </c>
      <c r="E1043" s="1">
        <f t="shared" si="239"/>
        <v>0</v>
      </c>
      <c r="F1043" s="1">
        <f t="shared" si="239"/>
        <v>0</v>
      </c>
      <c r="G1043" s="1" t="str">
        <f t="shared" si="240"/>
        <v>24061704</v>
      </c>
      <c r="H1043" s="2">
        <v>45460</v>
      </c>
      <c r="I1043" s="36">
        <v>4</v>
      </c>
      <c r="J1043" s="1" t="str">
        <f t="shared" si="241"/>
        <v>04</v>
      </c>
      <c r="K1043" s="3">
        <f t="shared" si="242"/>
        <v>24</v>
      </c>
      <c r="L1043" s="3">
        <f t="shared" si="243"/>
        <v>6</v>
      </c>
      <c r="M1043" s="3">
        <f t="shared" si="244"/>
        <v>17</v>
      </c>
      <c r="N1043" s="3" t="str">
        <f t="shared" si="245"/>
        <v>06</v>
      </c>
      <c r="O1043" s="14">
        <f t="shared" si="246"/>
        <v>17</v>
      </c>
      <c r="P1043" s="4">
        <v>1502436.92</v>
      </c>
      <c r="Q1043" s="5"/>
      <c r="R1043" s="6">
        <v>513</v>
      </c>
      <c r="S1043" s="5">
        <f t="shared" si="247"/>
        <v>2928.7269395711501</v>
      </c>
      <c r="T1043" s="5" t="s">
        <v>329</v>
      </c>
      <c r="U1043" s="3" t="s">
        <v>1</v>
      </c>
      <c r="V1043" s="3" t="s">
        <v>4</v>
      </c>
      <c r="W1043" s="3"/>
    </row>
    <row r="1044" spans="1:23" s="10" customFormat="1">
      <c r="A1044" s="3">
        <v>900</v>
      </c>
      <c r="B1044" s="1">
        <f t="shared" si="236"/>
        <v>0</v>
      </c>
      <c r="C1044" s="1">
        <f t="shared" si="237"/>
        <v>1</v>
      </c>
      <c r="D1044" s="1">
        <f t="shared" si="238"/>
        <v>0</v>
      </c>
      <c r="E1044" s="1">
        <f t="shared" si="239"/>
        <v>0</v>
      </c>
      <c r="F1044" s="1">
        <f t="shared" si="239"/>
        <v>0</v>
      </c>
      <c r="G1044" s="1" t="str">
        <f t="shared" si="240"/>
        <v>24061706</v>
      </c>
      <c r="H1044" s="2">
        <v>45460</v>
      </c>
      <c r="I1044" s="36">
        <v>6</v>
      </c>
      <c r="J1044" s="1" t="str">
        <f t="shared" si="241"/>
        <v>06</v>
      </c>
      <c r="K1044" s="3">
        <f t="shared" si="242"/>
        <v>24</v>
      </c>
      <c r="L1044" s="3">
        <f t="shared" si="243"/>
        <v>6</v>
      </c>
      <c r="M1044" s="3">
        <f t="shared" si="244"/>
        <v>17</v>
      </c>
      <c r="N1044" s="3" t="str">
        <f t="shared" si="245"/>
        <v>06</v>
      </c>
      <c r="O1044" s="14">
        <f t="shared" si="246"/>
        <v>17</v>
      </c>
      <c r="P1044" s="4">
        <v>95000</v>
      </c>
      <c r="Q1044" s="5"/>
      <c r="R1044" s="6">
        <v>513</v>
      </c>
      <c r="S1044" s="5">
        <f t="shared" si="247"/>
        <v>185.18518518518519</v>
      </c>
      <c r="T1044" s="5" t="s">
        <v>327</v>
      </c>
      <c r="U1044" s="3" t="s">
        <v>29</v>
      </c>
      <c r="V1044" s="3" t="s">
        <v>4</v>
      </c>
      <c r="W1044" s="3"/>
    </row>
    <row r="1045" spans="1:23" s="10" customFormat="1" hidden="1">
      <c r="A1045" s="3"/>
      <c r="B1045" s="52"/>
      <c r="C1045" s="52"/>
      <c r="D1045" s="52"/>
      <c r="E1045" s="52"/>
      <c r="F1045" s="52"/>
      <c r="G1045" s="52"/>
      <c r="H1045" s="9"/>
      <c r="I1045" s="52"/>
      <c r="J1045" s="52" t="str">
        <f t="shared" si="241"/>
        <v>0</v>
      </c>
      <c r="K1045" s="10">
        <f t="shared" si="242"/>
        <v>-100</v>
      </c>
      <c r="L1045" s="10">
        <f t="shared" si="243"/>
        <v>1</v>
      </c>
      <c r="M1045" s="10">
        <f t="shared" si="244"/>
        <v>0</v>
      </c>
      <c r="N1045" s="10" t="str">
        <f t="shared" si="245"/>
        <v>01</v>
      </c>
      <c r="O1045" s="70" t="str">
        <f t="shared" si="246"/>
        <v>00</v>
      </c>
      <c r="P1045" s="11"/>
      <c r="Q1045" s="12"/>
      <c r="R1045" s="13">
        <v>519</v>
      </c>
      <c r="S1045" s="12">
        <f t="shared" si="247"/>
        <v>0</v>
      </c>
      <c r="T1045" s="12"/>
    </row>
    <row r="1046" spans="1:23" s="10" customFormat="1">
      <c r="A1046" s="3">
        <v>901</v>
      </c>
      <c r="B1046" s="1">
        <f>IF(G1046="-",0,IF(G1045=G1046,1,0))</f>
        <v>0</v>
      </c>
      <c r="C1046" s="1">
        <f>+IF(G1046="-",0,IF(I1046=I1045+1,0,(IF(I1046=1,0,1))))</f>
        <v>1</v>
      </c>
      <c r="D1046" s="1">
        <f>+IF(AND(P1046="",Q1046=""),1,0)</f>
        <v>0</v>
      </c>
      <c r="E1046" s="1">
        <f>IF(U1046="",1,0)</f>
        <v>0</v>
      </c>
      <c r="F1046" s="1">
        <f>IF(V1046="",1,0)</f>
        <v>0</v>
      </c>
      <c r="G1046" s="1" t="str">
        <f>IF(H1046=0,"-",_xlfn.CONCAT(K1046,N1046,O1046,J1046))</f>
        <v>24061707</v>
      </c>
      <c r="H1046" s="2">
        <v>45460</v>
      </c>
      <c r="I1046" s="36">
        <v>7</v>
      </c>
      <c r="J1046" s="1" t="str">
        <f t="shared" si="241"/>
        <v>07</v>
      </c>
      <c r="K1046" s="3">
        <f t="shared" si="242"/>
        <v>24</v>
      </c>
      <c r="L1046" s="3">
        <f t="shared" si="243"/>
        <v>6</v>
      </c>
      <c r="M1046" s="3">
        <f t="shared" si="244"/>
        <v>17</v>
      </c>
      <c r="N1046" s="3" t="str">
        <f t="shared" si="245"/>
        <v>06</v>
      </c>
      <c r="O1046" s="14">
        <f t="shared" si="246"/>
        <v>17</v>
      </c>
      <c r="P1046" s="4">
        <v>3649.9</v>
      </c>
      <c r="Q1046" s="5"/>
      <c r="R1046" s="6">
        <v>513</v>
      </c>
      <c r="S1046" s="5">
        <f t="shared" si="247"/>
        <v>7.1148148148148147</v>
      </c>
      <c r="T1046" s="5" t="s">
        <v>365</v>
      </c>
      <c r="U1046" s="3" t="s">
        <v>29</v>
      </c>
      <c r="V1046" s="3" t="s">
        <v>4</v>
      </c>
      <c r="W1046" s="3"/>
    </row>
    <row r="1047" spans="1:23" s="10" customFormat="1" hidden="1">
      <c r="A1047" s="3"/>
      <c r="B1047" s="52"/>
      <c r="C1047" s="52"/>
      <c r="D1047" s="52"/>
      <c r="E1047" s="52"/>
      <c r="F1047" s="52"/>
      <c r="G1047" s="52"/>
      <c r="H1047" s="9"/>
      <c r="I1047" s="52"/>
      <c r="J1047" s="52" t="str">
        <f t="shared" si="241"/>
        <v>0</v>
      </c>
      <c r="K1047" s="10">
        <f t="shared" si="242"/>
        <v>-100</v>
      </c>
      <c r="L1047" s="10">
        <f t="shared" si="243"/>
        <v>1</v>
      </c>
      <c r="M1047" s="10">
        <f t="shared" si="244"/>
        <v>0</v>
      </c>
      <c r="N1047" s="10" t="str">
        <f t="shared" si="245"/>
        <v>01</v>
      </c>
      <c r="O1047" s="70" t="str">
        <f t="shared" si="246"/>
        <v>00</v>
      </c>
      <c r="P1047" s="11"/>
      <c r="Q1047" s="12"/>
      <c r="R1047" s="13">
        <v>519</v>
      </c>
      <c r="S1047" s="12">
        <f t="shared" si="247"/>
        <v>0</v>
      </c>
      <c r="T1047" s="12"/>
    </row>
    <row r="1048" spans="1:23" s="10" customFormat="1" hidden="1">
      <c r="A1048" s="3"/>
      <c r="B1048" s="52"/>
      <c r="C1048" s="52"/>
      <c r="D1048" s="52"/>
      <c r="E1048" s="52"/>
      <c r="F1048" s="52"/>
      <c r="G1048" s="52"/>
      <c r="H1048" s="9"/>
      <c r="I1048" s="52"/>
      <c r="J1048" s="52" t="str">
        <f t="shared" si="241"/>
        <v>0</v>
      </c>
      <c r="K1048" s="10">
        <f t="shared" si="242"/>
        <v>-100</v>
      </c>
      <c r="L1048" s="10">
        <f t="shared" si="243"/>
        <v>1</v>
      </c>
      <c r="M1048" s="10">
        <f t="shared" si="244"/>
        <v>0</v>
      </c>
      <c r="N1048" s="10" t="str">
        <f t="shared" si="245"/>
        <v>01</v>
      </c>
      <c r="O1048" s="70" t="str">
        <f t="shared" si="246"/>
        <v>00</v>
      </c>
      <c r="P1048" s="11"/>
      <c r="Q1048" s="12"/>
      <c r="R1048" s="13">
        <v>519</v>
      </c>
      <c r="S1048" s="12">
        <f t="shared" si="247"/>
        <v>0</v>
      </c>
      <c r="T1048" s="12"/>
    </row>
    <row r="1049" spans="1:23" s="10" customFormat="1">
      <c r="A1049" s="3">
        <v>905</v>
      </c>
      <c r="B1049" s="1">
        <f>IF(G1049="-",0,IF(G1048=G1049,1,0))</f>
        <v>0</v>
      </c>
      <c r="C1049" s="1">
        <f>+IF(G1049="-",0,IF(I1049=I1048+1,0,(IF(I1049=1,0,1))))</f>
        <v>1</v>
      </c>
      <c r="D1049" s="1">
        <f>+IF(AND(P1049="",Q1049=""),1,0)</f>
        <v>0</v>
      </c>
      <c r="E1049" s="1">
        <f>IF(U1049="",1,0)</f>
        <v>0</v>
      </c>
      <c r="F1049" s="1">
        <f>IF(V1049="",1,0)</f>
        <v>0</v>
      </c>
      <c r="G1049" s="1" t="str">
        <f>IF(H1049=0,"-",_xlfn.CONCAT(K1049,N1049,O1049,J1049))</f>
        <v>24061711</v>
      </c>
      <c r="H1049" s="2">
        <v>45460</v>
      </c>
      <c r="I1049" s="36">
        <v>11</v>
      </c>
      <c r="J1049" s="1">
        <f t="shared" si="241"/>
        <v>11</v>
      </c>
      <c r="K1049" s="3">
        <f t="shared" si="242"/>
        <v>24</v>
      </c>
      <c r="L1049" s="3">
        <f t="shared" si="243"/>
        <v>6</v>
      </c>
      <c r="M1049" s="3">
        <f t="shared" si="244"/>
        <v>17</v>
      </c>
      <c r="N1049" s="3" t="str">
        <f t="shared" si="245"/>
        <v>06</v>
      </c>
      <c r="O1049" s="14">
        <f t="shared" si="246"/>
        <v>17</v>
      </c>
      <c r="P1049" s="4">
        <v>37383</v>
      </c>
      <c r="Q1049" s="5"/>
      <c r="R1049" s="6">
        <v>513</v>
      </c>
      <c r="S1049" s="5">
        <f t="shared" si="247"/>
        <v>72.871345029239762</v>
      </c>
      <c r="T1049" s="5" t="s">
        <v>449</v>
      </c>
      <c r="U1049" s="3" t="s">
        <v>29</v>
      </c>
      <c r="V1049" s="3" t="s">
        <v>4</v>
      </c>
      <c r="W1049" s="3" t="s">
        <v>397</v>
      </c>
    </row>
    <row r="1050" spans="1:23" s="10" customFormat="1" hidden="1">
      <c r="A1050" s="3"/>
      <c r="B1050" s="52"/>
      <c r="C1050" s="52"/>
      <c r="D1050" s="52"/>
      <c r="E1050" s="52"/>
      <c r="F1050" s="52"/>
      <c r="G1050" s="52"/>
      <c r="H1050" s="9"/>
      <c r="I1050" s="52"/>
      <c r="J1050" s="52" t="str">
        <f t="shared" si="241"/>
        <v>0</v>
      </c>
      <c r="K1050" s="10">
        <f t="shared" si="242"/>
        <v>-100</v>
      </c>
      <c r="L1050" s="10">
        <f t="shared" si="243"/>
        <v>1</v>
      </c>
      <c r="M1050" s="10">
        <f t="shared" si="244"/>
        <v>0</v>
      </c>
      <c r="N1050" s="10" t="str">
        <f t="shared" si="245"/>
        <v>01</v>
      </c>
      <c r="O1050" s="70" t="str">
        <f t="shared" si="246"/>
        <v>00</v>
      </c>
      <c r="P1050" s="11"/>
      <c r="Q1050" s="12"/>
      <c r="R1050" s="13">
        <v>519</v>
      </c>
      <c r="S1050" s="12">
        <f t="shared" si="247"/>
        <v>0</v>
      </c>
      <c r="T1050" s="12"/>
    </row>
    <row r="1051" spans="1:23" s="10" customFormat="1" hidden="1">
      <c r="A1051" s="3"/>
      <c r="B1051" s="52"/>
      <c r="C1051" s="52"/>
      <c r="D1051" s="52"/>
      <c r="E1051" s="52"/>
      <c r="F1051" s="52"/>
      <c r="G1051" s="52"/>
      <c r="H1051" s="9"/>
      <c r="I1051" s="52"/>
      <c r="J1051" s="52" t="str">
        <f t="shared" si="241"/>
        <v>0</v>
      </c>
      <c r="K1051" s="10">
        <f t="shared" si="242"/>
        <v>-100</v>
      </c>
      <c r="L1051" s="10">
        <f t="shared" si="243"/>
        <v>1</v>
      </c>
      <c r="M1051" s="10">
        <f t="shared" si="244"/>
        <v>0</v>
      </c>
      <c r="N1051" s="10" t="str">
        <f t="shared" si="245"/>
        <v>01</v>
      </c>
      <c r="O1051" s="70" t="str">
        <f t="shared" si="246"/>
        <v>00</v>
      </c>
      <c r="P1051" s="11"/>
      <c r="Q1051" s="12"/>
      <c r="R1051" s="13">
        <v>519</v>
      </c>
      <c r="S1051" s="12">
        <f t="shared" si="247"/>
        <v>0</v>
      </c>
      <c r="T1051" s="12"/>
    </row>
    <row r="1052" spans="1:23" s="10" customFormat="1" hidden="1">
      <c r="A1052" s="3"/>
      <c r="B1052" s="52"/>
      <c r="C1052" s="52"/>
      <c r="D1052" s="52"/>
      <c r="E1052" s="52"/>
      <c r="F1052" s="52"/>
      <c r="G1052" s="52"/>
      <c r="H1052" s="9"/>
      <c r="I1052" s="52"/>
      <c r="J1052" s="52" t="str">
        <f t="shared" si="241"/>
        <v>0</v>
      </c>
      <c r="K1052" s="10">
        <f t="shared" si="242"/>
        <v>-100</v>
      </c>
      <c r="L1052" s="10">
        <f t="shared" si="243"/>
        <v>1</v>
      </c>
      <c r="M1052" s="10">
        <f t="shared" si="244"/>
        <v>0</v>
      </c>
      <c r="N1052" s="10" t="str">
        <f t="shared" si="245"/>
        <v>01</v>
      </c>
      <c r="O1052" s="70" t="str">
        <f t="shared" si="246"/>
        <v>00</v>
      </c>
      <c r="P1052" s="11"/>
      <c r="Q1052" s="12"/>
      <c r="R1052" s="13">
        <v>519</v>
      </c>
      <c r="S1052" s="12">
        <f t="shared" si="247"/>
        <v>0</v>
      </c>
      <c r="T1052" s="12"/>
    </row>
    <row r="1053" spans="1:23" s="10" customFormat="1">
      <c r="A1053" s="3">
        <v>911</v>
      </c>
      <c r="B1053" s="1">
        <f>IF(G1053="-",0,IF(G1052=G1053,1,0))</f>
        <v>0</v>
      </c>
      <c r="C1053" s="1">
        <f>+IF(G1053="-",0,IF(I1053=I1052+1,0,(IF(I1053=1,0,1))))</f>
        <v>0</v>
      </c>
      <c r="D1053" s="1">
        <f>+IF(AND(P1053="",Q1053=""),1,0)</f>
        <v>0</v>
      </c>
      <c r="E1053" s="1">
        <f t="shared" ref="E1053:F1056" si="248">IF(U1053="",1,0)</f>
        <v>0</v>
      </c>
      <c r="F1053" s="1">
        <f t="shared" si="248"/>
        <v>0</v>
      </c>
      <c r="G1053" s="1" t="str">
        <f>IF(H1053=0,"-",_xlfn.CONCAT(K1053,N1053,O1053,J1053))</f>
        <v>24061801</v>
      </c>
      <c r="H1053" s="2">
        <v>45461</v>
      </c>
      <c r="I1053" s="36">
        <v>1</v>
      </c>
      <c r="J1053" s="1" t="str">
        <f t="shared" si="241"/>
        <v>01</v>
      </c>
      <c r="K1053" s="3">
        <f t="shared" si="242"/>
        <v>24</v>
      </c>
      <c r="L1053" s="3">
        <f t="shared" si="243"/>
        <v>6</v>
      </c>
      <c r="M1053" s="3">
        <f t="shared" si="244"/>
        <v>18</v>
      </c>
      <c r="N1053" s="3" t="str">
        <f t="shared" si="245"/>
        <v>06</v>
      </c>
      <c r="O1053" s="14">
        <f t="shared" si="246"/>
        <v>18</v>
      </c>
      <c r="P1053" s="4">
        <v>37147.339999999997</v>
      </c>
      <c r="Q1053" s="5"/>
      <c r="R1053" s="6">
        <v>511</v>
      </c>
      <c r="S1053" s="5">
        <f t="shared" si="247"/>
        <v>72.695381604696664</v>
      </c>
      <c r="T1053" s="5" t="s">
        <v>346</v>
      </c>
      <c r="U1053" s="3" t="s">
        <v>29</v>
      </c>
      <c r="V1053" s="3" t="s">
        <v>4</v>
      </c>
      <c r="W1053" s="3"/>
    </row>
    <row r="1054" spans="1:23" s="10" customFormat="1">
      <c r="A1054" s="3">
        <v>912</v>
      </c>
      <c r="B1054" s="1">
        <f>IF(G1054="-",0,IF(G1053=G1054,1,0))</f>
        <v>0</v>
      </c>
      <c r="C1054" s="1">
        <f>+IF(G1054="-",0,IF(I1054=I1053+1,0,(IF(I1054=1,0,1))))</f>
        <v>0</v>
      </c>
      <c r="D1054" s="1">
        <f>+IF(AND(P1054="",Q1054=""),1,0)</f>
        <v>0</v>
      </c>
      <c r="E1054" s="1">
        <f t="shared" si="248"/>
        <v>0</v>
      </c>
      <c r="F1054" s="1">
        <f t="shared" si="248"/>
        <v>0</v>
      </c>
      <c r="G1054" s="1" t="str">
        <f>IF(H1054=0,"-",_xlfn.CONCAT(K1054,N1054,O1054,J1054))</f>
        <v>24061802</v>
      </c>
      <c r="H1054" s="2">
        <v>45461</v>
      </c>
      <c r="I1054" s="36">
        <v>2</v>
      </c>
      <c r="J1054" s="1" t="str">
        <f t="shared" si="241"/>
        <v>02</v>
      </c>
      <c r="K1054" s="3">
        <f t="shared" si="242"/>
        <v>24</v>
      </c>
      <c r="L1054" s="3">
        <f t="shared" si="243"/>
        <v>6</v>
      </c>
      <c r="M1054" s="3">
        <f t="shared" si="244"/>
        <v>18</v>
      </c>
      <c r="N1054" s="3" t="str">
        <f t="shared" si="245"/>
        <v>06</v>
      </c>
      <c r="O1054" s="14">
        <f t="shared" si="246"/>
        <v>18</v>
      </c>
      <c r="P1054" s="4">
        <v>6181.79</v>
      </c>
      <c r="Q1054" s="5"/>
      <c r="R1054" s="6">
        <v>511</v>
      </c>
      <c r="S1054" s="5">
        <f t="shared" si="247"/>
        <v>12.097436399217221</v>
      </c>
      <c r="T1054" s="5" t="s">
        <v>132</v>
      </c>
      <c r="U1054" s="3" t="s">
        <v>29</v>
      </c>
      <c r="V1054" s="3" t="s">
        <v>4</v>
      </c>
      <c r="W1054" s="3"/>
    </row>
    <row r="1055" spans="1:23" s="10" customFormat="1">
      <c r="A1055" s="3">
        <v>913</v>
      </c>
      <c r="B1055" s="1">
        <f>IF(G1055="-",0,IF(G1054=G1055,1,0))</f>
        <v>0</v>
      </c>
      <c r="C1055" s="1">
        <f>+IF(G1055="-",0,IF(I1055=I1054+1,0,(IF(I1055=1,0,1))))</f>
        <v>0</v>
      </c>
      <c r="D1055" s="1">
        <f>+IF(AND(P1055="",Q1055=""),1,0)</f>
        <v>0</v>
      </c>
      <c r="E1055" s="1">
        <f t="shared" si="248"/>
        <v>0</v>
      </c>
      <c r="F1055" s="1">
        <f t="shared" si="248"/>
        <v>0</v>
      </c>
      <c r="G1055" s="1" t="str">
        <f>IF(H1055=0,"-",_xlfn.CONCAT(K1055,N1055,O1055,J1055))</f>
        <v>24061803</v>
      </c>
      <c r="H1055" s="2">
        <v>45461</v>
      </c>
      <c r="I1055" s="36">
        <v>3</v>
      </c>
      <c r="J1055" s="1" t="str">
        <f t="shared" si="241"/>
        <v>03</v>
      </c>
      <c r="K1055" s="3">
        <f t="shared" si="242"/>
        <v>24</v>
      </c>
      <c r="L1055" s="3">
        <f t="shared" si="243"/>
        <v>6</v>
      </c>
      <c r="M1055" s="3">
        <f t="shared" si="244"/>
        <v>18</v>
      </c>
      <c r="N1055" s="3" t="str">
        <f t="shared" si="245"/>
        <v>06</v>
      </c>
      <c r="O1055" s="14">
        <f t="shared" si="246"/>
        <v>18</v>
      </c>
      <c r="P1055" s="4">
        <v>11411.26</v>
      </c>
      <c r="Q1055" s="5"/>
      <c r="R1055" s="6">
        <v>511</v>
      </c>
      <c r="S1055" s="5">
        <f t="shared" si="247"/>
        <v>22.331232876712328</v>
      </c>
      <c r="T1055" s="5" t="s">
        <v>132</v>
      </c>
      <c r="U1055" s="3" t="s">
        <v>29</v>
      </c>
      <c r="V1055" s="3" t="s">
        <v>4</v>
      </c>
      <c r="W1055" s="3"/>
    </row>
    <row r="1056" spans="1:23" s="10" customFormat="1">
      <c r="A1056" s="3">
        <v>914</v>
      </c>
      <c r="B1056" s="1">
        <f>IF(G1056="-",0,IF(G1055=G1056,1,0))</f>
        <v>0</v>
      </c>
      <c r="C1056" s="1">
        <f>+IF(G1056="-",0,IF(I1056=I1055+1,0,(IF(I1056=1,0,1))))</f>
        <v>0</v>
      </c>
      <c r="D1056" s="1">
        <f>+IF(AND(P1056="",Q1056=""),1,0)</f>
        <v>0</v>
      </c>
      <c r="E1056" s="1">
        <f t="shared" si="248"/>
        <v>0</v>
      </c>
      <c r="F1056" s="1">
        <f t="shared" si="248"/>
        <v>0</v>
      </c>
      <c r="G1056" s="1" t="str">
        <f>IF(H1056=0,"-",_xlfn.CONCAT(K1056,N1056,O1056,J1056))</f>
        <v>24061804</v>
      </c>
      <c r="H1056" s="2">
        <v>45461</v>
      </c>
      <c r="I1056" s="36">
        <v>4</v>
      </c>
      <c r="J1056" s="1" t="str">
        <f t="shared" si="241"/>
        <v>04</v>
      </c>
      <c r="K1056" s="3">
        <f t="shared" si="242"/>
        <v>24</v>
      </c>
      <c r="L1056" s="3">
        <f t="shared" si="243"/>
        <v>6</v>
      </c>
      <c r="M1056" s="3">
        <f t="shared" si="244"/>
        <v>18</v>
      </c>
      <c r="N1056" s="3" t="str">
        <f t="shared" si="245"/>
        <v>06</v>
      </c>
      <c r="O1056" s="14">
        <f t="shared" si="246"/>
        <v>18</v>
      </c>
      <c r="P1056" s="4">
        <v>4992.25</v>
      </c>
      <c r="Q1056" s="5"/>
      <c r="R1056" s="6">
        <v>511</v>
      </c>
      <c r="S1056" s="5">
        <f t="shared" si="247"/>
        <v>9.7695694716242656</v>
      </c>
      <c r="T1056" s="5" t="s">
        <v>132</v>
      </c>
      <c r="U1056" s="3" t="s">
        <v>29</v>
      </c>
      <c r="V1056" s="3" t="s">
        <v>4</v>
      </c>
      <c r="W1056" s="3"/>
    </row>
    <row r="1057" spans="1:23" s="10" customFormat="1" hidden="1">
      <c r="A1057" s="3"/>
      <c r="B1057" s="52"/>
      <c r="C1057" s="52"/>
      <c r="D1057" s="52"/>
      <c r="E1057" s="52"/>
      <c r="F1057" s="52"/>
      <c r="G1057" s="52"/>
      <c r="H1057" s="9"/>
      <c r="I1057" s="52"/>
      <c r="J1057" s="52" t="str">
        <f t="shared" si="241"/>
        <v>0</v>
      </c>
      <c r="K1057" s="10">
        <f t="shared" si="242"/>
        <v>-100</v>
      </c>
      <c r="L1057" s="10">
        <f t="shared" si="243"/>
        <v>1</v>
      </c>
      <c r="M1057" s="10">
        <f t="shared" si="244"/>
        <v>0</v>
      </c>
      <c r="N1057" s="10" t="str">
        <f t="shared" si="245"/>
        <v>01</v>
      </c>
      <c r="O1057" s="70" t="str">
        <f t="shared" si="246"/>
        <v>00</v>
      </c>
      <c r="P1057" s="11"/>
      <c r="Q1057" s="12"/>
      <c r="R1057" s="13">
        <v>519</v>
      </c>
      <c r="S1057" s="12">
        <f t="shared" si="247"/>
        <v>0</v>
      </c>
      <c r="T1057" s="12"/>
    </row>
    <row r="1058" spans="1:23" s="10" customFormat="1" hidden="1">
      <c r="A1058" s="3"/>
      <c r="B1058" s="52"/>
      <c r="C1058" s="52"/>
      <c r="D1058" s="52"/>
      <c r="E1058" s="52"/>
      <c r="F1058" s="52"/>
      <c r="G1058" s="52"/>
      <c r="H1058" s="9"/>
      <c r="I1058" s="52"/>
      <c r="J1058" s="52" t="str">
        <f t="shared" si="241"/>
        <v>0</v>
      </c>
      <c r="K1058" s="10">
        <f t="shared" si="242"/>
        <v>-100</v>
      </c>
      <c r="L1058" s="10">
        <f t="shared" si="243"/>
        <v>1</v>
      </c>
      <c r="M1058" s="10">
        <f t="shared" si="244"/>
        <v>0</v>
      </c>
      <c r="N1058" s="10" t="str">
        <f t="shared" si="245"/>
        <v>01</v>
      </c>
      <c r="O1058" s="70" t="str">
        <f t="shared" si="246"/>
        <v>00</v>
      </c>
      <c r="P1058" s="11"/>
      <c r="Q1058" s="12"/>
      <c r="R1058" s="13">
        <v>519</v>
      </c>
      <c r="S1058" s="12">
        <f t="shared" si="247"/>
        <v>0</v>
      </c>
      <c r="T1058" s="12"/>
    </row>
    <row r="1059" spans="1:23" s="10" customFormat="1">
      <c r="A1059" s="3">
        <v>915</v>
      </c>
      <c r="B1059" s="1">
        <f>IF(G1059="-",0,IF(G1058=G1059,1,0))</f>
        <v>0</v>
      </c>
      <c r="C1059" s="1">
        <f>+IF(G1059="-",0,IF(I1059=I1058+1,0,(IF(I1059=1,0,1))))</f>
        <v>1</v>
      </c>
      <c r="D1059" s="1">
        <f>+IF(AND(P1059="",Q1059=""),1,0)</f>
        <v>0</v>
      </c>
      <c r="E1059" s="1">
        <f>IF(U1059="",1,0)</f>
        <v>0</v>
      </c>
      <c r="F1059" s="1">
        <f>IF(V1059="",1,0)</f>
        <v>0</v>
      </c>
      <c r="G1059" s="1" t="str">
        <f>IF(H1059=0,"-",_xlfn.CONCAT(K1059,N1059,O1059,J1059))</f>
        <v>24061805</v>
      </c>
      <c r="H1059" s="2">
        <v>45461</v>
      </c>
      <c r="I1059" s="36">
        <v>5</v>
      </c>
      <c r="J1059" s="1" t="str">
        <f t="shared" si="241"/>
        <v>05</v>
      </c>
      <c r="K1059" s="3">
        <f t="shared" si="242"/>
        <v>24</v>
      </c>
      <c r="L1059" s="3">
        <f t="shared" si="243"/>
        <v>6</v>
      </c>
      <c r="M1059" s="3">
        <f t="shared" si="244"/>
        <v>18</v>
      </c>
      <c r="N1059" s="3" t="str">
        <f t="shared" si="245"/>
        <v>06</v>
      </c>
      <c r="O1059" s="14">
        <f t="shared" si="246"/>
        <v>18</v>
      </c>
      <c r="P1059" s="4">
        <v>7693.79</v>
      </c>
      <c r="Q1059" s="5"/>
      <c r="R1059" s="6">
        <v>511</v>
      </c>
      <c r="S1059" s="5">
        <f t="shared" si="247"/>
        <v>15.056340508806262</v>
      </c>
      <c r="T1059" s="5" t="s">
        <v>132</v>
      </c>
      <c r="U1059" s="3" t="s">
        <v>29</v>
      </c>
      <c r="V1059" s="3" t="s">
        <v>4</v>
      </c>
      <c r="W1059" s="3"/>
    </row>
    <row r="1060" spans="1:23" hidden="1">
      <c r="I1060" s="1"/>
      <c r="J1060" s="1" t="str">
        <f t="shared" si="241"/>
        <v>0</v>
      </c>
      <c r="K1060" s="3">
        <f t="shared" si="242"/>
        <v>-100</v>
      </c>
      <c r="L1060" s="3">
        <f t="shared" si="243"/>
        <v>1</v>
      </c>
      <c r="M1060" s="3">
        <f t="shared" si="244"/>
        <v>0</v>
      </c>
      <c r="N1060" s="3" t="str">
        <f t="shared" si="245"/>
        <v>01</v>
      </c>
      <c r="O1060" s="14" t="str">
        <f t="shared" si="246"/>
        <v>00</v>
      </c>
      <c r="R1060" s="6">
        <v>519</v>
      </c>
      <c r="S1060" s="5">
        <f t="shared" si="247"/>
        <v>0</v>
      </c>
    </row>
    <row r="1061" spans="1:23" hidden="1">
      <c r="I1061" s="1"/>
      <c r="J1061" s="1" t="str">
        <f t="shared" si="241"/>
        <v>0</v>
      </c>
      <c r="K1061" s="3">
        <f t="shared" si="242"/>
        <v>-100</v>
      </c>
      <c r="L1061" s="3">
        <f t="shared" si="243"/>
        <v>1</v>
      </c>
      <c r="M1061" s="3">
        <f t="shared" si="244"/>
        <v>0</v>
      </c>
      <c r="N1061" s="3" t="str">
        <f t="shared" si="245"/>
        <v>01</v>
      </c>
      <c r="O1061" s="14" t="str">
        <f t="shared" si="246"/>
        <v>00</v>
      </c>
      <c r="R1061" s="6">
        <v>519</v>
      </c>
      <c r="S1061" s="5">
        <f t="shared" si="247"/>
        <v>0</v>
      </c>
    </row>
    <row r="1062" spans="1:23" hidden="1">
      <c r="I1062" s="1"/>
      <c r="J1062" s="1" t="str">
        <f t="shared" si="241"/>
        <v>0</v>
      </c>
      <c r="K1062" s="3">
        <f t="shared" si="242"/>
        <v>-100</v>
      </c>
      <c r="L1062" s="3">
        <f t="shared" si="243"/>
        <v>1</v>
      </c>
      <c r="M1062" s="3">
        <f t="shared" si="244"/>
        <v>0</v>
      </c>
      <c r="N1062" s="3" t="str">
        <f t="shared" si="245"/>
        <v>01</v>
      </c>
      <c r="O1062" s="14" t="str">
        <f t="shared" si="246"/>
        <v>00</v>
      </c>
      <c r="R1062" s="6">
        <v>519</v>
      </c>
      <c r="S1062" s="5">
        <f t="shared" si="247"/>
        <v>0</v>
      </c>
    </row>
    <row r="1063" spans="1:23" hidden="1">
      <c r="I1063" s="1"/>
      <c r="J1063" s="1" t="str">
        <f t="shared" si="241"/>
        <v>0</v>
      </c>
      <c r="K1063" s="3">
        <f t="shared" si="242"/>
        <v>-100</v>
      </c>
      <c r="L1063" s="3">
        <f t="shared" si="243"/>
        <v>1</v>
      </c>
      <c r="M1063" s="3">
        <f t="shared" si="244"/>
        <v>0</v>
      </c>
      <c r="N1063" s="3" t="str">
        <f t="shared" si="245"/>
        <v>01</v>
      </c>
      <c r="O1063" s="14" t="str">
        <f t="shared" si="246"/>
        <v>00</v>
      </c>
      <c r="R1063" s="6">
        <v>519</v>
      </c>
      <c r="S1063" s="5">
        <f t="shared" si="247"/>
        <v>0</v>
      </c>
    </row>
    <row r="1064" spans="1:23">
      <c r="A1064" s="3">
        <v>918</v>
      </c>
      <c r="B1064" s="1">
        <f>IF(G1064="-",0,IF(G1063=G1064,1,0))</f>
        <v>0</v>
      </c>
      <c r="C1064" s="1">
        <f>+IF(G1064="-",0,IF(I1064=I1063+1,0,(IF(I1064=1,0,1))))</f>
        <v>1</v>
      </c>
      <c r="D1064" s="1">
        <f>+IF(AND(P1064="",Q1064=""),1,0)</f>
        <v>0</v>
      </c>
      <c r="E1064" s="1">
        <f>IF(U1064="",1,0)</f>
        <v>0</v>
      </c>
      <c r="F1064" s="1">
        <f>IF(V1064="",1,0)</f>
        <v>0</v>
      </c>
      <c r="G1064" s="1" t="str">
        <f>IF(H1064=0,"-",_xlfn.CONCAT(K1064,N1064,O1064,J1064))</f>
        <v>24061808</v>
      </c>
      <c r="H1064" s="2">
        <v>45461</v>
      </c>
      <c r="I1064" s="36">
        <v>8</v>
      </c>
      <c r="J1064" s="1" t="str">
        <f t="shared" si="241"/>
        <v>08</v>
      </c>
      <c r="K1064" s="3">
        <f t="shared" si="242"/>
        <v>24</v>
      </c>
      <c r="L1064" s="3">
        <f t="shared" si="243"/>
        <v>6</v>
      </c>
      <c r="M1064" s="3">
        <f t="shared" si="244"/>
        <v>18</v>
      </c>
      <c r="N1064" s="3" t="str">
        <f t="shared" si="245"/>
        <v>06</v>
      </c>
      <c r="O1064" s="14">
        <f t="shared" si="246"/>
        <v>18</v>
      </c>
      <c r="P1064" s="4">
        <v>200000</v>
      </c>
      <c r="R1064" s="6">
        <v>511</v>
      </c>
      <c r="S1064" s="5">
        <f t="shared" si="247"/>
        <v>391.38943248532291</v>
      </c>
      <c r="T1064" s="5" t="s">
        <v>192</v>
      </c>
      <c r="U1064" s="3" t="s">
        <v>1</v>
      </c>
      <c r="V1064" s="3" t="s">
        <v>4</v>
      </c>
    </row>
    <row r="1065" spans="1:23">
      <c r="A1065" s="3">
        <v>922</v>
      </c>
      <c r="B1065" s="1">
        <f>IF(G1065="-",0,IF(G1064=G1065,1,0))</f>
        <v>0</v>
      </c>
      <c r="C1065" s="1">
        <f>+IF(G1065="-",0,IF(I1065=I1064+1,0,(IF(I1065=1,0,1))))</f>
        <v>0</v>
      </c>
      <c r="D1065" s="1">
        <f>+IF(AND(P1065="",Q1065=""),1,0)</f>
        <v>0</v>
      </c>
      <c r="E1065" s="1">
        <f>IF(U1065="",1,0)</f>
        <v>0</v>
      </c>
      <c r="F1065" s="1">
        <f>IF(V1065="",1,0)</f>
        <v>0</v>
      </c>
      <c r="G1065" s="1" t="str">
        <f>IF(H1065=0,"-",_xlfn.CONCAT(K1065,N1065,O1065,J1065))</f>
        <v>24061901</v>
      </c>
      <c r="H1065" s="2">
        <v>45462</v>
      </c>
      <c r="I1065" s="36">
        <v>1</v>
      </c>
      <c r="J1065" s="1" t="str">
        <f t="shared" si="241"/>
        <v>01</v>
      </c>
      <c r="K1065" s="3">
        <f t="shared" si="242"/>
        <v>24</v>
      </c>
      <c r="L1065" s="3">
        <f t="shared" si="243"/>
        <v>6</v>
      </c>
      <c r="M1065" s="3">
        <f t="shared" si="244"/>
        <v>19</v>
      </c>
      <c r="N1065" s="3" t="str">
        <f t="shared" si="245"/>
        <v>06</v>
      </c>
      <c r="O1065" s="14">
        <f t="shared" si="246"/>
        <v>19</v>
      </c>
      <c r="P1065" s="4">
        <v>236256.46</v>
      </c>
      <c r="R1065" s="6">
        <v>511</v>
      </c>
      <c r="S1065" s="5">
        <f t="shared" si="247"/>
        <v>462.34140900195695</v>
      </c>
      <c r="T1065" s="5" t="s">
        <v>132</v>
      </c>
      <c r="U1065" s="3" t="s">
        <v>1</v>
      </c>
      <c r="V1065" s="3" t="s">
        <v>4</v>
      </c>
    </row>
    <row r="1066" spans="1:23" hidden="1">
      <c r="J1066" s="1" t="str">
        <f t="shared" si="241"/>
        <v>0</v>
      </c>
      <c r="K1066" s="3">
        <f t="shared" si="242"/>
        <v>-100</v>
      </c>
      <c r="L1066" s="3">
        <f t="shared" si="243"/>
        <v>1</v>
      </c>
      <c r="M1066" s="3">
        <f t="shared" si="244"/>
        <v>0</v>
      </c>
      <c r="N1066" s="3" t="str">
        <f t="shared" si="245"/>
        <v>01</v>
      </c>
      <c r="O1066" s="14" t="str">
        <f t="shared" si="246"/>
        <v>00</v>
      </c>
      <c r="R1066" s="6">
        <v>520</v>
      </c>
      <c r="S1066" s="5">
        <f t="shared" si="247"/>
        <v>0</v>
      </c>
    </row>
    <row r="1067" spans="1:23" hidden="1">
      <c r="J1067" s="1" t="str">
        <f t="shared" si="241"/>
        <v>0</v>
      </c>
      <c r="K1067" s="3">
        <f t="shared" si="242"/>
        <v>-100</v>
      </c>
      <c r="L1067" s="3">
        <f t="shared" si="243"/>
        <v>1</v>
      </c>
      <c r="M1067" s="3">
        <f t="shared" si="244"/>
        <v>0</v>
      </c>
      <c r="N1067" s="3" t="str">
        <f t="shared" si="245"/>
        <v>01</v>
      </c>
      <c r="O1067" s="14" t="str">
        <f t="shared" si="246"/>
        <v>00</v>
      </c>
      <c r="R1067" s="6">
        <v>520</v>
      </c>
      <c r="S1067" s="5">
        <f t="shared" si="247"/>
        <v>0</v>
      </c>
    </row>
    <row r="1068" spans="1:23" hidden="1">
      <c r="J1068" s="1" t="str">
        <f t="shared" si="241"/>
        <v>0</v>
      </c>
      <c r="K1068" s="3">
        <f t="shared" si="242"/>
        <v>-100</v>
      </c>
      <c r="L1068" s="3">
        <f t="shared" si="243"/>
        <v>1</v>
      </c>
      <c r="M1068" s="3">
        <f t="shared" si="244"/>
        <v>0</v>
      </c>
      <c r="N1068" s="3" t="str">
        <f t="shared" si="245"/>
        <v>01</v>
      </c>
      <c r="O1068" s="14" t="str">
        <f t="shared" si="246"/>
        <v>00</v>
      </c>
      <c r="R1068" s="6">
        <v>520</v>
      </c>
      <c r="S1068" s="5">
        <f t="shared" si="247"/>
        <v>0</v>
      </c>
    </row>
    <row r="1069" spans="1:23" hidden="1">
      <c r="J1069" s="1" t="str">
        <f t="shared" si="241"/>
        <v>0</v>
      </c>
      <c r="K1069" s="3">
        <f t="shared" si="242"/>
        <v>-100</v>
      </c>
      <c r="L1069" s="3">
        <f t="shared" si="243"/>
        <v>1</v>
      </c>
      <c r="M1069" s="3">
        <f t="shared" si="244"/>
        <v>0</v>
      </c>
      <c r="N1069" s="3" t="str">
        <f t="shared" si="245"/>
        <v>01</v>
      </c>
      <c r="O1069" s="14" t="str">
        <f t="shared" si="246"/>
        <v>00</v>
      </c>
      <c r="R1069" s="6">
        <v>520</v>
      </c>
      <c r="S1069" s="5">
        <f t="shared" si="247"/>
        <v>0</v>
      </c>
    </row>
    <row r="1070" spans="1:23" hidden="1">
      <c r="J1070" s="1" t="str">
        <f t="shared" si="241"/>
        <v>0</v>
      </c>
      <c r="K1070" s="3">
        <f t="shared" si="242"/>
        <v>-100</v>
      </c>
      <c r="L1070" s="3">
        <f t="shared" si="243"/>
        <v>1</v>
      </c>
      <c r="M1070" s="3">
        <f t="shared" si="244"/>
        <v>0</v>
      </c>
      <c r="N1070" s="3" t="str">
        <f t="shared" si="245"/>
        <v>01</v>
      </c>
      <c r="O1070" s="14" t="str">
        <f t="shared" si="246"/>
        <v>00</v>
      </c>
      <c r="R1070" s="6">
        <v>520</v>
      </c>
      <c r="S1070" s="5">
        <f t="shared" si="247"/>
        <v>0</v>
      </c>
    </row>
    <row r="1071" spans="1:23">
      <c r="A1071" s="3">
        <v>923</v>
      </c>
      <c r="B1071" s="1">
        <f>IF(G1071="-",0,IF(G1070=G1071,1,0))</f>
        <v>0</v>
      </c>
      <c r="C1071" s="1">
        <f>+IF(G1071="-",0,IF(I1071=I1070+1,0,(IF(I1071=1,0,1))))</f>
        <v>1</v>
      </c>
      <c r="D1071" s="1">
        <f>+IF(AND(P1071="",Q1071=""),1,0)</f>
        <v>0</v>
      </c>
      <c r="E1071" s="1">
        <f>IF(U1071="",1,0)</f>
        <v>0</v>
      </c>
      <c r="F1071" s="1">
        <f>IF(V1071="",1,0)</f>
        <v>0</v>
      </c>
      <c r="G1071" s="1" t="str">
        <f>IF(H1071=0,"-",_xlfn.CONCAT(K1071,N1071,O1071,J1071))</f>
        <v>24061902</v>
      </c>
      <c r="H1071" s="2">
        <v>45462</v>
      </c>
      <c r="I1071" s="36">
        <v>2</v>
      </c>
      <c r="J1071" s="1" t="str">
        <f t="shared" ref="J1071:J1099" si="249">+IF(I1071&lt;10,_xlfn.CONCAT("0",I1071),I1071)</f>
        <v>02</v>
      </c>
      <c r="K1071" s="3">
        <f t="shared" ref="K1071:K1099" si="250">+YEAR(H1071)-2000</f>
        <v>24</v>
      </c>
      <c r="L1071" s="3">
        <f t="shared" ref="L1071:L1099" si="251">+MONTH(H1071)</f>
        <v>6</v>
      </c>
      <c r="M1071" s="3">
        <f t="shared" ref="M1071:M1099" si="252">+DAY(H1071)</f>
        <v>19</v>
      </c>
      <c r="N1071" s="3" t="str">
        <f t="shared" ref="N1071:N1099" si="253">+IF(L1071&lt;10,_xlfn.CONCAT("0",L1071),L1071)</f>
        <v>06</v>
      </c>
      <c r="O1071" s="14">
        <f t="shared" ref="O1071:O1099" si="254">+IF(M1071&lt;10,_xlfn.CONCAT("0",M1071),M1071)</f>
        <v>19</v>
      </c>
      <c r="P1071" s="4">
        <v>5141.8</v>
      </c>
      <c r="R1071" s="6">
        <v>511</v>
      </c>
      <c r="S1071" s="5">
        <f t="shared" si="247"/>
        <v>10.062230919765167</v>
      </c>
      <c r="T1071" s="5" t="s">
        <v>132</v>
      </c>
      <c r="U1071" s="3" t="s">
        <v>29</v>
      </c>
      <c r="V1071" s="3" t="s">
        <v>4</v>
      </c>
    </row>
    <row r="1072" spans="1:23" hidden="1">
      <c r="J1072" s="1" t="str">
        <f t="shared" si="249"/>
        <v>0</v>
      </c>
      <c r="K1072" s="3">
        <f t="shared" si="250"/>
        <v>-100</v>
      </c>
      <c r="L1072" s="3">
        <f t="shared" si="251"/>
        <v>1</v>
      </c>
      <c r="M1072" s="3">
        <f t="shared" si="252"/>
        <v>0</v>
      </c>
      <c r="N1072" s="3" t="str">
        <f t="shared" si="253"/>
        <v>01</v>
      </c>
      <c r="O1072" s="14" t="str">
        <f t="shared" si="254"/>
        <v>00</v>
      </c>
      <c r="R1072" s="6">
        <v>519</v>
      </c>
      <c r="S1072" s="5">
        <f t="shared" si="247"/>
        <v>0</v>
      </c>
    </row>
    <row r="1073" spans="1:23" hidden="1">
      <c r="J1073" s="1" t="str">
        <f t="shared" si="249"/>
        <v>0</v>
      </c>
      <c r="K1073" s="3">
        <f t="shared" si="250"/>
        <v>-100</v>
      </c>
      <c r="L1073" s="3">
        <f t="shared" si="251"/>
        <v>1</v>
      </c>
      <c r="M1073" s="3">
        <f t="shared" si="252"/>
        <v>0</v>
      </c>
      <c r="N1073" s="3" t="str">
        <f t="shared" si="253"/>
        <v>01</v>
      </c>
      <c r="O1073" s="14" t="str">
        <f t="shared" si="254"/>
        <v>00</v>
      </c>
      <c r="R1073" s="6">
        <v>519</v>
      </c>
      <c r="S1073" s="5">
        <f t="shared" si="247"/>
        <v>0</v>
      </c>
    </row>
    <row r="1074" spans="1:23">
      <c r="A1074" s="3">
        <v>924</v>
      </c>
      <c r="B1074" s="1">
        <f>IF(G1074="-",0,IF(G1073=G1074,1,0))</f>
        <v>0</v>
      </c>
      <c r="C1074" s="1">
        <f>+IF(G1074="-",0,IF(I1074=I1073+1,0,(IF(I1074=1,0,1))))</f>
        <v>1</v>
      </c>
      <c r="D1074" s="1">
        <f>+IF(AND(P1074="",Q1074=""),1,0)</f>
        <v>0</v>
      </c>
      <c r="E1074" s="1">
        <f>IF(U1074="",1,0)</f>
        <v>0</v>
      </c>
      <c r="F1074" s="1">
        <f>IF(V1074="",1,0)</f>
        <v>0</v>
      </c>
      <c r="G1074" s="1" t="str">
        <f>IF(H1074=0,"-",_xlfn.CONCAT(K1074,N1074,O1074,J1074))</f>
        <v>24061903</v>
      </c>
      <c r="H1074" s="2">
        <v>45462</v>
      </c>
      <c r="I1074" s="36">
        <v>3</v>
      </c>
      <c r="J1074" s="1" t="str">
        <f t="shared" si="249"/>
        <v>03</v>
      </c>
      <c r="K1074" s="3">
        <f t="shared" si="250"/>
        <v>24</v>
      </c>
      <c r="L1074" s="3">
        <f t="shared" si="251"/>
        <v>6</v>
      </c>
      <c r="M1074" s="3">
        <f t="shared" si="252"/>
        <v>19</v>
      </c>
      <c r="N1074" s="3" t="str">
        <f t="shared" si="253"/>
        <v>06</v>
      </c>
      <c r="O1074" s="14">
        <f t="shared" si="254"/>
        <v>19</v>
      </c>
      <c r="P1074" s="4">
        <v>11789.97</v>
      </c>
      <c r="R1074" s="6">
        <v>511</v>
      </c>
      <c r="S1074" s="5">
        <f t="shared" si="247"/>
        <v>23.07234833659491</v>
      </c>
      <c r="T1074" s="5" t="s">
        <v>132</v>
      </c>
      <c r="U1074" s="3" t="s">
        <v>29</v>
      </c>
      <c r="V1074" s="3" t="s">
        <v>4</v>
      </c>
    </row>
    <row r="1075" spans="1:23" hidden="1">
      <c r="J1075" s="1" t="str">
        <f t="shared" si="249"/>
        <v>0</v>
      </c>
      <c r="K1075" s="3">
        <f t="shared" si="250"/>
        <v>-100</v>
      </c>
      <c r="L1075" s="3">
        <f t="shared" si="251"/>
        <v>1</v>
      </c>
      <c r="M1075" s="3">
        <f t="shared" si="252"/>
        <v>0</v>
      </c>
      <c r="N1075" s="3" t="str">
        <f t="shared" si="253"/>
        <v>01</v>
      </c>
      <c r="O1075" s="14" t="str">
        <f t="shared" si="254"/>
        <v>00</v>
      </c>
      <c r="R1075" s="6">
        <v>519</v>
      </c>
      <c r="S1075" s="5">
        <f t="shared" si="247"/>
        <v>0</v>
      </c>
    </row>
    <row r="1076" spans="1:23" hidden="1">
      <c r="J1076" s="1" t="str">
        <f t="shared" si="249"/>
        <v>0</v>
      </c>
      <c r="K1076" s="3">
        <f t="shared" si="250"/>
        <v>-100</v>
      </c>
      <c r="L1076" s="3">
        <f t="shared" si="251"/>
        <v>1</v>
      </c>
      <c r="M1076" s="3">
        <f t="shared" si="252"/>
        <v>0</v>
      </c>
      <c r="N1076" s="3" t="str">
        <f t="shared" si="253"/>
        <v>01</v>
      </c>
      <c r="O1076" s="14" t="str">
        <f t="shared" si="254"/>
        <v>00</v>
      </c>
      <c r="R1076" s="6">
        <v>519</v>
      </c>
      <c r="S1076" s="5">
        <f t="shared" si="247"/>
        <v>0</v>
      </c>
    </row>
    <row r="1077" spans="1:23" hidden="1">
      <c r="J1077" s="1" t="str">
        <f t="shared" si="249"/>
        <v>0</v>
      </c>
      <c r="K1077" s="3">
        <f t="shared" si="250"/>
        <v>-100</v>
      </c>
      <c r="L1077" s="3">
        <f t="shared" si="251"/>
        <v>1</v>
      </c>
      <c r="M1077" s="3">
        <f t="shared" si="252"/>
        <v>0</v>
      </c>
      <c r="N1077" s="3" t="str">
        <f t="shared" si="253"/>
        <v>01</v>
      </c>
      <c r="O1077" s="14" t="str">
        <f t="shared" si="254"/>
        <v>00</v>
      </c>
      <c r="R1077" s="6">
        <v>519</v>
      </c>
      <c r="S1077" s="5">
        <f t="shared" si="247"/>
        <v>0</v>
      </c>
    </row>
    <row r="1078" spans="1:23" hidden="1">
      <c r="J1078" s="1" t="str">
        <f t="shared" si="249"/>
        <v>0</v>
      </c>
      <c r="K1078" s="3">
        <f t="shared" si="250"/>
        <v>-100</v>
      </c>
      <c r="L1078" s="3">
        <f t="shared" si="251"/>
        <v>1</v>
      </c>
      <c r="M1078" s="3">
        <f t="shared" si="252"/>
        <v>0</v>
      </c>
      <c r="N1078" s="3" t="str">
        <f t="shared" si="253"/>
        <v>01</v>
      </c>
      <c r="O1078" s="14" t="str">
        <f t="shared" si="254"/>
        <v>00</v>
      </c>
      <c r="R1078" s="6">
        <v>519</v>
      </c>
      <c r="S1078" s="5">
        <f t="shared" si="247"/>
        <v>0</v>
      </c>
    </row>
    <row r="1079" spans="1:23" hidden="1">
      <c r="J1079" s="1" t="str">
        <f t="shared" si="249"/>
        <v>0</v>
      </c>
      <c r="K1079" s="3">
        <f t="shared" si="250"/>
        <v>-100</v>
      </c>
      <c r="L1079" s="3">
        <f t="shared" si="251"/>
        <v>1</v>
      </c>
      <c r="M1079" s="3">
        <f t="shared" si="252"/>
        <v>0</v>
      </c>
      <c r="N1079" s="3" t="str">
        <f t="shared" si="253"/>
        <v>01</v>
      </c>
      <c r="O1079" s="14" t="str">
        <f t="shared" si="254"/>
        <v>00</v>
      </c>
      <c r="R1079" s="6">
        <v>519</v>
      </c>
      <c r="S1079" s="5">
        <f t="shared" si="247"/>
        <v>0</v>
      </c>
    </row>
    <row r="1080" spans="1:23" hidden="1">
      <c r="J1080" s="1" t="str">
        <f t="shared" si="249"/>
        <v>0</v>
      </c>
      <c r="K1080" s="3">
        <f t="shared" si="250"/>
        <v>-100</v>
      </c>
      <c r="L1080" s="3">
        <f t="shared" si="251"/>
        <v>1</v>
      </c>
      <c r="M1080" s="3">
        <f t="shared" si="252"/>
        <v>0</v>
      </c>
      <c r="N1080" s="3" t="str">
        <f t="shared" si="253"/>
        <v>01</v>
      </c>
      <c r="O1080" s="14" t="str">
        <f t="shared" si="254"/>
        <v>00</v>
      </c>
      <c r="P1080" s="11"/>
      <c r="R1080" s="6">
        <v>519</v>
      </c>
      <c r="S1080" s="5">
        <f t="shared" si="247"/>
        <v>0</v>
      </c>
    </row>
    <row r="1081" spans="1:23">
      <c r="A1081" s="3">
        <v>925</v>
      </c>
      <c r="B1081" s="1">
        <f>IF(G1081="-",0,IF(G1080=G1081,1,0))</f>
        <v>0</v>
      </c>
      <c r="C1081" s="1">
        <f>+IF(G1081="-",0,IF(I1081=I1080+1,0,(IF(I1081=1,0,1))))</f>
        <v>1</v>
      </c>
      <c r="D1081" s="1">
        <f>+IF(AND(P1081="",Q1081=""),1,0)</f>
        <v>0</v>
      </c>
      <c r="E1081" s="1">
        <f>IF(U1081="",1,0)</f>
        <v>0</v>
      </c>
      <c r="F1081" s="1">
        <f>IF(V1081="",1,0)</f>
        <v>0</v>
      </c>
      <c r="G1081" s="1" t="str">
        <f>IF(H1081=0,"-",_xlfn.CONCAT(K1081,N1081,O1081,J1081))</f>
        <v>24061904</v>
      </c>
      <c r="H1081" s="2">
        <v>45462</v>
      </c>
      <c r="I1081" s="36">
        <v>4</v>
      </c>
      <c r="J1081" s="1" t="str">
        <f t="shared" si="249"/>
        <v>04</v>
      </c>
      <c r="K1081" s="3">
        <f t="shared" si="250"/>
        <v>24</v>
      </c>
      <c r="L1081" s="3">
        <f t="shared" si="251"/>
        <v>6</v>
      </c>
      <c r="M1081" s="3">
        <f t="shared" si="252"/>
        <v>19</v>
      </c>
      <c r="N1081" s="3" t="str">
        <f t="shared" si="253"/>
        <v>06</v>
      </c>
      <c r="O1081" s="14">
        <f t="shared" si="254"/>
        <v>19</v>
      </c>
      <c r="P1081" s="4">
        <v>25000</v>
      </c>
      <c r="R1081" s="6">
        <v>511</v>
      </c>
      <c r="S1081" s="5">
        <f t="shared" si="247"/>
        <v>48.923679060665364</v>
      </c>
      <c r="T1081" s="5" t="s">
        <v>347</v>
      </c>
      <c r="U1081" s="3" t="s">
        <v>29</v>
      </c>
      <c r="V1081" s="3" t="s">
        <v>4</v>
      </c>
    </row>
    <row r="1082" spans="1:23" hidden="1">
      <c r="J1082" s="1" t="str">
        <f t="shared" si="249"/>
        <v>0</v>
      </c>
      <c r="K1082" s="3">
        <f t="shared" si="250"/>
        <v>-100</v>
      </c>
      <c r="L1082" s="3">
        <f t="shared" si="251"/>
        <v>1</v>
      </c>
      <c r="M1082" s="3">
        <f t="shared" si="252"/>
        <v>0</v>
      </c>
      <c r="N1082" s="3" t="str">
        <f t="shared" si="253"/>
        <v>01</v>
      </c>
      <c r="O1082" s="14" t="str">
        <f t="shared" si="254"/>
        <v>00</v>
      </c>
      <c r="R1082" s="6">
        <v>519</v>
      </c>
      <c r="S1082" s="5">
        <f t="shared" si="247"/>
        <v>0</v>
      </c>
    </row>
    <row r="1083" spans="1:23" hidden="1">
      <c r="J1083" s="1" t="str">
        <f t="shared" si="249"/>
        <v>0</v>
      </c>
      <c r="K1083" s="3">
        <f t="shared" si="250"/>
        <v>-100</v>
      </c>
      <c r="L1083" s="3">
        <f t="shared" si="251"/>
        <v>1</v>
      </c>
      <c r="M1083" s="3">
        <f t="shared" si="252"/>
        <v>0</v>
      </c>
      <c r="N1083" s="3" t="str">
        <f t="shared" si="253"/>
        <v>01</v>
      </c>
      <c r="O1083" s="14" t="str">
        <f t="shared" si="254"/>
        <v>00</v>
      </c>
    </row>
    <row r="1084" spans="1:23" hidden="1">
      <c r="J1084" s="1" t="str">
        <f t="shared" si="249"/>
        <v>0</v>
      </c>
      <c r="K1084" s="3">
        <f t="shared" si="250"/>
        <v>-100</v>
      </c>
      <c r="L1084" s="3">
        <f t="shared" si="251"/>
        <v>1</v>
      </c>
      <c r="M1084" s="3">
        <f t="shared" si="252"/>
        <v>0</v>
      </c>
      <c r="N1084" s="3" t="str">
        <f t="shared" si="253"/>
        <v>01</v>
      </c>
      <c r="O1084" s="14" t="str">
        <f t="shared" si="254"/>
        <v>00</v>
      </c>
      <c r="R1084" s="6">
        <v>519</v>
      </c>
      <c r="S1084" s="5">
        <f t="shared" ref="S1084:S1089" si="255">IFERROR(P1084/R1084,"")</f>
        <v>0</v>
      </c>
    </row>
    <row r="1085" spans="1:23" hidden="1">
      <c r="J1085" s="1" t="str">
        <f t="shared" si="249"/>
        <v>0</v>
      </c>
      <c r="K1085" s="3">
        <f t="shared" si="250"/>
        <v>-100</v>
      </c>
      <c r="L1085" s="3">
        <f t="shared" si="251"/>
        <v>1</v>
      </c>
      <c r="M1085" s="3">
        <f t="shared" si="252"/>
        <v>0</v>
      </c>
      <c r="N1085" s="3" t="str">
        <f t="shared" si="253"/>
        <v>01</v>
      </c>
      <c r="O1085" s="14" t="str">
        <f t="shared" si="254"/>
        <v>00</v>
      </c>
      <c r="R1085" s="6">
        <v>519</v>
      </c>
      <c r="S1085" s="5">
        <f t="shared" si="255"/>
        <v>0</v>
      </c>
    </row>
    <row r="1086" spans="1:23">
      <c r="A1086" s="3">
        <v>926</v>
      </c>
      <c r="B1086" s="1">
        <f>IF(G1086="-",0,IF(G1085=G1086,1,0))</f>
        <v>0</v>
      </c>
      <c r="C1086" s="1">
        <f>+IF(G1086="-",0,IF(I1086=I1085+1,0,(IF(I1086=1,0,1))))</f>
        <v>1</v>
      </c>
      <c r="D1086" s="1">
        <f t="shared" ref="D1086:D1093" si="256">+IF(AND(P1086="",Q1086=""),1,0)</f>
        <v>0</v>
      </c>
      <c r="E1086" s="1">
        <f t="shared" ref="E1086:F1093" si="257">IF(U1086="",1,0)</f>
        <v>0</v>
      </c>
      <c r="F1086" s="1">
        <f t="shared" si="257"/>
        <v>0</v>
      </c>
      <c r="G1086" s="1" t="str">
        <f t="shared" ref="G1086:G1093" si="258">IF(H1086=0,"-",_xlfn.CONCAT(K1086,N1086,O1086,J1086))</f>
        <v>24061905</v>
      </c>
      <c r="H1086" s="2">
        <v>45462</v>
      </c>
      <c r="I1086" s="36">
        <v>5</v>
      </c>
      <c r="J1086" s="1" t="str">
        <f t="shared" si="249"/>
        <v>05</v>
      </c>
      <c r="K1086" s="3">
        <f t="shared" si="250"/>
        <v>24</v>
      </c>
      <c r="L1086" s="3">
        <f t="shared" si="251"/>
        <v>6</v>
      </c>
      <c r="M1086" s="3">
        <f t="shared" si="252"/>
        <v>19</v>
      </c>
      <c r="N1086" s="3" t="str">
        <f t="shared" si="253"/>
        <v>06</v>
      </c>
      <c r="O1086" s="14">
        <f t="shared" si="254"/>
        <v>19</v>
      </c>
      <c r="P1086" s="4">
        <v>133298.16</v>
      </c>
      <c r="R1086" s="6">
        <v>511</v>
      </c>
      <c r="S1086" s="5">
        <f t="shared" si="255"/>
        <v>260.85745596868884</v>
      </c>
      <c r="T1086" s="5" t="s">
        <v>132</v>
      </c>
      <c r="U1086" s="3" t="s">
        <v>29</v>
      </c>
      <c r="V1086" s="3" t="s">
        <v>4</v>
      </c>
      <c r="W1086" s="3" t="s">
        <v>358</v>
      </c>
    </row>
    <row r="1087" spans="1:23">
      <c r="A1087" s="3">
        <v>928</v>
      </c>
      <c r="B1087" s="1">
        <f>IF(G1087="-",0,IF(G1086=G1087,1,0))</f>
        <v>0</v>
      </c>
      <c r="C1087" s="1">
        <f>+IF(G1087="-",0,IF(I1087=I1086+1,0,(IF(I1087=1,0,1))))</f>
        <v>0</v>
      </c>
      <c r="D1087" s="1">
        <f t="shared" si="256"/>
        <v>0</v>
      </c>
      <c r="E1087" s="1">
        <f t="shared" si="257"/>
        <v>0</v>
      </c>
      <c r="F1087" s="1">
        <f t="shared" si="257"/>
        <v>0</v>
      </c>
      <c r="G1087" s="1" t="str">
        <f t="shared" si="258"/>
        <v>24062001</v>
      </c>
      <c r="H1087" s="2">
        <v>45463</v>
      </c>
      <c r="I1087" s="36">
        <v>1</v>
      </c>
      <c r="J1087" s="1" t="str">
        <f t="shared" si="249"/>
        <v>01</v>
      </c>
      <c r="K1087" s="3">
        <f t="shared" si="250"/>
        <v>24</v>
      </c>
      <c r="L1087" s="3">
        <f t="shared" si="251"/>
        <v>6</v>
      </c>
      <c r="M1087" s="3">
        <f t="shared" si="252"/>
        <v>20</v>
      </c>
      <c r="N1087" s="3" t="str">
        <f t="shared" si="253"/>
        <v>06</v>
      </c>
      <c r="O1087" s="14">
        <f t="shared" si="254"/>
        <v>20</v>
      </c>
      <c r="P1087" s="4">
        <v>42729.5</v>
      </c>
      <c r="R1087" s="6">
        <v>515</v>
      </c>
      <c r="S1087" s="5">
        <f t="shared" si="255"/>
        <v>82.969902912621365</v>
      </c>
      <c r="T1087" s="5" t="s">
        <v>132</v>
      </c>
      <c r="U1087" s="3" t="s">
        <v>29</v>
      </c>
      <c r="V1087" s="3" t="s">
        <v>4</v>
      </c>
      <c r="W1087" s="3" t="s">
        <v>357</v>
      </c>
    </row>
    <row r="1088" spans="1:23">
      <c r="A1088" s="3">
        <v>935</v>
      </c>
      <c r="B1088" s="1">
        <f>IF(G1088="-",0,IF(G1087=G1088,1,0))</f>
        <v>0</v>
      </c>
      <c r="C1088" s="1">
        <f>+IF(G1088="-",0,IF(I1088=I1087+1,0,(IF(I1088=1,0,1))))</f>
        <v>0</v>
      </c>
      <c r="D1088" s="1">
        <f t="shared" si="256"/>
        <v>0</v>
      </c>
      <c r="E1088" s="1">
        <f t="shared" si="257"/>
        <v>0</v>
      </c>
      <c r="F1088" s="1">
        <f t="shared" si="257"/>
        <v>0</v>
      </c>
      <c r="G1088" s="1" t="str">
        <f t="shared" si="258"/>
        <v>24062101</v>
      </c>
      <c r="H1088" s="2">
        <v>45464</v>
      </c>
      <c r="I1088" s="36">
        <v>1</v>
      </c>
      <c r="J1088" s="1" t="str">
        <f t="shared" si="249"/>
        <v>01</v>
      </c>
      <c r="K1088" s="3">
        <f t="shared" si="250"/>
        <v>24</v>
      </c>
      <c r="L1088" s="3">
        <f t="shared" si="251"/>
        <v>6</v>
      </c>
      <c r="M1088" s="3">
        <f t="shared" si="252"/>
        <v>21</v>
      </c>
      <c r="N1088" s="3" t="str">
        <f t="shared" si="253"/>
        <v>06</v>
      </c>
      <c r="O1088" s="14">
        <f t="shared" si="254"/>
        <v>21</v>
      </c>
      <c r="P1088" s="4">
        <v>3850221</v>
      </c>
      <c r="R1088" s="6">
        <v>519</v>
      </c>
      <c r="S1088" s="5">
        <f t="shared" si="255"/>
        <v>7418.5375722543349</v>
      </c>
      <c r="T1088" s="5" t="s">
        <v>348</v>
      </c>
      <c r="U1088" s="3" t="s">
        <v>1</v>
      </c>
      <c r="V1088" s="3" t="s">
        <v>4</v>
      </c>
    </row>
    <row r="1089" spans="1:23">
      <c r="A1089" s="3">
        <v>939</v>
      </c>
      <c r="B1089" s="1">
        <f>IF(G1089="-",0,IF(G1087=G1089,1,0))</f>
        <v>0</v>
      </c>
      <c r="C1089" s="1">
        <f>+IF(G1089="-",0,IF(I1089=I1087+1,0,(IF(I1089=1,0,1))))</f>
        <v>1</v>
      </c>
      <c r="D1089" s="1">
        <f t="shared" si="256"/>
        <v>0</v>
      </c>
      <c r="E1089" s="1">
        <f t="shared" si="257"/>
        <v>0</v>
      </c>
      <c r="F1089" s="1">
        <f t="shared" si="257"/>
        <v>0</v>
      </c>
      <c r="G1089" s="1" t="str">
        <f t="shared" si="258"/>
        <v>24062104</v>
      </c>
      <c r="H1089" s="2">
        <v>45464</v>
      </c>
      <c r="I1089" s="36">
        <v>4</v>
      </c>
      <c r="J1089" s="1" t="str">
        <f t="shared" si="249"/>
        <v>04</v>
      </c>
      <c r="K1089" s="3">
        <f t="shared" si="250"/>
        <v>24</v>
      </c>
      <c r="L1089" s="3">
        <f t="shared" si="251"/>
        <v>6</v>
      </c>
      <c r="M1089" s="3">
        <f t="shared" si="252"/>
        <v>21</v>
      </c>
      <c r="N1089" s="3" t="str">
        <f t="shared" si="253"/>
        <v>06</v>
      </c>
      <c r="O1089" s="14">
        <f t="shared" si="254"/>
        <v>21</v>
      </c>
      <c r="P1089" s="4">
        <v>45493.43</v>
      </c>
      <c r="R1089" s="6">
        <v>519</v>
      </c>
      <c r="S1089" s="5">
        <f t="shared" si="255"/>
        <v>87.655934489402696</v>
      </c>
      <c r="T1089" s="5" t="s">
        <v>132</v>
      </c>
      <c r="U1089" s="3" t="s">
        <v>29</v>
      </c>
      <c r="V1089" s="3" t="s">
        <v>4</v>
      </c>
    </row>
    <row r="1090" spans="1:23">
      <c r="A1090" s="3">
        <v>941</v>
      </c>
      <c r="B1090" s="1">
        <f>IF(G1090="-",0,IF(G1089=G1090,1,0))</f>
        <v>0</v>
      </c>
      <c r="C1090" s="1">
        <f>+IF(G1090="-",0,IF(I1090=I1089+1,0,(IF(I1090=1,0,1))))</f>
        <v>1</v>
      </c>
      <c r="D1090" s="1">
        <f t="shared" si="256"/>
        <v>0</v>
      </c>
      <c r="E1090" s="1">
        <f t="shared" si="257"/>
        <v>0</v>
      </c>
      <c r="F1090" s="1">
        <f t="shared" si="257"/>
        <v>0</v>
      </c>
      <c r="G1090" s="1" t="str">
        <f t="shared" si="258"/>
        <v>24062106</v>
      </c>
      <c r="H1090" s="2">
        <v>45464</v>
      </c>
      <c r="I1090" s="36">
        <v>6</v>
      </c>
      <c r="J1090" s="1" t="str">
        <f t="shared" si="249"/>
        <v>06</v>
      </c>
      <c r="K1090" s="3">
        <f t="shared" si="250"/>
        <v>24</v>
      </c>
      <c r="L1090" s="3">
        <f t="shared" si="251"/>
        <v>6</v>
      </c>
      <c r="M1090" s="3">
        <f t="shared" si="252"/>
        <v>21</v>
      </c>
      <c r="N1090" s="3" t="str">
        <f t="shared" si="253"/>
        <v>06</v>
      </c>
      <c r="O1090" s="14">
        <f t="shared" si="254"/>
        <v>21</v>
      </c>
      <c r="P1090" s="4">
        <v>400000</v>
      </c>
      <c r="R1090" s="6">
        <v>519</v>
      </c>
      <c r="S1090" s="5">
        <v>770.71</v>
      </c>
      <c r="T1090" s="5" t="s">
        <v>351</v>
      </c>
      <c r="U1090" s="3" t="s">
        <v>3</v>
      </c>
      <c r="V1090" s="3" t="s">
        <v>4</v>
      </c>
    </row>
    <row r="1091" spans="1:23">
      <c r="A1091" s="3">
        <v>943</v>
      </c>
      <c r="B1091" s="1">
        <f>IF(G1091="-",0,IF(G1089=G1091,1,0))</f>
        <v>0</v>
      </c>
      <c r="C1091" s="1">
        <f>+IF(G1091="-",0,IF(I1091=I1089+1,0,(IF(I1091=1,0,1))))</f>
        <v>1</v>
      </c>
      <c r="D1091" s="1">
        <f t="shared" si="256"/>
        <v>0</v>
      </c>
      <c r="E1091" s="1">
        <f t="shared" si="257"/>
        <v>0</v>
      </c>
      <c r="F1091" s="1">
        <f t="shared" si="257"/>
        <v>0</v>
      </c>
      <c r="G1091" s="1" t="str">
        <f t="shared" si="258"/>
        <v>24062107</v>
      </c>
      <c r="H1091" s="2">
        <v>45464</v>
      </c>
      <c r="I1091" s="36">
        <v>7</v>
      </c>
      <c r="J1091" s="1" t="str">
        <f t="shared" si="249"/>
        <v>07</v>
      </c>
      <c r="K1091" s="3">
        <f t="shared" si="250"/>
        <v>24</v>
      </c>
      <c r="L1091" s="3">
        <f t="shared" si="251"/>
        <v>6</v>
      </c>
      <c r="M1091" s="3">
        <f t="shared" si="252"/>
        <v>21</v>
      </c>
      <c r="N1091" s="3" t="str">
        <f t="shared" si="253"/>
        <v>06</v>
      </c>
      <c r="O1091" s="14">
        <f t="shared" si="254"/>
        <v>21</v>
      </c>
      <c r="P1091" s="4">
        <v>47400</v>
      </c>
      <c r="R1091" s="6">
        <v>519</v>
      </c>
      <c r="T1091" s="5" t="s">
        <v>355</v>
      </c>
      <c r="U1091" s="3" t="s">
        <v>29</v>
      </c>
      <c r="V1091" s="3" t="s">
        <v>4</v>
      </c>
    </row>
    <row r="1092" spans="1:23">
      <c r="A1092" s="3">
        <v>944</v>
      </c>
      <c r="B1092" s="1">
        <f>IF(G1092="-",0,IF(G1091=G1092,1,0))</f>
        <v>0</v>
      </c>
      <c r="C1092" s="1">
        <f>+IF(G1092="-",0,IF(I1092=I1091+1,0,(IF(I1092=1,0,1))))</f>
        <v>0</v>
      </c>
      <c r="D1092" s="1">
        <f t="shared" si="256"/>
        <v>0</v>
      </c>
      <c r="E1092" s="1">
        <f t="shared" si="257"/>
        <v>0</v>
      </c>
      <c r="F1092" s="1">
        <f t="shared" si="257"/>
        <v>0</v>
      </c>
      <c r="G1092" s="1" t="str">
        <f t="shared" si="258"/>
        <v>24062108</v>
      </c>
      <c r="H1092" s="2">
        <v>45464</v>
      </c>
      <c r="I1092" s="36">
        <v>8</v>
      </c>
      <c r="J1092" s="1" t="str">
        <f t="shared" si="249"/>
        <v>08</v>
      </c>
      <c r="K1092" s="3">
        <f t="shared" si="250"/>
        <v>24</v>
      </c>
      <c r="L1092" s="3">
        <f t="shared" si="251"/>
        <v>6</v>
      </c>
      <c r="M1092" s="3">
        <f t="shared" si="252"/>
        <v>21</v>
      </c>
      <c r="N1092" s="3" t="str">
        <f t="shared" si="253"/>
        <v>06</v>
      </c>
      <c r="O1092" s="14">
        <f t="shared" si="254"/>
        <v>21</v>
      </c>
      <c r="P1092" s="4">
        <v>43200</v>
      </c>
      <c r="R1092" s="6">
        <v>519</v>
      </c>
      <c r="T1092" s="5" t="s">
        <v>356</v>
      </c>
      <c r="U1092" s="3" t="s">
        <v>29</v>
      </c>
      <c r="V1092" s="3" t="s">
        <v>4</v>
      </c>
    </row>
    <row r="1093" spans="1:23">
      <c r="A1093" s="3">
        <v>946</v>
      </c>
      <c r="B1093" s="1">
        <f>IF(G1093="-",0,IF(G1092=G1093,1,0))</f>
        <v>0</v>
      </c>
      <c r="C1093" s="1">
        <f>+IF(G1093="-",0,IF(I1093=I1092+1,0,(IF(I1093=1,0,1))))</f>
        <v>1</v>
      </c>
      <c r="D1093" s="1">
        <f t="shared" si="256"/>
        <v>0</v>
      </c>
      <c r="E1093" s="1">
        <f t="shared" si="257"/>
        <v>0</v>
      </c>
      <c r="F1093" s="1">
        <f t="shared" si="257"/>
        <v>0</v>
      </c>
      <c r="G1093" s="1" t="str">
        <f t="shared" si="258"/>
        <v>24062110</v>
      </c>
      <c r="H1093" s="2">
        <v>45464</v>
      </c>
      <c r="I1093" s="36">
        <v>10</v>
      </c>
      <c r="J1093" s="1">
        <f t="shared" si="249"/>
        <v>10</v>
      </c>
      <c r="K1093" s="3">
        <f t="shared" si="250"/>
        <v>24</v>
      </c>
      <c r="L1093" s="3">
        <f t="shared" si="251"/>
        <v>6</v>
      </c>
      <c r="M1093" s="3">
        <f t="shared" si="252"/>
        <v>21</v>
      </c>
      <c r="N1093" s="3" t="str">
        <f t="shared" si="253"/>
        <v>06</v>
      </c>
      <c r="O1093" s="14">
        <f t="shared" si="254"/>
        <v>21</v>
      </c>
      <c r="P1093" s="4">
        <v>16624</v>
      </c>
      <c r="R1093" s="6">
        <v>519</v>
      </c>
      <c r="T1093" s="5" t="s">
        <v>449</v>
      </c>
      <c r="U1093" s="3" t="s">
        <v>29</v>
      </c>
      <c r="V1093" s="3" t="s">
        <v>4</v>
      </c>
      <c r="W1093" s="3" t="s">
        <v>397</v>
      </c>
    </row>
    <row r="1094" spans="1:23" hidden="1">
      <c r="J1094" s="1" t="str">
        <f t="shared" si="249"/>
        <v>0</v>
      </c>
      <c r="K1094" s="3">
        <f t="shared" si="250"/>
        <v>-100</v>
      </c>
      <c r="L1094" s="3">
        <f t="shared" si="251"/>
        <v>1</v>
      </c>
      <c r="M1094" s="3">
        <f t="shared" si="252"/>
        <v>0</v>
      </c>
      <c r="N1094" s="3" t="str">
        <f t="shared" si="253"/>
        <v>01</v>
      </c>
      <c r="O1094" s="14" t="str">
        <f t="shared" si="254"/>
        <v>00</v>
      </c>
      <c r="R1094" s="6">
        <v>519</v>
      </c>
      <c r="S1094" s="5">
        <f>IFERROR(P1094/R1094,"")</f>
        <v>0</v>
      </c>
    </row>
    <row r="1095" spans="1:23">
      <c r="A1095" s="3">
        <v>948</v>
      </c>
      <c r="B1095" s="1">
        <f>IF(G1095="-",0,IF(G1094=G1095,1,0))</f>
        <v>0</v>
      </c>
      <c r="C1095" s="1">
        <f>+IF(G1095="-",0,IF(I1095=I1094+1,0,(IF(I1095=1,0,1))))</f>
        <v>1</v>
      </c>
      <c r="D1095" s="1">
        <f>+IF(AND(P1095="",Q1095=""),1,0)</f>
        <v>0</v>
      </c>
      <c r="E1095" s="1">
        <f>IF(U1095="",1,0)</f>
        <v>0</v>
      </c>
      <c r="F1095" s="1">
        <f>IF(V1095="",1,0)</f>
        <v>0</v>
      </c>
      <c r="G1095" s="1" t="str">
        <f>IF(H1095=0,"-",_xlfn.CONCAT(K1095,N1095,O1095,J1095))</f>
        <v>24062202</v>
      </c>
      <c r="H1095" s="59">
        <v>45465</v>
      </c>
      <c r="I1095" s="36">
        <v>2</v>
      </c>
      <c r="J1095" s="1" t="str">
        <f t="shared" si="249"/>
        <v>02</v>
      </c>
      <c r="K1095" s="3">
        <f t="shared" si="250"/>
        <v>24</v>
      </c>
      <c r="L1095" s="3">
        <f t="shared" si="251"/>
        <v>6</v>
      </c>
      <c r="M1095" s="3">
        <f t="shared" si="252"/>
        <v>22</v>
      </c>
      <c r="N1095" s="3" t="str">
        <f t="shared" si="253"/>
        <v>06</v>
      </c>
      <c r="O1095" s="14">
        <f t="shared" si="254"/>
        <v>22</v>
      </c>
      <c r="P1095" s="60">
        <v>150000</v>
      </c>
      <c r="Q1095" s="61"/>
      <c r="R1095" s="62">
        <v>519</v>
      </c>
      <c r="S1095" s="61"/>
      <c r="T1095" s="61" t="s">
        <v>331</v>
      </c>
      <c r="U1095" s="63" t="s">
        <v>1</v>
      </c>
      <c r="V1095" s="63" t="s">
        <v>4</v>
      </c>
    </row>
    <row r="1096" spans="1:23" s="56" customFormat="1">
      <c r="A1096" s="3">
        <v>949</v>
      </c>
      <c r="B1096" s="1">
        <f>IF(G1096="-",0,IF(G1095=G1096,1,0))</f>
        <v>0</v>
      </c>
      <c r="C1096" s="1">
        <f>+IF(G1096="-",0,IF(I1096=I1095+1,0,(IF(I1096=1,0,1))))</f>
        <v>0</v>
      </c>
      <c r="D1096" s="1">
        <f>+IF(AND(P1096="",Q1096=""),1,0)</f>
        <v>0</v>
      </c>
      <c r="E1096" s="1">
        <f>IF(U1096="",1,0)</f>
        <v>0</v>
      </c>
      <c r="F1096" s="1">
        <f>IF(V1096="",1,0)</f>
        <v>0</v>
      </c>
      <c r="G1096" s="1" t="str">
        <f>IF(H1096=0,"-",_xlfn.CONCAT(K1096,N1096,O1096,J1096))</f>
        <v>24062203</v>
      </c>
      <c r="H1096" s="59">
        <v>45465</v>
      </c>
      <c r="I1096" s="36">
        <v>3</v>
      </c>
      <c r="J1096" s="1" t="str">
        <f t="shared" si="249"/>
        <v>03</v>
      </c>
      <c r="K1096" s="3">
        <f t="shared" si="250"/>
        <v>24</v>
      </c>
      <c r="L1096" s="3">
        <f t="shared" si="251"/>
        <v>6</v>
      </c>
      <c r="M1096" s="3">
        <f t="shared" si="252"/>
        <v>22</v>
      </c>
      <c r="N1096" s="3" t="str">
        <f t="shared" si="253"/>
        <v>06</v>
      </c>
      <c r="O1096" s="14">
        <f t="shared" si="254"/>
        <v>22</v>
      </c>
      <c r="P1096" s="60">
        <v>120000</v>
      </c>
      <c r="Q1096" s="61"/>
      <c r="R1096" s="62">
        <v>519</v>
      </c>
      <c r="S1096" s="61"/>
      <c r="T1096" s="61" t="s">
        <v>332</v>
      </c>
      <c r="U1096" s="63" t="s">
        <v>1</v>
      </c>
      <c r="V1096" s="63" t="s">
        <v>4</v>
      </c>
      <c r="W1096" s="3"/>
    </row>
    <row r="1097" spans="1:23" hidden="1">
      <c r="J1097" s="1" t="str">
        <f t="shared" si="249"/>
        <v>0</v>
      </c>
      <c r="K1097" s="3">
        <f t="shared" si="250"/>
        <v>-100</v>
      </c>
      <c r="L1097" s="3">
        <f t="shared" si="251"/>
        <v>1</v>
      </c>
      <c r="M1097" s="3">
        <f t="shared" si="252"/>
        <v>0</v>
      </c>
      <c r="N1097" s="3" t="str">
        <f t="shared" si="253"/>
        <v>01</v>
      </c>
      <c r="O1097" s="14" t="str">
        <f t="shared" si="254"/>
        <v>00</v>
      </c>
      <c r="R1097" s="6">
        <v>519</v>
      </c>
      <c r="S1097" s="5">
        <f>IFERROR(P1097/R1097,"")</f>
        <v>0</v>
      </c>
    </row>
    <row r="1098" spans="1:23">
      <c r="A1098" s="3">
        <v>950</v>
      </c>
      <c r="B1098" s="1">
        <f>IF(G1098="-",0,IF(G1097=G1098,1,0))</f>
        <v>0</v>
      </c>
      <c r="C1098" s="1">
        <f>+IF(G1098="-",0,IF(I1098=I1097+1,0,(IF(I1098=1,0,1))))</f>
        <v>1</v>
      </c>
      <c r="D1098" s="1">
        <f>+IF(AND(P1098="",Q1098=""),1,0)</f>
        <v>0</v>
      </c>
      <c r="E1098" s="1">
        <f>IF(U1098="",1,0)</f>
        <v>0</v>
      </c>
      <c r="F1098" s="1">
        <f>IF(V1098="",1,0)</f>
        <v>0</v>
      </c>
      <c r="G1098" s="1" t="str">
        <f>IF(H1098=0,"-",_xlfn.CONCAT(K1098,N1098,O1098,J1098))</f>
        <v>24062204</v>
      </c>
      <c r="H1098" s="59">
        <v>45465</v>
      </c>
      <c r="I1098" s="36">
        <v>4</v>
      </c>
      <c r="J1098" s="1" t="str">
        <f t="shared" si="249"/>
        <v>04</v>
      </c>
      <c r="K1098" s="3">
        <f t="shared" si="250"/>
        <v>24</v>
      </c>
      <c r="L1098" s="3">
        <f t="shared" si="251"/>
        <v>6</v>
      </c>
      <c r="M1098" s="3">
        <f t="shared" si="252"/>
        <v>22</v>
      </c>
      <c r="N1098" s="3" t="str">
        <f t="shared" si="253"/>
        <v>06</v>
      </c>
      <c r="O1098" s="14">
        <f t="shared" si="254"/>
        <v>22</v>
      </c>
      <c r="P1098" s="60">
        <v>102000</v>
      </c>
      <c r="Q1098" s="61"/>
      <c r="R1098" s="62">
        <v>519</v>
      </c>
      <c r="S1098" s="61"/>
      <c r="T1098" s="61" t="s">
        <v>334</v>
      </c>
      <c r="U1098" s="63" t="s">
        <v>1</v>
      </c>
      <c r="V1098" s="63" t="s">
        <v>4</v>
      </c>
    </row>
    <row r="1099" spans="1:23">
      <c r="A1099" s="3">
        <v>951</v>
      </c>
      <c r="B1099" s="1">
        <f>IF(G1099="-",0,IF(G1098=G1099,1,0))</f>
        <v>0</v>
      </c>
      <c r="C1099" s="1">
        <f>+IF(G1099="-",0,IF(I1099=I1098+1,0,(IF(I1099=1,0,1))))</f>
        <v>0</v>
      </c>
      <c r="D1099" s="1">
        <f>+IF(AND(P1099="",Q1099=""),1,0)</f>
        <v>0</v>
      </c>
      <c r="E1099" s="1">
        <f>IF(U1099="",1,0)</f>
        <v>0</v>
      </c>
      <c r="F1099" s="1">
        <f>IF(V1099="",1,0)</f>
        <v>0</v>
      </c>
      <c r="G1099" s="1" t="str">
        <f>IF(H1099=0,"-",_xlfn.CONCAT(K1099,N1099,O1099,J1099))</f>
        <v>24062205</v>
      </c>
      <c r="H1099" s="59">
        <v>45465</v>
      </c>
      <c r="I1099" s="36">
        <v>5</v>
      </c>
      <c r="J1099" s="1" t="str">
        <f t="shared" si="249"/>
        <v>05</v>
      </c>
      <c r="K1099" s="3">
        <f t="shared" si="250"/>
        <v>24</v>
      </c>
      <c r="L1099" s="3">
        <f t="shared" si="251"/>
        <v>6</v>
      </c>
      <c r="M1099" s="3">
        <f t="shared" si="252"/>
        <v>22</v>
      </c>
      <c r="N1099" s="3" t="str">
        <f t="shared" si="253"/>
        <v>06</v>
      </c>
      <c r="O1099" s="14">
        <f t="shared" si="254"/>
        <v>22</v>
      </c>
      <c r="P1099" s="60">
        <v>85000</v>
      </c>
      <c r="Q1099" s="61"/>
      <c r="R1099" s="62">
        <v>519</v>
      </c>
      <c r="S1099" s="61"/>
      <c r="T1099" s="61" t="s">
        <v>335</v>
      </c>
      <c r="U1099" s="63" t="s">
        <v>1</v>
      </c>
      <c r="V1099" s="63" t="s">
        <v>4</v>
      </c>
    </row>
    <row r="1100" spans="1:23" hidden="1"/>
    <row r="1101" spans="1:23" hidden="1">
      <c r="J1101" s="1" t="str">
        <f t="shared" ref="J1101:J1164" si="259">+IF(I1101&lt;10,_xlfn.CONCAT("0",I1101),I1101)</f>
        <v>0</v>
      </c>
      <c r="K1101" s="3">
        <f t="shared" ref="K1101:K1164" si="260">+YEAR(H1101)-2000</f>
        <v>-100</v>
      </c>
      <c r="L1101" s="3">
        <f t="shared" ref="L1101:L1164" si="261">+MONTH(H1101)</f>
        <v>1</v>
      </c>
      <c r="M1101" s="3">
        <f t="shared" ref="M1101:M1164" si="262">+DAY(H1101)</f>
        <v>0</v>
      </c>
      <c r="N1101" s="3" t="str">
        <f t="shared" ref="N1101:N1164" si="263">+IF(L1101&lt;10,_xlfn.CONCAT("0",L1101),L1101)</f>
        <v>01</v>
      </c>
      <c r="O1101" s="14" t="str">
        <f t="shared" ref="O1101:O1164" si="264">+IF(M1101&lt;10,_xlfn.CONCAT("0",M1101),M1101)</f>
        <v>00</v>
      </c>
      <c r="P1101" s="71"/>
      <c r="Q1101" s="72"/>
      <c r="R1101" s="73">
        <v>523</v>
      </c>
      <c r="S1101" s="5">
        <f t="shared" ref="S1101:S1108" si="265">IFERROR(P1101/R1101,"")</f>
        <v>0</v>
      </c>
      <c r="T1101" s="72"/>
    </row>
    <row r="1102" spans="1:23" hidden="1">
      <c r="J1102" s="1" t="str">
        <f t="shared" si="259"/>
        <v>0</v>
      </c>
      <c r="K1102" s="3">
        <f t="shared" si="260"/>
        <v>-100</v>
      </c>
      <c r="L1102" s="3">
        <f t="shared" si="261"/>
        <v>1</v>
      </c>
      <c r="M1102" s="3">
        <f t="shared" si="262"/>
        <v>0</v>
      </c>
      <c r="N1102" s="3" t="str">
        <f t="shared" si="263"/>
        <v>01</v>
      </c>
      <c r="O1102" s="14" t="str">
        <f t="shared" si="264"/>
        <v>00</v>
      </c>
      <c r="P1102" s="71"/>
      <c r="Q1102" s="72"/>
      <c r="R1102" s="73">
        <v>523</v>
      </c>
      <c r="S1102" s="5">
        <f t="shared" si="265"/>
        <v>0</v>
      </c>
      <c r="T1102" s="72"/>
    </row>
    <row r="1103" spans="1:23" s="10" customFormat="1" hidden="1">
      <c r="A1103" s="3"/>
      <c r="B1103" s="1"/>
      <c r="C1103" s="1"/>
      <c r="D1103" s="1"/>
      <c r="E1103" s="1"/>
      <c r="F1103" s="1"/>
      <c r="G1103" s="1"/>
      <c r="H1103" s="2"/>
      <c r="I1103" s="36"/>
      <c r="J1103" s="1" t="str">
        <f t="shared" si="259"/>
        <v>0</v>
      </c>
      <c r="K1103" s="3">
        <f t="shared" si="260"/>
        <v>-100</v>
      </c>
      <c r="L1103" s="3">
        <f t="shared" si="261"/>
        <v>1</v>
      </c>
      <c r="M1103" s="3">
        <f t="shared" si="262"/>
        <v>0</v>
      </c>
      <c r="N1103" s="3" t="str">
        <f t="shared" si="263"/>
        <v>01</v>
      </c>
      <c r="O1103" s="14" t="str">
        <f t="shared" si="264"/>
        <v>00</v>
      </c>
      <c r="P1103" s="71"/>
      <c r="Q1103" s="72"/>
      <c r="R1103" s="73">
        <v>523</v>
      </c>
      <c r="S1103" s="5">
        <f t="shared" si="265"/>
        <v>0</v>
      </c>
      <c r="T1103" s="72"/>
      <c r="U1103" s="3"/>
      <c r="V1103" s="3"/>
      <c r="W1103" s="3"/>
    </row>
    <row r="1104" spans="1:23" hidden="1">
      <c r="J1104" s="1" t="str">
        <f t="shared" si="259"/>
        <v>0</v>
      </c>
      <c r="K1104" s="3">
        <f t="shared" si="260"/>
        <v>-100</v>
      </c>
      <c r="L1104" s="3">
        <f t="shared" si="261"/>
        <v>1</v>
      </c>
      <c r="M1104" s="3">
        <f t="shared" si="262"/>
        <v>0</v>
      </c>
      <c r="N1104" s="3" t="str">
        <f t="shared" si="263"/>
        <v>01</v>
      </c>
      <c r="O1104" s="14" t="str">
        <f t="shared" si="264"/>
        <v>00</v>
      </c>
      <c r="P1104" s="71"/>
      <c r="Q1104" s="72"/>
      <c r="R1104" s="73">
        <v>523</v>
      </c>
      <c r="S1104" s="5">
        <f t="shared" si="265"/>
        <v>0</v>
      </c>
      <c r="T1104" s="72"/>
    </row>
    <row r="1105" spans="1:23" hidden="1">
      <c r="J1105" s="1" t="str">
        <f t="shared" si="259"/>
        <v>0</v>
      </c>
      <c r="K1105" s="3">
        <f t="shared" si="260"/>
        <v>-100</v>
      </c>
      <c r="L1105" s="3">
        <f t="shared" si="261"/>
        <v>1</v>
      </c>
      <c r="M1105" s="3">
        <f t="shared" si="262"/>
        <v>0</v>
      </c>
      <c r="N1105" s="3" t="str">
        <f t="shared" si="263"/>
        <v>01</v>
      </c>
      <c r="O1105" s="14" t="str">
        <f t="shared" si="264"/>
        <v>00</v>
      </c>
      <c r="P1105" s="74"/>
      <c r="Q1105" s="75"/>
      <c r="R1105" s="76">
        <v>523</v>
      </c>
      <c r="S1105" s="5">
        <f t="shared" si="265"/>
        <v>0</v>
      </c>
      <c r="T1105" s="75"/>
    </row>
    <row r="1106" spans="1:23" hidden="1">
      <c r="J1106" s="1" t="str">
        <f t="shared" si="259"/>
        <v>0</v>
      </c>
      <c r="K1106" s="3">
        <f t="shared" si="260"/>
        <v>-100</v>
      </c>
      <c r="L1106" s="3">
        <f t="shared" si="261"/>
        <v>1</v>
      </c>
      <c r="M1106" s="3">
        <f t="shared" si="262"/>
        <v>0</v>
      </c>
      <c r="N1106" s="3" t="str">
        <f t="shared" si="263"/>
        <v>01</v>
      </c>
      <c r="O1106" s="14" t="str">
        <f t="shared" si="264"/>
        <v>00</v>
      </c>
      <c r="P1106" s="74"/>
      <c r="Q1106" s="75"/>
      <c r="R1106" s="76">
        <v>523</v>
      </c>
      <c r="S1106" s="5">
        <f t="shared" si="265"/>
        <v>0</v>
      </c>
      <c r="T1106" s="75"/>
    </row>
    <row r="1107" spans="1:23" hidden="1">
      <c r="J1107" s="1" t="str">
        <f t="shared" si="259"/>
        <v>0</v>
      </c>
      <c r="K1107" s="3">
        <f t="shared" si="260"/>
        <v>-100</v>
      </c>
      <c r="L1107" s="3">
        <f t="shared" si="261"/>
        <v>1</v>
      </c>
      <c r="M1107" s="3">
        <f t="shared" si="262"/>
        <v>0</v>
      </c>
      <c r="N1107" s="3" t="str">
        <f t="shared" si="263"/>
        <v>01</v>
      </c>
      <c r="O1107" s="14" t="str">
        <f t="shared" si="264"/>
        <v>00</v>
      </c>
      <c r="P1107" s="60"/>
      <c r="Q1107" s="61"/>
      <c r="R1107" s="62">
        <v>523</v>
      </c>
      <c r="S1107" s="5">
        <f t="shared" si="265"/>
        <v>0</v>
      </c>
      <c r="T1107" s="61"/>
    </row>
    <row r="1108" spans="1:23" hidden="1">
      <c r="J1108" s="1" t="str">
        <f t="shared" si="259"/>
        <v>0</v>
      </c>
      <c r="K1108" s="3">
        <f t="shared" si="260"/>
        <v>-100</v>
      </c>
      <c r="L1108" s="3">
        <f t="shared" si="261"/>
        <v>1</v>
      </c>
      <c r="M1108" s="3">
        <f t="shared" si="262"/>
        <v>0</v>
      </c>
      <c r="N1108" s="3" t="str">
        <f t="shared" si="263"/>
        <v>01</v>
      </c>
      <c r="O1108" s="14" t="str">
        <f t="shared" si="264"/>
        <v>00</v>
      </c>
      <c r="P1108" s="60"/>
      <c r="Q1108" s="61"/>
      <c r="R1108" s="62">
        <v>523</v>
      </c>
      <c r="S1108" s="5">
        <f t="shared" si="265"/>
        <v>0</v>
      </c>
      <c r="T1108" s="61"/>
    </row>
    <row r="1109" spans="1:23">
      <c r="A1109" s="3">
        <v>952</v>
      </c>
      <c r="B1109" s="1">
        <f>IF(G1109="-",0,IF(G1108=G1109,1,0))</f>
        <v>0</v>
      </c>
      <c r="C1109" s="1">
        <f>+IF(G1109="-",0,IF(I1109=I1108+1,0,(IF(I1109=1,0,1))))</f>
        <v>1</v>
      </c>
      <c r="D1109" s="1">
        <f>+IF(AND(P1109="",Q1109=""),1,0)</f>
        <v>0</v>
      </c>
      <c r="E1109" s="1">
        <f>IF(U1109="",1,0)</f>
        <v>0</v>
      </c>
      <c r="F1109" s="1">
        <f>IF(V1109="",1,0)</f>
        <v>0</v>
      </c>
      <c r="G1109" s="1" t="str">
        <f>IF(H1109=0,"-",_xlfn.CONCAT(K1109,N1109,O1109,J1109))</f>
        <v>24062206</v>
      </c>
      <c r="H1109" s="59">
        <v>45465</v>
      </c>
      <c r="I1109" s="36">
        <v>6</v>
      </c>
      <c r="J1109" s="1" t="str">
        <f t="shared" si="259"/>
        <v>06</v>
      </c>
      <c r="K1109" s="3">
        <f t="shared" si="260"/>
        <v>24</v>
      </c>
      <c r="L1109" s="3">
        <f t="shared" si="261"/>
        <v>6</v>
      </c>
      <c r="M1109" s="3">
        <f t="shared" si="262"/>
        <v>22</v>
      </c>
      <c r="N1109" s="3" t="str">
        <f t="shared" si="263"/>
        <v>06</v>
      </c>
      <c r="O1109" s="14">
        <f t="shared" si="264"/>
        <v>22</v>
      </c>
      <c r="P1109" s="60">
        <v>180000</v>
      </c>
      <c r="Q1109" s="61"/>
      <c r="R1109" s="62">
        <v>519</v>
      </c>
      <c r="S1109" s="61"/>
      <c r="T1109" s="61" t="s">
        <v>344</v>
      </c>
      <c r="U1109" s="63" t="s">
        <v>1</v>
      </c>
      <c r="V1109" s="63" t="s">
        <v>4</v>
      </c>
    </row>
    <row r="1110" spans="1:23" hidden="1">
      <c r="J1110" s="1" t="str">
        <f t="shared" si="259"/>
        <v>0</v>
      </c>
      <c r="K1110" s="3">
        <f t="shared" si="260"/>
        <v>-100</v>
      </c>
      <c r="L1110" s="3">
        <f t="shared" si="261"/>
        <v>1</v>
      </c>
      <c r="M1110" s="3">
        <f t="shared" si="262"/>
        <v>0</v>
      </c>
      <c r="N1110" s="3" t="str">
        <f t="shared" si="263"/>
        <v>01</v>
      </c>
      <c r="O1110" s="14" t="str">
        <f t="shared" si="264"/>
        <v>00</v>
      </c>
      <c r="R1110" s="6">
        <v>523</v>
      </c>
      <c r="S1110" s="5">
        <f>IFERROR(P1110/R1110,"")</f>
        <v>0</v>
      </c>
    </row>
    <row r="1111" spans="1:23" hidden="1">
      <c r="J1111" s="1" t="str">
        <f t="shared" si="259"/>
        <v>0</v>
      </c>
      <c r="K1111" s="3">
        <f t="shared" si="260"/>
        <v>-100</v>
      </c>
      <c r="L1111" s="3">
        <f t="shared" si="261"/>
        <v>1</v>
      </c>
      <c r="M1111" s="3">
        <f t="shared" si="262"/>
        <v>0</v>
      </c>
      <c r="N1111" s="3" t="str">
        <f t="shared" si="263"/>
        <v>01</v>
      </c>
      <c r="O1111" s="14" t="str">
        <f t="shared" si="264"/>
        <v>00</v>
      </c>
      <c r="R1111" s="6">
        <v>523</v>
      </c>
      <c r="S1111" s="5">
        <f>IFERROR(P1111/R1111,"")</f>
        <v>0</v>
      </c>
    </row>
    <row r="1112" spans="1:23">
      <c r="A1112" s="3">
        <v>953</v>
      </c>
      <c r="B1112" s="1">
        <f>IF(G1112="-",0,IF(G1111=G1112,1,0))</f>
        <v>0</v>
      </c>
      <c r="C1112" s="1">
        <f>+IF(G1112="-",0,IF(I1112=I1111+1,0,(IF(I1112=1,0,1))))</f>
        <v>1</v>
      </c>
      <c r="D1112" s="1">
        <f>+IF(AND(P1112="",Q1112=""),1,0)</f>
        <v>0</v>
      </c>
      <c r="E1112" s="1">
        <f t="shared" ref="E1112:F1116" si="266">IF(U1112="",1,0)</f>
        <v>0</v>
      </c>
      <c r="F1112" s="1">
        <f t="shared" si="266"/>
        <v>0</v>
      </c>
      <c r="G1112" s="1" t="str">
        <f>IF(H1112=0,"-",_xlfn.CONCAT(K1112,N1112,O1112,J1112))</f>
        <v>24062207</v>
      </c>
      <c r="H1112" s="59">
        <v>45465</v>
      </c>
      <c r="I1112" s="36">
        <v>7</v>
      </c>
      <c r="J1112" s="1" t="str">
        <f t="shared" si="259"/>
        <v>07</v>
      </c>
      <c r="K1112" s="3">
        <f t="shared" si="260"/>
        <v>24</v>
      </c>
      <c r="L1112" s="3">
        <f t="shared" si="261"/>
        <v>6</v>
      </c>
      <c r="M1112" s="3">
        <f t="shared" si="262"/>
        <v>22</v>
      </c>
      <c r="N1112" s="3" t="str">
        <f t="shared" si="263"/>
        <v>06</v>
      </c>
      <c r="O1112" s="14">
        <f t="shared" si="264"/>
        <v>22</v>
      </c>
      <c r="P1112" s="60">
        <v>85000</v>
      </c>
      <c r="Q1112" s="61"/>
      <c r="R1112" s="62">
        <v>519</v>
      </c>
      <c r="S1112" s="61"/>
      <c r="T1112" s="61" t="s">
        <v>337</v>
      </c>
      <c r="U1112" s="63" t="s">
        <v>1</v>
      </c>
      <c r="V1112" s="63" t="s">
        <v>4</v>
      </c>
    </row>
    <row r="1113" spans="1:23">
      <c r="A1113" s="3">
        <v>955</v>
      </c>
      <c r="B1113" s="1">
        <f>IF(G1113="-",0,IF(G1112=G1113,1,0))</f>
        <v>0</v>
      </c>
      <c r="C1113" s="1">
        <f>+IF(G1113="-",0,IF(I1113=I1112+1,0,(IF(I1113=1,0,1))))</f>
        <v>1</v>
      </c>
      <c r="D1113" s="1">
        <f>+IF(AND(P1113="",Q1113=""),1,0)</f>
        <v>0</v>
      </c>
      <c r="E1113" s="1">
        <f t="shared" si="266"/>
        <v>0</v>
      </c>
      <c r="F1113" s="1">
        <f t="shared" si="266"/>
        <v>0</v>
      </c>
      <c r="G1113" s="1" t="str">
        <f>IF(H1113=0,"-",_xlfn.CONCAT(K1113,N1113,O1113,J1113))</f>
        <v>24062209</v>
      </c>
      <c r="H1113" s="59">
        <v>45465</v>
      </c>
      <c r="I1113" s="36">
        <v>9</v>
      </c>
      <c r="J1113" s="1" t="str">
        <f t="shared" si="259"/>
        <v>09</v>
      </c>
      <c r="K1113" s="3">
        <f t="shared" si="260"/>
        <v>24</v>
      </c>
      <c r="L1113" s="3">
        <f t="shared" si="261"/>
        <v>6</v>
      </c>
      <c r="M1113" s="3">
        <f t="shared" si="262"/>
        <v>22</v>
      </c>
      <c r="N1113" s="3" t="str">
        <f t="shared" si="263"/>
        <v>06</v>
      </c>
      <c r="O1113" s="14">
        <f t="shared" si="264"/>
        <v>22</v>
      </c>
      <c r="P1113" s="60">
        <v>130000</v>
      </c>
      <c r="Q1113" s="61"/>
      <c r="R1113" s="62">
        <v>519</v>
      </c>
      <c r="S1113" s="61"/>
      <c r="T1113" s="61" t="s">
        <v>333</v>
      </c>
      <c r="U1113" s="63" t="s">
        <v>1</v>
      </c>
      <c r="V1113" s="63" t="s">
        <v>4</v>
      </c>
    </row>
    <row r="1114" spans="1:23">
      <c r="A1114" s="3">
        <v>958</v>
      </c>
      <c r="B1114" s="1">
        <f>IF(G1114="-",0,IF(G1113=G1114,1,0))</f>
        <v>0</v>
      </c>
      <c r="C1114" s="1">
        <f>+IF(G1114="-",0,IF(I1114=I1113+1,0,(IF(I1114=1,0,1))))</f>
        <v>1</v>
      </c>
      <c r="D1114" s="1">
        <f>+IF(AND(P1114="",Q1114=""),1,0)</f>
        <v>0</v>
      </c>
      <c r="E1114" s="1">
        <f t="shared" si="266"/>
        <v>0</v>
      </c>
      <c r="F1114" s="1">
        <f t="shared" si="266"/>
        <v>0</v>
      </c>
      <c r="G1114" s="1" t="str">
        <f>IF(H1114=0,"-",_xlfn.CONCAT(K1114,N1114,O1114,J1114))</f>
        <v>24062212</v>
      </c>
      <c r="H1114" s="59">
        <v>45465</v>
      </c>
      <c r="I1114" s="36">
        <v>12</v>
      </c>
      <c r="J1114" s="1">
        <f t="shared" si="259"/>
        <v>12</v>
      </c>
      <c r="K1114" s="3">
        <f t="shared" si="260"/>
        <v>24</v>
      </c>
      <c r="L1114" s="3">
        <f t="shared" si="261"/>
        <v>6</v>
      </c>
      <c r="M1114" s="3">
        <f t="shared" si="262"/>
        <v>22</v>
      </c>
      <c r="N1114" s="3" t="str">
        <f t="shared" si="263"/>
        <v>06</v>
      </c>
      <c r="O1114" s="14">
        <f t="shared" si="264"/>
        <v>22</v>
      </c>
      <c r="P1114" s="60">
        <v>120000</v>
      </c>
      <c r="Q1114" s="61"/>
      <c r="R1114" s="62">
        <v>519</v>
      </c>
      <c r="S1114" s="61"/>
      <c r="T1114" s="61" t="s">
        <v>336</v>
      </c>
      <c r="U1114" s="63" t="s">
        <v>1</v>
      </c>
      <c r="V1114" s="63" t="s">
        <v>4</v>
      </c>
    </row>
    <row r="1115" spans="1:23">
      <c r="A1115" s="3">
        <v>962</v>
      </c>
      <c r="B1115" s="1">
        <f>IF(G1115="-",0,IF(G1114=G1115,1,0))</f>
        <v>0</v>
      </c>
      <c r="C1115" s="1">
        <f>+IF(G1115="-",0,IF(I1115=I1114+1,0,(IF(I1115=1,0,1))))</f>
        <v>1</v>
      </c>
      <c r="D1115" s="1">
        <f>+IF(AND(P1115="",Q1115=""),1,0)</f>
        <v>0</v>
      </c>
      <c r="E1115" s="1">
        <f t="shared" si="266"/>
        <v>0</v>
      </c>
      <c r="F1115" s="1">
        <f t="shared" si="266"/>
        <v>0</v>
      </c>
      <c r="G1115" s="1" t="str">
        <f>IF(H1115=0,"-",_xlfn.CONCAT(K1115,N1115,O1115,J1115))</f>
        <v>24062216</v>
      </c>
      <c r="H1115" s="59">
        <v>45465</v>
      </c>
      <c r="I1115" s="36">
        <v>16</v>
      </c>
      <c r="J1115" s="1">
        <f t="shared" si="259"/>
        <v>16</v>
      </c>
      <c r="K1115" s="3">
        <f t="shared" si="260"/>
        <v>24</v>
      </c>
      <c r="L1115" s="3">
        <f t="shared" si="261"/>
        <v>6</v>
      </c>
      <c r="M1115" s="3">
        <f t="shared" si="262"/>
        <v>22</v>
      </c>
      <c r="N1115" s="3" t="str">
        <f t="shared" si="263"/>
        <v>06</v>
      </c>
      <c r="O1115" s="14">
        <f t="shared" si="264"/>
        <v>22</v>
      </c>
      <c r="P1115" s="60">
        <v>510000</v>
      </c>
      <c r="Q1115" s="61"/>
      <c r="R1115" s="62">
        <v>519</v>
      </c>
      <c r="S1115" s="61"/>
      <c r="T1115" s="61" t="s">
        <v>831</v>
      </c>
      <c r="U1115" s="63" t="s">
        <v>1</v>
      </c>
      <c r="V1115" s="63" t="s">
        <v>4</v>
      </c>
    </row>
    <row r="1116" spans="1:23">
      <c r="A1116" s="3">
        <v>963</v>
      </c>
      <c r="B1116" s="1">
        <f>IF(G1116="-",0,IF(G1115=G1116,1,0))</f>
        <v>0</v>
      </c>
      <c r="C1116" s="1">
        <f>+IF(G1116="-",0,IF(I1116=I1115+1,0,(IF(I1116=1,0,1))))</f>
        <v>0</v>
      </c>
      <c r="D1116" s="1">
        <f>+IF(AND(P1116="",Q1116=""),1,0)</f>
        <v>0</v>
      </c>
      <c r="E1116" s="1">
        <f t="shared" si="266"/>
        <v>0</v>
      </c>
      <c r="F1116" s="1">
        <f t="shared" si="266"/>
        <v>0</v>
      </c>
      <c r="G1116" s="1" t="str">
        <f>IF(H1116=0,"-",_xlfn.CONCAT(K1116,N1116,O1116,J1116))</f>
        <v>24062217</v>
      </c>
      <c r="H1116" s="59">
        <v>45465</v>
      </c>
      <c r="I1116" s="36">
        <v>17</v>
      </c>
      <c r="J1116" s="1">
        <f t="shared" si="259"/>
        <v>17</v>
      </c>
      <c r="K1116" s="3">
        <f t="shared" si="260"/>
        <v>24</v>
      </c>
      <c r="L1116" s="3">
        <f t="shared" si="261"/>
        <v>6</v>
      </c>
      <c r="M1116" s="3">
        <f t="shared" si="262"/>
        <v>22</v>
      </c>
      <c r="N1116" s="3" t="str">
        <f t="shared" si="263"/>
        <v>06</v>
      </c>
      <c r="O1116" s="14">
        <f t="shared" si="264"/>
        <v>22</v>
      </c>
      <c r="P1116" s="60">
        <v>210000</v>
      </c>
      <c r="Q1116" s="61"/>
      <c r="R1116" s="62">
        <v>519</v>
      </c>
      <c r="S1116" s="61"/>
      <c r="T1116" s="61" t="s">
        <v>1042</v>
      </c>
      <c r="U1116" s="63" t="s">
        <v>1</v>
      </c>
      <c r="V1116" s="63" t="s">
        <v>4</v>
      </c>
    </row>
    <row r="1117" spans="1:23" hidden="1">
      <c r="J1117" s="1" t="str">
        <f t="shared" si="259"/>
        <v>0</v>
      </c>
      <c r="K1117" s="3">
        <f t="shared" si="260"/>
        <v>-100</v>
      </c>
      <c r="L1117" s="3">
        <f t="shared" si="261"/>
        <v>1</v>
      </c>
      <c r="M1117" s="3">
        <f t="shared" si="262"/>
        <v>0</v>
      </c>
      <c r="N1117" s="3" t="str">
        <f t="shared" si="263"/>
        <v>01</v>
      </c>
      <c r="O1117" s="14" t="str">
        <f t="shared" si="264"/>
        <v>00</v>
      </c>
      <c r="R1117" s="6">
        <v>519</v>
      </c>
      <c r="S1117" s="5">
        <f>IFERROR(P1117/R1117,"")</f>
        <v>0</v>
      </c>
    </row>
    <row r="1118" spans="1:23" hidden="1">
      <c r="J1118" s="1" t="str">
        <f t="shared" si="259"/>
        <v>0</v>
      </c>
      <c r="K1118" s="3">
        <f t="shared" si="260"/>
        <v>-100</v>
      </c>
      <c r="L1118" s="3">
        <f t="shared" si="261"/>
        <v>1</v>
      </c>
      <c r="M1118" s="3">
        <f t="shared" si="262"/>
        <v>0</v>
      </c>
      <c r="N1118" s="3" t="str">
        <f t="shared" si="263"/>
        <v>01</v>
      </c>
      <c r="O1118" s="14" t="str">
        <f t="shared" si="264"/>
        <v>00</v>
      </c>
      <c r="R1118" s="6">
        <v>519</v>
      </c>
      <c r="S1118" s="5">
        <f>IFERROR(P1118/R1118,"")</f>
        <v>0</v>
      </c>
    </row>
    <row r="1119" spans="1:23">
      <c r="A1119" s="3">
        <v>965</v>
      </c>
      <c r="B1119" s="1">
        <f>IF(G1119="-",0,IF(G1118=G1119,1,0))</f>
        <v>0</v>
      </c>
      <c r="C1119" s="1">
        <f>+IF(G1119="-",0,IF(I1119=I1118+1,0,(IF(I1119=1,0,1))))</f>
        <v>1</v>
      </c>
      <c r="D1119" s="1">
        <f>+IF(AND(P1119="",Q1119=""),1,0)</f>
        <v>0</v>
      </c>
      <c r="E1119" s="1">
        <f t="shared" ref="E1119:F1123" si="267">IF(U1119="",1,0)</f>
        <v>0</v>
      </c>
      <c r="F1119" s="1">
        <f t="shared" si="267"/>
        <v>0</v>
      </c>
      <c r="G1119" s="1" t="str">
        <f>IF(H1119=0,"-",_xlfn.CONCAT(K1119,N1119,O1119,J1119))</f>
        <v>24062219</v>
      </c>
      <c r="H1119" s="2">
        <v>45465</v>
      </c>
      <c r="I1119" s="36">
        <v>19</v>
      </c>
      <c r="J1119" s="1">
        <f t="shared" si="259"/>
        <v>19</v>
      </c>
      <c r="K1119" s="3">
        <f t="shared" si="260"/>
        <v>24</v>
      </c>
      <c r="L1119" s="3">
        <f t="shared" si="261"/>
        <v>6</v>
      </c>
      <c r="M1119" s="3">
        <f t="shared" si="262"/>
        <v>22</v>
      </c>
      <c r="N1119" s="3" t="str">
        <f t="shared" si="263"/>
        <v>06</v>
      </c>
      <c r="O1119" s="14">
        <f t="shared" si="264"/>
        <v>22</v>
      </c>
      <c r="P1119" s="4">
        <v>18737</v>
      </c>
      <c r="R1119" s="6">
        <v>519</v>
      </c>
      <c r="T1119" s="5" t="s">
        <v>132</v>
      </c>
      <c r="U1119" s="3" t="s">
        <v>29</v>
      </c>
      <c r="V1119" s="3" t="s">
        <v>4</v>
      </c>
    </row>
    <row r="1120" spans="1:23">
      <c r="A1120" s="3">
        <v>969</v>
      </c>
      <c r="B1120" s="1">
        <f>IF(G1120="-",0,IF(G1119=G1120,1,0))</f>
        <v>0</v>
      </c>
      <c r="C1120" s="1">
        <f>+IF(G1120="-",0,IF(I1120=I1119+1,0,(IF(I1120=1,0,1))))</f>
        <v>1</v>
      </c>
      <c r="D1120" s="1">
        <f>+IF(AND(P1120="",Q1120=""),1,0)</f>
        <v>0</v>
      </c>
      <c r="E1120" s="1">
        <f t="shared" si="267"/>
        <v>0</v>
      </c>
      <c r="F1120" s="1">
        <f t="shared" si="267"/>
        <v>0</v>
      </c>
      <c r="G1120" s="1" t="str">
        <f>IF(H1120=0,"-",_xlfn.CONCAT(K1120,N1120,O1120,J1120))</f>
        <v>24062223</v>
      </c>
      <c r="H1120" s="2">
        <v>45465</v>
      </c>
      <c r="I1120" s="36">
        <v>23</v>
      </c>
      <c r="J1120" s="1">
        <f t="shared" si="259"/>
        <v>23</v>
      </c>
      <c r="K1120" s="3">
        <f t="shared" si="260"/>
        <v>24</v>
      </c>
      <c r="L1120" s="3">
        <f t="shared" si="261"/>
        <v>6</v>
      </c>
      <c r="M1120" s="3">
        <f t="shared" si="262"/>
        <v>22</v>
      </c>
      <c r="N1120" s="3" t="str">
        <f t="shared" si="263"/>
        <v>06</v>
      </c>
      <c r="O1120" s="14">
        <f t="shared" si="264"/>
        <v>22</v>
      </c>
      <c r="P1120" s="4">
        <v>2792</v>
      </c>
      <c r="R1120" s="6">
        <v>519</v>
      </c>
      <c r="T1120" s="5" t="s">
        <v>449</v>
      </c>
      <c r="U1120" s="3" t="s">
        <v>29</v>
      </c>
      <c r="V1120" s="3" t="s">
        <v>4</v>
      </c>
      <c r="W1120" s="3" t="s">
        <v>397</v>
      </c>
    </row>
    <row r="1121" spans="1:23">
      <c r="A1121" s="3">
        <v>971</v>
      </c>
      <c r="B1121" s="1">
        <f>IF(G1121="-",0,IF(G1120=G1121,1,0))</f>
        <v>0</v>
      </c>
      <c r="C1121" s="1">
        <f>+IF(G1121="-",0,IF(I1121=I1120+1,0,(IF(I1121=1,0,1))))</f>
        <v>1</v>
      </c>
      <c r="D1121" s="1">
        <f>+IF(AND(P1121="",Q1121=""),1,0)</f>
        <v>0</v>
      </c>
      <c r="E1121" s="1">
        <f t="shared" si="267"/>
        <v>0</v>
      </c>
      <c r="F1121" s="1">
        <f t="shared" si="267"/>
        <v>0</v>
      </c>
      <c r="G1121" s="1" t="str">
        <f>IF(H1121=0,"-",_xlfn.CONCAT(K1121,N1121,O1121,J1121))</f>
        <v>24062225</v>
      </c>
      <c r="H1121" s="2">
        <v>45465</v>
      </c>
      <c r="I1121" s="36">
        <v>25</v>
      </c>
      <c r="J1121" s="1">
        <f t="shared" si="259"/>
        <v>25</v>
      </c>
      <c r="K1121" s="3">
        <f t="shared" si="260"/>
        <v>24</v>
      </c>
      <c r="L1121" s="3">
        <f t="shared" si="261"/>
        <v>6</v>
      </c>
      <c r="M1121" s="3">
        <f t="shared" si="262"/>
        <v>22</v>
      </c>
      <c r="N1121" s="3" t="str">
        <f t="shared" si="263"/>
        <v>06</v>
      </c>
      <c r="O1121" s="14">
        <f t="shared" si="264"/>
        <v>22</v>
      </c>
      <c r="P1121" s="4">
        <v>18443.88</v>
      </c>
      <c r="T1121" s="5" t="s">
        <v>765</v>
      </c>
      <c r="U1121" s="3" t="s">
        <v>29</v>
      </c>
      <c r="V1121" s="3" t="s">
        <v>4</v>
      </c>
    </row>
    <row r="1122" spans="1:23">
      <c r="A1122" s="3">
        <v>974</v>
      </c>
      <c r="B1122" s="1">
        <f>IF(G1122="-",0,IF(G1121=G1122,1,0))</f>
        <v>0</v>
      </c>
      <c r="C1122" s="1">
        <f>+IF(G1122="-",0,IF(I1122=I1121+1,0,(IF(I1122=1,0,1))))</f>
        <v>1</v>
      </c>
      <c r="D1122" s="1">
        <f>+IF(AND(P1122="",Q1122=""),1,0)</f>
        <v>0</v>
      </c>
      <c r="E1122" s="1">
        <f t="shared" si="267"/>
        <v>0</v>
      </c>
      <c r="F1122" s="1">
        <f t="shared" si="267"/>
        <v>0</v>
      </c>
      <c r="G1122" s="1" t="str">
        <f>IF(H1122=0,"-",_xlfn.CONCAT(K1122,N1122,O1122,J1122))</f>
        <v>24062303</v>
      </c>
      <c r="H1122" s="2">
        <v>45466</v>
      </c>
      <c r="I1122" s="36">
        <v>3</v>
      </c>
      <c r="J1122" s="1" t="str">
        <f t="shared" si="259"/>
        <v>03</v>
      </c>
      <c r="K1122" s="3">
        <f t="shared" si="260"/>
        <v>24</v>
      </c>
      <c r="L1122" s="3">
        <f t="shared" si="261"/>
        <v>6</v>
      </c>
      <c r="M1122" s="3">
        <f t="shared" si="262"/>
        <v>23</v>
      </c>
      <c r="N1122" s="3" t="str">
        <f t="shared" si="263"/>
        <v>06</v>
      </c>
      <c r="O1122" s="14">
        <f t="shared" si="264"/>
        <v>23</v>
      </c>
      <c r="P1122" s="4">
        <v>7455</v>
      </c>
      <c r="R1122" s="6">
        <v>519</v>
      </c>
      <c r="T1122" s="5" t="s">
        <v>403</v>
      </c>
      <c r="U1122" s="3" t="s">
        <v>29</v>
      </c>
      <c r="V1122" s="3" t="s">
        <v>4</v>
      </c>
      <c r="W1122" s="3" t="s">
        <v>405</v>
      </c>
    </row>
    <row r="1123" spans="1:23">
      <c r="A1123" s="3">
        <v>976</v>
      </c>
      <c r="B1123" s="1">
        <f>IF(G1123="-",0,IF(G1122=G1123,1,0))</f>
        <v>0</v>
      </c>
      <c r="C1123" s="1">
        <f>+IF(G1123="-",0,IF(I1123=I1122+1,0,(IF(I1123=1,0,1))))</f>
        <v>0</v>
      </c>
      <c r="D1123" s="1">
        <f>+IF(AND(P1123="",Q1123=""),1,0)</f>
        <v>0</v>
      </c>
      <c r="E1123" s="1">
        <f t="shared" si="267"/>
        <v>0</v>
      </c>
      <c r="F1123" s="1">
        <f t="shared" si="267"/>
        <v>0</v>
      </c>
      <c r="G1123" s="1" t="str">
        <f>IF(H1123=0,"-",_xlfn.CONCAT(K1123,N1123,O1123,J1123))</f>
        <v>24062401</v>
      </c>
      <c r="H1123" s="2">
        <v>45467</v>
      </c>
      <c r="I1123" s="36">
        <v>1</v>
      </c>
      <c r="J1123" s="1" t="str">
        <f t="shared" si="259"/>
        <v>01</v>
      </c>
      <c r="K1123" s="3">
        <f t="shared" si="260"/>
        <v>24</v>
      </c>
      <c r="L1123" s="3">
        <f t="shared" si="261"/>
        <v>6</v>
      </c>
      <c r="M1123" s="3">
        <f t="shared" si="262"/>
        <v>24</v>
      </c>
      <c r="N1123" s="3" t="str">
        <f t="shared" si="263"/>
        <v>06</v>
      </c>
      <c r="O1123" s="14">
        <f t="shared" si="264"/>
        <v>24</v>
      </c>
      <c r="P1123" s="4">
        <v>30051.79</v>
      </c>
      <c r="R1123" s="6">
        <v>517</v>
      </c>
      <c r="T1123" s="5" t="s">
        <v>353</v>
      </c>
      <c r="U1123" s="3" t="s">
        <v>29</v>
      </c>
      <c r="V1123" s="3" t="s">
        <v>4</v>
      </c>
    </row>
    <row r="1124" spans="1:23" hidden="1">
      <c r="J1124" s="1" t="str">
        <f t="shared" si="259"/>
        <v>0</v>
      </c>
      <c r="K1124" s="3">
        <f t="shared" si="260"/>
        <v>-100</v>
      </c>
      <c r="L1124" s="3">
        <f t="shared" si="261"/>
        <v>1</v>
      </c>
      <c r="M1124" s="3">
        <f t="shared" si="262"/>
        <v>0</v>
      </c>
      <c r="N1124" s="3" t="str">
        <f t="shared" si="263"/>
        <v>01</v>
      </c>
      <c r="O1124" s="14" t="str">
        <f t="shared" si="264"/>
        <v>00</v>
      </c>
      <c r="R1124" s="6">
        <v>524</v>
      </c>
      <c r="S1124" s="5">
        <f>IFERROR(P1124/R1124,"")</f>
        <v>0</v>
      </c>
    </row>
    <row r="1125" spans="1:23" hidden="1">
      <c r="J1125" s="1" t="str">
        <f t="shared" si="259"/>
        <v>0</v>
      </c>
      <c r="K1125" s="3">
        <f t="shared" si="260"/>
        <v>-100</v>
      </c>
      <c r="L1125" s="3">
        <f t="shared" si="261"/>
        <v>1</v>
      </c>
      <c r="M1125" s="3">
        <f t="shared" si="262"/>
        <v>0</v>
      </c>
      <c r="N1125" s="3" t="str">
        <f t="shared" si="263"/>
        <v>01</v>
      </c>
      <c r="O1125" s="14" t="str">
        <f t="shared" si="264"/>
        <v>00</v>
      </c>
      <c r="R1125" s="6">
        <v>524</v>
      </c>
      <c r="S1125" s="5">
        <f>IFERROR(P1125/R1125,"")</f>
        <v>0</v>
      </c>
    </row>
    <row r="1126" spans="1:23" hidden="1">
      <c r="J1126" s="1" t="str">
        <f t="shared" si="259"/>
        <v>0</v>
      </c>
      <c r="K1126" s="3">
        <f t="shared" si="260"/>
        <v>-100</v>
      </c>
      <c r="L1126" s="3">
        <f t="shared" si="261"/>
        <v>1</v>
      </c>
      <c r="M1126" s="3">
        <f t="shared" si="262"/>
        <v>0</v>
      </c>
      <c r="N1126" s="3" t="str">
        <f t="shared" si="263"/>
        <v>01</v>
      </c>
      <c r="O1126" s="14" t="str">
        <f t="shared" si="264"/>
        <v>00</v>
      </c>
      <c r="R1126" s="6">
        <v>525</v>
      </c>
      <c r="S1126" s="5">
        <f>IFERROR(P1126/R1126,"")</f>
        <v>0</v>
      </c>
    </row>
    <row r="1127" spans="1:23">
      <c r="A1127" s="3">
        <v>977</v>
      </c>
      <c r="B1127" s="1">
        <f>IF(G1127="-",0,IF(G1126=G1127,1,0))</f>
        <v>0</v>
      </c>
      <c r="C1127" s="1">
        <f>+IF(G1127="-",0,IF(I1127=I1126+1,0,(IF(I1127=1,0,1))))</f>
        <v>1</v>
      </c>
      <c r="D1127" s="1">
        <f>+IF(AND(P1127="",Q1127=""),1,0)</f>
        <v>0</v>
      </c>
      <c r="E1127" s="1">
        <f t="shared" ref="E1127:F1129" si="268">IF(U1127="",1,0)</f>
        <v>0</v>
      </c>
      <c r="F1127" s="1">
        <f t="shared" si="268"/>
        <v>0</v>
      </c>
      <c r="G1127" s="1" t="str">
        <f>IF(H1127=0,"-",_xlfn.CONCAT(K1127,N1127,O1127,J1127))</f>
        <v>24062402</v>
      </c>
      <c r="H1127" s="2">
        <v>45467</v>
      </c>
      <c r="I1127" s="36">
        <v>2</v>
      </c>
      <c r="J1127" s="1" t="str">
        <f t="shared" si="259"/>
        <v>02</v>
      </c>
      <c r="K1127" s="3">
        <f t="shared" si="260"/>
        <v>24</v>
      </c>
      <c r="L1127" s="3">
        <f t="shared" si="261"/>
        <v>6</v>
      </c>
      <c r="M1127" s="3">
        <f t="shared" si="262"/>
        <v>24</v>
      </c>
      <c r="N1127" s="3" t="str">
        <f t="shared" si="263"/>
        <v>06</v>
      </c>
      <c r="O1127" s="14">
        <f t="shared" si="264"/>
        <v>24</v>
      </c>
      <c r="P1127" s="4">
        <v>284.76</v>
      </c>
      <c r="R1127" s="6">
        <v>517</v>
      </c>
      <c r="T1127" s="5" t="s">
        <v>354</v>
      </c>
      <c r="U1127" s="3" t="s">
        <v>29</v>
      </c>
      <c r="V1127" s="3" t="s">
        <v>4</v>
      </c>
    </row>
    <row r="1128" spans="1:23">
      <c r="A1128" s="3">
        <v>982</v>
      </c>
      <c r="B1128" s="1">
        <f>IF(G1128="-",0,IF(G1127=G1128,1,0))</f>
        <v>0</v>
      </c>
      <c r="C1128" s="1">
        <f>+IF(G1128="-",0,IF(I1128=I1127+1,0,(IF(I1128=1,0,1))))</f>
        <v>1</v>
      </c>
      <c r="D1128" s="1">
        <f>+IF(AND(P1128="",Q1128=""),1,0)</f>
        <v>0</v>
      </c>
      <c r="E1128" s="1">
        <f t="shared" si="268"/>
        <v>0</v>
      </c>
      <c r="F1128" s="1">
        <f t="shared" si="268"/>
        <v>0</v>
      </c>
      <c r="G1128" s="1" t="str">
        <f>IF(H1128=0,"-",_xlfn.CONCAT(K1128,N1128,O1128,J1128))</f>
        <v>24062407</v>
      </c>
      <c r="H1128" s="2">
        <v>45467</v>
      </c>
      <c r="I1128" s="36">
        <v>7</v>
      </c>
      <c r="J1128" s="1" t="str">
        <f t="shared" si="259"/>
        <v>07</v>
      </c>
      <c r="K1128" s="3">
        <f t="shared" si="260"/>
        <v>24</v>
      </c>
      <c r="L1128" s="3">
        <f t="shared" si="261"/>
        <v>6</v>
      </c>
      <c r="M1128" s="3">
        <f t="shared" si="262"/>
        <v>24</v>
      </c>
      <c r="N1128" s="3" t="str">
        <f t="shared" si="263"/>
        <v>06</v>
      </c>
      <c r="O1128" s="14">
        <f t="shared" si="264"/>
        <v>24</v>
      </c>
      <c r="P1128" s="4">
        <v>6968</v>
      </c>
      <c r="R1128" s="6">
        <v>517</v>
      </c>
      <c r="T1128" s="5" t="s">
        <v>449</v>
      </c>
      <c r="U1128" s="3" t="s">
        <v>29</v>
      </c>
      <c r="V1128" s="3" t="s">
        <v>4</v>
      </c>
      <c r="W1128" s="3" t="s">
        <v>397</v>
      </c>
    </row>
    <row r="1129" spans="1:23">
      <c r="A1129" s="3">
        <v>983</v>
      </c>
      <c r="B1129" s="1">
        <f>IF(G1129="-",0,IF(G1128=G1129,1,0))</f>
        <v>0</v>
      </c>
      <c r="C1129" s="1">
        <f>+IF(G1129="-",0,IF(I1129=I1128+1,0,(IF(I1129=1,0,1))))</f>
        <v>0</v>
      </c>
      <c r="D1129" s="1">
        <f>+IF(AND(P1129="",Q1129=""),1,0)</f>
        <v>0</v>
      </c>
      <c r="E1129" s="1">
        <f t="shared" si="268"/>
        <v>0</v>
      </c>
      <c r="F1129" s="1">
        <f t="shared" si="268"/>
        <v>0</v>
      </c>
      <c r="G1129" s="1" t="str">
        <f>IF(H1129=0,"-",_xlfn.CONCAT(K1129,N1129,O1129,J1129))</f>
        <v>24062408</v>
      </c>
      <c r="H1129" s="2">
        <v>45467</v>
      </c>
      <c r="I1129" s="36">
        <v>8</v>
      </c>
      <c r="J1129" s="1" t="str">
        <f t="shared" si="259"/>
        <v>08</v>
      </c>
      <c r="K1129" s="3">
        <f t="shared" si="260"/>
        <v>24</v>
      </c>
      <c r="L1129" s="3">
        <f t="shared" si="261"/>
        <v>6</v>
      </c>
      <c r="M1129" s="3">
        <f t="shared" si="262"/>
        <v>24</v>
      </c>
      <c r="N1129" s="3" t="str">
        <f t="shared" si="263"/>
        <v>06</v>
      </c>
      <c r="O1129" s="14">
        <f t="shared" si="264"/>
        <v>24</v>
      </c>
      <c r="P1129" s="4">
        <v>69874</v>
      </c>
      <c r="R1129" s="6">
        <v>517</v>
      </c>
      <c r="T1129" s="5" t="s">
        <v>836</v>
      </c>
      <c r="U1129" s="3" t="s">
        <v>29</v>
      </c>
      <c r="V1129" s="3" t="s">
        <v>4</v>
      </c>
      <c r="W1129" s="3" t="s">
        <v>397</v>
      </c>
    </row>
    <row r="1130" spans="1:23" hidden="1">
      <c r="J1130" s="1" t="str">
        <f t="shared" si="259"/>
        <v>0</v>
      </c>
      <c r="K1130" s="3">
        <f t="shared" si="260"/>
        <v>-100</v>
      </c>
      <c r="L1130" s="3">
        <f t="shared" si="261"/>
        <v>1</v>
      </c>
      <c r="M1130" s="3">
        <f t="shared" si="262"/>
        <v>0</v>
      </c>
      <c r="N1130" s="3" t="str">
        <f t="shared" si="263"/>
        <v>01</v>
      </c>
      <c r="O1130" s="14" t="str">
        <f t="shared" si="264"/>
        <v>00</v>
      </c>
      <c r="R1130" s="6">
        <v>524</v>
      </c>
      <c r="S1130" s="5">
        <f>IFERROR(P1130/R1130,"")</f>
        <v>0</v>
      </c>
    </row>
    <row r="1131" spans="1:23">
      <c r="A1131" s="3">
        <v>984</v>
      </c>
      <c r="B1131" s="1">
        <f t="shared" ref="B1131:B1136" si="269">IF(G1131="-",0,IF(G1130=G1131,1,0))</f>
        <v>0</v>
      </c>
      <c r="C1131" s="1">
        <f t="shared" ref="C1131:C1136" si="270">+IF(G1131="-",0,IF(I1131=I1130+1,0,(IF(I1131=1,0,1))))</f>
        <v>1</v>
      </c>
      <c r="D1131" s="1">
        <f t="shared" ref="D1131:D1136" si="271">+IF(AND(P1131="",Q1131=""),1,0)</f>
        <v>0</v>
      </c>
      <c r="E1131" s="1">
        <f t="shared" ref="E1131:F1136" si="272">IF(U1131="",1,0)</f>
        <v>0</v>
      </c>
      <c r="F1131" s="1">
        <f t="shared" si="272"/>
        <v>0</v>
      </c>
      <c r="G1131" s="1" t="str">
        <f t="shared" ref="G1131:G1136" si="273">IF(H1131=0,"-",_xlfn.CONCAT(K1131,N1131,O1131,J1131))</f>
        <v>24062409</v>
      </c>
      <c r="H1131" s="2">
        <v>45467</v>
      </c>
      <c r="I1131" s="36">
        <v>9</v>
      </c>
      <c r="J1131" s="1" t="str">
        <f t="shared" si="259"/>
        <v>09</v>
      </c>
      <c r="K1131" s="3">
        <f t="shared" si="260"/>
        <v>24</v>
      </c>
      <c r="L1131" s="3">
        <f t="shared" si="261"/>
        <v>6</v>
      </c>
      <c r="M1131" s="3">
        <f t="shared" si="262"/>
        <v>24</v>
      </c>
      <c r="N1131" s="3" t="str">
        <f t="shared" si="263"/>
        <v>06</v>
      </c>
      <c r="O1131" s="14">
        <f t="shared" si="264"/>
        <v>24</v>
      </c>
      <c r="P1131" s="4">
        <v>34190</v>
      </c>
      <c r="R1131" s="6">
        <v>517</v>
      </c>
      <c r="T1131" s="5" t="s">
        <v>836</v>
      </c>
      <c r="U1131" s="3" t="s">
        <v>29</v>
      </c>
      <c r="V1131" s="3" t="s">
        <v>4</v>
      </c>
      <c r="W1131" s="3" t="s">
        <v>397</v>
      </c>
    </row>
    <row r="1132" spans="1:23">
      <c r="A1132" s="3">
        <v>993</v>
      </c>
      <c r="B1132" s="1">
        <f t="shared" si="269"/>
        <v>0</v>
      </c>
      <c r="C1132" s="1">
        <f t="shared" si="270"/>
        <v>1</v>
      </c>
      <c r="D1132" s="1">
        <f t="shared" si="271"/>
        <v>0</v>
      </c>
      <c r="E1132" s="1">
        <f t="shared" si="272"/>
        <v>0</v>
      </c>
      <c r="F1132" s="1">
        <f t="shared" si="272"/>
        <v>0</v>
      </c>
      <c r="G1132" s="1" t="str">
        <f t="shared" si="273"/>
        <v>24062508</v>
      </c>
      <c r="H1132" s="2">
        <v>45468</v>
      </c>
      <c r="I1132" s="36">
        <v>8</v>
      </c>
      <c r="J1132" s="1" t="str">
        <f t="shared" si="259"/>
        <v>08</v>
      </c>
      <c r="K1132" s="3">
        <f t="shared" si="260"/>
        <v>24</v>
      </c>
      <c r="L1132" s="3">
        <f t="shared" si="261"/>
        <v>6</v>
      </c>
      <c r="M1132" s="3">
        <f t="shared" si="262"/>
        <v>25</v>
      </c>
      <c r="N1132" s="3" t="str">
        <f t="shared" si="263"/>
        <v>06</v>
      </c>
      <c r="O1132" s="14">
        <f t="shared" si="264"/>
        <v>25</v>
      </c>
      <c r="P1132" s="4">
        <v>62783.78</v>
      </c>
      <c r="R1132" s="6">
        <v>517</v>
      </c>
      <c r="T1132" s="5" t="s">
        <v>390</v>
      </c>
      <c r="U1132" s="3" t="s">
        <v>1</v>
      </c>
      <c r="V1132" s="3" t="s">
        <v>4</v>
      </c>
    </row>
    <row r="1133" spans="1:23">
      <c r="A1133" s="3">
        <v>1005</v>
      </c>
      <c r="B1133" s="1">
        <f t="shared" si="269"/>
        <v>0</v>
      </c>
      <c r="C1133" s="1">
        <f t="shared" si="270"/>
        <v>1</v>
      </c>
      <c r="D1133" s="1">
        <f t="shared" si="271"/>
        <v>0</v>
      </c>
      <c r="E1133" s="1">
        <f t="shared" si="272"/>
        <v>0</v>
      </c>
      <c r="F1133" s="1">
        <f t="shared" si="272"/>
        <v>0</v>
      </c>
      <c r="G1133" s="1" t="str">
        <f t="shared" si="273"/>
        <v>24062606</v>
      </c>
      <c r="H1133" s="2">
        <v>45469</v>
      </c>
      <c r="I1133" s="36">
        <v>6</v>
      </c>
      <c r="J1133" s="1" t="str">
        <f t="shared" si="259"/>
        <v>06</v>
      </c>
      <c r="K1133" s="3">
        <f t="shared" si="260"/>
        <v>24</v>
      </c>
      <c r="L1133" s="3">
        <f t="shared" si="261"/>
        <v>6</v>
      </c>
      <c r="M1133" s="3">
        <f t="shared" si="262"/>
        <v>26</v>
      </c>
      <c r="N1133" s="3" t="str">
        <f t="shared" si="263"/>
        <v>06</v>
      </c>
      <c r="O1133" s="14">
        <f t="shared" si="264"/>
        <v>26</v>
      </c>
      <c r="P1133" s="4">
        <v>43359.89</v>
      </c>
      <c r="R1133" s="6">
        <v>519</v>
      </c>
      <c r="S1133" s="5">
        <f t="shared" ref="S1133:S1164" si="274">IFERROR(P1133/R1133,"")</f>
        <v>83.545067437379572</v>
      </c>
      <c r="T1133" s="5" t="s">
        <v>132</v>
      </c>
      <c r="U1133" s="3" t="s">
        <v>29</v>
      </c>
      <c r="V1133" s="3" t="s">
        <v>4</v>
      </c>
    </row>
    <row r="1134" spans="1:23">
      <c r="A1134" s="3">
        <v>1013</v>
      </c>
      <c r="B1134" s="1">
        <f t="shared" si="269"/>
        <v>0</v>
      </c>
      <c r="C1134" s="1">
        <f t="shared" si="270"/>
        <v>1</v>
      </c>
      <c r="D1134" s="1">
        <f t="shared" si="271"/>
        <v>0</v>
      </c>
      <c r="E1134" s="1">
        <f t="shared" si="272"/>
        <v>0</v>
      </c>
      <c r="F1134" s="1">
        <f t="shared" si="272"/>
        <v>0</v>
      </c>
      <c r="G1134" s="52" t="str">
        <f t="shared" si="273"/>
        <v>24062705</v>
      </c>
      <c r="H1134" s="9">
        <v>45470</v>
      </c>
      <c r="I1134" s="36">
        <v>5</v>
      </c>
      <c r="J1134" s="52" t="str">
        <f t="shared" si="259"/>
        <v>05</v>
      </c>
      <c r="K1134" s="10">
        <f t="shared" si="260"/>
        <v>24</v>
      </c>
      <c r="L1134" s="10">
        <f t="shared" si="261"/>
        <v>6</v>
      </c>
      <c r="M1134" s="10">
        <f t="shared" si="262"/>
        <v>27</v>
      </c>
      <c r="N1134" s="10" t="str">
        <f t="shared" si="263"/>
        <v>06</v>
      </c>
      <c r="O1134" s="70">
        <f t="shared" si="264"/>
        <v>27</v>
      </c>
      <c r="P1134" s="11">
        <v>833995.37</v>
      </c>
      <c r="Q1134" s="12"/>
      <c r="R1134" s="13">
        <v>520</v>
      </c>
      <c r="S1134" s="5">
        <f t="shared" si="274"/>
        <v>1603.83725</v>
      </c>
      <c r="T1134" s="12" t="s">
        <v>359</v>
      </c>
      <c r="U1134" s="10" t="s">
        <v>1</v>
      </c>
      <c r="V1134" s="10" t="s">
        <v>4</v>
      </c>
      <c r="W1134" s="10" t="s">
        <v>360</v>
      </c>
    </row>
    <row r="1135" spans="1:23">
      <c r="A1135" s="3">
        <v>1017</v>
      </c>
      <c r="B1135" s="1">
        <f t="shared" si="269"/>
        <v>0</v>
      </c>
      <c r="C1135" s="1">
        <f t="shared" si="270"/>
        <v>1</v>
      </c>
      <c r="D1135" s="1">
        <f t="shared" si="271"/>
        <v>0</v>
      </c>
      <c r="E1135" s="1">
        <f t="shared" si="272"/>
        <v>0</v>
      </c>
      <c r="F1135" s="1">
        <f t="shared" si="272"/>
        <v>0</v>
      </c>
      <c r="G1135" s="1" t="str">
        <f t="shared" si="273"/>
        <v>24062709</v>
      </c>
      <c r="H1135" s="2">
        <v>45470</v>
      </c>
      <c r="I1135" s="36">
        <v>9</v>
      </c>
      <c r="J1135" s="1" t="str">
        <f t="shared" si="259"/>
        <v>09</v>
      </c>
      <c r="K1135" s="3">
        <f t="shared" si="260"/>
        <v>24</v>
      </c>
      <c r="L1135" s="3">
        <f t="shared" si="261"/>
        <v>6</v>
      </c>
      <c r="M1135" s="3">
        <f t="shared" si="262"/>
        <v>27</v>
      </c>
      <c r="N1135" s="3" t="str">
        <f t="shared" si="263"/>
        <v>06</v>
      </c>
      <c r="O1135" s="14">
        <f t="shared" si="264"/>
        <v>27</v>
      </c>
      <c r="P1135" s="4">
        <v>10000</v>
      </c>
      <c r="R1135" s="6">
        <v>520</v>
      </c>
      <c r="S1135" s="5">
        <f t="shared" si="274"/>
        <v>19.23076923076923</v>
      </c>
      <c r="T1135" s="5" t="s">
        <v>361</v>
      </c>
      <c r="U1135" s="3" t="s">
        <v>29</v>
      </c>
      <c r="V1135" s="3" t="s">
        <v>4</v>
      </c>
    </row>
    <row r="1136" spans="1:23">
      <c r="A1136" s="3">
        <v>1026</v>
      </c>
      <c r="B1136" s="1">
        <f t="shared" si="269"/>
        <v>0</v>
      </c>
      <c r="C1136" s="1">
        <f t="shared" si="270"/>
        <v>1</v>
      </c>
      <c r="D1136" s="1">
        <f t="shared" si="271"/>
        <v>0</v>
      </c>
      <c r="E1136" s="1">
        <f t="shared" si="272"/>
        <v>0</v>
      </c>
      <c r="F1136" s="1">
        <f t="shared" si="272"/>
        <v>0</v>
      </c>
      <c r="G1136" s="1" t="str">
        <f t="shared" si="273"/>
        <v>24062808</v>
      </c>
      <c r="H1136" s="2">
        <v>45471</v>
      </c>
      <c r="I1136" s="36">
        <v>8</v>
      </c>
      <c r="J1136" s="1" t="str">
        <f t="shared" si="259"/>
        <v>08</v>
      </c>
      <c r="K1136" s="3">
        <f t="shared" si="260"/>
        <v>24</v>
      </c>
      <c r="L1136" s="3">
        <f t="shared" si="261"/>
        <v>6</v>
      </c>
      <c r="M1136" s="3">
        <f t="shared" si="262"/>
        <v>28</v>
      </c>
      <c r="N1136" s="3" t="str">
        <f t="shared" si="263"/>
        <v>06</v>
      </c>
      <c r="O1136" s="14">
        <f t="shared" si="264"/>
        <v>28</v>
      </c>
      <c r="P1136" s="4">
        <v>10463.81</v>
      </c>
      <c r="R1136" s="6">
        <v>514</v>
      </c>
      <c r="S1136" s="5">
        <f t="shared" si="274"/>
        <v>20.357607003891051</v>
      </c>
      <c r="T1136" s="5" t="s">
        <v>389</v>
      </c>
      <c r="U1136" s="3" t="s">
        <v>29</v>
      </c>
      <c r="V1136" s="3" t="s">
        <v>4</v>
      </c>
    </row>
    <row r="1137" spans="1:23" hidden="1">
      <c r="G1137" s="52"/>
      <c r="H1137" s="9"/>
      <c r="I1137" s="52"/>
      <c r="J1137" s="52" t="str">
        <f t="shared" si="259"/>
        <v>0</v>
      </c>
      <c r="K1137" s="10">
        <f t="shared" si="260"/>
        <v>-100</v>
      </c>
      <c r="L1137" s="10">
        <f t="shared" si="261"/>
        <v>1</v>
      </c>
      <c r="M1137" s="10">
        <f t="shared" si="262"/>
        <v>0</v>
      </c>
      <c r="N1137" s="10" t="str">
        <f t="shared" si="263"/>
        <v>01</v>
      </c>
      <c r="O1137" s="70" t="str">
        <f t="shared" si="264"/>
        <v>00</v>
      </c>
      <c r="P1137" s="11"/>
      <c r="Q1137" s="12"/>
      <c r="R1137" s="13">
        <v>525</v>
      </c>
      <c r="S1137" s="12">
        <f t="shared" si="274"/>
        <v>0</v>
      </c>
      <c r="T1137" s="12"/>
      <c r="U1137" s="10"/>
      <c r="V1137" s="10"/>
      <c r="W1137" s="10"/>
    </row>
    <row r="1138" spans="1:23">
      <c r="A1138" s="3">
        <v>1031</v>
      </c>
      <c r="B1138" s="1">
        <f>IF(G1138="-",0,IF(G1136=G1138,1,0))</f>
        <v>0</v>
      </c>
      <c r="C1138" s="1">
        <f>+IF(G1138="-",0,IF(I1138=I1136+1,0,(IF(I1138=1,0,1))))</f>
        <v>1</v>
      </c>
      <c r="D1138" s="1">
        <f>+IF(AND(P1138="",Q1138=""),1,0)</f>
        <v>0</v>
      </c>
      <c r="E1138" s="1">
        <f>IF(U1138="",1,0)</f>
        <v>0</v>
      </c>
      <c r="F1138" s="1">
        <f>IF(V1138="",1,0)</f>
        <v>0</v>
      </c>
      <c r="G1138" s="1" t="str">
        <f>IF(H1138=0,"-",_xlfn.CONCAT(K1138,N1138,O1138,J1138))</f>
        <v>24062812</v>
      </c>
      <c r="H1138" s="2">
        <v>45471</v>
      </c>
      <c r="I1138" s="36">
        <v>12</v>
      </c>
      <c r="J1138" s="1">
        <f t="shared" si="259"/>
        <v>12</v>
      </c>
      <c r="K1138" s="3">
        <f t="shared" si="260"/>
        <v>24</v>
      </c>
      <c r="L1138" s="3">
        <f t="shared" si="261"/>
        <v>6</v>
      </c>
      <c r="M1138" s="3">
        <f t="shared" si="262"/>
        <v>28</v>
      </c>
      <c r="N1138" s="3" t="str">
        <f t="shared" si="263"/>
        <v>06</v>
      </c>
      <c r="O1138" s="14">
        <f t="shared" si="264"/>
        <v>28</v>
      </c>
      <c r="P1138" s="4">
        <v>13330</v>
      </c>
      <c r="R1138" s="6">
        <v>514</v>
      </c>
      <c r="S1138" s="5">
        <f t="shared" si="274"/>
        <v>25.933852140077821</v>
      </c>
      <c r="T1138" s="5" t="s">
        <v>449</v>
      </c>
      <c r="U1138" s="3" t="s">
        <v>29</v>
      </c>
      <c r="V1138" s="3" t="s">
        <v>4</v>
      </c>
    </row>
    <row r="1139" spans="1:23" hidden="1">
      <c r="G1139" s="52"/>
      <c r="H1139" s="9"/>
      <c r="I1139" s="52"/>
      <c r="J1139" s="52" t="str">
        <f t="shared" si="259"/>
        <v>0</v>
      </c>
      <c r="K1139" s="10">
        <f t="shared" si="260"/>
        <v>-100</v>
      </c>
      <c r="L1139" s="10">
        <f t="shared" si="261"/>
        <v>1</v>
      </c>
      <c r="M1139" s="10">
        <f t="shared" si="262"/>
        <v>0</v>
      </c>
      <c r="N1139" s="10" t="str">
        <f t="shared" si="263"/>
        <v>01</v>
      </c>
      <c r="O1139" s="70" t="str">
        <f t="shared" si="264"/>
        <v>00</v>
      </c>
      <c r="P1139" s="11"/>
      <c r="Q1139" s="12"/>
      <c r="R1139" s="13">
        <v>525</v>
      </c>
      <c r="S1139" s="12">
        <f t="shared" si="274"/>
        <v>0</v>
      </c>
      <c r="T1139" s="12"/>
      <c r="U1139" s="10"/>
      <c r="V1139" s="10"/>
      <c r="W1139" s="10"/>
    </row>
    <row r="1140" spans="1:23">
      <c r="A1140" s="3">
        <v>1032</v>
      </c>
      <c r="B1140" s="52">
        <f>IF(G1140="-",0,IF(G1139=G1140,1,0))</f>
        <v>0</v>
      </c>
      <c r="C1140" s="52">
        <f>+IF(G1140="-",0,IF(I1140=I1139+1,0,(IF(I1140=1,0,1))))</f>
        <v>0</v>
      </c>
      <c r="D1140" s="52">
        <f>+IF(AND(P1140="",Q1140=""),1,0)</f>
        <v>0</v>
      </c>
      <c r="E1140" s="52">
        <f>IF(U1140="",1,0)</f>
        <v>0</v>
      </c>
      <c r="F1140" s="52">
        <f>IF(V1140="",1,0)</f>
        <v>0</v>
      </c>
      <c r="G1140" s="52" t="str">
        <f>IF(H1140=0,"-",_xlfn.CONCAT(K1140,N1140,O1140,J1140))</f>
        <v>24062901</v>
      </c>
      <c r="H1140" s="9">
        <v>45472</v>
      </c>
      <c r="I1140" s="52">
        <v>1</v>
      </c>
      <c r="J1140" s="52" t="str">
        <f t="shared" si="259"/>
        <v>01</v>
      </c>
      <c r="K1140" s="10">
        <f t="shared" si="260"/>
        <v>24</v>
      </c>
      <c r="L1140" s="10">
        <f t="shared" si="261"/>
        <v>6</v>
      </c>
      <c r="M1140" s="10">
        <f t="shared" si="262"/>
        <v>29</v>
      </c>
      <c r="N1140" s="10" t="str">
        <f t="shared" si="263"/>
        <v>06</v>
      </c>
      <c r="O1140" s="70">
        <f t="shared" si="264"/>
        <v>29</v>
      </c>
      <c r="P1140" s="11">
        <v>150000</v>
      </c>
      <c r="Q1140" s="12"/>
      <c r="R1140" s="13">
        <v>519</v>
      </c>
      <c r="S1140" s="12">
        <f t="shared" si="274"/>
        <v>289.01734104046244</v>
      </c>
      <c r="T1140" s="12" t="s">
        <v>371</v>
      </c>
      <c r="U1140" s="10" t="s">
        <v>1</v>
      </c>
      <c r="V1140" s="10" t="s">
        <v>4</v>
      </c>
      <c r="W1140" s="10" t="s">
        <v>1069</v>
      </c>
    </row>
    <row r="1141" spans="1:23" hidden="1">
      <c r="G1141" s="52"/>
      <c r="H1141" s="9"/>
      <c r="I1141" s="52"/>
      <c r="J1141" s="52" t="str">
        <f t="shared" si="259"/>
        <v>0</v>
      </c>
      <c r="K1141" s="10">
        <f t="shared" si="260"/>
        <v>-100</v>
      </c>
      <c r="L1141" s="10">
        <f t="shared" si="261"/>
        <v>1</v>
      </c>
      <c r="M1141" s="10">
        <f t="shared" si="262"/>
        <v>0</v>
      </c>
      <c r="N1141" s="10" t="str">
        <f t="shared" si="263"/>
        <v>01</v>
      </c>
      <c r="O1141" s="70" t="str">
        <f t="shared" si="264"/>
        <v>00</v>
      </c>
      <c r="P1141" s="11"/>
      <c r="Q1141" s="12"/>
      <c r="R1141" s="13">
        <v>525</v>
      </c>
      <c r="S1141" s="12">
        <f t="shared" si="274"/>
        <v>0</v>
      </c>
      <c r="T1141" s="12"/>
      <c r="U1141" s="10"/>
      <c r="V1141" s="10"/>
      <c r="W1141" s="10"/>
    </row>
    <row r="1142" spans="1:23" hidden="1">
      <c r="G1142" s="52"/>
      <c r="H1142" s="9"/>
      <c r="I1142" s="52"/>
      <c r="J1142" s="52" t="str">
        <f t="shared" si="259"/>
        <v>0</v>
      </c>
      <c r="K1142" s="10">
        <f t="shared" si="260"/>
        <v>-100</v>
      </c>
      <c r="L1142" s="10">
        <f t="shared" si="261"/>
        <v>1</v>
      </c>
      <c r="M1142" s="10">
        <f t="shared" si="262"/>
        <v>0</v>
      </c>
      <c r="N1142" s="10" t="str">
        <f t="shared" si="263"/>
        <v>01</v>
      </c>
      <c r="O1142" s="70" t="str">
        <f t="shared" si="264"/>
        <v>00</v>
      </c>
      <c r="P1142" s="11"/>
      <c r="Q1142" s="12"/>
      <c r="R1142" s="13">
        <v>525</v>
      </c>
      <c r="S1142" s="12">
        <f t="shared" si="274"/>
        <v>0</v>
      </c>
      <c r="T1142" s="12"/>
      <c r="U1142" s="10"/>
      <c r="V1142" s="10"/>
      <c r="W1142" s="10"/>
    </row>
    <row r="1143" spans="1:23" hidden="1">
      <c r="G1143" s="52"/>
      <c r="H1143" s="9"/>
      <c r="I1143" s="52"/>
      <c r="J1143" s="52" t="str">
        <f t="shared" si="259"/>
        <v>0</v>
      </c>
      <c r="K1143" s="10">
        <f t="shared" si="260"/>
        <v>-100</v>
      </c>
      <c r="L1143" s="10">
        <f t="shared" si="261"/>
        <v>1</v>
      </c>
      <c r="M1143" s="10">
        <f t="shared" si="262"/>
        <v>0</v>
      </c>
      <c r="N1143" s="10" t="str">
        <f t="shared" si="263"/>
        <v>01</v>
      </c>
      <c r="O1143" s="70" t="str">
        <f t="shared" si="264"/>
        <v>00</v>
      </c>
      <c r="P1143" s="11"/>
      <c r="Q1143" s="12"/>
      <c r="R1143" s="13">
        <v>525</v>
      </c>
      <c r="S1143" s="12">
        <f t="shared" si="274"/>
        <v>0</v>
      </c>
      <c r="T1143" s="12"/>
      <c r="U1143" s="10"/>
      <c r="V1143" s="10"/>
      <c r="W1143" s="10"/>
    </row>
    <row r="1144" spans="1:23" hidden="1">
      <c r="G1144" s="52"/>
      <c r="H1144" s="9"/>
      <c r="I1144" s="52"/>
      <c r="J1144" s="52" t="str">
        <f t="shared" si="259"/>
        <v>0</v>
      </c>
      <c r="K1144" s="10">
        <f t="shared" si="260"/>
        <v>-100</v>
      </c>
      <c r="L1144" s="10">
        <f t="shared" si="261"/>
        <v>1</v>
      </c>
      <c r="M1144" s="10">
        <f t="shared" si="262"/>
        <v>0</v>
      </c>
      <c r="N1144" s="10" t="str">
        <f t="shared" si="263"/>
        <v>01</v>
      </c>
      <c r="O1144" s="70" t="str">
        <f t="shared" si="264"/>
        <v>00</v>
      </c>
      <c r="P1144" s="11"/>
      <c r="Q1144" s="12"/>
      <c r="R1144" s="13">
        <v>525</v>
      </c>
      <c r="S1144" s="12">
        <f t="shared" si="274"/>
        <v>0</v>
      </c>
      <c r="T1144" s="12"/>
      <c r="U1144" s="10"/>
      <c r="V1144" s="10"/>
      <c r="W1144" s="10"/>
    </row>
    <row r="1145" spans="1:23">
      <c r="A1145" s="3">
        <v>1033</v>
      </c>
      <c r="B1145" s="52">
        <f>IF(G1145="-",0,IF(G1144=G1145,1,0))</f>
        <v>0</v>
      </c>
      <c r="C1145" s="52">
        <f>+IF(G1145="-",0,IF(I1145=I1144+1,0,(IF(I1145=1,0,1))))</f>
        <v>1</v>
      </c>
      <c r="D1145" s="52">
        <f>+IF(AND(P1145="",Q1145=""),1,0)</f>
        <v>0</v>
      </c>
      <c r="E1145" s="52">
        <f>IF(U1145="",1,0)</f>
        <v>0</v>
      </c>
      <c r="F1145" s="52">
        <f>IF(V1145="",1,0)</f>
        <v>0</v>
      </c>
      <c r="G1145" s="52" t="str">
        <f>IF(H1145=0,"-",_xlfn.CONCAT(K1145,N1145,O1145,J1145))</f>
        <v>24062902</v>
      </c>
      <c r="H1145" s="9">
        <v>45472</v>
      </c>
      <c r="I1145" s="52">
        <v>2</v>
      </c>
      <c r="J1145" s="52" t="str">
        <f t="shared" si="259"/>
        <v>02</v>
      </c>
      <c r="K1145" s="10">
        <f t="shared" si="260"/>
        <v>24</v>
      </c>
      <c r="L1145" s="10">
        <f t="shared" si="261"/>
        <v>6</v>
      </c>
      <c r="M1145" s="10">
        <f t="shared" si="262"/>
        <v>29</v>
      </c>
      <c r="N1145" s="10" t="str">
        <f t="shared" si="263"/>
        <v>06</v>
      </c>
      <c r="O1145" s="70">
        <f t="shared" si="264"/>
        <v>29</v>
      </c>
      <c r="P1145" s="11">
        <v>120000</v>
      </c>
      <c r="Q1145" s="12"/>
      <c r="R1145" s="13">
        <v>519</v>
      </c>
      <c r="S1145" s="12">
        <f t="shared" si="274"/>
        <v>231.21387283236993</v>
      </c>
      <c r="T1145" s="12" t="s">
        <v>372</v>
      </c>
      <c r="U1145" s="10" t="s">
        <v>1</v>
      </c>
      <c r="V1145" s="10" t="s">
        <v>4</v>
      </c>
      <c r="W1145" s="10"/>
    </row>
    <row r="1146" spans="1:23" hidden="1">
      <c r="G1146" s="52"/>
      <c r="H1146" s="9"/>
      <c r="I1146" s="52"/>
      <c r="J1146" s="52" t="str">
        <f t="shared" si="259"/>
        <v>0</v>
      </c>
      <c r="K1146" s="10">
        <f t="shared" si="260"/>
        <v>-100</v>
      </c>
      <c r="L1146" s="10">
        <f t="shared" si="261"/>
        <v>1</v>
      </c>
      <c r="M1146" s="10">
        <f t="shared" si="262"/>
        <v>0</v>
      </c>
      <c r="N1146" s="10" t="str">
        <f t="shared" si="263"/>
        <v>01</v>
      </c>
      <c r="O1146" s="70" t="str">
        <f t="shared" si="264"/>
        <v>00</v>
      </c>
      <c r="P1146" s="11"/>
      <c r="Q1146" s="12"/>
      <c r="R1146" s="13">
        <v>525</v>
      </c>
      <c r="S1146" s="12">
        <f t="shared" si="274"/>
        <v>0</v>
      </c>
      <c r="T1146" s="12"/>
      <c r="U1146" s="10"/>
      <c r="V1146" s="10"/>
      <c r="W1146" s="10"/>
    </row>
    <row r="1147" spans="1:23" hidden="1">
      <c r="G1147" s="52"/>
      <c r="H1147" s="9"/>
      <c r="I1147" s="52"/>
      <c r="J1147" s="52" t="str">
        <f t="shared" si="259"/>
        <v>0</v>
      </c>
      <c r="K1147" s="10">
        <f t="shared" si="260"/>
        <v>-100</v>
      </c>
      <c r="L1147" s="10">
        <f t="shared" si="261"/>
        <v>1</v>
      </c>
      <c r="M1147" s="10">
        <f t="shared" si="262"/>
        <v>0</v>
      </c>
      <c r="N1147" s="10" t="str">
        <f t="shared" si="263"/>
        <v>01</v>
      </c>
      <c r="O1147" s="70" t="str">
        <f t="shared" si="264"/>
        <v>00</v>
      </c>
      <c r="P1147" s="11"/>
      <c r="Q1147" s="12"/>
      <c r="R1147" s="13">
        <v>525</v>
      </c>
      <c r="S1147" s="12">
        <f t="shared" si="274"/>
        <v>0</v>
      </c>
      <c r="T1147" s="12"/>
      <c r="U1147" s="10"/>
      <c r="V1147" s="10"/>
      <c r="W1147" s="10"/>
    </row>
    <row r="1148" spans="1:23">
      <c r="A1148" s="3">
        <v>1034</v>
      </c>
      <c r="B1148" s="52">
        <f>IF(G1148="-",0,IF(G1147=G1148,1,0))</f>
        <v>0</v>
      </c>
      <c r="C1148" s="52">
        <f>+IF(G1148="-",0,IF(I1148=I1147+1,0,(IF(I1148=1,0,1))))</f>
        <v>1</v>
      </c>
      <c r="D1148" s="52">
        <f>+IF(AND(P1148="",Q1148=""),1,0)</f>
        <v>0</v>
      </c>
      <c r="E1148" s="52">
        <f>IF(U1148="",1,0)</f>
        <v>0</v>
      </c>
      <c r="F1148" s="52">
        <f>IF(V1148="",1,0)</f>
        <v>0</v>
      </c>
      <c r="G1148" s="52" t="str">
        <f>IF(H1148=0,"-",_xlfn.CONCAT(K1148,N1148,O1148,J1148))</f>
        <v>24062903</v>
      </c>
      <c r="H1148" s="9">
        <v>45472</v>
      </c>
      <c r="I1148" s="52">
        <v>3</v>
      </c>
      <c r="J1148" s="52" t="str">
        <f t="shared" si="259"/>
        <v>03</v>
      </c>
      <c r="K1148" s="10">
        <f t="shared" si="260"/>
        <v>24</v>
      </c>
      <c r="L1148" s="10">
        <f t="shared" si="261"/>
        <v>6</v>
      </c>
      <c r="M1148" s="10">
        <f t="shared" si="262"/>
        <v>29</v>
      </c>
      <c r="N1148" s="10" t="str">
        <f t="shared" si="263"/>
        <v>06</v>
      </c>
      <c r="O1148" s="70">
        <f t="shared" si="264"/>
        <v>29</v>
      </c>
      <c r="P1148" s="11">
        <v>102000</v>
      </c>
      <c r="Q1148" s="12"/>
      <c r="R1148" s="13">
        <v>519</v>
      </c>
      <c r="S1148" s="12">
        <f t="shared" si="274"/>
        <v>196.53179190751445</v>
      </c>
      <c r="T1148" s="12" t="s">
        <v>373</v>
      </c>
      <c r="U1148" s="10" t="s">
        <v>1</v>
      </c>
      <c r="V1148" s="10" t="s">
        <v>4</v>
      </c>
      <c r="W1148" s="10"/>
    </row>
    <row r="1149" spans="1:23">
      <c r="A1149" s="3">
        <v>1035</v>
      </c>
      <c r="B1149" s="52">
        <f>IF(G1149="-",0,IF(G1148=G1149,1,0))</f>
        <v>0</v>
      </c>
      <c r="C1149" s="52">
        <f>+IF(G1149="-",0,IF(I1149=I1148+1,0,(IF(I1149=1,0,1))))</f>
        <v>0</v>
      </c>
      <c r="D1149" s="52">
        <f>+IF(AND(P1149="",Q1149=""),1,0)</f>
        <v>0</v>
      </c>
      <c r="E1149" s="52">
        <f>IF(U1149="",1,0)</f>
        <v>0</v>
      </c>
      <c r="F1149" s="52">
        <f>IF(V1149="",1,0)</f>
        <v>0</v>
      </c>
      <c r="G1149" s="52" t="str">
        <f>IF(H1149=0,"-",_xlfn.CONCAT(K1149,N1149,O1149,J1149))</f>
        <v>24062904</v>
      </c>
      <c r="H1149" s="9">
        <v>45472</v>
      </c>
      <c r="I1149" s="52">
        <v>4</v>
      </c>
      <c r="J1149" s="52" t="str">
        <f t="shared" si="259"/>
        <v>04</v>
      </c>
      <c r="K1149" s="10">
        <f t="shared" si="260"/>
        <v>24</v>
      </c>
      <c r="L1149" s="10">
        <f t="shared" si="261"/>
        <v>6</v>
      </c>
      <c r="M1149" s="10">
        <f t="shared" si="262"/>
        <v>29</v>
      </c>
      <c r="N1149" s="10" t="str">
        <f t="shared" si="263"/>
        <v>06</v>
      </c>
      <c r="O1149" s="70">
        <f t="shared" si="264"/>
        <v>29</v>
      </c>
      <c r="P1149" s="11">
        <v>102000</v>
      </c>
      <c r="Q1149" s="12"/>
      <c r="R1149" s="13">
        <v>519</v>
      </c>
      <c r="S1149" s="12">
        <f t="shared" si="274"/>
        <v>196.53179190751445</v>
      </c>
      <c r="T1149" s="12" t="s">
        <v>374</v>
      </c>
      <c r="U1149" s="10" t="s">
        <v>1</v>
      </c>
      <c r="V1149" s="10" t="s">
        <v>4</v>
      </c>
      <c r="W1149" s="10"/>
    </row>
    <row r="1150" spans="1:23" hidden="1">
      <c r="G1150" s="52"/>
      <c r="H1150" s="9"/>
      <c r="I1150" s="52"/>
      <c r="J1150" s="52" t="str">
        <f t="shared" si="259"/>
        <v>0</v>
      </c>
      <c r="K1150" s="10">
        <f t="shared" si="260"/>
        <v>-100</v>
      </c>
      <c r="L1150" s="10">
        <f t="shared" si="261"/>
        <v>1</v>
      </c>
      <c r="M1150" s="10">
        <f t="shared" si="262"/>
        <v>0</v>
      </c>
      <c r="N1150" s="10" t="str">
        <f t="shared" si="263"/>
        <v>01</v>
      </c>
      <c r="O1150" s="70" t="str">
        <f t="shared" si="264"/>
        <v>00</v>
      </c>
      <c r="P1150" s="11"/>
      <c r="Q1150" s="12"/>
      <c r="R1150" s="13">
        <v>525</v>
      </c>
      <c r="S1150" s="12">
        <f t="shared" si="274"/>
        <v>0</v>
      </c>
      <c r="T1150" s="12"/>
      <c r="U1150" s="10"/>
      <c r="V1150" s="10"/>
      <c r="W1150" s="10"/>
    </row>
    <row r="1151" spans="1:23">
      <c r="A1151" s="3">
        <v>1036</v>
      </c>
      <c r="B1151" s="52">
        <f>IF(G1151="-",0,IF(G1150=G1151,1,0))</f>
        <v>0</v>
      </c>
      <c r="C1151" s="52">
        <f>+IF(G1151="-",0,IF(I1151=I1150+1,0,(IF(I1151=1,0,1))))</f>
        <v>1</v>
      </c>
      <c r="D1151" s="52">
        <f>+IF(AND(P1151="",Q1151=""),1,0)</f>
        <v>0</v>
      </c>
      <c r="E1151" s="52">
        <f>IF(U1151="",1,0)</f>
        <v>0</v>
      </c>
      <c r="F1151" s="52">
        <f>IF(V1151="",1,0)</f>
        <v>0</v>
      </c>
      <c r="G1151" s="52" t="str">
        <f>IF(H1151=0,"-",_xlfn.CONCAT(K1151,N1151,O1151,J1151))</f>
        <v>24062905</v>
      </c>
      <c r="H1151" s="9">
        <v>45472</v>
      </c>
      <c r="I1151" s="52">
        <v>5</v>
      </c>
      <c r="J1151" s="52" t="str">
        <f t="shared" si="259"/>
        <v>05</v>
      </c>
      <c r="K1151" s="10">
        <f t="shared" si="260"/>
        <v>24</v>
      </c>
      <c r="L1151" s="10">
        <f t="shared" si="261"/>
        <v>6</v>
      </c>
      <c r="M1151" s="10">
        <f t="shared" si="262"/>
        <v>29</v>
      </c>
      <c r="N1151" s="10" t="str">
        <f t="shared" si="263"/>
        <v>06</v>
      </c>
      <c r="O1151" s="70">
        <f t="shared" si="264"/>
        <v>29</v>
      </c>
      <c r="P1151" s="11">
        <v>120000</v>
      </c>
      <c r="Q1151" s="12"/>
      <c r="R1151" s="13">
        <v>519</v>
      </c>
      <c r="S1151" s="12">
        <f t="shared" si="274"/>
        <v>231.21387283236993</v>
      </c>
      <c r="T1151" s="12" t="s">
        <v>375</v>
      </c>
      <c r="U1151" s="10" t="s">
        <v>1</v>
      </c>
      <c r="V1151" s="10" t="s">
        <v>4</v>
      </c>
      <c r="W1151" s="10"/>
    </row>
    <row r="1152" spans="1:23" hidden="1">
      <c r="J1152" s="1" t="str">
        <f t="shared" si="259"/>
        <v>0</v>
      </c>
      <c r="K1152" s="3">
        <f t="shared" si="260"/>
        <v>-100</v>
      </c>
      <c r="L1152" s="3">
        <f t="shared" si="261"/>
        <v>1</v>
      </c>
      <c r="M1152" s="3">
        <f t="shared" si="262"/>
        <v>0</v>
      </c>
      <c r="N1152" s="3" t="str">
        <f t="shared" si="263"/>
        <v>01</v>
      </c>
      <c r="O1152" s="14" t="str">
        <f t="shared" si="264"/>
        <v>00</v>
      </c>
      <c r="R1152" s="6">
        <v>525</v>
      </c>
      <c r="S1152" s="5">
        <f t="shared" si="274"/>
        <v>0</v>
      </c>
    </row>
    <row r="1153" spans="1:23" hidden="1">
      <c r="J1153" s="1" t="str">
        <f t="shared" si="259"/>
        <v>0</v>
      </c>
      <c r="K1153" s="3">
        <f t="shared" si="260"/>
        <v>-100</v>
      </c>
      <c r="L1153" s="3">
        <f t="shared" si="261"/>
        <v>1</v>
      </c>
      <c r="M1153" s="3">
        <f t="shared" si="262"/>
        <v>0</v>
      </c>
      <c r="N1153" s="3" t="str">
        <f t="shared" si="263"/>
        <v>01</v>
      </c>
      <c r="O1153" s="14" t="str">
        <f t="shared" si="264"/>
        <v>00</v>
      </c>
      <c r="R1153" s="6">
        <v>525</v>
      </c>
      <c r="S1153" s="5">
        <f t="shared" si="274"/>
        <v>0</v>
      </c>
    </row>
    <row r="1154" spans="1:23" hidden="1">
      <c r="J1154" s="1" t="str">
        <f t="shared" si="259"/>
        <v>0</v>
      </c>
      <c r="K1154" s="3">
        <f t="shared" si="260"/>
        <v>-100</v>
      </c>
      <c r="L1154" s="3">
        <f t="shared" si="261"/>
        <v>1</v>
      </c>
      <c r="M1154" s="3">
        <f t="shared" si="262"/>
        <v>0</v>
      </c>
      <c r="N1154" s="3" t="str">
        <f t="shared" si="263"/>
        <v>01</v>
      </c>
      <c r="O1154" s="14" t="str">
        <f t="shared" si="264"/>
        <v>00</v>
      </c>
      <c r="R1154" s="6">
        <v>525</v>
      </c>
      <c r="S1154" s="5">
        <f t="shared" si="274"/>
        <v>0</v>
      </c>
    </row>
    <row r="1155" spans="1:23" hidden="1">
      <c r="J1155" s="1" t="str">
        <f t="shared" si="259"/>
        <v>0</v>
      </c>
      <c r="K1155" s="3">
        <f t="shared" si="260"/>
        <v>-100</v>
      </c>
      <c r="L1155" s="3">
        <f t="shared" si="261"/>
        <v>1</v>
      </c>
      <c r="M1155" s="3">
        <f t="shared" si="262"/>
        <v>0</v>
      </c>
      <c r="N1155" s="3" t="str">
        <f t="shared" si="263"/>
        <v>01</v>
      </c>
      <c r="O1155" s="14" t="str">
        <f t="shared" si="264"/>
        <v>00</v>
      </c>
      <c r="R1155" s="6">
        <v>525</v>
      </c>
      <c r="S1155" s="5">
        <f t="shared" si="274"/>
        <v>0</v>
      </c>
    </row>
    <row r="1156" spans="1:23" hidden="1">
      <c r="J1156" s="1" t="str">
        <f t="shared" si="259"/>
        <v>0</v>
      </c>
      <c r="K1156" s="3">
        <f t="shared" si="260"/>
        <v>-100</v>
      </c>
      <c r="L1156" s="3">
        <f t="shared" si="261"/>
        <v>1</v>
      </c>
      <c r="M1156" s="3">
        <f t="shared" si="262"/>
        <v>0</v>
      </c>
      <c r="N1156" s="3" t="str">
        <f t="shared" si="263"/>
        <v>01</v>
      </c>
      <c r="O1156" s="14" t="str">
        <f t="shared" si="264"/>
        <v>00</v>
      </c>
      <c r="R1156" s="6">
        <v>525</v>
      </c>
      <c r="S1156" s="5">
        <f t="shared" si="274"/>
        <v>0</v>
      </c>
    </row>
    <row r="1157" spans="1:23" hidden="1">
      <c r="J1157" s="1" t="str">
        <f t="shared" si="259"/>
        <v>0</v>
      </c>
      <c r="K1157" s="3">
        <f t="shared" si="260"/>
        <v>-100</v>
      </c>
      <c r="L1157" s="3">
        <f t="shared" si="261"/>
        <v>1</v>
      </c>
      <c r="M1157" s="3">
        <f t="shared" si="262"/>
        <v>0</v>
      </c>
      <c r="N1157" s="3" t="str">
        <f t="shared" si="263"/>
        <v>01</v>
      </c>
      <c r="O1157" s="14" t="str">
        <f t="shared" si="264"/>
        <v>00</v>
      </c>
      <c r="R1157" s="6">
        <v>525</v>
      </c>
      <c r="S1157" s="5">
        <f t="shared" si="274"/>
        <v>0</v>
      </c>
    </row>
    <row r="1158" spans="1:23">
      <c r="A1158" s="3">
        <v>1037</v>
      </c>
      <c r="B1158" s="52">
        <f>IF(G1158="-",0,IF(G1157=G1158,1,0))</f>
        <v>0</v>
      </c>
      <c r="C1158" s="52">
        <f>+IF(G1158="-",0,IF(I1158=I1157+1,0,(IF(I1158=1,0,1))))</f>
        <v>1</v>
      </c>
      <c r="D1158" s="52">
        <f>+IF(AND(P1158="",Q1158=""),1,0)</f>
        <v>0</v>
      </c>
      <c r="E1158" s="52">
        <f>IF(U1158="",1,0)</f>
        <v>0</v>
      </c>
      <c r="F1158" s="52">
        <f>IF(V1158="",1,0)</f>
        <v>0</v>
      </c>
      <c r="G1158" s="52" t="str">
        <f>IF(H1158=0,"-",_xlfn.CONCAT(K1158,N1158,O1158,J1158))</f>
        <v>24062906</v>
      </c>
      <c r="H1158" s="9">
        <v>45472</v>
      </c>
      <c r="I1158" s="52">
        <v>6</v>
      </c>
      <c r="J1158" s="52" t="str">
        <f t="shared" si="259"/>
        <v>06</v>
      </c>
      <c r="K1158" s="10">
        <f t="shared" si="260"/>
        <v>24</v>
      </c>
      <c r="L1158" s="10">
        <f t="shared" si="261"/>
        <v>6</v>
      </c>
      <c r="M1158" s="10">
        <f t="shared" si="262"/>
        <v>29</v>
      </c>
      <c r="N1158" s="10" t="str">
        <f t="shared" si="263"/>
        <v>06</v>
      </c>
      <c r="O1158" s="70">
        <f t="shared" si="264"/>
        <v>29</v>
      </c>
      <c r="P1158" s="11">
        <v>72000</v>
      </c>
      <c r="Q1158" s="12"/>
      <c r="R1158" s="13">
        <v>519</v>
      </c>
      <c r="S1158" s="12">
        <f t="shared" si="274"/>
        <v>138.72832369942196</v>
      </c>
      <c r="T1158" s="12" t="s">
        <v>376</v>
      </c>
      <c r="U1158" s="10" t="s">
        <v>1</v>
      </c>
      <c r="V1158" s="10" t="s">
        <v>4</v>
      </c>
      <c r="W1158" s="10"/>
    </row>
    <row r="1159" spans="1:23" hidden="1">
      <c r="J1159" s="1" t="str">
        <f t="shared" si="259"/>
        <v>0</v>
      </c>
      <c r="K1159" s="3">
        <f t="shared" si="260"/>
        <v>-100</v>
      </c>
      <c r="L1159" s="3">
        <f t="shared" si="261"/>
        <v>1</v>
      </c>
      <c r="M1159" s="3">
        <f t="shared" si="262"/>
        <v>0</v>
      </c>
      <c r="N1159" s="3" t="str">
        <f t="shared" si="263"/>
        <v>01</v>
      </c>
      <c r="O1159" s="14" t="str">
        <f t="shared" si="264"/>
        <v>00</v>
      </c>
      <c r="S1159" s="5" t="str">
        <f t="shared" si="274"/>
        <v/>
      </c>
    </row>
    <row r="1160" spans="1:23" hidden="1">
      <c r="J1160" s="1" t="str">
        <f t="shared" si="259"/>
        <v>0</v>
      </c>
      <c r="K1160" s="3">
        <f t="shared" si="260"/>
        <v>-100</v>
      </c>
      <c r="L1160" s="3">
        <f t="shared" si="261"/>
        <v>1</v>
      </c>
      <c r="M1160" s="3">
        <f t="shared" si="262"/>
        <v>0</v>
      </c>
      <c r="N1160" s="3" t="str">
        <f t="shared" si="263"/>
        <v>01</v>
      </c>
      <c r="O1160" s="14" t="str">
        <f t="shared" si="264"/>
        <v>00</v>
      </c>
      <c r="R1160" s="6">
        <v>525</v>
      </c>
      <c r="S1160" s="5">
        <f t="shared" si="274"/>
        <v>0</v>
      </c>
    </row>
    <row r="1161" spans="1:23">
      <c r="A1161" s="3">
        <v>1039</v>
      </c>
      <c r="B1161" s="52">
        <f>IF(G1161="-",0,IF(G1160=G1161,1,0))</f>
        <v>0</v>
      </c>
      <c r="C1161" s="52">
        <f>+IF(G1161="-",0,IF(I1161=I1160+1,0,(IF(I1161=1,0,1))))</f>
        <v>1</v>
      </c>
      <c r="D1161" s="52">
        <f>+IF(AND(P1161="",Q1161=""),1,0)</f>
        <v>0</v>
      </c>
      <c r="E1161" s="52">
        <f>IF(U1161="",1,0)</f>
        <v>0</v>
      </c>
      <c r="F1161" s="52">
        <f>IF(V1161="",1,0)</f>
        <v>0</v>
      </c>
      <c r="G1161" s="52" t="str">
        <f>IF(H1161=0,"-",_xlfn.CONCAT(K1161,N1161,O1161,J1161))</f>
        <v>24062908</v>
      </c>
      <c r="H1161" s="9">
        <v>45472</v>
      </c>
      <c r="I1161" s="52">
        <v>8</v>
      </c>
      <c r="J1161" s="52" t="str">
        <f t="shared" si="259"/>
        <v>08</v>
      </c>
      <c r="K1161" s="10">
        <f t="shared" si="260"/>
        <v>24</v>
      </c>
      <c r="L1161" s="10">
        <f t="shared" si="261"/>
        <v>6</v>
      </c>
      <c r="M1161" s="10">
        <f t="shared" si="262"/>
        <v>29</v>
      </c>
      <c r="N1161" s="10" t="str">
        <f t="shared" si="263"/>
        <v>06</v>
      </c>
      <c r="O1161" s="70">
        <f t="shared" si="264"/>
        <v>29</v>
      </c>
      <c r="P1161" s="11">
        <v>130000</v>
      </c>
      <c r="Q1161" s="12"/>
      <c r="R1161" s="13">
        <v>519</v>
      </c>
      <c r="S1161" s="12">
        <f t="shared" si="274"/>
        <v>250.48169556840077</v>
      </c>
      <c r="T1161" s="12" t="s">
        <v>378</v>
      </c>
      <c r="U1161" s="10" t="s">
        <v>1</v>
      </c>
      <c r="V1161" s="10" t="s">
        <v>4</v>
      </c>
      <c r="W1161" s="10"/>
    </row>
    <row r="1162" spans="1:23" hidden="1">
      <c r="J1162" s="1" t="str">
        <f t="shared" si="259"/>
        <v>0</v>
      </c>
      <c r="K1162" s="3">
        <f t="shared" si="260"/>
        <v>-100</v>
      </c>
      <c r="L1162" s="3">
        <f t="shared" si="261"/>
        <v>1</v>
      </c>
      <c r="M1162" s="3">
        <f t="shared" si="262"/>
        <v>0</v>
      </c>
      <c r="N1162" s="3" t="str">
        <f t="shared" si="263"/>
        <v>01</v>
      </c>
      <c r="O1162" s="14" t="str">
        <f t="shared" si="264"/>
        <v>00</v>
      </c>
      <c r="R1162" s="6">
        <v>525</v>
      </c>
      <c r="S1162" s="5">
        <f t="shared" si="274"/>
        <v>0</v>
      </c>
    </row>
    <row r="1163" spans="1:23" hidden="1">
      <c r="J1163" s="1" t="str">
        <f t="shared" si="259"/>
        <v>0</v>
      </c>
      <c r="K1163" s="3">
        <f t="shared" si="260"/>
        <v>-100</v>
      </c>
      <c r="L1163" s="3">
        <f t="shared" si="261"/>
        <v>1</v>
      </c>
      <c r="M1163" s="3">
        <f t="shared" si="262"/>
        <v>0</v>
      </c>
      <c r="N1163" s="3" t="str">
        <f t="shared" si="263"/>
        <v>01</v>
      </c>
      <c r="O1163" s="14" t="str">
        <f t="shared" si="264"/>
        <v>00</v>
      </c>
      <c r="R1163" s="6">
        <v>525</v>
      </c>
      <c r="S1163" s="5">
        <f t="shared" si="274"/>
        <v>0</v>
      </c>
    </row>
    <row r="1164" spans="1:23" hidden="1">
      <c r="J1164" s="1" t="str">
        <f t="shared" si="259"/>
        <v>0</v>
      </c>
      <c r="K1164" s="3">
        <f t="shared" si="260"/>
        <v>-100</v>
      </c>
      <c r="L1164" s="3">
        <f t="shared" si="261"/>
        <v>1</v>
      </c>
      <c r="M1164" s="3">
        <f t="shared" si="262"/>
        <v>0</v>
      </c>
      <c r="N1164" s="3" t="str">
        <f t="shared" si="263"/>
        <v>01</v>
      </c>
      <c r="O1164" s="14" t="str">
        <f t="shared" si="264"/>
        <v>00</v>
      </c>
      <c r="R1164" s="6">
        <v>525</v>
      </c>
      <c r="S1164" s="5">
        <f t="shared" si="274"/>
        <v>0</v>
      </c>
    </row>
    <row r="1165" spans="1:23" hidden="1">
      <c r="J1165" s="1" t="str">
        <f t="shared" ref="J1165:J1228" si="275">+IF(I1165&lt;10,_xlfn.CONCAT("0",I1165),I1165)</f>
        <v>0</v>
      </c>
      <c r="K1165" s="3">
        <f t="shared" ref="K1165:K1228" si="276">+YEAR(H1165)-2000</f>
        <v>-100</v>
      </c>
      <c r="L1165" s="3">
        <f t="shared" ref="L1165:L1228" si="277">+MONTH(H1165)</f>
        <v>1</v>
      </c>
      <c r="M1165" s="3">
        <f t="shared" ref="M1165:M1228" si="278">+DAY(H1165)</f>
        <v>0</v>
      </c>
      <c r="N1165" s="3" t="str">
        <f t="shared" ref="N1165:N1228" si="279">+IF(L1165&lt;10,_xlfn.CONCAT("0",L1165),L1165)</f>
        <v>01</v>
      </c>
      <c r="O1165" s="14" t="str">
        <f t="shared" ref="O1165:O1228" si="280">+IF(M1165&lt;10,_xlfn.CONCAT("0",M1165),M1165)</f>
        <v>00</v>
      </c>
      <c r="R1165" s="6">
        <v>525</v>
      </c>
      <c r="S1165" s="5">
        <f t="shared" ref="S1165:S1196" si="281">IFERROR(P1165/R1165,"")</f>
        <v>0</v>
      </c>
    </row>
    <row r="1166" spans="1:23" hidden="1">
      <c r="J1166" s="1" t="str">
        <f t="shared" si="275"/>
        <v>0</v>
      </c>
      <c r="K1166" s="3">
        <f t="shared" si="276"/>
        <v>-100</v>
      </c>
      <c r="L1166" s="3">
        <f t="shared" si="277"/>
        <v>1</v>
      </c>
      <c r="M1166" s="3">
        <f t="shared" si="278"/>
        <v>0</v>
      </c>
      <c r="N1166" s="3" t="str">
        <f t="shared" si="279"/>
        <v>01</v>
      </c>
      <c r="O1166" s="14" t="str">
        <f t="shared" si="280"/>
        <v>00</v>
      </c>
      <c r="R1166" s="6">
        <v>525</v>
      </c>
      <c r="S1166" s="5">
        <f t="shared" si="281"/>
        <v>0</v>
      </c>
    </row>
    <row r="1167" spans="1:23" hidden="1">
      <c r="J1167" s="1" t="str">
        <f t="shared" si="275"/>
        <v>0</v>
      </c>
      <c r="K1167" s="3">
        <f t="shared" si="276"/>
        <v>-100</v>
      </c>
      <c r="L1167" s="3">
        <f t="shared" si="277"/>
        <v>1</v>
      </c>
      <c r="M1167" s="3">
        <f t="shared" si="278"/>
        <v>0</v>
      </c>
      <c r="N1167" s="3" t="str">
        <f t="shared" si="279"/>
        <v>01</v>
      </c>
      <c r="O1167" s="14" t="str">
        <f t="shared" si="280"/>
        <v>00</v>
      </c>
      <c r="R1167" s="6">
        <v>525</v>
      </c>
      <c r="S1167" s="5">
        <f t="shared" si="281"/>
        <v>0</v>
      </c>
    </row>
    <row r="1168" spans="1:23" hidden="1">
      <c r="J1168" s="1" t="str">
        <f t="shared" si="275"/>
        <v>0</v>
      </c>
      <c r="K1168" s="3">
        <f t="shared" si="276"/>
        <v>-100</v>
      </c>
      <c r="L1168" s="3">
        <f t="shared" si="277"/>
        <v>1</v>
      </c>
      <c r="M1168" s="3">
        <f t="shared" si="278"/>
        <v>0</v>
      </c>
      <c r="N1168" s="3" t="str">
        <f t="shared" si="279"/>
        <v>01</v>
      </c>
      <c r="O1168" s="14" t="str">
        <f t="shared" si="280"/>
        <v>00</v>
      </c>
      <c r="P1168" s="11"/>
      <c r="S1168" s="5" t="str">
        <f t="shared" si="281"/>
        <v/>
      </c>
    </row>
    <row r="1169" spans="1:23" hidden="1">
      <c r="J1169" s="1" t="str">
        <f t="shared" si="275"/>
        <v>0</v>
      </c>
      <c r="K1169" s="3">
        <f t="shared" si="276"/>
        <v>-100</v>
      </c>
      <c r="L1169" s="3">
        <f t="shared" si="277"/>
        <v>1</v>
      </c>
      <c r="M1169" s="3">
        <f t="shared" si="278"/>
        <v>0</v>
      </c>
      <c r="N1169" s="3" t="str">
        <f t="shared" si="279"/>
        <v>01</v>
      </c>
      <c r="O1169" s="14" t="str">
        <f t="shared" si="280"/>
        <v>00</v>
      </c>
      <c r="R1169" s="6">
        <v>522</v>
      </c>
      <c r="S1169" s="5">
        <f t="shared" si="281"/>
        <v>0</v>
      </c>
    </row>
    <row r="1170" spans="1:23" hidden="1">
      <c r="J1170" s="1" t="str">
        <f t="shared" si="275"/>
        <v>0</v>
      </c>
      <c r="K1170" s="3">
        <f t="shared" si="276"/>
        <v>-100</v>
      </c>
      <c r="L1170" s="3">
        <f t="shared" si="277"/>
        <v>1</v>
      </c>
      <c r="M1170" s="3">
        <f t="shared" si="278"/>
        <v>0</v>
      </c>
      <c r="N1170" s="3" t="str">
        <f t="shared" si="279"/>
        <v>01</v>
      </c>
      <c r="O1170" s="14" t="str">
        <f t="shared" si="280"/>
        <v>00</v>
      </c>
      <c r="R1170" s="6">
        <v>522</v>
      </c>
      <c r="S1170" s="5">
        <f t="shared" si="281"/>
        <v>0</v>
      </c>
    </row>
    <row r="1171" spans="1:23" hidden="1">
      <c r="J1171" s="1" t="str">
        <f t="shared" si="275"/>
        <v>0</v>
      </c>
      <c r="K1171" s="3">
        <f t="shared" si="276"/>
        <v>-100</v>
      </c>
      <c r="L1171" s="3">
        <f t="shared" si="277"/>
        <v>1</v>
      </c>
      <c r="M1171" s="3">
        <f t="shared" si="278"/>
        <v>0</v>
      </c>
      <c r="N1171" s="3" t="str">
        <f t="shared" si="279"/>
        <v>01</v>
      </c>
      <c r="O1171" s="14" t="str">
        <f t="shared" si="280"/>
        <v>00</v>
      </c>
      <c r="R1171" s="6">
        <v>522</v>
      </c>
      <c r="S1171" s="5">
        <f t="shared" si="281"/>
        <v>0</v>
      </c>
    </row>
    <row r="1172" spans="1:23">
      <c r="A1172" s="3">
        <v>1042</v>
      </c>
      <c r="B1172" s="52">
        <f>IF(G1172="-",0,IF(G1171=G1172,1,0))</f>
        <v>0</v>
      </c>
      <c r="C1172" s="52">
        <f>+IF(G1172="-",0,IF(I1172=I1171+1,0,(IF(I1172=1,0,1))))</f>
        <v>1</v>
      </c>
      <c r="D1172" s="52">
        <f>+IF(AND(P1172="",Q1172=""),1,0)</f>
        <v>0</v>
      </c>
      <c r="E1172" s="52">
        <f t="shared" ref="E1172:F1174" si="282">IF(U1172="",1,0)</f>
        <v>0</v>
      </c>
      <c r="F1172" s="52">
        <f t="shared" si="282"/>
        <v>0</v>
      </c>
      <c r="G1172" s="52" t="str">
        <f>IF(H1172=0,"-",_xlfn.CONCAT(K1172,N1172,O1172,J1172))</f>
        <v>24062911</v>
      </c>
      <c r="H1172" s="9">
        <v>45472</v>
      </c>
      <c r="I1172" s="52">
        <v>11</v>
      </c>
      <c r="J1172" s="52">
        <f t="shared" si="275"/>
        <v>11</v>
      </c>
      <c r="K1172" s="10">
        <f t="shared" si="276"/>
        <v>24</v>
      </c>
      <c r="L1172" s="10">
        <f t="shared" si="277"/>
        <v>6</v>
      </c>
      <c r="M1172" s="10">
        <f t="shared" si="278"/>
        <v>29</v>
      </c>
      <c r="N1172" s="10" t="str">
        <f t="shared" si="279"/>
        <v>06</v>
      </c>
      <c r="O1172" s="70">
        <f t="shared" si="280"/>
        <v>29</v>
      </c>
      <c r="P1172" s="11">
        <v>120000</v>
      </c>
      <c r="Q1172" s="12"/>
      <c r="R1172" s="13">
        <v>519</v>
      </c>
      <c r="S1172" s="12">
        <f t="shared" si="281"/>
        <v>231.21387283236993</v>
      </c>
      <c r="T1172" s="12" t="s">
        <v>381</v>
      </c>
      <c r="U1172" s="10" t="s">
        <v>1</v>
      </c>
      <c r="V1172" s="10" t="s">
        <v>4</v>
      </c>
      <c r="W1172" s="10"/>
    </row>
    <row r="1173" spans="1:23">
      <c r="A1173" s="3">
        <v>1046</v>
      </c>
      <c r="B1173" s="52">
        <f>IF(G1173="-",0,IF(G1172=G1173,1,0))</f>
        <v>0</v>
      </c>
      <c r="C1173" s="52">
        <f>+IF(G1173="-",0,IF(I1173=I1172+1,0,(IF(I1173=1,0,1))))</f>
        <v>1</v>
      </c>
      <c r="D1173" s="52">
        <f>+IF(AND(P1173="",Q1173=""),1,0)</f>
        <v>0</v>
      </c>
      <c r="E1173" s="52">
        <f t="shared" si="282"/>
        <v>0</v>
      </c>
      <c r="F1173" s="52">
        <f t="shared" si="282"/>
        <v>0</v>
      </c>
      <c r="G1173" s="52" t="str">
        <f>IF(H1173=0,"-",_xlfn.CONCAT(K1173,N1173,O1173,J1173))</f>
        <v>24062915</v>
      </c>
      <c r="H1173" s="9">
        <v>45472</v>
      </c>
      <c r="I1173" s="52">
        <v>15</v>
      </c>
      <c r="J1173" s="52">
        <f t="shared" si="275"/>
        <v>15</v>
      </c>
      <c r="K1173" s="10">
        <f t="shared" si="276"/>
        <v>24</v>
      </c>
      <c r="L1173" s="10">
        <f t="shared" si="277"/>
        <v>6</v>
      </c>
      <c r="M1173" s="10">
        <f t="shared" si="278"/>
        <v>29</v>
      </c>
      <c r="N1173" s="10" t="str">
        <f t="shared" si="279"/>
        <v>06</v>
      </c>
      <c r="O1173" s="70">
        <f t="shared" si="280"/>
        <v>29</v>
      </c>
      <c r="P1173" s="11">
        <v>216135.64</v>
      </c>
      <c r="Q1173" s="12"/>
      <c r="R1173" s="13">
        <v>519</v>
      </c>
      <c r="S1173" s="12">
        <f t="shared" si="281"/>
        <v>416.44631984585743</v>
      </c>
      <c r="T1173" s="12" t="s">
        <v>391</v>
      </c>
      <c r="U1173" s="10" t="s">
        <v>1</v>
      </c>
      <c r="V1173" s="10" t="s">
        <v>4</v>
      </c>
      <c r="W1173" s="10"/>
    </row>
    <row r="1174" spans="1:23">
      <c r="A1174" s="3">
        <v>1047</v>
      </c>
      <c r="B1174" s="52">
        <f>IF(G1174="-",0,IF(G1173=G1174,1,0))</f>
        <v>0</v>
      </c>
      <c r="C1174" s="52">
        <f>+IF(G1174="-",0,IF(I1174=I1173+1,0,(IF(I1174=1,0,1))))</f>
        <v>0</v>
      </c>
      <c r="D1174" s="52">
        <f>+IF(AND(P1174="",Q1174=""),1,0)</f>
        <v>0</v>
      </c>
      <c r="E1174" s="52">
        <f t="shared" si="282"/>
        <v>0</v>
      </c>
      <c r="F1174" s="52">
        <f t="shared" si="282"/>
        <v>0</v>
      </c>
      <c r="G1174" s="52" t="str">
        <f>IF(H1174=0,"-",_xlfn.CONCAT(K1174,N1174,O1174,J1174))</f>
        <v>24062916</v>
      </c>
      <c r="H1174" s="9">
        <v>45472</v>
      </c>
      <c r="I1174" s="52">
        <v>16</v>
      </c>
      <c r="J1174" s="52">
        <f t="shared" si="275"/>
        <v>16</v>
      </c>
      <c r="K1174" s="10">
        <f t="shared" si="276"/>
        <v>24</v>
      </c>
      <c r="L1174" s="10">
        <f t="shared" si="277"/>
        <v>6</v>
      </c>
      <c r="M1174" s="10">
        <f t="shared" si="278"/>
        <v>29</v>
      </c>
      <c r="N1174" s="10" t="str">
        <f t="shared" si="279"/>
        <v>06</v>
      </c>
      <c r="O1174" s="70">
        <f t="shared" si="280"/>
        <v>29</v>
      </c>
      <c r="P1174" s="11">
        <v>102000</v>
      </c>
      <c r="Q1174" s="12"/>
      <c r="R1174" s="13">
        <v>519</v>
      </c>
      <c r="S1174" s="12">
        <f t="shared" si="281"/>
        <v>196.53179190751445</v>
      </c>
      <c r="T1174" s="12" t="s">
        <v>385</v>
      </c>
      <c r="U1174" s="10" t="s">
        <v>1</v>
      </c>
      <c r="V1174" s="10" t="s">
        <v>4</v>
      </c>
      <c r="W1174" s="10"/>
    </row>
    <row r="1175" spans="1:23" hidden="1">
      <c r="J1175" s="1" t="str">
        <f t="shared" si="275"/>
        <v>0</v>
      </c>
      <c r="K1175" s="3">
        <f t="shared" si="276"/>
        <v>-100</v>
      </c>
      <c r="L1175" s="3">
        <f t="shared" si="277"/>
        <v>1</v>
      </c>
      <c r="M1175" s="3">
        <f t="shared" si="278"/>
        <v>0</v>
      </c>
      <c r="N1175" s="3" t="str">
        <f t="shared" si="279"/>
        <v>01</v>
      </c>
      <c r="O1175" s="14" t="str">
        <f t="shared" si="280"/>
        <v>00</v>
      </c>
      <c r="R1175" s="6">
        <v>518</v>
      </c>
      <c r="S1175" s="5">
        <f t="shared" si="281"/>
        <v>0</v>
      </c>
    </row>
    <row r="1176" spans="1:23" hidden="1">
      <c r="J1176" s="1" t="str">
        <f t="shared" si="275"/>
        <v>0</v>
      </c>
      <c r="K1176" s="3">
        <f t="shared" si="276"/>
        <v>-100</v>
      </c>
      <c r="L1176" s="3">
        <f t="shared" si="277"/>
        <v>1</v>
      </c>
      <c r="M1176" s="3">
        <f t="shared" si="278"/>
        <v>0</v>
      </c>
      <c r="N1176" s="3" t="str">
        <f t="shared" si="279"/>
        <v>01</v>
      </c>
      <c r="O1176" s="14" t="str">
        <f t="shared" si="280"/>
        <v>00</v>
      </c>
      <c r="R1176" s="6">
        <v>518</v>
      </c>
      <c r="S1176" s="5">
        <f t="shared" si="281"/>
        <v>0</v>
      </c>
    </row>
    <row r="1177" spans="1:23" hidden="1">
      <c r="J1177" s="1" t="str">
        <f t="shared" si="275"/>
        <v>0</v>
      </c>
      <c r="K1177" s="3">
        <f t="shared" si="276"/>
        <v>-100</v>
      </c>
      <c r="L1177" s="3">
        <f t="shared" si="277"/>
        <v>1</v>
      </c>
      <c r="M1177" s="3">
        <f t="shared" si="278"/>
        <v>0</v>
      </c>
      <c r="N1177" s="3" t="str">
        <f t="shared" si="279"/>
        <v>01</v>
      </c>
      <c r="O1177" s="14" t="str">
        <f t="shared" si="280"/>
        <v>00</v>
      </c>
      <c r="R1177" s="6">
        <v>518</v>
      </c>
      <c r="S1177" s="5">
        <f t="shared" si="281"/>
        <v>0</v>
      </c>
    </row>
    <row r="1178" spans="1:23" hidden="1">
      <c r="J1178" s="1" t="str">
        <f t="shared" si="275"/>
        <v>0</v>
      </c>
      <c r="K1178" s="3">
        <f t="shared" si="276"/>
        <v>-100</v>
      </c>
      <c r="L1178" s="3">
        <f t="shared" si="277"/>
        <v>1</v>
      </c>
      <c r="M1178" s="3">
        <f t="shared" si="278"/>
        <v>0</v>
      </c>
      <c r="N1178" s="3" t="str">
        <f t="shared" si="279"/>
        <v>01</v>
      </c>
      <c r="O1178" s="14" t="str">
        <f t="shared" si="280"/>
        <v>00</v>
      </c>
      <c r="R1178" s="6">
        <v>518</v>
      </c>
      <c r="S1178" s="5">
        <f t="shared" si="281"/>
        <v>0</v>
      </c>
    </row>
    <row r="1179" spans="1:23">
      <c r="A1179" s="3">
        <v>1048</v>
      </c>
      <c r="B1179" s="52">
        <f>IF(G1179="-",0,IF(G1178=G1179,1,0))</f>
        <v>0</v>
      </c>
      <c r="C1179" s="52">
        <f>+IF(G1179="-",0,IF(I1179=I1178+1,0,(IF(I1179=1,0,1))))</f>
        <v>1</v>
      </c>
      <c r="D1179" s="52">
        <f>+IF(AND(P1179="",Q1179=""),1,0)</f>
        <v>0</v>
      </c>
      <c r="E1179" s="52">
        <f>IF(U1179="",1,0)</f>
        <v>0</v>
      </c>
      <c r="F1179" s="52">
        <f>IF(V1179="",1,0)</f>
        <v>0</v>
      </c>
      <c r="G1179" s="52" t="str">
        <f>IF(H1179=0,"-",_xlfn.CONCAT(K1179,N1179,O1179,J1179))</f>
        <v>24062917</v>
      </c>
      <c r="H1179" s="9">
        <v>45472</v>
      </c>
      <c r="I1179" s="52">
        <v>17</v>
      </c>
      <c r="J1179" s="52">
        <f t="shared" si="275"/>
        <v>17</v>
      </c>
      <c r="K1179" s="10">
        <f t="shared" si="276"/>
        <v>24</v>
      </c>
      <c r="L1179" s="10">
        <f t="shared" si="277"/>
        <v>6</v>
      </c>
      <c r="M1179" s="10">
        <f t="shared" si="278"/>
        <v>29</v>
      </c>
      <c r="N1179" s="10" t="str">
        <f t="shared" si="279"/>
        <v>06</v>
      </c>
      <c r="O1179" s="70">
        <f t="shared" si="280"/>
        <v>29</v>
      </c>
      <c r="P1179" s="11">
        <v>102000</v>
      </c>
      <c r="Q1179" s="12"/>
      <c r="R1179" s="13">
        <v>519</v>
      </c>
      <c r="S1179" s="12">
        <f t="shared" si="281"/>
        <v>196.53179190751445</v>
      </c>
      <c r="T1179" s="12" t="s">
        <v>386</v>
      </c>
      <c r="U1179" s="10" t="s">
        <v>1</v>
      </c>
      <c r="V1179" s="10" t="s">
        <v>4</v>
      </c>
      <c r="W1179" s="10"/>
    </row>
    <row r="1180" spans="1:23" hidden="1">
      <c r="J1180" s="1" t="str">
        <f t="shared" si="275"/>
        <v>0</v>
      </c>
      <c r="K1180" s="3">
        <f t="shared" si="276"/>
        <v>-100</v>
      </c>
      <c r="L1180" s="3">
        <f t="shared" si="277"/>
        <v>1</v>
      </c>
      <c r="M1180" s="3">
        <f t="shared" si="278"/>
        <v>0</v>
      </c>
      <c r="N1180" s="3" t="str">
        <f t="shared" si="279"/>
        <v>01</v>
      </c>
      <c r="O1180" s="14" t="str">
        <f t="shared" si="280"/>
        <v>00</v>
      </c>
      <c r="R1180" s="6">
        <v>518</v>
      </c>
      <c r="S1180" s="5">
        <f t="shared" si="281"/>
        <v>0</v>
      </c>
    </row>
    <row r="1181" spans="1:23" hidden="1">
      <c r="J1181" s="1" t="str">
        <f t="shared" si="275"/>
        <v>0</v>
      </c>
      <c r="K1181" s="3">
        <f t="shared" si="276"/>
        <v>-100</v>
      </c>
      <c r="L1181" s="3">
        <f t="shared" si="277"/>
        <v>1</v>
      </c>
      <c r="M1181" s="3">
        <f t="shared" si="278"/>
        <v>0</v>
      </c>
      <c r="N1181" s="3" t="str">
        <f t="shared" si="279"/>
        <v>01</v>
      </c>
      <c r="O1181" s="14" t="str">
        <f t="shared" si="280"/>
        <v>00</v>
      </c>
      <c r="R1181" s="6">
        <v>518</v>
      </c>
      <c r="S1181" s="5">
        <f t="shared" si="281"/>
        <v>0</v>
      </c>
    </row>
    <row r="1182" spans="1:23" hidden="1">
      <c r="J1182" s="1" t="str">
        <f t="shared" si="275"/>
        <v>0</v>
      </c>
      <c r="K1182" s="3">
        <f t="shared" si="276"/>
        <v>-100</v>
      </c>
      <c r="L1182" s="3">
        <f t="shared" si="277"/>
        <v>1</v>
      </c>
      <c r="M1182" s="3">
        <f t="shared" si="278"/>
        <v>0</v>
      </c>
      <c r="N1182" s="3" t="str">
        <f t="shared" si="279"/>
        <v>01</v>
      </c>
      <c r="O1182" s="14" t="str">
        <f t="shared" si="280"/>
        <v>00</v>
      </c>
      <c r="R1182" s="6">
        <v>518</v>
      </c>
      <c r="S1182" s="5">
        <f t="shared" si="281"/>
        <v>0</v>
      </c>
    </row>
    <row r="1183" spans="1:23" hidden="1">
      <c r="J1183" s="1" t="str">
        <f t="shared" si="275"/>
        <v>0</v>
      </c>
      <c r="K1183" s="3">
        <f t="shared" si="276"/>
        <v>-100</v>
      </c>
      <c r="L1183" s="3">
        <f t="shared" si="277"/>
        <v>1</v>
      </c>
      <c r="M1183" s="3">
        <f t="shared" si="278"/>
        <v>0</v>
      </c>
      <c r="N1183" s="3" t="str">
        <f t="shared" si="279"/>
        <v>01</v>
      </c>
      <c r="O1183" s="14" t="str">
        <f t="shared" si="280"/>
        <v>00</v>
      </c>
      <c r="R1183" s="6">
        <v>516</v>
      </c>
      <c r="S1183" s="5">
        <f t="shared" si="281"/>
        <v>0</v>
      </c>
    </row>
    <row r="1184" spans="1:23" hidden="1">
      <c r="J1184" s="1" t="str">
        <f t="shared" si="275"/>
        <v>0</v>
      </c>
      <c r="K1184" s="3">
        <f t="shared" si="276"/>
        <v>-100</v>
      </c>
      <c r="L1184" s="3">
        <f t="shared" si="277"/>
        <v>1</v>
      </c>
      <c r="M1184" s="3">
        <f t="shared" si="278"/>
        <v>0</v>
      </c>
      <c r="N1184" s="3" t="str">
        <f t="shared" si="279"/>
        <v>01</v>
      </c>
      <c r="O1184" s="14" t="str">
        <f t="shared" si="280"/>
        <v>00</v>
      </c>
      <c r="R1184" s="6">
        <v>516</v>
      </c>
      <c r="S1184" s="5">
        <f t="shared" si="281"/>
        <v>0</v>
      </c>
    </row>
    <row r="1185" spans="1:23">
      <c r="A1185" s="3">
        <v>1049</v>
      </c>
      <c r="B1185" s="52">
        <f>IF(G1185="-",0,IF(G1184=G1185,1,0))</f>
        <v>0</v>
      </c>
      <c r="C1185" s="52">
        <f>+IF(G1185="-",0,IF(I1185=I1184+1,0,(IF(I1185=1,0,1))))</f>
        <v>1</v>
      </c>
      <c r="D1185" s="52">
        <f>+IF(AND(P1185="",Q1185=""),1,0)</f>
        <v>0</v>
      </c>
      <c r="E1185" s="52">
        <f>IF(U1185="",1,0)</f>
        <v>0</v>
      </c>
      <c r="F1185" s="52">
        <f>IF(V1185="",1,0)</f>
        <v>0</v>
      </c>
      <c r="G1185" s="52" t="str">
        <f>IF(H1185=0,"-",_xlfn.CONCAT(K1185,N1185,O1185,J1185))</f>
        <v>24062918</v>
      </c>
      <c r="H1185" s="9">
        <v>45472</v>
      </c>
      <c r="I1185" s="52">
        <v>18</v>
      </c>
      <c r="J1185" s="52">
        <f t="shared" si="275"/>
        <v>18</v>
      </c>
      <c r="K1185" s="10">
        <f t="shared" si="276"/>
        <v>24</v>
      </c>
      <c r="L1185" s="10">
        <f t="shared" si="277"/>
        <v>6</v>
      </c>
      <c r="M1185" s="10">
        <f t="shared" si="278"/>
        <v>29</v>
      </c>
      <c r="N1185" s="10" t="str">
        <f t="shared" si="279"/>
        <v>06</v>
      </c>
      <c r="O1185" s="70">
        <f t="shared" si="280"/>
        <v>29</v>
      </c>
      <c r="P1185" s="11">
        <v>120000</v>
      </c>
      <c r="Q1185" s="12"/>
      <c r="R1185" s="13">
        <v>519</v>
      </c>
      <c r="S1185" s="12">
        <f t="shared" si="281"/>
        <v>231.21387283236993</v>
      </c>
      <c r="T1185" s="12" t="s">
        <v>387</v>
      </c>
      <c r="U1185" s="10" t="s">
        <v>1</v>
      </c>
      <c r="V1185" s="10" t="s">
        <v>4</v>
      </c>
      <c r="W1185" s="10"/>
    </row>
    <row r="1186" spans="1:23" hidden="1">
      <c r="J1186" s="1" t="str">
        <f t="shared" si="275"/>
        <v>0</v>
      </c>
      <c r="K1186" s="3">
        <f t="shared" si="276"/>
        <v>-100</v>
      </c>
      <c r="L1186" s="3">
        <f t="shared" si="277"/>
        <v>1</v>
      </c>
      <c r="M1186" s="3">
        <f t="shared" si="278"/>
        <v>0</v>
      </c>
      <c r="N1186" s="3" t="str">
        <f t="shared" si="279"/>
        <v>01</v>
      </c>
      <c r="O1186" s="14" t="str">
        <f t="shared" si="280"/>
        <v>00</v>
      </c>
      <c r="R1186" s="6">
        <v>516</v>
      </c>
      <c r="S1186" s="5">
        <f t="shared" si="281"/>
        <v>0</v>
      </c>
    </row>
    <row r="1187" spans="1:23" hidden="1">
      <c r="J1187" s="1" t="str">
        <f t="shared" si="275"/>
        <v>0</v>
      </c>
      <c r="K1187" s="3">
        <f t="shared" si="276"/>
        <v>-100</v>
      </c>
      <c r="L1187" s="3">
        <f t="shared" si="277"/>
        <v>1</v>
      </c>
      <c r="M1187" s="3">
        <f t="shared" si="278"/>
        <v>0</v>
      </c>
      <c r="N1187" s="3" t="str">
        <f t="shared" si="279"/>
        <v>01</v>
      </c>
      <c r="O1187" s="14" t="str">
        <f t="shared" si="280"/>
        <v>00</v>
      </c>
      <c r="R1187" s="6">
        <v>516</v>
      </c>
      <c r="S1187" s="5">
        <f t="shared" si="281"/>
        <v>0</v>
      </c>
    </row>
    <row r="1188" spans="1:23" hidden="1">
      <c r="J1188" s="1" t="str">
        <f t="shared" si="275"/>
        <v>0</v>
      </c>
      <c r="K1188" s="3">
        <f t="shared" si="276"/>
        <v>-100</v>
      </c>
      <c r="L1188" s="3">
        <f t="shared" si="277"/>
        <v>1</v>
      </c>
      <c r="M1188" s="3">
        <f t="shared" si="278"/>
        <v>0</v>
      </c>
      <c r="N1188" s="3" t="str">
        <f t="shared" si="279"/>
        <v>01</v>
      </c>
      <c r="O1188" s="14" t="str">
        <f t="shared" si="280"/>
        <v>00</v>
      </c>
      <c r="R1188" s="6">
        <v>516</v>
      </c>
      <c r="S1188" s="5">
        <f t="shared" si="281"/>
        <v>0</v>
      </c>
    </row>
    <row r="1189" spans="1:23" hidden="1">
      <c r="J1189" s="1" t="str">
        <f t="shared" si="275"/>
        <v>0</v>
      </c>
      <c r="K1189" s="3">
        <f t="shared" si="276"/>
        <v>-100</v>
      </c>
      <c r="L1189" s="3">
        <f t="shared" si="277"/>
        <v>1</v>
      </c>
      <c r="M1189" s="3">
        <f t="shared" si="278"/>
        <v>0</v>
      </c>
      <c r="N1189" s="3" t="str">
        <f t="shared" si="279"/>
        <v>01</v>
      </c>
      <c r="O1189" s="14" t="str">
        <f t="shared" si="280"/>
        <v>00</v>
      </c>
      <c r="R1189" s="6">
        <v>516</v>
      </c>
      <c r="S1189" s="5">
        <f t="shared" si="281"/>
        <v>0</v>
      </c>
    </row>
    <row r="1190" spans="1:23" hidden="1">
      <c r="J1190" s="1" t="str">
        <f t="shared" si="275"/>
        <v>0</v>
      </c>
      <c r="K1190" s="3">
        <f t="shared" si="276"/>
        <v>-100</v>
      </c>
      <c r="L1190" s="3">
        <f t="shared" si="277"/>
        <v>1</v>
      </c>
      <c r="M1190" s="3">
        <f t="shared" si="278"/>
        <v>0</v>
      </c>
      <c r="N1190" s="3" t="str">
        <f t="shared" si="279"/>
        <v>01</v>
      </c>
      <c r="O1190" s="14" t="str">
        <f t="shared" si="280"/>
        <v>00</v>
      </c>
      <c r="R1190" s="6">
        <v>516</v>
      </c>
      <c r="S1190" s="5">
        <f t="shared" si="281"/>
        <v>0</v>
      </c>
    </row>
    <row r="1191" spans="1:23" hidden="1">
      <c r="J1191" s="1" t="str">
        <f t="shared" si="275"/>
        <v>0</v>
      </c>
      <c r="K1191" s="3">
        <f t="shared" si="276"/>
        <v>-100</v>
      </c>
      <c r="L1191" s="3">
        <f t="shared" si="277"/>
        <v>1</v>
      </c>
      <c r="M1191" s="3">
        <f t="shared" si="278"/>
        <v>0</v>
      </c>
      <c r="N1191" s="3" t="str">
        <f t="shared" si="279"/>
        <v>01</v>
      </c>
      <c r="O1191" s="14" t="str">
        <f t="shared" si="280"/>
        <v>00</v>
      </c>
      <c r="R1191" s="6">
        <v>516</v>
      </c>
      <c r="S1191" s="5">
        <f t="shared" si="281"/>
        <v>0</v>
      </c>
    </row>
    <row r="1192" spans="1:23">
      <c r="A1192" s="3">
        <v>1052</v>
      </c>
      <c r="B1192" s="52">
        <f>IF(G1192="-",0,IF(G1191=G1192,1,0))</f>
        <v>0</v>
      </c>
      <c r="C1192" s="52">
        <f>+IF(G1192="-",0,IF(I1192=I1191+1,0,(IF(I1192=1,0,1))))</f>
        <v>1</v>
      </c>
      <c r="D1192" s="52">
        <f>+IF(AND(P1192="",Q1192=""),1,0)</f>
        <v>0</v>
      </c>
      <c r="E1192" s="52">
        <f>IF(U1192="",1,0)</f>
        <v>0</v>
      </c>
      <c r="F1192" s="52">
        <f>IF(V1192="",1,0)</f>
        <v>0</v>
      </c>
      <c r="G1192" s="52" t="str">
        <f>IF(H1192=0,"-",_xlfn.CONCAT(K1192,N1192,O1192,J1192))</f>
        <v>24062921</v>
      </c>
      <c r="H1192" s="9">
        <v>45472</v>
      </c>
      <c r="I1192" s="52">
        <v>21</v>
      </c>
      <c r="J1192" s="52">
        <f t="shared" si="275"/>
        <v>21</v>
      </c>
      <c r="K1192" s="10">
        <f t="shared" si="276"/>
        <v>24</v>
      </c>
      <c r="L1192" s="10">
        <f t="shared" si="277"/>
        <v>6</v>
      </c>
      <c r="M1192" s="10">
        <f t="shared" si="278"/>
        <v>29</v>
      </c>
      <c r="N1192" s="10" t="str">
        <f t="shared" si="279"/>
        <v>06</v>
      </c>
      <c r="O1192" s="70">
        <f t="shared" si="280"/>
        <v>29</v>
      </c>
      <c r="P1192" s="11">
        <f>2*70000</f>
        <v>140000</v>
      </c>
      <c r="Q1192" s="12"/>
      <c r="R1192" s="13">
        <v>519</v>
      </c>
      <c r="S1192" s="12">
        <f t="shared" si="281"/>
        <v>269.7495183044316</v>
      </c>
      <c r="T1192" s="12" t="s">
        <v>395</v>
      </c>
      <c r="U1192" s="10" t="s">
        <v>1</v>
      </c>
      <c r="V1192" s="10" t="s">
        <v>4</v>
      </c>
      <c r="W1192" s="10"/>
    </row>
    <row r="1193" spans="1:23">
      <c r="A1193" s="3">
        <v>1057</v>
      </c>
      <c r="B1193" s="1">
        <f>IF(G1193="-",0,IF(G1192=G1193,1,0))</f>
        <v>0</v>
      </c>
      <c r="C1193" s="1">
        <f>+IF(G1193="-",0,IF(I1193=I1192+1,0,(IF(I1193=1,0,1))))</f>
        <v>1</v>
      </c>
      <c r="D1193" s="1">
        <f>+IF(AND(P1193="",Q1193=""),1,0)</f>
        <v>0</v>
      </c>
      <c r="E1193" s="1">
        <f>IF(U1193="",1,0)</f>
        <v>0</v>
      </c>
      <c r="F1193" s="1">
        <f>IF(V1193="",1,0)</f>
        <v>0</v>
      </c>
      <c r="G1193" s="1" t="str">
        <f>IF(H1193=0,"-",_xlfn.CONCAT(K1193,N1193,O1193,J1193))</f>
        <v>24062926</v>
      </c>
      <c r="H1193" s="2">
        <v>45472</v>
      </c>
      <c r="I1193" s="1">
        <v>26</v>
      </c>
      <c r="J1193" s="1">
        <f t="shared" si="275"/>
        <v>26</v>
      </c>
      <c r="K1193" s="3">
        <f t="shared" si="276"/>
        <v>24</v>
      </c>
      <c r="L1193" s="3">
        <f t="shared" si="277"/>
        <v>6</v>
      </c>
      <c r="M1193" s="3">
        <f t="shared" si="278"/>
        <v>29</v>
      </c>
      <c r="N1193" s="3" t="str">
        <f t="shared" si="279"/>
        <v>06</v>
      </c>
      <c r="O1193" s="14">
        <f t="shared" si="280"/>
        <v>29</v>
      </c>
      <c r="P1193" s="4">
        <v>10000</v>
      </c>
      <c r="R1193" s="6">
        <v>519</v>
      </c>
      <c r="S1193" s="5">
        <f t="shared" si="281"/>
        <v>19.26782273603083</v>
      </c>
      <c r="T1193" s="5" t="s">
        <v>361</v>
      </c>
      <c r="U1193" s="3" t="s">
        <v>29</v>
      </c>
      <c r="V1193" s="3" t="s">
        <v>4</v>
      </c>
    </row>
    <row r="1194" spans="1:23" hidden="1">
      <c r="J1194" s="1" t="str">
        <f t="shared" si="275"/>
        <v>0</v>
      </c>
      <c r="K1194" s="3">
        <f t="shared" si="276"/>
        <v>-100</v>
      </c>
      <c r="L1194" s="3">
        <f t="shared" si="277"/>
        <v>1</v>
      </c>
      <c r="M1194" s="3">
        <f t="shared" si="278"/>
        <v>0</v>
      </c>
      <c r="N1194" s="3" t="str">
        <f t="shared" si="279"/>
        <v>01</v>
      </c>
      <c r="O1194" s="14" t="str">
        <f t="shared" si="280"/>
        <v>00</v>
      </c>
      <c r="R1194" s="6">
        <v>516</v>
      </c>
      <c r="S1194" s="5">
        <f t="shared" si="281"/>
        <v>0</v>
      </c>
    </row>
    <row r="1195" spans="1:23" hidden="1">
      <c r="J1195" s="1" t="str">
        <f t="shared" si="275"/>
        <v>0</v>
      </c>
      <c r="K1195" s="3">
        <f t="shared" si="276"/>
        <v>-100</v>
      </c>
      <c r="L1195" s="3">
        <f t="shared" si="277"/>
        <v>1</v>
      </c>
      <c r="M1195" s="3">
        <f t="shared" si="278"/>
        <v>0</v>
      </c>
      <c r="N1195" s="3" t="str">
        <f t="shared" si="279"/>
        <v>01</v>
      </c>
      <c r="O1195" s="14" t="str">
        <f t="shared" si="280"/>
        <v>00</v>
      </c>
      <c r="R1195" s="6">
        <v>516</v>
      </c>
      <c r="S1195" s="5">
        <f t="shared" si="281"/>
        <v>0</v>
      </c>
    </row>
    <row r="1196" spans="1:23" hidden="1">
      <c r="J1196" s="1" t="str">
        <f t="shared" si="275"/>
        <v>0</v>
      </c>
      <c r="K1196" s="3">
        <f t="shared" si="276"/>
        <v>-100</v>
      </c>
      <c r="L1196" s="3">
        <f t="shared" si="277"/>
        <v>1</v>
      </c>
      <c r="M1196" s="3">
        <f t="shared" si="278"/>
        <v>0</v>
      </c>
      <c r="N1196" s="3" t="str">
        <f t="shared" si="279"/>
        <v>01</v>
      </c>
      <c r="O1196" s="14" t="str">
        <f t="shared" si="280"/>
        <v>00</v>
      </c>
      <c r="R1196" s="6">
        <v>516</v>
      </c>
      <c r="S1196" s="5">
        <f t="shared" si="281"/>
        <v>0</v>
      </c>
    </row>
    <row r="1197" spans="1:23" hidden="1">
      <c r="J1197" s="1" t="str">
        <f t="shared" si="275"/>
        <v>0</v>
      </c>
      <c r="K1197" s="3">
        <f t="shared" si="276"/>
        <v>-100</v>
      </c>
      <c r="L1197" s="3">
        <f t="shared" si="277"/>
        <v>1</v>
      </c>
      <c r="M1197" s="3">
        <f t="shared" si="278"/>
        <v>0</v>
      </c>
      <c r="N1197" s="3" t="str">
        <f t="shared" si="279"/>
        <v>01</v>
      </c>
      <c r="O1197" s="14" t="str">
        <f t="shared" si="280"/>
        <v>00</v>
      </c>
      <c r="R1197" s="6">
        <v>516</v>
      </c>
      <c r="S1197" s="5">
        <f t="shared" ref="S1197:S1226" si="283">IFERROR(P1197/R1197,"")</f>
        <v>0</v>
      </c>
    </row>
    <row r="1198" spans="1:23" hidden="1">
      <c r="J1198" s="1" t="str">
        <f t="shared" si="275"/>
        <v>0</v>
      </c>
      <c r="K1198" s="3">
        <f t="shared" si="276"/>
        <v>-100</v>
      </c>
      <c r="L1198" s="3">
        <f t="shared" si="277"/>
        <v>1</v>
      </c>
      <c r="M1198" s="3">
        <f t="shared" si="278"/>
        <v>0</v>
      </c>
      <c r="N1198" s="3" t="str">
        <f t="shared" si="279"/>
        <v>01</v>
      </c>
      <c r="O1198" s="14" t="str">
        <f t="shared" si="280"/>
        <v>00</v>
      </c>
      <c r="R1198" s="6">
        <v>516</v>
      </c>
      <c r="S1198" s="5">
        <f t="shared" si="283"/>
        <v>0</v>
      </c>
    </row>
    <row r="1199" spans="1:23">
      <c r="A1199" s="3">
        <v>1058</v>
      </c>
      <c r="B1199" s="1">
        <f>IF(G1199="-",0,IF(G1198=G1199,1,0))</f>
        <v>0</v>
      </c>
      <c r="C1199" s="1">
        <f>+IF(G1199="-",0,IF(I1199=I1198+1,0,(IF(I1199=1,0,1))))</f>
        <v>0</v>
      </c>
      <c r="D1199" s="1">
        <f>+IF(AND(P1199="",Q1199=""),1,0)</f>
        <v>0</v>
      </c>
      <c r="E1199" s="1">
        <f>IF(U1199="",1,0)</f>
        <v>0</v>
      </c>
      <c r="F1199" s="1">
        <f>IF(V1199="",1,0)</f>
        <v>0</v>
      </c>
      <c r="G1199" s="1" t="str">
        <f>IF(H1199=0,"-",_xlfn.CONCAT(K1199,N1199,O1199,J1199))</f>
        <v>24063001</v>
      </c>
      <c r="H1199" s="2">
        <v>45473</v>
      </c>
      <c r="I1199" s="36">
        <v>1</v>
      </c>
      <c r="J1199" s="1" t="str">
        <f t="shared" si="275"/>
        <v>01</v>
      </c>
      <c r="K1199" s="3">
        <f t="shared" si="276"/>
        <v>24</v>
      </c>
      <c r="L1199" s="3">
        <f t="shared" si="277"/>
        <v>6</v>
      </c>
      <c r="M1199" s="3">
        <f t="shared" si="278"/>
        <v>30</v>
      </c>
      <c r="N1199" s="3" t="str">
        <f t="shared" si="279"/>
        <v>06</v>
      </c>
      <c r="O1199" s="14">
        <f t="shared" si="280"/>
        <v>30</v>
      </c>
      <c r="P1199" s="4">
        <v>143151</v>
      </c>
      <c r="R1199" s="6">
        <v>520</v>
      </c>
      <c r="S1199" s="5">
        <f t="shared" si="283"/>
        <v>275.2903846153846</v>
      </c>
      <c r="T1199" s="5" t="s">
        <v>144</v>
      </c>
      <c r="U1199" s="3" t="s">
        <v>2</v>
      </c>
      <c r="V1199" s="3" t="s">
        <v>4</v>
      </c>
    </row>
    <row r="1200" spans="1:23" hidden="1">
      <c r="J1200" s="1" t="str">
        <f t="shared" si="275"/>
        <v>0</v>
      </c>
      <c r="K1200" s="3">
        <f t="shared" si="276"/>
        <v>-100</v>
      </c>
      <c r="L1200" s="3">
        <f t="shared" si="277"/>
        <v>1</v>
      </c>
      <c r="M1200" s="3">
        <f t="shared" si="278"/>
        <v>0</v>
      </c>
      <c r="N1200" s="3" t="str">
        <f t="shared" si="279"/>
        <v>01</v>
      </c>
      <c r="O1200" s="14" t="str">
        <f t="shared" si="280"/>
        <v>00</v>
      </c>
      <c r="R1200" s="6">
        <v>516</v>
      </c>
      <c r="S1200" s="5">
        <f t="shared" si="283"/>
        <v>0</v>
      </c>
    </row>
    <row r="1201" spans="1:23">
      <c r="A1201" s="3">
        <v>1064</v>
      </c>
      <c r="B1201" s="1">
        <f>IF(G1201="-",0,IF(G1200=G1201,1,0))</f>
        <v>0</v>
      </c>
      <c r="C1201" s="1">
        <f>+IF(G1201="-",0,IF(I1201=I1200+1,0,(IF(I1201=1,0,1))))</f>
        <v>1</v>
      </c>
      <c r="D1201" s="1">
        <f>+IF(AND(P1201="",Q1201=""),1,0)</f>
        <v>0</v>
      </c>
      <c r="E1201" s="1">
        <f>IF(U1201="",1,0)</f>
        <v>0</v>
      </c>
      <c r="F1201" s="1">
        <f>IF(V1201="",1,0)</f>
        <v>0</v>
      </c>
      <c r="G1201" s="1" t="str">
        <f>IF(H1201=0,"-",_xlfn.CONCAT(K1201,N1201,O1201,J1201))</f>
        <v>24063007</v>
      </c>
      <c r="H1201" s="2">
        <v>45473</v>
      </c>
      <c r="I1201" s="36">
        <v>7</v>
      </c>
      <c r="J1201" s="1" t="str">
        <f t="shared" si="275"/>
        <v>07</v>
      </c>
      <c r="K1201" s="3">
        <f t="shared" si="276"/>
        <v>24</v>
      </c>
      <c r="L1201" s="3">
        <f t="shared" si="277"/>
        <v>6</v>
      </c>
      <c r="M1201" s="3">
        <f t="shared" si="278"/>
        <v>30</v>
      </c>
      <c r="N1201" s="3" t="str">
        <f t="shared" si="279"/>
        <v>06</v>
      </c>
      <c r="O1201" s="14">
        <f t="shared" si="280"/>
        <v>30</v>
      </c>
      <c r="P1201" s="4">
        <v>10000</v>
      </c>
      <c r="R1201" s="6">
        <v>520</v>
      </c>
      <c r="S1201" s="5">
        <f t="shared" si="283"/>
        <v>19.23076923076923</v>
      </c>
      <c r="T1201" s="5" t="s">
        <v>362</v>
      </c>
      <c r="U1201" s="3" t="s">
        <v>29</v>
      </c>
      <c r="V1201" s="3" t="s">
        <v>4</v>
      </c>
    </row>
    <row r="1202" spans="1:23" hidden="1">
      <c r="J1202" s="1" t="str">
        <f t="shared" si="275"/>
        <v>0</v>
      </c>
      <c r="K1202" s="3">
        <f t="shared" si="276"/>
        <v>-100</v>
      </c>
      <c r="L1202" s="3">
        <f t="shared" si="277"/>
        <v>1</v>
      </c>
      <c r="M1202" s="3">
        <f t="shared" si="278"/>
        <v>0</v>
      </c>
      <c r="N1202" s="3" t="str">
        <f t="shared" si="279"/>
        <v>01</v>
      </c>
      <c r="O1202" s="14" t="str">
        <f t="shared" si="280"/>
        <v>00</v>
      </c>
      <c r="R1202" s="6">
        <v>518</v>
      </c>
      <c r="S1202" s="5">
        <f t="shared" si="283"/>
        <v>0</v>
      </c>
    </row>
    <row r="1203" spans="1:23" hidden="1">
      <c r="J1203" s="1" t="str">
        <f t="shared" si="275"/>
        <v>0</v>
      </c>
      <c r="K1203" s="3">
        <f t="shared" si="276"/>
        <v>-100</v>
      </c>
      <c r="L1203" s="3">
        <f t="shared" si="277"/>
        <v>1</v>
      </c>
      <c r="M1203" s="3">
        <f t="shared" si="278"/>
        <v>0</v>
      </c>
      <c r="N1203" s="3" t="str">
        <f t="shared" si="279"/>
        <v>01</v>
      </c>
      <c r="O1203" s="14" t="str">
        <f t="shared" si="280"/>
        <v>00</v>
      </c>
      <c r="R1203" s="6">
        <v>518</v>
      </c>
      <c r="S1203" s="5">
        <f t="shared" si="283"/>
        <v>0</v>
      </c>
    </row>
    <row r="1204" spans="1:23" hidden="1">
      <c r="J1204" s="1" t="str">
        <f t="shared" si="275"/>
        <v>0</v>
      </c>
      <c r="K1204" s="3">
        <f t="shared" si="276"/>
        <v>-100</v>
      </c>
      <c r="L1204" s="3">
        <f t="shared" si="277"/>
        <v>1</v>
      </c>
      <c r="M1204" s="3">
        <f t="shared" si="278"/>
        <v>0</v>
      </c>
      <c r="N1204" s="3" t="str">
        <f t="shared" si="279"/>
        <v>01</v>
      </c>
      <c r="O1204" s="14" t="str">
        <f t="shared" si="280"/>
        <v>00</v>
      </c>
      <c r="R1204" s="6">
        <v>518</v>
      </c>
      <c r="S1204" s="5">
        <f t="shared" si="283"/>
        <v>0</v>
      </c>
    </row>
    <row r="1205" spans="1:23" hidden="1">
      <c r="J1205" s="1" t="str">
        <f t="shared" si="275"/>
        <v>0</v>
      </c>
      <c r="K1205" s="3">
        <f t="shared" si="276"/>
        <v>-100</v>
      </c>
      <c r="L1205" s="3">
        <f t="shared" si="277"/>
        <v>1</v>
      </c>
      <c r="M1205" s="3">
        <f t="shared" si="278"/>
        <v>0</v>
      </c>
      <c r="N1205" s="3" t="str">
        <f t="shared" si="279"/>
        <v>01</v>
      </c>
      <c r="O1205" s="14" t="str">
        <f t="shared" si="280"/>
        <v>00</v>
      </c>
      <c r="R1205" s="6">
        <v>518</v>
      </c>
      <c r="S1205" s="5">
        <f t="shared" si="283"/>
        <v>0</v>
      </c>
    </row>
    <row r="1206" spans="1:23" hidden="1">
      <c r="J1206" s="1" t="str">
        <f t="shared" si="275"/>
        <v>0</v>
      </c>
      <c r="K1206" s="3">
        <f t="shared" si="276"/>
        <v>-100</v>
      </c>
      <c r="L1206" s="3">
        <f t="shared" si="277"/>
        <v>1</v>
      </c>
      <c r="M1206" s="3">
        <f t="shared" si="278"/>
        <v>0</v>
      </c>
      <c r="N1206" s="3" t="str">
        <f t="shared" si="279"/>
        <v>01</v>
      </c>
      <c r="O1206" s="14" t="str">
        <f t="shared" si="280"/>
        <v>00</v>
      </c>
      <c r="R1206" s="6">
        <v>518</v>
      </c>
      <c r="S1206" s="5">
        <f t="shared" si="283"/>
        <v>0</v>
      </c>
    </row>
    <row r="1207" spans="1:23">
      <c r="A1207" s="3">
        <v>1067</v>
      </c>
      <c r="B1207" s="1">
        <f>IF(G1207="-",0,IF(G1206=G1207,1,0))</f>
        <v>0</v>
      </c>
      <c r="C1207" s="1">
        <f>+IF(G1207="-",0,IF(I1207=I1206+1,0,(IF(I1207=1,0,1))))</f>
        <v>1</v>
      </c>
      <c r="D1207" s="1">
        <f>+IF(AND(P1207="",Q1207=""),1,0)</f>
        <v>0</v>
      </c>
      <c r="E1207" s="1">
        <f>IF(U1207="",1,0)</f>
        <v>0</v>
      </c>
      <c r="F1207" s="1">
        <f>IF(V1207="",1,0)</f>
        <v>0</v>
      </c>
      <c r="G1207" s="1" t="str">
        <f>IF(H1207=0,"-",_xlfn.CONCAT(K1207,N1207,O1207,J1207))</f>
        <v>24070103</v>
      </c>
      <c r="H1207" s="2">
        <v>45474</v>
      </c>
      <c r="I1207" s="36">
        <v>3</v>
      </c>
      <c r="J1207" s="1" t="str">
        <f t="shared" si="275"/>
        <v>03</v>
      </c>
      <c r="K1207" s="3">
        <f t="shared" si="276"/>
        <v>24</v>
      </c>
      <c r="L1207" s="3">
        <f t="shared" si="277"/>
        <v>7</v>
      </c>
      <c r="M1207" s="3">
        <f t="shared" si="278"/>
        <v>1</v>
      </c>
      <c r="N1207" s="3" t="str">
        <f t="shared" si="279"/>
        <v>07</v>
      </c>
      <c r="O1207" s="14" t="str">
        <f t="shared" si="280"/>
        <v>01</v>
      </c>
      <c r="P1207" s="4">
        <v>77819.97</v>
      </c>
      <c r="R1207" s="6">
        <v>519</v>
      </c>
      <c r="S1207" s="5">
        <f t="shared" si="283"/>
        <v>149.9421387283237</v>
      </c>
      <c r="T1207" s="5" t="s">
        <v>413</v>
      </c>
      <c r="U1207" s="3" t="s">
        <v>29</v>
      </c>
      <c r="V1207" s="3" t="s">
        <v>4</v>
      </c>
    </row>
    <row r="1208" spans="1:23">
      <c r="A1208" s="3">
        <v>1074</v>
      </c>
      <c r="B1208" s="1">
        <f>IF(G1208="-",0,IF(G1207=G1208,1,0))</f>
        <v>0</v>
      </c>
      <c r="C1208" s="1">
        <f>+IF(G1208="-",0,IF(I1208=I1207+1,0,(IF(I1208=1,0,1))))</f>
        <v>1</v>
      </c>
      <c r="D1208" s="1">
        <f>+IF(AND(P1208="",Q1208=""),1,0)</f>
        <v>0</v>
      </c>
      <c r="E1208" s="1">
        <f>IF(U1208="",1,0)</f>
        <v>0</v>
      </c>
      <c r="F1208" s="1">
        <f>IF(V1208="",1,0)</f>
        <v>0</v>
      </c>
      <c r="G1208" s="1" t="str">
        <f>IF(H1208=0,"-",_xlfn.CONCAT(K1208,N1208,O1208,J1208))</f>
        <v>24070205</v>
      </c>
      <c r="H1208" s="2">
        <v>45475</v>
      </c>
      <c r="I1208" s="36">
        <v>5</v>
      </c>
      <c r="J1208" s="1" t="str">
        <f t="shared" si="275"/>
        <v>05</v>
      </c>
      <c r="K1208" s="3">
        <f t="shared" si="276"/>
        <v>24</v>
      </c>
      <c r="L1208" s="3">
        <f t="shared" si="277"/>
        <v>7</v>
      </c>
      <c r="M1208" s="3">
        <f t="shared" si="278"/>
        <v>2</v>
      </c>
      <c r="N1208" s="3" t="str">
        <f t="shared" si="279"/>
        <v>07</v>
      </c>
      <c r="O1208" s="14" t="str">
        <f t="shared" si="280"/>
        <v>02</v>
      </c>
      <c r="P1208" s="4">
        <v>128067.42</v>
      </c>
      <c r="R1208" s="6">
        <v>519</v>
      </c>
      <c r="S1208" s="5">
        <f t="shared" si="283"/>
        <v>246.75803468208093</v>
      </c>
      <c r="T1208" s="5" t="s">
        <v>417</v>
      </c>
      <c r="U1208" s="3" t="s">
        <v>1</v>
      </c>
      <c r="V1208" s="3" t="s">
        <v>4</v>
      </c>
    </row>
    <row r="1209" spans="1:23" ht="15" hidden="1" customHeight="1">
      <c r="J1209" s="1" t="str">
        <f t="shared" si="275"/>
        <v>0</v>
      </c>
      <c r="K1209" s="3">
        <f t="shared" si="276"/>
        <v>-100</v>
      </c>
      <c r="L1209" s="3">
        <f t="shared" si="277"/>
        <v>1</v>
      </c>
      <c r="M1209" s="3">
        <f t="shared" si="278"/>
        <v>0</v>
      </c>
      <c r="N1209" s="3" t="str">
        <f t="shared" si="279"/>
        <v>01</v>
      </c>
      <c r="O1209" s="14" t="str">
        <f t="shared" si="280"/>
        <v>00</v>
      </c>
      <c r="R1209" s="6">
        <v>518</v>
      </c>
      <c r="S1209" s="5">
        <f t="shared" si="283"/>
        <v>0</v>
      </c>
    </row>
    <row r="1210" spans="1:23" ht="15" hidden="1" customHeight="1">
      <c r="J1210" s="1" t="str">
        <f t="shared" si="275"/>
        <v>0</v>
      </c>
      <c r="K1210" s="3">
        <f t="shared" si="276"/>
        <v>-100</v>
      </c>
      <c r="L1210" s="3">
        <f t="shared" si="277"/>
        <v>1</v>
      </c>
      <c r="M1210" s="3">
        <f t="shared" si="278"/>
        <v>0</v>
      </c>
      <c r="N1210" s="3" t="str">
        <f t="shared" si="279"/>
        <v>01</v>
      </c>
      <c r="O1210" s="14" t="str">
        <f t="shared" si="280"/>
        <v>00</v>
      </c>
      <c r="R1210" s="6">
        <v>518</v>
      </c>
      <c r="S1210" s="5">
        <f t="shared" si="283"/>
        <v>0</v>
      </c>
    </row>
    <row r="1211" spans="1:23" ht="15" hidden="1" customHeight="1">
      <c r="J1211" s="1" t="str">
        <f t="shared" si="275"/>
        <v>0</v>
      </c>
      <c r="K1211" s="3">
        <f t="shared" si="276"/>
        <v>-100</v>
      </c>
      <c r="L1211" s="3">
        <f t="shared" si="277"/>
        <v>1</v>
      </c>
      <c r="M1211" s="3">
        <f t="shared" si="278"/>
        <v>0</v>
      </c>
      <c r="N1211" s="3" t="str">
        <f t="shared" si="279"/>
        <v>01</v>
      </c>
      <c r="O1211" s="14" t="str">
        <f t="shared" si="280"/>
        <v>00</v>
      </c>
      <c r="R1211" s="6">
        <v>518</v>
      </c>
      <c r="S1211" s="5">
        <f t="shared" si="283"/>
        <v>0</v>
      </c>
    </row>
    <row r="1212" spans="1:23">
      <c r="A1212" s="3">
        <v>1078</v>
      </c>
      <c r="B1212" s="1">
        <f>IF(G1212="-",0,IF(G1211=G1212,1,0))</f>
        <v>0</v>
      </c>
      <c r="C1212" s="1">
        <f>+IF(G1212="-",0,IF(I1212=I1211+1,0,(IF(I1212=1,0,1))))</f>
        <v>1</v>
      </c>
      <c r="D1212" s="1">
        <f>+IF(AND(P1212="",Q1212=""),1,0)</f>
        <v>0</v>
      </c>
      <c r="E1212" s="1">
        <f>IF(U1212="",1,0)</f>
        <v>0</v>
      </c>
      <c r="F1212" s="1">
        <f>IF(V1212="",1,0)</f>
        <v>0</v>
      </c>
      <c r="G1212" s="1" t="str">
        <f>IF(H1212=0,"-",_xlfn.CONCAT(K1212,N1212,O1212,J1212))</f>
        <v>24070303</v>
      </c>
      <c r="H1212" s="2">
        <v>45476</v>
      </c>
      <c r="I1212" s="36">
        <v>3</v>
      </c>
      <c r="J1212" s="1" t="str">
        <f t="shared" si="275"/>
        <v>03</v>
      </c>
      <c r="K1212" s="3">
        <f t="shared" si="276"/>
        <v>24</v>
      </c>
      <c r="L1212" s="3">
        <f t="shared" si="277"/>
        <v>7</v>
      </c>
      <c r="M1212" s="3">
        <f t="shared" si="278"/>
        <v>3</v>
      </c>
      <c r="N1212" s="3" t="str">
        <f t="shared" si="279"/>
        <v>07</v>
      </c>
      <c r="O1212" s="14" t="str">
        <f t="shared" si="280"/>
        <v>03</v>
      </c>
      <c r="P1212" s="4">
        <v>785249.66</v>
      </c>
      <c r="R1212" s="6">
        <v>519</v>
      </c>
      <c r="S1212" s="5">
        <f t="shared" si="283"/>
        <v>1513.0051252408477</v>
      </c>
      <c r="T1212" s="5" t="s">
        <v>408</v>
      </c>
      <c r="U1212" s="3" t="s">
        <v>2</v>
      </c>
      <c r="V1212" s="3" t="s">
        <v>4</v>
      </c>
    </row>
    <row r="1213" spans="1:23" hidden="1">
      <c r="J1213" s="1" t="str">
        <f t="shared" si="275"/>
        <v>0</v>
      </c>
      <c r="K1213" s="3">
        <f t="shared" si="276"/>
        <v>-100</v>
      </c>
      <c r="L1213" s="3">
        <f t="shared" si="277"/>
        <v>1</v>
      </c>
      <c r="M1213" s="3">
        <f t="shared" si="278"/>
        <v>0</v>
      </c>
      <c r="N1213" s="3" t="str">
        <f t="shared" si="279"/>
        <v>01</v>
      </c>
      <c r="O1213" s="14" t="str">
        <f t="shared" si="280"/>
        <v>00</v>
      </c>
      <c r="R1213" s="6">
        <v>518</v>
      </c>
      <c r="S1213" s="5">
        <f t="shared" si="283"/>
        <v>0</v>
      </c>
    </row>
    <row r="1214" spans="1:23">
      <c r="A1214" s="3">
        <v>1079</v>
      </c>
      <c r="B1214" s="1">
        <f t="shared" ref="B1214:B1219" si="284">IF(G1214="-",0,IF(G1213=G1214,1,0))</f>
        <v>0</v>
      </c>
      <c r="C1214" s="1">
        <f t="shared" ref="C1214:C1219" si="285">+IF(G1214="-",0,IF(I1214=I1213+1,0,(IF(I1214=1,0,1))))</f>
        <v>1</v>
      </c>
      <c r="D1214" s="1">
        <f t="shared" ref="D1214:D1220" si="286">+IF(AND(P1214="",Q1214=""),1,0)</f>
        <v>0</v>
      </c>
      <c r="E1214" s="1">
        <f t="shared" ref="E1214:F1220" si="287">IF(U1214="",1,0)</f>
        <v>0</v>
      </c>
      <c r="F1214" s="1">
        <f t="shared" si="287"/>
        <v>0</v>
      </c>
      <c r="G1214" s="1" t="str">
        <f t="shared" ref="G1214:G1220" si="288">IF(H1214=0,"-",_xlfn.CONCAT(K1214,N1214,O1214,J1214))</f>
        <v>24070304</v>
      </c>
      <c r="H1214" s="2">
        <v>45476</v>
      </c>
      <c r="I1214" s="36">
        <v>4</v>
      </c>
      <c r="J1214" s="1" t="str">
        <f t="shared" si="275"/>
        <v>04</v>
      </c>
      <c r="K1214" s="3">
        <f t="shared" si="276"/>
        <v>24</v>
      </c>
      <c r="L1214" s="3">
        <f t="shared" si="277"/>
        <v>7</v>
      </c>
      <c r="M1214" s="3">
        <f t="shared" si="278"/>
        <v>3</v>
      </c>
      <c r="N1214" s="3" t="str">
        <f t="shared" si="279"/>
        <v>07</v>
      </c>
      <c r="O1214" s="14" t="str">
        <f t="shared" si="280"/>
        <v>03</v>
      </c>
      <c r="P1214" s="4">
        <v>237300</v>
      </c>
      <c r="R1214" s="6">
        <v>519</v>
      </c>
      <c r="S1214" s="5">
        <f t="shared" si="283"/>
        <v>457.22543352601156</v>
      </c>
      <c r="T1214" s="5" t="s">
        <v>412</v>
      </c>
      <c r="U1214" s="3" t="s">
        <v>2</v>
      </c>
      <c r="V1214" s="3" t="s">
        <v>4</v>
      </c>
    </row>
    <row r="1215" spans="1:23">
      <c r="A1215" s="3">
        <v>1081</v>
      </c>
      <c r="B1215" s="1">
        <f t="shared" si="284"/>
        <v>0</v>
      </c>
      <c r="C1215" s="1">
        <f t="shared" si="285"/>
        <v>1</v>
      </c>
      <c r="D1215" s="1">
        <f t="shared" si="286"/>
        <v>0</v>
      </c>
      <c r="E1215" s="1">
        <f t="shared" si="287"/>
        <v>0</v>
      </c>
      <c r="F1215" s="1">
        <f t="shared" si="287"/>
        <v>0</v>
      </c>
      <c r="G1215" s="1" t="str">
        <f t="shared" si="288"/>
        <v>24070306</v>
      </c>
      <c r="H1215" s="2">
        <v>45476</v>
      </c>
      <c r="I1215" s="36">
        <v>6</v>
      </c>
      <c r="J1215" s="1" t="str">
        <f t="shared" si="275"/>
        <v>06</v>
      </c>
      <c r="K1215" s="3">
        <f t="shared" si="276"/>
        <v>24</v>
      </c>
      <c r="L1215" s="3">
        <f t="shared" si="277"/>
        <v>7</v>
      </c>
      <c r="M1215" s="3">
        <f t="shared" si="278"/>
        <v>3</v>
      </c>
      <c r="N1215" s="3" t="str">
        <f t="shared" si="279"/>
        <v>07</v>
      </c>
      <c r="O1215" s="14" t="str">
        <f t="shared" si="280"/>
        <v>03</v>
      </c>
      <c r="P1215" s="4">
        <f>150000*1.13</f>
        <v>169499.99999999997</v>
      </c>
      <c r="R1215" s="6">
        <v>519</v>
      </c>
      <c r="S1215" s="5">
        <f t="shared" si="283"/>
        <v>326.58959537572247</v>
      </c>
      <c r="T1215" s="5" t="s">
        <v>418</v>
      </c>
      <c r="U1215" s="3" t="s">
        <v>2</v>
      </c>
      <c r="V1215" s="3" t="s">
        <v>4</v>
      </c>
      <c r="W1215" s="3" t="s">
        <v>406</v>
      </c>
    </row>
    <row r="1216" spans="1:23">
      <c r="A1216" s="3">
        <v>1082</v>
      </c>
      <c r="B1216" s="1">
        <f t="shared" si="284"/>
        <v>0</v>
      </c>
      <c r="C1216" s="1">
        <f t="shared" si="285"/>
        <v>0</v>
      </c>
      <c r="D1216" s="1">
        <f t="shared" si="286"/>
        <v>0</v>
      </c>
      <c r="E1216" s="1">
        <f t="shared" si="287"/>
        <v>0</v>
      </c>
      <c r="F1216" s="1">
        <f t="shared" si="287"/>
        <v>0</v>
      </c>
      <c r="G1216" s="1" t="str">
        <f t="shared" si="288"/>
        <v>24070307</v>
      </c>
      <c r="H1216" s="2">
        <v>45476</v>
      </c>
      <c r="I1216" s="36">
        <v>7</v>
      </c>
      <c r="J1216" s="1" t="str">
        <f t="shared" si="275"/>
        <v>07</v>
      </c>
      <c r="K1216" s="3">
        <f t="shared" si="276"/>
        <v>24</v>
      </c>
      <c r="L1216" s="3">
        <f t="shared" si="277"/>
        <v>7</v>
      </c>
      <c r="M1216" s="3">
        <f t="shared" si="278"/>
        <v>3</v>
      </c>
      <c r="N1216" s="3" t="str">
        <f t="shared" si="279"/>
        <v>07</v>
      </c>
      <c r="O1216" s="14" t="str">
        <f t="shared" si="280"/>
        <v>03</v>
      </c>
      <c r="P1216" s="4">
        <v>469000.02</v>
      </c>
      <c r="R1216" s="6">
        <v>519</v>
      </c>
      <c r="S1216" s="5">
        <f t="shared" si="283"/>
        <v>903.66092485549132</v>
      </c>
      <c r="T1216" s="5" t="s">
        <v>409</v>
      </c>
      <c r="U1216" s="3" t="s">
        <v>2</v>
      </c>
      <c r="V1216" s="3" t="s">
        <v>4</v>
      </c>
    </row>
    <row r="1217" spans="1:23">
      <c r="A1217" s="3">
        <v>1083</v>
      </c>
      <c r="B1217" s="1">
        <f t="shared" si="284"/>
        <v>0</v>
      </c>
      <c r="C1217" s="1">
        <f t="shared" si="285"/>
        <v>0</v>
      </c>
      <c r="D1217" s="1">
        <f t="shared" si="286"/>
        <v>0</v>
      </c>
      <c r="E1217" s="1">
        <f t="shared" si="287"/>
        <v>0</v>
      </c>
      <c r="F1217" s="1">
        <f t="shared" si="287"/>
        <v>0</v>
      </c>
      <c r="G1217" s="1" t="str">
        <f t="shared" si="288"/>
        <v>24070308</v>
      </c>
      <c r="H1217" s="2">
        <v>45476</v>
      </c>
      <c r="I1217" s="36">
        <v>8</v>
      </c>
      <c r="J1217" s="1" t="str">
        <f t="shared" si="275"/>
        <v>08</v>
      </c>
      <c r="K1217" s="3">
        <f t="shared" si="276"/>
        <v>24</v>
      </c>
      <c r="L1217" s="3">
        <f t="shared" si="277"/>
        <v>7</v>
      </c>
      <c r="M1217" s="3">
        <f t="shared" si="278"/>
        <v>3</v>
      </c>
      <c r="N1217" s="3" t="str">
        <f t="shared" si="279"/>
        <v>07</v>
      </c>
      <c r="O1217" s="14" t="str">
        <f t="shared" si="280"/>
        <v>03</v>
      </c>
      <c r="P1217" s="4">
        <v>400000</v>
      </c>
      <c r="R1217" s="6">
        <v>519</v>
      </c>
      <c r="S1217" s="5">
        <f t="shared" si="283"/>
        <v>770.71290944123314</v>
      </c>
      <c r="T1217" s="5" t="s">
        <v>410</v>
      </c>
      <c r="U1217" s="3" t="s">
        <v>2</v>
      </c>
      <c r="V1217" s="3" t="s">
        <v>4</v>
      </c>
    </row>
    <row r="1218" spans="1:23">
      <c r="A1218" s="3">
        <v>1084</v>
      </c>
      <c r="B1218" s="1">
        <f t="shared" si="284"/>
        <v>0</v>
      </c>
      <c r="C1218" s="1">
        <f t="shared" si="285"/>
        <v>0</v>
      </c>
      <c r="D1218" s="1">
        <f t="shared" si="286"/>
        <v>0</v>
      </c>
      <c r="E1218" s="1">
        <f t="shared" si="287"/>
        <v>0</v>
      </c>
      <c r="F1218" s="1">
        <f t="shared" si="287"/>
        <v>0</v>
      </c>
      <c r="G1218" s="1" t="str">
        <f t="shared" si="288"/>
        <v>24070309</v>
      </c>
      <c r="H1218" s="2">
        <v>45476</v>
      </c>
      <c r="I1218" s="36">
        <v>9</v>
      </c>
      <c r="J1218" s="1" t="str">
        <f t="shared" si="275"/>
        <v>09</v>
      </c>
      <c r="K1218" s="3">
        <f t="shared" si="276"/>
        <v>24</v>
      </c>
      <c r="L1218" s="3">
        <f t="shared" si="277"/>
        <v>7</v>
      </c>
      <c r="M1218" s="3">
        <f t="shared" si="278"/>
        <v>3</v>
      </c>
      <c r="N1218" s="3" t="str">
        <f t="shared" si="279"/>
        <v>07</v>
      </c>
      <c r="O1218" s="14" t="str">
        <f t="shared" si="280"/>
        <v>03</v>
      </c>
      <c r="P1218" s="4">
        <v>141250</v>
      </c>
      <c r="R1218" s="6">
        <v>519</v>
      </c>
      <c r="S1218" s="5">
        <f t="shared" si="283"/>
        <v>272.15799614643544</v>
      </c>
      <c r="T1218" s="5" t="s">
        <v>411</v>
      </c>
      <c r="U1218" s="3" t="s">
        <v>2</v>
      </c>
      <c r="V1218" s="3" t="s">
        <v>4</v>
      </c>
    </row>
    <row r="1219" spans="1:23">
      <c r="A1219" s="3">
        <v>1085</v>
      </c>
      <c r="B1219" s="1">
        <f t="shared" si="284"/>
        <v>0</v>
      </c>
      <c r="C1219" s="1">
        <f t="shared" si="285"/>
        <v>0</v>
      </c>
      <c r="D1219" s="1">
        <f t="shared" si="286"/>
        <v>0</v>
      </c>
      <c r="E1219" s="1">
        <f t="shared" si="287"/>
        <v>0</v>
      </c>
      <c r="F1219" s="1">
        <f t="shared" si="287"/>
        <v>0</v>
      </c>
      <c r="G1219" s="1" t="str">
        <f t="shared" si="288"/>
        <v>24070310</v>
      </c>
      <c r="H1219" s="2">
        <v>45476</v>
      </c>
      <c r="I1219" s="36">
        <v>10</v>
      </c>
      <c r="J1219" s="1">
        <f t="shared" si="275"/>
        <v>10</v>
      </c>
      <c r="K1219" s="3">
        <f t="shared" si="276"/>
        <v>24</v>
      </c>
      <c r="L1219" s="3">
        <f t="shared" si="277"/>
        <v>7</v>
      </c>
      <c r="M1219" s="3">
        <f t="shared" si="278"/>
        <v>3</v>
      </c>
      <c r="N1219" s="3" t="str">
        <f t="shared" si="279"/>
        <v>07</v>
      </c>
      <c r="O1219" s="14" t="str">
        <f t="shared" si="280"/>
        <v>03</v>
      </c>
      <c r="P1219" s="4">
        <v>607661</v>
      </c>
      <c r="R1219" s="6">
        <v>519</v>
      </c>
      <c r="S1219" s="5">
        <f t="shared" si="283"/>
        <v>1170.8304431599229</v>
      </c>
      <c r="T1219" s="5" t="s">
        <v>416</v>
      </c>
      <c r="U1219" s="3" t="s">
        <v>2</v>
      </c>
      <c r="V1219" s="3" t="s">
        <v>4</v>
      </c>
      <c r="W1219" s="3" t="s">
        <v>407</v>
      </c>
    </row>
    <row r="1220" spans="1:23">
      <c r="A1220" s="3">
        <v>1088</v>
      </c>
      <c r="B1220" s="1">
        <f>IF(G1220="-",0,IF(G1218=G1220,1,0))</f>
        <v>0</v>
      </c>
      <c r="C1220" s="1">
        <f>+IF(G1220="-",0,IF(I1220=I1218+1,0,(IF(I1220=1,0,1))))</f>
        <v>1</v>
      </c>
      <c r="D1220" s="1">
        <f t="shared" si="286"/>
        <v>0</v>
      </c>
      <c r="E1220" s="1">
        <f t="shared" si="287"/>
        <v>0</v>
      </c>
      <c r="F1220" s="1">
        <f t="shared" si="287"/>
        <v>0</v>
      </c>
      <c r="G1220" s="1" t="str">
        <f t="shared" si="288"/>
        <v>24070312</v>
      </c>
      <c r="H1220" s="2">
        <v>45476</v>
      </c>
      <c r="I1220" s="36">
        <v>12</v>
      </c>
      <c r="J1220" s="1">
        <f t="shared" si="275"/>
        <v>12</v>
      </c>
      <c r="K1220" s="3">
        <f t="shared" si="276"/>
        <v>24</v>
      </c>
      <c r="L1220" s="3">
        <f t="shared" si="277"/>
        <v>7</v>
      </c>
      <c r="M1220" s="3">
        <f t="shared" si="278"/>
        <v>3</v>
      </c>
      <c r="N1220" s="3" t="str">
        <f t="shared" si="279"/>
        <v>07</v>
      </c>
      <c r="O1220" s="14" t="str">
        <f t="shared" si="280"/>
        <v>03</v>
      </c>
      <c r="P1220" s="4">
        <v>282500</v>
      </c>
      <c r="R1220" s="6">
        <v>519</v>
      </c>
      <c r="S1220" s="5">
        <f t="shared" si="283"/>
        <v>544.31599229287087</v>
      </c>
      <c r="T1220" s="5" t="s">
        <v>420</v>
      </c>
      <c r="U1220" s="3" t="s">
        <v>1</v>
      </c>
      <c r="V1220" s="3" t="s">
        <v>4</v>
      </c>
    </row>
    <row r="1221" spans="1:23" hidden="1">
      <c r="G1221" s="79"/>
      <c r="H1221" s="59"/>
      <c r="J1221" s="1" t="str">
        <f t="shared" si="275"/>
        <v>0</v>
      </c>
      <c r="K1221" s="3">
        <f t="shared" si="276"/>
        <v>-100</v>
      </c>
      <c r="L1221" s="3">
        <f t="shared" si="277"/>
        <v>1</v>
      </c>
      <c r="M1221" s="3">
        <f t="shared" si="278"/>
        <v>0</v>
      </c>
      <c r="N1221" s="3" t="str">
        <f t="shared" si="279"/>
        <v>01</v>
      </c>
      <c r="O1221" s="14" t="str">
        <f t="shared" si="280"/>
        <v>00</v>
      </c>
      <c r="P1221" s="11"/>
      <c r="Q1221" s="61"/>
      <c r="R1221" s="6">
        <v>518</v>
      </c>
      <c r="S1221" s="5">
        <f t="shared" si="283"/>
        <v>0</v>
      </c>
      <c r="T1221" s="61"/>
    </row>
    <row r="1222" spans="1:23" hidden="1">
      <c r="G1222" s="79"/>
      <c r="H1222" s="59"/>
      <c r="J1222" s="1" t="str">
        <f t="shared" si="275"/>
        <v>0</v>
      </c>
      <c r="K1222" s="3">
        <f t="shared" si="276"/>
        <v>-100</v>
      </c>
      <c r="L1222" s="3">
        <f t="shared" si="277"/>
        <v>1</v>
      </c>
      <c r="M1222" s="3">
        <f t="shared" si="278"/>
        <v>0</v>
      </c>
      <c r="N1222" s="3" t="str">
        <f t="shared" si="279"/>
        <v>01</v>
      </c>
      <c r="O1222" s="14" t="str">
        <f t="shared" si="280"/>
        <v>00</v>
      </c>
      <c r="P1222" s="11"/>
      <c r="Q1222" s="61"/>
      <c r="R1222" s="6">
        <v>518</v>
      </c>
      <c r="S1222" s="5">
        <f t="shared" si="283"/>
        <v>0</v>
      </c>
      <c r="T1222" s="61"/>
    </row>
    <row r="1223" spans="1:23">
      <c r="A1223" s="3">
        <v>1089</v>
      </c>
      <c r="B1223" s="1">
        <f>IF(G1223="-",0,IF(G1222=G1223,1,0))</f>
        <v>0</v>
      </c>
      <c r="C1223" s="1">
        <f>+IF(G1223="-",0,IF(I1223=I1222+1,0,(IF(I1223=1,0,1))))</f>
        <v>1</v>
      </c>
      <c r="D1223" s="1">
        <f>+IF(AND(P1223="",Q1223=""),1,0)</f>
        <v>0</v>
      </c>
      <c r="E1223" s="1">
        <f>IF(U1223="",1,0)</f>
        <v>0</v>
      </c>
      <c r="F1223" s="1">
        <f>IF(V1223="",1,0)</f>
        <v>0</v>
      </c>
      <c r="G1223" s="1" t="str">
        <f>IF(H1223=0,"-",_xlfn.CONCAT(K1223,N1223,O1223,J1223))</f>
        <v>24070313</v>
      </c>
      <c r="H1223" s="2">
        <v>45476</v>
      </c>
      <c r="I1223" s="36">
        <v>13</v>
      </c>
      <c r="J1223" s="1">
        <f t="shared" si="275"/>
        <v>13</v>
      </c>
      <c r="K1223" s="3">
        <f t="shared" si="276"/>
        <v>24</v>
      </c>
      <c r="L1223" s="3">
        <f t="shared" si="277"/>
        <v>7</v>
      </c>
      <c r="M1223" s="3">
        <f t="shared" si="278"/>
        <v>3</v>
      </c>
      <c r="N1223" s="3" t="str">
        <f t="shared" si="279"/>
        <v>07</v>
      </c>
      <c r="O1223" s="14" t="str">
        <f t="shared" si="280"/>
        <v>03</v>
      </c>
      <c r="P1223" s="4">
        <v>31357.5</v>
      </c>
      <c r="R1223" s="6">
        <v>519</v>
      </c>
      <c r="S1223" s="5">
        <f t="shared" si="283"/>
        <v>60.419075144508668</v>
      </c>
      <c r="T1223" s="5" t="s">
        <v>698</v>
      </c>
      <c r="U1223" s="3" t="s">
        <v>29</v>
      </c>
      <c r="V1223" s="3" t="s">
        <v>4</v>
      </c>
    </row>
    <row r="1224" spans="1:23" hidden="1">
      <c r="G1224" s="79"/>
      <c r="H1224" s="59"/>
      <c r="J1224" s="1" t="str">
        <f t="shared" si="275"/>
        <v>0</v>
      </c>
      <c r="K1224" s="3">
        <f t="shared" si="276"/>
        <v>-100</v>
      </c>
      <c r="L1224" s="3">
        <f t="shared" si="277"/>
        <v>1</v>
      </c>
      <c r="M1224" s="3">
        <f t="shared" si="278"/>
        <v>0</v>
      </c>
      <c r="N1224" s="3" t="str">
        <f t="shared" si="279"/>
        <v>01</v>
      </c>
      <c r="O1224" s="14" t="str">
        <f t="shared" si="280"/>
        <v>00</v>
      </c>
      <c r="P1224" s="11"/>
      <c r="Q1224" s="61"/>
      <c r="R1224" s="6">
        <v>518</v>
      </c>
      <c r="S1224" s="5">
        <f t="shared" si="283"/>
        <v>0</v>
      </c>
      <c r="T1224" s="61"/>
    </row>
    <row r="1225" spans="1:23">
      <c r="A1225" s="3">
        <v>1091</v>
      </c>
      <c r="B1225" s="1">
        <f>IF(G1225="-",0,IF(G1224=G1225,1,0))</f>
        <v>0</v>
      </c>
      <c r="C1225" s="1">
        <f>+IF(G1225="-",0,IF(I1225=I1224+1,0,(IF(I1225=1,0,1))))</f>
        <v>1</v>
      </c>
      <c r="D1225" s="1">
        <f>+IF(AND(P1225="",Q1225=""),1,0)</f>
        <v>0</v>
      </c>
      <c r="E1225" s="1">
        <f>IF(U1225="",1,0)</f>
        <v>0</v>
      </c>
      <c r="F1225" s="1">
        <f>IF(V1225="",1,0)</f>
        <v>0</v>
      </c>
      <c r="G1225" s="1" t="str">
        <f>IF(H1225=0,"-",_xlfn.CONCAT(K1225,N1225,O1225,J1225))</f>
        <v>24070315</v>
      </c>
      <c r="H1225" s="2">
        <v>45476</v>
      </c>
      <c r="I1225" s="36">
        <v>15</v>
      </c>
      <c r="J1225" s="1">
        <f t="shared" si="275"/>
        <v>15</v>
      </c>
      <c r="K1225" s="3">
        <f t="shared" si="276"/>
        <v>24</v>
      </c>
      <c r="L1225" s="3">
        <f t="shared" si="277"/>
        <v>7</v>
      </c>
      <c r="M1225" s="3">
        <f t="shared" si="278"/>
        <v>3</v>
      </c>
      <c r="N1225" s="3" t="str">
        <f t="shared" si="279"/>
        <v>07</v>
      </c>
      <c r="O1225" s="14" t="str">
        <f t="shared" si="280"/>
        <v>03</v>
      </c>
      <c r="P1225" s="4">
        <v>10000</v>
      </c>
      <c r="R1225" s="6">
        <v>519</v>
      </c>
      <c r="S1225" s="5">
        <f t="shared" si="283"/>
        <v>19.26782273603083</v>
      </c>
      <c r="T1225" s="5" t="s">
        <v>362</v>
      </c>
      <c r="U1225" s="3" t="s">
        <v>29</v>
      </c>
      <c r="V1225" s="3" t="s">
        <v>4</v>
      </c>
    </row>
    <row r="1226" spans="1:23" hidden="1">
      <c r="G1226" s="79"/>
      <c r="H1226" s="59"/>
      <c r="J1226" s="1" t="str">
        <f t="shared" si="275"/>
        <v>0</v>
      </c>
      <c r="K1226" s="3">
        <f t="shared" si="276"/>
        <v>-100</v>
      </c>
      <c r="L1226" s="3">
        <f t="shared" si="277"/>
        <v>1</v>
      </c>
      <c r="M1226" s="3">
        <f t="shared" si="278"/>
        <v>0</v>
      </c>
      <c r="N1226" s="3" t="str">
        <f t="shared" si="279"/>
        <v>01</v>
      </c>
      <c r="O1226" s="14" t="str">
        <f t="shared" si="280"/>
        <v>00</v>
      </c>
      <c r="P1226" s="11"/>
      <c r="Q1226" s="61"/>
      <c r="R1226" s="6">
        <v>518</v>
      </c>
      <c r="S1226" s="5">
        <f t="shared" si="283"/>
        <v>0</v>
      </c>
      <c r="T1226" s="61"/>
    </row>
    <row r="1227" spans="1:23">
      <c r="A1227" s="3">
        <v>2791</v>
      </c>
      <c r="B1227" s="1">
        <f>IF(G1227="-",0,IF(G1226=G1227,1,0))</f>
        <v>0</v>
      </c>
      <c r="C1227" s="1">
        <f>+IF(G1227="-",0,IF(I1227=I1226+1,0,(IF(I1227=1,0,1))))</f>
        <v>1</v>
      </c>
      <c r="D1227" s="1">
        <f>+IF(AND(P1227="",Q1227=""),1,0)</f>
        <v>0</v>
      </c>
      <c r="E1227" s="1">
        <f>IF(U1227="",1,0)</f>
        <v>0</v>
      </c>
      <c r="F1227" s="1">
        <f>IF(V1227="",1,0)</f>
        <v>0</v>
      </c>
      <c r="G1227" s="1" t="str">
        <f>IF(H1227=0,"-",_xlfn.CONCAT(K1227,N1227,O1227,J1227))</f>
        <v>24070316</v>
      </c>
      <c r="H1227" s="2">
        <v>45476</v>
      </c>
      <c r="I1227" s="36">
        <v>16</v>
      </c>
      <c r="J1227" s="1">
        <f t="shared" si="275"/>
        <v>16</v>
      </c>
      <c r="K1227" s="3">
        <f t="shared" si="276"/>
        <v>24</v>
      </c>
      <c r="L1227" s="3">
        <f t="shared" si="277"/>
        <v>7</v>
      </c>
      <c r="M1227" s="3">
        <f t="shared" si="278"/>
        <v>3</v>
      </c>
      <c r="N1227" s="3" t="str">
        <f t="shared" si="279"/>
        <v>07</v>
      </c>
      <c r="O1227" s="14" t="str">
        <f t="shared" si="280"/>
        <v>03</v>
      </c>
      <c r="P1227" s="4">
        <v>5219.42</v>
      </c>
      <c r="T1227" s="5" t="s">
        <v>1230</v>
      </c>
      <c r="U1227" s="3" t="s">
        <v>29</v>
      </c>
      <c r="V1227" s="3" t="s">
        <v>4</v>
      </c>
    </row>
    <row r="1228" spans="1:23">
      <c r="A1228" s="3">
        <v>1100</v>
      </c>
      <c r="B1228" s="1">
        <f>IF(G1228="-",0,IF(G1227=G1228,1,0))</f>
        <v>0</v>
      </c>
      <c r="C1228" s="1">
        <f>+IF(G1228="-",0,IF(I1228=I1227+1,0,(IF(I1228=1,0,1))))</f>
        <v>1</v>
      </c>
      <c r="D1228" s="1">
        <f>+IF(AND(P1228="",Q1228=""),1,0)</f>
        <v>0</v>
      </c>
      <c r="E1228" s="1">
        <f>IF(U1228="",1,0)</f>
        <v>0</v>
      </c>
      <c r="F1228" s="1">
        <f>IF(V1228="",1,0)</f>
        <v>0</v>
      </c>
      <c r="G1228" s="1" t="str">
        <f>IF(H1228=0,"-",_xlfn.CONCAT(K1228,N1228,O1228,J1228))</f>
        <v>24070409</v>
      </c>
      <c r="H1228" s="2">
        <v>45477</v>
      </c>
      <c r="I1228" s="36">
        <v>9</v>
      </c>
      <c r="J1228" s="1" t="str">
        <f t="shared" si="275"/>
        <v>09</v>
      </c>
      <c r="K1228" s="3">
        <f t="shared" si="276"/>
        <v>24</v>
      </c>
      <c r="L1228" s="3">
        <f t="shared" si="277"/>
        <v>7</v>
      </c>
      <c r="M1228" s="3">
        <f t="shared" si="278"/>
        <v>4</v>
      </c>
      <c r="N1228" s="3" t="str">
        <f t="shared" si="279"/>
        <v>07</v>
      </c>
      <c r="O1228" s="14" t="str">
        <f t="shared" si="280"/>
        <v>04</v>
      </c>
      <c r="P1228" s="4">
        <v>16412.46</v>
      </c>
      <c r="R1228" s="6">
        <v>523</v>
      </c>
      <c r="S1228" s="5">
        <f t="shared" ref="S1228:S1233" si="289">IFERROR(P1228/R1228,"")</f>
        <v>31.381376673040151</v>
      </c>
      <c r="T1228" s="5" t="s">
        <v>325</v>
      </c>
      <c r="U1228" s="3" t="s">
        <v>29</v>
      </c>
      <c r="V1228" s="3" t="s">
        <v>4</v>
      </c>
    </row>
    <row r="1229" spans="1:23" hidden="1">
      <c r="G1229" s="80"/>
      <c r="H1229" s="81"/>
      <c r="J1229" s="1" t="str">
        <f t="shared" ref="J1229:J1292" si="290">+IF(I1229&lt;10,_xlfn.CONCAT("0",I1229),I1229)</f>
        <v>0</v>
      </c>
      <c r="K1229" s="3">
        <f t="shared" ref="K1229:K1292" si="291">+YEAR(H1229)-2000</f>
        <v>-100</v>
      </c>
      <c r="L1229" s="3">
        <f t="shared" ref="L1229:L1292" si="292">+MONTH(H1229)</f>
        <v>1</v>
      </c>
      <c r="M1229" s="3">
        <f t="shared" ref="M1229:M1292" si="293">+DAY(H1229)</f>
        <v>0</v>
      </c>
      <c r="N1229" s="3" t="str">
        <f t="shared" ref="N1229:N1292" si="294">+IF(L1229&lt;10,_xlfn.CONCAT("0",L1229),L1229)</f>
        <v>01</v>
      </c>
      <c r="O1229" s="14" t="str">
        <f t="shared" ref="O1229:O1292" si="295">+IF(M1229&lt;10,_xlfn.CONCAT("0",M1229),M1229)</f>
        <v>00</v>
      </c>
      <c r="P1229" s="11"/>
      <c r="Q1229" s="77"/>
      <c r="R1229" s="6">
        <v>518</v>
      </c>
      <c r="S1229" s="5">
        <f t="shared" si="289"/>
        <v>0</v>
      </c>
      <c r="T1229" s="77"/>
    </row>
    <row r="1230" spans="1:23">
      <c r="A1230" s="3">
        <v>1103</v>
      </c>
      <c r="B1230" s="1">
        <f>IF(G1230="-",0,IF(G1229=G1230,1,0))</f>
        <v>0</v>
      </c>
      <c r="C1230" s="1">
        <f>+IF(G1230="-",0,IF(I1230=I1229+1,0,(IF(I1230=1,0,1))))</f>
        <v>1</v>
      </c>
      <c r="D1230" s="1">
        <f>+IF(AND(P1230="",Q1230=""),1,0)</f>
        <v>0</v>
      </c>
      <c r="E1230" s="1">
        <f>IF(U1230="",1,0)</f>
        <v>0</v>
      </c>
      <c r="F1230" s="1">
        <f>IF(V1230="",1,0)</f>
        <v>0</v>
      </c>
      <c r="G1230" s="1" t="str">
        <f>IF(H1230=0,"-",_xlfn.CONCAT(K1230,N1230,O1230,J1230))</f>
        <v>24070412</v>
      </c>
      <c r="H1230" s="2">
        <v>45477</v>
      </c>
      <c r="I1230" s="36">
        <v>12</v>
      </c>
      <c r="J1230" s="1">
        <f t="shared" si="290"/>
        <v>12</v>
      </c>
      <c r="K1230" s="3">
        <f t="shared" si="291"/>
        <v>24</v>
      </c>
      <c r="L1230" s="3">
        <f t="shared" si="292"/>
        <v>7</v>
      </c>
      <c r="M1230" s="3">
        <f t="shared" si="293"/>
        <v>4</v>
      </c>
      <c r="N1230" s="3" t="str">
        <f t="shared" si="294"/>
        <v>07</v>
      </c>
      <c r="O1230" s="14" t="str">
        <f t="shared" si="295"/>
        <v>04</v>
      </c>
      <c r="P1230" s="4">
        <v>2031339.95</v>
      </c>
      <c r="R1230" s="6">
        <v>519</v>
      </c>
      <c r="S1230" s="5">
        <f t="shared" si="289"/>
        <v>3913.9498073217724</v>
      </c>
      <c r="T1230" s="5" t="s">
        <v>421</v>
      </c>
      <c r="U1230" s="3" t="s">
        <v>3</v>
      </c>
      <c r="V1230" s="3" t="s">
        <v>4</v>
      </c>
    </row>
    <row r="1231" spans="1:23">
      <c r="A1231" s="3">
        <v>1111</v>
      </c>
      <c r="B1231" s="1">
        <f>IF(G1231="-",0,IF(G1229=G1231,1,0))</f>
        <v>0</v>
      </c>
      <c r="C1231" s="1">
        <f>+IF(G1231="-",0,IF(I1231=I1229+1,0,(IF(I1231=1,0,1))))</f>
        <v>1</v>
      </c>
      <c r="D1231" s="1">
        <f>+IF(AND(P1231="",Q1231=""),1,0)</f>
        <v>0</v>
      </c>
      <c r="E1231" s="1">
        <f>IF(U1231="",1,0)</f>
        <v>0</v>
      </c>
      <c r="F1231" s="1">
        <f>IF(V1231="",1,0)</f>
        <v>0</v>
      </c>
      <c r="G1231" s="1" t="str">
        <f>IF(H1231=0,"-",_xlfn.CONCAT(K1231,N1231,O1231,J1231))</f>
        <v>24070416</v>
      </c>
      <c r="H1231" s="2">
        <v>45477</v>
      </c>
      <c r="I1231" s="36">
        <v>16</v>
      </c>
      <c r="J1231" s="1">
        <f t="shared" si="290"/>
        <v>16</v>
      </c>
      <c r="K1231" s="3">
        <f t="shared" si="291"/>
        <v>24</v>
      </c>
      <c r="L1231" s="3">
        <f t="shared" si="292"/>
        <v>7</v>
      </c>
      <c r="M1231" s="3">
        <f t="shared" si="293"/>
        <v>4</v>
      </c>
      <c r="N1231" s="3" t="str">
        <f t="shared" si="294"/>
        <v>07</v>
      </c>
      <c r="O1231" s="14" t="str">
        <f t="shared" si="295"/>
        <v>04</v>
      </c>
      <c r="P1231" s="4">
        <v>2400</v>
      </c>
      <c r="R1231" s="6">
        <v>519</v>
      </c>
      <c r="S1231" s="5">
        <f t="shared" si="289"/>
        <v>4.6242774566473992</v>
      </c>
      <c r="T1231" s="5" t="s">
        <v>401</v>
      </c>
      <c r="U1231" s="3" t="s">
        <v>29</v>
      </c>
      <c r="V1231" s="3" t="s">
        <v>4</v>
      </c>
    </row>
    <row r="1232" spans="1:23" hidden="1">
      <c r="G1232" s="82"/>
      <c r="H1232" s="83"/>
      <c r="J1232" s="1" t="str">
        <f t="shared" si="290"/>
        <v>0</v>
      </c>
      <c r="K1232" s="3">
        <f t="shared" si="291"/>
        <v>-100</v>
      </c>
      <c r="L1232" s="3">
        <f t="shared" si="292"/>
        <v>1</v>
      </c>
      <c r="M1232" s="3">
        <f t="shared" si="293"/>
        <v>0</v>
      </c>
      <c r="N1232" s="3" t="str">
        <f t="shared" si="294"/>
        <v>01</v>
      </c>
      <c r="O1232" s="14" t="str">
        <f t="shared" si="295"/>
        <v>00</v>
      </c>
      <c r="P1232" s="11"/>
      <c r="Q1232" s="84"/>
      <c r="R1232" s="6">
        <v>518</v>
      </c>
      <c r="S1232" s="5">
        <f t="shared" si="289"/>
        <v>0</v>
      </c>
      <c r="T1232" s="84"/>
    </row>
    <row r="1233" spans="1:22" hidden="1">
      <c r="J1233" s="1" t="str">
        <f t="shared" si="290"/>
        <v>0</v>
      </c>
      <c r="K1233" s="3">
        <f t="shared" si="291"/>
        <v>-100</v>
      </c>
      <c r="L1233" s="3">
        <f t="shared" si="292"/>
        <v>1</v>
      </c>
      <c r="M1233" s="3">
        <f t="shared" si="293"/>
        <v>0</v>
      </c>
      <c r="N1233" s="3" t="str">
        <f t="shared" si="294"/>
        <v>01</v>
      </c>
      <c r="O1233" s="14" t="str">
        <f t="shared" si="295"/>
        <v>00</v>
      </c>
      <c r="P1233" s="11"/>
      <c r="R1233" s="6">
        <v>518</v>
      </c>
      <c r="S1233" s="5">
        <f t="shared" si="289"/>
        <v>0</v>
      </c>
    </row>
    <row r="1234" spans="1:22">
      <c r="A1234" s="3">
        <v>2810</v>
      </c>
      <c r="B1234" s="1">
        <f>IF(G1234="-",0,IF(G1233=G1234,1,0))</f>
        <v>0</v>
      </c>
      <c r="C1234" s="1">
        <f>+IF(G1234="-",0,IF(I1234=I1233+1,0,(IF(I1234=1,0,1))))</f>
        <v>1</v>
      </c>
      <c r="D1234" s="1">
        <f>+IF(AND(P1234="",Q1234=""),1,0)</f>
        <v>0</v>
      </c>
      <c r="E1234" s="1">
        <f>IF(U1234="",1,0)</f>
        <v>0</v>
      </c>
      <c r="F1234" s="1">
        <f>IF(V1234="",1,0)</f>
        <v>0</v>
      </c>
      <c r="G1234" s="1" t="str">
        <f>IF(H1234=0,"-",_xlfn.CONCAT(K1234,N1234,O1234,J1234))</f>
        <v>24070419</v>
      </c>
      <c r="H1234" s="2">
        <v>45477</v>
      </c>
      <c r="I1234" s="36">
        <v>19</v>
      </c>
      <c r="J1234" s="1">
        <f t="shared" si="290"/>
        <v>19</v>
      </c>
      <c r="K1234" s="3">
        <f t="shared" si="291"/>
        <v>24</v>
      </c>
      <c r="L1234" s="3">
        <f t="shared" si="292"/>
        <v>7</v>
      </c>
      <c r="M1234" s="3">
        <f t="shared" si="293"/>
        <v>4</v>
      </c>
      <c r="N1234" s="3" t="str">
        <f t="shared" si="294"/>
        <v>07</v>
      </c>
      <c r="O1234" s="14" t="str">
        <f t="shared" si="295"/>
        <v>04</v>
      </c>
      <c r="P1234" s="4">
        <v>20613.91</v>
      </c>
      <c r="T1234" s="5" t="s">
        <v>1231</v>
      </c>
      <c r="U1234" s="3" t="s">
        <v>29</v>
      </c>
      <c r="V1234" s="3" t="s">
        <v>4</v>
      </c>
    </row>
    <row r="1235" spans="1:22" hidden="1">
      <c r="J1235" s="1" t="str">
        <f t="shared" si="290"/>
        <v>0</v>
      </c>
      <c r="K1235" s="3">
        <f t="shared" si="291"/>
        <v>-100</v>
      </c>
      <c r="L1235" s="3">
        <f t="shared" si="292"/>
        <v>1</v>
      </c>
      <c r="M1235" s="3">
        <f t="shared" si="293"/>
        <v>0</v>
      </c>
      <c r="N1235" s="3" t="str">
        <f t="shared" si="294"/>
        <v>01</v>
      </c>
      <c r="O1235" s="14" t="str">
        <f t="shared" si="295"/>
        <v>00</v>
      </c>
      <c r="P1235" s="11"/>
      <c r="R1235" s="6">
        <v>518</v>
      </c>
      <c r="S1235" s="5">
        <f>IFERROR(P1235/R1235,"")</f>
        <v>0</v>
      </c>
    </row>
    <row r="1236" spans="1:22" hidden="1">
      <c r="J1236" s="1" t="str">
        <f t="shared" si="290"/>
        <v>0</v>
      </c>
      <c r="K1236" s="3">
        <f t="shared" si="291"/>
        <v>-100</v>
      </c>
      <c r="L1236" s="3">
        <f t="shared" si="292"/>
        <v>1</v>
      </c>
      <c r="M1236" s="3">
        <f t="shared" si="293"/>
        <v>0</v>
      </c>
      <c r="N1236" s="3" t="str">
        <f t="shared" si="294"/>
        <v>01</v>
      </c>
      <c r="O1236" s="14" t="str">
        <f t="shared" si="295"/>
        <v>00</v>
      </c>
      <c r="P1236" s="11"/>
      <c r="R1236" s="6">
        <v>518</v>
      </c>
      <c r="S1236" s="5">
        <f>IFERROR(P1236/R1236,"")</f>
        <v>0</v>
      </c>
    </row>
    <row r="1237" spans="1:22">
      <c r="A1237" s="3">
        <v>1117</v>
      </c>
      <c r="B1237" s="1">
        <f>IF(G1237="-",0,IF(G1236=G1237,1,0))</f>
        <v>0</v>
      </c>
      <c r="C1237" s="1">
        <f>+IF(G1237="-",0,IF(I1237=I1236+1,0,(IF(I1237=1,0,1))))</f>
        <v>1</v>
      </c>
      <c r="D1237" s="1">
        <f>+IF(AND(P1237="",Q1237=""),1,0)</f>
        <v>0</v>
      </c>
      <c r="E1237" s="1">
        <f>IF(U1237="",1,0)</f>
        <v>0</v>
      </c>
      <c r="F1237" s="1">
        <f>IF(V1237="",1,0)</f>
        <v>0</v>
      </c>
      <c r="G1237" s="1" t="str">
        <f>IF(H1237=0,"-",_xlfn.CONCAT(K1237,N1237,O1237,J1237))</f>
        <v>24070504</v>
      </c>
      <c r="H1237" s="2">
        <v>45478</v>
      </c>
      <c r="I1237" s="36">
        <v>4</v>
      </c>
      <c r="J1237" s="1" t="str">
        <f t="shared" si="290"/>
        <v>04</v>
      </c>
      <c r="K1237" s="3">
        <f t="shared" si="291"/>
        <v>24</v>
      </c>
      <c r="L1237" s="3">
        <f t="shared" si="292"/>
        <v>7</v>
      </c>
      <c r="M1237" s="3">
        <f t="shared" si="293"/>
        <v>5</v>
      </c>
      <c r="N1237" s="3" t="str">
        <f t="shared" si="294"/>
        <v>07</v>
      </c>
      <c r="O1237" s="14" t="str">
        <f t="shared" si="295"/>
        <v>05</v>
      </c>
      <c r="P1237" s="4">
        <v>153461.43</v>
      </c>
      <c r="R1237" s="6">
        <v>525</v>
      </c>
      <c r="S1237" s="5">
        <f>IFERROR(P1237/R1237,"")</f>
        <v>292.30748571428569</v>
      </c>
      <c r="T1237" s="5" t="s">
        <v>447</v>
      </c>
      <c r="U1237" s="3" t="s">
        <v>2</v>
      </c>
      <c r="V1237" s="3" t="s">
        <v>4</v>
      </c>
    </row>
    <row r="1238" spans="1:22">
      <c r="A1238" s="3">
        <v>1118</v>
      </c>
      <c r="B1238" s="1">
        <f>IF(G1238="-",0,IF(G1237=G1238,1,0))</f>
        <v>0</v>
      </c>
      <c r="C1238" s="1">
        <f>+IF(G1238="-",0,IF(I1238=I1237+1,0,(IF(I1238=1,0,1))))</f>
        <v>0</v>
      </c>
      <c r="D1238" s="1">
        <f>+IF(AND(P1238="",Q1238=""),1,0)</f>
        <v>0</v>
      </c>
      <c r="E1238" s="1">
        <f>IF(U1238="",1,0)</f>
        <v>0</v>
      </c>
      <c r="F1238" s="1">
        <f>IF(V1238="",1,0)</f>
        <v>0</v>
      </c>
      <c r="G1238" s="1" t="str">
        <f>IF(H1238=0,"-",_xlfn.CONCAT(K1238,N1238,O1238,J1238))</f>
        <v>24070505</v>
      </c>
      <c r="H1238" s="2">
        <v>45478</v>
      </c>
      <c r="I1238" s="36">
        <v>5</v>
      </c>
      <c r="J1238" s="1" t="str">
        <f t="shared" si="290"/>
        <v>05</v>
      </c>
      <c r="K1238" s="3">
        <f t="shared" si="291"/>
        <v>24</v>
      </c>
      <c r="L1238" s="3">
        <f t="shared" si="292"/>
        <v>7</v>
      </c>
      <c r="M1238" s="3">
        <f t="shared" si="293"/>
        <v>5</v>
      </c>
      <c r="N1238" s="3" t="str">
        <f t="shared" si="294"/>
        <v>07</v>
      </c>
      <c r="O1238" s="14" t="str">
        <f t="shared" si="295"/>
        <v>05</v>
      </c>
      <c r="P1238" s="4">
        <v>9000</v>
      </c>
      <c r="R1238" s="6">
        <v>524</v>
      </c>
      <c r="S1238" s="5">
        <f>IFERROR(P1238/R1238,"")</f>
        <v>17.175572519083971</v>
      </c>
      <c r="T1238" s="5" t="s">
        <v>361</v>
      </c>
      <c r="U1238" s="3" t="s">
        <v>29</v>
      </c>
      <c r="V1238" s="3" t="s">
        <v>4</v>
      </c>
    </row>
    <row r="1239" spans="1:22" hidden="1">
      <c r="J1239" s="1" t="str">
        <f t="shared" si="290"/>
        <v>0</v>
      </c>
      <c r="K1239" s="3">
        <f t="shared" si="291"/>
        <v>-100</v>
      </c>
      <c r="L1239" s="3">
        <f t="shared" si="292"/>
        <v>1</v>
      </c>
      <c r="M1239" s="3">
        <f t="shared" si="293"/>
        <v>0</v>
      </c>
      <c r="N1239" s="3" t="str">
        <f t="shared" si="294"/>
        <v>01</v>
      </c>
      <c r="O1239" s="14" t="str">
        <f t="shared" si="295"/>
        <v>00</v>
      </c>
      <c r="R1239" s="6">
        <v>518</v>
      </c>
      <c r="S1239" s="5">
        <v>30.79</v>
      </c>
    </row>
    <row r="1240" spans="1:22" hidden="1">
      <c r="J1240" s="1" t="str">
        <f t="shared" si="290"/>
        <v>0</v>
      </c>
      <c r="K1240" s="3">
        <f t="shared" si="291"/>
        <v>-100</v>
      </c>
      <c r="L1240" s="3">
        <f t="shared" si="292"/>
        <v>1</v>
      </c>
      <c r="M1240" s="3">
        <f t="shared" si="293"/>
        <v>0</v>
      </c>
      <c r="N1240" s="3" t="str">
        <f t="shared" si="294"/>
        <v>01</v>
      </c>
      <c r="O1240" s="14" t="str">
        <f t="shared" si="295"/>
        <v>00</v>
      </c>
      <c r="R1240" s="6">
        <v>518</v>
      </c>
      <c r="S1240" s="5">
        <f t="shared" ref="S1240:S1252" si="296">IFERROR(P1240/R1240,"")</f>
        <v>0</v>
      </c>
    </row>
    <row r="1241" spans="1:22">
      <c r="A1241" s="3">
        <v>1119</v>
      </c>
      <c r="B1241" s="1">
        <f>IF(G1241="-",0,IF(G1240=G1241,1,0))</f>
        <v>0</v>
      </c>
      <c r="C1241" s="1">
        <f>+IF(G1241="-",0,IF(I1241=I1240+1,0,(IF(I1241=1,0,1))))</f>
        <v>1</v>
      </c>
      <c r="D1241" s="1">
        <f>+IF(AND(P1241="",Q1241=""),1,0)</f>
        <v>0</v>
      </c>
      <c r="E1241" s="1">
        <f>IF(U1241="",1,0)</f>
        <v>0</v>
      </c>
      <c r="F1241" s="1">
        <f>IF(V1241="",1,0)</f>
        <v>0</v>
      </c>
      <c r="G1241" s="1" t="str">
        <f>IF(H1241=0,"-",_xlfn.CONCAT(K1241,N1241,O1241,J1241))</f>
        <v>24070506</v>
      </c>
      <c r="H1241" s="2">
        <v>45478</v>
      </c>
      <c r="I1241" s="36">
        <v>6</v>
      </c>
      <c r="J1241" s="1" t="str">
        <f t="shared" si="290"/>
        <v>06</v>
      </c>
      <c r="K1241" s="3">
        <f t="shared" si="291"/>
        <v>24</v>
      </c>
      <c r="L1241" s="3">
        <f t="shared" si="292"/>
        <v>7</v>
      </c>
      <c r="M1241" s="3">
        <f t="shared" si="293"/>
        <v>5</v>
      </c>
      <c r="N1241" s="3" t="str">
        <f t="shared" si="294"/>
        <v>07</v>
      </c>
      <c r="O1241" s="14" t="str">
        <f t="shared" si="295"/>
        <v>05</v>
      </c>
      <c r="P1241" s="4">
        <v>15000</v>
      </c>
      <c r="R1241" s="6">
        <v>524</v>
      </c>
      <c r="S1241" s="5">
        <f t="shared" si="296"/>
        <v>28.625954198473284</v>
      </c>
      <c r="T1241" s="5" t="s">
        <v>361</v>
      </c>
      <c r="U1241" s="3" t="s">
        <v>29</v>
      </c>
      <c r="V1241" s="3" t="s">
        <v>4</v>
      </c>
    </row>
    <row r="1242" spans="1:22" hidden="1">
      <c r="J1242" s="1" t="str">
        <f t="shared" si="290"/>
        <v>0</v>
      </c>
      <c r="K1242" s="3">
        <f t="shared" si="291"/>
        <v>-100</v>
      </c>
      <c r="L1242" s="3">
        <f t="shared" si="292"/>
        <v>1</v>
      </c>
      <c r="M1242" s="3">
        <f t="shared" si="293"/>
        <v>0</v>
      </c>
      <c r="N1242" s="3" t="str">
        <f t="shared" si="294"/>
        <v>01</v>
      </c>
      <c r="O1242" s="14" t="str">
        <f t="shared" si="295"/>
        <v>00</v>
      </c>
      <c r="R1242" s="6">
        <v>518</v>
      </c>
      <c r="S1242" s="5">
        <f t="shared" si="296"/>
        <v>0</v>
      </c>
    </row>
    <row r="1243" spans="1:22" hidden="1">
      <c r="J1243" s="1" t="str">
        <f t="shared" si="290"/>
        <v>0</v>
      </c>
      <c r="K1243" s="3">
        <f t="shared" si="291"/>
        <v>-100</v>
      </c>
      <c r="L1243" s="3">
        <f t="shared" si="292"/>
        <v>1</v>
      </c>
      <c r="M1243" s="3">
        <f t="shared" si="293"/>
        <v>0</v>
      </c>
      <c r="N1243" s="3" t="str">
        <f t="shared" si="294"/>
        <v>01</v>
      </c>
      <c r="O1243" s="14" t="str">
        <f t="shared" si="295"/>
        <v>00</v>
      </c>
      <c r="R1243" s="6">
        <v>518</v>
      </c>
      <c r="S1243" s="5">
        <f t="shared" si="296"/>
        <v>0</v>
      </c>
    </row>
    <row r="1244" spans="1:22" hidden="1">
      <c r="J1244" s="1" t="str">
        <f t="shared" si="290"/>
        <v>0</v>
      </c>
      <c r="K1244" s="3">
        <f t="shared" si="291"/>
        <v>-100</v>
      </c>
      <c r="L1244" s="3">
        <f t="shared" si="292"/>
        <v>1</v>
      </c>
      <c r="M1244" s="3">
        <f t="shared" si="293"/>
        <v>0</v>
      </c>
      <c r="N1244" s="3" t="str">
        <f t="shared" si="294"/>
        <v>01</v>
      </c>
      <c r="O1244" s="14" t="str">
        <f t="shared" si="295"/>
        <v>00</v>
      </c>
      <c r="R1244" s="6">
        <v>518</v>
      </c>
      <c r="S1244" s="5">
        <f t="shared" si="296"/>
        <v>0</v>
      </c>
    </row>
    <row r="1245" spans="1:22" hidden="1">
      <c r="J1245" s="1" t="str">
        <f t="shared" si="290"/>
        <v>0</v>
      </c>
      <c r="K1245" s="3">
        <f t="shared" si="291"/>
        <v>-100</v>
      </c>
      <c r="L1245" s="3">
        <f t="shared" si="292"/>
        <v>1</v>
      </c>
      <c r="M1245" s="3">
        <f t="shared" si="293"/>
        <v>0</v>
      </c>
      <c r="N1245" s="3" t="str">
        <f t="shared" si="294"/>
        <v>01</v>
      </c>
      <c r="O1245" s="14" t="str">
        <f t="shared" si="295"/>
        <v>00</v>
      </c>
      <c r="R1245" s="6">
        <v>518</v>
      </c>
      <c r="S1245" s="5">
        <f t="shared" si="296"/>
        <v>0</v>
      </c>
    </row>
    <row r="1246" spans="1:22" hidden="1">
      <c r="J1246" s="1" t="str">
        <f t="shared" si="290"/>
        <v>0</v>
      </c>
      <c r="K1246" s="3">
        <f t="shared" si="291"/>
        <v>-100</v>
      </c>
      <c r="L1246" s="3">
        <f t="shared" si="292"/>
        <v>1</v>
      </c>
      <c r="M1246" s="3">
        <f t="shared" si="293"/>
        <v>0</v>
      </c>
      <c r="N1246" s="3" t="str">
        <f t="shared" si="294"/>
        <v>01</v>
      </c>
      <c r="O1246" s="14" t="str">
        <f t="shared" si="295"/>
        <v>00</v>
      </c>
      <c r="R1246" s="6">
        <v>518</v>
      </c>
      <c r="S1246" s="5">
        <f t="shared" si="296"/>
        <v>0</v>
      </c>
    </row>
    <row r="1247" spans="1:22" hidden="1">
      <c r="J1247" s="1" t="str">
        <f t="shared" si="290"/>
        <v>0</v>
      </c>
      <c r="K1247" s="3">
        <f t="shared" si="291"/>
        <v>-100</v>
      </c>
      <c r="L1247" s="3">
        <f t="shared" si="292"/>
        <v>1</v>
      </c>
      <c r="M1247" s="3">
        <f t="shared" si="293"/>
        <v>0</v>
      </c>
      <c r="N1247" s="3" t="str">
        <f t="shared" si="294"/>
        <v>01</v>
      </c>
      <c r="O1247" s="14" t="str">
        <f t="shared" si="295"/>
        <v>00</v>
      </c>
      <c r="R1247" s="6">
        <v>518</v>
      </c>
      <c r="S1247" s="5">
        <f t="shared" si="296"/>
        <v>0</v>
      </c>
    </row>
    <row r="1248" spans="1:22" hidden="1">
      <c r="J1248" s="1" t="str">
        <f t="shared" si="290"/>
        <v>0</v>
      </c>
      <c r="K1248" s="3">
        <f t="shared" si="291"/>
        <v>-100</v>
      </c>
      <c r="L1248" s="3">
        <f t="shared" si="292"/>
        <v>1</v>
      </c>
      <c r="M1248" s="3">
        <f t="shared" si="293"/>
        <v>0</v>
      </c>
      <c r="N1248" s="3" t="str">
        <f t="shared" si="294"/>
        <v>01</v>
      </c>
      <c r="O1248" s="14" t="str">
        <f t="shared" si="295"/>
        <v>00</v>
      </c>
      <c r="R1248" s="6">
        <v>518</v>
      </c>
      <c r="S1248" s="5">
        <f t="shared" si="296"/>
        <v>0</v>
      </c>
    </row>
    <row r="1249" spans="1:23" hidden="1">
      <c r="J1249" s="1" t="str">
        <f t="shared" si="290"/>
        <v>0</v>
      </c>
      <c r="K1249" s="3">
        <f t="shared" si="291"/>
        <v>-100</v>
      </c>
      <c r="L1249" s="3">
        <f t="shared" si="292"/>
        <v>1</v>
      </c>
      <c r="M1249" s="3">
        <f t="shared" si="293"/>
        <v>0</v>
      </c>
      <c r="N1249" s="3" t="str">
        <f t="shared" si="294"/>
        <v>01</v>
      </c>
      <c r="O1249" s="14" t="str">
        <f t="shared" si="295"/>
        <v>00</v>
      </c>
      <c r="R1249" s="6">
        <v>518</v>
      </c>
      <c r="S1249" s="5">
        <f t="shared" si="296"/>
        <v>0</v>
      </c>
    </row>
    <row r="1250" spans="1:23" hidden="1">
      <c r="J1250" s="1" t="str">
        <f t="shared" si="290"/>
        <v>0</v>
      </c>
      <c r="K1250" s="3">
        <f t="shared" si="291"/>
        <v>-100</v>
      </c>
      <c r="L1250" s="3">
        <f t="shared" si="292"/>
        <v>1</v>
      </c>
      <c r="M1250" s="3">
        <f t="shared" si="293"/>
        <v>0</v>
      </c>
      <c r="N1250" s="3" t="str">
        <f t="shared" si="294"/>
        <v>01</v>
      </c>
      <c r="O1250" s="14" t="str">
        <f t="shared" si="295"/>
        <v>00</v>
      </c>
      <c r="R1250" s="6">
        <v>518</v>
      </c>
      <c r="S1250" s="5">
        <f t="shared" si="296"/>
        <v>0</v>
      </c>
    </row>
    <row r="1251" spans="1:23" hidden="1">
      <c r="J1251" s="1" t="str">
        <f t="shared" si="290"/>
        <v>0</v>
      </c>
      <c r="K1251" s="3">
        <f t="shared" si="291"/>
        <v>-100</v>
      </c>
      <c r="L1251" s="3">
        <f t="shared" si="292"/>
        <v>1</v>
      </c>
      <c r="M1251" s="3">
        <f t="shared" si="293"/>
        <v>0</v>
      </c>
      <c r="N1251" s="3" t="str">
        <f t="shared" si="294"/>
        <v>01</v>
      </c>
      <c r="O1251" s="14" t="str">
        <f t="shared" si="295"/>
        <v>00</v>
      </c>
      <c r="R1251" s="6">
        <v>518</v>
      </c>
      <c r="S1251" s="5">
        <f t="shared" si="296"/>
        <v>0</v>
      </c>
    </row>
    <row r="1252" spans="1:23">
      <c r="A1252" s="3">
        <v>1121</v>
      </c>
      <c r="B1252" s="1">
        <f>IF(G1252="-",0,IF(G1251=G1252,1,0))</f>
        <v>0</v>
      </c>
      <c r="C1252" s="1">
        <f>+IF(G1252="-",0,IF(I1252=I1251+1,0,(IF(I1252=1,0,1))))</f>
        <v>0</v>
      </c>
      <c r="D1252" s="1">
        <f>+IF(AND(P1252="",Q1252=""),1,0)</f>
        <v>0</v>
      </c>
      <c r="E1252" s="1">
        <f>IF(U1252="",1,0)</f>
        <v>0</v>
      </c>
      <c r="F1252" s="1">
        <f>IF(V1252="",1,0)</f>
        <v>0</v>
      </c>
      <c r="G1252" s="52" t="str">
        <f>IF(H1252=0,"-",_xlfn.CONCAT(K1252,N1252,O1252,J1252))</f>
        <v>24070601</v>
      </c>
      <c r="H1252" s="9">
        <v>45479</v>
      </c>
      <c r="I1252" s="52">
        <v>1</v>
      </c>
      <c r="J1252" s="52" t="str">
        <f t="shared" si="290"/>
        <v>01</v>
      </c>
      <c r="K1252" s="10">
        <f t="shared" si="291"/>
        <v>24</v>
      </c>
      <c r="L1252" s="10">
        <f t="shared" si="292"/>
        <v>7</v>
      </c>
      <c r="M1252" s="10">
        <f t="shared" si="293"/>
        <v>6</v>
      </c>
      <c r="N1252" s="10" t="str">
        <f t="shared" si="294"/>
        <v>07</v>
      </c>
      <c r="O1252" s="70" t="str">
        <f t="shared" si="295"/>
        <v>06</v>
      </c>
      <c r="P1252" s="11">
        <v>0</v>
      </c>
      <c r="Q1252" s="12"/>
      <c r="R1252" s="13">
        <v>525</v>
      </c>
      <c r="S1252" s="12">
        <f t="shared" si="296"/>
        <v>0</v>
      </c>
      <c r="T1252" s="12" t="s">
        <v>425</v>
      </c>
      <c r="U1252" s="10" t="s">
        <v>1</v>
      </c>
      <c r="V1252" s="10" t="s">
        <v>4</v>
      </c>
      <c r="W1252" s="10" t="s">
        <v>438</v>
      </c>
    </row>
    <row r="1253" spans="1:23" hidden="1">
      <c r="J1253" s="1" t="str">
        <f t="shared" si="290"/>
        <v>0</v>
      </c>
      <c r="K1253" s="3">
        <f t="shared" si="291"/>
        <v>-100</v>
      </c>
      <c r="L1253" s="3">
        <f t="shared" si="292"/>
        <v>1</v>
      </c>
      <c r="M1253" s="3">
        <f t="shared" si="293"/>
        <v>0</v>
      </c>
      <c r="N1253" s="3" t="str">
        <f t="shared" si="294"/>
        <v>01</v>
      </c>
      <c r="O1253" s="14" t="str">
        <f t="shared" si="295"/>
        <v>00</v>
      </c>
    </row>
    <row r="1254" spans="1:23" hidden="1">
      <c r="J1254" s="1" t="str">
        <f t="shared" si="290"/>
        <v>0</v>
      </c>
      <c r="K1254" s="3">
        <f t="shared" si="291"/>
        <v>-100</v>
      </c>
      <c r="L1254" s="3">
        <f t="shared" si="292"/>
        <v>1</v>
      </c>
      <c r="M1254" s="3">
        <f t="shared" si="293"/>
        <v>0</v>
      </c>
      <c r="N1254" s="3" t="str">
        <f t="shared" si="294"/>
        <v>01</v>
      </c>
      <c r="O1254" s="14" t="str">
        <f t="shared" si="295"/>
        <v>00</v>
      </c>
    </row>
    <row r="1255" spans="1:23" hidden="1">
      <c r="J1255" s="1" t="str">
        <f t="shared" si="290"/>
        <v>0</v>
      </c>
      <c r="K1255" s="3">
        <f t="shared" si="291"/>
        <v>-100</v>
      </c>
      <c r="L1255" s="3">
        <f t="shared" si="292"/>
        <v>1</v>
      </c>
      <c r="M1255" s="3">
        <f t="shared" si="293"/>
        <v>0</v>
      </c>
      <c r="N1255" s="3" t="str">
        <f t="shared" si="294"/>
        <v>01</v>
      </c>
      <c r="O1255" s="14" t="str">
        <f t="shared" si="295"/>
        <v>00</v>
      </c>
    </row>
    <row r="1256" spans="1:23" hidden="1">
      <c r="J1256" s="1" t="str">
        <f t="shared" si="290"/>
        <v>0</v>
      </c>
      <c r="K1256" s="3">
        <f t="shared" si="291"/>
        <v>-100</v>
      </c>
      <c r="L1256" s="3">
        <f t="shared" si="292"/>
        <v>1</v>
      </c>
      <c r="M1256" s="3">
        <f t="shared" si="293"/>
        <v>0</v>
      </c>
      <c r="N1256" s="3" t="str">
        <f t="shared" si="294"/>
        <v>01</v>
      </c>
      <c r="O1256" s="14" t="str">
        <f t="shared" si="295"/>
        <v>00</v>
      </c>
    </row>
    <row r="1257" spans="1:23" hidden="1">
      <c r="J1257" s="1" t="str">
        <f t="shared" si="290"/>
        <v>0</v>
      </c>
      <c r="K1257" s="3">
        <f t="shared" si="291"/>
        <v>-100</v>
      </c>
      <c r="L1257" s="3">
        <f t="shared" si="292"/>
        <v>1</v>
      </c>
      <c r="M1257" s="3">
        <f t="shared" si="293"/>
        <v>0</v>
      </c>
      <c r="N1257" s="3" t="str">
        <f t="shared" si="294"/>
        <v>01</v>
      </c>
      <c r="O1257" s="14" t="str">
        <f t="shared" si="295"/>
        <v>00</v>
      </c>
    </row>
    <row r="1258" spans="1:23" hidden="1">
      <c r="J1258" s="1" t="str">
        <f t="shared" si="290"/>
        <v>0</v>
      </c>
      <c r="K1258" s="3">
        <f t="shared" si="291"/>
        <v>-100</v>
      </c>
      <c r="L1258" s="3">
        <f t="shared" si="292"/>
        <v>1</v>
      </c>
      <c r="M1258" s="3">
        <f t="shared" si="293"/>
        <v>0</v>
      </c>
      <c r="N1258" s="3" t="str">
        <f t="shared" si="294"/>
        <v>01</v>
      </c>
      <c r="O1258" s="14" t="str">
        <f t="shared" si="295"/>
        <v>00</v>
      </c>
      <c r="R1258" s="6">
        <v>516</v>
      </c>
      <c r="S1258" s="5">
        <f t="shared" ref="S1258:S1293" si="297">IFERROR(P1258/R1258,"")</f>
        <v>0</v>
      </c>
    </row>
    <row r="1259" spans="1:23" hidden="1">
      <c r="J1259" s="1" t="str">
        <f t="shared" si="290"/>
        <v>0</v>
      </c>
      <c r="K1259" s="3">
        <f t="shared" si="291"/>
        <v>-100</v>
      </c>
      <c r="L1259" s="3">
        <f t="shared" si="292"/>
        <v>1</v>
      </c>
      <c r="M1259" s="3">
        <f t="shared" si="293"/>
        <v>0</v>
      </c>
      <c r="N1259" s="3" t="str">
        <f t="shared" si="294"/>
        <v>01</v>
      </c>
      <c r="O1259" s="14" t="str">
        <f t="shared" si="295"/>
        <v>00</v>
      </c>
      <c r="R1259" s="6">
        <v>516</v>
      </c>
      <c r="S1259" s="5">
        <f t="shared" si="297"/>
        <v>0</v>
      </c>
    </row>
    <row r="1260" spans="1:23">
      <c r="A1260" s="3">
        <v>1122</v>
      </c>
      <c r="B1260" s="1">
        <f>IF(G1260="-",0,IF(G1259=G1260,1,0))</f>
        <v>0</v>
      </c>
      <c r="C1260" s="1">
        <f>+IF(G1260="-",0,IF(I1260=I1259+1,0,(IF(I1260=1,0,1))))</f>
        <v>1</v>
      </c>
      <c r="D1260" s="1">
        <f>+IF(AND(P1260="",Q1260=""),1,0)</f>
        <v>0</v>
      </c>
      <c r="E1260" s="1">
        <f t="shared" ref="E1260:F1264" si="298">IF(U1260="",1,0)</f>
        <v>0</v>
      </c>
      <c r="F1260" s="1">
        <f t="shared" si="298"/>
        <v>0</v>
      </c>
      <c r="G1260" s="52" t="str">
        <f>IF(H1260=0,"-",_xlfn.CONCAT(K1260,N1260,O1260,J1260))</f>
        <v>24070602</v>
      </c>
      <c r="H1260" s="9">
        <v>45479</v>
      </c>
      <c r="I1260" s="52">
        <v>2</v>
      </c>
      <c r="J1260" s="52" t="str">
        <f t="shared" si="290"/>
        <v>02</v>
      </c>
      <c r="K1260" s="10">
        <f t="shared" si="291"/>
        <v>24</v>
      </c>
      <c r="L1260" s="10">
        <f t="shared" si="292"/>
        <v>7</v>
      </c>
      <c r="M1260" s="10">
        <f t="shared" si="293"/>
        <v>6</v>
      </c>
      <c r="N1260" s="10" t="str">
        <f t="shared" si="294"/>
        <v>07</v>
      </c>
      <c r="O1260" s="70" t="str">
        <f t="shared" si="295"/>
        <v>06</v>
      </c>
      <c r="P1260" s="11">
        <v>0</v>
      </c>
      <c r="Q1260" s="12"/>
      <c r="R1260" s="13">
        <v>525</v>
      </c>
      <c r="S1260" s="12">
        <f t="shared" si="297"/>
        <v>0</v>
      </c>
      <c r="T1260" s="12" t="s">
        <v>427</v>
      </c>
      <c r="U1260" s="10" t="s">
        <v>1</v>
      </c>
      <c r="V1260" s="10" t="s">
        <v>4</v>
      </c>
      <c r="W1260" s="10"/>
    </row>
    <row r="1261" spans="1:23">
      <c r="A1261" s="3">
        <v>1123</v>
      </c>
      <c r="B1261" s="1">
        <f>IF(G1261="-",0,IF(G1260=G1261,1,0))</f>
        <v>0</v>
      </c>
      <c r="C1261" s="1">
        <f>+IF(G1261="-",0,IF(I1261=I1260+1,0,(IF(I1261=1,0,1))))</f>
        <v>0</v>
      </c>
      <c r="D1261" s="1">
        <f>+IF(AND(P1261="",Q1261=""),1,0)</f>
        <v>0</v>
      </c>
      <c r="E1261" s="1">
        <f t="shared" si="298"/>
        <v>0</v>
      </c>
      <c r="F1261" s="1">
        <f t="shared" si="298"/>
        <v>0</v>
      </c>
      <c r="G1261" s="52" t="str">
        <f>IF(H1261=0,"-",_xlfn.CONCAT(K1261,N1261,O1261,J1261))</f>
        <v>24070603</v>
      </c>
      <c r="H1261" s="9">
        <v>45479</v>
      </c>
      <c r="I1261" s="52">
        <v>3</v>
      </c>
      <c r="J1261" s="52" t="str">
        <f t="shared" si="290"/>
        <v>03</v>
      </c>
      <c r="K1261" s="10">
        <f t="shared" si="291"/>
        <v>24</v>
      </c>
      <c r="L1261" s="10">
        <f t="shared" si="292"/>
        <v>7</v>
      </c>
      <c r="M1261" s="10">
        <f t="shared" si="293"/>
        <v>6</v>
      </c>
      <c r="N1261" s="10" t="str">
        <f t="shared" si="294"/>
        <v>07</v>
      </c>
      <c r="O1261" s="70" t="str">
        <f t="shared" si="295"/>
        <v>06</v>
      </c>
      <c r="P1261" s="11">
        <v>102000</v>
      </c>
      <c r="Q1261" s="12"/>
      <c r="R1261" s="13">
        <v>525</v>
      </c>
      <c r="S1261" s="12">
        <f t="shared" si="297"/>
        <v>194.28571428571428</v>
      </c>
      <c r="T1261" s="12" t="s">
        <v>439</v>
      </c>
      <c r="U1261" s="10" t="s">
        <v>1</v>
      </c>
      <c r="V1261" s="10" t="s">
        <v>4</v>
      </c>
      <c r="W1261" s="10"/>
    </row>
    <row r="1262" spans="1:23">
      <c r="A1262" s="3">
        <v>1124</v>
      </c>
      <c r="B1262" s="1">
        <f>IF(G1262="-",0,IF(G1261=G1262,1,0))</f>
        <v>0</v>
      </c>
      <c r="C1262" s="1">
        <f>+IF(G1262="-",0,IF(I1262=I1261+1,0,(IF(I1262=1,0,1))))</f>
        <v>0</v>
      </c>
      <c r="D1262" s="1">
        <f>+IF(AND(P1262="",Q1262=""),1,0)</f>
        <v>0</v>
      </c>
      <c r="E1262" s="1">
        <f t="shared" si="298"/>
        <v>0</v>
      </c>
      <c r="F1262" s="1">
        <f t="shared" si="298"/>
        <v>0</v>
      </c>
      <c r="G1262" s="52" t="str">
        <f>IF(H1262=0,"-",_xlfn.CONCAT(K1262,N1262,O1262,J1262))</f>
        <v>24070604</v>
      </c>
      <c r="H1262" s="9">
        <v>45479</v>
      </c>
      <c r="I1262" s="52">
        <v>4</v>
      </c>
      <c r="J1262" s="52" t="str">
        <f t="shared" si="290"/>
        <v>04</v>
      </c>
      <c r="K1262" s="10">
        <f t="shared" si="291"/>
        <v>24</v>
      </c>
      <c r="L1262" s="10">
        <f t="shared" si="292"/>
        <v>7</v>
      </c>
      <c r="M1262" s="10">
        <f t="shared" si="293"/>
        <v>6</v>
      </c>
      <c r="N1262" s="10" t="str">
        <f t="shared" si="294"/>
        <v>07</v>
      </c>
      <c r="O1262" s="70" t="str">
        <f t="shared" si="295"/>
        <v>06</v>
      </c>
      <c r="P1262" s="11">
        <v>150000</v>
      </c>
      <c r="Q1262" s="12"/>
      <c r="R1262" s="13">
        <v>525</v>
      </c>
      <c r="S1262" s="12">
        <f t="shared" si="297"/>
        <v>285.71428571428572</v>
      </c>
      <c r="T1262" s="12" t="s">
        <v>440</v>
      </c>
      <c r="U1262" s="10" t="s">
        <v>1</v>
      </c>
      <c r="V1262" s="10" t="s">
        <v>4</v>
      </c>
      <c r="W1262" s="10"/>
    </row>
    <row r="1263" spans="1:23">
      <c r="A1263" s="3">
        <v>1125</v>
      </c>
      <c r="B1263" s="1">
        <f>IF(G1263="-",0,IF(G1262=G1263,1,0))</f>
        <v>0</v>
      </c>
      <c r="C1263" s="1">
        <f>+IF(G1263="-",0,IF(I1263=I1262+1,0,(IF(I1263=1,0,1))))</f>
        <v>0</v>
      </c>
      <c r="D1263" s="1">
        <f>+IF(AND(P1263="",Q1263=""),1,0)</f>
        <v>0</v>
      </c>
      <c r="E1263" s="1">
        <f t="shared" si="298"/>
        <v>0</v>
      </c>
      <c r="F1263" s="1">
        <f t="shared" si="298"/>
        <v>0</v>
      </c>
      <c r="G1263" s="52" t="str">
        <f>IF(H1263=0,"-",_xlfn.CONCAT(K1263,N1263,O1263,J1263))</f>
        <v>24070605</v>
      </c>
      <c r="H1263" s="9">
        <v>45479</v>
      </c>
      <c r="I1263" s="52">
        <v>5</v>
      </c>
      <c r="J1263" s="52" t="str">
        <f t="shared" si="290"/>
        <v>05</v>
      </c>
      <c r="K1263" s="10">
        <f t="shared" si="291"/>
        <v>24</v>
      </c>
      <c r="L1263" s="10">
        <f t="shared" si="292"/>
        <v>7</v>
      </c>
      <c r="M1263" s="10">
        <f t="shared" si="293"/>
        <v>6</v>
      </c>
      <c r="N1263" s="10" t="str">
        <f t="shared" si="294"/>
        <v>07</v>
      </c>
      <c r="O1263" s="70" t="str">
        <f t="shared" si="295"/>
        <v>06</v>
      </c>
      <c r="P1263" s="11">
        <v>120000</v>
      </c>
      <c r="Q1263" s="12"/>
      <c r="R1263" s="13">
        <v>525</v>
      </c>
      <c r="S1263" s="12">
        <f t="shared" si="297"/>
        <v>228.57142857142858</v>
      </c>
      <c r="T1263" s="12" t="s">
        <v>441</v>
      </c>
      <c r="U1263" s="10" t="s">
        <v>1</v>
      </c>
      <c r="V1263" s="10" t="s">
        <v>4</v>
      </c>
      <c r="W1263" s="10"/>
    </row>
    <row r="1264" spans="1:23">
      <c r="A1264" s="3">
        <v>1126</v>
      </c>
      <c r="B1264" s="1">
        <f>IF(G1264="-",0,IF(G1263=G1264,1,0))</f>
        <v>0</v>
      </c>
      <c r="C1264" s="1">
        <f>+IF(G1264="-",0,IF(I1264=I1263+1,0,(IF(I1264=1,0,1))))</f>
        <v>0</v>
      </c>
      <c r="D1264" s="1">
        <f>+IF(AND(P1264="",Q1264=""),1,0)</f>
        <v>0</v>
      </c>
      <c r="E1264" s="1">
        <f t="shared" si="298"/>
        <v>0</v>
      </c>
      <c r="F1264" s="1">
        <f t="shared" si="298"/>
        <v>0</v>
      </c>
      <c r="G1264" s="52" t="str">
        <f>IF(H1264=0,"-",_xlfn.CONCAT(K1264,N1264,O1264,J1264))</f>
        <v>24070606</v>
      </c>
      <c r="H1264" s="9">
        <v>45479</v>
      </c>
      <c r="I1264" s="52">
        <v>6</v>
      </c>
      <c r="J1264" s="52" t="str">
        <f t="shared" si="290"/>
        <v>06</v>
      </c>
      <c r="K1264" s="10">
        <f t="shared" si="291"/>
        <v>24</v>
      </c>
      <c r="L1264" s="10">
        <f t="shared" si="292"/>
        <v>7</v>
      </c>
      <c r="M1264" s="10">
        <f t="shared" si="293"/>
        <v>6</v>
      </c>
      <c r="N1264" s="10" t="str">
        <f t="shared" si="294"/>
        <v>07</v>
      </c>
      <c r="O1264" s="70" t="str">
        <f t="shared" si="295"/>
        <v>06</v>
      </c>
      <c r="P1264" s="11">
        <v>120000</v>
      </c>
      <c r="Q1264" s="12"/>
      <c r="R1264" s="13">
        <v>525</v>
      </c>
      <c r="S1264" s="12">
        <f t="shared" si="297"/>
        <v>228.57142857142858</v>
      </c>
      <c r="T1264" s="12" t="s">
        <v>426</v>
      </c>
      <c r="U1264" s="10" t="s">
        <v>1</v>
      </c>
      <c r="V1264" s="10" t="s">
        <v>4</v>
      </c>
      <c r="W1264" s="10"/>
    </row>
    <row r="1265" spans="1:23" hidden="1">
      <c r="J1265" s="1" t="str">
        <f t="shared" si="290"/>
        <v>0</v>
      </c>
      <c r="K1265" s="3">
        <f t="shared" si="291"/>
        <v>-100</v>
      </c>
      <c r="L1265" s="3">
        <f t="shared" si="292"/>
        <v>1</v>
      </c>
      <c r="M1265" s="3">
        <f t="shared" si="293"/>
        <v>0</v>
      </c>
      <c r="N1265" s="3" t="str">
        <f t="shared" si="294"/>
        <v>01</v>
      </c>
      <c r="O1265" s="14" t="str">
        <f t="shared" si="295"/>
        <v>00</v>
      </c>
      <c r="R1265" s="6">
        <v>516</v>
      </c>
      <c r="S1265" s="5">
        <f t="shared" si="297"/>
        <v>0</v>
      </c>
    </row>
    <row r="1266" spans="1:23" hidden="1">
      <c r="J1266" s="1" t="str">
        <f t="shared" si="290"/>
        <v>0</v>
      </c>
      <c r="K1266" s="3">
        <f t="shared" si="291"/>
        <v>-100</v>
      </c>
      <c r="L1266" s="3">
        <f t="shared" si="292"/>
        <v>1</v>
      </c>
      <c r="M1266" s="3">
        <f t="shared" si="293"/>
        <v>0</v>
      </c>
      <c r="N1266" s="3" t="str">
        <f t="shared" si="294"/>
        <v>01</v>
      </c>
      <c r="O1266" s="14" t="str">
        <f t="shared" si="295"/>
        <v>00</v>
      </c>
      <c r="R1266" s="6">
        <v>516</v>
      </c>
      <c r="S1266" s="5">
        <f t="shared" si="297"/>
        <v>0</v>
      </c>
    </row>
    <row r="1267" spans="1:23" hidden="1">
      <c r="J1267" s="1" t="str">
        <f t="shared" si="290"/>
        <v>0</v>
      </c>
      <c r="K1267" s="3">
        <f t="shared" si="291"/>
        <v>-100</v>
      </c>
      <c r="L1267" s="3">
        <f t="shared" si="292"/>
        <v>1</v>
      </c>
      <c r="M1267" s="3">
        <f t="shared" si="293"/>
        <v>0</v>
      </c>
      <c r="N1267" s="3" t="str">
        <f t="shared" si="294"/>
        <v>01</v>
      </c>
      <c r="O1267" s="14" t="str">
        <f t="shared" si="295"/>
        <v>00</v>
      </c>
      <c r="R1267" s="6">
        <v>516</v>
      </c>
      <c r="S1267" s="5">
        <f t="shared" si="297"/>
        <v>0</v>
      </c>
    </row>
    <row r="1268" spans="1:23" hidden="1">
      <c r="J1268" s="1" t="str">
        <f t="shared" si="290"/>
        <v>0</v>
      </c>
      <c r="K1268" s="3">
        <f t="shared" si="291"/>
        <v>-100</v>
      </c>
      <c r="L1268" s="3">
        <f t="shared" si="292"/>
        <v>1</v>
      </c>
      <c r="M1268" s="3">
        <f t="shared" si="293"/>
        <v>0</v>
      </c>
      <c r="N1268" s="3" t="str">
        <f t="shared" si="294"/>
        <v>01</v>
      </c>
      <c r="O1268" s="14" t="str">
        <f t="shared" si="295"/>
        <v>00</v>
      </c>
      <c r="R1268" s="6">
        <v>516</v>
      </c>
      <c r="S1268" s="5">
        <f t="shared" si="297"/>
        <v>0</v>
      </c>
    </row>
    <row r="1269" spans="1:23">
      <c r="A1269" s="3">
        <v>1128</v>
      </c>
      <c r="B1269" s="1">
        <f>IF(G1269="-",0,IF(G1268=G1269,1,0))</f>
        <v>0</v>
      </c>
      <c r="C1269" s="1">
        <f>+IF(G1269="-",0,IF(I1269=I1268+1,0,(IF(I1269=1,0,1))))</f>
        <v>1</v>
      </c>
      <c r="D1269" s="1">
        <f>+IF(AND(P1269="",Q1269=""),1,0)</f>
        <v>0</v>
      </c>
      <c r="E1269" s="1">
        <f>IF(U1269="",1,0)</f>
        <v>0</v>
      </c>
      <c r="F1269" s="1">
        <f>IF(V1269="",1,0)</f>
        <v>0</v>
      </c>
      <c r="G1269" s="52" t="str">
        <f>IF(H1269=0,"-",_xlfn.CONCAT(K1269,N1269,O1269,J1269))</f>
        <v>24070608</v>
      </c>
      <c r="H1269" s="9">
        <v>45479</v>
      </c>
      <c r="I1269" s="52">
        <v>8</v>
      </c>
      <c r="J1269" s="52" t="str">
        <f t="shared" si="290"/>
        <v>08</v>
      </c>
      <c r="K1269" s="10">
        <f t="shared" si="291"/>
        <v>24</v>
      </c>
      <c r="L1269" s="10">
        <f t="shared" si="292"/>
        <v>7</v>
      </c>
      <c r="M1269" s="10">
        <f t="shared" si="293"/>
        <v>6</v>
      </c>
      <c r="N1269" s="10" t="str">
        <f t="shared" si="294"/>
        <v>07</v>
      </c>
      <c r="O1269" s="70" t="str">
        <f t="shared" si="295"/>
        <v>06</v>
      </c>
      <c r="P1269" s="11">
        <v>51000</v>
      </c>
      <c r="Q1269" s="12"/>
      <c r="R1269" s="13">
        <v>525</v>
      </c>
      <c r="S1269" s="12">
        <f t="shared" si="297"/>
        <v>97.142857142857139</v>
      </c>
      <c r="T1269" s="12" t="s">
        <v>434</v>
      </c>
      <c r="U1269" s="10" t="s">
        <v>1</v>
      </c>
      <c r="V1269" s="10" t="s">
        <v>4</v>
      </c>
      <c r="W1269" s="10"/>
    </row>
    <row r="1270" spans="1:23" hidden="1">
      <c r="J1270" s="1" t="str">
        <f t="shared" si="290"/>
        <v>0</v>
      </c>
      <c r="K1270" s="3">
        <f t="shared" si="291"/>
        <v>-100</v>
      </c>
      <c r="L1270" s="3">
        <f t="shared" si="292"/>
        <v>1</v>
      </c>
      <c r="M1270" s="3">
        <f t="shared" si="293"/>
        <v>0</v>
      </c>
      <c r="N1270" s="3" t="str">
        <f t="shared" si="294"/>
        <v>01</v>
      </c>
      <c r="O1270" s="14" t="str">
        <f t="shared" si="295"/>
        <v>00</v>
      </c>
      <c r="R1270" s="6">
        <v>516</v>
      </c>
      <c r="S1270" s="5">
        <f t="shared" si="297"/>
        <v>0</v>
      </c>
    </row>
    <row r="1271" spans="1:23" hidden="1">
      <c r="J1271" s="1" t="str">
        <f t="shared" si="290"/>
        <v>0</v>
      </c>
      <c r="K1271" s="3">
        <f t="shared" si="291"/>
        <v>-100</v>
      </c>
      <c r="L1271" s="3">
        <f t="shared" si="292"/>
        <v>1</v>
      </c>
      <c r="M1271" s="3">
        <f t="shared" si="293"/>
        <v>0</v>
      </c>
      <c r="N1271" s="3" t="str">
        <f t="shared" si="294"/>
        <v>01</v>
      </c>
      <c r="O1271" s="14" t="str">
        <f t="shared" si="295"/>
        <v>00</v>
      </c>
      <c r="R1271" s="6">
        <v>516</v>
      </c>
      <c r="S1271" s="5">
        <f t="shared" si="297"/>
        <v>0</v>
      </c>
    </row>
    <row r="1272" spans="1:23" hidden="1">
      <c r="J1272" s="1" t="str">
        <f t="shared" si="290"/>
        <v>0</v>
      </c>
      <c r="K1272" s="3">
        <f t="shared" si="291"/>
        <v>-100</v>
      </c>
      <c r="L1272" s="3">
        <f t="shared" si="292"/>
        <v>1</v>
      </c>
      <c r="M1272" s="3">
        <f t="shared" si="293"/>
        <v>0</v>
      </c>
      <c r="N1272" s="3" t="str">
        <f t="shared" si="294"/>
        <v>01</v>
      </c>
      <c r="O1272" s="14" t="str">
        <f t="shared" si="295"/>
        <v>00</v>
      </c>
      <c r="R1272" s="6">
        <v>516</v>
      </c>
      <c r="S1272" s="5">
        <f t="shared" si="297"/>
        <v>0</v>
      </c>
    </row>
    <row r="1273" spans="1:23" hidden="1">
      <c r="J1273" s="1" t="str">
        <f t="shared" si="290"/>
        <v>0</v>
      </c>
      <c r="K1273" s="3">
        <f t="shared" si="291"/>
        <v>-100</v>
      </c>
      <c r="L1273" s="3">
        <f t="shared" si="292"/>
        <v>1</v>
      </c>
      <c r="M1273" s="3">
        <f t="shared" si="293"/>
        <v>0</v>
      </c>
      <c r="N1273" s="3" t="str">
        <f t="shared" si="294"/>
        <v>01</v>
      </c>
      <c r="O1273" s="14" t="str">
        <f t="shared" si="295"/>
        <v>00</v>
      </c>
      <c r="R1273" s="6">
        <v>516</v>
      </c>
      <c r="S1273" s="5">
        <f t="shared" si="297"/>
        <v>0</v>
      </c>
    </row>
    <row r="1274" spans="1:23" hidden="1">
      <c r="J1274" s="1" t="str">
        <f t="shared" si="290"/>
        <v>0</v>
      </c>
      <c r="K1274" s="3">
        <f t="shared" si="291"/>
        <v>-100</v>
      </c>
      <c r="L1274" s="3">
        <f t="shared" si="292"/>
        <v>1</v>
      </c>
      <c r="M1274" s="3">
        <f t="shared" si="293"/>
        <v>0</v>
      </c>
      <c r="N1274" s="3" t="str">
        <f t="shared" si="294"/>
        <v>01</v>
      </c>
      <c r="O1274" s="14" t="str">
        <f t="shared" si="295"/>
        <v>00</v>
      </c>
      <c r="R1274" s="6">
        <v>516</v>
      </c>
      <c r="S1274" s="5">
        <f t="shared" si="297"/>
        <v>0</v>
      </c>
    </row>
    <row r="1275" spans="1:23">
      <c r="A1275" s="3">
        <v>1130</v>
      </c>
      <c r="B1275" s="1">
        <f>IF(G1275="-",0,IF(G1274=G1275,1,0))</f>
        <v>0</v>
      </c>
      <c r="C1275" s="1">
        <f>+IF(G1275="-",0,IF(I1275=I1274+1,0,(IF(I1275=1,0,1))))</f>
        <v>1</v>
      </c>
      <c r="D1275" s="1">
        <f>+IF(AND(P1275="",Q1275=""),1,0)</f>
        <v>0</v>
      </c>
      <c r="E1275" s="1">
        <f>IF(U1275="",1,0)</f>
        <v>0</v>
      </c>
      <c r="F1275" s="1">
        <f>IF(V1275="",1,0)</f>
        <v>0</v>
      </c>
      <c r="G1275" s="52" t="str">
        <f>IF(H1275=0,"-",_xlfn.CONCAT(K1275,N1275,O1275,J1275))</f>
        <v>24070610</v>
      </c>
      <c r="H1275" s="9">
        <v>45479</v>
      </c>
      <c r="I1275" s="52">
        <v>10</v>
      </c>
      <c r="J1275" s="52">
        <f t="shared" si="290"/>
        <v>10</v>
      </c>
      <c r="K1275" s="10">
        <f t="shared" si="291"/>
        <v>24</v>
      </c>
      <c r="L1275" s="10">
        <f t="shared" si="292"/>
        <v>7</v>
      </c>
      <c r="M1275" s="10">
        <f t="shared" si="293"/>
        <v>6</v>
      </c>
      <c r="N1275" s="10" t="str">
        <f t="shared" si="294"/>
        <v>07</v>
      </c>
      <c r="O1275" s="70" t="str">
        <f t="shared" si="295"/>
        <v>06</v>
      </c>
      <c r="P1275" s="11">
        <v>51000</v>
      </c>
      <c r="Q1275" s="12"/>
      <c r="R1275" s="13">
        <v>525</v>
      </c>
      <c r="S1275" s="12">
        <f t="shared" si="297"/>
        <v>97.142857142857139</v>
      </c>
      <c r="T1275" s="12" t="s">
        <v>435</v>
      </c>
      <c r="U1275" s="10" t="s">
        <v>1</v>
      </c>
      <c r="V1275" s="10" t="s">
        <v>4</v>
      </c>
      <c r="W1275" s="10"/>
    </row>
    <row r="1276" spans="1:23" hidden="1">
      <c r="J1276" s="1" t="str">
        <f t="shared" si="290"/>
        <v>0</v>
      </c>
      <c r="K1276" s="3">
        <f t="shared" si="291"/>
        <v>-100</v>
      </c>
      <c r="L1276" s="3">
        <f t="shared" si="292"/>
        <v>1</v>
      </c>
      <c r="M1276" s="3">
        <f t="shared" si="293"/>
        <v>0</v>
      </c>
      <c r="N1276" s="3" t="str">
        <f t="shared" si="294"/>
        <v>01</v>
      </c>
      <c r="O1276" s="14" t="str">
        <f t="shared" si="295"/>
        <v>00</v>
      </c>
      <c r="R1276" s="6">
        <v>515</v>
      </c>
      <c r="S1276" s="5">
        <f t="shared" si="297"/>
        <v>0</v>
      </c>
    </row>
    <row r="1277" spans="1:23" hidden="1">
      <c r="J1277" s="1" t="str">
        <f t="shared" si="290"/>
        <v>0</v>
      </c>
      <c r="K1277" s="3">
        <f t="shared" si="291"/>
        <v>-100</v>
      </c>
      <c r="L1277" s="3">
        <f t="shared" si="292"/>
        <v>1</v>
      </c>
      <c r="M1277" s="3">
        <f t="shared" si="293"/>
        <v>0</v>
      </c>
      <c r="N1277" s="3" t="str">
        <f t="shared" si="294"/>
        <v>01</v>
      </c>
      <c r="O1277" s="14" t="str">
        <f t="shared" si="295"/>
        <v>00</v>
      </c>
      <c r="R1277" s="6">
        <v>515</v>
      </c>
      <c r="S1277" s="5">
        <f t="shared" si="297"/>
        <v>0</v>
      </c>
    </row>
    <row r="1278" spans="1:23" hidden="1">
      <c r="J1278" s="1" t="str">
        <f t="shared" si="290"/>
        <v>0</v>
      </c>
      <c r="K1278" s="3">
        <f t="shared" si="291"/>
        <v>-100</v>
      </c>
      <c r="L1278" s="3">
        <f t="shared" si="292"/>
        <v>1</v>
      </c>
      <c r="M1278" s="3">
        <f t="shared" si="293"/>
        <v>0</v>
      </c>
      <c r="N1278" s="3" t="str">
        <f t="shared" si="294"/>
        <v>01</v>
      </c>
      <c r="O1278" s="14" t="str">
        <f t="shared" si="295"/>
        <v>00</v>
      </c>
      <c r="R1278" s="6">
        <v>515</v>
      </c>
      <c r="S1278" s="5">
        <f t="shared" si="297"/>
        <v>0</v>
      </c>
    </row>
    <row r="1279" spans="1:23" hidden="1">
      <c r="J1279" s="1" t="str">
        <f t="shared" si="290"/>
        <v>0</v>
      </c>
      <c r="K1279" s="3">
        <f t="shared" si="291"/>
        <v>-100</v>
      </c>
      <c r="L1279" s="3">
        <f t="shared" si="292"/>
        <v>1</v>
      </c>
      <c r="M1279" s="3">
        <f t="shared" si="293"/>
        <v>0</v>
      </c>
      <c r="N1279" s="3" t="str">
        <f t="shared" si="294"/>
        <v>01</v>
      </c>
      <c r="O1279" s="14" t="str">
        <f t="shared" si="295"/>
        <v>00</v>
      </c>
      <c r="R1279" s="6">
        <v>515</v>
      </c>
      <c r="S1279" s="5">
        <f t="shared" si="297"/>
        <v>0</v>
      </c>
    </row>
    <row r="1280" spans="1:23" hidden="1">
      <c r="J1280" s="1" t="str">
        <f t="shared" si="290"/>
        <v>0</v>
      </c>
      <c r="K1280" s="3">
        <f t="shared" si="291"/>
        <v>-100</v>
      </c>
      <c r="L1280" s="3">
        <f t="shared" si="292"/>
        <v>1</v>
      </c>
      <c r="M1280" s="3">
        <f t="shared" si="293"/>
        <v>0</v>
      </c>
      <c r="N1280" s="3" t="str">
        <f t="shared" si="294"/>
        <v>01</v>
      </c>
      <c r="O1280" s="14" t="str">
        <f t="shared" si="295"/>
        <v>00</v>
      </c>
      <c r="R1280" s="6">
        <v>521</v>
      </c>
      <c r="S1280" s="5">
        <f t="shared" si="297"/>
        <v>0</v>
      </c>
    </row>
    <row r="1281" spans="1:23" hidden="1">
      <c r="J1281" s="1" t="str">
        <f t="shared" si="290"/>
        <v>0</v>
      </c>
      <c r="K1281" s="3">
        <f t="shared" si="291"/>
        <v>-100</v>
      </c>
      <c r="L1281" s="3">
        <f t="shared" si="292"/>
        <v>1</v>
      </c>
      <c r="M1281" s="3">
        <f t="shared" si="293"/>
        <v>0</v>
      </c>
      <c r="N1281" s="3" t="str">
        <f t="shared" si="294"/>
        <v>01</v>
      </c>
      <c r="O1281" s="14" t="str">
        <f t="shared" si="295"/>
        <v>00</v>
      </c>
      <c r="R1281" s="6">
        <v>521</v>
      </c>
      <c r="S1281" s="5">
        <f t="shared" si="297"/>
        <v>0</v>
      </c>
    </row>
    <row r="1282" spans="1:23" hidden="1">
      <c r="J1282" s="1" t="str">
        <f t="shared" si="290"/>
        <v>0</v>
      </c>
      <c r="K1282" s="3">
        <f t="shared" si="291"/>
        <v>-100</v>
      </c>
      <c r="L1282" s="3">
        <f t="shared" si="292"/>
        <v>1</v>
      </c>
      <c r="M1282" s="3">
        <f t="shared" si="293"/>
        <v>0</v>
      </c>
      <c r="N1282" s="3" t="str">
        <f t="shared" si="294"/>
        <v>01</v>
      </c>
      <c r="O1282" s="14" t="str">
        <f t="shared" si="295"/>
        <v>00</v>
      </c>
      <c r="R1282" s="6">
        <v>521</v>
      </c>
      <c r="S1282" s="5">
        <f t="shared" si="297"/>
        <v>0</v>
      </c>
    </row>
    <row r="1283" spans="1:23" hidden="1">
      <c r="G1283" s="52"/>
      <c r="H1283" s="9"/>
      <c r="J1283" s="1" t="str">
        <f t="shared" si="290"/>
        <v>0</v>
      </c>
      <c r="K1283" s="3">
        <f t="shared" si="291"/>
        <v>-100</v>
      </c>
      <c r="L1283" s="3">
        <f t="shared" si="292"/>
        <v>1</v>
      </c>
      <c r="M1283" s="3">
        <f t="shared" si="293"/>
        <v>0</v>
      </c>
      <c r="N1283" s="3" t="str">
        <f t="shared" si="294"/>
        <v>01</v>
      </c>
      <c r="O1283" s="14" t="str">
        <f t="shared" si="295"/>
        <v>00</v>
      </c>
      <c r="P1283" s="11"/>
      <c r="Q1283" s="12"/>
      <c r="R1283" s="13">
        <v>521</v>
      </c>
      <c r="S1283" s="5">
        <f t="shared" si="297"/>
        <v>0</v>
      </c>
      <c r="T1283" s="12"/>
      <c r="U1283" s="10"/>
      <c r="V1283" s="10"/>
      <c r="W1283" s="10"/>
    </row>
    <row r="1284" spans="1:23" hidden="1">
      <c r="G1284" s="52"/>
      <c r="H1284" s="9"/>
      <c r="J1284" s="1" t="str">
        <f t="shared" si="290"/>
        <v>0</v>
      </c>
      <c r="K1284" s="3">
        <f t="shared" si="291"/>
        <v>-100</v>
      </c>
      <c r="L1284" s="3">
        <f t="shared" si="292"/>
        <v>1</v>
      </c>
      <c r="M1284" s="3">
        <f t="shared" si="293"/>
        <v>0</v>
      </c>
      <c r="N1284" s="3" t="str">
        <f t="shared" si="294"/>
        <v>01</v>
      </c>
      <c r="O1284" s="14" t="str">
        <f t="shared" si="295"/>
        <v>00</v>
      </c>
      <c r="P1284" s="11"/>
      <c r="Q1284" s="12"/>
      <c r="R1284" s="13">
        <v>521</v>
      </c>
      <c r="S1284" s="5">
        <f t="shared" si="297"/>
        <v>0</v>
      </c>
      <c r="T1284" s="12"/>
      <c r="U1284" s="10"/>
      <c r="V1284" s="10"/>
      <c r="W1284" s="10"/>
    </row>
    <row r="1285" spans="1:23" hidden="1">
      <c r="G1285" s="52"/>
      <c r="H1285" s="9"/>
      <c r="J1285" s="1" t="str">
        <f t="shared" si="290"/>
        <v>0</v>
      </c>
      <c r="K1285" s="3">
        <f t="shared" si="291"/>
        <v>-100</v>
      </c>
      <c r="L1285" s="3">
        <f t="shared" si="292"/>
        <v>1</v>
      </c>
      <c r="M1285" s="3">
        <f t="shared" si="293"/>
        <v>0</v>
      </c>
      <c r="N1285" s="3" t="str">
        <f t="shared" si="294"/>
        <v>01</v>
      </c>
      <c r="O1285" s="14" t="str">
        <f t="shared" si="295"/>
        <v>00</v>
      </c>
      <c r="P1285" s="11"/>
      <c r="Q1285" s="12"/>
      <c r="R1285" s="13">
        <v>521</v>
      </c>
      <c r="S1285" s="5">
        <f t="shared" si="297"/>
        <v>0</v>
      </c>
      <c r="T1285" s="12"/>
      <c r="U1285" s="10"/>
      <c r="V1285" s="10"/>
      <c r="W1285" s="10"/>
    </row>
    <row r="1286" spans="1:23" hidden="1">
      <c r="J1286" s="1" t="str">
        <f t="shared" si="290"/>
        <v>0</v>
      </c>
      <c r="K1286" s="3">
        <f t="shared" si="291"/>
        <v>-100</v>
      </c>
      <c r="L1286" s="3">
        <f t="shared" si="292"/>
        <v>1</v>
      </c>
      <c r="M1286" s="3">
        <f t="shared" si="293"/>
        <v>0</v>
      </c>
      <c r="N1286" s="3" t="str">
        <f t="shared" si="294"/>
        <v>01</v>
      </c>
      <c r="O1286" s="14" t="str">
        <f t="shared" si="295"/>
        <v>00</v>
      </c>
      <c r="R1286" s="6">
        <v>521</v>
      </c>
      <c r="S1286" s="5">
        <f t="shared" si="297"/>
        <v>0</v>
      </c>
    </row>
    <row r="1287" spans="1:23">
      <c r="A1287" s="3">
        <v>1135</v>
      </c>
      <c r="B1287" s="1">
        <f>IF(G1287="-",0,IF(G1286=G1287,1,0))</f>
        <v>0</v>
      </c>
      <c r="C1287" s="1">
        <f>+IF(G1287="-",0,IF(I1287=I1286+1,0,(IF(I1287=1,0,1))))</f>
        <v>1</v>
      </c>
      <c r="D1287" s="1">
        <f>+IF(AND(P1287="",Q1287=""),1,0)</f>
        <v>0</v>
      </c>
      <c r="E1287" s="1">
        <f>IF(U1287="",1,0)</f>
        <v>0</v>
      </c>
      <c r="F1287" s="1">
        <f>IF(V1287="",1,0)</f>
        <v>0</v>
      </c>
      <c r="G1287" s="52" t="str">
        <f>IF(H1287=0,"-",_xlfn.CONCAT(K1287,N1287,O1287,J1287))</f>
        <v>24070615</v>
      </c>
      <c r="H1287" s="9">
        <v>45479</v>
      </c>
      <c r="I1287" s="52">
        <v>15</v>
      </c>
      <c r="J1287" s="52">
        <f t="shared" si="290"/>
        <v>15</v>
      </c>
      <c r="K1287" s="10">
        <f t="shared" si="291"/>
        <v>24</v>
      </c>
      <c r="L1287" s="10">
        <f t="shared" si="292"/>
        <v>7</v>
      </c>
      <c r="M1287" s="10">
        <f t="shared" si="293"/>
        <v>6</v>
      </c>
      <c r="N1287" s="10" t="str">
        <f t="shared" si="294"/>
        <v>07</v>
      </c>
      <c r="O1287" s="70" t="str">
        <f t="shared" si="295"/>
        <v>06</v>
      </c>
      <c r="P1287" s="11">
        <v>130000</v>
      </c>
      <c r="Q1287" s="12"/>
      <c r="R1287" s="13">
        <v>525</v>
      </c>
      <c r="S1287" s="12">
        <f t="shared" si="297"/>
        <v>247.61904761904762</v>
      </c>
      <c r="T1287" s="12" t="s">
        <v>428</v>
      </c>
      <c r="U1287" s="10" t="s">
        <v>1</v>
      </c>
      <c r="V1287" s="10" t="s">
        <v>4</v>
      </c>
      <c r="W1287" s="10"/>
    </row>
    <row r="1288" spans="1:23" hidden="1">
      <c r="J1288" s="1" t="str">
        <f t="shared" si="290"/>
        <v>0</v>
      </c>
      <c r="K1288" s="3">
        <f t="shared" si="291"/>
        <v>-100</v>
      </c>
      <c r="L1288" s="3">
        <f t="shared" si="292"/>
        <v>1</v>
      </c>
      <c r="M1288" s="3">
        <f t="shared" si="293"/>
        <v>0</v>
      </c>
      <c r="N1288" s="3" t="str">
        <f t="shared" si="294"/>
        <v>01</v>
      </c>
      <c r="O1288" s="14" t="str">
        <f t="shared" si="295"/>
        <v>00</v>
      </c>
      <c r="R1288" s="6">
        <v>521</v>
      </c>
      <c r="S1288" s="5">
        <f t="shared" si="297"/>
        <v>0</v>
      </c>
    </row>
    <row r="1289" spans="1:23" hidden="1">
      <c r="J1289" s="1" t="str">
        <f t="shared" si="290"/>
        <v>0</v>
      </c>
      <c r="K1289" s="3">
        <f t="shared" si="291"/>
        <v>-100</v>
      </c>
      <c r="L1289" s="3">
        <f t="shared" si="292"/>
        <v>1</v>
      </c>
      <c r="M1289" s="3">
        <f t="shared" si="293"/>
        <v>0</v>
      </c>
      <c r="N1289" s="3" t="str">
        <f t="shared" si="294"/>
        <v>01</v>
      </c>
      <c r="O1289" s="14" t="str">
        <f t="shared" si="295"/>
        <v>00</v>
      </c>
      <c r="R1289" s="6">
        <v>521</v>
      </c>
      <c r="S1289" s="5">
        <f t="shared" si="297"/>
        <v>0</v>
      </c>
    </row>
    <row r="1290" spans="1:23" hidden="1">
      <c r="J1290" s="1" t="str">
        <f t="shared" si="290"/>
        <v>0</v>
      </c>
      <c r="K1290" s="3">
        <f t="shared" si="291"/>
        <v>-100</v>
      </c>
      <c r="L1290" s="3">
        <f t="shared" si="292"/>
        <v>1</v>
      </c>
      <c r="M1290" s="3">
        <f t="shared" si="293"/>
        <v>0</v>
      </c>
      <c r="N1290" s="3" t="str">
        <f t="shared" si="294"/>
        <v>01</v>
      </c>
      <c r="O1290" s="14" t="str">
        <f t="shared" si="295"/>
        <v>00</v>
      </c>
      <c r="R1290" s="6">
        <v>521</v>
      </c>
      <c r="S1290" s="5">
        <f t="shared" si="297"/>
        <v>0</v>
      </c>
    </row>
    <row r="1291" spans="1:23" hidden="1">
      <c r="J1291" s="1" t="str">
        <f t="shared" si="290"/>
        <v>0</v>
      </c>
      <c r="K1291" s="3">
        <f t="shared" si="291"/>
        <v>-100</v>
      </c>
      <c r="L1291" s="3">
        <f t="shared" si="292"/>
        <v>1</v>
      </c>
      <c r="M1291" s="3">
        <f t="shared" si="293"/>
        <v>0</v>
      </c>
      <c r="N1291" s="3" t="str">
        <f t="shared" si="294"/>
        <v>01</v>
      </c>
      <c r="O1291" s="14" t="str">
        <f t="shared" si="295"/>
        <v>00</v>
      </c>
      <c r="R1291" s="6">
        <v>521</v>
      </c>
      <c r="S1291" s="5">
        <f t="shared" si="297"/>
        <v>0</v>
      </c>
    </row>
    <row r="1292" spans="1:23" hidden="1">
      <c r="J1292" s="1" t="str">
        <f t="shared" si="290"/>
        <v>0</v>
      </c>
      <c r="K1292" s="3">
        <f t="shared" si="291"/>
        <v>-100</v>
      </c>
      <c r="L1292" s="3">
        <f t="shared" si="292"/>
        <v>1</v>
      </c>
      <c r="M1292" s="3">
        <f t="shared" si="293"/>
        <v>0</v>
      </c>
      <c r="N1292" s="3" t="str">
        <f t="shared" si="294"/>
        <v>01</v>
      </c>
      <c r="O1292" s="14" t="str">
        <f t="shared" si="295"/>
        <v>00</v>
      </c>
      <c r="R1292" s="6">
        <v>522</v>
      </c>
      <c r="S1292" s="5">
        <f t="shared" si="297"/>
        <v>0</v>
      </c>
    </row>
    <row r="1293" spans="1:23" hidden="1">
      <c r="J1293" s="1" t="str">
        <f t="shared" ref="J1293:J1356" si="299">+IF(I1293&lt;10,_xlfn.CONCAT("0",I1293),I1293)</f>
        <v>0</v>
      </c>
      <c r="K1293" s="3">
        <f t="shared" ref="K1293:K1356" si="300">+YEAR(H1293)-2000</f>
        <v>-100</v>
      </c>
      <c r="L1293" s="3">
        <f t="shared" ref="L1293:L1356" si="301">+MONTH(H1293)</f>
        <v>1</v>
      </c>
      <c r="M1293" s="3">
        <f t="shared" ref="M1293:M1356" si="302">+DAY(H1293)</f>
        <v>0</v>
      </c>
      <c r="N1293" s="3" t="str">
        <f t="shared" ref="N1293:N1356" si="303">+IF(L1293&lt;10,_xlfn.CONCAT("0",L1293),L1293)</f>
        <v>01</v>
      </c>
      <c r="O1293" s="14" t="str">
        <f t="shared" ref="O1293:O1356" si="304">+IF(M1293&lt;10,_xlfn.CONCAT("0",M1293),M1293)</f>
        <v>00</v>
      </c>
      <c r="R1293" s="6">
        <v>522</v>
      </c>
      <c r="S1293" s="5">
        <f t="shared" si="297"/>
        <v>0</v>
      </c>
    </row>
    <row r="1294" spans="1:23" hidden="1">
      <c r="J1294" s="1" t="str">
        <f t="shared" si="299"/>
        <v>0</v>
      </c>
      <c r="K1294" s="3">
        <f t="shared" si="300"/>
        <v>-100</v>
      </c>
      <c r="L1294" s="3">
        <f t="shared" si="301"/>
        <v>1</v>
      </c>
      <c r="M1294" s="3">
        <f t="shared" si="302"/>
        <v>0</v>
      </c>
      <c r="N1294" s="3" t="str">
        <f t="shared" si="303"/>
        <v>01</v>
      </c>
      <c r="O1294" s="14" t="str">
        <f t="shared" si="304"/>
        <v>00</v>
      </c>
      <c r="R1294" s="6">
        <v>522</v>
      </c>
      <c r="S1294" s="5">
        <f>IFERROR(P1294/R1295,"")</f>
        <v>0</v>
      </c>
    </row>
    <row r="1295" spans="1:23" hidden="1">
      <c r="J1295" s="1" t="str">
        <f t="shared" si="299"/>
        <v>0</v>
      </c>
      <c r="K1295" s="3">
        <f t="shared" si="300"/>
        <v>-100</v>
      </c>
      <c r="L1295" s="3">
        <f t="shared" si="301"/>
        <v>1</v>
      </c>
      <c r="M1295" s="3">
        <f t="shared" si="302"/>
        <v>0</v>
      </c>
      <c r="N1295" s="3" t="str">
        <f t="shared" si="303"/>
        <v>01</v>
      </c>
      <c r="O1295" s="14" t="str">
        <f t="shared" si="304"/>
        <v>00</v>
      </c>
      <c r="R1295" s="6">
        <v>522</v>
      </c>
      <c r="S1295" s="5" t="str">
        <f>IFERROR(P1295/R1296,"")</f>
        <v/>
      </c>
    </row>
    <row r="1296" spans="1:23" hidden="1">
      <c r="J1296" s="1" t="str">
        <f t="shared" si="299"/>
        <v>0</v>
      </c>
      <c r="K1296" s="3">
        <f t="shared" si="300"/>
        <v>-100</v>
      </c>
      <c r="L1296" s="3">
        <f t="shared" si="301"/>
        <v>1</v>
      </c>
      <c r="M1296" s="3">
        <f t="shared" si="302"/>
        <v>0</v>
      </c>
      <c r="N1296" s="3" t="str">
        <f t="shared" si="303"/>
        <v>01</v>
      </c>
      <c r="O1296" s="14" t="str">
        <f t="shared" si="304"/>
        <v>00</v>
      </c>
    </row>
    <row r="1297" spans="1:23">
      <c r="A1297" s="3">
        <v>1138</v>
      </c>
      <c r="B1297" s="1">
        <f>IF(G1297="-",0,IF(G1296=G1297,1,0))</f>
        <v>0</v>
      </c>
      <c r="C1297" s="1">
        <f>+IF(G1297="-",0,IF(I1297=I1296+1,0,(IF(I1297=1,0,1))))</f>
        <v>1</v>
      </c>
      <c r="D1297" s="1">
        <f>+IF(AND(P1297="",Q1297=""),1,0)</f>
        <v>0</v>
      </c>
      <c r="E1297" s="1">
        <f>IF(U1297="",1,0)</f>
        <v>0</v>
      </c>
      <c r="F1297" s="1">
        <f>IF(V1297="",1,0)</f>
        <v>0</v>
      </c>
      <c r="G1297" s="52" t="str">
        <f>IF(H1297=0,"-",_xlfn.CONCAT(K1297,N1297,O1297,J1297))</f>
        <v>24070618</v>
      </c>
      <c r="H1297" s="9">
        <v>45479</v>
      </c>
      <c r="I1297" s="52">
        <v>18</v>
      </c>
      <c r="J1297" s="52">
        <f t="shared" si="299"/>
        <v>18</v>
      </c>
      <c r="K1297" s="10">
        <f t="shared" si="300"/>
        <v>24</v>
      </c>
      <c r="L1297" s="10">
        <f t="shared" si="301"/>
        <v>7</v>
      </c>
      <c r="M1297" s="10">
        <f t="shared" si="302"/>
        <v>6</v>
      </c>
      <c r="N1297" s="10" t="str">
        <f t="shared" si="303"/>
        <v>07</v>
      </c>
      <c r="O1297" s="70" t="str">
        <f t="shared" si="304"/>
        <v>06</v>
      </c>
      <c r="P1297" s="11">
        <v>60000</v>
      </c>
      <c r="Q1297" s="12"/>
      <c r="R1297" s="13">
        <v>525</v>
      </c>
      <c r="S1297" s="12">
        <f t="shared" ref="S1297:S1311" si="305">IFERROR(P1297/R1297,"")</f>
        <v>114.28571428571429</v>
      </c>
      <c r="T1297" s="12" t="s">
        <v>443</v>
      </c>
      <c r="U1297" s="10" t="s">
        <v>1</v>
      </c>
      <c r="V1297" s="10" t="s">
        <v>4</v>
      </c>
      <c r="W1297" s="10"/>
    </row>
    <row r="1298" spans="1:23" hidden="1">
      <c r="J1298" s="1" t="str">
        <f t="shared" si="299"/>
        <v>0</v>
      </c>
      <c r="K1298" s="3">
        <f t="shared" si="300"/>
        <v>-100</v>
      </c>
      <c r="L1298" s="3">
        <f t="shared" si="301"/>
        <v>1</v>
      </c>
      <c r="M1298" s="3">
        <f t="shared" si="302"/>
        <v>0</v>
      </c>
      <c r="N1298" s="3" t="str">
        <f t="shared" si="303"/>
        <v>01</v>
      </c>
      <c r="O1298" s="14" t="str">
        <f t="shared" si="304"/>
        <v>00</v>
      </c>
      <c r="P1298" s="85"/>
      <c r="R1298" s="6">
        <v>522</v>
      </c>
      <c r="S1298" s="5">
        <f t="shared" si="305"/>
        <v>0</v>
      </c>
    </row>
    <row r="1299" spans="1:23">
      <c r="A1299" s="3">
        <v>1139</v>
      </c>
      <c r="B1299" s="1">
        <f>IF(G1299="-",0,IF(G1298=G1299,1,0))</f>
        <v>0</v>
      </c>
      <c r="C1299" s="1">
        <f>+IF(G1299="-",0,IF(I1299=I1298+1,0,(IF(I1299=1,0,1))))</f>
        <v>1</v>
      </c>
      <c r="D1299" s="1">
        <f>+IF(AND(P1299="",Q1299=""),1,0)</f>
        <v>0</v>
      </c>
      <c r="E1299" s="1">
        <f>IF(U1299="",1,0)</f>
        <v>0</v>
      </c>
      <c r="F1299" s="1">
        <f>IF(V1299="",1,0)</f>
        <v>0</v>
      </c>
      <c r="G1299" s="52" t="str">
        <f>IF(H1299=0,"-",_xlfn.CONCAT(K1299,N1299,O1299,J1299))</f>
        <v>24070619</v>
      </c>
      <c r="H1299" s="9">
        <v>45479</v>
      </c>
      <c r="I1299" s="52">
        <v>19</v>
      </c>
      <c r="J1299" s="52">
        <f t="shared" si="299"/>
        <v>19</v>
      </c>
      <c r="K1299" s="10">
        <f t="shared" si="300"/>
        <v>24</v>
      </c>
      <c r="L1299" s="10">
        <f t="shared" si="301"/>
        <v>7</v>
      </c>
      <c r="M1299" s="10">
        <f t="shared" si="302"/>
        <v>6</v>
      </c>
      <c r="N1299" s="10" t="str">
        <f t="shared" si="303"/>
        <v>07</v>
      </c>
      <c r="O1299" s="70" t="str">
        <f t="shared" si="304"/>
        <v>06</v>
      </c>
      <c r="P1299" s="11">
        <v>65000</v>
      </c>
      <c r="Q1299" s="12"/>
      <c r="R1299" s="13">
        <v>525</v>
      </c>
      <c r="S1299" s="12">
        <f t="shared" si="305"/>
        <v>123.80952380952381</v>
      </c>
      <c r="T1299" s="12" t="s">
        <v>442</v>
      </c>
      <c r="U1299" s="10" t="s">
        <v>1</v>
      </c>
      <c r="V1299" s="10" t="s">
        <v>4</v>
      </c>
      <c r="W1299" s="10"/>
    </row>
    <row r="1300" spans="1:23" hidden="1">
      <c r="J1300" s="1" t="str">
        <f t="shared" si="299"/>
        <v>0</v>
      </c>
      <c r="K1300" s="3">
        <f t="shared" si="300"/>
        <v>-100</v>
      </c>
      <c r="L1300" s="3">
        <f t="shared" si="301"/>
        <v>1</v>
      </c>
      <c r="M1300" s="3">
        <f t="shared" si="302"/>
        <v>0</v>
      </c>
      <c r="N1300" s="3" t="str">
        <f t="shared" si="303"/>
        <v>01</v>
      </c>
      <c r="O1300" s="14" t="str">
        <f t="shared" si="304"/>
        <v>00</v>
      </c>
      <c r="P1300" s="86"/>
      <c r="R1300" s="6">
        <v>522</v>
      </c>
      <c r="S1300" s="5">
        <f t="shared" si="305"/>
        <v>0</v>
      </c>
    </row>
    <row r="1301" spans="1:23" hidden="1">
      <c r="J1301" s="1" t="str">
        <f t="shared" si="299"/>
        <v>0</v>
      </c>
      <c r="K1301" s="3">
        <f t="shared" si="300"/>
        <v>-100</v>
      </c>
      <c r="L1301" s="3">
        <f t="shared" si="301"/>
        <v>1</v>
      </c>
      <c r="M1301" s="3">
        <f t="shared" si="302"/>
        <v>0</v>
      </c>
      <c r="N1301" s="3" t="str">
        <f t="shared" si="303"/>
        <v>01</v>
      </c>
      <c r="O1301" s="14" t="str">
        <f t="shared" si="304"/>
        <v>00</v>
      </c>
      <c r="P1301" s="86"/>
      <c r="R1301" s="6">
        <v>522</v>
      </c>
      <c r="S1301" s="5">
        <f t="shared" si="305"/>
        <v>0</v>
      </c>
    </row>
    <row r="1302" spans="1:23">
      <c r="A1302" s="3">
        <v>1141</v>
      </c>
      <c r="B1302" s="1">
        <f>IF(G1302="-",0,IF(G1301=G1302,1,0))</f>
        <v>0</v>
      </c>
      <c r="C1302" s="1">
        <f>+IF(G1302="-",0,IF(I1302=I1301+1,0,(IF(I1302=1,0,1))))</f>
        <v>1</v>
      </c>
      <c r="D1302" s="1">
        <f>+IF(AND(P1302="",Q1302=""),1,0)</f>
        <v>0</v>
      </c>
      <c r="E1302" s="1">
        <f>IF(U1302="",1,0)</f>
        <v>0</v>
      </c>
      <c r="F1302" s="1">
        <f>IF(V1302="",1,0)</f>
        <v>0</v>
      </c>
      <c r="G1302" s="52" t="str">
        <f>IF(H1302=0,"-",_xlfn.CONCAT(K1302,N1302,O1302,J1302))</f>
        <v>24070621</v>
      </c>
      <c r="H1302" s="9">
        <v>45479</v>
      </c>
      <c r="I1302" s="52">
        <v>21</v>
      </c>
      <c r="J1302" s="52">
        <f t="shared" si="299"/>
        <v>21</v>
      </c>
      <c r="K1302" s="10">
        <f t="shared" si="300"/>
        <v>24</v>
      </c>
      <c r="L1302" s="10">
        <f t="shared" si="301"/>
        <v>7</v>
      </c>
      <c r="M1302" s="10">
        <f t="shared" si="302"/>
        <v>6</v>
      </c>
      <c r="N1302" s="10" t="str">
        <f t="shared" si="303"/>
        <v>07</v>
      </c>
      <c r="O1302" s="70" t="str">
        <f t="shared" si="304"/>
        <v>06</v>
      </c>
      <c r="P1302" s="11">
        <v>100000</v>
      </c>
      <c r="Q1302" s="12"/>
      <c r="R1302" s="13">
        <v>525</v>
      </c>
      <c r="S1302" s="12">
        <f t="shared" si="305"/>
        <v>190.47619047619048</v>
      </c>
      <c r="T1302" s="12" t="s">
        <v>445</v>
      </c>
      <c r="U1302" s="10" t="s">
        <v>1</v>
      </c>
      <c r="V1302" s="10" t="s">
        <v>4</v>
      </c>
      <c r="W1302" s="10"/>
    </row>
    <row r="1303" spans="1:23">
      <c r="A1303" s="3">
        <v>1148</v>
      </c>
      <c r="B1303" s="1">
        <f>IF(G1303="-",0,IF(G1302=G1303,1,0))</f>
        <v>0</v>
      </c>
      <c r="C1303" s="1">
        <f>+IF(G1303="-",0,IF(I1303=I1302+1,0,(IF(I1303=1,0,1))))</f>
        <v>1</v>
      </c>
      <c r="D1303" s="1">
        <f>+IF(AND(P1303="",Q1303=""),1,0)</f>
        <v>0</v>
      </c>
      <c r="E1303" s="1">
        <f>IF(U1303="",1,0)</f>
        <v>0</v>
      </c>
      <c r="F1303" s="1">
        <f>IF(V1303="",1,0)</f>
        <v>0</v>
      </c>
      <c r="G1303" s="1" t="str">
        <f>IF(H1303=0,"-",_xlfn.CONCAT(K1303,N1303,O1303,J1303))</f>
        <v>24070628</v>
      </c>
      <c r="H1303" s="2">
        <v>45479</v>
      </c>
      <c r="I1303" s="36">
        <v>28</v>
      </c>
      <c r="J1303" s="1">
        <f t="shared" si="299"/>
        <v>28</v>
      </c>
      <c r="K1303" s="3">
        <f t="shared" si="300"/>
        <v>24</v>
      </c>
      <c r="L1303" s="3">
        <f t="shared" si="301"/>
        <v>7</v>
      </c>
      <c r="M1303" s="3">
        <f t="shared" si="302"/>
        <v>6</v>
      </c>
      <c r="N1303" s="3" t="str">
        <f t="shared" si="303"/>
        <v>07</v>
      </c>
      <c r="O1303" s="14" t="str">
        <f t="shared" si="304"/>
        <v>06</v>
      </c>
      <c r="P1303" s="4">
        <v>4879.99</v>
      </c>
      <c r="R1303" s="6">
        <v>525</v>
      </c>
      <c r="S1303" s="5">
        <f t="shared" si="305"/>
        <v>9.2952190476190477</v>
      </c>
      <c r="T1303" s="5" t="s">
        <v>87</v>
      </c>
      <c r="U1303" s="3" t="s">
        <v>1</v>
      </c>
      <c r="V1303" s="3" t="s">
        <v>4</v>
      </c>
    </row>
    <row r="1304" spans="1:23" hidden="1">
      <c r="J1304" s="1" t="str">
        <f t="shared" si="299"/>
        <v>0</v>
      </c>
      <c r="K1304" s="3">
        <f t="shared" si="300"/>
        <v>-100</v>
      </c>
      <c r="L1304" s="3">
        <f t="shared" si="301"/>
        <v>1</v>
      </c>
      <c r="M1304" s="3">
        <f t="shared" si="302"/>
        <v>0</v>
      </c>
      <c r="N1304" s="3" t="str">
        <f t="shared" si="303"/>
        <v>01</v>
      </c>
      <c r="O1304" s="14" t="str">
        <f t="shared" si="304"/>
        <v>00</v>
      </c>
      <c r="P1304" s="87"/>
      <c r="R1304" s="6">
        <v>522</v>
      </c>
      <c r="S1304" s="5">
        <f t="shared" si="305"/>
        <v>0</v>
      </c>
    </row>
    <row r="1305" spans="1:23">
      <c r="A1305" s="3">
        <v>1151</v>
      </c>
      <c r="B1305" s="1">
        <f>IF(G1305="-",0,IF(G1304=G1305,1,0))</f>
        <v>0</v>
      </c>
      <c r="C1305" s="1">
        <f>+IF(G1305="-",0,IF(I1305=I1304+1,0,(IF(I1305=1,0,1))))</f>
        <v>0</v>
      </c>
      <c r="D1305" s="1">
        <f>+IF(AND(P1305="",Q1305=""),1,0)</f>
        <v>0</v>
      </c>
      <c r="E1305" s="1">
        <f>IF(U1305="",1,0)</f>
        <v>0</v>
      </c>
      <c r="F1305" s="1">
        <f>IF(V1305="",1,0)</f>
        <v>0</v>
      </c>
      <c r="G1305" s="1" t="str">
        <f>IF(H1305=0,"-",_xlfn.CONCAT(K1305,N1305,O1305,J1305))</f>
        <v>24070701</v>
      </c>
      <c r="H1305" s="2">
        <v>45480</v>
      </c>
      <c r="I1305" s="36">
        <v>1</v>
      </c>
      <c r="J1305" s="1" t="str">
        <f t="shared" si="299"/>
        <v>01</v>
      </c>
      <c r="K1305" s="3">
        <f t="shared" si="300"/>
        <v>24</v>
      </c>
      <c r="L1305" s="3">
        <f t="shared" si="301"/>
        <v>7</v>
      </c>
      <c r="M1305" s="3">
        <f t="shared" si="302"/>
        <v>7</v>
      </c>
      <c r="N1305" s="3" t="str">
        <f t="shared" si="303"/>
        <v>07</v>
      </c>
      <c r="O1305" s="14" t="str">
        <f t="shared" si="304"/>
        <v>07</v>
      </c>
      <c r="P1305" s="4">
        <v>10000</v>
      </c>
      <c r="R1305" s="6">
        <v>525</v>
      </c>
      <c r="S1305" s="5">
        <f t="shared" si="305"/>
        <v>19.047619047619047</v>
      </c>
      <c r="T1305" s="5" t="s">
        <v>448</v>
      </c>
      <c r="U1305" s="3" t="s">
        <v>29</v>
      </c>
      <c r="V1305" s="3" t="s">
        <v>4</v>
      </c>
    </row>
    <row r="1306" spans="1:23">
      <c r="A1306" s="3">
        <v>1162</v>
      </c>
      <c r="B1306" s="1">
        <f>IF(G1306="-",0,IF(G1305=G1306,1,0))</f>
        <v>0</v>
      </c>
      <c r="C1306" s="1">
        <f>+IF(G1306="-",0,IF(I1306=I1305+1,0,(IF(I1306=1,0,1))))</f>
        <v>1</v>
      </c>
      <c r="D1306" s="1">
        <f>+IF(AND(P1306="",Q1306=""),1,0)</f>
        <v>0</v>
      </c>
      <c r="E1306" s="1">
        <f>IF(U1306="",1,0)</f>
        <v>0</v>
      </c>
      <c r="F1306" s="1">
        <f>IF(V1306="",1,0)</f>
        <v>0</v>
      </c>
      <c r="G1306" s="1" t="str">
        <f>IF(H1306=0,"-",_xlfn.CONCAT(K1306,N1306,O1306,J1306))</f>
        <v>24070804</v>
      </c>
      <c r="H1306" s="2">
        <v>45481</v>
      </c>
      <c r="I1306" s="36">
        <v>4</v>
      </c>
      <c r="J1306" s="1" t="str">
        <f t="shared" si="299"/>
        <v>04</v>
      </c>
      <c r="K1306" s="3">
        <f t="shared" si="300"/>
        <v>24</v>
      </c>
      <c r="L1306" s="3">
        <f t="shared" si="301"/>
        <v>7</v>
      </c>
      <c r="M1306" s="3">
        <f t="shared" si="302"/>
        <v>8</v>
      </c>
      <c r="N1306" s="3" t="str">
        <f t="shared" si="303"/>
        <v>07</v>
      </c>
      <c r="O1306" s="14" t="str">
        <f t="shared" si="304"/>
        <v>08</v>
      </c>
      <c r="P1306" s="4">
        <v>41301.5</v>
      </c>
      <c r="R1306" s="6">
        <v>522</v>
      </c>
      <c r="S1306" s="5">
        <f t="shared" si="305"/>
        <v>79.121647509578537</v>
      </c>
      <c r="T1306" s="5" t="s">
        <v>451</v>
      </c>
      <c r="U1306" s="3" t="s">
        <v>29</v>
      </c>
      <c r="V1306" s="3" t="s">
        <v>4</v>
      </c>
    </row>
    <row r="1307" spans="1:23" hidden="1">
      <c r="J1307" s="1" t="str">
        <f t="shared" si="299"/>
        <v>0</v>
      </c>
      <c r="K1307" s="3">
        <f t="shared" si="300"/>
        <v>-100</v>
      </c>
      <c r="L1307" s="3">
        <f t="shared" si="301"/>
        <v>1</v>
      </c>
      <c r="M1307" s="3">
        <f t="shared" si="302"/>
        <v>0</v>
      </c>
      <c r="N1307" s="3" t="str">
        <f t="shared" si="303"/>
        <v>01</v>
      </c>
      <c r="O1307" s="14" t="str">
        <f t="shared" si="304"/>
        <v>00</v>
      </c>
      <c r="P1307" s="88"/>
      <c r="R1307" s="6">
        <v>522</v>
      </c>
      <c r="S1307" s="5">
        <f t="shared" si="305"/>
        <v>0</v>
      </c>
    </row>
    <row r="1308" spans="1:23" hidden="1">
      <c r="J1308" s="1" t="str">
        <f t="shared" si="299"/>
        <v>0</v>
      </c>
      <c r="K1308" s="3">
        <f t="shared" si="300"/>
        <v>-100</v>
      </c>
      <c r="L1308" s="3">
        <f t="shared" si="301"/>
        <v>1</v>
      </c>
      <c r="M1308" s="3">
        <f t="shared" si="302"/>
        <v>0</v>
      </c>
      <c r="N1308" s="3" t="str">
        <f t="shared" si="303"/>
        <v>01</v>
      </c>
      <c r="O1308" s="14" t="str">
        <f t="shared" si="304"/>
        <v>00</v>
      </c>
      <c r="P1308" s="88"/>
      <c r="R1308" s="6">
        <v>522</v>
      </c>
      <c r="S1308" s="5">
        <f t="shared" si="305"/>
        <v>0</v>
      </c>
    </row>
    <row r="1309" spans="1:23" hidden="1">
      <c r="J1309" s="1" t="str">
        <f t="shared" si="299"/>
        <v>0</v>
      </c>
      <c r="K1309" s="3">
        <f t="shared" si="300"/>
        <v>-100</v>
      </c>
      <c r="L1309" s="3">
        <f t="shared" si="301"/>
        <v>1</v>
      </c>
      <c r="M1309" s="3">
        <f t="shared" si="302"/>
        <v>0</v>
      </c>
      <c r="N1309" s="3" t="str">
        <f t="shared" si="303"/>
        <v>01</v>
      </c>
      <c r="O1309" s="14" t="str">
        <f t="shared" si="304"/>
        <v>00</v>
      </c>
      <c r="P1309" s="88"/>
      <c r="R1309" s="6">
        <v>522</v>
      </c>
      <c r="S1309" s="5">
        <f t="shared" si="305"/>
        <v>0</v>
      </c>
    </row>
    <row r="1310" spans="1:23" hidden="1">
      <c r="J1310" s="1" t="str">
        <f t="shared" si="299"/>
        <v>0</v>
      </c>
      <c r="K1310" s="3">
        <f t="shared" si="300"/>
        <v>-100</v>
      </c>
      <c r="L1310" s="3">
        <f t="shared" si="301"/>
        <v>1</v>
      </c>
      <c r="M1310" s="3">
        <f t="shared" si="302"/>
        <v>0</v>
      </c>
      <c r="N1310" s="3" t="str">
        <f t="shared" si="303"/>
        <v>01</v>
      </c>
      <c r="O1310" s="14" t="str">
        <f t="shared" si="304"/>
        <v>00</v>
      </c>
      <c r="P1310" s="88"/>
      <c r="R1310" s="6">
        <v>522</v>
      </c>
      <c r="S1310" s="5">
        <f t="shared" si="305"/>
        <v>0</v>
      </c>
    </row>
    <row r="1311" spans="1:23">
      <c r="A1311" s="3">
        <v>1163</v>
      </c>
      <c r="B1311" s="1">
        <f>IF(G1311="-",0,IF(G1310=G1311,1,0))</f>
        <v>0</v>
      </c>
      <c r="C1311" s="1">
        <f>+IF(G1311="-",0,IF(I1311=I1310+1,0,(IF(I1311=1,0,1))))</f>
        <v>0</v>
      </c>
      <c r="D1311" s="1">
        <f>+IF(AND(P1311="",Q1311=""),1,0)</f>
        <v>0</v>
      </c>
      <c r="E1311" s="1">
        <f t="shared" ref="E1311:F1314" si="306">IF(U1311="",1,0)</f>
        <v>0</v>
      </c>
      <c r="F1311" s="1">
        <f t="shared" si="306"/>
        <v>0</v>
      </c>
      <c r="G1311" s="1" t="str">
        <f>IF(H1311=0,"-",_xlfn.CONCAT(K1311,N1311,O1311,J1311))</f>
        <v>24070901</v>
      </c>
      <c r="H1311" s="2">
        <v>45482</v>
      </c>
      <c r="I1311" s="36">
        <v>1</v>
      </c>
      <c r="J1311" s="1" t="str">
        <f t="shared" si="299"/>
        <v>01</v>
      </c>
      <c r="K1311" s="3">
        <f t="shared" si="300"/>
        <v>24</v>
      </c>
      <c r="L1311" s="3">
        <f t="shared" si="301"/>
        <v>7</v>
      </c>
      <c r="M1311" s="3">
        <f t="shared" si="302"/>
        <v>9</v>
      </c>
      <c r="N1311" s="3" t="str">
        <f t="shared" si="303"/>
        <v>07</v>
      </c>
      <c r="O1311" s="14" t="str">
        <f t="shared" si="304"/>
        <v>09</v>
      </c>
      <c r="P1311" s="4">
        <v>43200</v>
      </c>
      <c r="R1311" s="6">
        <v>518</v>
      </c>
      <c r="S1311" s="5">
        <f t="shared" si="305"/>
        <v>83.397683397683394</v>
      </c>
      <c r="T1311" s="5" t="s">
        <v>450</v>
      </c>
      <c r="U1311" s="3" t="s">
        <v>29</v>
      </c>
      <c r="V1311" s="3" t="s">
        <v>4</v>
      </c>
    </row>
    <row r="1312" spans="1:23">
      <c r="A1312" s="3">
        <v>2811</v>
      </c>
      <c r="B1312" s="1">
        <f>IF(G1312="-",0,IF(G1311=G1312,1,0))</f>
        <v>0</v>
      </c>
      <c r="C1312" s="1">
        <f>+IF(G1312="-",0,IF(I1312=I1311+1,0,(IF(I1312=1,0,1))))</f>
        <v>0</v>
      </c>
      <c r="D1312" s="1">
        <f>+IF(AND(P1312="",Q1312=""),1,0)</f>
        <v>0</v>
      </c>
      <c r="E1312" s="1">
        <f t="shared" si="306"/>
        <v>0</v>
      </c>
      <c r="F1312" s="1">
        <f t="shared" si="306"/>
        <v>0</v>
      </c>
      <c r="G1312" s="1" t="str">
        <f>IF(H1312=0,"-",_xlfn.CONCAT(K1312,N1312,O1312,J1312))</f>
        <v>24070902</v>
      </c>
      <c r="H1312" s="2">
        <v>45482</v>
      </c>
      <c r="I1312" s="36">
        <v>2</v>
      </c>
      <c r="J1312" s="1" t="str">
        <f t="shared" si="299"/>
        <v>02</v>
      </c>
      <c r="K1312" s="3">
        <f t="shared" si="300"/>
        <v>24</v>
      </c>
      <c r="L1312" s="3">
        <f t="shared" si="301"/>
        <v>7</v>
      </c>
      <c r="M1312" s="3">
        <f t="shared" si="302"/>
        <v>9</v>
      </c>
      <c r="N1312" s="3" t="str">
        <f t="shared" si="303"/>
        <v>07</v>
      </c>
      <c r="O1312" s="14" t="str">
        <f t="shared" si="304"/>
        <v>09</v>
      </c>
      <c r="P1312" s="4">
        <v>42764.27</v>
      </c>
      <c r="T1312" s="5" t="s">
        <v>1232</v>
      </c>
      <c r="U1312" s="3" t="s">
        <v>29</v>
      </c>
      <c r="V1312" s="3" t="s">
        <v>4</v>
      </c>
    </row>
    <row r="1313" spans="1:22">
      <c r="A1313" s="3">
        <v>1168</v>
      </c>
      <c r="B1313" s="1">
        <f>IF(G1313="-",0,IF(G1312=G1313,1,0))</f>
        <v>0</v>
      </c>
      <c r="C1313" s="1">
        <f>+IF(G1313="-",0,IF(I1313=I1312+1,0,(IF(I1313=1,0,1))))</f>
        <v>1</v>
      </c>
      <c r="D1313" s="1">
        <f>+IF(AND(P1313="",Q1313=""),1,0)</f>
        <v>0</v>
      </c>
      <c r="E1313" s="1">
        <f t="shared" si="306"/>
        <v>0</v>
      </c>
      <c r="F1313" s="1">
        <f t="shared" si="306"/>
        <v>0</v>
      </c>
      <c r="G1313" s="1" t="str">
        <f>IF(H1313=0,"-",_xlfn.CONCAT(K1313,N1313,O1313,J1313))</f>
        <v>24071005</v>
      </c>
      <c r="H1313" s="2">
        <v>45483</v>
      </c>
      <c r="I1313" s="36">
        <v>5</v>
      </c>
      <c r="J1313" s="1" t="str">
        <f t="shared" si="299"/>
        <v>05</v>
      </c>
      <c r="K1313" s="3">
        <f t="shared" si="300"/>
        <v>24</v>
      </c>
      <c r="L1313" s="3">
        <f t="shared" si="301"/>
        <v>7</v>
      </c>
      <c r="M1313" s="3">
        <f t="shared" si="302"/>
        <v>10</v>
      </c>
      <c r="N1313" s="3" t="str">
        <f t="shared" si="303"/>
        <v>07</v>
      </c>
      <c r="O1313" s="14">
        <f t="shared" si="304"/>
        <v>10</v>
      </c>
      <c r="P1313" s="4">
        <v>31030</v>
      </c>
      <c r="R1313" s="6">
        <v>518</v>
      </c>
      <c r="S1313" s="5">
        <f t="shared" ref="S1313:S1344" si="307">IFERROR(P1313/R1313,"")</f>
        <v>59.903474903474901</v>
      </c>
      <c r="T1313" s="5" t="s">
        <v>87</v>
      </c>
      <c r="U1313" s="3" t="s">
        <v>29</v>
      </c>
      <c r="V1313" s="3" t="s">
        <v>4</v>
      </c>
    </row>
    <row r="1314" spans="1:22">
      <c r="A1314" s="3">
        <v>1174</v>
      </c>
      <c r="B1314" s="1">
        <f>IF(G1314="-",0,IF(G1313=G1314,1,0))</f>
        <v>0</v>
      </c>
      <c r="C1314" s="1">
        <f>+IF(G1314="-",0,IF(I1314=I1313+1,0,(IF(I1314=1,0,1))))</f>
        <v>1</v>
      </c>
      <c r="D1314" s="1">
        <f>+IF(AND(P1314="",Q1314=""),1,0)</f>
        <v>0</v>
      </c>
      <c r="E1314" s="1">
        <f t="shared" si="306"/>
        <v>0</v>
      </c>
      <c r="F1314" s="1">
        <f t="shared" si="306"/>
        <v>0</v>
      </c>
      <c r="G1314" s="1" t="str">
        <f>IF(H1314=0,"-",_xlfn.CONCAT(K1314,N1314,O1314,J1314))</f>
        <v>24071103</v>
      </c>
      <c r="H1314" s="2">
        <v>45484</v>
      </c>
      <c r="I1314" s="36">
        <v>3</v>
      </c>
      <c r="J1314" s="1" t="str">
        <f t="shared" si="299"/>
        <v>03</v>
      </c>
      <c r="K1314" s="3">
        <f t="shared" si="300"/>
        <v>24</v>
      </c>
      <c r="L1314" s="3">
        <f t="shared" si="301"/>
        <v>7</v>
      </c>
      <c r="M1314" s="3">
        <f t="shared" si="302"/>
        <v>11</v>
      </c>
      <c r="N1314" s="3" t="str">
        <f t="shared" si="303"/>
        <v>07</v>
      </c>
      <c r="O1314" s="14">
        <f t="shared" si="304"/>
        <v>11</v>
      </c>
      <c r="P1314" s="4">
        <v>26959.99</v>
      </c>
      <c r="R1314" s="6">
        <v>516</v>
      </c>
      <c r="S1314" s="5">
        <f t="shared" si="307"/>
        <v>52.248042635658919</v>
      </c>
      <c r="T1314" s="5" t="s">
        <v>87</v>
      </c>
      <c r="U1314" s="3" t="s">
        <v>29</v>
      </c>
      <c r="V1314" s="3" t="s">
        <v>4</v>
      </c>
    </row>
    <row r="1315" spans="1:22" hidden="1">
      <c r="J1315" s="1" t="str">
        <f t="shared" si="299"/>
        <v>0</v>
      </c>
      <c r="K1315" s="3">
        <f t="shared" si="300"/>
        <v>-100</v>
      </c>
      <c r="L1315" s="3">
        <f t="shared" si="301"/>
        <v>1</v>
      </c>
      <c r="M1315" s="3">
        <f t="shared" si="302"/>
        <v>0</v>
      </c>
      <c r="N1315" s="3" t="str">
        <f t="shared" si="303"/>
        <v>01</v>
      </c>
      <c r="O1315" s="14" t="str">
        <f t="shared" si="304"/>
        <v>00</v>
      </c>
      <c r="P1315" s="89"/>
      <c r="R1315" s="6">
        <v>522</v>
      </c>
      <c r="S1315" s="5">
        <f t="shared" si="307"/>
        <v>0</v>
      </c>
    </row>
    <row r="1316" spans="1:22">
      <c r="A1316" s="3">
        <v>1183</v>
      </c>
      <c r="B1316" s="1">
        <f>IF(G1316="-",0,IF(G1314=G1316,1,0))</f>
        <v>0</v>
      </c>
      <c r="C1316" s="1">
        <f>+IF(G1316="-",0,IF(I1316=I1314+1,0,(IF(I1316=1,0,1))))</f>
        <v>1</v>
      </c>
      <c r="D1316" s="1">
        <f>+IF(AND(P1316="",Q1316=""),1,0)</f>
        <v>0</v>
      </c>
      <c r="E1316" s="1">
        <f>IF(U1316="",1,0)</f>
        <v>0</v>
      </c>
      <c r="F1316" s="1">
        <f>IF(V1316="",1,0)</f>
        <v>0</v>
      </c>
      <c r="G1316" s="1" t="str">
        <f>IF(H1316=0,"-",_xlfn.CONCAT(K1316,N1316,O1316,J1316))</f>
        <v>24071111</v>
      </c>
      <c r="H1316" s="2">
        <v>45484</v>
      </c>
      <c r="I1316" s="36">
        <v>11</v>
      </c>
      <c r="J1316" s="1">
        <f t="shared" si="299"/>
        <v>11</v>
      </c>
      <c r="K1316" s="3">
        <f t="shared" si="300"/>
        <v>24</v>
      </c>
      <c r="L1316" s="3">
        <f t="shared" si="301"/>
        <v>7</v>
      </c>
      <c r="M1316" s="3">
        <f t="shared" si="302"/>
        <v>11</v>
      </c>
      <c r="N1316" s="3" t="str">
        <f t="shared" si="303"/>
        <v>07</v>
      </c>
      <c r="O1316" s="14">
        <f t="shared" si="304"/>
        <v>11</v>
      </c>
      <c r="P1316" s="4">
        <v>116899.41</v>
      </c>
      <c r="R1316" s="6">
        <v>516</v>
      </c>
      <c r="S1316" s="5">
        <f t="shared" si="307"/>
        <v>226.54924418604651</v>
      </c>
      <c r="T1316" s="5" t="s">
        <v>1175</v>
      </c>
      <c r="U1316" s="3" t="s">
        <v>2</v>
      </c>
      <c r="V1316" s="3" t="s">
        <v>4</v>
      </c>
    </row>
    <row r="1317" spans="1:22" hidden="1">
      <c r="J1317" s="1" t="str">
        <f t="shared" si="299"/>
        <v>0</v>
      </c>
      <c r="K1317" s="3">
        <f t="shared" si="300"/>
        <v>-100</v>
      </c>
      <c r="L1317" s="3">
        <f t="shared" si="301"/>
        <v>1</v>
      </c>
      <c r="M1317" s="3">
        <f t="shared" si="302"/>
        <v>0</v>
      </c>
      <c r="N1317" s="3" t="str">
        <f t="shared" si="303"/>
        <v>01</v>
      </c>
      <c r="O1317" s="14" t="str">
        <f t="shared" si="304"/>
        <v>00</v>
      </c>
      <c r="R1317" s="6">
        <v>522</v>
      </c>
      <c r="S1317" s="5">
        <f t="shared" si="307"/>
        <v>0</v>
      </c>
    </row>
    <row r="1318" spans="1:22" hidden="1">
      <c r="J1318" s="1" t="str">
        <f t="shared" si="299"/>
        <v>0</v>
      </c>
      <c r="K1318" s="3">
        <f t="shared" si="300"/>
        <v>-100</v>
      </c>
      <c r="L1318" s="3">
        <f t="shared" si="301"/>
        <v>1</v>
      </c>
      <c r="M1318" s="3">
        <f t="shared" si="302"/>
        <v>0</v>
      </c>
      <c r="N1318" s="3" t="str">
        <f t="shared" si="303"/>
        <v>01</v>
      </c>
      <c r="O1318" s="14" t="str">
        <f t="shared" si="304"/>
        <v>00</v>
      </c>
      <c r="R1318" s="6">
        <v>522</v>
      </c>
      <c r="S1318" s="5">
        <f t="shared" si="307"/>
        <v>0</v>
      </c>
    </row>
    <row r="1319" spans="1:22" hidden="1">
      <c r="J1319" s="1" t="str">
        <f t="shared" si="299"/>
        <v>0</v>
      </c>
      <c r="K1319" s="3">
        <f t="shared" si="300"/>
        <v>-100</v>
      </c>
      <c r="L1319" s="3">
        <f t="shared" si="301"/>
        <v>1</v>
      </c>
      <c r="M1319" s="3">
        <f t="shared" si="302"/>
        <v>0</v>
      </c>
      <c r="N1319" s="3" t="str">
        <f t="shared" si="303"/>
        <v>01</v>
      </c>
      <c r="O1319" s="14" t="str">
        <f t="shared" si="304"/>
        <v>00</v>
      </c>
      <c r="R1319" s="6">
        <v>522</v>
      </c>
      <c r="S1319" s="5">
        <f t="shared" si="307"/>
        <v>0</v>
      </c>
    </row>
    <row r="1320" spans="1:22">
      <c r="A1320" s="3">
        <v>1189</v>
      </c>
      <c r="B1320" s="1">
        <f>IF(G1320="-",0,IF(G1319=G1320,1,0))</f>
        <v>0</v>
      </c>
      <c r="C1320" s="1">
        <f>+IF(G1320="-",0,IF(I1320=I1319+1,0,(IF(I1320=1,0,1))))</f>
        <v>1</v>
      </c>
      <c r="D1320" s="1">
        <f>+IF(AND(P1320="",Q1320=""),1,0)</f>
        <v>0</v>
      </c>
      <c r="E1320" s="1">
        <f>IF(U1320="",1,0)</f>
        <v>0</v>
      </c>
      <c r="F1320" s="1">
        <f>IF(V1320="",1,0)</f>
        <v>0</v>
      </c>
      <c r="G1320" s="1" t="str">
        <f>IF(H1320=0,"-",_xlfn.CONCAT(K1320,N1320,O1320,J1320))</f>
        <v>24071117</v>
      </c>
      <c r="H1320" s="2">
        <v>45484</v>
      </c>
      <c r="I1320" s="36">
        <v>17</v>
      </c>
      <c r="J1320" s="1">
        <f t="shared" si="299"/>
        <v>17</v>
      </c>
      <c r="K1320" s="3">
        <f t="shared" si="300"/>
        <v>24</v>
      </c>
      <c r="L1320" s="3">
        <f t="shared" si="301"/>
        <v>7</v>
      </c>
      <c r="M1320" s="3">
        <f t="shared" si="302"/>
        <v>11</v>
      </c>
      <c r="N1320" s="3" t="str">
        <f t="shared" si="303"/>
        <v>07</v>
      </c>
      <c r="O1320" s="14">
        <f t="shared" si="304"/>
        <v>11</v>
      </c>
      <c r="P1320" s="4">
        <v>2641.77</v>
      </c>
      <c r="R1320" s="6">
        <v>516</v>
      </c>
      <c r="S1320" s="5">
        <f t="shared" si="307"/>
        <v>5.1197093023255817</v>
      </c>
      <c r="T1320" s="5" t="s">
        <v>477</v>
      </c>
      <c r="U1320" s="3" t="s">
        <v>29</v>
      </c>
      <c r="V1320" s="3" t="s">
        <v>4</v>
      </c>
    </row>
    <row r="1321" spans="1:22" hidden="1">
      <c r="J1321" s="1" t="str">
        <f t="shared" si="299"/>
        <v>0</v>
      </c>
      <c r="K1321" s="3">
        <f t="shared" si="300"/>
        <v>-100</v>
      </c>
      <c r="L1321" s="3">
        <f t="shared" si="301"/>
        <v>1</v>
      </c>
      <c r="M1321" s="3">
        <f t="shared" si="302"/>
        <v>0</v>
      </c>
      <c r="N1321" s="3" t="str">
        <f t="shared" si="303"/>
        <v>01</v>
      </c>
      <c r="O1321" s="14" t="str">
        <f t="shared" si="304"/>
        <v>00</v>
      </c>
      <c r="R1321" s="6">
        <v>522</v>
      </c>
      <c r="S1321" s="5">
        <f t="shared" si="307"/>
        <v>0</v>
      </c>
    </row>
    <row r="1322" spans="1:22" hidden="1">
      <c r="J1322" s="1" t="str">
        <f t="shared" si="299"/>
        <v>0</v>
      </c>
      <c r="K1322" s="3">
        <f t="shared" si="300"/>
        <v>-100</v>
      </c>
      <c r="L1322" s="3">
        <f t="shared" si="301"/>
        <v>1</v>
      </c>
      <c r="M1322" s="3">
        <f t="shared" si="302"/>
        <v>0</v>
      </c>
      <c r="N1322" s="3" t="str">
        <f t="shared" si="303"/>
        <v>01</v>
      </c>
      <c r="O1322" s="14" t="str">
        <f t="shared" si="304"/>
        <v>00</v>
      </c>
      <c r="R1322" s="6">
        <v>522</v>
      </c>
      <c r="S1322" s="5">
        <f t="shared" si="307"/>
        <v>0</v>
      </c>
    </row>
    <row r="1323" spans="1:22" hidden="1">
      <c r="J1323" s="1" t="str">
        <f t="shared" si="299"/>
        <v>0</v>
      </c>
      <c r="K1323" s="3">
        <f t="shared" si="300"/>
        <v>-100</v>
      </c>
      <c r="L1323" s="3">
        <f t="shared" si="301"/>
        <v>1</v>
      </c>
      <c r="M1323" s="3">
        <f t="shared" si="302"/>
        <v>0</v>
      </c>
      <c r="N1323" s="3" t="str">
        <f t="shared" si="303"/>
        <v>01</v>
      </c>
      <c r="O1323" s="14" t="str">
        <f t="shared" si="304"/>
        <v>00</v>
      </c>
      <c r="R1323" s="6">
        <v>522</v>
      </c>
      <c r="S1323" s="5">
        <f t="shared" si="307"/>
        <v>0</v>
      </c>
    </row>
    <row r="1324" spans="1:22" hidden="1">
      <c r="J1324" s="1" t="str">
        <f t="shared" si="299"/>
        <v>0</v>
      </c>
      <c r="K1324" s="3">
        <f t="shared" si="300"/>
        <v>-100</v>
      </c>
      <c r="L1324" s="3">
        <f t="shared" si="301"/>
        <v>1</v>
      </c>
      <c r="M1324" s="3">
        <f t="shared" si="302"/>
        <v>0</v>
      </c>
      <c r="N1324" s="3" t="str">
        <f t="shared" si="303"/>
        <v>01</v>
      </c>
      <c r="O1324" s="14" t="str">
        <f t="shared" si="304"/>
        <v>00</v>
      </c>
      <c r="R1324" s="6">
        <v>522</v>
      </c>
      <c r="S1324" s="5">
        <f t="shared" si="307"/>
        <v>0</v>
      </c>
    </row>
    <row r="1325" spans="1:22" hidden="1">
      <c r="J1325" s="1" t="str">
        <f t="shared" si="299"/>
        <v>0</v>
      </c>
      <c r="K1325" s="3">
        <f t="shared" si="300"/>
        <v>-100</v>
      </c>
      <c r="L1325" s="3">
        <f t="shared" si="301"/>
        <v>1</v>
      </c>
      <c r="M1325" s="3">
        <f t="shared" si="302"/>
        <v>0</v>
      </c>
      <c r="N1325" s="3" t="str">
        <f t="shared" si="303"/>
        <v>01</v>
      </c>
      <c r="O1325" s="14" t="str">
        <f t="shared" si="304"/>
        <v>00</v>
      </c>
      <c r="R1325" s="6">
        <v>522</v>
      </c>
      <c r="S1325" s="5">
        <f t="shared" si="307"/>
        <v>0</v>
      </c>
    </row>
    <row r="1326" spans="1:22" hidden="1">
      <c r="J1326" s="1" t="str">
        <f t="shared" si="299"/>
        <v>0</v>
      </c>
      <c r="K1326" s="3">
        <f t="shared" si="300"/>
        <v>-100</v>
      </c>
      <c r="L1326" s="3">
        <f t="shared" si="301"/>
        <v>1</v>
      </c>
      <c r="M1326" s="3">
        <f t="shared" si="302"/>
        <v>0</v>
      </c>
      <c r="N1326" s="3" t="str">
        <f t="shared" si="303"/>
        <v>01</v>
      </c>
      <c r="O1326" s="14" t="str">
        <f t="shared" si="304"/>
        <v>00</v>
      </c>
      <c r="R1326" s="6">
        <v>522</v>
      </c>
      <c r="S1326" s="5">
        <f t="shared" si="307"/>
        <v>0</v>
      </c>
    </row>
    <row r="1327" spans="1:22" hidden="1">
      <c r="J1327" s="1" t="str">
        <f t="shared" si="299"/>
        <v>0</v>
      </c>
      <c r="K1327" s="3">
        <f t="shared" si="300"/>
        <v>-100</v>
      </c>
      <c r="L1327" s="3">
        <f t="shared" si="301"/>
        <v>1</v>
      </c>
      <c r="M1327" s="3">
        <f t="shared" si="302"/>
        <v>0</v>
      </c>
      <c r="N1327" s="3" t="str">
        <f t="shared" si="303"/>
        <v>01</v>
      </c>
      <c r="O1327" s="14" t="str">
        <f t="shared" si="304"/>
        <v>00</v>
      </c>
      <c r="R1327" s="6">
        <v>522</v>
      </c>
      <c r="S1327" s="5">
        <f t="shared" si="307"/>
        <v>0</v>
      </c>
    </row>
    <row r="1328" spans="1:22">
      <c r="A1328" s="3">
        <v>1196</v>
      </c>
      <c r="B1328" s="1">
        <f>IF(G1328="-",0,IF(G1327=G1328,1,0))</f>
        <v>0</v>
      </c>
      <c r="C1328" s="1">
        <f>+IF(G1328="-",0,IF(I1328=I1327+1,0,(IF(I1328=1,0,1))))</f>
        <v>1</v>
      </c>
      <c r="D1328" s="1">
        <f>+IF(AND(P1328="",Q1328=""),1,0)</f>
        <v>0</v>
      </c>
      <c r="E1328" s="1">
        <f>IF(U1328="",1,0)</f>
        <v>0</v>
      </c>
      <c r="F1328" s="1">
        <f>IF(V1328="",1,0)</f>
        <v>0</v>
      </c>
      <c r="G1328" s="1" t="str">
        <f>IF(H1328=0,"-",_xlfn.CONCAT(K1328,N1328,O1328,J1328))</f>
        <v>24071206</v>
      </c>
      <c r="H1328" s="2">
        <v>45485</v>
      </c>
      <c r="I1328" s="36">
        <v>6</v>
      </c>
      <c r="J1328" s="1" t="str">
        <f t="shared" si="299"/>
        <v>06</v>
      </c>
      <c r="K1328" s="3">
        <f t="shared" si="300"/>
        <v>24</v>
      </c>
      <c r="L1328" s="3">
        <f t="shared" si="301"/>
        <v>7</v>
      </c>
      <c r="M1328" s="3">
        <f t="shared" si="302"/>
        <v>12</v>
      </c>
      <c r="N1328" s="3" t="str">
        <f t="shared" si="303"/>
        <v>07</v>
      </c>
      <c r="O1328" s="14">
        <f t="shared" si="304"/>
        <v>12</v>
      </c>
      <c r="P1328" s="4">
        <v>17202.599999999999</v>
      </c>
      <c r="R1328" s="6">
        <v>518</v>
      </c>
      <c r="S1328" s="5">
        <f t="shared" si="307"/>
        <v>33.209652509652507</v>
      </c>
      <c r="T1328" s="5" t="s">
        <v>478</v>
      </c>
      <c r="U1328" s="3" t="s">
        <v>29</v>
      </c>
      <c r="V1328" s="3" t="s">
        <v>4</v>
      </c>
    </row>
    <row r="1329" spans="1:23" hidden="1">
      <c r="J1329" s="1" t="str">
        <f t="shared" si="299"/>
        <v>0</v>
      </c>
      <c r="K1329" s="3">
        <f t="shared" si="300"/>
        <v>-100</v>
      </c>
      <c r="L1329" s="3">
        <f t="shared" si="301"/>
        <v>1</v>
      </c>
      <c r="M1329" s="3">
        <f t="shared" si="302"/>
        <v>0</v>
      </c>
      <c r="N1329" s="3" t="str">
        <f t="shared" si="303"/>
        <v>01</v>
      </c>
      <c r="O1329" s="14" t="str">
        <f t="shared" si="304"/>
        <v>00</v>
      </c>
      <c r="R1329" s="6">
        <v>522</v>
      </c>
      <c r="S1329" s="5">
        <f t="shared" si="307"/>
        <v>0</v>
      </c>
    </row>
    <row r="1330" spans="1:23" hidden="1">
      <c r="J1330" s="1" t="str">
        <f t="shared" si="299"/>
        <v>0</v>
      </c>
      <c r="K1330" s="3">
        <f t="shared" si="300"/>
        <v>-100</v>
      </c>
      <c r="L1330" s="3">
        <f t="shared" si="301"/>
        <v>1</v>
      </c>
      <c r="M1330" s="3">
        <f t="shared" si="302"/>
        <v>0</v>
      </c>
      <c r="N1330" s="3" t="str">
        <f t="shared" si="303"/>
        <v>01</v>
      </c>
      <c r="O1330" s="14" t="str">
        <f t="shared" si="304"/>
        <v>00</v>
      </c>
      <c r="R1330" s="6">
        <v>522</v>
      </c>
      <c r="S1330" s="5">
        <f t="shared" si="307"/>
        <v>0</v>
      </c>
    </row>
    <row r="1331" spans="1:23">
      <c r="A1331" s="3">
        <v>1197</v>
      </c>
      <c r="B1331" s="1">
        <f>IF(G1331="-",0,IF(G1330=G1331,1,0))</f>
        <v>0</v>
      </c>
      <c r="C1331" s="1">
        <f>+IF(G1331="-",0,IF(I1331=I1330+1,0,(IF(I1331=1,0,1))))</f>
        <v>1</v>
      </c>
      <c r="D1331" s="1">
        <f>+IF(AND(P1331="",Q1331=""),1,0)</f>
        <v>0</v>
      </c>
      <c r="E1331" s="1">
        <f t="shared" ref="E1331:F1334" si="308">IF(U1331="",1,0)</f>
        <v>0</v>
      </c>
      <c r="F1331" s="1">
        <f t="shared" si="308"/>
        <v>0</v>
      </c>
      <c r="G1331" s="1" t="str">
        <f>IF(H1331=0,"-",_xlfn.CONCAT(K1331,N1331,O1331,J1331))</f>
        <v>24071207</v>
      </c>
      <c r="H1331" s="2">
        <v>45485</v>
      </c>
      <c r="I1331" s="36">
        <v>7</v>
      </c>
      <c r="J1331" s="1" t="str">
        <f t="shared" si="299"/>
        <v>07</v>
      </c>
      <c r="K1331" s="3">
        <f t="shared" si="300"/>
        <v>24</v>
      </c>
      <c r="L1331" s="3">
        <f t="shared" si="301"/>
        <v>7</v>
      </c>
      <c r="M1331" s="3">
        <f t="shared" si="302"/>
        <v>12</v>
      </c>
      <c r="N1331" s="3" t="str">
        <f t="shared" si="303"/>
        <v>07</v>
      </c>
      <c r="O1331" s="14">
        <f t="shared" si="304"/>
        <v>12</v>
      </c>
      <c r="P1331" s="4">
        <v>43200</v>
      </c>
      <c r="R1331" s="6">
        <v>518</v>
      </c>
      <c r="S1331" s="5">
        <f t="shared" si="307"/>
        <v>83.397683397683394</v>
      </c>
      <c r="T1331" s="5" t="s">
        <v>450</v>
      </c>
      <c r="U1331" s="3" t="s">
        <v>29</v>
      </c>
      <c r="V1331" s="3" t="s">
        <v>4</v>
      </c>
    </row>
    <row r="1332" spans="1:23">
      <c r="A1332" s="3">
        <v>1201</v>
      </c>
      <c r="B1332" s="1">
        <f>IF(G1332="-",0,IF(G1331=G1332,1,0))</f>
        <v>0</v>
      </c>
      <c r="C1332" s="1">
        <f>+IF(G1332="-",0,IF(I1332=I1331+1,0,(IF(I1332=1,0,1))))</f>
        <v>1</v>
      </c>
      <c r="D1332" s="1">
        <f>+IF(AND(P1332="",Q1332=""),1,0)</f>
        <v>0</v>
      </c>
      <c r="E1332" s="1">
        <f t="shared" si="308"/>
        <v>0</v>
      </c>
      <c r="F1332" s="1">
        <f t="shared" si="308"/>
        <v>0</v>
      </c>
      <c r="G1332" s="1" t="str">
        <f>IF(H1332=0,"-",_xlfn.CONCAT(K1332,N1332,O1332,J1332))</f>
        <v>24071211</v>
      </c>
      <c r="H1332" s="2">
        <v>45485</v>
      </c>
      <c r="I1332" s="36">
        <v>11</v>
      </c>
      <c r="J1332" s="1">
        <f t="shared" si="299"/>
        <v>11</v>
      </c>
      <c r="K1332" s="3">
        <f t="shared" si="300"/>
        <v>24</v>
      </c>
      <c r="L1332" s="3">
        <f t="shared" si="301"/>
        <v>7</v>
      </c>
      <c r="M1332" s="3">
        <f t="shared" si="302"/>
        <v>12</v>
      </c>
      <c r="N1332" s="3" t="str">
        <f t="shared" si="303"/>
        <v>07</v>
      </c>
      <c r="O1332" s="14">
        <f t="shared" si="304"/>
        <v>12</v>
      </c>
      <c r="P1332" s="4">
        <v>10000</v>
      </c>
      <c r="R1332" s="6">
        <v>518</v>
      </c>
      <c r="S1332" s="5">
        <f t="shared" si="307"/>
        <v>19.305019305019304</v>
      </c>
      <c r="T1332" s="5" t="s">
        <v>1035</v>
      </c>
      <c r="U1332" s="3" t="s">
        <v>29</v>
      </c>
      <c r="V1332" s="3" t="s">
        <v>4</v>
      </c>
    </row>
    <row r="1333" spans="1:23">
      <c r="A1333" s="3">
        <v>1203</v>
      </c>
      <c r="B1333" s="1">
        <f>IF(G1333="-",0,IF(G1332=G1333,1,0))</f>
        <v>0</v>
      </c>
      <c r="C1333" s="1">
        <f>+IF(G1333="-",0,IF(I1333=I1332+1,0,(IF(I1333=1,0,1))))</f>
        <v>1</v>
      </c>
      <c r="D1333" s="1">
        <f>+IF(AND(P1333="",Q1333=""),1,0)</f>
        <v>0</v>
      </c>
      <c r="E1333" s="1">
        <f t="shared" si="308"/>
        <v>0</v>
      </c>
      <c r="F1333" s="1">
        <f t="shared" si="308"/>
        <v>0</v>
      </c>
      <c r="G1333" s="1" t="str">
        <f>IF(H1333=0,"-",_xlfn.CONCAT(K1333,N1333,O1333,J1333))</f>
        <v>24071213</v>
      </c>
      <c r="H1333" s="2">
        <v>45485</v>
      </c>
      <c r="I1333" s="36">
        <v>13</v>
      </c>
      <c r="J1333" s="1">
        <f t="shared" si="299"/>
        <v>13</v>
      </c>
      <c r="K1333" s="3">
        <f t="shared" si="300"/>
        <v>24</v>
      </c>
      <c r="L1333" s="3">
        <f t="shared" si="301"/>
        <v>7</v>
      </c>
      <c r="M1333" s="3">
        <f t="shared" si="302"/>
        <v>12</v>
      </c>
      <c r="N1333" s="3" t="str">
        <f t="shared" si="303"/>
        <v>07</v>
      </c>
      <c r="O1333" s="14">
        <f t="shared" si="304"/>
        <v>12</v>
      </c>
      <c r="P1333" s="4">
        <v>1000</v>
      </c>
      <c r="R1333" s="6">
        <v>518</v>
      </c>
      <c r="S1333" s="5">
        <f t="shared" si="307"/>
        <v>1.9305019305019304</v>
      </c>
      <c r="T1333" s="5" t="s">
        <v>823</v>
      </c>
      <c r="U1333" s="3" t="s">
        <v>29</v>
      </c>
      <c r="V1333" s="3" t="s">
        <v>4</v>
      </c>
    </row>
    <row r="1334" spans="1:23">
      <c r="A1334" s="3">
        <v>1204</v>
      </c>
      <c r="B1334" s="1">
        <f>IF(G1334="-",0,IF(G1333=G1334,1,0))</f>
        <v>0</v>
      </c>
      <c r="C1334" s="1">
        <f>+IF(G1334="-",0,IF(I1334=I1333+1,0,(IF(I1334=1,0,1))))</f>
        <v>0</v>
      </c>
      <c r="D1334" s="1">
        <f>+IF(AND(P1334="",Q1334=""),1,0)</f>
        <v>0</v>
      </c>
      <c r="E1334" s="1">
        <f t="shared" si="308"/>
        <v>0</v>
      </c>
      <c r="F1334" s="1">
        <f t="shared" si="308"/>
        <v>0</v>
      </c>
      <c r="G1334" s="1" t="str">
        <f>IF(H1334=0,"-",_xlfn.CONCAT(K1334,N1334,O1334,J1334))</f>
        <v>24071214</v>
      </c>
      <c r="H1334" s="2">
        <v>45485</v>
      </c>
      <c r="I1334" s="36">
        <v>14</v>
      </c>
      <c r="J1334" s="1">
        <f t="shared" si="299"/>
        <v>14</v>
      </c>
      <c r="K1334" s="3">
        <f t="shared" si="300"/>
        <v>24</v>
      </c>
      <c r="L1334" s="3">
        <f t="shared" si="301"/>
        <v>7</v>
      </c>
      <c r="M1334" s="3">
        <f t="shared" si="302"/>
        <v>12</v>
      </c>
      <c r="N1334" s="3" t="str">
        <f t="shared" si="303"/>
        <v>07</v>
      </c>
      <c r="O1334" s="14">
        <f t="shared" si="304"/>
        <v>12</v>
      </c>
      <c r="P1334" s="4">
        <v>7664</v>
      </c>
      <c r="R1334" s="6">
        <v>518</v>
      </c>
      <c r="S1334" s="5">
        <f t="shared" si="307"/>
        <v>14.795366795366796</v>
      </c>
      <c r="T1334" s="5" t="s">
        <v>823</v>
      </c>
      <c r="U1334" s="3" t="s">
        <v>29</v>
      </c>
      <c r="V1334" s="3" t="s">
        <v>4</v>
      </c>
    </row>
    <row r="1335" spans="1:23" hidden="1">
      <c r="J1335" s="1" t="str">
        <f t="shared" si="299"/>
        <v>0</v>
      </c>
      <c r="K1335" s="3">
        <f t="shared" si="300"/>
        <v>-100</v>
      </c>
      <c r="L1335" s="3">
        <f t="shared" si="301"/>
        <v>1</v>
      </c>
      <c r="M1335" s="3">
        <f t="shared" si="302"/>
        <v>0</v>
      </c>
      <c r="N1335" s="3" t="str">
        <f t="shared" si="303"/>
        <v>01</v>
      </c>
      <c r="O1335" s="14" t="str">
        <f t="shared" si="304"/>
        <v>00</v>
      </c>
      <c r="R1335" s="6">
        <v>522</v>
      </c>
      <c r="S1335" s="5">
        <f t="shared" si="307"/>
        <v>0</v>
      </c>
    </row>
    <row r="1336" spans="1:23" hidden="1">
      <c r="J1336" s="1" t="str">
        <f t="shared" si="299"/>
        <v>0</v>
      </c>
      <c r="K1336" s="3">
        <f t="shared" si="300"/>
        <v>-100</v>
      </c>
      <c r="L1336" s="3">
        <f t="shared" si="301"/>
        <v>1</v>
      </c>
      <c r="M1336" s="3">
        <f t="shared" si="302"/>
        <v>0</v>
      </c>
      <c r="N1336" s="3" t="str">
        <f t="shared" si="303"/>
        <v>01</v>
      </c>
      <c r="O1336" s="14" t="str">
        <f t="shared" si="304"/>
        <v>00</v>
      </c>
      <c r="R1336" s="6">
        <v>519</v>
      </c>
      <c r="S1336" s="5">
        <f t="shared" si="307"/>
        <v>0</v>
      </c>
    </row>
    <row r="1337" spans="1:23" hidden="1">
      <c r="J1337" s="1" t="str">
        <f t="shared" si="299"/>
        <v>0</v>
      </c>
      <c r="K1337" s="3">
        <f t="shared" si="300"/>
        <v>-100</v>
      </c>
      <c r="L1337" s="3">
        <f t="shared" si="301"/>
        <v>1</v>
      </c>
      <c r="M1337" s="3">
        <f t="shared" si="302"/>
        <v>0</v>
      </c>
      <c r="N1337" s="3" t="str">
        <f t="shared" si="303"/>
        <v>01</v>
      </c>
      <c r="O1337" s="14" t="str">
        <f t="shared" si="304"/>
        <v>00</v>
      </c>
      <c r="R1337" s="6">
        <v>519</v>
      </c>
      <c r="S1337" s="5">
        <f t="shared" si="307"/>
        <v>0</v>
      </c>
    </row>
    <row r="1338" spans="1:23" hidden="1">
      <c r="J1338" s="1" t="str">
        <f t="shared" si="299"/>
        <v>0</v>
      </c>
      <c r="K1338" s="3">
        <f t="shared" si="300"/>
        <v>-100</v>
      </c>
      <c r="L1338" s="3">
        <f t="shared" si="301"/>
        <v>1</v>
      </c>
      <c r="M1338" s="3">
        <f t="shared" si="302"/>
        <v>0</v>
      </c>
      <c r="N1338" s="3" t="str">
        <f t="shared" si="303"/>
        <v>01</v>
      </c>
      <c r="O1338" s="14" t="str">
        <f t="shared" si="304"/>
        <v>00</v>
      </c>
      <c r="R1338" s="6">
        <v>519</v>
      </c>
      <c r="S1338" s="5">
        <f t="shared" si="307"/>
        <v>0</v>
      </c>
    </row>
    <row r="1339" spans="1:23">
      <c r="A1339" s="3">
        <v>1205</v>
      </c>
      <c r="B1339" s="1">
        <f>IF(G1339="-",0,IF(G1338=G1339,1,0))</f>
        <v>0</v>
      </c>
      <c r="C1339" s="1">
        <f>+IF(G1339="-",0,IF(I1339=I1338+1,0,(IF(I1339=1,0,1))))</f>
        <v>0</v>
      </c>
      <c r="D1339" s="1">
        <f>+IF(AND(P1339="",Q1339=""),1,0)</f>
        <v>0</v>
      </c>
      <c r="E1339" s="1">
        <f>IF(U1339="",1,0)</f>
        <v>0</v>
      </c>
      <c r="F1339" s="1">
        <f>IF(V1339="",1,0)</f>
        <v>0</v>
      </c>
      <c r="G1339" s="1" t="str">
        <f>IF(H1339=0,"-",_xlfn.CONCAT(K1339,N1339,O1339,J1339))</f>
        <v>24071301</v>
      </c>
      <c r="H1339" s="2">
        <v>45486</v>
      </c>
      <c r="I1339" s="36">
        <v>1</v>
      </c>
      <c r="J1339" s="1" t="str">
        <f t="shared" si="299"/>
        <v>01</v>
      </c>
      <c r="K1339" s="3">
        <f t="shared" si="300"/>
        <v>24</v>
      </c>
      <c r="L1339" s="3">
        <f t="shared" si="301"/>
        <v>7</v>
      </c>
      <c r="M1339" s="3">
        <f t="shared" si="302"/>
        <v>13</v>
      </c>
      <c r="N1339" s="3" t="str">
        <f t="shared" si="303"/>
        <v>07</v>
      </c>
      <c r="O1339" s="14">
        <f t="shared" si="304"/>
        <v>13</v>
      </c>
      <c r="P1339" s="11">
        <v>150000</v>
      </c>
      <c r="R1339" s="6">
        <v>518</v>
      </c>
      <c r="S1339" s="5">
        <f t="shared" si="307"/>
        <v>289.57528957528956</v>
      </c>
      <c r="T1339" s="5" t="s">
        <v>452</v>
      </c>
      <c r="U1339" s="3" t="s">
        <v>1</v>
      </c>
      <c r="V1339" s="3" t="s">
        <v>4</v>
      </c>
      <c r="W1339" s="3" t="s">
        <v>467</v>
      </c>
    </row>
    <row r="1340" spans="1:23">
      <c r="A1340" s="3">
        <v>1206</v>
      </c>
      <c r="B1340" s="1">
        <f>IF(G1340="-",0,IF(G1339=G1340,1,0))</f>
        <v>0</v>
      </c>
      <c r="C1340" s="1">
        <f>+IF(G1340="-",0,IF(I1340=I1339+1,0,(IF(I1340=1,0,1))))</f>
        <v>0</v>
      </c>
      <c r="D1340" s="1">
        <f>+IF(AND(P1340="",Q1340=""),1,0)</f>
        <v>0</v>
      </c>
      <c r="E1340" s="1">
        <f>IF(U1340="",1,0)</f>
        <v>0</v>
      </c>
      <c r="F1340" s="1">
        <f>IF(V1340="",1,0)</f>
        <v>0</v>
      </c>
      <c r="G1340" s="1" t="str">
        <f>IF(H1340=0,"-",_xlfn.CONCAT(K1340,N1340,O1340,J1340))</f>
        <v>24071302</v>
      </c>
      <c r="H1340" s="2">
        <v>45486</v>
      </c>
      <c r="I1340" s="36">
        <v>2</v>
      </c>
      <c r="J1340" s="1" t="str">
        <f t="shared" si="299"/>
        <v>02</v>
      </c>
      <c r="K1340" s="3">
        <f t="shared" si="300"/>
        <v>24</v>
      </c>
      <c r="L1340" s="3">
        <f t="shared" si="301"/>
        <v>7</v>
      </c>
      <c r="M1340" s="3">
        <f t="shared" si="302"/>
        <v>13</v>
      </c>
      <c r="N1340" s="3" t="str">
        <f t="shared" si="303"/>
        <v>07</v>
      </c>
      <c r="O1340" s="14">
        <f t="shared" si="304"/>
        <v>13</v>
      </c>
      <c r="P1340" s="11">
        <v>120000</v>
      </c>
      <c r="R1340" s="6">
        <v>518</v>
      </c>
      <c r="S1340" s="5">
        <f t="shared" si="307"/>
        <v>231.66023166023166</v>
      </c>
      <c r="T1340" s="5" t="s">
        <v>453</v>
      </c>
      <c r="U1340" s="3" t="s">
        <v>1</v>
      </c>
      <c r="V1340" s="3" t="s">
        <v>4</v>
      </c>
    </row>
    <row r="1341" spans="1:23" hidden="1">
      <c r="J1341" s="1" t="str">
        <f t="shared" si="299"/>
        <v>0</v>
      </c>
      <c r="K1341" s="3">
        <f t="shared" si="300"/>
        <v>-100</v>
      </c>
      <c r="L1341" s="3">
        <f t="shared" si="301"/>
        <v>1</v>
      </c>
      <c r="M1341" s="3">
        <f t="shared" si="302"/>
        <v>0</v>
      </c>
      <c r="N1341" s="3" t="str">
        <f t="shared" si="303"/>
        <v>01</v>
      </c>
      <c r="O1341" s="14" t="str">
        <f t="shared" si="304"/>
        <v>00</v>
      </c>
      <c r="R1341" s="6">
        <v>519</v>
      </c>
      <c r="S1341" s="5">
        <f t="shared" si="307"/>
        <v>0</v>
      </c>
    </row>
    <row r="1342" spans="1:23" hidden="1">
      <c r="J1342" s="1" t="str">
        <f t="shared" si="299"/>
        <v>0</v>
      </c>
      <c r="K1342" s="3">
        <f t="shared" si="300"/>
        <v>-100</v>
      </c>
      <c r="L1342" s="3">
        <f t="shared" si="301"/>
        <v>1</v>
      </c>
      <c r="M1342" s="3">
        <f t="shared" si="302"/>
        <v>0</v>
      </c>
      <c r="N1342" s="3" t="str">
        <f t="shared" si="303"/>
        <v>01</v>
      </c>
      <c r="O1342" s="14" t="str">
        <f t="shared" si="304"/>
        <v>00</v>
      </c>
      <c r="R1342" s="6">
        <v>519</v>
      </c>
      <c r="S1342" s="5">
        <f t="shared" si="307"/>
        <v>0</v>
      </c>
    </row>
    <row r="1343" spans="1:23" hidden="1">
      <c r="J1343" s="1" t="str">
        <f t="shared" si="299"/>
        <v>0</v>
      </c>
      <c r="K1343" s="3">
        <f t="shared" si="300"/>
        <v>-100</v>
      </c>
      <c r="L1343" s="3">
        <f t="shared" si="301"/>
        <v>1</v>
      </c>
      <c r="M1343" s="3">
        <f t="shared" si="302"/>
        <v>0</v>
      </c>
      <c r="N1343" s="3" t="str">
        <f t="shared" si="303"/>
        <v>01</v>
      </c>
      <c r="O1343" s="14" t="str">
        <f t="shared" si="304"/>
        <v>00</v>
      </c>
      <c r="R1343" s="6">
        <v>519</v>
      </c>
      <c r="S1343" s="5">
        <f t="shared" si="307"/>
        <v>0</v>
      </c>
    </row>
    <row r="1344" spans="1:23">
      <c r="A1344" s="3">
        <v>1207</v>
      </c>
      <c r="B1344" s="1">
        <f>IF(G1344="-",0,IF(G1343=G1344,1,0))</f>
        <v>0</v>
      </c>
      <c r="C1344" s="1">
        <f>+IF(G1344="-",0,IF(I1344=I1343+1,0,(IF(I1344=1,0,1))))</f>
        <v>1</v>
      </c>
      <c r="D1344" s="1">
        <f>+IF(AND(P1344="",Q1344=""),1,0)</f>
        <v>0</v>
      </c>
      <c r="E1344" s="1">
        <f>IF(U1344="",1,0)</f>
        <v>0</v>
      </c>
      <c r="F1344" s="1">
        <f>IF(V1344="",1,0)</f>
        <v>0</v>
      </c>
      <c r="G1344" s="1" t="str">
        <f>IF(H1344=0,"-",_xlfn.CONCAT(K1344,N1344,O1344,J1344))</f>
        <v>24071303</v>
      </c>
      <c r="H1344" s="2">
        <v>45486</v>
      </c>
      <c r="I1344" s="36">
        <v>3</v>
      </c>
      <c r="J1344" s="1" t="str">
        <f t="shared" si="299"/>
        <v>03</v>
      </c>
      <c r="K1344" s="3">
        <f t="shared" si="300"/>
        <v>24</v>
      </c>
      <c r="L1344" s="3">
        <f t="shared" si="301"/>
        <v>7</v>
      </c>
      <c r="M1344" s="3">
        <f t="shared" si="302"/>
        <v>13</v>
      </c>
      <c r="N1344" s="3" t="str">
        <f t="shared" si="303"/>
        <v>07</v>
      </c>
      <c r="O1344" s="14">
        <f t="shared" si="304"/>
        <v>13</v>
      </c>
      <c r="P1344" s="11">
        <v>180000</v>
      </c>
      <c r="R1344" s="6">
        <v>518</v>
      </c>
      <c r="S1344" s="5">
        <f t="shared" si="307"/>
        <v>347.49034749034752</v>
      </c>
      <c r="T1344" s="5" t="s">
        <v>469</v>
      </c>
      <c r="U1344" s="3" t="s">
        <v>1</v>
      </c>
      <c r="V1344" s="3" t="s">
        <v>4</v>
      </c>
    </row>
    <row r="1345" spans="1:22" hidden="1">
      <c r="J1345" s="1" t="str">
        <f t="shared" si="299"/>
        <v>0</v>
      </c>
      <c r="K1345" s="3">
        <f t="shared" si="300"/>
        <v>-100</v>
      </c>
      <c r="L1345" s="3">
        <f t="shared" si="301"/>
        <v>1</v>
      </c>
      <c r="M1345" s="3">
        <f t="shared" si="302"/>
        <v>0</v>
      </c>
      <c r="N1345" s="3" t="str">
        <f t="shared" si="303"/>
        <v>01</v>
      </c>
      <c r="O1345" s="14" t="str">
        <f t="shared" si="304"/>
        <v>00</v>
      </c>
    </row>
    <row r="1346" spans="1:22" ht="15" customHeight="1">
      <c r="A1346" s="3">
        <v>1208</v>
      </c>
      <c r="B1346" s="1">
        <f>IF(G1346="-",0,IF(G1345=G1346,1,0))</f>
        <v>0</v>
      </c>
      <c r="C1346" s="1">
        <f>+IF(G1346="-",0,IF(I1346=I1345+1,0,(IF(I1346=1,0,1))))</f>
        <v>1</v>
      </c>
      <c r="D1346" s="1">
        <f>+IF(AND(P1346="",Q1346=""),1,0)</f>
        <v>0</v>
      </c>
      <c r="E1346" s="1">
        <f t="shared" ref="E1346:F1348" si="309">IF(U1346="",1,0)</f>
        <v>0</v>
      </c>
      <c r="F1346" s="1">
        <f t="shared" si="309"/>
        <v>0</v>
      </c>
      <c r="G1346" s="1" t="str">
        <f>IF(H1346=0,"-",_xlfn.CONCAT(K1346,N1346,O1346,J1346))</f>
        <v>24071304</v>
      </c>
      <c r="H1346" s="2">
        <v>45486</v>
      </c>
      <c r="I1346" s="36">
        <v>4</v>
      </c>
      <c r="J1346" s="1" t="str">
        <f t="shared" si="299"/>
        <v>04</v>
      </c>
      <c r="K1346" s="3">
        <f t="shared" si="300"/>
        <v>24</v>
      </c>
      <c r="L1346" s="3">
        <f t="shared" si="301"/>
        <v>7</v>
      </c>
      <c r="M1346" s="3">
        <f t="shared" si="302"/>
        <v>13</v>
      </c>
      <c r="N1346" s="3" t="str">
        <f t="shared" si="303"/>
        <v>07</v>
      </c>
      <c r="O1346" s="14">
        <f t="shared" si="304"/>
        <v>13</v>
      </c>
      <c r="P1346" s="11">
        <v>120000</v>
      </c>
      <c r="R1346" s="6">
        <v>518</v>
      </c>
      <c r="S1346" s="5">
        <f t="shared" ref="S1346:S1367" si="310">IFERROR(P1346/R1346,"")</f>
        <v>231.66023166023166</v>
      </c>
      <c r="T1346" s="5" t="s">
        <v>470</v>
      </c>
      <c r="U1346" s="3" t="s">
        <v>1</v>
      </c>
      <c r="V1346" s="3" t="s">
        <v>4</v>
      </c>
    </row>
    <row r="1347" spans="1:22">
      <c r="A1347" s="3">
        <v>1209</v>
      </c>
      <c r="B1347" s="1">
        <f>IF(G1347="-",0,IF(G1346=G1347,1,0))</f>
        <v>0</v>
      </c>
      <c r="C1347" s="1">
        <f>+IF(G1347="-",0,IF(I1347=I1346+1,0,(IF(I1347=1,0,1))))</f>
        <v>0</v>
      </c>
      <c r="D1347" s="1">
        <f>+IF(AND(P1347="",Q1347=""),1,0)</f>
        <v>0</v>
      </c>
      <c r="E1347" s="1">
        <f t="shared" si="309"/>
        <v>0</v>
      </c>
      <c r="F1347" s="1">
        <f t="shared" si="309"/>
        <v>0</v>
      </c>
      <c r="G1347" s="1" t="str">
        <f>IF(H1347=0,"-",_xlfn.CONCAT(K1347,N1347,O1347,J1347))</f>
        <v>24071305</v>
      </c>
      <c r="H1347" s="2">
        <v>45486</v>
      </c>
      <c r="I1347" s="36">
        <v>5</v>
      </c>
      <c r="J1347" s="1" t="str">
        <f t="shared" si="299"/>
        <v>05</v>
      </c>
      <c r="K1347" s="3">
        <f t="shared" si="300"/>
        <v>24</v>
      </c>
      <c r="L1347" s="3">
        <f t="shared" si="301"/>
        <v>7</v>
      </c>
      <c r="M1347" s="3">
        <f t="shared" si="302"/>
        <v>13</v>
      </c>
      <c r="N1347" s="3" t="str">
        <f t="shared" si="303"/>
        <v>07</v>
      </c>
      <c r="O1347" s="14">
        <f t="shared" si="304"/>
        <v>13</v>
      </c>
      <c r="P1347" s="11">
        <v>80000</v>
      </c>
      <c r="R1347" s="6">
        <v>518</v>
      </c>
      <c r="S1347" s="5">
        <f t="shared" si="310"/>
        <v>154.44015444015443</v>
      </c>
      <c r="T1347" s="5" t="s">
        <v>472</v>
      </c>
      <c r="U1347" s="3" t="s">
        <v>1</v>
      </c>
      <c r="V1347" s="3" t="s">
        <v>4</v>
      </c>
    </row>
    <row r="1348" spans="1:22">
      <c r="A1348" s="3">
        <v>1212</v>
      </c>
      <c r="B1348" s="1">
        <f>IF(G1348="-",0,IF(G1347=G1348,1,0))</f>
        <v>0</v>
      </c>
      <c r="C1348" s="1">
        <f>+IF(G1348="-",0,IF(I1348=I1347+1,0,(IF(I1348=1,0,1))))</f>
        <v>1</v>
      </c>
      <c r="D1348" s="1">
        <f>+IF(AND(P1348="",Q1348=""),1,0)</f>
        <v>0</v>
      </c>
      <c r="E1348" s="1">
        <f t="shared" si="309"/>
        <v>0</v>
      </c>
      <c r="F1348" s="1">
        <f t="shared" si="309"/>
        <v>0</v>
      </c>
      <c r="G1348" s="79" t="str">
        <f>IF(H1348=0,"-",_xlfn.CONCAT(K1348,N1348,O1348,J1348))</f>
        <v>24071308</v>
      </c>
      <c r="H1348" s="59">
        <v>45486</v>
      </c>
      <c r="I1348" s="36">
        <v>8</v>
      </c>
      <c r="J1348" s="1" t="str">
        <f t="shared" si="299"/>
        <v>08</v>
      </c>
      <c r="K1348" s="3">
        <f t="shared" si="300"/>
        <v>24</v>
      </c>
      <c r="L1348" s="3">
        <f t="shared" si="301"/>
        <v>7</v>
      </c>
      <c r="M1348" s="3">
        <f t="shared" si="302"/>
        <v>13</v>
      </c>
      <c r="N1348" s="3" t="str">
        <f t="shared" si="303"/>
        <v>07</v>
      </c>
      <c r="O1348" s="14">
        <f t="shared" si="304"/>
        <v>13</v>
      </c>
      <c r="P1348" s="11">
        <v>102000</v>
      </c>
      <c r="Q1348" s="61"/>
      <c r="R1348" s="6">
        <v>518</v>
      </c>
      <c r="S1348" s="5">
        <f t="shared" si="310"/>
        <v>196.91119691119692</v>
      </c>
      <c r="T1348" s="61" t="s">
        <v>455</v>
      </c>
      <c r="U1348" s="3" t="s">
        <v>1</v>
      </c>
      <c r="V1348" s="3" t="s">
        <v>4</v>
      </c>
    </row>
    <row r="1349" spans="1:22" hidden="1">
      <c r="J1349" s="1" t="str">
        <f t="shared" si="299"/>
        <v>0</v>
      </c>
      <c r="K1349" s="3">
        <f t="shared" si="300"/>
        <v>-100</v>
      </c>
      <c r="L1349" s="3">
        <f t="shared" si="301"/>
        <v>1</v>
      </c>
      <c r="M1349" s="3">
        <f t="shared" si="302"/>
        <v>0</v>
      </c>
      <c r="N1349" s="3" t="str">
        <f t="shared" si="303"/>
        <v>01</v>
      </c>
      <c r="O1349" s="14" t="str">
        <f t="shared" si="304"/>
        <v>00</v>
      </c>
      <c r="R1349" s="6">
        <v>518</v>
      </c>
      <c r="S1349" s="5">
        <f t="shared" si="310"/>
        <v>0</v>
      </c>
    </row>
    <row r="1350" spans="1:22" hidden="1">
      <c r="J1350" s="1" t="str">
        <f t="shared" si="299"/>
        <v>0</v>
      </c>
      <c r="K1350" s="3">
        <f t="shared" si="300"/>
        <v>-100</v>
      </c>
      <c r="L1350" s="3">
        <f t="shared" si="301"/>
        <v>1</v>
      </c>
      <c r="M1350" s="3">
        <f t="shared" si="302"/>
        <v>0</v>
      </c>
      <c r="N1350" s="3" t="str">
        <f t="shared" si="303"/>
        <v>01</v>
      </c>
      <c r="O1350" s="14" t="str">
        <f t="shared" si="304"/>
        <v>00</v>
      </c>
      <c r="R1350" s="6">
        <v>518</v>
      </c>
      <c r="S1350" s="5">
        <f t="shared" si="310"/>
        <v>0</v>
      </c>
    </row>
    <row r="1351" spans="1:22" hidden="1">
      <c r="J1351" s="1" t="str">
        <f t="shared" si="299"/>
        <v>0</v>
      </c>
      <c r="K1351" s="3">
        <f t="shared" si="300"/>
        <v>-100</v>
      </c>
      <c r="L1351" s="3">
        <f t="shared" si="301"/>
        <v>1</v>
      </c>
      <c r="M1351" s="3">
        <f t="shared" si="302"/>
        <v>0</v>
      </c>
      <c r="N1351" s="3" t="str">
        <f t="shared" si="303"/>
        <v>01</v>
      </c>
      <c r="O1351" s="14" t="str">
        <f t="shared" si="304"/>
        <v>00</v>
      </c>
      <c r="R1351" s="6">
        <v>518</v>
      </c>
      <c r="S1351" s="5">
        <f t="shared" si="310"/>
        <v>0</v>
      </c>
    </row>
    <row r="1352" spans="1:22" hidden="1">
      <c r="J1352" s="1" t="str">
        <f t="shared" si="299"/>
        <v>0</v>
      </c>
      <c r="K1352" s="3">
        <f t="shared" si="300"/>
        <v>-100</v>
      </c>
      <c r="L1352" s="3">
        <f t="shared" si="301"/>
        <v>1</v>
      </c>
      <c r="M1352" s="3">
        <f t="shared" si="302"/>
        <v>0</v>
      </c>
      <c r="N1352" s="3" t="str">
        <f t="shared" si="303"/>
        <v>01</v>
      </c>
      <c r="O1352" s="14" t="str">
        <f t="shared" si="304"/>
        <v>00</v>
      </c>
      <c r="R1352" s="6">
        <v>518</v>
      </c>
      <c r="S1352" s="5">
        <f t="shared" si="310"/>
        <v>0</v>
      </c>
    </row>
    <row r="1353" spans="1:22" hidden="1">
      <c r="J1353" s="1" t="str">
        <f t="shared" si="299"/>
        <v>0</v>
      </c>
      <c r="K1353" s="3">
        <f t="shared" si="300"/>
        <v>-100</v>
      </c>
      <c r="L1353" s="3">
        <f t="shared" si="301"/>
        <v>1</v>
      </c>
      <c r="M1353" s="3">
        <f t="shared" si="302"/>
        <v>0</v>
      </c>
      <c r="N1353" s="3" t="str">
        <f t="shared" si="303"/>
        <v>01</v>
      </c>
      <c r="O1353" s="14" t="str">
        <f t="shared" si="304"/>
        <v>00</v>
      </c>
      <c r="R1353" s="6">
        <v>518</v>
      </c>
      <c r="S1353" s="5">
        <f t="shared" si="310"/>
        <v>0</v>
      </c>
    </row>
    <row r="1354" spans="1:22">
      <c r="A1354" s="3">
        <v>1214</v>
      </c>
      <c r="B1354" s="1">
        <f>IF(G1354="-",0,IF(G1353=G1354,1,0))</f>
        <v>0</v>
      </c>
      <c r="C1354" s="1">
        <f>+IF(G1354="-",0,IF(I1354=I1353+1,0,(IF(I1354=1,0,1))))</f>
        <v>1</v>
      </c>
      <c r="D1354" s="1">
        <f>+IF(AND(P1354="",Q1354=""),1,0)</f>
        <v>0</v>
      </c>
      <c r="E1354" s="1">
        <f>IF(U1354="",1,0)</f>
        <v>0</v>
      </c>
      <c r="F1354" s="1">
        <f>IF(V1354="",1,0)</f>
        <v>0</v>
      </c>
      <c r="G1354" s="79" t="str">
        <f>IF(H1354=0,"-",_xlfn.CONCAT(K1354,N1354,O1354,J1354))</f>
        <v>24071310</v>
      </c>
      <c r="H1354" s="59">
        <v>45486</v>
      </c>
      <c r="I1354" s="36">
        <v>10</v>
      </c>
      <c r="J1354" s="1">
        <f t="shared" si="299"/>
        <v>10</v>
      </c>
      <c r="K1354" s="3">
        <f t="shared" si="300"/>
        <v>24</v>
      </c>
      <c r="L1354" s="3">
        <f t="shared" si="301"/>
        <v>7</v>
      </c>
      <c r="M1354" s="3">
        <f t="shared" si="302"/>
        <v>13</v>
      </c>
      <c r="N1354" s="3" t="str">
        <f t="shared" si="303"/>
        <v>07</v>
      </c>
      <c r="O1354" s="14">
        <f t="shared" si="304"/>
        <v>13</v>
      </c>
      <c r="P1354" s="11">
        <v>200000</v>
      </c>
      <c r="Q1354" s="61"/>
      <c r="R1354" s="6">
        <v>518</v>
      </c>
      <c r="S1354" s="5">
        <f t="shared" si="310"/>
        <v>386.10038610038612</v>
      </c>
      <c r="T1354" s="61" t="s">
        <v>466</v>
      </c>
      <c r="U1354" s="3" t="s">
        <v>1</v>
      </c>
      <c r="V1354" s="3" t="s">
        <v>4</v>
      </c>
    </row>
    <row r="1355" spans="1:22" hidden="1">
      <c r="J1355" s="1" t="str">
        <f t="shared" si="299"/>
        <v>0</v>
      </c>
      <c r="K1355" s="3">
        <f t="shared" si="300"/>
        <v>-100</v>
      </c>
      <c r="L1355" s="3">
        <f t="shared" si="301"/>
        <v>1</v>
      </c>
      <c r="M1355" s="3">
        <f t="shared" si="302"/>
        <v>0</v>
      </c>
      <c r="N1355" s="3" t="str">
        <f t="shared" si="303"/>
        <v>01</v>
      </c>
      <c r="O1355" s="14" t="str">
        <f t="shared" si="304"/>
        <v>00</v>
      </c>
      <c r="R1355" s="6">
        <v>518</v>
      </c>
      <c r="S1355" s="5">
        <f t="shared" si="310"/>
        <v>0</v>
      </c>
    </row>
    <row r="1356" spans="1:22" hidden="1">
      <c r="J1356" s="1" t="str">
        <f t="shared" si="299"/>
        <v>0</v>
      </c>
      <c r="K1356" s="3">
        <f t="shared" si="300"/>
        <v>-100</v>
      </c>
      <c r="L1356" s="3">
        <f t="shared" si="301"/>
        <v>1</v>
      </c>
      <c r="M1356" s="3">
        <f t="shared" si="302"/>
        <v>0</v>
      </c>
      <c r="N1356" s="3" t="str">
        <f t="shared" si="303"/>
        <v>01</v>
      </c>
      <c r="O1356" s="14" t="str">
        <f t="shared" si="304"/>
        <v>00</v>
      </c>
      <c r="R1356" s="6">
        <v>518</v>
      </c>
      <c r="S1356" s="5">
        <f t="shared" si="310"/>
        <v>0</v>
      </c>
    </row>
    <row r="1357" spans="1:22" hidden="1">
      <c r="J1357" s="1" t="str">
        <f t="shared" ref="J1357:J1420" si="311">+IF(I1357&lt;10,_xlfn.CONCAT("0",I1357),I1357)</f>
        <v>0</v>
      </c>
      <c r="K1357" s="3">
        <f t="shared" ref="K1357:K1420" si="312">+YEAR(H1357)-2000</f>
        <v>-100</v>
      </c>
      <c r="L1357" s="3">
        <f t="shared" ref="L1357:L1420" si="313">+MONTH(H1357)</f>
        <v>1</v>
      </c>
      <c r="M1357" s="3">
        <f t="shared" ref="M1357:M1420" si="314">+DAY(H1357)</f>
        <v>0</v>
      </c>
      <c r="N1357" s="3" t="str">
        <f t="shared" ref="N1357:N1420" si="315">+IF(L1357&lt;10,_xlfn.CONCAT("0",L1357),L1357)</f>
        <v>01</v>
      </c>
      <c r="O1357" s="14" t="str">
        <f t="shared" ref="O1357:O1420" si="316">+IF(M1357&lt;10,_xlfn.CONCAT("0",M1357),M1357)</f>
        <v>00</v>
      </c>
      <c r="R1357" s="6">
        <v>518</v>
      </c>
      <c r="S1357" s="5">
        <f t="shared" si="310"/>
        <v>0</v>
      </c>
    </row>
    <row r="1358" spans="1:22">
      <c r="A1358" s="3">
        <v>1216</v>
      </c>
      <c r="B1358" s="1">
        <f>IF(G1358="-",0,IF(G1357=G1358,1,0))</f>
        <v>0</v>
      </c>
      <c r="C1358" s="1">
        <f>+IF(G1358="-",0,IF(I1358=I1357+1,0,(IF(I1358=1,0,1))))</f>
        <v>1</v>
      </c>
      <c r="D1358" s="1">
        <f>+IF(AND(P1358="",Q1358=""),1,0)</f>
        <v>0</v>
      </c>
      <c r="E1358" s="1">
        <f t="shared" ref="E1358:F1362" si="317">IF(U1358="",1,0)</f>
        <v>0</v>
      </c>
      <c r="F1358" s="1">
        <f t="shared" si="317"/>
        <v>0</v>
      </c>
      <c r="G1358" s="80" t="str">
        <f>IF(H1358=0,"-",_xlfn.CONCAT(K1358,N1358,O1358,J1358))</f>
        <v>24071312</v>
      </c>
      <c r="H1358" s="81">
        <v>45486</v>
      </c>
      <c r="I1358" s="36">
        <v>12</v>
      </c>
      <c r="J1358" s="1">
        <f t="shared" si="311"/>
        <v>12</v>
      </c>
      <c r="K1358" s="3">
        <f t="shared" si="312"/>
        <v>24</v>
      </c>
      <c r="L1358" s="3">
        <f t="shared" si="313"/>
        <v>7</v>
      </c>
      <c r="M1358" s="3">
        <f t="shared" si="314"/>
        <v>13</v>
      </c>
      <c r="N1358" s="3" t="str">
        <f t="shared" si="315"/>
        <v>07</v>
      </c>
      <c r="O1358" s="14">
        <f t="shared" si="316"/>
        <v>13</v>
      </c>
      <c r="P1358" s="11">
        <v>102000</v>
      </c>
      <c r="Q1358" s="77"/>
      <c r="R1358" s="6">
        <v>518</v>
      </c>
      <c r="S1358" s="5">
        <f t="shared" si="310"/>
        <v>196.91119691119692</v>
      </c>
      <c r="T1358" s="77" t="s">
        <v>457</v>
      </c>
      <c r="U1358" s="3" t="s">
        <v>1</v>
      </c>
      <c r="V1358" s="3" t="s">
        <v>4</v>
      </c>
    </row>
    <row r="1359" spans="1:22" ht="15.75" customHeight="1">
      <c r="A1359" s="3">
        <v>1217</v>
      </c>
      <c r="B1359" s="1">
        <f>IF(G1359="-",0,IF(G1358=G1359,1,0))</f>
        <v>0</v>
      </c>
      <c r="C1359" s="1">
        <f>+IF(G1359="-",0,IF(I1359=I1358+1,0,(IF(I1359=1,0,1))))</f>
        <v>0</v>
      </c>
      <c r="D1359" s="1">
        <f>+IF(AND(P1359="",Q1359=""),1,0)</f>
        <v>0</v>
      </c>
      <c r="E1359" s="1">
        <f t="shared" si="317"/>
        <v>0</v>
      </c>
      <c r="F1359" s="1">
        <f t="shared" si="317"/>
        <v>0</v>
      </c>
      <c r="G1359" s="80" t="str">
        <f>IF(H1359=0,"-",_xlfn.CONCAT(K1359,N1359,O1359,J1359))</f>
        <v>24071313</v>
      </c>
      <c r="H1359" s="81">
        <v>45486</v>
      </c>
      <c r="I1359" s="36">
        <v>13</v>
      </c>
      <c r="J1359" s="1">
        <f t="shared" si="311"/>
        <v>13</v>
      </c>
      <c r="K1359" s="3">
        <f t="shared" si="312"/>
        <v>24</v>
      </c>
      <c r="L1359" s="3">
        <f t="shared" si="313"/>
        <v>7</v>
      </c>
      <c r="M1359" s="3">
        <f t="shared" si="314"/>
        <v>13</v>
      </c>
      <c r="N1359" s="3" t="str">
        <f t="shared" si="315"/>
        <v>07</v>
      </c>
      <c r="O1359" s="14">
        <f t="shared" si="316"/>
        <v>13</v>
      </c>
      <c r="P1359" s="11">
        <v>102000</v>
      </c>
      <c r="Q1359" s="77"/>
      <c r="R1359" s="6">
        <v>518</v>
      </c>
      <c r="S1359" s="5">
        <f t="shared" si="310"/>
        <v>196.91119691119692</v>
      </c>
      <c r="T1359" s="77" t="s">
        <v>456</v>
      </c>
      <c r="U1359" s="3" t="s">
        <v>1</v>
      </c>
      <c r="V1359" s="3" t="s">
        <v>4</v>
      </c>
    </row>
    <row r="1360" spans="1:22">
      <c r="A1360" s="3">
        <v>1219</v>
      </c>
      <c r="B1360" s="1">
        <f>IF(G1360="-",0,IF(G1359=G1360,1,0))</f>
        <v>0</v>
      </c>
      <c r="C1360" s="1">
        <f>+IF(G1360="-",0,IF(I1360=I1359+1,0,(IF(I1360=1,0,1))))</f>
        <v>1</v>
      </c>
      <c r="D1360" s="1">
        <f>+IF(AND(P1360="",Q1360=""),1,0)</f>
        <v>0</v>
      </c>
      <c r="E1360" s="1">
        <f t="shared" si="317"/>
        <v>0</v>
      </c>
      <c r="F1360" s="1">
        <f t="shared" si="317"/>
        <v>0</v>
      </c>
      <c r="G1360" s="82" t="str">
        <f>IF(H1360=0,"-",_xlfn.CONCAT(K1360,N1360,O1360,J1360))</f>
        <v>24071315</v>
      </c>
      <c r="H1360" s="83">
        <v>45486</v>
      </c>
      <c r="I1360" s="36">
        <v>15</v>
      </c>
      <c r="J1360" s="1">
        <f t="shared" si="311"/>
        <v>15</v>
      </c>
      <c r="K1360" s="3">
        <f t="shared" si="312"/>
        <v>24</v>
      </c>
      <c r="L1360" s="3">
        <f t="shared" si="313"/>
        <v>7</v>
      </c>
      <c r="M1360" s="3">
        <f t="shared" si="314"/>
        <v>13</v>
      </c>
      <c r="N1360" s="3" t="str">
        <f t="shared" si="315"/>
        <v>07</v>
      </c>
      <c r="O1360" s="14">
        <f t="shared" si="316"/>
        <v>13</v>
      </c>
      <c r="P1360" s="11">
        <v>130000</v>
      </c>
      <c r="Q1360" s="84"/>
      <c r="R1360" s="6">
        <v>518</v>
      </c>
      <c r="S1360" s="5">
        <f t="shared" si="310"/>
        <v>250.96525096525096</v>
      </c>
      <c r="T1360" s="84" t="s">
        <v>454</v>
      </c>
      <c r="U1360" s="3" t="s">
        <v>1</v>
      </c>
      <c r="V1360" s="3" t="s">
        <v>4</v>
      </c>
    </row>
    <row r="1361" spans="1:22">
      <c r="A1361" s="3">
        <v>1220</v>
      </c>
      <c r="B1361" s="1">
        <f>IF(G1361="-",0,IF(G1360=G1361,1,0))</f>
        <v>0</v>
      </c>
      <c r="C1361" s="1">
        <f>+IF(G1361="-",0,IF(I1361=I1360+1,0,(IF(I1361=1,0,1))))</f>
        <v>0</v>
      </c>
      <c r="D1361" s="1">
        <f>+IF(AND(P1361="",Q1361=""),1,0)</f>
        <v>0</v>
      </c>
      <c r="E1361" s="1">
        <f t="shared" si="317"/>
        <v>0</v>
      </c>
      <c r="F1361" s="1">
        <f t="shared" si="317"/>
        <v>0</v>
      </c>
      <c r="G1361" s="82" t="str">
        <f>IF(H1361=0,"-",_xlfn.CONCAT(K1361,N1361,O1361,J1361))</f>
        <v>24071316</v>
      </c>
      <c r="H1361" s="83">
        <v>45486</v>
      </c>
      <c r="I1361" s="36">
        <v>16</v>
      </c>
      <c r="J1361" s="1">
        <f t="shared" si="311"/>
        <v>16</v>
      </c>
      <c r="K1361" s="3">
        <f t="shared" si="312"/>
        <v>24</v>
      </c>
      <c r="L1361" s="3">
        <f t="shared" si="313"/>
        <v>7</v>
      </c>
      <c r="M1361" s="3">
        <f t="shared" si="314"/>
        <v>13</v>
      </c>
      <c r="N1361" s="3" t="str">
        <f t="shared" si="315"/>
        <v>07</v>
      </c>
      <c r="O1361" s="14">
        <f t="shared" si="316"/>
        <v>13</v>
      </c>
      <c r="P1361" s="11">
        <v>110000</v>
      </c>
      <c r="Q1361" s="84"/>
      <c r="R1361" s="6">
        <v>518</v>
      </c>
      <c r="S1361" s="5">
        <f t="shared" si="310"/>
        <v>212.35521235521236</v>
      </c>
      <c r="T1361" s="84" t="s">
        <v>461</v>
      </c>
      <c r="U1361" s="3" t="s">
        <v>1</v>
      </c>
      <c r="V1361" s="3" t="s">
        <v>4</v>
      </c>
    </row>
    <row r="1362" spans="1:22">
      <c r="A1362" s="3">
        <v>1223</v>
      </c>
      <c r="B1362" s="1">
        <f>IF(G1362="-",0,IF(G1361=G1362,1,0))</f>
        <v>0</v>
      </c>
      <c r="C1362" s="1">
        <f>+IF(G1362="-",0,IF(I1362=I1361+1,0,(IF(I1362=1,0,1))))</f>
        <v>1</v>
      </c>
      <c r="D1362" s="1">
        <f>+IF(AND(P1362="",Q1362=""),1,0)</f>
        <v>0</v>
      </c>
      <c r="E1362" s="1">
        <f t="shared" si="317"/>
        <v>0</v>
      </c>
      <c r="F1362" s="1">
        <f t="shared" si="317"/>
        <v>0</v>
      </c>
      <c r="G1362" s="1" t="str">
        <f>IF(H1362=0,"-",_xlfn.CONCAT(K1362,N1362,O1362,J1362))</f>
        <v>24071319</v>
      </c>
      <c r="H1362" s="2">
        <v>45486</v>
      </c>
      <c r="I1362" s="36">
        <v>19</v>
      </c>
      <c r="J1362" s="1">
        <f t="shared" si="311"/>
        <v>19</v>
      </c>
      <c r="K1362" s="3">
        <f t="shared" si="312"/>
        <v>24</v>
      </c>
      <c r="L1362" s="3">
        <f t="shared" si="313"/>
        <v>7</v>
      </c>
      <c r="M1362" s="3">
        <f t="shared" si="314"/>
        <v>13</v>
      </c>
      <c r="N1362" s="3" t="str">
        <f t="shared" si="315"/>
        <v>07</v>
      </c>
      <c r="O1362" s="14">
        <f t="shared" si="316"/>
        <v>13</v>
      </c>
      <c r="P1362" s="11">
        <f>25000+30000+30000+30000+25000</f>
        <v>140000</v>
      </c>
      <c r="R1362" s="6">
        <v>518</v>
      </c>
      <c r="S1362" s="5">
        <f t="shared" si="310"/>
        <v>270.27027027027026</v>
      </c>
      <c r="T1362" s="5" t="s">
        <v>468</v>
      </c>
      <c r="U1362" s="3" t="s">
        <v>1</v>
      </c>
      <c r="V1362" s="3" t="s">
        <v>4</v>
      </c>
    </row>
    <row r="1363" spans="1:22" hidden="1">
      <c r="J1363" s="1" t="str">
        <f t="shared" si="311"/>
        <v>0</v>
      </c>
      <c r="K1363" s="3">
        <f t="shared" si="312"/>
        <v>-100</v>
      </c>
      <c r="L1363" s="3">
        <f t="shared" si="313"/>
        <v>1</v>
      </c>
      <c r="M1363" s="3">
        <f t="shared" si="314"/>
        <v>0</v>
      </c>
      <c r="N1363" s="3" t="str">
        <f t="shared" si="315"/>
        <v>01</v>
      </c>
      <c r="O1363" s="14" t="str">
        <f t="shared" si="316"/>
        <v>00</v>
      </c>
      <c r="R1363" s="6">
        <v>518</v>
      </c>
      <c r="S1363" s="5">
        <f t="shared" si="310"/>
        <v>0</v>
      </c>
    </row>
    <row r="1364" spans="1:22" hidden="1">
      <c r="J1364" s="1" t="str">
        <f t="shared" si="311"/>
        <v>0</v>
      </c>
      <c r="K1364" s="3">
        <f t="shared" si="312"/>
        <v>-100</v>
      </c>
      <c r="L1364" s="3">
        <f t="shared" si="313"/>
        <v>1</v>
      </c>
      <c r="M1364" s="3">
        <f t="shared" si="314"/>
        <v>0</v>
      </c>
      <c r="N1364" s="3" t="str">
        <f t="shared" si="315"/>
        <v>01</v>
      </c>
      <c r="O1364" s="14" t="str">
        <f t="shared" si="316"/>
        <v>00</v>
      </c>
      <c r="R1364" s="6">
        <v>518</v>
      </c>
      <c r="S1364" s="5">
        <f t="shared" si="310"/>
        <v>0</v>
      </c>
    </row>
    <row r="1365" spans="1:22" hidden="1">
      <c r="J1365" s="1" t="str">
        <f t="shared" si="311"/>
        <v>0</v>
      </c>
      <c r="K1365" s="3">
        <f t="shared" si="312"/>
        <v>-100</v>
      </c>
      <c r="L1365" s="3">
        <f t="shared" si="313"/>
        <v>1</v>
      </c>
      <c r="M1365" s="3">
        <f t="shared" si="314"/>
        <v>0</v>
      </c>
      <c r="N1365" s="3" t="str">
        <f t="shared" si="315"/>
        <v>01</v>
      </c>
      <c r="O1365" s="14" t="str">
        <f t="shared" si="316"/>
        <v>00</v>
      </c>
      <c r="R1365" s="6">
        <v>518</v>
      </c>
      <c r="S1365" s="5">
        <f t="shared" si="310"/>
        <v>0</v>
      </c>
    </row>
    <row r="1366" spans="1:22" hidden="1">
      <c r="J1366" s="1" t="str">
        <f t="shared" si="311"/>
        <v>0</v>
      </c>
      <c r="K1366" s="3">
        <f t="shared" si="312"/>
        <v>-100</v>
      </c>
      <c r="L1366" s="3">
        <f t="shared" si="313"/>
        <v>1</v>
      </c>
      <c r="M1366" s="3">
        <f t="shared" si="314"/>
        <v>0</v>
      </c>
      <c r="N1366" s="3" t="str">
        <f t="shared" si="315"/>
        <v>01</v>
      </c>
      <c r="O1366" s="14" t="str">
        <f t="shared" si="316"/>
        <v>00</v>
      </c>
      <c r="R1366" s="6">
        <v>518</v>
      </c>
      <c r="S1366" s="5">
        <f t="shared" si="310"/>
        <v>0</v>
      </c>
    </row>
    <row r="1367" spans="1:22" hidden="1">
      <c r="J1367" s="1" t="str">
        <f t="shared" si="311"/>
        <v>0</v>
      </c>
      <c r="K1367" s="3">
        <f t="shared" si="312"/>
        <v>-100</v>
      </c>
      <c r="L1367" s="3">
        <f t="shared" si="313"/>
        <v>1</v>
      </c>
      <c r="M1367" s="3">
        <f t="shared" si="314"/>
        <v>0</v>
      </c>
      <c r="N1367" s="3" t="str">
        <f t="shared" si="315"/>
        <v>01</v>
      </c>
      <c r="O1367" s="14" t="str">
        <f t="shared" si="316"/>
        <v>00</v>
      </c>
      <c r="R1367" s="6">
        <v>518</v>
      </c>
      <c r="S1367" s="5">
        <f t="shared" si="310"/>
        <v>0</v>
      </c>
    </row>
    <row r="1368" spans="1:22">
      <c r="A1368" s="3">
        <v>1226</v>
      </c>
      <c r="B1368" s="1">
        <f>IF(G1368="-",0,IF(G1367=G1368,1,0))</f>
        <v>0</v>
      </c>
      <c r="C1368" s="1">
        <f>+IF(G1368="-",0,IF(I1368=I1367+1,0,(IF(I1368=1,0,1))))</f>
        <v>1</v>
      </c>
      <c r="D1368" s="1">
        <f>+IF(AND(P1368="",Q1368=""),1,0)</f>
        <v>0</v>
      </c>
      <c r="E1368" s="1">
        <f>IF(U1368="",1,0)</f>
        <v>0</v>
      </c>
      <c r="F1368" s="1">
        <f>IF(V1368="",1,0)</f>
        <v>0</v>
      </c>
      <c r="G1368" s="1" t="str">
        <f>IF(H1368=0,"-",_xlfn.CONCAT(K1368,N1368,O1368,J1368))</f>
        <v>24071322</v>
      </c>
      <c r="H1368" s="2">
        <v>45486</v>
      </c>
      <c r="I1368" s="36">
        <v>22</v>
      </c>
      <c r="J1368" s="1">
        <f t="shared" si="311"/>
        <v>22</v>
      </c>
      <c r="K1368" s="3">
        <f t="shared" si="312"/>
        <v>24</v>
      </c>
      <c r="L1368" s="3">
        <f t="shared" si="313"/>
        <v>7</v>
      </c>
      <c r="M1368" s="3">
        <f t="shared" si="314"/>
        <v>13</v>
      </c>
      <c r="N1368" s="3" t="str">
        <f t="shared" si="315"/>
        <v>07</v>
      </c>
      <c r="O1368" s="14">
        <f t="shared" si="316"/>
        <v>13</v>
      </c>
      <c r="P1368" s="4">
        <v>15949.95</v>
      </c>
      <c r="R1368" s="6">
        <v>518</v>
      </c>
      <c r="S1368" s="5">
        <v>30.79</v>
      </c>
      <c r="T1368" s="5" t="s">
        <v>473</v>
      </c>
      <c r="U1368" s="3" t="s">
        <v>2</v>
      </c>
      <c r="V1368" s="3" t="s">
        <v>4</v>
      </c>
    </row>
    <row r="1369" spans="1:22" hidden="1">
      <c r="J1369" s="1" t="str">
        <f t="shared" si="311"/>
        <v>0</v>
      </c>
      <c r="K1369" s="3">
        <f t="shared" si="312"/>
        <v>-100</v>
      </c>
      <c r="L1369" s="3">
        <f t="shared" si="313"/>
        <v>1</v>
      </c>
      <c r="M1369" s="3">
        <f t="shared" si="314"/>
        <v>0</v>
      </c>
      <c r="N1369" s="3" t="str">
        <f t="shared" si="315"/>
        <v>01</v>
      </c>
      <c r="O1369" s="14" t="str">
        <f t="shared" si="316"/>
        <v>00</v>
      </c>
      <c r="R1369" s="6">
        <v>518</v>
      </c>
      <c r="S1369" s="5">
        <f>IFERROR(P1369/R1369,"")</f>
        <v>0</v>
      </c>
    </row>
    <row r="1370" spans="1:22" hidden="1">
      <c r="J1370" s="1" t="str">
        <f t="shared" si="311"/>
        <v>0</v>
      </c>
      <c r="K1370" s="3">
        <f t="shared" si="312"/>
        <v>-100</v>
      </c>
      <c r="L1370" s="3">
        <f t="shared" si="313"/>
        <v>1</v>
      </c>
      <c r="M1370" s="3">
        <f t="shared" si="314"/>
        <v>0</v>
      </c>
      <c r="N1370" s="3" t="str">
        <f t="shared" si="315"/>
        <v>01</v>
      </c>
      <c r="O1370" s="14" t="str">
        <f t="shared" si="316"/>
        <v>00</v>
      </c>
      <c r="R1370" s="6">
        <v>518</v>
      </c>
      <c r="S1370" s="5">
        <f>IFERROR(P1370/R1370,"")</f>
        <v>0</v>
      </c>
    </row>
    <row r="1371" spans="1:22">
      <c r="A1371" s="3">
        <v>1227</v>
      </c>
      <c r="B1371" s="1">
        <f>IF(G1371="-",0,IF(G1370=G1371,1,0))</f>
        <v>0</v>
      </c>
      <c r="C1371" s="1">
        <f>+IF(G1371="-",0,IF(I1371=I1370+1,0,(IF(I1371=1,0,1))))</f>
        <v>1</v>
      </c>
      <c r="D1371" s="1">
        <f>+IF(AND(P1371="",Q1371=""),1,0)</f>
        <v>0</v>
      </c>
      <c r="E1371" s="1">
        <f>IF(U1371="",1,0)</f>
        <v>0</v>
      </c>
      <c r="F1371" s="1">
        <f>IF(V1371="",1,0)</f>
        <v>0</v>
      </c>
      <c r="G1371" s="1" t="str">
        <f>IF(H1371=0,"-",_xlfn.CONCAT(K1371,N1371,O1371,J1371))</f>
        <v>24071323</v>
      </c>
      <c r="H1371" s="2">
        <v>45486</v>
      </c>
      <c r="I1371" s="36">
        <v>23</v>
      </c>
      <c r="J1371" s="1">
        <f t="shared" si="311"/>
        <v>23</v>
      </c>
      <c r="K1371" s="3">
        <f t="shared" si="312"/>
        <v>24</v>
      </c>
      <c r="L1371" s="3">
        <f t="shared" si="313"/>
        <v>7</v>
      </c>
      <c r="M1371" s="3">
        <f t="shared" si="314"/>
        <v>13</v>
      </c>
      <c r="N1371" s="3" t="str">
        <f t="shared" si="315"/>
        <v>07</v>
      </c>
      <c r="O1371" s="14">
        <f t="shared" si="316"/>
        <v>13</v>
      </c>
      <c r="P1371" s="4">
        <v>113144.08</v>
      </c>
      <c r="R1371" s="6">
        <v>518</v>
      </c>
      <c r="S1371" s="5">
        <v>30.79</v>
      </c>
      <c r="T1371" s="5" t="s">
        <v>474</v>
      </c>
      <c r="U1371" s="3" t="s">
        <v>29</v>
      </c>
      <c r="V1371" s="3" t="s">
        <v>4</v>
      </c>
    </row>
    <row r="1372" spans="1:22" hidden="1">
      <c r="J1372" s="1" t="str">
        <f t="shared" si="311"/>
        <v>0</v>
      </c>
      <c r="K1372" s="3">
        <f t="shared" si="312"/>
        <v>-100</v>
      </c>
      <c r="L1372" s="3">
        <f t="shared" si="313"/>
        <v>1</v>
      </c>
      <c r="M1372" s="3">
        <f t="shared" si="314"/>
        <v>0</v>
      </c>
      <c r="N1372" s="3" t="str">
        <f t="shared" si="315"/>
        <v>01</v>
      </c>
      <c r="O1372" s="14" t="str">
        <f t="shared" si="316"/>
        <v>00</v>
      </c>
      <c r="R1372" s="6">
        <v>518</v>
      </c>
      <c r="S1372" s="5">
        <f t="shared" ref="S1372:S1419" si="318">IFERROR(P1372/R1372,"")</f>
        <v>0</v>
      </c>
    </row>
    <row r="1373" spans="1:22">
      <c r="A1373" s="3">
        <v>1230</v>
      </c>
      <c r="B1373" s="1">
        <f>IF(G1373="-",0,IF(G1372=G1373,1,0))</f>
        <v>0</v>
      </c>
      <c r="C1373" s="1">
        <f>+IF(G1373="-",0,IF(I1373=I1372+1,0,(IF(I1373=1,0,1))))</f>
        <v>1</v>
      </c>
      <c r="D1373" s="1">
        <f>+IF(AND(P1373="",Q1373=""),1,0)</f>
        <v>0</v>
      </c>
      <c r="E1373" s="1">
        <f t="shared" ref="E1373:F1376" si="319">IF(U1373="",1,0)</f>
        <v>0</v>
      </c>
      <c r="F1373" s="1">
        <f t="shared" si="319"/>
        <v>0</v>
      </c>
      <c r="G1373" s="1" t="str">
        <f>IF(H1373=0,"-",_xlfn.CONCAT(K1373,N1373,O1373,J1373))</f>
        <v>24071326</v>
      </c>
      <c r="H1373" s="2">
        <v>45486</v>
      </c>
      <c r="I1373" s="36">
        <v>26</v>
      </c>
      <c r="J1373" s="1">
        <f t="shared" si="311"/>
        <v>26</v>
      </c>
      <c r="K1373" s="3">
        <f t="shared" si="312"/>
        <v>24</v>
      </c>
      <c r="L1373" s="3">
        <f t="shared" si="313"/>
        <v>7</v>
      </c>
      <c r="M1373" s="3">
        <f t="shared" si="314"/>
        <v>13</v>
      </c>
      <c r="N1373" s="3" t="str">
        <f t="shared" si="315"/>
        <v>07</v>
      </c>
      <c r="O1373" s="14">
        <f t="shared" si="316"/>
        <v>13</v>
      </c>
      <c r="P1373" s="4">
        <v>23950</v>
      </c>
      <c r="R1373" s="6">
        <v>518</v>
      </c>
      <c r="S1373" s="5">
        <f t="shared" si="318"/>
        <v>46.235521235521233</v>
      </c>
      <c r="T1373" s="5" t="s">
        <v>699</v>
      </c>
      <c r="U1373" s="3" t="s">
        <v>29</v>
      </c>
      <c r="V1373" s="3" t="s">
        <v>4</v>
      </c>
    </row>
    <row r="1374" spans="1:22">
      <c r="A1374" s="3">
        <v>1241</v>
      </c>
      <c r="B1374" s="1">
        <f>IF(G1374="-",0,IF(G1373=G1374,1,0))</f>
        <v>0</v>
      </c>
      <c r="C1374" s="1">
        <f>+IF(G1374="-",0,IF(I1374=I1373+1,0,(IF(I1374=1,0,1))))</f>
        <v>1</v>
      </c>
      <c r="D1374" s="1">
        <f>+IF(AND(P1374="",Q1374=""),1,0)</f>
        <v>0</v>
      </c>
      <c r="E1374" s="1">
        <f t="shared" si="319"/>
        <v>0</v>
      </c>
      <c r="F1374" s="1">
        <f t="shared" si="319"/>
        <v>0</v>
      </c>
      <c r="G1374" s="1" t="str">
        <f>IF(H1374=0,"-",_xlfn.CONCAT(K1374,N1374,O1374,J1374))</f>
        <v>24071411</v>
      </c>
      <c r="H1374" s="2">
        <v>45487</v>
      </c>
      <c r="I1374" s="36">
        <v>11</v>
      </c>
      <c r="J1374" s="1">
        <f t="shared" si="311"/>
        <v>11</v>
      </c>
      <c r="K1374" s="3">
        <f t="shared" si="312"/>
        <v>24</v>
      </c>
      <c r="L1374" s="3">
        <f t="shared" si="313"/>
        <v>7</v>
      </c>
      <c r="M1374" s="3">
        <f t="shared" si="314"/>
        <v>14</v>
      </c>
      <c r="N1374" s="3" t="str">
        <f t="shared" si="315"/>
        <v>07</v>
      </c>
      <c r="O1374" s="14">
        <f t="shared" si="316"/>
        <v>14</v>
      </c>
      <c r="P1374" s="4">
        <v>6900</v>
      </c>
      <c r="R1374" s="6">
        <v>518</v>
      </c>
      <c r="S1374" s="5">
        <f t="shared" si="318"/>
        <v>13.32046332046332</v>
      </c>
      <c r="T1374" s="5" t="s">
        <v>479</v>
      </c>
      <c r="U1374" s="3" t="s">
        <v>29</v>
      </c>
      <c r="V1374" s="3" t="s">
        <v>4</v>
      </c>
    </row>
    <row r="1375" spans="1:22">
      <c r="A1375" s="3">
        <v>1249</v>
      </c>
      <c r="B1375" s="1">
        <f>IF(G1375="-",0,IF(G1374=G1375,1,0))</f>
        <v>0</v>
      </c>
      <c r="C1375" s="1">
        <f>+IF(G1375="-",0,IF(I1375=I1374+1,0,(IF(I1375=1,0,1))))</f>
        <v>1</v>
      </c>
      <c r="D1375" s="1">
        <f>+IF(AND(P1375="",Q1375=""),1,0)</f>
        <v>0</v>
      </c>
      <c r="E1375" s="1">
        <f t="shared" si="319"/>
        <v>0</v>
      </c>
      <c r="F1375" s="1">
        <f t="shared" si="319"/>
        <v>0</v>
      </c>
      <c r="G1375" s="1" t="str">
        <f>IF(H1375=0,"-",_xlfn.CONCAT(K1375,N1375,O1375,J1375))</f>
        <v>24071508</v>
      </c>
      <c r="H1375" s="2">
        <v>45488</v>
      </c>
      <c r="I1375" s="36">
        <v>8</v>
      </c>
      <c r="J1375" s="1" t="str">
        <f t="shared" si="311"/>
        <v>08</v>
      </c>
      <c r="K1375" s="3">
        <f t="shared" si="312"/>
        <v>24</v>
      </c>
      <c r="L1375" s="3">
        <f t="shared" si="313"/>
        <v>7</v>
      </c>
      <c r="M1375" s="3">
        <f t="shared" si="314"/>
        <v>15</v>
      </c>
      <c r="N1375" s="3" t="str">
        <f t="shared" si="315"/>
        <v>07</v>
      </c>
      <c r="O1375" s="14">
        <f t="shared" si="316"/>
        <v>15</v>
      </c>
      <c r="P1375" s="4">
        <v>16319.98</v>
      </c>
      <c r="R1375" s="6">
        <v>516</v>
      </c>
      <c r="S1375" s="5">
        <f t="shared" si="318"/>
        <v>31.627868217054264</v>
      </c>
      <c r="T1375" s="5" t="s">
        <v>87</v>
      </c>
      <c r="U1375" s="3" t="s">
        <v>29</v>
      </c>
      <c r="V1375" s="3" t="s">
        <v>4</v>
      </c>
    </row>
    <row r="1376" spans="1:22">
      <c r="A1376" s="3">
        <v>1250</v>
      </c>
      <c r="B1376" s="1">
        <f>IF(G1376="-",0,IF(G1375=G1376,1,0))</f>
        <v>0</v>
      </c>
      <c r="C1376" s="1">
        <f>+IF(G1376="-",0,IF(I1376=I1375+1,0,(IF(I1376=1,0,1))))</f>
        <v>0</v>
      </c>
      <c r="D1376" s="1">
        <f>+IF(AND(P1376="",Q1376=""),1,0)</f>
        <v>0</v>
      </c>
      <c r="E1376" s="1">
        <f t="shared" si="319"/>
        <v>0</v>
      </c>
      <c r="F1376" s="1">
        <f t="shared" si="319"/>
        <v>0</v>
      </c>
      <c r="G1376" s="1" t="str">
        <f>IF(H1376=0,"-",_xlfn.CONCAT(K1376,N1376,O1376,J1376))</f>
        <v>24071509</v>
      </c>
      <c r="H1376" s="2">
        <v>45488</v>
      </c>
      <c r="I1376" s="36">
        <v>9</v>
      </c>
      <c r="J1376" s="1" t="str">
        <f t="shared" si="311"/>
        <v>09</v>
      </c>
      <c r="K1376" s="3">
        <f t="shared" si="312"/>
        <v>24</v>
      </c>
      <c r="L1376" s="3">
        <f t="shared" si="313"/>
        <v>7</v>
      </c>
      <c r="M1376" s="3">
        <f t="shared" si="314"/>
        <v>15</v>
      </c>
      <c r="N1376" s="3" t="str">
        <f t="shared" si="315"/>
        <v>07</v>
      </c>
      <c r="O1376" s="14">
        <f t="shared" si="316"/>
        <v>15</v>
      </c>
      <c r="P1376" s="4">
        <v>9560</v>
      </c>
      <c r="R1376" s="6">
        <v>516</v>
      </c>
      <c r="S1376" s="5">
        <f t="shared" si="318"/>
        <v>18.527131782945737</v>
      </c>
      <c r="T1376" s="5" t="s">
        <v>87</v>
      </c>
      <c r="U1376" s="3" t="s">
        <v>29</v>
      </c>
      <c r="V1376" s="3" t="s">
        <v>4</v>
      </c>
    </row>
    <row r="1377" spans="1:23" hidden="1">
      <c r="J1377" s="1" t="str">
        <f t="shared" si="311"/>
        <v>0</v>
      </c>
      <c r="K1377" s="3">
        <f t="shared" si="312"/>
        <v>-100</v>
      </c>
      <c r="L1377" s="3">
        <f t="shared" si="313"/>
        <v>1</v>
      </c>
      <c r="M1377" s="3">
        <f t="shared" si="314"/>
        <v>0</v>
      </c>
      <c r="N1377" s="3" t="str">
        <f t="shared" si="315"/>
        <v>01</v>
      </c>
      <c r="O1377" s="14" t="str">
        <f t="shared" si="316"/>
        <v>00</v>
      </c>
      <c r="P1377" s="11"/>
      <c r="R1377" s="6">
        <v>518</v>
      </c>
      <c r="S1377" s="5">
        <f t="shared" si="318"/>
        <v>0</v>
      </c>
    </row>
    <row r="1378" spans="1:23" hidden="1">
      <c r="J1378" s="1" t="str">
        <f t="shared" si="311"/>
        <v>0</v>
      </c>
      <c r="K1378" s="3">
        <f t="shared" si="312"/>
        <v>-100</v>
      </c>
      <c r="L1378" s="3">
        <f t="shared" si="313"/>
        <v>1</v>
      </c>
      <c r="M1378" s="3">
        <f t="shared" si="314"/>
        <v>0</v>
      </c>
      <c r="N1378" s="3" t="str">
        <f t="shared" si="315"/>
        <v>01</v>
      </c>
      <c r="O1378" s="14" t="str">
        <f t="shared" si="316"/>
        <v>00</v>
      </c>
      <c r="P1378" s="11"/>
      <c r="R1378" s="6">
        <v>518</v>
      </c>
      <c r="S1378" s="5">
        <f t="shared" si="318"/>
        <v>0</v>
      </c>
    </row>
    <row r="1379" spans="1:23" hidden="1">
      <c r="J1379" s="1" t="str">
        <f t="shared" si="311"/>
        <v>0</v>
      </c>
      <c r="K1379" s="3">
        <f t="shared" si="312"/>
        <v>-100</v>
      </c>
      <c r="L1379" s="3">
        <f t="shared" si="313"/>
        <v>1</v>
      </c>
      <c r="M1379" s="3">
        <f t="shared" si="314"/>
        <v>0</v>
      </c>
      <c r="N1379" s="3" t="str">
        <f t="shared" si="315"/>
        <v>01</v>
      </c>
      <c r="O1379" s="14" t="str">
        <f t="shared" si="316"/>
        <v>00</v>
      </c>
      <c r="P1379" s="11"/>
      <c r="R1379" s="6">
        <v>518</v>
      </c>
      <c r="S1379" s="5">
        <f t="shared" si="318"/>
        <v>0</v>
      </c>
    </row>
    <row r="1380" spans="1:23" hidden="1">
      <c r="J1380" s="1" t="str">
        <f t="shared" si="311"/>
        <v>0</v>
      </c>
      <c r="K1380" s="3">
        <f t="shared" si="312"/>
        <v>-100</v>
      </c>
      <c r="L1380" s="3">
        <f t="shared" si="313"/>
        <v>1</v>
      </c>
      <c r="M1380" s="3">
        <f t="shared" si="314"/>
        <v>0</v>
      </c>
      <c r="N1380" s="3" t="str">
        <f t="shared" si="315"/>
        <v>01</v>
      </c>
      <c r="O1380" s="14" t="str">
        <f t="shared" si="316"/>
        <v>00</v>
      </c>
      <c r="P1380" s="11"/>
      <c r="R1380" s="6">
        <v>518</v>
      </c>
      <c r="S1380" s="5">
        <f t="shared" si="318"/>
        <v>0</v>
      </c>
    </row>
    <row r="1381" spans="1:23" hidden="1">
      <c r="J1381" s="1" t="str">
        <f t="shared" si="311"/>
        <v>0</v>
      </c>
      <c r="K1381" s="3">
        <f t="shared" si="312"/>
        <v>-100</v>
      </c>
      <c r="L1381" s="3">
        <f t="shared" si="313"/>
        <v>1</v>
      </c>
      <c r="M1381" s="3">
        <f t="shared" si="314"/>
        <v>0</v>
      </c>
      <c r="N1381" s="3" t="str">
        <f t="shared" si="315"/>
        <v>01</v>
      </c>
      <c r="O1381" s="14" t="str">
        <f t="shared" si="316"/>
        <v>00</v>
      </c>
      <c r="P1381" s="11"/>
      <c r="R1381" s="6">
        <v>518</v>
      </c>
      <c r="S1381" s="5">
        <f t="shared" si="318"/>
        <v>0</v>
      </c>
    </row>
    <row r="1382" spans="1:23" hidden="1">
      <c r="J1382" s="1" t="str">
        <f t="shared" si="311"/>
        <v>0</v>
      </c>
      <c r="K1382" s="3">
        <f t="shared" si="312"/>
        <v>-100</v>
      </c>
      <c r="L1382" s="3">
        <f t="shared" si="313"/>
        <v>1</v>
      </c>
      <c r="M1382" s="3">
        <f t="shared" si="314"/>
        <v>0</v>
      </c>
      <c r="N1382" s="3" t="str">
        <f t="shared" si="315"/>
        <v>01</v>
      </c>
      <c r="O1382" s="14" t="str">
        <f t="shared" si="316"/>
        <v>00</v>
      </c>
      <c r="P1382" s="11"/>
      <c r="R1382" s="6">
        <v>518</v>
      </c>
      <c r="S1382" s="5">
        <f t="shared" si="318"/>
        <v>0</v>
      </c>
    </row>
    <row r="1383" spans="1:23">
      <c r="A1383" s="3">
        <v>1251</v>
      </c>
      <c r="B1383" s="1">
        <f>IF(G1383="-",0,IF(G1382=G1383,1,0))</f>
        <v>0</v>
      </c>
      <c r="C1383" s="1">
        <f>+IF(G1383="-",0,IF(I1383=I1382+1,0,(IF(I1383=1,0,1))))</f>
        <v>1</v>
      </c>
      <c r="D1383" s="1">
        <f>+IF(AND(P1383="",Q1383=""),1,0)</f>
        <v>0</v>
      </c>
      <c r="E1383" s="1">
        <f t="shared" ref="E1383:F1386" si="320">IF(U1383="",1,0)</f>
        <v>0</v>
      </c>
      <c r="F1383" s="1">
        <f t="shared" si="320"/>
        <v>0</v>
      </c>
      <c r="G1383" s="1" t="str">
        <f>IF(H1383=0,"-",_xlfn.CONCAT(K1383,N1383,O1383,J1383))</f>
        <v>24071510</v>
      </c>
      <c r="H1383" s="2">
        <v>45488</v>
      </c>
      <c r="I1383" s="36">
        <v>10</v>
      </c>
      <c r="J1383" s="1">
        <f t="shared" si="311"/>
        <v>10</v>
      </c>
      <c r="K1383" s="3">
        <f t="shared" si="312"/>
        <v>24</v>
      </c>
      <c r="L1383" s="3">
        <f t="shared" si="313"/>
        <v>7</v>
      </c>
      <c r="M1383" s="3">
        <f t="shared" si="314"/>
        <v>15</v>
      </c>
      <c r="N1383" s="3" t="str">
        <f t="shared" si="315"/>
        <v>07</v>
      </c>
      <c r="O1383" s="14">
        <f t="shared" si="316"/>
        <v>15</v>
      </c>
      <c r="P1383" s="4">
        <v>9669.36</v>
      </c>
      <c r="R1383" s="6">
        <v>516</v>
      </c>
      <c r="S1383" s="5">
        <f t="shared" si="318"/>
        <v>18.739069767441862</v>
      </c>
      <c r="T1383" s="5" t="s">
        <v>480</v>
      </c>
      <c r="U1383" s="3" t="s">
        <v>29</v>
      </c>
      <c r="V1383" s="3" t="s">
        <v>4</v>
      </c>
    </row>
    <row r="1384" spans="1:23">
      <c r="A1384" s="3">
        <v>1252</v>
      </c>
      <c r="B1384" s="1">
        <f>IF(G1384="-",0,IF(G1383=G1384,1,0))</f>
        <v>0</v>
      </c>
      <c r="C1384" s="1">
        <f>+IF(G1384="-",0,IF(I1384=I1383+1,0,(IF(I1384=1,0,1))))</f>
        <v>0</v>
      </c>
      <c r="D1384" s="1">
        <f>+IF(AND(P1384="",Q1384=""),1,0)</f>
        <v>0</v>
      </c>
      <c r="E1384" s="1">
        <f t="shared" si="320"/>
        <v>0</v>
      </c>
      <c r="F1384" s="1">
        <f t="shared" si="320"/>
        <v>0</v>
      </c>
      <c r="G1384" s="1" t="str">
        <f>IF(H1384=0,"-",_xlfn.CONCAT(K1384,N1384,O1384,J1384))</f>
        <v>24071511</v>
      </c>
      <c r="H1384" s="2">
        <v>45488</v>
      </c>
      <c r="I1384" s="36">
        <v>11</v>
      </c>
      <c r="J1384" s="1">
        <f t="shared" si="311"/>
        <v>11</v>
      </c>
      <c r="K1384" s="3">
        <f t="shared" si="312"/>
        <v>24</v>
      </c>
      <c r="L1384" s="3">
        <f t="shared" si="313"/>
        <v>7</v>
      </c>
      <c r="M1384" s="3">
        <f t="shared" si="314"/>
        <v>15</v>
      </c>
      <c r="N1384" s="3" t="str">
        <f t="shared" si="315"/>
        <v>07</v>
      </c>
      <c r="O1384" s="14">
        <f t="shared" si="316"/>
        <v>15</v>
      </c>
      <c r="P1384" s="4">
        <v>60722.41</v>
      </c>
      <c r="R1384" s="6">
        <v>516</v>
      </c>
      <c r="S1384" s="5">
        <f t="shared" si="318"/>
        <v>117.67908914728683</v>
      </c>
      <c r="T1384" s="5" t="s">
        <v>481</v>
      </c>
      <c r="U1384" s="3" t="s">
        <v>29</v>
      </c>
      <c r="V1384" s="3" t="s">
        <v>4</v>
      </c>
    </row>
    <row r="1385" spans="1:23">
      <c r="A1385" s="3">
        <v>1253</v>
      </c>
      <c r="B1385" s="1">
        <f>IF(G1385="-",0,IF(G1384=G1385,1,0))</f>
        <v>0</v>
      </c>
      <c r="C1385" s="1">
        <f>+IF(G1385="-",0,IF(I1385=I1384+1,0,(IF(I1385=1,0,1))))</f>
        <v>0</v>
      </c>
      <c r="D1385" s="1">
        <f>+IF(AND(P1385="",Q1385=""),1,0)</f>
        <v>0</v>
      </c>
      <c r="E1385" s="1">
        <f t="shared" si="320"/>
        <v>0</v>
      </c>
      <c r="F1385" s="1">
        <f t="shared" si="320"/>
        <v>0</v>
      </c>
      <c r="G1385" s="1" t="str">
        <f>IF(H1385=0,"-",_xlfn.CONCAT(K1385,N1385,O1385,J1385))</f>
        <v>24071512</v>
      </c>
      <c r="H1385" s="2">
        <v>45488</v>
      </c>
      <c r="I1385" s="36">
        <v>12</v>
      </c>
      <c r="J1385" s="1">
        <f t="shared" si="311"/>
        <v>12</v>
      </c>
      <c r="K1385" s="3">
        <f t="shared" si="312"/>
        <v>24</v>
      </c>
      <c r="L1385" s="3">
        <f t="shared" si="313"/>
        <v>7</v>
      </c>
      <c r="M1385" s="3">
        <f t="shared" si="314"/>
        <v>15</v>
      </c>
      <c r="N1385" s="3" t="str">
        <f t="shared" si="315"/>
        <v>07</v>
      </c>
      <c r="O1385" s="14">
        <f t="shared" si="316"/>
        <v>15</v>
      </c>
      <c r="P1385" s="4">
        <v>12700</v>
      </c>
      <c r="R1385" s="6">
        <v>516</v>
      </c>
      <c r="S1385" s="5">
        <f t="shared" si="318"/>
        <v>24.612403100775193</v>
      </c>
      <c r="T1385" s="5" t="s">
        <v>482</v>
      </c>
      <c r="U1385" s="3" t="s">
        <v>29</v>
      </c>
      <c r="V1385" s="3" t="s">
        <v>4</v>
      </c>
    </row>
    <row r="1386" spans="1:23">
      <c r="A1386" s="3">
        <v>1258</v>
      </c>
      <c r="B1386" s="1">
        <f>IF(G1386="-",0,IF(G1385=G1386,1,0))</f>
        <v>0</v>
      </c>
      <c r="C1386" s="1">
        <f>+IF(G1386="-",0,IF(I1386=I1385+1,0,(IF(I1386=1,0,1))))</f>
        <v>1</v>
      </c>
      <c r="D1386" s="1">
        <f>+IF(AND(P1386="",Q1386=""),1,0)</f>
        <v>0</v>
      </c>
      <c r="E1386" s="1">
        <f t="shared" si="320"/>
        <v>0</v>
      </c>
      <c r="F1386" s="1">
        <f t="shared" si="320"/>
        <v>0</v>
      </c>
      <c r="G1386" s="1" t="str">
        <f>IF(H1386=0,"-",_xlfn.CONCAT(K1386,N1386,O1386,J1386))</f>
        <v>24071604</v>
      </c>
      <c r="H1386" s="2">
        <v>45489</v>
      </c>
      <c r="I1386" s="36">
        <v>4</v>
      </c>
      <c r="J1386" s="1" t="str">
        <f t="shared" si="311"/>
        <v>04</v>
      </c>
      <c r="K1386" s="3">
        <f t="shared" si="312"/>
        <v>24</v>
      </c>
      <c r="L1386" s="3">
        <f t="shared" si="313"/>
        <v>7</v>
      </c>
      <c r="M1386" s="3">
        <f t="shared" si="314"/>
        <v>16</v>
      </c>
      <c r="N1386" s="3" t="str">
        <f t="shared" si="315"/>
        <v>07</v>
      </c>
      <c r="O1386" s="14">
        <f t="shared" si="316"/>
        <v>16</v>
      </c>
      <c r="P1386" s="4">
        <v>7976.22</v>
      </c>
      <c r="R1386" s="6">
        <v>516</v>
      </c>
      <c r="S1386" s="5">
        <f t="shared" si="318"/>
        <v>15.457790697674419</v>
      </c>
      <c r="T1386" s="5" t="s">
        <v>483</v>
      </c>
      <c r="U1386" s="3" t="s">
        <v>29</v>
      </c>
      <c r="V1386" s="3" t="s">
        <v>4</v>
      </c>
    </row>
    <row r="1387" spans="1:23" hidden="1">
      <c r="J1387" s="1" t="str">
        <f t="shared" si="311"/>
        <v>0</v>
      </c>
      <c r="K1387" s="3">
        <f t="shared" si="312"/>
        <v>-100</v>
      </c>
      <c r="L1387" s="3">
        <f t="shared" si="313"/>
        <v>1</v>
      </c>
      <c r="M1387" s="3">
        <f t="shared" si="314"/>
        <v>0</v>
      </c>
      <c r="N1387" s="3" t="str">
        <f t="shared" si="315"/>
        <v>01</v>
      </c>
      <c r="O1387" s="14" t="str">
        <f t="shared" si="316"/>
        <v>00</v>
      </c>
      <c r="P1387" s="11"/>
      <c r="R1387" s="6">
        <v>518</v>
      </c>
      <c r="S1387" s="5">
        <f t="shared" si="318"/>
        <v>0</v>
      </c>
    </row>
    <row r="1388" spans="1:23">
      <c r="A1388" s="3">
        <v>1264</v>
      </c>
      <c r="B1388" s="1">
        <f t="shared" ref="B1388:B1394" si="321">IF(G1388="-",0,IF(G1387=G1388,1,0))</f>
        <v>0</v>
      </c>
      <c r="C1388" s="1">
        <f t="shared" ref="C1388:C1394" si="322">+IF(G1388="-",0,IF(I1388=I1387+1,0,(IF(I1388=1,0,1))))</f>
        <v>1</v>
      </c>
      <c r="D1388" s="1">
        <f t="shared" ref="D1388:D1394" si="323">+IF(AND(P1388="",Q1388=""),1,0)</f>
        <v>0</v>
      </c>
      <c r="E1388" s="1">
        <f t="shared" ref="E1388:F1394" si="324">IF(U1388="",1,0)</f>
        <v>0</v>
      </c>
      <c r="F1388" s="1">
        <f t="shared" si="324"/>
        <v>0</v>
      </c>
      <c r="G1388" s="1" t="str">
        <f t="shared" ref="G1388:G1394" si="325">IF(H1388=0,"-",_xlfn.CONCAT(K1388,N1388,O1388,J1388))</f>
        <v>24071610</v>
      </c>
      <c r="H1388" s="2">
        <v>45489</v>
      </c>
      <c r="I1388" s="36">
        <v>10</v>
      </c>
      <c r="J1388" s="1">
        <f t="shared" si="311"/>
        <v>10</v>
      </c>
      <c r="K1388" s="3">
        <f t="shared" si="312"/>
        <v>24</v>
      </c>
      <c r="L1388" s="3">
        <f t="shared" si="313"/>
        <v>7</v>
      </c>
      <c r="M1388" s="3">
        <f t="shared" si="314"/>
        <v>16</v>
      </c>
      <c r="N1388" s="3" t="str">
        <f t="shared" si="315"/>
        <v>07</v>
      </c>
      <c r="O1388" s="14">
        <f t="shared" si="316"/>
        <v>16</v>
      </c>
      <c r="P1388" s="4">
        <v>10000</v>
      </c>
      <c r="S1388" s="5" t="str">
        <f t="shared" si="318"/>
        <v/>
      </c>
      <c r="T1388" s="5" t="s">
        <v>788</v>
      </c>
      <c r="U1388" s="3" t="s">
        <v>29</v>
      </c>
      <c r="V1388" s="3" t="s">
        <v>4</v>
      </c>
    </row>
    <row r="1389" spans="1:23">
      <c r="A1389" s="3">
        <v>1276</v>
      </c>
      <c r="B1389" s="1">
        <f t="shared" si="321"/>
        <v>0</v>
      </c>
      <c r="C1389" s="1">
        <f t="shared" si="322"/>
        <v>1</v>
      </c>
      <c r="D1389" s="1">
        <f t="shared" si="323"/>
        <v>0</v>
      </c>
      <c r="E1389" s="1">
        <f t="shared" si="324"/>
        <v>0</v>
      </c>
      <c r="F1389" s="1">
        <f t="shared" si="324"/>
        <v>0</v>
      </c>
      <c r="G1389" s="1" t="str">
        <f t="shared" si="325"/>
        <v>24071808</v>
      </c>
      <c r="H1389" s="2">
        <v>45491</v>
      </c>
      <c r="I1389" s="36">
        <v>8</v>
      </c>
      <c r="J1389" s="1" t="str">
        <f t="shared" si="311"/>
        <v>08</v>
      </c>
      <c r="K1389" s="3">
        <f t="shared" si="312"/>
        <v>24</v>
      </c>
      <c r="L1389" s="3">
        <f t="shared" si="313"/>
        <v>7</v>
      </c>
      <c r="M1389" s="3">
        <f t="shared" si="314"/>
        <v>18</v>
      </c>
      <c r="N1389" s="3" t="str">
        <f t="shared" si="315"/>
        <v>07</v>
      </c>
      <c r="O1389" s="14">
        <f t="shared" si="316"/>
        <v>18</v>
      </c>
      <c r="P1389" s="4">
        <v>12900</v>
      </c>
      <c r="R1389" s="6">
        <v>521</v>
      </c>
      <c r="S1389" s="5">
        <f t="shared" si="318"/>
        <v>24.760076775431862</v>
      </c>
      <c r="T1389" s="5" t="s">
        <v>352</v>
      </c>
      <c r="U1389" s="3" t="s">
        <v>30</v>
      </c>
      <c r="V1389" s="3" t="s">
        <v>4</v>
      </c>
    </row>
    <row r="1390" spans="1:23">
      <c r="A1390" s="3">
        <v>1285</v>
      </c>
      <c r="B1390" s="1">
        <f t="shared" si="321"/>
        <v>0</v>
      </c>
      <c r="C1390" s="1">
        <f t="shared" si="322"/>
        <v>0</v>
      </c>
      <c r="D1390" s="1">
        <f t="shared" si="323"/>
        <v>0</v>
      </c>
      <c r="E1390" s="1">
        <f t="shared" si="324"/>
        <v>0</v>
      </c>
      <c r="F1390" s="1">
        <f t="shared" si="324"/>
        <v>0</v>
      </c>
      <c r="G1390" s="1" t="str">
        <f t="shared" si="325"/>
        <v>24072001</v>
      </c>
      <c r="H1390" s="2">
        <v>45493</v>
      </c>
      <c r="I1390" s="36">
        <v>1</v>
      </c>
      <c r="J1390" s="1" t="str">
        <f t="shared" si="311"/>
        <v>01</v>
      </c>
      <c r="K1390" s="3">
        <f t="shared" si="312"/>
        <v>24</v>
      </c>
      <c r="L1390" s="3">
        <f t="shared" si="313"/>
        <v>7</v>
      </c>
      <c r="M1390" s="3">
        <f t="shared" si="314"/>
        <v>20</v>
      </c>
      <c r="N1390" s="3" t="str">
        <f t="shared" si="315"/>
        <v>07</v>
      </c>
      <c r="O1390" s="14">
        <f t="shared" si="316"/>
        <v>20</v>
      </c>
      <c r="P1390" s="85">
        <v>150000</v>
      </c>
      <c r="R1390" s="6">
        <v>522</v>
      </c>
      <c r="S1390" s="5">
        <f t="shared" si="318"/>
        <v>287.35632183908046</v>
      </c>
      <c r="T1390" s="5" t="s">
        <v>484</v>
      </c>
      <c r="U1390" s="3" t="s">
        <v>1</v>
      </c>
      <c r="V1390" s="3" t="s">
        <v>4</v>
      </c>
      <c r="W1390" s="3" t="s">
        <v>504</v>
      </c>
    </row>
    <row r="1391" spans="1:23">
      <c r="A1391" s="3">
        <v>1287</v>
      </c>
      <c r="B1391" s="1">
        <f t="shared" si="321"/>
        <v>0</v>
      </c>
      <c r="C1391" s="1">
        <f t="shared" si="322"/>
        <v>1</v>
      </c>
      <c r="D1391" s="1">
        <f t="shared" si="323"/>
        <v>0</v>
      </c>
      <c r="E1391" s="1">
        <f t="shared" si="324"/>
        <v>0</v>
      </c>
      <c r="F1391" s="1">
        <f t="shared" si="324"/>
        <v>0</v>
      </c>
      <c r="G1391" s="1" t="str">
        <f t="shared" si="325"/>
        <v>24072003</v>
      </c>
      <c r="H1391" s="2">
        <v>45493</v>
      </c>
      <c r="I1391" s="36">
        <v>3</v>
      </c>
      <c r="J1391" s="1" t="str">
        <f t="shared" si="311"/>
        <v>03</v>
      </c>
      <c r="K1391" s="3">
        <f t="shared" si="312"/>
        <v>24</v>
      </c>
      <c r="L1391" s="3">
        <f t="shared" si="313"/>
        <v>7</v>
      </c>
      <c r="M1391" s="3">
        <f t="shared" si="314"/>
        <v>20</v>
      </c>
      <c r="N1391" s="3" t="str">
        <f t="shared" si="315"/>
        <v>07</v>
      </c>
      <c r="O1391" s="14">
        <f t="shared" si="316"/>
        <v>20</v>
      </c>
      <c r="P1391" s="86">
        <v>130000</v>
      </c>
      <c r="R1391" s="6">
        <v>522</v>
      </c>
      <c r="S1391" s="5">
        <f t="shared" si="318"/>
        <v>249.04214559386972</v>
      </c>
      <c r="T1391" s="5" t="s">
        <v>486</v>
      </c>
      <c r="U1391" s="3" t="s">
        <v>1</v>
      </c>
      <c r="V1391" s="3" t="s">
        <v>4</v>
      </c>
    </row>
    <row r="1392" spans="1:23">
      <c r="A1392" s="3">
        <v>1290</v>
      </c>
      <c r="B1392" s="1">
        <f t="shared" si="321"/>
        <v>0</v>
      </c>
      <c r="C1392" s="1">
        <f t="shared" si="322"/>
        <v>1</v>
      </c>
      <c r="D1392" s="1">
        <f t="shared" si="323"/>
        <v>0</v>
      </c>
      <c r="E1392" s="1">
        <f t="shared" si="324"/>
        <v>0</v>
      </c>
      <c r="F1392" s="1">
        <f t="shared" si="324"/>
        <v>0</v>
      </c>
      <c r="G1392" s="1" t="str">
        <f t="shared" si="325"/>
        <v>24072006</v>
      </c>
      <c r="H1392" s="2">
        <v>45493</v>
      </c>
      <c r="I1392" s="36">
        <v>6</v>
      </c>
      <c r="J1392" s="1" t="str">
        <f t="shared" si="311"/>
        <v>06</v>
      </c>
      <c r="K1392" s="3">
        <f t="shared" si="312"/>
        <v>24</v>
      </c>
      <c r="L1392" s="3">
        <f t="shared" si="313"/>
        <v>7</v>
      </c>
      <c r="M1392" s="3">
        <f t="shared" si="314"/>
        <v>20</v>
      </c>
      <c r="N1392" s="3" t="str">
        <f t="shared" si="315"/>
        <v>07</v>
      </c>
      <c r="O1392" s="14">
        <f t="shared" si="316"/>
        <v>20</v>
      </c>
      <c r="P1392" s="87">
        <v>102000</v>
      </c>
      <c r="R1392" s="6">
        <v>522</v>
      </c>
      <c r="S1392" s="5">
        <f t="shared" si="318"/>
        <v>195.40229885057471</v>
      </c>
      <c r="T1392" s="5" t="s">
        <v>488</v>
      </c>
      <c r="U1392" s="3" t="s">
        <v>1</v>
      </c>
      <c r="V1392" s="3" t="s">
        <v>4</v>
      </c>
    </row>
    <row r="1393" spans="1:22">
      <c r="A1393" s="3">
        <v>1291</v>
      </c>
      <c r="B1393" s="1">
        <f t="shared" si="321"/>
        <v>0</v>
      </c>
      <c r="C1393" s="1">
        <f t="shared" si="322"/>
        <v>0</v>
      </c>
      <c r="D1393" s="1">
        <f t="shared" si="323"/>
        <v>0</v>
      </c>
      <c r="E1393" s="1">
        <f t="shared" si="324"/>
        <v>0</v>
      </c>
      <c r="F1393" s="1">
        <f t="shared" si="324"/>
        <v>0</v>
      </c>
      <c r="G1393" s="1" t="str">
        <f t="shared" si="325"/>
        <v>24072007</v>
      </c>
      <c r="H1393" s="2">
        <v>45493</v>
      </c>
      <c r="I1393" s="36">
        <v>7</v>
      </c>
      <c r="J1393" s="1" t="str">
        <f t="shared" si="311"/>
        <v>07</v>
      </c>
      <c r="K1393" s="3">
        <f t="shared" si="312"/>
        <v>24</v>
      </c>
      <c r="L1393" s="3">
        <f t="shared" si="313"/>
        <v>7</v>
      </c>
      <c r="M1393" s="3">
        <f t="shared" si="314"/>
        <v>20</v>
      </c>
      <c r="N1393" s="3" t="str">
        <f t="shared" si="315"/>
        <v>07</v>
      </c>
      <c r="O1393" s="14">
        <f t="shared" si="316"/>
        <v>20</v>
      </c>
      <c r="P1393" s="87">
        <v>102000</v>
      </c>
      <c r="R1393" s="6">
        <v>522</v>
      </c>
      <c r="S1393" s="5">
        <f t="shared" si="318"/>
        <v>195.40229885057471</v>
      </c>
      <c r="T1393" s="5" t="s">
        <v>489</v>
      </c>
      <c r="U1393" s="3" t="s">
        <v>1</v>
      </c>
      <c r="V1393" s="3" t="s">
        <v>4</v>
      </c>
    </row>
    <row r="1394" spans="1:22">
      <c r="A1394" s="3">
        <v>1293</v>
      </c>
      <c r="B1394" s="1">
        <f t="shared" si="321"/>
        <v>0</v>
      </c>
      <c r="C1394" s="1">
        <f t="shared" si="322"/>
        <v>1</v>
      </c>
      <c r="D1394" s="1">
        <f t="shared" si="323"/>
        <v>0</v>
      </c>
      <c r="E1394" s="1">
        <f t="shared" si="324"/>
        <v>0</v>
      </c>
      <c r="F1394" s="1">
        <f t="shared" si="324"/>
        <v>0</v>
      </c>
      <c r="G1394" s="1" t="str">
        <f t="shared" si="325"/>
        <v>24072009</v>
      </c>
      <c r="H1394" s="2">
        <v>45493</v>
      </c>
      <c r="I1394" s="36">
        <v>9</v>
      </c>
      <c r="J1394" s="1" t="str">
        <f t="shared" si="311"/>
        <v>09</v>
      </c>
      <c r="K1394" s="3">
        <f t="shared" si="312"/>
        <v>24</v>
      </c>
      <c r="L1394" s="3">
        <f t="shared" si="313"/>
        <v>7</v>
      </c>
      <c r="M1394" s="3">
        <f t="shared" si="314"/>
        <v>20</v>
      </c>
      <c r="N1394" s="3" t="str">
        <f t="shared" si="315"/>
        <v>07</v>
      </c>
      <c r="O1394" s="14">
        <f t="shared" si="316"/>
        <v>20</v>
      </c>
      <c r="P1394" s="88">
        <v>102000</v>
      </c>
      <c r="R1394" s="6">
        <v>522</v>
      </c>
      <c r="S1394" s="5">
        <f t="shared" si="318"/>
        <v>195.40229885057471</v>
      </c>
      <c r="T1394" s="5" t="s">
        <v>487</v>
      </c>
      <c r="U1394" s="3" t="s">
        <v>1</v>
      </c>
      <c r="V1394" s="3" t="s">
        <v>4</v>
      </c>
    </row>
    <row r="1395" spans="1:22" hidden="1">
      <c r="J1395" s="1" t="str">
        <f t="shared" si="311"/>
        <v>0</v>
      </c>
      <c r="K1395" s="3">
        <f t="shared" si="312"/>
        <v>-100</v>
      </c>
      <c r="L1395" s="3">
        <f t="shared" si="313"/>
        <v>1</v>
      </c>
      <c r="M1395" s="3">
        <f t="shared" si="314"/>
        <v>0</v>
      </c>
      <c r="N1395" s="3" t="str">
        <f t="shared" si="315"/>
        <v>01</v>
      </c>
      <c r="O1395" s="14" t="str">
        <f t="shared" si="316"/>
        <v>00</v>
      </c>
      <c r="P1395" s="11"/>
      <c r="R1395" s="6">
        <v>518</v>
      </c>
      <c r="S1395" s="5">
        <f t="shared" si="318"/>
        <v>0</v>
      </c>
    </row>
    <row r="1396" spans="1:22">
      <c r="A1396" s="3">
        <v>1294</v>
      </c>
      <c r="B1396" s="1">
        <f>IF(G1396="-",0,IF(G1395=G1396,1,0))</f>
        <v>0</v>
      </c>
      <c r="C1396" s="1">
        <f>+IF(G1396="-",0,IF(I1396=I1395+1,0,(IF(I1396=1,0,1))))</f>
        <v>1</v>
      </c>
      <c r="D1396" s="1">
        <f>+IF(AND(P1396="",Q1396=""),1,0)</f>
        <v>0</v>
      </c>
      <c r="E1396" s="1">
        <f t="shared" ref="E1396:F1398" si="326">IF(U1396="",1,0)</f>
        <v>0</v>
      </c>
      <c r="F1396" s="1">
        <f t="shared" si="326"/>
        <v>0</v>
      </c>
      <c r="G1396" s="1" t="str">
        <f>IF(H1396=0,"-",_xlfn.CONCAT(K1396,N1396,O1396,J1396))</f>
        <v>24072010</v>
      </c>
      <c r="H1396" s="2">
        <v>45493</v>
      </c>
      <c r="I1396" s="36">
        <v>10</v>
      </c>
      <c r="J1396" s="1">
        <f t="shared" si="311"/>
        <v>10</v>
      </c>
      <c r="K1396" s="3">
        <f t="shared" si="312"/>
        <v>24</v>
      </c>
      <c r="L1396" s="3">
        <f t="shared" si="313"/>
        <v>7</v>
      </c>
      <c r="M1396" s="3">
        <f t="shared" si="314"/>
        <v>20</v>
      </c>
      <c r="N1396" s="3" t="str">
        <f t="shared" si="315"/>
        <v>07</v>
      </c>
      <c r="O1396" s="14">
        <f t="shared" si="316"/>
        <v>20</v>
      </c>
      <c r="P1396" s="88">
        <v>102000</v>
      </c>
      <c r="R1396" s="6">
        <v>522</v>
      </c>
      <c r="S1396" s="5">
        <f t="shared" si="318"/>
        <v>195.40229885057471</v>
      </c>
      <c r="T1396" s="5" t="s">
        <v>493</v>
      </c>
      <c r="U1396" s="3" t="s">
        <v>1</v>
      </c>
      <c r="V1396" s="3" t="s">
        <v>4</v>
      </c>
    </row>
    <row r="1397" spans="1:22">
      <c r="A1397" s="3">
        <v>1299</v>
      </c>
      <c r="B1397" s="1">
        <f>IF(G1397="-",0,IF(G1396=G1397,1,0))</f>
        <v>0</v>
      </c>
      <c r="C1397" s="1">
        <f>+IF(G1397="-",0,IF(I1397=I1396+1,0,(IF(I1397=1,0,1))))</f>
        <v>1</v>
      </c>
      <c r="D1397" s="1">
        <f>+IF(AND(P1397="",Q1397=""),1,0)</f>
        <v>0</v>
      </c>
      <c r="E1397" s="1">
        <f t="shared" si="326"/>
        <v>0</v>
      </c>
      <c r="F1397" s="1">
        <f t="shared" si="326"/>
        <v>0</v>
      </c>
      <c r="G1397" s="1" t="str">
        <f>IF(H1397=0,"-",_xlfn.CONCAT(K1397,N1397,O1397,J1397))</f>
        <v>24072015</v>
      </c>
      <c r="H1397" s="2">
        <v>45493</v>
      </c>
      <c r="I1397" s="36">
        <v>15</v>
      </c>
      <c r="J1397" s="1">
        <f t="shared" si="311"/>
        <v>15</v>
      </c>
      <c r="K1397" s="3">
        <f t="shared" si="312"/>
        <v>24</v>
      </c>
      <c r="L1397" s="3">
        <f t="shared" si="313"/>
        <v>7</v>
      </c>
      <c r="M1397" s="3">
        <f t="shared" si="314"/>
        <v>20</v>
      </c>
      <c r="N1397" s="3" t="str">
        <f t="shared" si="315"/>
        <v>07</v>
      </c>
      <c r="O1397" s="14">
        <f t="shared" si="316"/>
        <v>20</v>
      </c>
      <c r="P1397" s="89">
        <v>120000</v>
      </c>
      <c r="R1397" s="6">
        <v>522</v>
      </c>
      <c r="S1397" s="5">
        <f t="shared" si="318"/>
        <v>229.88505747126436</v>
      </c>
      <c r="T1397" s="5" t="s">
        <v>485</v>
      </c>
      <c r="U1397" s="3" t="s">
        <v>1</v>
      </c>
      <c r="V1397" s="3" t="s">
        <v>4</v>
      </c>
    </row>
    <row r="1398" spans="1:22">
      <c r="A1398" s="3">
        <v>1300</v>
      </c>
      <c r="B1398" s="1">
        <f>IF(G1398="-",0,IF(G1397=G1398,1,0))</f>
        <v>0</v>
      </c>
      <c r="C1398" s="1">
        <f>+IF(G1398="-",0,IF(I1398=I1397+1,0,(IF(I1398=1,0,1))))</f>
        <v>0</v>
      </c>
      <c r="D1398" s="1">
        <f>+IF(AND(P1398="",Q1398=""),1,0)</f>
        <v>0</v>
      </c>
      <c r="E1398" s="1">
        <f t="shared" si="326"/>
        <v>0</v>
      </c>
      <c r="F1398" s="1">
        <f t="shared" si="326"/>
        <v>0</v>
      </c>
      <c r="G1398" s="1" t="str">
        <f>IF(H1398=0,"-",_xlfn.CONCAT(K1398,N1398,O1398,J1398))</f>
        <v>24072016</v>
      </c>
      <c r="H1398" s="2">
        <v>45493</v>
      </c>
      <c r="I1398" s="36">
        <v>16</v>
      </c>
      <c r="J1398" s="1">
        <f t="shared" si="311"/>
        <v>16</v>
      </c>
      <c r="K1398" s="3">
        <f t="shared" si="312"/>
        <v>24</v>
      </c>
      <c r="L1398" s="3">
        <f t="shared" si="313"/>
        <v>7</v>
      </c>
      <c r="M1398" s="3">
        <f t="shared" si="314"/>
        <v>20</v>
      </c>
      <c r="N1398" s="3" t="str">
        <f t="shared" si="315"/>
        <v>07</v>
      </c>
      <c r="O1398" s="14">
        <f t="shared" si="316"/>
        <v>20</v>
      </c>
      <c r="P1398" s="89">
        <v>180000</v>
      </c>
      <c r="R1398" s="6">
        <v>522</v>
      </c>
      <c r="S1398" s="5">
        <f t="shared" si="318"/>
        <v>344.82758620689657</v>
      </c>
      <c r="T1398" s="5" t="s">
        <v>490</v>
      </c>
      <c r="U1398" s="3" t="s">
        <v>1</v>
      </c>
      <c r="V1398" s="3" t="s">
        <v>4</v>
      </c>
    </row>
    <row r="1399" spans="1:22" hidden="1">
      <c r="J1399" s="1" t="str">
        <f t="shared" si="311"/>
        <v>0</v>
      </c>
      <c r="K1399" s="3">
        <f t="shared" si="312"/>
        <v>-100</v>
      </c>
      <c r="L1399" s="3">
        <f t="shared" si="313"/>
        <v>1</v>
      </c>
      <c r="M1399" s="3">
        <f t="shared" si="314"/>
        <v>0</v>
      </c>
      <c r="N1399" s="3" t="str">
        <f t="shared" si="315"/>
        <v>01</v>
      </c>
      <c r="O1399" s="14" t="str">
        <f t="shared" si="316"/>
        <v>00</v>
      </c>
      <c r="P1399" s="11"/>
      <c r="R1399" s="6">
        <v>518</v>
      </c>
      <c r="S1399" s="5">
        <f t="shared" si="318"/>
        <v>0</v>
      </c>
    </row>
    <row r="1400" spans="1:22">
      <c r="A1400" s="3">
        <v>1301</v>
      </c>
      <c r="B1400" s="1">
        <f>IF(G1400="-",0,IF(G1399=G1400,1,0))</f>
        <v>0</v>
      </c>
      <c r="C1400" s="1">
        <f>+IF(G1400="-",0,IF(I1400=I1399+1,0,(IF(I1400=1,0,1))))</f>
        <v>1</v>
      </c>
      <c r="D1400" s="1">
        <f>+IF(AND(P1400="",Q1400=""),1,0)</f>
        <v>0</v>
      </c>
      <c r="E1400" s="1">
        <f>IF(U1400="",1,0)</f>
        <v>0</v>
      </c>
      <c r="F1400" s="1">
        <f>IF(V1400="",1,0)</f>
        <v>0</v>
      </c>
      <c r="G1400" s="1" t="str">
        <f>IF(H1400=0,"-",_xlfn.CONCAT(K1400,N1400,O1400,J1400))</f>
        <v>24072017</v>
      </c>
      <c r="H1400" s="2">
        <v>45493</v>
      </c>
      <c r="I1400" s="36">
        <v>17</v>
      </c>
      <c r="J1400" s="1">
        <f t="shared" si="311"/>
        <v>17</v>
      </c>
      <c r="K1400" s="3">
        <f t="shared" si="312"/>
        <v>24</v>
      </c>
      <c r="L1400" s="3">
        <f t="shared" si="313"/>
        <v>7</v>
      </c>
      <c r="M1400" s="3">
        <f t="shared" si="314"/>
        <v>20</v>
      </c>
      <c r="N1400" s="3" t="str">
        <f t="shared" si="315"/>
        <v>07</v>
      </c>
      <c r="O1400" s="14">
        <f t="shared" si="316"/>
        <v>20</v>
      </c>
      <c r="P1400" s="89">
        <v>120000</v>
      </c>
      <c r="R1400" s="6">
        <v>522</v>
      </c>
      <c r="S1400" s="5">
        <f t="shared" si="318"/>
        <v>229.88505747126436</v>
      </c>
      <c r="T1400" s="5" t="s">
        <v>491</v>
      </c>
      <c r="U1400" s="3" t="s">
        <v>1</v>
      </c>
      <c r="V1400" s="3" t="s">
        <v>4</v>
      </c>
    </row>
    <row r="1401" spans="1:22" hidden="1">
      <c r="J1401" s="1" t="str">
        <f t="shared" si="311"/>
        <v>0</v>
      </c>
      <c r="K1401" s="3">
        <f t="shared" si="312"/>
        <v>-100</v>
      </c>
      <c r="L1401" s="3">
        <f t="shared" si="313"/>
        <v>1</v>
      </c>
      <c r="M1401" s="3">
        <f t="shared" si="314"/>
        <v>0</v>
      </c>
      <c r="N1401" s="3" t="str">
        <f t="shared" si="315"/>
        <v>01</v>
      </c>
      <c r="O1401" s="14" t="str">
        <f t="shared" si="316"/>
        <v>00</v>
      </c>
      <c r="R1401" s="6">
        <v>518</v>
      </c>
      <c r="S1401" s="5">
        <f t="shared" si="318"/>
        <v>0</v>
      </c>
    </row>
    <row r="1402" spans="1:22">
      <c r="A1402" s="3">
        <v>1302</v>
      </c>
      <c r="B1402" s="1">
        <f>IF(G1402="-",0,IF(G1401=G1402,1,0))</f>
        <v>0</v>
      </c>
      <c r="C1402" s="1">
        <f>+IF(G1402="-",0,IF(I1402=I1401+1,0,(IF(I1402=1,0,1))))</f>
        <v>1</v>
      </c>
      <c r="D1402" s="1">
        <f>+IF(AND(P1402="",Q1402=""),1,0)</f>
        <v>0</v>
      </c>
      <c r="E1402" s="1">
        <f>IF(U1402="",1,0)</f>
        <v>0</v>
      </c>
      <c r="F1402" s="1">
        <f>IF(V1402="",1,0)</f>
        <v>0</v>
      </c>
      <c r="G1402" s="1" t="str">
        <f>IF(H1402=0,"-",_xlfn.CONCAT(K1402,N1402,O1402,J1402))</f>
        <v>24072018</v>
      </c>
      <c r="H1402" s="2">
        <v>45493</v>
      </c>
      <c r="I1402" s="36">
        <v>18</v>
      </c>
      <c r="J1402" s="1">
        <f t="shared" si="311"/>
        <v>18</v>
      </c>
      <c r="K1402" s="3">
        <f t="shared" si="312"/>
        <v>24</v>
      </c>
      <c r="L1402" s="3">
        <f t="shared" si="313"/>
        <v>7</v>
      </c>
      <c r="M1402" s="3">
        <f t="shared" si="314"/>
        <v>20</v>
      </c>
      <c r="N1402" s="3" t="str">
        <f t="shared" si="315"/>
        <v>07</v>
      </c>
      <c r="O1402" s="14">
        <f t="shared" si="316"/>
        <v>20</v>
      </c>
      <c r="P1402" s="89">
        <v>120000</v>
      </c>
      <c r="R1402" s="6">
        <v>522</v>
      </c>
      <c r="S1402" s="5">
        <f t="shared" si="318"/>
        <v>229.88505747126436</v>
      </c>
      <c r="T1402" s="5" t="s">
        <v>492</v>
      </c>
      <c r="U1402" s="3" t="s">
        <v>1</v>
      </c>
      <c r="V1402" s="3" t="s">
        <v>4</v>
      </c>
    </row>
    <row r="1403" spans="1:22" hidden="1">
      <c r="J1403" s="1" t="str">
        <f t="shared" si="311"/>
        <v>0</v>
      </c>
      <c r="K1403" s="3">
        <f t="shared" si="312"/>
        <v>-100</v>
      </c>
      <c r="L1403" s="3">
        <f t="shared" si="313"/>
        <v>1</v>
      </c>
      <c r="M1403" s="3">
        <f t="shared" si="314"/>
        <v>0</v>
      </c>
      <c r="N1403" s="3" t="str">
        <f t="shared" si="315"/>
        <v>01</v>
      </c>
      <c r="O1403" s="14" t="str">
        <f t="shared" si="316"/>
        <v>00</v>
      </c>
      <c r="R1403" s="6">
        <v>518</v>
      </c>
      <c r="S1403" s="5">
        <f t="shared" si="318"/>
        <v>0</v>
      </c>
    </row>
    <row r="1404" spans="1:22" hidden="1">
      <c r="J1404" s="1" t="str">
        <f t="shared" si="311"/>
        <v>0</v>
      </c>
      <c r="K1404" s="3">
        <f t="shared" si="312"/>
        <v>-100</v>
      </c>
      <c r="L1404" s="3">
        <f t="shared" si="313"/>
        <v>1</v>
      </c>
      <c r="M1404" s="3">
        <f t="shared" si="314"/>
        <v>0</v>
      </c>
      <c r="N1404" s="3" t="str">
        <f t="shared" si="315"/>
        <v>01</v>
      </c>
      <c r="O1404" s="14" t="str">
        <f t="shared" si="316"/>
        <v>00</v>
      </c>
      <c r="R1404" s="6">
        <v>518</v>
      </c>
      <c r="S1404" s="5">
        <f t="shared" si="318"/>
        <v>0</v>
      </c>
    </row>
    <row r="1405" spans="1:22" hidden="1">
      <c r="J1405" s="1" t="str">
        <f t="shared" si="311"/>
        <v>0</v>
      </c>
      <c r="K1405" s="3">
        <f t="shared" si="312"/>
        <v>-100</v>
      </c>
      <c r="L1405" s="3">
        <f t="shared" si="313"/>
        <v>1</v>
      </c>
      <c r="M1405" s="3">
        <f t="shared" si="314"/>
        <v>0</v>
      </c>
      <c r="N1405" s="3" t="str">
        <f t="shared" si="315"/>
        <v>01</v>
      </c>
      <c r="O1405" s="14" t="str">
        <f t="shared" si="316"/>
        <v>00</v>
      </c>
      <c r="R1405" s="6">
        <v>518</v>
      </c>
      <c r="S1405" s="5">
        <f t="shared" si="318"/>
        <v>0</v>
      </c>
    </row>
    <row r="1406" spans="1:22" hidden="1">
      <c r="J1406" s="1" t="str">
        <f t="shared" si="311"/>
        <v>0</v>
      </c>
      <c r="K1406" s="3">
        <f t="shared" si="312"/>
        <v>-100</v>
      </c>
      <c r="L1406" s="3">
        <f t="shared" si="313"/>
        <v>1</v>
      </c>
      <c r="M1406" s="3">
        <f t="shared" si="314"/>
        <v>0</v>
      </c>
      <c r="N1406" s="3" t="str">
        <f t="shared" si="315"/>
        <v>01</v>
      </c>
      <c r="O1406" s="14" t="str">
        <f t="shared" si="316"/>
        <v>00</v>
      </c>
      <c r="R1406" s="6">
        <v>518</v>
      </c>
      <c r="S1406" s="5">
        <f t="shared" si="318"/>
        <v>0</v>
      </c>
    </row>
    <row r="1407" spans="1:22">
      <c r="A1407" s="3">
        <v>1304</v>
      </c>
      <c r="B1407" s="1">
        <f>IF(G1407="-",0,IF(G1406=G1407,1,0))</f>
        <v>0</v>
      </c>
      <c r="C1407" s="1">
        <f>+IF(G1407="-",0,IF(I1407=I1406+1,0,(IF(I1407=1,0,1))))</f>
        <v>1</v>
      </c>
      <c r="D1407" s="1">
        <f>+IF(AND(P1407="",Q1407=""),1,0)</f>
        <v>0</v>
      </c>
      <c r="E1407" s="1">
        <f>IF(U1407="",1,0)</f>
        <v>0</v>
      </c>
      <c r="F1407" s="1">
        <f>IF(V1407="",1,0)</f>
        <v>0</v>
      </c>
      <c r="G1407" s="1" t="str">
        <f>IF(H1407=0,"-",_xlfn.CONCAT(K1407,N1407,O1407,J1407))</f>
        <v>24072020</v>
      </c>
      <c r="H1407" s="2">
        <v>45493</v>
      </c>
      <c r="I1407" s="36">
        <v>20</v>
      </c>
      <c r="J1407" s="1">
        <f t="shared" si="311"/>
        <v>20</v>
      </c>
      <c r="K1407" s="3">
        <f t="shared" si="312"/>
        <v>24</v>
      </c>
      <c r="L1407" s="3">
        <f t="shared" si="313"/>
        <v>7</v>
      </c>
      <c r="M1407" s="3">
        <f t="shared" si="314"/>
        <v>20</v>
      </c>
      <c r="N1407" s="3" t="str">
        <f t="shared" si="315"/>
        <v>07</v>
      </c>
      <c r="O1407" s="14">
        <f t="shared" si="316"/>
        <v>20</v>
      </c>
      <c r="P1407" s="4">
        <v>100000</v>
      </c>
      <c r="R1407" s="6">
        <v>522</v>
      </c>
      <c r="S1407" s="5">
        <f t="shared" si="318"/>
        <v>191.57088122605364</v>
      </c>
      <c r="T1407" s="5" t="s">
        <v>843</v>
      </c>
      <c r="U1407" s="3" t="s">
        <v>1</v>
      </c>
      <c r="V1407" s="3" t="s">
        <v>4</v>
      </c>
    </row>
    <row r="1408" spans="1:22" hidden="1">
      <c r="J1408" s="1" t="str">
        <f t="shared" si="311"/>
        <v>0</v>
      </c>
      <c r="K1408" s="3">
        <f t="shared" si="312"/>
        <v>-100</v>
      </c>
      <c r="L1408" s="3">
        <f t="shared" si="313"/>
        <v>1</v>
      </c>
      <c r="M1408" s="3">
        <f t="shared" si="314"/>
        <v>0</v>
      </c>
      <c r="N1408" s="3" t="str">
        <f t="shared" si="315"/>
        <v>01</v>
      </c>
      <c r="O1408" s="14" t="str">
        <f t="shared" si="316"/>
        <v>00</v>
      </c>
      <c r="R1408" s="6">
        <v>518</v>
      </c>
      <c r="S1408" s="5">
        <f t="shared" si="318"/>
        <v>0</v>
      </c>
    </row>
    <row r="1409" spans="1:23" hidden="1">
      <c r="J1409" s="1" t="str">
        <f t="shared" si="311"/>
        <v>0</v>
      </c>
      <c r="K1409" s="3">
        <f t="shared" si="312"/>
        <v>-100</v>
      </c>
      <c r="L1409" s="3">
        <f t="shared" si="313"/>
        <v>1</v>
      </c>
      <c r="M1409" s="3">
        <f t="shared" si="314"/>
        <v>0</v>
      </c>
      <c r="N1409" s="3" t="str">
        <f t="shared" si="315"/>
        <v>01</v>
      </c>
      <c r="O1409" s="14" t="str">
        <f t="shared" si="316"/>
        <v>00</v>
      </c>
      <c r="R1409" s="6">
        <v>518</v>
      </c>
      <c r="S1409" s="5">
        <f t="shared" si="318"/>
        <v>0</v>
      </c>
    </row>
    <row r="1410" spans="1:23">
      <c r="A1410" s="3">
        <v>1308</v>
      </c>
      <c r="B1410" s="1">
        <f>IF(G1410="-",0,IF(G1409=G1410,1,0))</f>
        <v>0</v>
      </c>
      <c r="C1410" s="1">
        <f>+IF(G1410="-",0,IF(I1410=I1409+1,0,(IF(I1410=1,0,1))))</f>
        <v>1</v>
      </c>
      <c r="D1410" s="1">
        <f>+IF(AND(P1410="",Q1410=""),1,0)</f>
        <v>0</v>
      </c>
      <c r="E1410" s="1">
        <f>IF(U1410="",1,0)</f>
        <v>0</v>
      </c>
      <c r="F1410" s="1">
        <f>IF(V1410="",1,0)</f>
        <v>0</v>
      </c>
      <c r="G1410" s="1" t="str">
        <f>IF(H1410=0,"-",_xlfn.CONCAT(K1410,N1410,O1410,J1410))</f>
        <v>24072024</v>
      </c>
      <c r="H1410" s="2">
        <v>45493</v>
      </c>
      <c r="I1410" s="36">
        <v>24</v>
      </c>
      <c r="J1410" s="1">
        <f t="shared" si="311"/>
        <v>24</v>
      </c>
      <c r="K1410" s="3">
        <f t="shared" si="312"/>
        <v>24</v>
      </c>
      <c r="L1410" s="3">
        <f t="shared" si="313"/>
        <v>7</v>
      </c>
      <c r="M1410" s="3">
        <f t="shared" si="314"/>
        <v>20</v>
      </c>
      <c r="N1410" s="3" t="str">
        <f t="shared" si="315"/>
        <v>07</v>
      </c>
      <c r="O1410" s="14">
        <f t="shared" si="316"/>
        <v>20</v>
      </c>
      <c r="P1410" s="4">
        <v>10000</v>
      </c>
      <c r="R1410" s="6">
        <v>522</v>
      </c>
      <c r="S1410" s="5">
        <f t="shared" si="318"/>
        <v>19.157088122605366</v>
      </c>
      <c r="T1410" s="5" t="s">
        <v>787</v>
      </c>
      <c r="U1410" s="3" t="s">
        <v>29</v>
      </c>
      <c r="V1410" s="3" t="s">
        <v>4</v>
      </c>
    </row>
    <row r="1411" spans="1:23" hidden="1">
      <c r="J1411" s="1" t="str">
        <f t="shared" si="311"/>
        <v>0</v>
      </c>
      <c r="K1411" s="3">
        <f t="shared" si="312"/>
        <v>-100</v>
      </c>
      <c r="L1411" s="3">
        <f t="shared" si="313"/>
        <v>1</v>
      </c>
      <c r="M1411" s="3">
        <f t="shared" si="314"/>
        <v>0</v>
      </c>
      <c r="N1411" s="3" t="str">
        <f t="shared" si="315"/>
        <v>01</v>
      </c>
      <c r="O1411" s="14" t="str">
        <f t="shared" si="316"/>
        <v>00</v>
      </c>
      <c r="R1411" s="6">
        <v>518</v>
      </c>
      <c r="S1411" s="5">
        <f t="shared" si="318"/>
        <v>0</v>
      </c>
    </row>
    <row r="1412" spans="1:23" hidden="1">
      <c r="J1412" s="1" t="str">
        <f t="shared" si="311"/>
        <v>0</v>
      </c>
      <c r="K1412" s="3">
        <f t="shared" si="312"/>
        <v>-100</v>
      </c>
      <c r="L1412" s="3">
        <f t="shared" si="313"/>
        <v>1</v>
      </c>
      <c r="M1412" s="3">
        <f t="shared" si="314"/>
        <v>0</v>
      </c>
      <c r="N1412" s="3" t="str">
        <f t="shared" si="315"/>
        <v>01</v>
      </c>
      <c r="O1412" s="14" t="str">
        <f t="shared" si="316"/>
        <v>00</v>
      </c>
      <c r="R1412" s="6">
        <v>518</v>
      </c>
      <c r="S1412" s="5">
        <f t="shared" si="318"/>
        <v>0</v>
      </c>
    </row>
    <row r="1413" spans="1:23" hidden="1">
      <c r="J1413" s="1" t="str">
        <f t="shared" si="311"/>
        <v>0</v>
      </c>
      <c r="K1413" s="3">
        <f t="shared" si="312"/>
        <v>-100</v>
      </c>
      <c r="L1413" s="3">
        <f t="shared" si="313"/>
        <v>1</v>
      </c>
      <c r="M1413" s="3">
        <f t="shared" si="314"/>
        <v>0</v>
      </c>
      <c r="N1413" s="3" t="str">
        <f t="shared" si="315"/>
        <v>01</v>
      </c>
      <c r="O1413" s="14" t="str">
        <f t="shared" si="316"/>
        <v>00</v>
      </c>
      <c r="R1413" s="6">
        <v>518</v>
      </c>
      <c r="S1413" s="5">
        <f t="shared" si="318"/>
        <v>0</v>
      </c>
    </row>
    <row r="1414" spans="1:23">
      <c r="A1414" s="3">
        <v>1320</v>
      </c>
      <c r="B1414" s="1">
        <f>IF(G1414="-",0,IF(G1413=G1414,1,0))</f>
        <v>0</v>
      </c>
      <c r="C1414" s="1">
        <f>+IF(G1414="-",0,IF(I1414=I1413+1,0,(IF(I1414=1,0,1))))</f>
        <v>1</v>
      </c>
      <c r="D1414" s="1">
        <f>+IF(AND(P1414="",Q1414=""),1,0)</f>
        <v>0</v>
      </c>
      <c r="E1414" s="1">
        <f>IF(U1414="",1,0)</f>
        <v>0</v>
      </c>
      <c r="F1414" s="1">
        <f>IF(V1414="",1,0)</f>
        <v>0</v>
      </c>
      <c r="G1414" s="1" t="str">
        <f>IF(H1414=0,"-",_xlfn.CONCAT(K1414,N1414,O1414,J1414))</f>
        <v>24072204</v>
      </c>
      <c r="H1414" s="2">
        <v>45495</v>
      </c>
      <c r="I1414" s="36">
        <v>4</v>
      </c>
      <c r="J1414" s="1" t="str">
        <f t="shared" si="311"/>
        <v>04</v>
      </c>
      <c r="K1414" s="3">
        <f t="shared" si="312"/>
        <v>24</v>
      </c>
      <c r="L1414" s="3">
        <f t="shared" si="313"/>
        <v>7</v>
      </c>
      <c r="M1414" s="3">
        <f t="shared" si="314"/>
        <v>22</v>
      </c>
      <c r="N1414" s="3" t="str">
        <f t="shared" si="315"/>
        <v>07</v>
      </c>
      <c r="O1414" s="14">
        <f t="shared" si="316"/>
        <v>22</v>
      </c>
      <c r="P1414" s="4">
        <v>49934.83</v>
      </c>
      <c r="R1414" s="6">
        <v>522</v>
      </c>
      <c r="S1414" s="5">
        <f t="shared" si="318"/>
        <v>95.660593869731798</v>
      </c>
      <c r="T1414" s="5" t="s">
        <v>511</v>
      </c>
      <c r="U1414" s="3" t="s">
        <v>2</v>
      </c>
      <c r="V1414" s="3" t="s">
        <v>4</v>
      </c>
      <c r="W1414" s="3" t="s">
        <v>1177</v>
      </c>
    </row>
    <row r="1415" spans="1:23" hidden="1">
      <c r="J1415" s="1" t="str">
        <f t="shared" si="311"/>
        <v>0</v>
      </c>
      <c r="K1415" s="3">
        <f t="shared" si="312"/>
        <v>-100</v>
      </c>
      <c r="L1415" s="3">
        <f t="shared" si="313"/>
        <v>1</v>
      </c>
      <c r="M1415" s="3">
        <f t="shared" si="314"/>
        <v>0</v>
      </c>
      <c r="N1415" s="3" t="str">
        <f t="shared" si="315"/>
        <v>01</v>
      </c>
      <c r="O1415" s="14" t="str">
        <f t="shared" si="316"/>
        <v>00</v>
      </c>
      <c r="R1415" s="6">
        <v>518</v>
      </c>
      <c r="S1415" s="5">
        <f t="shared" si="318"/>
        <v>0</v>
      </c>
    </row>
    <row r="1416" spans="1:23" hidden="1">
      <c r="J1416" s="1" t="str">
        <f t="shared" si="311"/>
        <v>0</v>
      </c>
      <c r="K1416" s="3">
        <f t="shared" si="312"/>
        <v>-100</v>
      </c>
      <c r="L1416" s="3">
        <f t="shared" si="313"/>
        <v>1</v>
      </c>
      <c r="M1416" s="3">
        <f t="shared" si="314"/>
        <v>0</v>
      </c>
      <c r="N1416" s="3" t="str">
        <f t="shared" si="315"/>
        <v>01</v>
      </c>
      <c r="O1416" s="14" t="str">
        <f t="shared" si="316"/>
        <v>00</v>
      </c>
      <c r="R1416" s="6">
        <v>518</v>
      </c>
      <c r="S1416" s="5">
        <f t="shared" si="318"/>
        <v>0</v>
      </c>
    </row>
    <row r="1417" spans="1:23" hidden="1">
      <c r="J1417" s="1" t="str">
        <f t="shared" si="311"/>
        <v>0</v>
      </c>
      <c r="K1417" s="3">
        <f t="shared" si="312"/>
        <v>-100</v>
      </c>
      <c r="L1417" s="3">
        <f t="shared" si="313"/>
        <v>1</v>
      </c>
      <c r="M1417" s="3">
        <f t="shared" si="314"/>
        <v>0</v>
      </c>
      <c r="N1417" s="3" t="str">
        <f t="shared" si="315"/>
        <v>01</v>
      </c>
      <c r="O1417" s="14" t="str">
        <f t="shared" si="316"/>
        <v>00</v>
      </c>
      <c r="R1417" s="6">
        <v>518</v>
      </c>
      <c r="S1417" s="5">
        <f t="shared" si="318"/>
        <v>0</v>
      </c>
    </row>
    <row r="1418" spans="1:23" hidden="1">
      <c r="J1418" s="1" t="str">
        <f t="shared" si="311"/>
        <v>0</v>
      </c>
      <c r="K1418" s="3">
        <f t="shared" si="312"/>
        <v>-100</v>
      </c>
      <c r="L1418" s="3">
        <f t="shared" si="313"/>
        <v>1</v>
      </c>
      <c r="M1418" s="3">
        <f t="shared" si="314"/>
        <v>0</v>
      </c>
      <c r="N1418" s="3" t="str">
        <f t="shared" si="315"/>
        <v>01</v>
      </c>
      <c r="O1418" s="14" t="str">
        <f t="shared" si="316"/>
        <v>00</v>
      </c>
      <c r="R1418" s="6">
        <v>518</v>
      </c>
      <c r="S1418" s="5">
        <f t="shared" si="318"/>
        <v>0</v>
      </c>
    </row>
    <row r="1419" spans="1:23">
      <c r="A1419" s="3">
        <v>1321</v>
      </c>
      <c r="B1419" s="1">
        <f>IF(G1419="-",0,IF(G1418=G1419,1,0))</f>
        <v>0</v>
      </c>
      <c r="C1419" s="1">
        <f>+IF(G1419="-",0,IF(I1419=I1418+1,0,(IF(I1419=1,0,1))))</f>
        <v>1</v>
      </c>
      <c r="D1419" s="1">
        <f>+IF(AND(P1419="",Q1419=""),1,0)</f>
        <v>0</v>
      </c>
      <c r="E1419" s="1">
        <f>IF(U1419="",1,0)</f>
        <v>0</v>
      </c>
      <c r="F1419" s="1">
        <f>IF(V1419="",1,0)</f>
        <v>0</v>
      </c>
      <c r="G1419" s="1" t="str">
        <f>IF(H1419=0,"-",_xlfn.CONCAT(K1419,N1419,O1419,J1419))</f>
        <v>24072205</v>
      </c>
      <c r="H1419" s="2">
        <v>45495</v>
      </c>
      <c r="I1419" s="36">
        <v>5</v>
      </c>
      <c r="J1419" s="1" t="str">
        <f t="shared" si="311"/>
        <v>05</v>
      </c>
      <c r="K1419" s="3">
        <f t="shared" si="312"/>
        <v>24</v>
      </c>
      <c r="L1419" s="3">
        <f t="shared" si="313"/>
        <v>7</v>
      </c>
      <c r="M1419" s="3">
        <f t="shared" si="314"/>
        <v>22</v>
      </c>
      <c r="N1419" s="3" t="str">
        <f t="shared" si="315"/>
        <v>07</v>
      </c>
      <c r="O1419" s="14">
        <f t="shared" si="316"/>
        <v>22</v>
      </c>
      <c r="P1419" s="4">
        <v>10000</v>
      </c>
      <c r="R1419" s="6">
        <v>522</v>
      </c>
      <c r="S1419" s="5">
        <f t="shared" si="318"/>
        <v>19.157088122605366</v>
      </c>
      <c r="T1419" s="5" t="s">
        <v>784</v>
      </c>
      <c r="U1419" s="3" t="s">
        <v>29</v>
      </c>
      <c r="V1419" s="3" t="s">
        <v>4</v>
      </c>
    </row>
    <row r="1420" spans="1:23">
      <c r="A1420" s="3">
        <v>2813</v>
      </c>
      <c r="B1420" s="1">
        <f>IF(G1420="-",0,IF(G1419=G1420,1,0))</f>
        <v>0</v>
      </c>
      <c r="C1420" s="1">
        <f>+IF(G1420="-",0,IF(I1420=I1419+1,0,(IF(I1420=1,0,1))))</f>
        <v>0</v>
      </c>
      <c r="D1420" s="1">
        <f>+IF(AND(P1420="",Q1420=""),1,0)</f>
        <v>0</v>
      </c>
      <c r="E1420" s="1">
        <f>IF(U1420="",1,0)</f>
        <v>0</v>
      </c>
      <c r="F1420" s="1">
        <f>IF(V1420="",1,0)</f>
        <v>0</v>
      </c>
      <c r="G1420" s="1" t="str">
        <f>IF(H1420=0,"-",_xlfn.CONCAT(K1420,N1420,O1420,J1420))</f>
        <v>24072206</v>
      </c>
      <c r="H1420" s="2">
        <v>45495</v>
      </c>
      <c r="I1420" s="36">
        <v>6</v>
      </c>
      <c r="J1420" s="1" t="str">
        <f t="shared" si="311"/>
        <v>06</v>
      </c>
      <c r="K1420" s="3">
        <f t="shared" si="312"/>
        <v>24</v>
      </c>
      <c r="L1420" s="3">
        <f t="shared" si="313"/>
        <v>7</v>
      </c>
      <c r="M1420" s="3">
        <f t="shared" si="314"/>
        <v>22</v>
      </c>
      <c r="N1420" s="3" t="str">
        <f t="shared" si="315"/>
        <v>07</v>
      </c>
      <c r="O1420" s="14">
        <f t="shared" si="316"/>
        <v>22</v>
      </c>
      <c r="P1420" s="4">
        <v>61310.27</v>
      </c>
      <c r="T1420" s="5" t="s">
        <v>1234</v>
      </c>
      <c r="U1420" s="3" t="s">
        <v>29</v>
      </c>
      <c r="V1420" s="3" t="s">
        <v>4</v>
      </c>
    </row>
    <row r="1421" spans="1:23" hidden="1">
      <c r="J1421" s="1" t="str">
        <f t="shared" ref="J1421:J1484" si="327">+IF(I1421&lt;10,_xlfn.CONCAT("0",I1421),I1421)</f>
        <v>0</v>
      </c>
      <c r="K1421" s="3">
        <f t="shared" ref="K1421:K1484" si="328">+YEAR(H1421)-2000</f>
        <v>-100</v>
      </c>
      <c r="L1421" s="3">
        <f t="shared" ref="L1421:L1484" si="329">+MONTH(H1421)</f>
        <v>1</v>
      </c>
      <c r="M1421" s="3">
        <f t="shared" ref="M1421:M1484" si="330">+DAY(H1421)</f>
        <v>0</v>
      </c>
      <c r="N1421" s="3" t="str">
        <f t="shared" ref="N1421:N1484" si="331">+IF(L1421&lt;10,_xlfn.CONCAT("0",L1421),L1421)</f>
        <v>01</v>
      </c>
      <c r="O1421" s="14" t="str">
        <f t="shared" ref="O1421:O1484" si="332">+IF(M1421&lt;10,_xlfn.CONCAT("0",M1421),M1421)</f>
        <v>00</v>
      </c>
      <c r="S1421" s="5" t="str">
        <f t="shared" ref="S1421:S1431" si="333">IFERROR(P1421/R1421,"")</f>
        <v/>
      </c>
    </row>
    <row r="1422" spans="1:23" hidden="1">
      <c r="J1422" s="1" t="str">
        <f t="shared" si="327"/>
        <v>0</v>
      </c>
      <c r="K1422" s="3">
        <f t="shared" si="328"/>
        <v>-100</v>
      </c>
      <c r="L1422" s="3">
        <f t="shared" si="329"/>
        <v>1</v>
      </c>
      <c r="M1422" s="3">
        <f t="shared" si="330"/>
        <v>0</v>
      </c>
      <c r="N1422" s="3" t="str">
        <f t="shared" si="331"/>
        <v>01</v>
      </c>
      <c r="O1422" s="14" t="str">
        <f t="shared" si="332"/>
        <v>00</v>
      </c>
      <c r="S1422" s="5" t="str">
        <f t="shared" si="333"/>
        <v/>
      </c>
    </row>
    <row r="1423" spans="1:23" hidden="1">
      <c r="J1423" s="1" t="str">
        <f t="shared" si="327"/>
        <v>0</v>
      </c>
      <c r="K1423" s="3">
        <f t="shared" si="328"/>
        <v>-100</v>
      </c>
      <c r="L1423" s="3">
        <f t="shared" si="329"/>
        <v>1</v>
      </c>
      <c r="M1423" s="3">
        <f t="shared" si="330"/>
        <v>0</v>
      </c>
      <c r="N1423" s="3" t="str">
        <f t="shared" si="331"/>
        <v>01</v>
      </c>
      <c r="O1423" s="14" t="str">
        <f t="shared" si="332"/>
        <v>00</v>
      </c>
      <c r="S1423" s="5" t="str">
        <f t="shared" si="333"/>
        <v/>
      </c>
    </row>
    <row r="1424" spans="1:23" hidden="1">
      <c r="J1424" s="1" t="str">
        <f t="shared" si="327"/>
        <v>0</v>
      </c>
      <c r="K1424" s="3">
        <f t="shared" si="328"/>
        <v>-100</v>
      </c>
      <c r="L1424" s="3">
        <f t="shared" si="329"/>
        <v>1</v>
      </c>
      <c r="M1424" s="3">
        <f t="shared" si="330"/>
        <v>0</v>
      </c>
      <c r="N1424" s="3" t="str">
        <f t="shared" si="331"/>
        <v>01</v>
      </c>
      <c r="O1424" s="14" t="str">
        <f t="shared" si="332"/>
        <v>00</v>
      </c>
      <c r="S1424" s="5" t="str">
        <f t="shared" si="333"/>
        <v/>
      </c>
    </row>
    <row r="1425" spans="1:22" hidden="1">
      <c r="J1425" s="1" t="str">
        <f t="shared" si="327"/>
        <v>0</v>
      </c>
      <c r="K1425" s="3">
        <f t="shared" si="328"/>
        <v>-100</v>
      </c>
      <c r="L1425" s="3">
        <f t="shared" si="329"/>
        <v>1</v>
      </c>
      <c r="M1425" s="3">
        <f t="shared" si="330"/>
        <v>0</v>
      </c>
      <c r="N1425" s="3" t="str">
        <f t="shared" si="331"/>
        <v>01</v>
      </c>
      <c r="O1425" s="14" t="str">
        <f t="shared" si="332"/>
        <v>00</v>
      </c>
      <c r="S1425" s="5" t="str">
        <f t="shared" si="333"/>
        <v/>
      </c>
    </row>
    <row r="1426" spans="1:22" hidden="1">
      <c r="J1426" s="1" t="str">
        <f t="shared" si="327"/>
        <v>0</v>
      </c>
      <c r="K1426" s="3">
        <f t="shared" si="328"/>
        <v>-100</v>
      </c>
      <c r="L1426" s="3">
        <f t="shared" si="329"/>
        <v>1</v>
      </c>
      <c r="M1426" s="3">
        <f t="shared" si="330"/>
        <v>0</v>
      </c>
      <c r="N1426" s="3" t="str">
        <f t="shared" si="331"/>
        <v>01</v>
      </c>
      <c r="O1426" s="14" t="str">
        <f t="shared" si="332"/>
        <v>00</v>
      </c>
      <c r="S1426" s="5" t="str">
        <f t="shared" si="333"/>
        <v/>
      </c>
    </row>
    <row r="1427" spans="1:22" hidden="1">
      <c r="J1427" s="1" t="str">
        <f t="shared" si="327"/>
        <v>0</v>
      </c>
      <c r="K1427" s="3">
        <f t="shared" si="328"/>
        <v>-100</v>
      </c>
      <c r="L1427" s="3">
        <f t="shared" si="329"/>
        <v>1</v>
      </c>
      <c r="M1427" s="3">
        <f t="shared" si="330"/>
        <v>0</v>
      </c>
      <c r="N1427" s="3" t="str">
        <f t="shared" si="331"/>
        <v>01</v>
      </c>
      <c r="O1427" s="14" t="str">
        <f t="shared" si="332"/>
        <v>00</v>
      </c>
      <c r="S1427" s="5" t="str">
        <f t="shared" si="333"/>
        <v/>
      </c>
    </row>
    <row r="1428" spans="1:22" hidden="1">
      <c r="J1428" s="1" t="str">
        <f t="shared" si="327"/>
        <v>0</v>
      </c>
      <c r="K1428" s="3">
        <f t="shared" si="328"/>
        <v>-100</v>
      </c>
      <c r="L1428" s="3">
        <f t="shared" si="329"/>
        <v>1</v>
      </c>
      <c r="M1428" s="3">
        <f t="shared" si="330"/>
        <v>0</v>
      </c>
      <c r="N1428" s="3" t="str">
        <f t="shared" si="331"/>
        <v>01</v>
      </c>
      <c r="O1428" s="14" t="str">
        <f t="shared" si="332"/>
        <v>00</v>
      </c>
      <c r="S1428" s="5" t="str">
        <f t="shared" si="333"/>
        <v/>
      </c>
    </row>
    <row r="1429" spans="1:22" hidden="1">
      <c r="J1429" s="1" t="str">
        <f t="shared" si="327"/>
        <v>0</v>
      </c>
      <c r="K1429" s="3">
        <f t="shared" si="328"/>
        <v>-100</v>
      </c>
      <c r="L1429" s="3">
        <f t="shared" si="329"/>
        <v>1</v>
      </c>
      <c r="M1429" s="3">
        <f t="shared" si="330"/>
        <v>0</v>
      </c>
      <c r="N1429" s="3" t="str">
        <f t="shared" si="331"/>
        <v>01</v>
      </c>
      <c r="O1429" s="14" t="str">
        <f t="shared" si="332"/>
        <v>00</v>
      </c>
      <c r="S1429" s="5" t="str">
        <f t="shared" si="333"/>
        <v/>
      </c>
    </row>
    <row r="1430" spans="1:22" hidden="1">
      <c r="J1430" s="1" t="str">
        <f t="shared" si="327"/>
        <v>0</v>
      </c>
      <c r="K1430" s="3">
        <f t="shared" si="328"/>
        <v>-100</v>
      </c>
      <c r="L1430" s="3">
        <f t="shared" si="329"/>
        <v>1</v>
      </c>
      <c r="M1430" s="3">
        <f t="shared" si="330"/>
        <v>0</v>
      </c>
      <c r="N1430" s="3" t="str">
        <f t="shared" si="331"/>
        <v>01</v>
      </c>
      <c r="O1430" s="14" t="str">
        <f t="shared" si="332"/>
        <v>00</v>
      </c>
      <c r="S1430" s="5" t="str">
        <f t="shared" si="333"/>
        <v/>
      </c>
    </row>
    <row r="1431" spans="1:22" hidden="1">
      <c r="J1431" s="1" t="str">
        <f t="shared" si="327"/>
        <v>0</v>
      </c>
      <c r="K1431" s="3">
        <f t="shared" si="328"/>
        <v>-100</v>
      </c>
      <c r="L1431" s="3">
        <f t="shared" si="329"/>
        <v>1</v>
      </c>
      <c r="M1431" s="3">
        <f t="shared" si="330"/>
        <v>0</v>
      </c>
      <c r="N1431" s="3" t="str">
        <f t="shared" si="331"/>
        <v>01</v>
      </c>
      <c r="O1431" s="14" t="str">
        <f t="shared" si="332"/>
        <v>00</v>
      </c>
      <c r="S1431" s="5" t="str">
        <f t="shared" si="333"/>
        <v/>
      </c>
    </row>
    <row r="1432" spans="1:22" hidden="1">
      <c r="J1432" s="1" t="str">
        <f t="shared" si="327"/>
        <v>0</v>
      </c>
      <c r="K1432" s="3">
        <f t="shared" si="328"/>
        <v>-100</v>
      </c>
      <c r="L1432" s="3">
        <f t="shared" si="329"/>
        <v>1</v>
      </c>
      <c r="M1432" s="3">
        <f t="shared" si="330"/>
        <v>0</v>
      </c>
      <c r="N1432" s="3" t="str">
        <f t="shared" si="331"/>
        <v>01</v>
      </c>
      <c r="O1432" s="14" t="str">
        <f t="shared" si="332"/>
        <v>00</v>
      </c>
    </row>
    <row r="1433" spans="1:22">
      <c r="A1433" s="3">
        <v>1326</v>
      </c>
      <c r="B1433" s="1">
        <f>IF(G1433="-",0,IF(G1432=G1433,1,0))</f>
        <v>0</v>
      </c>
      <c r="C1433" s="1">
        <f>+IF(G1433="-",0,IF(I1433=I1432+1,0,(IF(I1433=1,0,1))))</f>
        <v>1</v>
      </c>
      <c r="D1433" s="1">
        <f>+IF(AND(P1433="",Q1433=""),1,0)</f>
        <v>0</v>
      </c>
      <c r="E1433" s="1">
        <f>IF(U1433="",1,0)</f>
        <v>0</v>
      </c>
      <c r="F1433" s="1">
        <f>IF(V1433="",1,0)</f>
        <v>0</v>
      </c>
      <c r="G1433" s="1" t="str">
        <f>IF(H1433=0,"-",_xlfn.CONCAT(K1433,N1433,O1433,J1433))</f>
        <v>24072305</v>
      </c>
      <c r="H1433" s="2">
        <v>45496</v>
      </c>
      <c r="I1433" s="36">
        <v>5</v>
      </c>
      <c r="J1433" s="1" t="str">
        <f t="shared" si="327"/>
        <v>05</v>
      </c>
      <c r="K1433" s="3">
        <f t="shared" si="328"/>
        <v>24</v>
      </c>
      <c r="L1433" s="3">
        <f t="shared" si="329"/>
        <v>7</v>
      </c>
      <c r="M1433" s="3">
        <f t="shared" si="330"/>
        <v>23</v>
      </c>
      <c r="N1433" s="3" t="str">
        <f t="shared" si="331"/>
        <v>07</v>
      </c>
      <c r="O1433" s="14">
        <f t="shared" si="332"/>
        <v>23</v>
      </c>
      <c r="P1433" s="4">
        <v>17550.689999999999</v>
      </c>
      <c r="R1433" s="6">
        <v>519</v>
      </c>
      <c r="S1433" s="5">
        <f t="shared" ref="S1433:S1464" si="334">IFERROR(P1433/R1433,"")</f>
        <v>33.816358381502887</v>
      </c>
      <c r="T1433" s="5" t="s">
        <v>508</v>
      </c>
      <c r="U1433" s="3" t="s">
        <v>29</v>
      </c>
      <c r="V1433" s="3" t="s">
        <v>4</v>
      </c>
    </row>
    <row r="1434" spans="1:22" hidden="1">
      <c r="J1434" s="1" t="str">
        <f t="shared" si="327"/>
        <v>0</v>
      </c>
      <c r="K1434" s="3">
        <f t="shared" si="328"/>
        <v>-100</v>
      </c>
      <c r="L1434" s="3">
        <f t="shared" si="329"/>
        <v>1</v>
      </c>
      <c r="M1434" s="3">
        <f t="shared" si="330"/>
        <v>0</v>
      </c>
      <c r="N1434" s="3" t="str">
        <f t="shared" si="331"/>
        <v>01</v>
      </c>
      <c r="O1434" s="14" t="str">
        <f t="shared" si="332"/>
        <v>00</v>
      </c>
      <c r="R1434" s="6">
        <v>516</v>
      </c>
      <c r="S1434" s="5">
        <f t="shared" si="334"/>
        <v>0</v>
      </c>
    </row>
    <row r="1435" spans="1:22" hidden="1">
      <c r="J1435" s="1" t="str">
        <f t="shared" si="327"/>
        <v>0</v>
      </c>
      <c r="K1435" s="3">
        <f t="shared" si="328"/>
        <v>-100</v>
      </c>
      <c r="L1435" s="3">
        <f t="shared" si="329"/>
        <v>1</v>
      </c>
      <c r="M1435" s="3">
        <f t="shared" si="330"/>
        <v>0</v>
      </c>
      <c r="N1435" s="3" t="str">
        <f t="shared" si="331"/>
        <v>01</v>
      </c>
      <c r="O1435" s="14" t="str">
        <f t="shared" si="332"/>
        <v>00</v>
      </c>
      <c r="R1435" s="6">
        <v>516</v>
      </c>
      <c r="S1435" s="5">
        <f t="shared" si="334"/>
        <v>0</v>
      </c>
    </row>
    <row r="1436" spans="1:22" hidden="1">
      <c r="J1436" s="1" t="str">
        <f t="shared" si="327"/>
        <v>0</v>
      </c>
      <c r="K1436" s="3">
        <f t="shared" si="328"/>
        <v>-100</v>
      </c>
      <c r="L1436" s="3">
        <f t="shared" si="329"/>
        <v>1</v>
      </c>
      <c r="M1436" s="3">
        <f t="shared" si="330"/>
        <v>0</v>
      </c>
      <c r="N1436" s="3" t="str">
        <f t="shared" si="331"/>
        <v>01</v>
      </c>
      <c r="O1436" s="14" t="str">
        <f t="shared" si="332"/>
        <v>00</v>
      </c>
      <c r="R1436" s="6">
        <v>516</v>
      </c>
      <c r="S1436" s="5">
        <f t="shared" si="334"/>
        <v>0</v>
      </c>
    </row>
    <row r="1437" spans="1:22" hidden="1">
      <c r="J1437" s="1" t="str">
        <f t="shared" si="327"/>
        <v>0</v>
      </c>
      <c r="K1437" s="3">
        <f t="shared" si="328"/>
        <v>-100</v>
      </c>
      <c r="L1437" s="3">
        <f t="shared" si="329"/>
        <v>1</v>
      </c>
      <c r="M1437" s="3">
        <f t="shared" si="330"/>
        <v>0</v>
      </c>
      <c r="N1437" s="3" t="str">
        <f t="shared" si="331"/>
        <v>01</v>
      </c>
      <c r="O1437" s="14" t="str">
        <f t="shared" si="332"/>
        <v>00</v>
      </c>
      <c r="R1437" s="6">
        <v>516</v>
      </c>
      <c r="S1437" s="5">
        <f t="shared" si="334"/>
        <v>0</v>
      </c>
    </row>
    <row r="1438" spans="1:22">
      <c r="A1438" s="3">
        <v>1327</v>
      </c>
      <c r="B1438" s="1">
        <f>IF(G1438="-",0,IF(G1437=G1438,1,0))</f>
        <v>0</v>
      </c>
      <c r="C1438" s="1">
        <f>+IF(G1438="-",0,IF(I1438=I1437+1,0,(IF(I1438=1,0,1))))</f>
        <v>1</v>
      </c>
      <c r="D1438" s="1">
        <f>+IF(AND(P1438="",Q1438=""),1,0)</f>
        <v>0</v>
      </c>
      <c r="E1438" s="1">
        <f>IF(U1438="",1,0)</f>
        <v>0</v>
      </c>
      <c r="F1438" s="1">
        <f>IF(V1438="",1,0)</f>
        <v>0</v>
      </c>
      <c r="G1438" s="1" t="str">
        <f>IF(H1438=0,"-",_xlfn.CONCAT(K1438,N1438,O1438,J1438))</f>
        <v>24072306</v>
      </c>
      <c r="H1438" s="2">
        <v>45496</v>
      </c>
      <c r="I1438" s="36">
        <v>6</v>
      </c>
      <c r="J1438" s="1" t="str">
        <f t="shared" si="327"/>
        <v>06</v>
      </c>
      <c r="K1438" s="3">
        <f t="shared" si="328"/>
        <v>24</v>
      </c>
      <c r="L1438" s="3">
        <f t="shared" si="329"/>
        <v>7</v>
      </c>
      <c r="M1438" s="3">
        <f t="shared" si="330"/>
        <v>23</v>
      </c>
      <c r="N1438" s="3" t="str">
        <f t="shared" si="331"/>
        <v>07</v>
      </c>
      <c r="O1438" s="14">
        <f t="shared" si="332"/>
        <v>23</v>
      </c>
      <c r="P1438" s="4">
        <v>17100.37</v>
      </c>
      <c r="R1438" s="6">
        <v>519</v>
      </c>
      <c r="S1438" s="5">
        <f t="shared" si="334"/>
        <v>32.948689788053947</v>
      </c>
      <c r="T1438" s="5" t="s">
        <v>507</v>
      </c>
      <c r="U1438" s="3" t="s">
        <v>29</v>
      </c>
      <c r="V1438" s="3" t="s">
        <v>4</v>
      </c>
    </row>
    <row r="1439" spans="1:22" hidden="1">
      <c r="J1439" s="1" t="str">
        <f t="shared" si="327"/>
        <v>0</v>
      </c>
      <c r="K1439" s="3">
        <f t="shared" si="328"/>
        <v>-100</v>
      </c>
      <c r="L1439" s="3">
        <f t="shared" si="329"/>
        <v>1</v>
      </c>
      <c r="M1439" s="3">
        <f t="shared" si="330"/>
        <v>0</v>
      </c>
      <c r="N1439" s="3" t="str">
        <f t="shared" si="331"/>
        <v>01</v>
      </c>
      <c r="O1439" s="14" t="str">
        <f t="shared" si="332"/>
        <v>00</v>
      </c>
      <c r="R1439" s="6">
        <v>516</v>
      </c>
      <c r="S1439" s="5">
        <f t="shared" si="334"/>
        <v>0</v>
      </c>
    </row>
    <row r="1440" spans="1:22" hidden="1">
      <c r="J1440" s="1" t="str">
        <f t="shared" si="327"/>
        <v>0</v>
      </c>
      <c r="K1440" s="3">
        <f t="shared" si="328"/>
        <v>-100</v>
      </c>
      <c r="L1440" s="3">
        <f t="shared" si="329"/>
        <v>1</v>
      </c>
      <c r="M1440" s="3">
        <f t="shared" si="330"/>
        <v>0</v>
      </c>
      <c r="N1440" s="3" t="str">
        <f t="shared" si="331"/>
        <v>01</v>
      </c>
      <c r="O1440" s="14" t="str">
        <f t="shared" si="332"/>
        <v>00</v>
      </c>
      <c r="R1440" s="6">
        <v>516</v>
      </c>
      <c r="S1440" s="5">
        <f t="shared" si="334"/>
        <v>0</v>
      </c>
    </row>
    <row r="1441" spans="1:22" hidden="1">
      <c r="J1441" s="1" t="str">
        <f t="shared" si="327"/>
        <v>0</v>
      </c>
      <c r="K1441" s="3">
        <f t="shared" si="328"/>
        <v>-100</v>
      </c>
      <c r="L1441" s="3">
        <f t="shared" si="329"/>
        <v>1</v>
      </c>
      <c r="M1441" s="3">
        <f t="shared" si="330"/>
        <v>0</v>
      </c>
      <c r="N1441" s="3" t="str">
        <f t="shared" si="331"/>
        <v>01</v>
      </c>
      <c r="O1441" s="14" t="str">
        <f t="shared" si="332"/>
        <v>00</v>
      </c>
      <c r="R1441" s="6">
        <v>516</v>
      </c>
      <c r="S1441" s="5">
        <f t="shared" si="334"/>
        <v>0</v>
      </c>
    </row>
    <row r="1442" spans="1:22" hidden="1">
      <c r="J1442" s="1" t="str">
        <f t="shared" si="327"/>
        <v>0</v>
      </c>
      <c r="K1442" s="3">
        <f t="shared" si="328"/>
        <v>-100</v>
      </c>
      <c r="L1442" s="3">
        <f t="shared" si="329"/>
        <v>1</v>
      </c>
      <c r="M1442" s="3">
        <f t="shared" si="330"/>
        <v>0</v>
      </c>
      <c r="N1442" s="3" t="str">
        <f t="shared" si="331"/>
        <v>01</v>
      </c>
      <c r="O1442" s="14" t="str">
        <f t="shared" si="332"/>
        <v>00</v>
      </c>
      <c r="S1442" s="5" t="str">
        <f t="shared" si="334"/>
        <v/>
      </c>
    </row>
    <row r="1443" spans="1:22" hidden="1">
      <c r="J1443" s="1" t="str">
        <f t="shared" si="327"/>
        <v>0</v>
      </c>
      <c r="K1443" s="3">
        <f t="shared" si="328"/>
        <v>-100</v>
      </c>
      <c r="L1443" s="3">
        <f t="shared" si="329"/>
        <v>1</v>
      </c>
      <c r="M1443" s="3">
        <f t="shared" si="330"/>
        <v>0</v>
      </c>
      <c r="N1443" s="3" t="str">
        <f t="shared" si="331"/>
        <v>01</v>
      </c>
      <c r="O1443" s="14" t="str">
        <f t="shared" si="332"/>
        <v>00</v>
      </c>
      <c r="R1443" s="6">
        <v>516</v>
      </c>
      <c r="S1443" s="5">
        <f t="shared" si="334"/>
        <v>0</v>
      </c>
    </row>
    <row r="1444" spans="1:22" hidden="1">
      <c r="J1444" s="1" t="str">
        <f t="shared" si="327"/>
        <v>0</v>
      </c>
      <c r="K1444" s="3">
        <f t="shared" si="328"/>
        <v>-100</v>
      </c>
      <c r="L1444" s="3">
        <f t="shared" si="329"/>
        <v>1</v>
      </c>
      <c r="M1444" s="3">
        <f t="shared" si="330"/>
        <v>0</v>
      </c>
      <c r="N1444" s="3" t="str">
        <f t="shared" si="331"/>
        <v>01</v>
      </c>
      <c r="O1444" s="14" t="str">
        <f t="shared" si="332"/>
        <v>00</v>
      </c>
      <c r="R1444" s="6">
        <v>516</v>
      </c>
      <c r="S1444" s="5">
        <f t="shared" si="334"/>
        <v>0</v>
      </c>
    </row>
    <row r="1445" spans="1:22" hidden="1">
      <c r="J1445" s="1" t="str">
        <f t="shared" si="327"/>
        <v>0</v>
      </c>
      <c r="K1445" s="3">
        <f t="shared" si="328"/>
        <v>-100</v>
      </c>
      <c r="L1445" s="3">
        <f t="shared" si="329"/>
        <v>1</v>
      </c>
      <c r="M1445" s="3">
        <f t="shared" si="330"/>
        <v>0</v>
      </c>
      <c r="N1445" s="3" t="str">
        <f t="shared" si="331"/>
        <v>01</v>
      </c>
      <c r="O1445" s="14" t="str">
        <f t="shared" si="332"/>
        <v>00</v>
      </c>
      <c r="R1445" s="6">
        <v>516</v>
      </c>
      <c r="S1445" s="5">
        <f t="shared" si="334"/>
        <v>0</v>
      </c>
    </row>
    <row r="1446" spans="1:22">
      <c r="A1446" s="3">
        <v>1331</v>
      </c>
      <c r="B1446" s="1">
        <f>IF(G1446="-",0,IF(G1445=G1446,1,0))</f>
        <v>0</v>
      </c>
      <c r="C1446" s="1">
        <f>+IF(G1446="-",0,IF(I1446=I1445+1,0,(IF(I1446=1,0,1))))</f>
        <v>1</v>
      </c>
      <c r="D1446" s="1">
        <f>+IF(AND(P1446="",Q1446=""),1,0)</f>
        <v>0</v>
      </c>
      <c r="E1446" s="1">
        <f>IF(U1446="",1,0)</f>
        <v>0</v>
      </c>
      <c r="F1446" s="1">
        <f>IF(V1446="",1,0)</f>
        <v>0</v>
      </c>
      <c r="G1446" s="1" t="str">
        <f>IF(H1446=0,"-",_xlfn.CONCAT(K1446,N1446,O1446,J1446))</f>
        <v>24072310</v>
      </c>
      <c r="H1446" s="2">
        <v>45496</v>
      </c>
      <c r="I1446" s="36">
        <v>10</v>
      </c>
      <c r="J1446" s="1">
        <f t="shared" si="327"/>
        <v>10</v>
      </c>
      <c r="K1446" s="3">
        <f t="shared" si="328"/>
        <v>24</v>
      </c>
      <c r="L1446" s="3">
        <f t="shared" si="329"/>
        <v>7</v>
      </c>
      <c r="M1446" s="3">
        <f t="shared" si="330"/>
        <v>23</v>
      </c>
      <c r="N1446" s="3" t="str">
        <f t="shared" si="331"/>
        <v>07</v>
      </c>
      <c r="O1446" s="14">
        <f t="shared" si="332"/>
        <v>23</v>
      </c>
      <c r="P1446" s="4">
        <v>10380</v>
      </c>
      <c r="S1446" s="5" t="str">
        <f t="shared" si="334"/>
        <v/>
      </c>
      <c r="T1446" s="5" t="s">
        <v>788</v>
      </c>
      <c r="U1446" s="3" t="s">
        <v>29</v>
      </c>
      <c r="V1446" s="3" t="s">
        <v>4</v>
      </c>
    </row>
    <row r="1447" spans="1:22" hidden="1">
      <c r="J1447" s="1" t="str">
        <f t="shared" si="327"/>
        <v>0</v>
      </c>
      <c r="K1447" s="3">
        <f t="shared" si="328"/>
        <v>-100</v>
      </c>
      <c r="L1447" s="3">
        <f t="shared" si="329"/>
        <v>1</v>
      </c>
      <c r="M1447" s="3">
        <f t="shared" si="330"/>
        <v>0</v>
      </c>
      <c r="N1447" s="3" t="str">
        <f t="shared" si="331"/>
        <v>01</v>
      </c>
      <c r="O1447" s="14" t="str">
        <f t="shared" si="332"/>
        <v>00</v>
      </c>
      <c r="P1447" s="11"/>
      <c r="R1447" s="6">
        <v>516</v>
      </c>
      <c r="S1447" s="5">
        <f t="shared" si="334"/>
        <v>0</v>
      </c>
    </row>
    <row r="1448" spans="1:22">
      <c r="A1448" s="3">
        <v>1332</v>
      </c>
      <c r="B1448" s="1">
        <f>IF(G1448="-",0,IF(G1447=G1448,1,0))</f>
        <v>0</v>
      </c>
      <c r="C1448" s="1">
        <f>+IF(G1448="-",0,IF(I1448=I1447+1,0,(IF(I1448=1,0,1))))</f>
        <v>0</v>
      </c>
      <c r="D1448" s="1">
        <f>+IF(AND(P1448="",Q1448=""),1,0)</f>
        <v>0</v>
      </c>
      <c r="E1448" s="1">
        <f>IF(U1448="",1,0)</f>
        <v>0</v>
      </c>
      <c r="F1448" s="1">
        <f>IF(V1448="",1,0)</f>
        <v>0</v>
      </c>
      <c r="G1448" s="1" t="str">
        <f>IF(H1448=0,"-",_xlfn.CONCAT(K1448,N1448,O1448,J1448))</f>
        <v>24072401</v>
      </c>
      <c r="H1448" s="2">
        <v>45497</v>
      </c>
      <c r="I1448" s="36">
        <v>1</v>
      </c>
      <c r="J1448" s="1" t="str">
        <f t="shared" si="327"/>
        <v>01</v>
      </c>
      <c r="K1448" s="3">
        <f t="shared" si="328"/>
        <v>24</v>
      </c>
      <c r="L1448" s="3">
        <f t="shared" si="329"/>
        <v>7</v>
      </c>
      <c r="M1448" s="3">
        <f t="shared" si="330"/>
        <v>24</v>
      </c>
      <c r="N1448" s="3" t="str">
        <f t="shared" si="331"/>
        <v>07</v>
      </c>
      <c r="O1448" s="14">
        <f t="shared" si="332"/>
        <v>24</v>
      </c>
      <c r="P1448" s="4">
        <v>10970</v>
      </c>
      <c r="R1448" s="6">
        <v>518</v>
      </c>
      <c r="S1448" s="5">
        <f t="shared" si="334"/>
        <v>21.177606177606176</v>
      </c>
      <c r="T1448" s="5" t="s">
        <v>87</v>
      </c>
      <c r="U1448" s="3" t="s">
        <v>29</v>
      </c>
      <c r="V1448" s="3" t="s">
        <v>4</v>
      </c>
    </row>
    <row r="1449" spans="1:22" hidden="1">
      <c r="J1449" s="1" t="str">
        <f t="shared" si="327"/>
        <v>0</v>
      </c>
      <c r="K1449" s="3">
        <f t="shared" si="328"/>
        <v>-100</v>
      </c>
      <c r="L1449" s="3">
        <f t="shared" si="329"/>
        <v>1</v>
      </c>
      <c r="M1449" s="3">
        <f t="shared" si="330"/>
        <v>0</v>
      </c>
      <c r="N1449" s="3" t="str">
        <f t="shared" si="331"/>
        <v>01</v>
      </c>
      <c r="O1449" s="14" t="str">
        <f t="shared" si="332"/>
        <v>00</v>
      </c>
      <c r="P1449" s="11"/>
      <c r="R1449" s="6">
        <v>516</v>
      </c>
      <c r="S1449" s="5">
        <f t="shared" si="334"/>
        <v>0</v>
      </c>
    </row>
    <row r="1450" spans="1:22" hidden="1">
      <c r="J1450" s="1" t="str">
        <f t="shared" si="327"/>
        <v>0</v>
      </c>
      <c r="K1450" s="3">
        <f t="shared" si="328"/>
        <v>-100</v>
      </c>
      <c r="L1450" s="3">
        <f t="shared" si="329"/>
        <v>1</v>
      </c>
      <c r="M1450" s="3">
        <f t="shared" si="330"/>
        <v>0</v>
      </c>
      <c r="N1450" s="3" t="str">
        <f t="shared" si="331"/>
        <v>01</v>
      </c>
      <c r="O1450" s="14" t="str">
        <f t="shared" si="332"/>
        <v>00</v>
      </c>
      <c r="P1450" s="11"/>
      <c r="R1450" s="6">
        <v>516</v>
      </c>
      <c r="S1450" s="5">
        <f t="shared" si="334"/>
        <v>0</v>
      </c>
    </row>
    <row r="1451" spans="1:22" hidden="1">
      <c r="J1451" s="1" t="str">
        <f t="shared" si="327"/>
        <v>0</v>
      </c>
      <c r="K1451" s="3">
        <f t="shared" si="328"/>
        <v>-100</v>
      </c>
      <c r="L1451" s="3">
        <f t="shared" si="329"/>
        <v>1</v>
      </c>
      <c r="M1451" s="3">
        <f t="shared" si="330"/>
        <v>0</v>
      </c>
      <c r="N1451" s="3" t="str">
        <f t="shared" si="331"/>
        <v>01</v>
      </c>
      <c r="O1451" s="14" t="str">
        <f t="shared" si="332"/>
        <v>00</v>
      </c>
      <c r="P1451" s="11"/>
      <c r="R1451" s="6">
        <v>516</v>
      </c>
      <c r="S1451" s="5">
        <f t="shared" si="334"/>
        <v>0</v>
      </c>
    </row>
    <row r="1452" spans="1:22" hidden="1">
      <c r="J1452" s="1" t="str">
        <f t="shared" si="327"/>
        <v>0</v>
      </c>
      <c r="K1452" s="3">
        <f t="shared" si="328"/>
        <v>-100</v>
      </c>
      <c r="L1452" s="3">
        <f t="shared" si="329"/>
        <v>1</v>
      </c>
      <c r="M1452" s="3">
        <f t="shared" si="330"/>
        <v>0</v>
      </c>
      <c r="N1452" s="3" t="str">
        <f t="shared" si="331"/>
        <v>01</v>
      </c>
      <c r="O1452" s="14" t="str">
        <f t="shared" si="332"/>
        <v>00</v>
      </c>
      <c r="P1452" s="11"/>
      <c r="R1452" s="6">
        <v>516</v>
      </c>
      <c r="S1452" s="5">
        <f t="shared" si="334"/>
        <v>0</v>
      </c>
    </row>
    <row r="1453" spans="1:22">
      <c r="A1453" s="3">
        <v>1333</v>
      </c>
      <c r="B1453" s="1">
        <f>IF(G1453="-",0,IF(G1452=G1453,1,0))</f>
        <v>0</v>
      </c>
      <c r="C1453" s="1">
        <f>+IF(G1453="-",0,IF(I1453=I1452+1,0,(IF(I1453=1,0,1))))</f>
        <v>1</v>
      </c>
      <c r="D1453" s="1">
        <f>+IF(AND(P1453="",Q1453=""),1,0)</f>
        <v>0</v>
      </c>
      <c r="E1453" s="1">
        <f t="shared" ref="E1453:F1457" si="335">IF(U1453="",1,0)</f>
        <v>0</v>
      </c>
      <c r="F1453" s="1">
        <f t="shared" si="335"/>
        <v>0</v>
      </c>
      <c r="G1453" s="1" t="str">
        <f>IF(H1453=0,"-",_xlfn.CONCAT(K1453,N1453,O1453,J1453))</f>
        <v>24072402</v>
      </c>
      <c r="H1453" s="2">
        <v>45497</v>
      </c>
      <c r="I1453" s="36">
        <v>2</v>
      </c>
      <c r="J1453" s="1" t="str">
        <f t="shared" si="327"/>
        <v>02</v>
      </c>
      <c r="K1453" s="3">
        <f t="shared" si="328"/>
        <v>24</v>
      </c>
      <c r="L1453" s="3">
        <f t="shared" si="329"/>
        <v>7</v>
      </c>
      <c r="M1453" s="3">
        <f t="shared" si="330"/>
        <v>24</v>
      </c>
      <c r="N1453" s="3" t="str">
        <f t="shared" si="331"/>
        <v>07</v>
      </c>
      <c r="O1453" s="14">
        <f t="shared" si="332"/>
        <v>24</v>
      </c>
      <c r="P1453" s="4">
        <v>44795.35</v>
      </c>
      <c r="R1453" s="6">
        <v>518</v>
      </c>
      <c r="S1453" s="5">
        <f t="shared" si="334"/>
        <v>86.477509652509653</v>
      </c>
      <c r="T1453" s="5" t="s">
        <v>509</v>
      </c>
      <c r="U1453" s="3" t="s">
        <v>29</v>
      </c>
      <c r="V1453" s="3" t="s">
        <v>4</v>
      </c>
    </row>
    <row r="1454" spans="1:22">
      <c r="A1454" s="3">
        <v>1340</v>
      </c>
      <c r="B1454" s="1">
        <f>IF(G1454="-",0,IF(G1453=G1454,1,0))</f>
        <v>0</v>
      </c>
      <c r="C1454" s="1">
        <f>+IF(G1454="-",0,IF(I1454=I1453+1,0,(IF(I1454=1,0,1))))</f>
        <v>1</v>
      </c>
      <c r="D1454" s="1">
        <f>+IF(AND(P1454="",Q1454=""),1,0)</f>
        <v>0</v>
      </c>
      <c r="E1454" s="1">
        <f t="shared" si="335"/>
        <v>0</v>
      </c>
      <c r="F1454" s="1">
        <f t="shared" si="335"/>
        <v>0</v>
      </c>
      <c r="G1454" s="1" t="str">
        <f>IF(H1454=0,"-",_xlfn.CONCAT(K1454,N1454,O1454,J1454))</f>
        <v>24072502</v>
      </c>
      <c r="H1454" s="2">
        <v>45498</v>
      </c>
      <c r="I1454" s="36">
        <v>2</v>
      </c>
      <c r="J1454" s="1" t="str">
        <f t="shared" si="327"/>
        <v>02</v>
      </c>
      <c r="K1454" s="3">
        <f t="shared" si="328"/>
        <v>24</v>
      </c>
      <c r="L1454" s="3">
        <f t="shared" si="329"/>
        <v>7</v>
      </c>
      <c r="M1454" s="3">
        <f t="shared" si="330"/>
        <v>25</v>
      </c>
      <c r="N1454" s="3" t="str">
        <f t="shared" si="331"/>
        <v>07</v>
      </c>
      <c r="O1454" s="14">
        <f t="shared" si="332"/>
        <v>25</v>
      </c>
      <c r="P1454" s="4">
        <v>373422.14</v>
      </c>
      <c r="R1454" s="6">
        <v>518</v>
      </c>
      <c r="S1454" s="5">
        <f t="shared" si="334"/>
        <v>720.89216216216221</v>
      </c>
      <c r="T1454" s="5" t="s">
        <v>1196</v>
      </c>
      <c r="U1454" s="3" t="s">
        <v>2</v>
      </c>
      <c r="V1454" s="3" t="s">
        <v>4</v>
      </c>
    </row>
    <row r="1455" spans="1:22">
      <c r="A1455" s="3">
        <v>1344</v>
      </c>
      <c r="B1455" s="1">
        <f>IF(G1455="-",0,IF(G1454=G1455,1,0))</f>
        <v>0</v>
      </c>
      <c r="C1455" s="1">
        <f>+IF(G1455="-",0,IF(I1455=I1454+1,0,(IF(I1455=1,0,1))))</f>
        <v>1</v>
      </c>
      <c r="D1455" s="1">
        <f>+IF(AND(P1455="",Q1455=""),1,0)</f>
        <v>0</v>
      </c>
      <c r="E1455" s="1">
        <f t="shared" si="335"/>
        <v>0</v>
      </c>
      <c r="F1455" s="1">
        <f t="shared" si="335"/>
        <v>0</v>
      </c>
      <c r="G1455" s="1" t="str">
        <f>IF(H1455=0,"-",_xlfn.CONCAT(K1455,N1455,O1455,J1455))</f>
        <v>24072506</v>
      </c>
      <c r="H1455" s="2">
        <v>45498</v>
      </c>
      <c r="I1455" s="36">
        <v>6</v>
      </c>
      <c r="J1455" s="1" t="str">
        <f t="shared" si="327"/>
        <v>06</v>
      </c>
      <c r="K1455" s="3">
        <f t="shared" si="328"/>
        <v>24</v>
      </c>
      <c r="L1455" s="3">
        <f t="shared" si="329"/>
        <v>7</v>
      </c>
      <c r="M1455" s="3">
        <f t="shared" si="330"/>
        <v>25</v>
      </c>
      <c r="N1455" s="3" t="str">
        <f t="shared" si="331"/>
        <v>07</v>
      </c>
      <c r="O1455" s="14">
        <f t="shared" si="332"/>
        <v>25</v>
      </c>
      <c r="P1455" s="4">
        <v>6970.11</v>
      </c>
      <c r="R1455" s="6">
        <v>518</v>
      </c>
      <c r="S1455" s="5">
        <f t="shared" si="334"/>
        <v>13.45581081081081</v>
      </c>
      <c r="T1455" s="5" t="s">
        <v>1170</v>
      </c>
      <c r="U1455" s="3" t="s">
        <v>29</v>
      </c>
      <c r="V1455" s="3" t="s">
        <v>4</v>
      </c>
    </row>
    <row r="1456" spans="1:22">
      <c r="A1456" s="3">
        <v>1345</v>
      </c>
      <c r="B1456" s="1">
        <f>IF(G1456="-",0,IF(G1455=G1456,1,0))</f>
        <v>0</v>
      </c>
      <c r="C1456" s="1">
        <f>+IF(G1456="-",0,IF(I1456=I1455+1,0,(IF(I1456=1,0,1))))</f>
        <v>0</v>
      </c>
      <c r="D1456" s="1">
        <f>+IF(AND(P1456="",Q1456=""),1,0)</f>
        <v>0</v>
      </c>
      <c r="E1456" s="1">
        <f t="shared" si="335"/>
        <v>0</v>
      </c>
      <c r="F1456" s="1">
        <f t="shared" si="335"/>
        <v>0</v>
      </c>
      <c r="G1456" s="1" t="str">
        <f>IF(H1456=0,"-",_xlfn.CONCAT(K1456,N1456,O1456,J1456))</f>
        <v>24072507</v>
      </c>
      <c r="H1456" s="2">
        <v>45498</v>
      </c>
      <c r="I1456" s="36">
        <v>7</v>
      </c>
      <c r="J1456" s="1" t="str">
        <f t="shared" si="327"/>
        <v>07</v>
      </c>
      <c r="K1456" s="3">
        <f t="shared" si="328"/>
        <v>24</v>
      </c>
      <c r="L1456" s="3">
        <f t="shared" si="329"/>
        <v>7</v>
      </c>
      <c r="M1456" s="3">
        <f t="shared" si="330"/>
        <v>25</v>
      </c>
      <c r="N1456" s="3" t="str">
        <f t="shared" si="331"/>
        <v>07</v>
      </c>
      <c r="O1456" s="14">
        <f t="shared" si="332"/>
        <v>25</v>
      </c>
      <c r="P1456" s="4">
        <v>10000</v>
      </c>
      <c r="R1456" s="6">
        <v>518</v>
      </c>
      <c r="S1456" s="5">
        <f t="shared" si="334"/>
        <v>19.305019305019304</v>
      </c>
      <c r="T1456" s="5" t="s">
        <v>788</v>
      </c>
      <c r="U1456" s="3" t="s">
        <v>29</v>
      </c>
      <c r="V1456" s="3" t="s">
        <v>4</v>
      </c>
    </row>
    <row r="1457" spans="1:23">
      <c r="A1457" s="3">
        <v>1346</v>
      </c>
      <c r="B1457" s="1">
        <f>IF(G1457="-",0,IF(G1456=G1457,1,0))</f>
        <v>0</v>
      </c>
      <c r="C1457" s="1">
        <f>+IF(G1457="-",0,IF(I1457=I1456+1,0,(IF(I1457=1,0,1))))</f>
        <v>0</v>
      </c>
      <c r="D1457" s="1">
        <f>+IF(AND(P1457="",Q1457=""),1,0)</f>
        <v>0</v>
      </c>
      <c r="E1457" s="1">
        <f t="shared" si="335"/>
        <v>0</v>
      </c>
      <c r="F1457" s="1">
        <f t="shared" si="335"/>
        <v>0</v>
      </c>
      <c r="G1457" s="1" t="str">
        <f>IF(H1457=0,"-",_xlfn.CONCAT(K1457,N1457,O1457,J1457))</f>
        <v>24072601</v>
      </c>
      <c r="H1457" s="2">
        <v>45499</v>
      </c>
      <c r="I1457" s="36">
        <v>1</v>
      </c>
      <c r="J1457" s="1" t="str">
        <f t="shared" si="327"/>
        <v>01</v>
      </c>
      <c r="K1457" s="3">
        <f t="shared" si="328"/>
        <v>24</v>
      </c>
      <c r="L1457" s="3">
        <f t="shared" si="329"/>
        <v>7</v>
      </c>
      <c r="M1457" s="3">
        <f t="shared" si="330"/>
        <v>26</v>
      </c>
      <c r="N1457" s="3" t="str">
        <f t="shared" si="331"/>
        <v>07</v>
      </c>
      <c r="O1457" s="14">
        <f t="shared" si="332"/>
        <v>26</v>
      </c>
      <c r="P1457" s="4">
        <v>2599000</v>
      </c>
      <c r="R1457" s="6">
        <v>515</v>
      </c>
      <c r="S1457" s="5">
        <f t="shared" si="334"/>
        <v>5046.6019417475727</v>
      </c>
      <c r="T1457" s="5" t="s">
        <v>535</v>
      </c>
      <c r="U1457" s="3" t="s">
        <v>3</v>
      </c>
      <c r="V1457" s="3" t="s">
        <v>4</v>
      </c>
    </row>
    <row r="1458" spans="1:23" hidden="1">
      <c r="J1458" s="1" t="str">
        <f t="shared" si="327"/>
        <v>0</v>
      </c>
      <c r="K1458" s="3">
        <f t="shared" si="328"/>
        <v>-100</v>
      </c>
      <c r="L1458" s="3">
        <f t="shared" si="329"/>
        <v>1</v>
      </c>
      <c r="M1458" s="3">
        <f t="shared" si="330"/>
        <v>0</v>
      </c>
      <c r="N1458" s="3" t="str">
        <f t="shared" si="331"/>
        <v>01</v>
      </c>
      <c r="O1458" s="14" t="str">
        <f t="shared" si="332"/>
        <v>00</v>
      </c>
      <c r="P1458" s="11"/>
      <c r="R1458" s="6">
        <v>516</v>
      </c>
      <c r="S1458" s="5">
        <f t="shared" si="334"/>
        <v>0</v>
      </c>
    </row>
    <row r="1459" spans="1:23" hidden="1">
      <c r="J1459" s="1" t="str">
        <f t="shared" si="327"/>
        <v>0</v>
      </c>
      <c r="K1459" s="3">
        <f t="shared" si="328"/>
        <v>-100</v>
      </c>
      <c r="L1459" s="3">
        <f t="shared" si="329"/>
        <v>1</v>
      </c>
      <c r="M1459" s="3">
        <f t="shared" si="330"/>
        <v>0</v>
      </c>
      <c r="N1459" s="3" t="str">
        <f t="shared" si="331"/>
        <v>01</v>
      </c>
      <c r="O1459" s="14" t="str">
        <f t="shared" si="332"/>
        <v>00</v>
      </c>
      <c r="P1459" s="11"/>
      <c r="R1459" s="6">
        <v>516</v>
      </c>
      <c r="S1459" s="5">
        <f t="shared" si="334"/>
        <v>0</v>
      </c>
    </row>
    <row r="1460" spans="1:23">
      <c r="A1460" s="3">
        <v>1349</v>
      </c>
      <c r="B1460" s="1">
        <f>IF(G1460="-",0,IF(G1459=G1460,1,0))</f>
        <v>0</v>
      </c>
      <c r="C1460" s="1">
        <f>+IF(G1460="-",0,IF(I1460=I1459+1,0,(IF(I1460=1,0,1))))</f>
        <v>1</v>
      </c>
      <c r="D1460" s="1">
        <f>+IF(AND(P1460="",Q1460=""),1,0)</f>
        <v>0</v>
      </c>
      <c r="E1460" s="1">
        <f t="shared" ref="E1460:F1463" si="336">IF(U1460="",1,0)</f>
        <v>0</v>
      </c>
      <c r="F1460" s="1">
        <f t="shared" si="336"/>
        <v>0</v>
      </c>
      <c r="G1460" s="1" t="str">
        <f>IF(H1460=0,"-",_xlfn.CONCAT(K1460,N1460,O1460,J1460))</f>
        <v>24072603</v>
      </c>
      <c r="H1460" s="2">
        <v>45499</v>
      </c>
      <c r="I1460" s="36">
        <v>3</v>
      </c>
      <c r="J1460" s="1" t="str">
        <f t="shared" si="327"/>
        <v>03</v>
      </c>
      <c r="K1460" s="3">
        <f t="shared" si="328"/>
        <v>24</v>
      </c>
      <c r="L1460" s="3">
        <f t="shared" si="329"/>
        <v>7</v>
      </c>
      <c r="M1460" s="3">
        <f t="shared" si="330"/>
        <v>26</v>
      </c>
      <c r="N1460" s="3" t="str">
        <f t="shared" si="331"/>
        <v>07</v>
      </c>
      <c r="O1460" s="14">
        <f t="shared" si="332"/>
        <v>26</v>
      </c>
      <c r="P1460" s="4">
        <v>40614.300000000003</v>
      </c>
      <c r="R1460" s="6">
        <v>518</v>
      </c>
      <c r="S1460" s="5">
        <f t="shared" si="334"/>
        <v>78.40598455598456</v>
      </c>
      <c r="T1460" s="5" t="s">
        <v>537</v>
      </c>
      <c r="U1460" s="3" t="s">
        <v>2</v>
      </c>
      <c r="V1460" s="3" t="s">
        <v>4</v>
      </c>
    </row>
    <row r="1461" spans="1:23">
      <c r="A1461" s="3">
        <v>1355</v>
      </c>
      <c r="B1461" s="1">
        <f>IF(G1461="-",0,IF(G1460=G1461,1,0))</f>
        <v>0</v>
      </c>
      <c r="C1461" s="1">
        <f>+IF(G1461="-",0,IF(I1461=I1460+1,0,(IF(I1461=1,0,1))))</f>
        <v>1</v>
      </c>
      <c r="D1461" s="1">
        <f>+IF(AND(P1461="",Q1461=""),1,0)</f>
        <v>0</v>
      </c>
      <c r="E1461" s="1">
        <f t="shared" si="336"/>
        <v>0</v>
      </c>
      <c r="F1461" s="1">
        <f t="shared" si="336"/>
        <v>0</v>
      </c>
      <c r="G1461" s="1" t="str">
        <f>IF(H1461=0,"-",_xlfn.CONCAT(K1461,N1461,O1461,J1461))</f>
        <v>24072609</v>
      </c>
      <c r="H1461" s="2">
        <v>45499</v>
      </c>
      <c r="I1461" s="36">
        <v>9</v>
      </c>
      <c r="J1461" s="1" t="str">
        <f t="shared" si="327"/>
        <v>09</v>
      </c>
      <c r="K1461" s="3">
        <f t="shared" si="328"/>
        <v>24</v>
      </c>
      <c r="L1461" s="3">
        <f t="shared" si="329"/>
        <v>7</v>
      </c>
      <c r="M1461" s="3">
        <f t="shared" si="330"/>
        <v>26</v>
      </c>
      <c r="N1461" s="3" t="str">
        <f t="shared" si="331"/>
        <v>07</v>
      </c>
      <c r="O1461" s="14">
        <f t="shared" si="332"/>
        <v>26</v>
      </c>
      <c r="P1461" s="4">
        <v>72947.570000000007</v>
      </c>
      <c r="R1461" s="6">
        <v>518</v>
      </c>
      <c r="S1461" s="5">
        <f t="shared" si="334"/>
        <v>140.82542471042473</v>
      </c>
      <c r="T1461" s="5" t="s">
        <v>542</v>
      </c>
      <c r="U1461" s="3" t="s">
        <v>1</v>
      </c>
      <c r="V1461" s="3" t="s">
        <v>4</v>
      </c>
    </row>
    <row r="1462" spans="1:23">
      <c r="A1462" s="3">
        <v>1358</v>
      </c>
      <c r="B1462" s="1">
        <f>IF(G1462="-",0,IF(G1461=G1462,1,0))</f>
        <v>0</v>
      </c>
      <c r="C1462" s="1">
        <f>+IF(G1462="-",0,IF(I1462=I1461+1,0,(IF(I1462=1,0,1))))</f>
        <v>1</v>
      </c>
      <c r="D1462" s="1">
        <f>+IF(AND(P1462="",Q1462=""),1,0)</f>
        <v>0</v>
      </c>
      <c r="E1462" s="1">
        <f t="shared" si="336"/>
        <v>0</v>
      </c>
      <c r="F1462" s="1">
        <f t="shared" si="336"/>
        <v>0</v>
      </c>
      <c r="G1462" s="1" t="str">
        <f>IF(H1462=0,"-",_xlfn.CONCAT(K1462,N1462,O1462,J1462))</f>
        <v>24072612</v>
      </c>
      <c r="H1462" s="2">
        <v>45499</v>
      </c>
      <c r="I1462" s="36">
        <v>12</v>
      </c>
      <c r="J1462" s="1">
        <f t="shared" si="327"/>
        <v>12</v>
      </c>
      <c r="K1462" s="3">
        <f t="shared" si="328"/>
        <v>24</v>
      </c>
      <c r="L1462" s="3">
        <f t="shared" si="329"/>
        <v>7</v>
      </c>
      <c r="M1462" s="3">
        <f t="shared" si="330"/>
        <v>26</v>
      </c>
      <c r="N1462" s="3" t="str">
        <f t="shared" si="331"/>
        <v>07</v>
      </c>
      <c r="O1462" s="14">
        <f t="shared" si="332"/>
        <v>26</v>
      </c>
      <c r="P1462" s="4">
        <v>40316.44</v>
      </c>
      <c r="R1462" s="6">
        <v>518</v>
      </c>
      <c r="S1462" s="5">
        <f t="shared" si="334"/>
        <v>77.830965250965249</v>
      </c>
      <c r="T1462" s="5" t="s">
        <v>1171</v>
      </c>
      <c r="U1462" s="3" t="s">
        <v>29</v>
      </c>
      <c r="V1462" s="3" t="s">
        <v>4</v>
      </c>
    </row>
    <row r="1463" spans="1:23">
      <c r="A1463" s="3">
        <v>1363</v>
      </c>
      <c r="B1463" s="1">
        <f>IF(G1463="-",0,IF(G1461=G1463,1,0))</f>
        <v>0</v>
      </c>
      <c r="C1463" s="1">
        <f>+IF(G1463="-",0,IF(I1463=I1461+1,0,(IF(I1463=1,0,1))))</f>
        <v>1</v>
      </c>
      <c r="D1463" s="1">
        <f>+IF(AND(P1463="",Q1463=""),1,0)</f>
        <v>0</v>
      </c>
      <c r="E1463" s="1">
        <f t="shared" si="336"/>
        <v>1</v>
      </c>
      <c r="F1463" s="1">
        <f t="shared" si="336"/>
        <v>0</v>
      </c>
      <c r="G1463" s="1" t="str">
        <f>IF(H1463=0,"-",_xlfn.CONCAT(K1463,N1463,O1463,J1463))</f>
        <v>24072703</v>
      </c>
      <c r="H1463" s="2">
        <v>45500</v>
      </c>
      <c r="I1463" s="36">
        <v>3</v>
      </c>
      <c r="J1463" s="1" t="str">
        <f t="shared" si="327"/>
        <v>03</v>
      </c>
      <c r="K1463" s="3">
        <f t="shared" si="328"/>
        <v>24</v>
      </c>
      <c r="L1463" s="3">
        <f t="shared" si="329"/>
        <v>7</v>
      </c>
      <c r="M1463" s="3">
        <f t="shared" si="330"/>
        <v>27</v>
      </c>
      <c r="N1463" s="3" t="str">
        <f t="shared" si="331"/>
        <v>07</v>
      </c>
      <c r="O1463" s="14">
        <f t="shared" si="332"/>
        <v>27</v>
      </c>
      <c r="P1463" s="11">
        <v>170000</v>
      </c>
      <c r="R1463" s="6">
        <v>518</v>
      </c>
      <c r="S1463" s="5">
        <f t="shared" si="334"/>
        <v>328.18532818532816</v>
      </c>
      <c r="T1463" s="5" t="s">
        <v>512</v>
      </c>
      <c r="V1463" s="3" t="s">
        <v>4</v>
      </c>
      <c r="W1463" s="3" t="s">
        <v>1070</v>
      </c>
    </row>
    <row r="1464" spans="1:23" hidden="1">
      <c r="J1464" s="1" t="str">
        <f t="shared" si="327"/>
        <v>0</v>
      </c>
      <c r="K1464" s="3">
        <f t="shared" si="328"/>
        <v>-100</v>
      </c>
      <c r="L1464" s="3">
        <f t="shared" si="329"/>
        <v>1</v>
      </c>
      <c r="M1464" s="3">
        <f t="shared" si="330"/>
        <v>0</v>
      </c>
      <c r="N1464" s="3" t="str">
        <f t="shared" si="331"/>
        <v>01</v>
      </c>
      <c r="O1464" s="14" t="str">
        <f t="shared" si="332"/>
        <v>00</v>
      </c>
      <c r="P1464" s="11"/>
      <c r="R1464" s="6">
        <v>516</v>
      </c>
      <c r="S1464" s="5">
        <f t="shared" si="334"/>
        <v>0</v>
      </c>
    </row>
    <row r="1465" spans="1:23">
      <c r="A1465" s="3">
        <v>1370</v>
      </c>
      <c r="B1465" s="1">
        <f>IF(G1465="-",0,IF(G1464=G1465,1,0))</f>
        <v>0</v>
      </c>
      <c r="C1465" s="1">
        <f>+IF(G1465="-",0,IF(I1465=I1464+1,0,(IF(I1465=1,0,1))))</f>
        <v>1</v>
      </c>
      <c r="D1465" s="1">
        <f>+IF(AND(P1465="",Q1465=""),1,0)</f>
        <v>0</v>
      </c>
      <c r="E1465" s="1">
        <f>IF(U1465="",1,0)</f>
        <v>1</v>
      </c>
      <c r="F1465" s="1">
        <f>IF(V1465="",1,0)</f>
        <v>0</v>
      </c>
      <c r="G1465" s="1" t="str">
        <f>IF(H1465=0,"-",_xlfn.CONCAT(K1465,N1465,O1465,J1465))</f>
        <v>24072710</v>
      </c>
      <c r="H1465" s="2">
        <v>45500</v>
      </c>
      <c r="I1465" s="36">
        <v>10</v>
      </c>
      <c r="J1465" s="1">
        <f t="shared" si="327"/>
        <v>10</v>
      </c>
      <c r="K1465" s="3">
        <f t="shared" si="328"/>
        <v>24</v>
      </c>
      <c r="L1465" s="3">
        <f t="shared" si="329"/>
        <v>7</v>
      </c>
      <c r="M1465" s="3">
        <f t="shared" si="330"/>
        <v>27</v>
      </c>
      <c r="N1465" s="3" t="str">
        <f t="shared" si="331"/>
        <v>07</v>
      </c>
      <c r="O1465" s="14">
        <f t="shared" si="332"/>
        <v>27</v>
      </c>
      <c r="P1465" s="11">
        <v>143600</v>
      </c>
      <c r="R1465" s="6">
        <v>518</v>
      </c>
      <c r="S1465" s="5">
        <f t="shared" ref="S1465:S1496" si="337">IFERROR(P1465/R1465,"")</f>
        <v>277.2200772200772</v>
      </c>
      <c r="T1465" s="5" t="s">
        <v>514</v>
      </c>
      <c r="V1465" s="3" t="s">
        <v>4</v>
      </c>
    </row>
    <row r="1466" spans="1:23">
      <c r="A1466" s="3">
        <v>1371</v>
      </c>
      <c r="B1466" s="1">
        <f>IF(G1466="-",0,IF(G1465=G1466,1,0))</f>
        <v>0</v>
      </c>
      <c r="C1466" s="1">
        <f>+IF(G1466="-",0,IF(I1466=I1465+1,0,(IF(I1466=1,0,1))))</f>
        <v>0</v>
      </c>
      <c r="D1466" s="1">
        <f>+IF(AND(P1466="",Q1466=""),1,0)</f>
        <v>0</v>
      </c>
      <c r="E1466" s="1">
        <f>IF(U1466="",1,0)</f>
        <v>1</v>
      </c>
      <c r="F1466" s="1">
        <f>IF(V1466="",1,0)</f>
        <v>0</v>
      </c>
      <c r="G1466" s="1" t="str">
        <f>IF(H1466=0,"-",_xlfn.CONCAT(K1466,N1466,O1466,J1466))</f>
        <v>24072711</v>
      </c>
      <c r="H1466" s="2">
        <v>45500</v>
      </c>
      <c r="I1466" s="36">
        <v>11</v>
      </c>
      <c r="J1466" s="1">
        <f t="shared" si="327"/>
        <v>11</v>
      </c>
      <c r="K1466" s="3">
        <f t="shared" si="328"/>
        <v>24</v>
      </c>
      <c r="L1466" s="3">
        <f t="shared" si="329"/>
        <v>7</v>
      </c>
      <c r="M1466" s="3">
        <f t="shared" si="330"/>
        <v>27</v>
      </c>
      <c r="N1466" s="3" t="str">
        <f t="shared" si="331"/>
        <v>07</v>
      </c>
      <c r="O1466" s="14">
        <f t="shared" si="332"/>
        <v>27</v>
      </c>
      <c r="P1466" s="11">
        <v>115000</v>
      </c>
      <c r="R1466" s="6">
        <v>518</v>
      </c>
      <c r="S1466" s="5">
        <f t="shared" si="337"/>
        <v>222.00772200772201</v>
      </c>
      <c r="T1466" s="5" t="s">
        <v>515</v>
      </c>
      <c r="V1466" s="3" t="s">
        <v>4</v>
      </c>
    </row>
    <row r="1467" spans="1:23" hidden="1">
      <c r="J1467" s="1" t="str">
        <f t="shared" si="327"/>
        <v>0</v>
      </c>
      <c r="K1467" s="3">
        <f t="shared" si="328"/>
        <v>-100</v>
      </c>
      <c r="L1467" s="3">
        <f t="shared" si="329"/>
        <v>1</v>
      </c>
      <c r="M1467" s="3">
        <f t="shared" si="330"/>
        <v>0</v>
      </c>
      <c r="N1467" s="3" t="str">
        <f t="shared" si="331"/>
        <v>01</v>
      </c>
      <c r="O1467" s="14" t="str">
        <f t="shared" si="332"/>
        <v>00</v>
      </c>
      <c r="P1467" s="11"/>
      <c r="R1467" s="6">
        <v>516</v>
      </c>
      <c r="S1467" s="5">
        <f t="shared" si="337"/>
        <v>0</v>
      </c>
    </row>
    <row r="1468" spans="1:23">
      <c r="A1468" s="3">
        <v>1372</v>
      </c>
      <c r="B1468" s="1">
        <f>IF(G1468="-",0,IF(G1467=G1468,1,0))</f>
        <v>0</v>
      </c>
      <c r="C1468" s="1">
        <f>+IF(G1468="-",0,IF(I1468=I1467+1,0,(IF(I1468=1,0,1))))</f>
        <v>1</v>
      </c>
      <c r="D1468" s="1">
        <f>+IF(AND(P1468="",Q1468=""),1,0)</f>
        <v>0</v>
      </c>
      <c r="E1468" s="1">
        <f>IF(U1468="",1,0)</f>
        <v>1</v>
      </c>
      <c r="F1468" s="1">
        <f>IF(V1468="",1,0)</f>
        <v>0</v>
      </c>
      <c r="G1468" s="1" t="str">
        <f>IF(H1468=0,"-",_xlfn.CONCAT(K1468,N1468,O1468,J1468))</f>
        <v>24072712</v>
      </c>
      <c r="H1468" s="2">
        <v>45500</v>
      </c>
      <c r="I1468" s="36">
        <v>12</v>
      </c>
      <c r="J1468" s="1">
        <f t="shared" si="327"/>
        <v>12</v>
      </c>
      <c r="K1468" s="3">
        <f t="shared" si="328"/>
        <v>24</v>
      </c>
      <c r="L1468" s="3">
        <f t="shared" si="329"/>
        <v>7</v>
      </c>
      <c r="M1468" s="3">
        <f t="shared" si="330"/>
        <v>27</v>
      </c>
      <c r="N1468" s="3" t="str">
        <f t="shared" si="331"/>
        <v>07</v>
      </c>
      <c r="O1468" s="14">
        <f t="shared" si="332"/>
        <v>27</v>
      </c>
      <c r="P1468" s="11">
        <v>115000</v>
      </c>
      <c r="R1468" s="6">
        <v>518</v>
      </c>
      <c r="S1468" s="5">
        <f t="shared" si="337"/>
        <v>222.00772200772201</v>
      </c>
      <c r="T1468" s="5" t="s">
        <v>516</v>
      </c>
      <c r="V1468" s="3" t="s">
        <v>4</v>
      </c>
    </row>
    <row r="1469" spans="1:23" hidden="1">
      <c r="J1469" s="1" t="str">
        <f t="shared" si="327"/>
        <v>0</v>
      </c>
      <c r="K1469" s="3">
        <f t="shared" si="328"/>
        <v>-100</v>
      </c>
      <c r="L1469" s="3">
        <f t="shared" si="329"/>
        <v>1</v>
      </c>
      <c r="M1469" s="3">
        <f t="shared" si="330"/>
        <v>0</v>
      </c>
      <c r="N1469" s="3" t="str">
        <f t="shared" si="331"/>
        <v>01</v>
      </c>
      <c r="O1469" s="14" t="str">
        <f t="shared" si="332"/>
        <v>00</v>
      </c>
      <c r="P1469" s="11"/>
      <c r="R1469" s="6">
        <v>516</v>
      </c>
      <c r="S1469" s="5">
        <f t="shared" si="337"/>
        <v>0</v>
      </c>
    </row>
    <row r="1470" spans="1:23" hidden="1">
      <c r="J1470" s="1" t="str">
        <f t="shared" si="327"/>
        <v>0</v>
      </c>
      <c r="K1470" s="3">
        <f t="shared" si="328"/>
        <v>-100</v>
      </c>
      <c r="L1470" s="3">
        <f t="shared" si="329"/>
        <v>1</v>
      </c>
      <c r="M1470" s="3">
        <f t="shared" si="330"/>
        <v>0</v>
      </c>
      <c r="N1470" s="3" t="str">
        <f t="shared" si="331"/>
        <v>01</v>
      </c>
      <c r="O1470" s="14" t="str">
        <f t="shared" si="332"/>
        <v>00</v>
      </c>
      <c r="R1470" s="6">
        <v>516</v>
      </c>
      <c r="S1470" s="5">
        <f t="shared" si="337"/>
        <v>0</v>
      </c>
    </row>
    <row r="1471" spans="1:23" hidden="1">
      <c r="J1471" s="1" t="str">
        <f t="shared" si="327"/>
        <v>0</v>
      </c>
      <c r="K1471" s="3">
        <f t="shared" si="328"/>
        <v>-100</v>
      </c>
      <c r="L1471" s="3">
        <f t="shared" si="329"/>
        <v>1</v>
      </c>
      <c r="M1471" s="3">
        <f t="shared" si="330"/>
        <v>0</v>
      </c>
      <c r="N1471" s="3" t="str">
        <f t="shared" si="331"/>
        <v>01</v>
      </c>
      <c r="O1471" s="14" t="str">
        <f t="shared" si="332"/>
        <v>00</v>
      </c>
      <c r="R1471" s="6">
        <v>516</v>
      </c>
      <c r="S1471" s="5">
        <f t="shared" si="337"/>
        <v>0</v>
      </c>
    </row>
    <row r="1472" spans="1:23" hidden="1">
      <c r="G1472" s="90"/>
      <c r="H1472" s="91"/>
      <c r="J1472" s="90" t="str">
        <f t="shared" si="327"/>
        <v>0</v>
      </c>
      <c r="K1472" s="92">
        <f t="shared" si="328"/>
        <v>-100</v>
      </c>
      <c r="L1472" s="92">
        <f t="shared" si="329"/>
        <v>1</v>
      </c>
      <c r="M1472" s="92">
        <f t="shared" si="330"/>
        <v>0</v>
      </c>
      <c r="N1472" s="92" t="str">
        <f t="shared" si="331"/>
        <v>01</v>
      </c>
      <c r="O1472" s="93" t="str">
        <f t="shared" si="332"/>
        <v>00</v>
      </c>
      <c r="P1472" s="94"/>
      <c r="Q1472" s="95"/>
      <c r="R1472" s="96">
        <v>516</v>
      </c>
      <c r="S1472" s="95">
        <f t="shared" si="337"/>
        <v>0</v>
      </c>
      <c r="T1472" s="95"/>
      <c r="U1472" s="92"/>
      <c r="V1472" s="92"/>
      <c r="W1472" s="92"/>
    </row>
    <row r="1473" spans="1:23">
      <c r="A1473" s="3">
        <v>1373</v>
      </c>
      <c r="B1473" s="1">
        <f>IF(G1473="-",0,IF(G1472=G1473,1,0))</f>
        <v>0</v>
      </c>
      <c r="C1473" s="1">
        <f>+IF(G1473="-",0,IF(I1473=I1472+1,0,(IF(I1473=1,0,1))))</f>
        <v>1</v>
      </c>
      <c r="D1473" s="1">
        <f>+IF(AND(P1473="",Q1473=""),1,0)</f>
        <v>0</v>
      </c>
      <c r="E1473" s="1">
        <f>IF(U1473="",1,0)</f>
        <v>1</v>
      </c>
      <c r="F1473" s="1">
        <f>IF(V1473="",1,0)</f>
        <v>0</v>
      </c>
      <c r="G1473" s="1" t="str">
        <f>IF(H1473=0,"-",_xlfn.CONCAT(K1473,N1473,O1473,J1473))</f>
        <v>24072713</v>
      </c>
      <c r="H1473" s="2">
        <v>45500</v>
      </c>
      <c r="I1473" s="36">
        <v>13</v>
      </c>
      <c r="J1473" s="1">
        <f t="shared" si="327"/>
        <v>13</v>
      </c>
      <c r="K1473" s="3">
        <f t="shared" si="328"/>
        <v>24</v>
      </c>
      <c r="L1473" s="3">
        <f t="shared" si="329"/>
        <v>7</v>
      </c>
      <c r="M1473" s="3">
        <f t="shared" si="330"/>
        <v>27</v>
      </c>
      <c r="N1473" s="3" t="str">
        <f t="shared" si="331"/>
        <v>07</v>
      </c>
      <c r="O1473" s="14">
        <f t="shared" si="332"/>
        <v>27</v>
      </c>
      <c r="P1473" s="11">
        <v>115000</v>
      </c>
      <c r="R1473" s="6">
        <v>518</v>
      </c>
      <c r="S1473" s="5">
        <f t="shared" si="337"/>
        <v>222.00772200772201</v>
      </c>
      <c r="T1473" s="5" t="s">
        <v>517</v>
      </c>
      <c r="V1473" s="3" t="s">
        <v>4</v>
      </c>
    </row>
    <row r="1474" spans="1:23">
      <c r="A1474" s="3">
        <v>1375</v>
      </c>
      <c r="B1474" s="1">
        <f>IF(G1474="-",0,IF(G1473=G1474,1,0))</f>
        <v>0</v>
      </c>
      <c r="C1474" s="1">
        <f>+IF(G1474="-",0,IF(I1474=I1473+1,0,(IF(I1474=1,0,1))))</f>
        <v>1</v>
      </c>
      <c r="D1474" s="1">
        <f>+IF(AND(P1474="",Q1474=""),1,0)</f>
        <v>0</v>
      </c>
      <c r="E1474" s="1">
        <f>IF(U1474="",1,0)</f>
        <v>1</v>
      </c>
      <c r="F1474" s="1">
        <f>IF(V1474="",1,0)</f>
        <v>0</v>
      </c>
      <c r="G1474" s="1" t="str">
        <f>IF(H1474=0,"-",_xlfn.CONCAT(K1474,N1474,O1474,J1474))</f>
        <v>24072715</v>
      </c>
      <c r="H1474" s="2">
        <v>45500</v>
      </c>
      <c r="I1474" s="36">
        <v>15</v>
      </c>
      <c r="J1474" s="1">
        <f t="shared" si="327"/>
        <v>15</v>
      </c>
      <c r="K1474" s="3">
        <f t="shared" si="328"/>
        <v>24</v>
      </c>
      <c r="L1474" s="3">
        <f t="shared" si="329"/>
        <v>7</v>
      </c>
      <c r="M1474" s="3">
        <f t="shared" si="330"/>
        <v>27</v>
      </c>
      <c r="N1474" s="3" t="str">
        <f t="shared" si="331"/>
        <v>07</v>
      </c>
      <c r="O1474" s="14">
        <f t="shared" si="332"/>
        <v>27</v>
      </c>
      <c r="P1474" s="11">
        <v>115000</v>
      </c>
      <c r="R1474" s="6">
        <v>518</v>
      </c>
      <c r="S1474" s="5">
        <f t="shared" si="337"/>
        <v>222.00772200772201</v>
      </c>
      <c r="T1474" s="5" t="s">
        <v>518</v>
      </c>
      <c r="V1474" s="3" t="s">
        <v>4</v>
      </c>
    </row>
    <row r="1475" spans="1:23" s="97" customFormat="1" hidden="1">
      <c r="A1475" s="3"/>
      <c r="B1475" s="1"/>
      <c r="C1475" s="1"/>
      <c r="D1475" s="1"/>
      <c r="E1475" s="1"/>
      <c r="F1475" s="1"/>
      <c r="G1475" s="1"/>
      <c r="H1475" s="2"/>
      <c r="I1475" s="36"/>
      <c r="J1475" s="1" t="str">
        <f t="shared" si="327"/>
        <v>0</v>
      </c>
      <c r="K1475" s="3">
        <f t="shared" si="328"/>
        <v>-100</v>
      </c>
      <c r="L1475" s="3">
        <f t="shared" si="329"/>
        <v>1</v>
      </c>
      <c r="M1475" s="3">
        <f t="shared" si="330"/>
        <v>0</v>
      </c>
      <c r="N1475" s="3" t="str">
        <f t="shared" si="331"/>
        <v>01</v>
      </c>
      <c r="O1475" s="14" t="str">
        <f t="shared" si="332"/>
        <v>00</v>
      </c>
      <c r="P1475" s="4"/>
      <c r="Q1475" s="5"/>
      <c r="R1475" s="6">
        <v>516</v>
      </c>
      <c r="S1475" s="5">
        <f t="shared" si="337"/>
        <v>0</v>
      </c>
      <c r="T1475" s="5"/>
      <c r="U1475" s="3"/>
      <c r="V1475" s="3"/>
      <c r="W1475" s="3"/>
    </row>
    <row r="1476" spans="1:23" hidden="1">
      <c r="J1476" s="1" t="str">
        <f t="shared" si="327"/>
        <v>0</v>
      </c>
      <c r="K1476" s="3">
        <f t="shared" si="328"/>
        <v>-100</v>
      </c>
      <c r="L1476" s="3">
        <f t="shared" si="329"/>
        <v>1</v>
      </c>
      <c r="M1476" s="3">
        <f t="shared" si="330"/>
        <v>0</v>
      </c>
      <c r="N1476" s="3" t="str">
        <f t="shared" si="331"/>
        <v>01</v>
      </c>
      <c r="O1476" s="14" t="str">
        <f t="shared" si="332"/>
        <v>00</v>
      </c>
      <c r="R1476" s="6">
        <v>516</v>
      </c>
      <c r="S1476" s="5">
        <f t="shared" si="337"/>
        <v>0</v>
      </c>
    </row>
    <row r="1477" spans="1:23" s="104" customFormat="1">
      <c r="A1477" s="3">
        <v>1376</v>
      </c>
      <c r="B1477" s="1">
        <f>IF(G1477="-",0,IF(G1476=G1477,1,0))</f>
        <v>0</v>
      </c>
      <c r="C1477" s="1">
        <f>+IF(G1477="-",0,IF(I1477=I1476+1,0,(IF(I1477=1,0,1))))</f>
        <v>1</v>
      </c>
      <c r="D1477" s="1">
        <f>+IF(AND(P1477="",Q1477=""),1,0)</f>
        <v>0</v>
      </c>
      <c r="E1477" s="1">
        <f>IF(U1477="",1,0)</f>
        <v>1</v>
      </c>
      <c r="F1477" s="1">
        <f>IF(V1477="",1,0)</f>
        <v>0</v>
      </c>
      <c r="G1477" s="1" t="str">
        <f>IF(H1477=0,"-",_xlfn.CONCAT(K1477,N1477,O1477,J1477))</f>
        <v>24072716</v>
      </c>
      <c r="H1477" s="2">
        <v>45500</v>
      </c>
      <c r="I1477" s="36">
        <v>16</v>
      </c>
      <c r="J1477" s="1">
        <f t="shared" si="327"/>
        <v>16</v>
      </c>
      <c r="K1477" s="3">
        <f t="shared" si="328"/>
        <v>24</v>
      </c>
      <c r="L1477" s="3">
        <f t="shared" si="329"/>
        <v>7</v>
      </c>
      <c r="M1477" s="3">
        <f t="shared" si="330"/>
        <v>27</v>
      </c>
      <c r="N1477" s="3" t="str">
        <f t="shared" si="331"/>
        <v>07</v>
      </c>
      <c r="O1477" s="14">
        <f t="shared" si="332"/>
        <v>27</v>
      </c>
      <c r="P1477" s="11">
        <v>354223.33</v>
      </c>
      <c r="Q1477" s="5"/>
      <c r="R1477" s="6">
        <v>518</v>
      </c>
      <c r="S1477" s="5">
        <f t="shared" si="337"/>
        <v>683.82882239382241</v>
      </c>
      <c r="T1477" s="5" t="s">
        <v>529</v>
      </c>
      <c r="U1477" s="3"/>
      <c r="V1477" s="3" t="s">
        <v>4</v>
      </c>
      <c r="W1477" s="3"/>
    </row>
    <row r="1478" spans="1:23">
      <c r="A1478" s="3">
        <v>1377</v>
      </c>
      <c r="B1478" s="1">
        <f>IF(G1478="-",0,IF(G1477=G1478,1,0))</f>
        <v>0</v>
      </c>
      <c r="C1478" s="1">
        <f>+IF(G1478="-",0,IF(I1478=I1477+1,0,(IF(I1478=1,0,1))))</f>
        <v>0</v>
      </c>
      <c r="D1478" s="1">
        <f>+IF(AND(P1478="",Q1478=""),1,0)</f>
        <v>0</v>
      </c>
      <c r="E1478" s="1">
        <f>IF(U1478="",1,0)</f>
        <v>1</v>
      </c>
      <c r="F1478" s="1">
        <f>IF(V1478="",1,0)</f>
        <v>0</v>
      </c>
      <c r="G1478" s="1" t="str">
        <f>IF(H1478=0,"-",_xlfn.CONCAT(K1478,N1478,O1478,J1478))</f>
        <v>24072717</v>
      </c>
      <c r="H1478" s="2">
        <v>45500</v>
      </c>
      <c r="I1478" s="36">
        <v>17</v>
      </c>
      <c r="J1478" s="1">
        <f t="shared" si="327"/>
        <v>17</v>
      </c>
      <c r="K1478" s="3">
        <f t="shared" si="328"/>
        <v>24</v>
      </c>
      <c r="L1478" s="3">
        <f t="shared" si="329"/>
        <v>7</v>
      </c>
      <c r="M1478" s="3">
        <f t="shared" si="330"/>
        <v>27</v>
      </c>
      <c r="N1478" s="3" t="str">
        <f t="shared" si="331"/>
        <v>07</v>
      </c>
      <c r="O1478" s="14">
        <f t="shared" si="332"/>
        <v>27</v>
      </c>
      <c r="P1478" s="11">
        <v>296194</v>
      </c>
      <c r="R1478" s="6">
        <v>518</v>
      </c>
      <c r="S1478" s="5">
        <f t="shared" si="337"/>
        <v>571.80308880308883</v>
      </c>
      <c r="T1478" s="5" t="s">
        <v>528</v>
      </c>
      <c r="V1478" s="3" t="s">
        <v>4</v>
      </c>
    </row>
    <row r="1479" spans="1:23" hidden="1">
      <c r="J1479" s="1" t="str">
        <f t="shared" si="327"/>
        <v>0</v>
      </c>
      <c r="K1479" s="3">
        <f t="shared" si="328"/>
        <v>-100</v>
      </c>
      <c r="L1479" s="3">
        <f t="shared" si="329"/>
        <v>1</v>
      </c>
      <c r="M1479" s="3">
        <f t="shared" si="330"/>
        <v>0</v>
      </c>
      <c r="N1479" s="3" t="str">
        <f t="shared" si="331"/>
        <v>01</v>
      </c>
      <c r="O1479" s="14" t="str">
        <f t="shared" si="332"/>
        <v>00</v>
      </c>
      <c r="R1479" s="6">
        <v>516</v>
      </c>
      <c r="S1479" s="5">
        <f t="shared" si="337"/>
        <v>0</v>
      </c>
    </row>
    <row r="1480" spans="1:23" hidden="1">
      <c r="J1480" s="1" t="str">
        <f t="shared" si="327"/>
        <v>0</v>
      </c>
      <c r="K1480" s="3">
        <f t="shared" si="328"/>
        <v>-100</v>
      </c>
      <c r="L1480" s="3">
        <f t="shared" si="329"/>
        <v>1</v>
      </c>
      <c r="M1480" s="3">
        <f t="shared" si="330"/>
        <v>0</v>
      </c>
      <c r="N1480" s="3" t="str">
        <f t="shared" si="331"/>
        <v>01</v>
      </c>
      <c r="O1480" s="14" t="str">
        <f t="shared" si="332"/>
        <v>00</v>
      </c>
      <c r="R1480" s="6">
        <v>516</v>
      </c>
      <c r="S1480" s="5">
        <f t="shared" si="337"/>
        <v>0</v>
      </c>
    </row>
    <row r="1481" spans="1:23">
      <c r="A1481" s="3">
        <v>1378</v>
      </c>
      <c r="B1481" s="1">
        <f>IF(G1481="-",0,IF(G1480=G1481,1,0))</f>
        <v>0</v>
      </c>
      <c r="C1481" s="1">
        <f>+IF(G1481="-",0,IF(I1481=I1480+1,0,(IF(I1481=1,0,1))))</f>
        <v>1</v>
      </c>
      <c r="D1481" s="1">
        <f>+IF(AND(P1481="",Q1481=""),1,0)</f>
        <v>0</v>
      </c>
      <c r="E1481" s="1">
        <f>IF(U1481="",1,0)</f>
        <v>1</v>
      </c>
      <c r="F1481" s="1">
        <f>IF(V1481="",1,0)</f>
        <v>0</v>
      </c>
      <c r="G1481" s="1" t="str">
        <f>IF(H1481=0,"-",_xlfn.CONCAT(K1481,N1481,O1481,J1481))</f>
        <v>24072718</v>
      </c>
      <c r="H1481" s="2">
        <v>45500</v>
      </c>
      <c r="I1481" s="36">
        <v>18</v>
      </c>
      <c r="J1481" s="1">
        <f t="shared" si="327"/>
        <v>18</v>
      </c>
      <c r="K1481" s="3">
        <f t="shared" si="328"/>
        <v>24</v>
      </c>
      <c r="L1481" s="3">
        <f t="shared" si="329"/>
        <v>7</v>
      </c>
      <c r="M1481" s="3">
        <f t="shared" si="330"/>
        <v>27</v>
      </c>
      <c r="N1481" s="3" t="str">
        <f t="shared" si="331"/>
        <v>07</v>
      </c>
      <c r="O1481" s="14">
        <f t="shared" si="332"/>
        <v>27</v>
      </c>
      <c r="P1481" s="11">
        <v>136000</v>
      </c>
      <c r="R1481" s="6">
        <v>518</v>
      </c>
      <c r="S1481" s="5">
        <f t="shared" si="337"/>
        <v>262.54826254826253</v>
      </c>
      <c r="T1481" s="5" t="s">
        <v>513</v>
      </c>
      <c r="V1481" s="3" t="s">
        <v>4</v>
      </c>
    </row>
    <row r="1482" spans="1:23" hidden="1">
      <c r="J1482" s="1" t="str">
        <f t="shared" si="327"/>
        <v>0</v>
      </c>
      <c r="K1482" s="3">
        <f t="shared" si="328"/>
        <v>-100</v>
      </c>
      <c r="L1482" s="3">
        <f t="shared" si="329"/>
        <v>1</v>
      </c>
      <c r="M1482" s="3">
        <f t="shared" si="330"/>
        <v>0</v>
      </c>
      <c r="N1482" s="3" t="str">
        <f t="shared" si="331"/>
        <v>01</v>
      </c>
      <c r="O1482" s="14" t="str">
        <f t="shared" si="332"/>
        <v>00</v>
      </c>
      <c r="R1482" s="6">
        <v>516</v>
      </c>
      <c r="S1482" s="5">
        <f t="shared" si="337"/>
        <v>0</v>
      </c>
    </row>
    <row r="1483" spans="1:23" hidden="1">
      <c r="G1483" s="98"/>
      <c r="H1483" s="99"/>
      <c r="J1483" s="98" t="str">
        <f t="shared" si="327"/>
        <v>0</v>
      </c>
      <c r="K1483" s="97">
        <f t="shared" si="328"/>
        <v>-100</v>
      </c>
      <c r="L1483" s="97">
        <f t="shared" si="329"/>
        <v>1</v>
      </c>
      <c r="M1483" s="97">
        <f t="shared" si="330"/>
        <v>0</v>
      </c>
      <c r="N1483" s="97" t="str">
        <f t="shared" si="331"/>
        <v>01</v>
      </c>
      <c r="O1483" s="100" t="str">
        <f t="shared" si="332"/>
        <v>00</v>
      </c>
      <c r="P1483" s="101"/>
      <c r="Q1483" s="102"/>
      <c r="R1483" s="103">
        <v>516</v>
      </c>
      <c r="S1483" s="102">
        <f t="shared" si="337"/>
        <v>0</v>
      </c>
      <c r="T1483" s="102"/>
      <c r="U1483" s="97"/>
      <c r="V1483" s="97"/>
      <c r="W1483" s="97"/>
    </row>
    <row r="1484" spans="1:23" hidden="1">
      <c r="J1484" s="1" t="str">
        <f t="shared" si="327"/>
        <v>0</v>
      </c>
      <c r="K1484" s="3">
        <f t="shared" si="328"/>
        <v>-100</v>
      </c>
      <c r="L1484" s="3">
        <f t="shared" si="329"/>
        <v>1</v>
      </c>
      <c r="M1484" s="3">
        <f t="shared" si="330"/>
        <v>0</v>
      </c>
      <c r="N1484" s="3" t="str">
        <f t="shared" si="331"/>
        <v>01</v>
      </c>
      <c r="O1484" s="14" t="str">
        <f t="shared" si="332"/>
        <v>00</v>
      </c>
      <c r="R1484" s="6">
        <v>516</v>
      </c>
      <c r="S1484" s="5">
        <f t="shared" si="337"/>
        <v>0</v>
      </c>
    </row>
    <row r="1485" spans="1:23" hidden="1">
      <c r="J1485" s="1" t="str">
        <f t="shared" ref="J1485:J1548" si="338">+IF(I1485&lt;10,_xlfn.CONCAT("0",I1485),I1485)</f>
        <v>0</v>
      </c>
      <c r="K1485" s="3">
        <f t="shared" ref="K1485:K1548" si="339">+YEAR(H1485)-2000</f>
        <v>-100</v>
      </c>
      <c r="L1485" s="3">
        <f t="shared" ref="L1485:L1548" si="340">+MONTH(H1485)</f>
        <v>1</v>
      </c>
      <c r="M1485" s="3">
        <f t="shared" ref="M1485:M1548" si="341">+DAY(H1485)</f>
        <v>0</v>
      </c>
      <c r="N1485" s="3" t="str">
        <f t="shared" ref="N1485:N1548" si="342">+IF(L1485&lt;10,_xlfn.CONCAT("0",L1485),L1485)</f>
        <v>01</v>
      </c>
      <c r="O1485" s="14" t="str">
        <f t="shared" ref="O1485:O1548" si="343">+IF(M1485&lt;10,_xlfn.CONCAT("0",M1485),M1485)</f>
        <v>00</v>
      </c>
      <c r="R1485" s="6">
        <v>516</v>
      </c>
      <c r="S1485" s="5">
        <f t="shared" si="337"/>
        <v>0</v>
      </c>
    </row>
    <row r="1486" spans="1:23">
      <c r="A1486" s="3">
        <v>1379</v>
      </c>
      <c r="B1486" s="1">
        <f>IF(G1486="-",0,IF(G1485=G1486,1,0))</f>
        <v>0</v>
      </c>
      <c r="C1486" s="1">
        <f>+IF(G1486="-",0,IF(I1486=I1485+1,0,(IF(I1486=1,0,1))))</f>
        <v>1</v>
      </c>
      <c r="D1486" s="1">
        <f>+IF(AND(P1486="",Q1486=""),1,0)</f>
        <v>0</v>
      </c>
      <c r="E1486" s="1">
        <f>IF(U1486="",1,0)</f>
        <v>1</v>
      </c>
      <c r="F1486" s="1">
        <f>IF(V1486="",1,0)</f>
        <v>0</v>
      </c>
      <c r="G1486" s="1" t="str">
        <f>IF(H1486=0,"-",_xlfn.CONCAT(K1486,N1486,O1486,J1486))</f>
        <v>24072719</v>
      </c>
      <c r="H1486" s="2">
        <v>45500</v>
      </c>
      <c r="I1486" s="36">
        <v>19</v>
      </c>
      <c r="J1486" s="1">
        <f t="shared" si="338"/>
        <v>19</v>
      </c>
      <c r="K1486" s="3">
        <f t="shared" si="339"/>
        <v>24</v>
      </c>
      <c r="L1486" s="3">
        <f t="shared" si="340"/>
        <v>7</v>
      </c>
      <c r="M1486" s="3">
        <f t="shared" si="341"/>
        <v>27</v>
      </c>
      <c r="N1486" s="3" t="str">
        <f t="shared" si="342"/>
        <v>07</v>
      </c>
      <c r="O1486" s="14">
        <f t="shared" si="343"/>
        <v>27</v>
      </c>
      <c r="P1486" s="11">
        <v>200000</v>
      </c>
      <c r="R1486" s="6">
        <v>518</v>
      </c>
      <c r="S1486" s="5">
        <f t="shared" si="337"/>
        <v>386.10038610038612</v>
      </c>
      <c r="T1486" s="5" t="s">
        <v>533</v>
      </c>
      <c r="V1486" s="3" t="s">
        <v>4</v>
      </c>
    </row>
    <row r="1487" spans="1:23" hidden="1">
      <c r="J1487" s="1" t="str">
        <f t="shared" si="338"/>
        <v>0</v>
      </c>
      <c r="K1487" s="3">
        <f t="shared" si="339"/>
        <v>-100</v>
      </c>
      <c r="L1487" s="3">
        <f t="shared" si="340"/>
        <v>1</v>
      </c>
      <c r="M1487" s="3">
        <f t="shared" si="341"/>
        <v>0</v>
      </c>
      <c r="N1487" s="3" t="str">
        <f t="shared" si="342"/>
        <v>01</v>
      </c>
      <c r="O1487" s="14" t="str">
        <f t="shared" si="343"/>
        <v>00</v>
      </c>
      <c r="R1487" s="6">
        <v>516</v>
      </c>
      <c r="S1487" s="5">
        <f t="shared" si="337"/>
        <v>0</v>
      </c>
    </row>
    <row r="1488" spans="1:23" hidden="1">
      <c r="J1488" s="1" t="str">
        <f t="shared" si="338"/>
        <v>0</v>
      </c>
      <c r="K1488" s="3">
        <f t="shared" si="339"/>
        <v>-100</v>
      </c>
      <c r="L1488" s="3">
        <f t="shared" si="340"/>
        <v>1</v>
      </c>
      <c r="M1488" s="3">
        <f t="shared" si="341"/>
        <v>0</v>
      </c>
      <c r="N1488" s="3" t="str">
        <f t="shared" si="342"/>
        <v>01</v>
      </c>
      <c r="O1488" s="14" t="str">
        <f t="shared" si="343"/>
        <v>00</v>
      </c>
      <c r="R1488" s="6">
        <v>516</v>
      </c>
      <c r="S1488" s="5">
        <f t="shared" si="337"/>
        <v>0</v>
      </c>
    </row>
    <row r="1489" spans="1:23" hidden="1">
      <c r="J1489" s="1" t="str">
        <f t="shared" si="338"/>
        <v>0</v>
      </c>
      <c r="K1489" s="3">
        <f t="shared" si="339"/>
        <v>-100</v>
      </c>
      <c r="L1489" s="3">
        <f t="shared" si="340"/>
        <v>1</v>
      </c>
      <c r="M1489" s="3">
        <f t="shared" si="341"/>
        <v>0</v>
      </c>
      <c r="N1489" s="3" t="str">
        <f t="shared" si="342"/>
        <v>01</v>
      </c>
      <c r="O1489" s="14" t="str">
        <f t="shared" si="343"/>
        <v>00</v>
      </c>
      <c r="R1489" s="6">
        <v>516</v>
      </c>
      <c r="S1489" s="5">
        <f t="shared" si="337"/>
        <v>0</v>
      </c>
    </row>
    <row r="1490" spans="1:23" hidden="1">
      <c r="J1490" s="1" t="str">
        <f t="shared" si="338"/>
        <v>0</v>
      </c>
      <c r="K1490" s="3">
        <f t="shared" si="339"/>
        <v>-100</v>
      </c>
      <c r="L1490" s="3">
        <f t="shared" si="340"/>
        <v>1</v>
      </c>
      <c r="M1490" s="3">
        <f t="shared" si="341"/>
        <v>0</v>
      </c>
      <c r="N1490" s="3" t="str">
        <f t="shared" si="342"/>
        <v>01</v>
      </c>
      <c r="O1490" s="14" t="str">
        <f t="shared" si="343"/>
        <v>00</v>
      </c>
      <c r="R1490" s="6">
        <v>516</v>
      </c>
      <c r="S1490" s="5">
        <f t="shared" si="337"/>
        <v>0</v>
      </c>
    </row>
    <row r="1491" spans="1:23">
      <c r="A1491" s="3">
        <v>1380</v>
      </c>
      <c r="B1491" s="1">
        <f>IF(G1491="-",0,IF(G1490=G1491,1,0))</f>
        <v>0</v>
      </c>
      <c r="C1491" s="1">
        <f>+IF(G1491="-",0,IF(I1491=I1490+1,0,(IF(I1491=1,0,1))))</f>
        <v>1</v>
      </c>
      <c r="D1491" s="1">
        <f>+IF(AND(P1491="",Q1491=""),1,0)</f>
        <v>0</v>
      </c>
      <c r="E1491" s="1">
        <f t="shared" ref="E1491:F1493" si="344">IF(U1491="",1,0)</f>
        <v>1</v>
      </c>
      <c r="F1491" s="1">
        <f t="shared" si="344"/>
        <v>0</v>
      </c>
      <c r="G1491" s="1" t="str">
        <f>IF(H1491=0,"-",_xlfn.CONCAT(K1491,N1491,O1491,J1491))</f>
        <v>24072720</v>
      </c>
      <c r="H1491" s="2">
        <v>45500</v>
      </c>
      <c r="I1491" s="36">
        <v>20</v>
      </c>
      <c r="J1491" s="1">
        <f t="shared" si="338"/>
        <v>20</v>
      </c>
      <c r="K1491" s="3">
        <f t="shared" si="339"/>
        <v>24</v>
      </c>
      <c r="L1491" s="3">
        <f t="shared" si="340"/>
        <v>7</v>
      </c>
      <c r="M1491" s="3">
        <f t="shared" si="341"/>
        <v>27</v>
      </c>
      <c r="N1491" s="3" t="str">
        <f t="shared" si="342"/>
        <v>07</v>
      </c>
      <c r="O1491" s="14">
        <f t="shared" si="343"/>
        <v>27</v>
      </c>
      <c r="P1491" s="11">
        <v>136000</v>
      </c>
      <c r="R1491" s="6">
        <v>518</v>
      </c>
      <c r="S1491" s="5">
        <f t="shared" si="337"/>
        <v>262.54826254826253</v>
      </c>
      <c r="T1491" s="5" t="s">
        <v>564</v>
      </c>
      <c r="V1491" s="3" t="s">
        <v>4</v>
      </c>
    </row>
    <row r="1492" spans="1:23">
      <c r="A1492" s="3">
        <v>1381</v>
      </c>
      <c r="B1492" s="1">
        <f>IF(G1492="-",0,IF(G1491=G1492,1,0))</f>
        <v>0</v>
      </c>
      <c r="C1492" s="1">
        <f>+IF(G1492="-",0,IF(I1492=I1491+1,0,(IF(I1492=1,0,1))))</f>
        <v>0</v>
      </c>
      <c r="D1492" s="1">
        <f>+IF(AND(P1492="",Q1492=""),1,0)</f>
        <v>0</v>
      </c>
      <c r="E1492" s="1">
        <f t="shared" si="344"/>
        <v>1</v>
      </c>
      <c r="F1492" s="1">
        <f t="shared" si="344"/>
        <v>0</v>
      </c>
      <c r="G1492" s="1" t="str">
        <f>IF(H1492=0,"-",_xlfn.CONCAT(K1492,N1492,O1492,J1492))</f>
        <v>24072721</v>
      </c>
      <c r="H1492" s="2">
        <v>45500</v>
      </c>
      <c r="I1492" s="36">
        <v>21</v>
      </c>
      <c r="J1492" s="1">
        <f t="shared" si="338"/>
        <v>21</v>
      </c>
      <c r="K1492" s="3">
        <f t="shared" si="339"/>
        <v>24</v>
      </c>
      <c r="L1492" s="3">
        <f t="shared" si="340"/>
        <v>7</v>
      </c>
      <c r="M1492" s="3">
        <f t="shared" si="341"/>
        <v>27</v>
      </c>
      <c r="N1492" s="3" t="str">
        <f t="shared" si="342"/>
        <v>07</v>
      </c>
      <c r="O1492" s="14">
        <f t="shared" si="343"/>
        <v>27</v>
      </c>
      <c r="P1492" s="11">
        <v>136000</v>
      </c>
      <c r="R1492" s="6">
        <v>518</v>
      </c>
      <c r="S1492" s="5">
        <f t="shared" si="337"/>
        <v>262.54826254826253</v>
      </c>
      <c r="T1492" s="5" t="s">
        <v>534</v>
      </c>
      <c r="V1492" s="3" t="s">
        <v>4</v>
      </c>
    </row>
    <row r="1493" spans="1:23">
      <c r="A1493" s="3">
        <v>1383</v>
      </c>
      <c r="B1493" s="1">
        <f>IF(G1493="-",0,IF(G1492=G1493,1,0))</f>
        <v>0</v>
      </c>
      <c r="C1493" s="1">
        <f>+IF(G1493="-",0,IF(I1493=I1492+1,0,(IF(I1493=1,0,1))))</f>
        <v>1</v>
      </c>
      <c r="D1493" s="1">
        <f>+IF(AND(P1493="",Q1493=""),1,0)</f>
        <v>0</v>
      </c>
      <c r="E1493" s="1">
        <f t="shared" si="344"/>
        <v>1</v>
      </c>
      <c r="F1493" s="1">
        <f t="shared" si="344"/>
        <v>0</v>
      </c>
      <c r="G1493" s="1" t="str">
        <f>IF(H1493=0,"-",_xlfn.CONCAT(K1493,N1493,O1493,J1493))</f>
        <v>24072723</v>
      </c>
      <c r="H1493" s="2">
        <v>45500</v>
      </c>
      <c r="I1493" s="36">
        <v>23</v>
      </c>
      <c r="J1493" s="1">
        <f t="shared" si="338"/>
        <v>23</v>
      </c>
      <c r="K1493" s="3">
        <f t="shared" si="339"/>
        <v>24</v>
      </c>
      <c r="L1493" s="3">
        <f t="shared" si="340"/>
        <v>7</v>
      </c>
      <c r="M1493" s="3">
        <f t="shared" si="341"/>
        <v>27</v>
      </c>
      <c r="N1493" s="3" t="str">
        <f t="shared" si="342"/>
        <v>07</v>
      </c>
      <c r="O1493" s="14">
        <f t="shared" si="343"/>
        <v>27</v>
      </c>
      <c r="P1493" s="11">
        <f>30000+30000+25000+30000+50000+25000</f>
        <v>190000</v>
      </c>
      <c r="R1493" s="6">
        <v>518</v>
      </c>
      <c r="S1493" s="5">
        <f t="shared" si="337"/>
        <v>366.79536679536682</v>
      </c>
      <c r="T1493" s="5" t="s">
        <v>527</v>
      </c>
      <c r="V1493" s="3" t="s">
        <v>4</v>
      </c>
    </row>
    <row r="1494" spans="1:23" hidden="1">
      <c r="J1494" s="1" t="str">
        <f t="shared" si="338"/>
        <v>0</v>
      </c>
      <c r="K1494" s="3">
        <f t="shared" si="339"/>
        <v>-100</v>
      </c>
      <c r="L1494" s="3">
        <f t="shared" si="340"/>
        <v>1</v>
      </c>
      <c r="M1494" s="3">
        <f t="shared" si="341"/>
        <v>0</v>
      </c>
      <c r="N1494" s="3" t="str">
        <f t="shared" si="342"/>
        <v>01</v>
      </c>
      <c r="O1494" s="14" t="str">
        <f t="shared" si="343"/>
        <v>00</v>
      </c>
      <c r="R1494" s="6">
        <v>516</v>
      </c>
      <c r="S1494" s="5">
        <f t="shared" si="337"/>
        <v>0</v>
      </c>
    </row>
    <row r="1495" spans="1:23" hidden="1">
      <c r="J1495" s="1" t="str">
        <f t="shared" si="338"/>
        <v>0</v>
      </c>
      <c r="K1495" s="3">
        <f t="shared" si="339"/>
        <v>-100</v>
      </c>
      <c r="L1495" s="3">
        <f t="shared" si="340"/>
        <v>1</v>
      </c>
      <c r="M1495" s="3">
        <f t="shared" si="341"/>
        <v>0</v>
      </c>
      <c r="N1495" s="3" t="str">
        <f t="shared" si="342"/>
        <v>01</v>
      </c>
      <c r="O1495" s="14" t="str">
        <f t="shared" si="343"/>
        <v>00</v>
      </c>
      <c r="R1495" s="6">
        <v>516</v>
      </c>
      <c r="S1495" s="5">
        <f t="shared" si="337"/>
        <v>0</v>
      </c>
    </row>
    <row r="1496" spans="1:23" hidden="1">
      <c r="J1496" s="1" t="str">
        <f t="shared" si="338"/>
        <v>0</v>
      </c>
      <c r="K1496" s="3">
        <f t="shared" si="339"/>
        <v>-100</v>
      </c>
      <c r="L1496" s="3">
        <f t="shared" si="340"/>
        <v>1</v>
      </c>
      <c r="M1496" s="3">
        <f t="shared" si="341"/>
        <v>0</v>
      </c>
      <c r="N1496" s="3" t="str">
        <f t="shared" si="342"/>
        <v>01</v>
      </c>
      <c r="O1496" s="14" t="str">
        <f t="shared" si="343"/>
        <v>00</v>
      </c>
      <c r="R1496" s="6">
        <v>516</v>
      </c>
      <c r="S1496" s="5">
        <f t="shared" si="337"/>
        <v>0</v>
      </c>
    </row>
    <row r="1497" spans="1:23" hidden="1">
      <c r="G1497" s="105"/>
      <c r="H1497" s="106"/>
      <c r="J1497" s="105" t="str">
        <f t="shared" si="338"/>
        <v>0</v>
      </c>
      <c r="K1497" s="104">
        <f t="shared" si="339"/>
        <v>-100</v>
      </c>
      <c r="L1497" s="104">
        <f t="shared" si="340"/>
        <v>1</v>
      </c>
      <c r="M1497" s="104">
        <f t="shared" si="341"/>
        <v>0</v>
      </c>
      <c r="N1497" s="104" t="str">
        <f t="shared" si="342"/>
        <v>01</v>
      </c>
      <c r="O1497" s="107" t="str">
        <f t="shared" si="343"/>
        <v>00</v>
      </c>
      <c r="P1497" s="108"/>
      <c r="Q1497" s="109"/>
      <c r="R1497" s="110">
        <v>516</v>
      </c>
      <c r="S1497" s="109">
        <f t="shared" ref="S1497:S1501" si="345">IFERROR(P1497/R1497,"")</f>
        <v>0</v>
      </c>
      <c r="T1497" s="109"/>
      <c r="U1497" s="104"/>
      <c r="V1497" s="104"/>
      <c r="W1497" s="104"/>
    </row>
    <row r="1498" spans="1:23" hidden="1">
      <c r="J1498" s="1" t="str">
        <f t="shared" si="338"/>
        <v>0</v>
      </c>
      <c r="K1498" s="3">
        <f t="shared" si="339"/>
        <v>-100</v>
      </c>
      <c r="L1498" s="3">
        <f t="shared" si="340"/>
        <v>1</v>
      </c>
      <c r="M1498" s="3">
        <f t="shared" si="341"/>
        <v>0</v>
      </c>
      <c r="N1498" s="3" t="str">
        <f t="shared" si="342"/>
        <v>01</v>
      </c>
      <c r="O1498" s="14" t="str">
        <f t="shared" si="343"/>
        <v>00</v>
      </c>
      <c r="R1498" s="6">
        <v>521</v>
      </c>
      <c r="S1498" s="5">
        <f t="shared" si="345"/>
        <v>0</v>
      </c>
    </row>
    <row r="1499" spans="1:23" hidden="1">
      <c r="J1499" s="1" t="str">
        <f t="shared" si="338"/>
        <v>0</v>
      </c>
      <c r="K1499" s="3">
        <f t="shared" si="339"/>
        <v>-100</v>
      </c>
      <c r="L1499" s="3">
        <f t="shared" si="340"/>
        <v>1</v>
      </c>
      <c r="M1499" s="3">
        <f t="shared" si="341"/>
        <v>0</v>
      </c>
      <c r="N1499" s="3" t="str">
        <f t="shared" si="342"/>
        <v>01</v>
      </c>
      <c r="O1499" s="14" t="str">
        <f t="shared" si="343"/>
        <v>00</v>
      </c>
      <c r="R1499" s="6">
        <v>521</v>
      </c>
      <c r="S1499" s="5">
        <f t="shared" si="345"/>
        <v>0</v>
      </c>
    </row>
    <row r="1500" spans="1:23" hidden="1">
      <c r="J1500" s="1" t="str">
        <f t="shared" si="338"/>
        <v>0</v>
      </c>
      <c r="K1500" s="3">
        <f t="shared" si="339"/>
        <v>-100</v>
      </c>
      <c r="L1500" s="3">
        <f t="shared" si="340"/>
        <v>1</v>
      </c>
      <c r="M1500" s="3">
        <f t="shared" si="341"/>
        <v>0</v>
      </c>
      <c r="N1500" s="3" t="str">
        <f t="shared" si="342"/>
        <v>01</v>
      </c>
      <c r="O1500" s="14" t="str">
        <f t="shared" si="343"/>
        <v>00</v>
      </c>
      <c r="R1500" s="6">
        <v>521</v>
      </c>
      <c r="S1500" s="5">
        <f t="shared" si="345"/>
        <v>0</v>
      </c>
    </row>
    <row r="1501" spans="1:23" hidden="1">
      <c r="J1501" s="1" t="str">
        <f t="shared" si="338"/>
        <v>0</v>
      </c>
      <c r="K1501" s="3">
        <f t="shared" si="339"/>
        <v>-100</v>
      </c>
      <c r="L1501" s="3">
        <f t="shared" si="340"/>
        <v>1</v>
      </c>
      <c r="M1501" s="3">
        <f t="shared" si="341"/>
        <v>0</v>
      </c>
      <c r="N1501" s="3" t="str">
        <f t="shared" si="342"/>
        <v>01</v>
      </c>
      <c r="O1501" s="14" t="str">
        <f t="shared" si="343"/>
        <v>00</v>
      </c>
      <c r="R1501" s="6">
        <v>521</v>
      </c>
      <c r="S1501" s="5">
        <f t="shared" si="345"/>
        <v>0</v>
      </c>
    </row>
    <row r="1502" spans="1:23" hidden="1">
      <c r="J1502" s="1" t="str">
        <f t="shared" si="338"/>
        <v>0</v>
      </c>
      <c r="K1502" s="3">
        <f t="shared" si="339"/>
        <v>-100</v>
      </c>
      <c r="L1502" s="3">
        <f t="shared" si="340"/>
        <v>1</v>
      </c>
      <c r="M1502" s="3">
        <f t="shared" si="341"/>
        <v>0</v>
      </c>
      <c r="N1502" s="3" t="str">
        <f t="shared" si="342"/>
        <v>01</v>
      </c>
      <c r="O1502" s="14" t="str">
        <f t="shared" si="343"/>
        <v>00</v>
      </c>
    </row>
    <row r="1503" spans="1:23">
      <c r="A1503" s="3">
        <v>1384</v>
      </c>
      <c r="B1503" s="1">
        <f>IF(G1503="-",0,IF(G1502=G1503,1,0))</f>
        <v>0</v>
      </c>
      <c r="C1503" s="1">
        <f>+IF(G1503="-",0,IF(I1503=I1502+1,0,(IF(I1503=1,0,1))))</f>
        <v>1</v>
      </c>
      <c r="D1503" s="1">
        <f>+IF(AND(P1503="",Q1503=""),1,0)</f>
        <v>0</v>
      </c>
      <c r="E1503" s="1">
        <f>IF(U1503="",1,0)</f>
        <v>1</v>
      </c>
      <c r="F1503" s="1">
        <f>IF(V1503="",1,0)</f>
        <v>0</v>
      </c>
      <c r="G1503" s="1" t="str">
        <f>IF(H1503=0,"-",_xlfn.CONCAT(K1503,N1503,O1503,J1503))</f>
        <v>24072724</v>
      </c>
      <c r="H1503" s="2">
        <v>45500</v>
      </c>
      <c r="I1503" s="36">
        <v>24</v>
      </c>
      <c r="J1503" s="1">
        <f t="shared" si="338"/>
        <v>24</v>
      </c>
      <c r="K1503" s="3">
        <f t="shared" si="339"/>
        <v>24</v>
      </c>
      <c r="L1503" s="3">
        <f t="shared" si="340"/>
        <v>7</v>
      </c>
      <c r="M1503" s="3">
        <f t="shared" si="341"/>
        <v>27</v>
      </c>
      <c r="N1503" s="3" t="str">
        <f t="shared" si="342"/>
        <v>07</v>
      </c>
      <c r="O1503" s="14">
        <f t="shared" si="343"/>
        <v>27</v>
      </c>
      <c r="P1503" s="11">
        <f>6*70000-50000</f>
        <v>370000</v>
      </c>
      <c r="R1503" s="6">
        <v>518</v>
      </c>
      <c r="S1503" s="5">
        <f t="shared" ref="S1503:S1516" si="346">IFERROR(P1503/R1503,"")</f>
        <v>714.28571428571433</v>
      </c>
      <c r="T1503" s="5" t="s">
        <v>531</v>
      </c>
      <c r="V1503" s="3" t="s">
        <v>4</v>
      </c>
    </row>
    <row r="1504" spans="1:23">
      <c r="A1504" s="3">
        <v>1385</v>
      </c>
      <c r="B1504" s="1">
        <f>IF(G1504="-",0,IF(G1503=G1504,1,0))</f>
        <v>0</v>
      </c>
      <c r="C1504" s="1">
        <f>+IF(G1504="-",0,IF(I1504=I1503+1,0,(IF(I1504=1,0,1))))</f>
        <v>0</v>
      </c>
      <c r="D1504" s="1">
        <f>+IF(AND(P1504="",Q1504=""),1,0)</f>
        <v>0</v>
      </c>
      <c r="E1504" s="1">
        <f>IF(U1504="",1,0)</f>
        <v>1</v>
      </c>
      <c r="F1504" s="1">
        <f>IF(V1504="",1,0)</f>
        <v>0</v>
      </c>
      <c r="G1504" s="1" t="str">
        <f>IF(H1504=0,"-",_xlfn.CONCAT(K1504,N1504,O1504,J1504))</f>
        <v>24072725</v>
      </c>
      <c r="H1504" s="2">
        <v>45500</v>
      </c>
      <c r="I1504" s="36">
        <v>25</v>
      </c>
      <c r="J1504" s="1">
        <f t="shared" si="338"/>
        <v>25</v>
      </c>
      <c r="K1504" s="3">
        <f t="shared" si="339"/>
        <v>24</v>
      </c>
      <c r="L1504" s="3">
        <f t="shared" si="340"/>
        <v>7</v>
      </c>
      <c r="M1504" s="3">
        <f t="shared" si="341"/>
        <v>27</v>
      </c>
      <c r="N1504" s="3" t="str">
        <f t="shared" si="342"/>
        <v>07</v>
      </c>
      <c r="O1504" s="14">
        <f t="shared" si="343"/>
        <v>27</v>
      </c>
      <c r="P1504" s="11">
        <v>537884.76</v>
      </c>
      <c r="R1504" s="6">
        <v>518</v>
      </c>
      <c r="S1504" s="5">
        <f t="shared" si="346"/>
        <v>1038.3875675675677</v>
      </c>
      <c r="T1504" s="5" t="s">
        <v>530</v>
      </c>
      <c r="V1504" s="3" t="s">
        <v>4</v>
      </c>
    </row>
    <row r="1505" spans="1:23" hidden="1">
      <c r="J1505" s="1" t="str">
        <f t="shared" si="338"/>
        <v>0</v>
      </c>
      <c r="K1505" s="3">
        <f t="shared" si="339"/>
        <v>-100</v>
      </c>
      <c r="L1505" s="3">
        <f t="shared" si="340"/>
        <v>1</v>
      </c>
      <c r="M1505" s="3">
        <f t="shared" si="341"/>
        <v>0</v>
      </c>
      <c r="N1505" s="3" t="str">
        <f t="shared" si="342"/>
        <v>01</v>
      </c>
      <c r="O1505" s="14" t="str">
        <f t="shared" si="343"/>
        <v>00</v>
      </c>
      <c r="R1505" s="6">
        <v>521</v>
      </c>
      <c r="S1505" s="5">
        <f t="shared" si="346"/>
        <v>0</v>
      </c>
    </row>
    <row r="1506" spans="1:23" hidden="1">
      <c r="J1506" s="1" t="str">
        <f t="shared" si="338"/>
        <v>0</v>
      </c>
      <c r="K1506" s="3">
        <f t="shared" si="339"/>
        <v>-100</v>
      </c>
      <c r="L1506" s="3">
        <f t="shared" si="340"/>
        <v>1</v>
      </c>
      <c r="M1506" s="3">
        <f t="shared" si="341"/>
        <v>0</v>
      </c>
      <c r="N1506" s="3" t="str">
        <f t="shared" si="342"/>
        <v>01</v>
      </c>
      <c r="O1506" s="14" t="str">
        <f t="shared" si="343"/>
        <v>00</v>
      </c>
      <c r="R1506" s="6">
        <v>521</v>
      </c>
      <c r="S1506" s="5">
        <f t="shared" si="346"/>
        <v>0</v>
      </c>
    </row>
    <row r="1507" spans="1:23" hidden="1">
      <c r="J1507" s="1" t="str">
        <f t="shared" si="338"/>
        <v>0</v>
      </c>
      <c r="K1507" s="3">
        <f t="shared" si="339"/>
        <v>-100</v>
      </c>
      <c r="L1507" s="3">
        <f t="shared" si="340"/>
        <v>1</v>
      </c>
      <c r="M1507" s="3">
        <f t="shared" si="341"/>
        <v>0</v>
      </c>
      <c r="N1507" s="3" t="str">
        <f t="shared" si="342"/>
        <v>01</v>
      </c>
      <c r="O1507" s="14" t="str">
        <f t="shared" si="343"/>
        <v>00</v>
      </c>
      <c r="R1507" s="6">
        <v>521</v>
      </c>
      <c r="S1507" s="5">
        <f t="shared" si="346"/>
        <v>0</v>
      </c>
    </row>
    <row r="1508" spans="1:23" hidden="1">
      <c r="J1508" s="1" t="str">
        <f t="shared" si="338"/>
        <v>0</v>
      </c>
      <c r="K1508" s="3">
        <f t="shared" si="339"/>
        <v>-100</v>
      </c>
      <c r="L1508" s="3">
        <f t="shared" si="340"/>
        <v>1</v>
      </c>
      <c r="M1508" s="3">
        <f t="shared" si="341"/>
        <v>0</v>
      </c>
      <c r="N1508" s="3" t="str">
        <f t="shared" si="342"/>
        <v>01</v>
      </c>
      <c r="O1508" s="14" t="str">
        <f t="shared" si="343"/>
        <v>00</v>
      </c>
      <c r="P1508" s="111"/>
      <c r="R1508" s="6">
        <v>521</v>
      </c>
      <c r="S1508" s="5">
        <f t="shared" si="346"/>
        <v>0</v>
      </c>
    </row>
    <row r="1509" spans="1:23" hidden="1">
      <c r="J1509" s="1" t="str">
        <f t="shared" si="338"/>
        <v>0</v>
      </c>
      <c r="K1509" s="3">
        <f t="shared" si="339"/>
        <v>-100</v>
      </c>
      <c r="L1509" s="3">
        <f t="shared" si="340"/>
        <v>1</v>
      </c>
      <c r="M1509" s="3">
        <f t="shared" si="341"/>
        <v>0</v>
      </c>
      <c r="N1509" s="3" t="str">
        <f t="shared" si="342"/>
        <v>01</v>
      </c>
      <c r="O1509" s="14" t="str">
        <f t="shared" si="343"/>
        <v>00</v>
      </c>
      <c r="P1509" s="111"/>
      <c r="R1509" s="6">
        <v>521</v>
      </c>
      <c r="S1509" s="5">
        <f t="shared" si="346"/>
        <v>0</v>
      </c>
    </row>
    <row r="1510" spans="1:23" hidden="1">
      <c r="J1510" s="1" t="str">
        <f t="shared" si="338"/>
        <v>0</v>
      </c>
      <c r="K1510" s="3">
        <f t="shared" si="339"/>
        <v>-100</v>
      </c>
      <c r="L1510" s="3">
        <f t="shared" si="340"/>
        <v>1</v>
      </c>
      <c r="M1510" s="3">
        <f t="shared" si="341"/>
        <v>0</v>
      </c>
      <c r="N1510" s="3" t="str">
        <f t="shared" si="342"/>
        <v>01</v>
      </c>
      <c r="O1510" s="14" t="str">
        <f t="shared" si="343"/>
        <v>00</v>
      </c>
      <c r="P1510" s="111"/>
      <c r="R1510" s="6">
        <v>521</v>
      </c>
      <c r="S1510" s="5">
        <f t="shared" si="346"/>
        <v>0</v>
      </c>
    </row>
    <row r="1511" spans="1:23" hidden="1">
      <c r="J1511" s="1" t="str">
        <f t="shared" si="338"/>
        <v>0</v>
      </c>
      <c r="K1511" s="3">
        <f t="shared" si="339"/>
        <v>-100</v>
      </c>
      <c r="L1511" s="3">
        <f t="shared" si="340"/>
        <v>1</v>
      </c>
      <c r="M1511" s="3">
        <f t="shared" si="341"/>
        <v>0</v>
      </c>
      <c r="N1511" s="3" t="str">
        <f t="shared" si="342"/>
        <v>01</v>
      </c>
      <c r="O1511" s="14" t="str">
        <f t="shared" si="343"/>
        <v>00</v>
      </c>
      <c r="P1511" s="111"/>
      <c r="R1511" s="6">
        <v>521</v>
      </c>
      <c r="S1511" s="5">
        <f t="shared" si="346"/>
        <v>0</v>
      </c>
    </row>
    <row r="1512" spans="1:23">
      <c r="A1512" s="3">
        <v>1393</v>
      </c>
      <c r="B1512" s="1">
        <f>IF(G1512="-",0,IF(G1511=G1512,1,0))</f>
        <v>0</v>
      </c>
      <c r="C1512" s="1">
        <f>+IF(G1512="-",0,IF(I1512=I1511+1,0,(IF(I1512=1,0,1))))</f>
        <v>1</v>
      </c>
      <c r="D1512" s="1">
        <f>+IF(AND(P1512="",Q1512=""),1,0)</f>
        <v>0</v>
      </c>
      <c r="E1512" s="1">
        <f t="shared" ref="E1512:F1515" si="347">IF(U1512="",1,0)</f>
        <v>0</v>
      </c>
      <c r="F1512" s="1">
        <f t="shared" si="347"/>
        <v>0</v>
      </c>
      <c r="G1512" s="1" t="str">
        <f>IF(H1512=0,"-",_xlfn.CONCAT(K1512,N1512,O1512,J1512))</f>
        <v>24072805</v>
      </c>
      <c r="H1512" s="2">
        <v>45501</v>
      </c>
      <c r="I1512" s="36">
        <v>5</v>
      </c>
      <c r="J1512" s="1" t="str">
        <f t="shared" si="338"/>
        <v>05</v>
      </c>
      <c r="K1512" s="3">
        <f t="shared" si="339"/>
        <v>24</v>
      </c>
      <c r="L1512" s="3">
        <f t="shared" si="340"/>
        <v>7</v>
      </c>
      <c r="M1512" s="3">
        <f t="shared" si="341"/>
        <v>28</v>
      </c>
      <c r="N1512" s="3" t="str">
        <f t="shared" si="342"/>
        <v>07</v>
      </c>
      <c r="O1512" s="14">
        <f t="shared" si="343"/>
        <v>28</v>
      </c>
      <c r="P1512" s="4">
        <v>10000</v>
      </c>
      <c r="R1512" s="6">
        <v>518</v>
      </c>
      <c r="S1512" s="5">
        <f t="shared" si="346"/>
        <v>19.305019305019304</v>
      </c>
      <c r="T1512" s="5" t="s">
        <v>448</v>
      </c>
      <c r="U1512" s="3" t="s">
        <v>29</v>
      </c>
      <c r="V1512" s="3" t="s">
        <v>4</v>
      </c>
    </row>
    <row r="1513" spans="1:23">
      <c r="A1513" s="3">
        <v>1396</v>
      </c>
      <c r="B1513" s="1">
        <f>IF(G1513="-",0,IF(G1512=G1513,1,0))</f>
        <v>0</v>
      </c>
      <c r="C1513" s="1">
        <f>+IF(G1513="-",0,IF(I1513=I1512+1,0,(IF(I1513=1,0,1))))</f>
        <v>0</v>
      </c>
      <c r="D1513" s="1">
        <f>+IF(AND(P1513="",Q1513=""),1,0)</f>
        <v>0</v>
      </c>
      <c r="E1513" s="1">
        <f t="shared" si="347"/>
        <v>0</v>
      </c>
      <c r="F1513" s="1">
        <f t="shared" si="347"/>
        <v>0</v>
      </c>
      <c r="G1513" s="1" t="str">
        <f>IF(H1513=0,"-",_xlfn.CONCAT(K1513,N1513,O1513,J1513))</f>
        <v>24072901</v>
      </c>
      <c r="H1513" s="2">
        <v>45502</v>
      </c>
      <c r="I1513" s="36">
        <v>1</v>
      </c>
      <c r="J1513" s="1" t="str">
        <f t="shared" si="338"/>
        <v>01</v>
      </c>
      <c r="K1513" s="3">
        <f t="shared" si="339"/>
        <v>24</v>
      </c>
      <c r="L1513" s="3">
        <f t="shared" si="340"/>
        <v>7</v>
      </c>
      <c r="M1513" s="3">
        <f t="shared" si="341"/>
        <v>29</v>
      </c>
      <c r="N1513" s="3" t="str">
        <f t="shared" si="342"/>
        <v>07</v>
      </c>
      <c r="O1513" s="14">
        <f t="shared" si="343"/>
        <v>29</v>
      </c>
      <c r="P1513" s="4">
        <v>11090.39</v>
      </c>
      <c r="R1513" s="6">
        <v>518</v>
      </c>
      <c r="S1513" s="5">
        <f t="shared" si="346"/>
        <v>21.410019305019304</v>
      </c>
      <c r="T1513" s="5" t="s">
        <v>700</v>
      </c>
      <c r="U1513" s="3" t="s">
        <v>29</v>
      </c>
      <c r="V1513" s="3" t="s">
        <v>4</v>
      </c>
    </row>
    <row r="1514" spans="1:23">
      <c r="A1514" s="3">
        <v>1400</v>
      </c>
      <c r="B1514" s="1">
        <f>IF(G1514="-",0,IF(G1513=G1514,1,0))</f>
        <v>0</v>
      </c>
      <c r="C1514" s="1">
        <f>+IF(G1514="-",0,IF(I1514=I1513+1,0,(IF(I1514=1,0,1))))</f>
        <v>1</v>
      </c>
      <c r="D1514" s="1">
        <f>+IF(AND(P1514="",Q1514=""),1,0)</f>
        <v>0</v>
      </c>
      <c r="E1514" s="1">
        <f t="shared" si="347"/>
        <v>0</v>
      </c>
      <c r="F1514" s="1">
        <f t="shared" si="347"/>
        <v>0</v>
      </c>
      <c r="G1514" s="1" t="str">
        <f>IF(H1514=0,"-",_xlfn.CONCAT(K1514,N1514,O1514,J1514))</f>
        <v>24072905</v>
      </c>
      <c r="H1514" s="2">
        <v>45502</v>
      </c>
      <c r="I1514" s="36">
        <v>5</v>
      </c>
      <c r="J1514" s="1" t="str">
        <f t="shared" si="338"/>
        <v>05</v>
      </c>
      <c r="K1514" s="3">
        <f t="shared" si="339"/>
        <v>24</v>
      </c>
      <c r="L1514" s="3">
        <f t="shared" si="340"/>
        <v>7</v>
      </c>
      <c r="M1514" s="3">
        <f t="shared" si="341"/>
        <v>29</v>
      </c>
      <c r="N1514" s="3" t="str">
        <f t="shared" si="342"/>
        <v>07</v>
      </c>
      <c r="O1514" s="14">
        <f t="shared" si="343"/>
        <v>29</v>
      </c>
      <c r="P1514" s="4">
        <v>200000</v>
      </c>
      <c r="R1514" s="6">
        <v>518</v>
      </c>
      <c r="S1514" s="5">
        <f t="shared" si="346"/>
        <v>386.10038610038612</v>
      </c>
      <c r="T1514" s="5" t="s">
        <v>541</v>
      </c>
      <c r="U1514" s="3" t="s">
        <v>3</v>
      </c>
      <c r="V1514" s="3" t="s">
        <v>4</v>
      </c>
    </row>
    <row r="1515" spans="1:23">
      <c r="A1515" s="3">
        <v>1405</v>
      </c>
      <c r="B1515" s="1">
        <f>IF(G1515="-",0,IF(G1514=G1515,1,0))</f>
        <v>0</v>
      </c>
      <c r="C1515" s="1">
        <f>+IF(G1515="-",0,IF(I1515=I1514+1,0,(IF(I1515=1,0,1))))</f>
        <v>1</v>
      </c>
      <c r="D1515" s="1">
        <f>+IF(AND(P1515="",Q1515=""),1,0)</f>
        <v>0</v>
      </c>
      <c r="E1515" s="1">
        <f t="shared" si="347"/>
        <v>0</v>
      </c>
      <c r="F1515" s="1">
        <f t="shared" si="347"/>
        <v>0</v>
      </c>
      <c r="G1515" s="1" t="str">
        <f>IF(H1515=0,"-",_xlfn.CONCAT(K1515,N1515,O1515,J1515))</f>
        <v>24072910</v>
      </c>
      <c r="H1515" s="2">
        <v>45502</v>
      </c>
      <c r="I1515" s="36">
        <v>10</v>
      </c>
      <c r="J1515" s="1">
        <f t="shared" si="338"/>
        <v>10</v>
      </c>
      <c r="K1515" s="3">
        <f t="shared" si="339"/>
        <v>24</v>
      </c>
      <c r="L1515" s="3">
        <f t="shared" si="340"/>
        <v>7</v>
      </c>
      <c r="M1515" s="3">
        <f t="shared" si="341"/>
        <v>29</v>
      </c>
      <c r="N1515" s="3" t="str">
        <f t="shared" si="342"/>
        <v>07</v>
      </c>
      <c r="O1515" s="14">
        <f t="shared" si="343"/>
        <v>29</v>
      </c>
      <c r="P1515" s="4">
        <v>22083.39</v>
      </c>
      <c r="S1515" s="5" t="str">
        <f t="shared" si="346"/>
        <v/>
      </c>
      <c r="T1515" s="5" t="s">
        <v>1030</v>
      </c>
      <c r="U1515" s="3" t="s">
        <v>29</v>
      </c>
      <c r="V1515" s="3" t="s">
        <v>4</v>
      </c>
    </row>
    <row r="1516" spans="1:23" hidden="1">
      <c r="J1516" s="1" t="str">
        <f t="shared" si="338"/>
        <v>0</v>
      </c>
      <c r="K1516" s="3">
        <f t="shared" si="339"/>
        <v>-100</v>
      </c>
      <c r="L1516" s="3">
        <f t="shared" si="340"/>
        <v>1</v>
      </c>
      <c r="M1516" s="3">
        <f t="shared" si="341"/>
        <v>0</v>
      </c>
      <c r="N1516" s="3" t="str">
        <f t="shared" si="342"/>
        <v>01</v>
      </c>
      <c r="O1516" s="14" t="str">
        <f t="shared" si="343"/>
        <v>00</v>
      </c>
      <c r="R1516" s="6">
        <v>521</v>
      </c>
      <c r="S1516" s="5">
        <f t="shared" si="346"/>
        <v>0</v>
      </c>
    </row>
    <row r="1517" spans="1:23" hidden="1">
      <c r="J1517" s="1" t="str">
        <f t="shared" si="338"/>
        <v>0</v>
      </c>
      <c r="K1517" s="3">
        <f t="shared" si="339"/>
        <v>-100</v>
      </c>
      <c r="L1517" s="3">
        <f t="shared" si="340"/>
        <v>1</v>
      </c>
      <c r="M1517" s="3">
        <f t="shared" si="341"/>
        <v>0</v>
      </c>
      <c r="N1517" s="3" t="str">
        <f t="shared" si="342"/>
        <v>01</v>
      </c>
      <c r="O1517" s="14" t="str">
        <f t="shared" si="343"/>
        <v>00</v>
      </c>
    </row>
    <row r="1518" spans="1:23" hidden="1">
      <c r="J1518" s="1" t="str">
        <f t="shared" si="338"/>
        <v>0</v>
      </c>
      <c r="K1518" s="3">
        <f t="shared" si="339"/>
        <v>-100</v>
      </c>
      <c r="L1518" s="3">
        <f t="shared" si="340"/>
        <v>1</v>
      </c>
      <c r="M1518" s="3">
        <f t="shared" si="341"/>
        <v>0</v>
      </c>
      <c r="N1518" s="3" t="str">
        <f t="shared" si="342"/>
        <v>01</v>
      </c>
      <c r="O1518" s="14" t="str">
        <f t="shared" si="343"/>
        <v>00</v>
      </c>
      <c r="R1518" s="6">
        <v>522</v>
      </c>
      <c r="S1518" s="5">
        <f t="shared" ref="S1518:S1553" si="348">IFERROR(P1518/R1518,"")</f>
        <v>0</v>
      </c>
    </row>
    <row r="1519" spans="1:23" s="104" customFormat="1">
      <c r="A1519" s="3">
        <v>1406</v>
      </c>
      <c r="B1519" s="1">
        <f>IF(G1519="-",0,IF(G1518=G1519,1,0))</f>
        <v>0</v>
      </c>
      <c r="C1519" s="1">
        <f>+IF(G1519="-",0,IF(I1519=I1518+1,0,(IF(I1519=1,0,1))))</f>
        <v>0</v>
      </c>
      <c r="D1519" s="1">
        <f>+IF(AND(P1519="",Q1519=""),1,0)</f>
        <v>0</v>
      </c>
      <c r="E1519" s="1">
        <f>IF(U1519="",1,0)</f>
        <v>0</v>
      </c>
      <c r="F1519" s="1">
        <f>IF(V1519="",1,0)</f>
        <v>0</v>
      </c>
      <c r="G1519" s="1" t="str">
        <f>IF(H1519=0,"-",_xlfn.CONCAT(K1519,N1519,O1519,J1519))</f>
        <v>24073001</v>
      </c>
      <c r="H1519" s="2">
        <v>45503</v>
      </c>
      <c r="I1519" s="36">
        <v>1</v>
      </c>
      <c r="J1519" s="1" t="str">
        <f t="shared" si="338"/>
        <v>01</v>
      </c>
      <c r="K1519" s="3">
        <f t="shared" si="339"/>
        <v>24</v>
      </c>
      <c r="L1519" s="3">
        <f t="shared" si="340"/>
        <v>7</v>
      </c>
      <c r="M1519" s="3">
        <f t="shared" si="341"/>
        <v>30</v>
      </c>
      <c r="N1519" s="3" t="str">
        <f t="shared" si="342"/>
        <v>07</v>
      </c>
      <c r="O1519" s="14">
        <f t="shared" si="343"/>
        <v>30</v>
      </c>
      <c r="P1519" s="4">
        <v>10000</v>
      </c>
      <c r="Q1519" s="5"/>
      <c r="R1519" s="6"/>
      <c r="S1519" s="5" t="str">
        <f t="shared" si="348"/>
        <v/>
      </c>
      <c r="T1519" s="5" t="s">
        <v>448</v>
      </c>
      <c r="U1519" s="3" t="s">
        <v>29</v>
      </c>
      <c r="V1519" s="3" t="s">
        <v>4</v>
      </c>
      <c r="W1519" s="3"/>
    </row>
    <row r="1520" spans="1:23">
      <c r="A1520" s="3">
        <v>1419</v>
      </c>
      <c r="B1520" s="1">
        <f>IF(G1520="-",0,IF(G1519=G1520,1,0))</f>
        <v>0</v>
      </c>
      <c r="C1520" s="1">
        <f>+IF(G1520="-",0,IF(I1520=I1519+1,0,(IF(I1520=1,0,1))))</f>
        <v>0</v>
      </c>
      <c r="D1520" s="1">
        <f>+IF(AND(P1520="",Q1520=""),1,0)</f>
        <v>0</v>
      </c>
      <c r="E1520" s="1">
        <f>IF(U1520="",1,0)</f>
        <v>0</v>
      </c>
      <c r="F1520" s="1">
        <f>IF(V1520="",1,0)</f>
        <v>0</v>
      </c>
      <c r="G1520" s="1" t="str">
        <f>IF(H1520=0,"-",_xlfn.CONCAT(K1520,N1520,O1520,J1520))</f>
        <v>24080101</v>
      </c>
      <c r="H1520" s="2">
        <v>45505</v>
      </c>
      <c r="I1520" s="36">
        <v>1</v>
      </c>
      <c r="J1520" s="1" t="str">
        <f t="shared" si="338"/>
        <v>01</v>
      </c>
      <c r="K1520" s="3">
        <f t="shared" si="339"/>
        <v>24</v>
      </c>
      <c r="L1520" s="3">
        <f t="shared" si="340"/>
        <v>8</v>
      </c>
      <c r="M1520" s="3">
        <f t="shared" si="341"/>
        <v>1</v>
      </c>
      <c r="N1520" s="3" t="str">
        <f t="shared" si="342"/>
        <v>08</v>
      </c>
      <c r="O1520" s="14" t="str">
        <f t="shared" si="343"/>
        <v>01</v>
      </c>
      <c r="P1520" s="4">
        <v>7220.7</v>
      </c>
      <c r="R1520" s="6">
        <v>516</v>
      </c>
      <c r="S1520" s="5">
        <f t="shared" si="348"/>
        <v>13.993604651162791</v>
      </c>
      <c r="T1520" s="5" t="s">
        <v>568</v>
      </c>
      <c r="U1520" s="3" t="s">
        <v>29</v>
      </c>
      <c r="V1520" s="3" t="s">
        <v>4</v>
      </c>
    </row>
    <row r="1521" spans="1:23" hidden="1">
      <c r="J1521" s="1" t="str">
        <f t="shared" si="338"/>
        <v>0</v>
      </c>
      <c r="K1521" s="3">
        <f t="shared" si="339"/>
        <v>-100</v>
      </c>
      <c r="L1521" s="3">
        <f t="shared" si="340"/>
        <v>1</v>
      </c>
      <c r="M1521" s="3">
        <f t="shared" si="341"/>
        <v>0</v>
      </c>
      <c r="N1521" s="3" t="str">
        <f t="shared" si="342"/>
        <v>01</v>
      </c>
      <c r="O1521" s="14" t="str">
        <f t="shared" si="343"/>
        <v>00</v>
      </c>
      <c r="R1521" s="6">
        <v>522</v>
      </c>
      <c r="S1521" s="5">
        <f t="shared" si="348"/>
        <v>0</v>
      </c>
    </row>
    <row r="1522" spans="1:23" hidden="1">
      <c r="J1522" s="1" t="str">
        <f t="shared" si="338"/>
        <v>0</v>
      </c>
      <c r="K1522" s="3">
        <f t="shared" si="339"/>
        <v>-100</v>
      </c>
      <c r="L1522" s="3">
        <f t="shared" si="340"/>
        <v>1</v>
      </c>
      <c r="M1522" s="3">
        <f t="shared" si="341"/>
        <v>0</v>
      </c>
      <c r="N1522" s="3" t="str">
        <f t="shared" si="342"/>
        <v>01</v>
      </c>
      <c r="O1522" s="14" t="str">
        <f t="shared" si="343"/>
        <v>00</v>
      </c>
      <c r="R1522" s="6">
        <v>522</v>
      </c>
      <c r="S1522" s="5">
        <f t="shared" si="348"/>
        <v>0</v>
      </c>
    </row>
    <row r="1523" spans="1:23" hidden="1">
      <c r="J1523" s="1" t="str">
        <f t="shared" si="338"/>
        <v>0</v>
      </c>
      <c r="K1523" s="3">
        <f t="shared" si="339"/>
        <v>-100</v>
      </c>
      <c r="L1523" s="3">
        <f t="shared" si="340"/>
        <v>1</v>
      </c>
      <c r="M1523" s="3">
        <f t="shared" si="341"/>
        <v>0</v>
      </c>
      <c r="N1523" s="3" t="str">
        <f t="shared" si="342"/>
        <v>01</v>
      </c>
      <c r="O1523" s="14" t="str">
        <f t="shared" si="343"/>
        <v>00</v>
      </c>
      <c r="R1523" s="6">
        <v>522</v>
      </c>
      <c r="S1523" s="5">
        <f t="shared" si="348"/>
        <v>0</v>
      </c>
    </row>
    <row r="1524" spans="1:23" hidden="1">
      <c r="J1524" s="1" t="str">
        <f t="shared" si="338"/>
        <v>0</v>
      </c>
      <c r="K1524" s="3">
        <f t="shared" si="339"/>
        <v>-100</v>
      </c>
      <c r="L1524" s="3">
        <f t="shared" si="340"/>
        <v>1</v>
      </c>
      <c r="M1524" s="3">
        <f t="shared" si="341"/>
        <v>0</v>
      </c>
      <c r="N1524" s="3" t="str">
        <f t="shared" si="342"/>
        <v>01</v>
      </c>
      <c r="O1524" s="14" t="str">
        <f t="shared" si="343"/>
        <v>00</v>
      </c>
      <c r="R1524" s="6">
        <v>522</v>
      </c>
      <c r="S1524" s="5">
        <f t="shared" si="348"/>
        <v>0</v>
      </c>
      <c r="T1524" s="3"/>
    </row>
    <row r="1525" spans="1:23" hidden="1">
      <c r="J1525" s="1" t="str">
        <f t="shared" si="338"/>
        <v>0</v>
      </c>
      <c r="K1525" s="3">
        <f t="shared" si="339"/>
        <v>-100</v>
      </c>
      <c r="L1525" s="3">
        <f t="shared" si="340"/>
        <v>1</v>
      </c>
      <c r="M1525" s="3">
        <f t="shared" si="341"/>
        <v>0</v>
      </c>
      <c r="N1525" s="3" t="str">
        <f t="shared" si="342"/>
        <v>01</v>
      </c>
      <c r="O1525" s="14" t="str">
        <f t="shared" si="343"/>
        <v>00</v>
      </c>
      <c r="R1525" s="6">
        <v>522</v>
      </c>
      <c r="S1525" s="5">
        <f t="shared" si="348"/>
        <v>0</v>
      </c>
    </row>
    <row r="1526" spans="1:23" hidden="1">
      <c r="G1526" s="105"/>
      <c r="H1526" s="106"/>
      <c r="J1526" s="105" t="str">
        <f t="shared" si="338"/>
        <v>0</v>
      </c>
      <c r="K1526" s="104">
        <f t="shared" si="339"/>
        <v>-100</v>
      </c>
      <c r="L1526" s="104">
        <f t="shared" si="340"/>
        <v>1</v>
      </c>
      <c r="M1526" s="104">
        <f t="shared" si="341"/>
        <v>0</v>
      </c>
      <c r="N1526" s="104" t="str">
        <f t="shared" si="342"/>
        <v>01</v>
      </c>
      <c r="O1526" s="107" t="str">
        <f t="shared" si="343"/>
        <v>00</v>
      </c>
      <c r="P1526" s="108"/>
      <c r="Q1526" s="109"/>
      <c r="R1526" s="110">
        <v>522</v>
      </c>
      <c r="S1526" s="109">
        <f t="shared" si="348"/>
        <v>0</v>
      </c>
      <c r="T1526" s="109"/>
      <c r="U1526" s="104"/>
      <c r="V1526" s="104"/>
      <c r="W1526" s="104"/>
    </row>
    <row r="1527" spans="1:23">
      <c r="A1527" s="3">
        <v>1424</v>
      </c>
      <c r="B1527" s="1">
        <f>IF(G1527="-",0,IF(G1526=G1527,1,0))</f>
        <v>0</v>
      </c>
      <c r="C1527" s="1">
        <f>+IF(G1527="-",0,IF(I1527=I1526+1,0,(IF(I1527=1,0,1))))</f>
        <v>1</v>
      </c>
      <c r="D1527" s="1">
        <f>+IF(AND(P1527="",Q1527=""),1,0)</f>
        <v>0</v>
      </c>
      <c r="E1527" s="1">
        <f>IF(U1527="",1,0)</f>
        <v>0</v>
      </c>
      <c r="F1527" s="1">
        <f>IF(V1527="",1,0)</f>
        <v>0</v>
      </c>
      <c r="G1527" s="1" t="str">
        <f>IF(H1527=0,"-",_xlfn.CONCAT(K1527,N1527,O1527,J1527))</f>
        <v>24080106</v>
      </c>
      <c r="H1527" s="2">
        <v>45505</v>
      </c>
      <c r="I1527" s="36">
        <v>6</v>
      </c>
      <c r="J1527" s="1" t="str">
        <f t="shared" si="338"/>
        <v>06</v>
      </c>
      <c r="K1527" s="3">
        <f t="shared" si="339"/>
        <v>24</v>
      </c>
      <c r="L1527" s="3">
        <f t="shared" si="340"/>
        <v>8</v>
      </c>
      <c r="M1527" s="3">
        <f t="shared" si="341"/>
        <v>1</v>
      </c>
      <c r="N1527" s="3" t="str">
        <f t="shared" si="342"/>
        <v>08</v>
      </c>
      <c r="O1527" s="14" t="str">
        <f t="shared" si="343"/>
        <v>01</v>
      </c>
      <c r="P1527" s="4">
        <v>35342.49</v>
      </c>
      <c r="R1527" s="6">
        <v>516</v>
      </c>
      <c r="S1527" s="5">
        <f t="shared" si="348"/>
        <v>68.493197674418596</v>
      </c>
      <c r="T1527" s="5" t="s">
        <v>703</v>
      </c>
      <c r="U1527" s="3" t="s">
        <v>1</v>
      </c>
      <c r="V1527" s="3" t="s">
        <v>4</v>
      </c>
    </row>
    <row r="1528" spans="1:23" hidden="1">
      <c r="J1528" s="1" t="str">
        <f t="shared" si="338"/>
        <v>0</v>
      </c>
      <c r="K1528" s="3">
        <f t="shared" si="339"/>
        <v>-100</v>
      </c>
      <c r="L1528" s="3">
        <f t="shared" si="340"/>
        <v>1</v>
      </c>
      <c r="M1528" s="3">
        <f t="shared" si="341"/>
        <v>0</v>
      </c>
      <c r="N1528" s="3" t="str">
        <f t="shared" si="342"/>
        <v>01</v>
      </c>
      <c r="O1528" s="14" t="str">
        <f t="shared" si="343"/>
        <v>00</v>
      </c>
      <c r="R1528" s="6">
        <v>522</v>
      </c>
      <c r="S1528" s="5">
        <f t="shared" si="348"/>
        <v>0</v>
      </c>
      <c r="T1528" s="3"/>
    </row>
    <row r="1529" spans="1:23" hidden="1">
      <c r="J1529" s="1" t="str">
        <f t="shared" si="338"/>
        <v>0</v>
      </c>
      <c r="K1529" s="3">
        <f t="shared" si="339"/>
        <v>-100</v>
      </c>
      <c r="L1529" s="3">
        <f t="shared" si="340"/>
        <v>1</v>
      </c>
      <c r="M1529" s="3">
        <f t="shared" si="341"/>
        <v>0</v>
      </c>
      <c r="N1529" s="3" t="str">
        <f t="shared" si="342"/>
        <v>01</v>
      </c>
      <c r="O1529" s="14" t="str">
        <f t="shared" si="343"/>
        <v>00</v>
      </c>
      <c r="R1529" s="6">
        <v>522</v>
      </c>
      <c r="S1529" s="5">
        <f t="shared" si="348"/>
        <v>0</v>
      </c>
      <c r="T1529" s="3"/>
    </row>
    <row r="1530" spans="1:23" hidden="1">
      <c r="J1530" s="1" t="str">
        <f t="shared" si="338"/>
        <v>0</v>
      </c>
      <c r="K1530" s="3">
        <f t="shared" si="339"/>
        <v>-100</v>
      </c>
      <c r="L1530" s="3">
        <f t="shared" si="340"/>
        <v>1</v>
      </c>
      <c r="M1530" s="3">
        <f t="shared" si="341"/>
        <v>0</v>
      </c>
      <c r="N1530" s="3" t="str">
        <f t="shared" si="342"/>
        <v>01</v>
      </c>
      <c r="O1530" s="14" t="str">
        <f t="shared" si="343"/>
        <v>00</v>
      </c>
      <c r="R1530" s="6">
        <v>522</v>
      </c>
      <c r="S1530" s="5">
        <f t="shared" si="348"/>
        <v>0</v>
      </c>
      <c r="T1530" s="3"/>
    </row>
    <row r="1531" spans="1:23">
      <c r="A1531" s="3">
        <v>1432</v>
      </c>
      <c r="B1531" s="1">
        <f>IF(G1531="-",0,IF(G1530=G1531,1,0))</f>
        <v>0</v>
      </c>
      <c r="C1531" s="1">
        <f>+IF(G1531="-",0,IF(I1531=I1530+1,0,(IF(I1531=1,0,1))))</f>
        <v>0</v>
      </c>
      <c r="D1531" s="1">
        <f>+IF(AND(P1531="",Q1531=""),1,0)</f>
        <v>0</v>
      </c>
      <c r="E1531" s="1">
        <f>IF(U1531="",1,0)</f>
        <v>0</v>
      </c>
      <c r="F1531" s="1">
        <f>IF(V1531="",1,0)</f>
        <v>0</v>
      </c>
      <c r="G1531" s="1" t="str">
        <f>IF(H1531=0,"-",_xlfn.CONCAT(K1531,N1531,O1531,J1531))</f>
        <v>24080301</v>
      </c>
      <c r="H1531" s="2">
        <v>45507</v>
      </c>
      <c r="I1531" s="36">
        <v>1</v>
      </c>
      <c r="J1531" s="1" t="str">
        <f t="shared" si="338"/>
        <v>01</v>
      </c>
      <c r="K1531" s="3">
        <f t="shared" si="339"/>
        <v>24</v>
      </c>
      <c r="L1531" s="3">
        <f t="shared" si="340"/>
        <v>8</v>
      </c>
      <c r="M1531" s="3">
        <f t="shared" si="341"/>
        <v>3</v>
      </c>
      <c r="N1531" s="3" t="str">
        <f t="shared" si="342"/>
        <v>08</v>
      </c>
      <c r="O1531" s="14" t="str">
        <f t="shared" si="343"/>
        <v>03</v>
      </c>
      <c r="P1531" s="11">
        <v>150000</v>
      </c>
      <c r="R1531" s="6">
        <v>516</v>
      </c>
      <c r="S1531" s="5">
        <f t="shared" si="348"/>
        <v>290.69767441860466</v>
      </c>
      <c r="T1531" s="5" t="s">
        <v>544</v>
      </c>
      <c r="U1531" s="3" t="s">
        <v>1</v>
      </c>
      <c r="V1531" s="3" t="s">
        <v>4</v>
      </c>
      <c r="W1531" s="3" t="s">
        <v>1071</v>
      </c>
    </row>
    <row r="1532" spans="1:23" hidden="1">
      <c r="J1532" s="1" t="str">
        <f t="shared" si="338"/>
        <v>0</v>
      </c>
      <c r="K1532" s="3">
        <f t="shared" si="339"/>
        <v>-100</v>
      </c>
      <c r="L1532" s="3">
        <f t="shared" si="340"/>
        <v>1</v>
      </c>
      <c r="M1532" s="3">
        <f t="shared" si="341"/>
        <v>0</v>
      </c>
      <c r="N1532" s="3" t="str">
        <f t="shared" si="342"/>
        <v>01</v>
      </c>
      <c r="O1532" s="14" t="str">
        <f t="shared" si="343"/>
        <v>00</v>
      </c>
      <c r="R1532" s="6">
        <v>520</v>
      </c>
      <c r="S1532" s="5">
        <f t="shared" si="348"/>
        <v>0</v>
      </c>
    </row>
    <row r="1533" spans="1:23">
      <c r="A1533" s="3">
        <v>1434</v>
      </c>
      <c r="B1533" s="1">
        <f>IF(G1533="-",0,IF(G1532=G1533,1,0))</f>
        <v>0</v>
      </c>
      <c r="C1533" s="1">
        <f>+IF(G1533="-",0,IF(I1533=I1532+1,0,(IF(I1533=1,0,1))))</f>
        <v>1</v>
      </c>
      <c r="D1533" s="1">
        <f>+IF(AND(P1533="",Q1533=""),1,0)</f>
        <v>0</v>
      </c>
      <c r="E1533" s="1">
        <f t="shared" ref="E1533:F1535" si="349">IF(U1533="",1,0)</f>
        <v>0</v>
      </c>
      <c r="F1533" s="1">
        <f t="shared" si="349"/>
        <v>0</v>
      </c>
      <c r="G1533" s="1" t="str">
        <f>IF(H1533=0,"-",_xlfn.CONCAT(K1533,N1533,O1533,J1533))</f>
        <v>24080303</v>
      </c>
      <c r="H1533" s="2">
        <v>45507</v>
      </c>
      <c r="I1533" s="36">
        <v>3</v>
      </c>
      <c r="J1533" s="1" t="str">
        <f t="shared" si="338"/>
        <v>03</v>
      </c>
      <c r="K1533" s="3">
        <f t="shared" si="339"/>
        <v>24</v>
      </c>
      <c r="L1533" s="3">
        <f t="shared" si="340"/>
        <v>8</v>
      </c>
      <c r="M1533" s="3">
        <f t="shared" si="341"/>
        <v>3</v>
      </c>
      <c r="N1533" s="3" t="str">
        <f t="shared" si="342"/>
        <v>08</v>
      </c>
      <c r="O1533" s="14" t="str">
        <f t="shared" si="343"/>
        <v>03</v>
      </c>
      <c r="P1533" s="11">
        <v>130000</v>
      </c>
      <c r="R1533" s="6">
        <v>516</v>
      </c>
      <c r="S1533" s="5">
        <f t="shared" si="348"/>
        <v>251.93798449612405</v>
      </c>
      <c r="T1533" s="5" t="s">
        <v>546</v>
      </c>
      <c r="U1533" s="3" t="s">
        <v>1</v>
      </c>
      <c r="V1533" s="3" t="s">
        <v>4</v>
      </c>
    </row>
    <row r="1534" spans="1:23">
      <c r="A1534" s="3">
        <v>1439</v>
      </c>
      <c r="B1534" s="1">
        <f>IF(G1534="-",0,IF(G1533=G1534,1,0))</f>
        <v>0</v>
      </c>
      <c r="C1534" s="1">
        <f>+IF(G1534="-",0,IF(I1534=I1533+1,0,(IF(I1534=1,0,1))))</f>
        <v>1</v>
      </c>
      <c r="D1534" s="1">
        <f>+IF(AND(P1534="",Q1534=""),1,0)</f>
        <v>0</v>
      </c>
      <c r="E1534" s="1">
        <f t="shared" si="349"/>
        <v>0</v>
      </c>
      <c r="F1534" s="1">
        <f t="shared" si="349"/>
        <v>0</v>
      </c>
      <c r="G1534" s="1" t="str">
        <f>IF(H1534=0,"-",_xlfn.CONCAT(K1534,N1534,O1534,J1534))</f>
        <v>24080308</v>
      </c>
      <c r="H1534" s="2">
        <v>45507</v>
      </c>
      <c r="I1534" s="36">
        <v>8</v>
      </c>
      <c r="J1534" s="1" t="str">
        <f t="shared" si="338"/>
        <v>08</v>
      </c>
      <c r="K1534" s="3">
        <f t="shared" si="339"/>
        <v>24</v>
      </c>
      <c r="L1534" s="3">
        <f t="shared" si="340"/>
        <v>8</v>
      </c>
      <c r="M1534" s="3">
        <f t="shared" si="341"/>
        <v>3</v>
      </c>
      <c r="N1534" s="3" t="str">
        <f t="shared" si="342"/>
        <v>08</v>
      </c>
      <c r="O1534" s="14" t="str">
        <f t="shared" si="343"/>
        <v>03</v>
      </c>
      <c r="P1534" s="11">
        <v>102000</v>
      </c>
      <c r="R1534" s="6">
        <v>516</v>
      </c>
      <c r="S1534" s="5">
        <f t="shared" si="348"/>
        <v>197.67441860465115</v>
      </c>
      <c r="T1534" s="5" t="s">
        <v>549</v>
      </c>
      <c r="U1534" s="3" t="s">
        <v>1</v>
      </c>
      <c r="V1534" s="3" t="s">
        <v>4</v>
      </c>
    </row>
    <row r="1535" spans="1:23">
      <c r="A1535" s="3">
        <v>1440</v>
      </c>
      <c r="B1535" s="1">
        <f>IF(G1535="-",0,IF(G1534=G1535,1,0))</f>
        <v>0</v>
      </c>
      <c r="C1535" s="1">
        <f>+IF(G1535="-",0,IF(I1535=I1534+1,0,(IF(I1535=1,0,1))))</f>
        <v>0</v>
      </c>
      <c r="D1535" s="1">
        <f>+IF(AND(P1535="",Q1535=""),1,0)</f>
        <v>0</v>
      </c>
      <c r="E1535" s="1">
        <f t="shared" si="349"/>
        <v>0</v>
      </c>
      <c r="F1535" s="1">
        <f t="shared" si="349"/>
        <v>0</v>
      </c>
      <c r="G1535" s="1" t="str">
        <f>IF(H1535=0,"-",_xlfn.CONCAT(K1535,N1535,O1535,J1535))</f>
        <v>24080309</v>
      </c>
      <c r="H1535" s="2">
        <v>45507</v>
      </c>
      <c r="I1535" s="36">
        <v>9</v>
      </c>
      <c r="J1535" s="1" t="str">
        <f t="shared" si="338"/>
        <v>09</v>
      </c>
      <c r="K1535" s="3">
        <f t="shared" si="339"/>
        <v>24</v>
      </c>
      <c r="L1535" s="3">
        <f t="shared" si="340"/>
        <v>8</v>
      </c>
      <c r="M1535" s="3">
        <f t="shared" si="341"/>
        <v>3</v>
      </c>
      <c r="N1535" s="3" t="str">
        <f t="shared" si="342"/>
        <v>08</v>
      </c>
      <c r="O1535" s="14" t="str">
        <f t="shared" si="343"/>
        <v>03</v>
      </c>
      <c r="P1535" s="11">
        <v>102000</v>
      </c>
      <c r="R1535" s="6">
        <v>516</v>
      </c>
      <c r="S1535" s="5">
        <f t="shared" si="348"/>
        <v>197.67441860465115</v>
      </c>
      <c r="T1535" s="5" t="s">
        <v>548</v>
      </c>
      <c r="U1535" s="3" t="s">
        <v>1</v>
      </c>
      <c r="V1535" s="3" t="s">
        <v>4</v>
      </c>
    </row>
    <row r="1536" spans="1:23" hidden="1">
      <c r="H1536" s="112"/>
      <c r="J1536" s="113" t="str">
        <f t="shared" si="338"/>
        <v>0</v>
      </c>
      <c r="K1536" s="34">
        <f t="shared" si="339"/>
        <v>-100</v>
      </c>
      <c r="L1536" s="34">
        <f t="shared" si="340"/>
        <v>1</v>
      </c>
      <c r="M1536" s="34">
        <f t="shared" si="341"/>
        <v>0</v>
      </c>
      <c r="N1536" s="34" t="str">
        <f t="shared" si="342"/>
        <v>01</v>
      </c>
      <c r="O1536" s="114" t="str">
        <f t="shared" si="343"/>
        <v>00</v>
      </c>
      <c r="P1536" s="132"/>
      <c r="Q1536" s="115"/>
      <c r="R1536" s="116">
        <v>520</v>
      </c>
      <c r="S1536" s="5">
        <f t="shared" si="348"/>
        <v>0</v>
      </c>
      <c r="T1536" s="34"/>
      <c r="U1536" s="34"/>
      <c r="V1536" s="34"/>
    </row>
    <row r="1537" spans="1:22">
      <c r="A1537" s="3">
        <v>1441</v>
      </c>
      <c r="B1537" s="1">
        <f>IF(G1537="-",0,IF(G1536=G1537,1,0))</f>
        <v>0</v>
      </c>
      <c r="C1537" s="1">
        <f>+IF(G1537="-",0,IF(I1537=I1536+1,0,(IF(I1537=1,0,1))))</f>
        <v>1</v>
      </c>
      <c r="D1537" s="1">
        <f>+IF(AND(P1537="",Q1537=""),1,0)</f>
        <v>0</v>
      </c>
      <c r="E1537" s="1">
        <f t="shared" ref="E1537:F1540" si="350">IF(U1537="",1,0)</f>
        <v>0</v>
      </c>
      <c r="F1537" s="1">
        <f t="shared" si="350"/>
        <v>0</v>
      </c>
      <c r="G1537" s="1" t="str">
        <f>IF(H1537=0,"-",_xlfn.CONCAT(K1537,N1537,O1537,J1537))</f>
        <v>24080310</v>
      </c>
      <c r="H1537" s="2">
        <v>45507</v>
      </c>
      <c r="I1537" s="36">
        <v>10</v>
      </c>
      <c r="J1537" s="1">
        <f t="shared" si="338"/>
        <v>10</v>
      </c>
      <c r="K1537" s="3">
        <f t="shared" si="339"/>
        <v>24</v>
      </c>
      <c r="L1537" s="3">
        <f t="shared" si="340"/>
        <v>8</v>
      </c>
      <c r="M1537" s="3">
        <f t="shared" si="341"/>
        <v>3</v>
      </c>
      <c r="N1537" s="3" t="str">
        <f t="shared" si="342"/>
        <v>08</v>
      </c>
      <c r="O1537" s="14" t="str">
        <f t="shared" si="343"/>
        <v>03</v>
      </c>
      <c r="P1537" s="11">
        <v>102000</v>
      </c>
      <c r="R1537" s="6">
        <v>516</v>
      </c>
      <c r="S1537" s="5">
        <f t="shared" si="348"/>
        <v>197.67441860465115</v>
      </c>
      <c r="T1537" s="5" t="s">
        <v>547</v>
      </c>
      <c r="U1537" s="3" t="s">
        <v>1</v>
      </c>
      <c r="V1537" s="3" t="s">
        <v>4</v>
      </c>
    </row>
    <row r="1538" spans="1:22">
      <c r="A1538" s="3">
        <v>1442</v>
      </c>
      <c r="B1538" s="1">
        <f>IF(G1538="-",0,IF(G1537=G1538,1,0))</f>
        <v>0</v>
      </c>
      <c r="C1538" s="1">
        <f>+IF(G1538="-",0,IF(I1538=I1537+1,0,(IF(I1538=1,0,1))))</f>
        <v>0</v>
      </c>
      <c r="D1538" s="1">
        <f>+IF(AND(P1538="",Q1538=""),1,0)</f>
        <v>0</v>
      </c>
      <c r="E1538" s="1">
        <f t="shared" si="350"/>
        <v>0</v>
      </c>
      <c r="F1538" s="1">
        <f t="shared" si="350"/>
        <v>0</v>
      </c>
      <c r="G1538" s="1" t="str">
        <f>IF(H1538=0,"-",_xlfn.CONCAT(K1538,N1538,O1538,J1538))</f>
        <v>24080311</v>
      </c>
      <c r="H1538" s="2">
        <v>45507</v>
      </c>
      <c r="I1538" s="36">
        <v>11</v>
      </c>
      <c r="J1538" s="1">
        <f t="shared" si="338"/>
        <v>11</v>
      </c>
      <c r="K1538" s="3">
        <f t="shared" si="339"/>
        <v>24</v>
      </c>
      <c r="L1538" s="3">
        <f t="shared" si="340"/>
        <v>8</v>
      </c>
      <c r="M1538" s="3">
        <f t="shared" si="341"/>
        <v>3</v>
      </c>
      <c r="N1538" s="3" t="str">
        <f t="shared" si="342"/>
        <v>08</v>
      </c>
      <c r="O1538" s="14" t="str">
        <f t="shared" si="343"/>
        <v>03</v>
      </c>
      <c r="P1538" s="11">
        <v>102000</v>
      </c>
      <c r="R1538" s="6">
        <v>516</v>
      </c>
      <c r="S1538" s="5">
        <f t="shared" si="348"/>
        <v>197.67441860465115</v>
      </c>
      <c r="T1538" s="5" t="s">
        <v>553</v>
      </c>
      <c r="U1538" s="3" t="s">
        <v>1</v>
      </c>
      <c r="V1538" s="3" t="s">
        <v>4</v>
      </c>
    </row>
    <row r="1539" spans="1:22">
      <c r="A1539" s="3">
        <v>1443</v>
      </c>
      <c r="B1539" s="1">
        <f>IF(G1539="-",0,IF(G1538=G1539,1,0))</f>
        <v>0</v>
      </c>
      <c r="C1539" s="1">
        <f>+IF(G1539="-",0,IF(I1539=I1538+1,0,(IF(I1539=1,0,1))))</f>
        <v>0</v>
      </c>
      <c r="D1539" s="1">
        <f>+IF(AND(P1539="",Q1539=""),1,0)</f>
        <v>0</v>
      </c>
      <c r="E1539" s="1">
        <f t="shared" si="350"/>
        <v>0</v>
      </c>
      <c r="F1539" s="1">
        <f t="shared" si="350"/>
        <v>0</v>
      </c>
      <c r="G1539" s="1" t="str">
        <f>IF(H1539=0,"-",_xlfn.CONCAT(K1539,N1539,O1539,J1539))</f>
        <v>24080312</v>
      </c>
      <c r="H1539" s="2">
        <v>45507</v>
      </c>
      <c r="I1539" s="36">
        <v>12</v>
      </c>
      <c r="J1539" s="1">
        <f t="shared" si="338"/>
        <v>12</v>
      </c>
      <c r="K1539" s="3">
        <f t="shared" si="339"/>
        <v>24</v>
      </c>
      <c r="L1539" s="3">
        <f t="shared" si="340"/>
        <v>8</v>
      </c>
      <c r="M1539" s="3">
        <f t="shared" si="341"/>
        <v>3</v>
      </c>
      <c r="N1539" s="3" t="str">
        <f t="shared" si="342"/>
        <v>08</v>
      </c>
      <c r="O1539" s="14" t="str">
        <f t="shared" si="343"/>
        <v>03</v>
      </c>
      <c r="P1539" s="11">
        <v>75000</v>
      </c>
      <c r="R1539" s="6">
        <v>516</v>
      </c>
      <c r="S1539" s="5">
        <f t="shared" si="348"/>
        <v>145.34883720930233</v>
      </c>
      <c r="T1539" s="5" t="s">
        <v>554</v>
      </c>
      <c r="U1539" s="3" t="s">
        <v>1</v>
      </c>
      <c r="V1539" s="3" t="s">
        <v>4</v>
      </c>
    </row>
    <row r="1540" spans="1:22">
      <c r="A1540" s="3">
        <v>1446</v>
      </c>
      <c r="B1540" s="1">
        <f>IF(G1540="-",0,IF(G1539=G1540,1,0))</f>
        <v>0</v>
      </c>
      <c r="C1540" s="1">
        <f>+IF(G1540="-",0,IF(I1540=I1539+1,0,(IF(I1540=1,0,1))))</f>
        <v>1</v>
      </c>
      <c r="D1540" s="1">
        <f>+IF(AND(P1540="",Q1540=""),1,0)</f>
        <v>0</v>
      </c>
      <c r="E1540" s="1">
        <f t="shared" si="350"/>
        <v>0</v>
      </c>
      <c r="F1540" s="1">
        <f t="shared" si="350"/>
        <v>0</v>
      </c>
      <c r="G1540" s="1" t="str">
        <f>IF(H1540=0,"-",_xlfn.CONCAT(K1540,N1540,O1540,J1540))</f>
        <v>24080315</v>
      </c>
      <c r="H1540" s="2">
        <v>45507</v>
      </c>
      <c r="I1540" s="36">
        <v>15</v>
      </c>
      <c r="J1540" s="1">
        <f t="shared" si="338"/>
        <v>15</v>
      </c>
      <c r="K1540" s="3">
        <f t="shared" si="339"/>
        <v>24</v>
      </c>
      <c r="L1540" s="3">
        <f t="shared" si="340"/>
        <v>8</v>
      </c>
      <c r="M1540" s="3">
        <f t="shared" si="341"/>
        <v>3</v>
      </c>
      <c r="N1540" s="3" t="str">
        <f t="shared" si="342"/>
        <v>08</v>
      </c>
      <c r="O1540" s="14" t="str">
        <f t="shared" si="343"/>
        <v>03</v>
      </c>
      <c r="P1540" s="11">
        <v>120000</v>
      </c>
      <c r="R1540" s="6">
        <v>516</v>
      </c>
      <c r="S1540" s="5">
        <f t="shared" si="348"/>
        <v>232.55813953488371</v>
      </c>
      <c r="T1540" s="5" t="s">
        <v>545</v>
      </c>
      <c r="U1540" s="3" t="s">
        <v>1</v>
      </c>
      <c r="V1540" s="3" t="s">
        <v>4</v>
      </c>
    </row>
    <row r="1541" spans="1:22" hidden="1">
      <c r="J1541" s="1" t="str">
        <f t="shared" si="338"/>
        <v>0</v>
      </c>
      <c r="K1541" s="3">
        <f t="shared" si="339"/>
        <v>-100</v>
      </c>
      <c r="L1541" s="3">
        <f t="shared" si="340"/>
        <v>1</v>
      </c>
      <c r="M1541" s="3">
        <f t="shared" si="341"/>
        <v>0</v>
      </c>
      <c r="N1541" s="3" t="str">
        <f t="shared" si="342"/>
        <v>01</v>
      </c>
      <c r="O1541" s="14" t="str">
        <f t="shared" si="343"/>
        <v>00</v>
      </c>
      <c r="P1541" s="132"/>
      <c r="R1541" s="6">
        <v>520</v>
      </c>
      <c r="S1541" s="5">
        <f t="shared" si="348"/>
        <v>0</v>
      </c>
      <c r="T1541" s="3"/>
    </row>
    <row r="1542" spans="1:22" hidden="1">
      <c r="J1542" s="1" t="str">
        <f t="shared" si="338"/>
        <v>0</v>
      </c>
      <c r="K1542" s="3">
        <f t="shared" si="339"/>
        <v>-100</v>
      </c>
      <c r="L1542" s="3">
        <f t="shared" si="340"/>
        <v>1</v>
      </c>
      <c r="M1542" s="3">
        <f t="shared" si="341"/>
        <v>0</v>
      </c>
      <c r="N1542" s="3" t="str">
        <f t="shared" si="342"/>
        <v>01</v>
      </c>
      <c r="O1542" s="14" t="str">
        <f t="shared" si="343"/>
        <v>00</v>
      </c>
      <c r="P1542" s="132"/>
      <c r="R1542" s="6">
        <v>520</v>
      </c>
      <c r="S1542" s="5">
        <f t="shared" si="348"/>
        <v>0</v>
      </c>
      <c r="T1542" s="3"/>
    </row>
    <row r="1543" spans="1:22" hidden="1">
      <c r="H1543" s="81"/>
      <c r="J1543" s="80" t="str">
        <f t="shared" si="338"/>
        <v>0</v>
      </c>
      <c r="K1543" s="117">
        <f t="shared" si="339"/>
        <v>-100</v>
      </c>
      <c r="L1543" s="117">
        <f t="shared" si="340"/>
        <v>1</v>
      </c>
      <c r="M1543" s="117">
        <f t="shared" si="341"/>
        <v>0</v>
      </c>
      <c r="N1543" s="117" t="str">
        <f t="shared" si="342"/>
        <v>01</v>
      </c>
      <c r="O1543" s="118" t="str">
        <f t="shared" si="343"/>
        <v>00</v>
      </c>
      <c r="P1543" s="132"/>
      <c r="Q1543" s="77"/>
      <c r="R1543" s="78">
        <v>520</v>
      </c>
      <c r="S1543" s="5">
        <f t="shared" si="348"/>
        <v>0</v>
      </c>
      <c r="T1543" s="117"/>
    </row>
    <row r="1544" spans="1:22" hidden="1">
      <c r="H1544" s="81"/>
      <c r="J1544" s="80" t="str">
        <f t="shared" si="338"/>
        <v>0</v>
      </c>
      <c r="K1544" s="117">
        <f t="shared" si="339"/>
        <v>-100</v>
      </c>
      <c r="L1544" s="117">
        <f t="shared" si="340"/>
        <v>1</v>
      </c>
      <c r="M1544" s="117">
        <f t="shared" si="341"/>
        <v>0</v>
      </c>
      <c r="N1544" s="117" t="str">
        <f t="shared" si="342"/>
        <v>01</v>
      </c>
      <c r="O1544" s="118" t="str">
        <f t="shared" si="343"/>
        <v>00</v>
      </c>
      <c r="P1544" s="132"/>
      <c r="Q1544" s="77"/>
      <c r="R1544" s="78">
        <v>520</v>
      </c>
      <c r="S1544" s="5">
        <f t="shared" si="348"/>
        <v>0</v>
      </c>
      <c r="T1544" s="117"/>
    </row>
    <row r="1545" spans="1:22">
      <c r="A1545" s="3">
        <v>1447</v>
      </c>
      <c r="B1545" s="1">
        <f t="shared" ref="B1545:B1550" si="351">IF(G1545="-",0,IF(G1544=G1545,1,0))</f>
        <v>0</v>
      </c>
      <c r="C1545" s="1">
        <f t="shared" ref="C1545:C1550" si="352">+IF(G1545="-",0,IF(I1545=I1544+1,0,(IF(I1545=1,0,1))))</f>
        <v>1</v>
      </c>
      <c r="D1545" s="1">
        <f t="shared" ref="D1545:D1550" si="353">+IF(AND(P1545="",Q1545=""),1,0)</f>
        <v>0</v>
      </c>
      <c r="E1545" s="1">
        <f t="shared" ref="E1545:F1550" si="354">IF(U1545="",1,0)</f>
        <v>0</v>
      </c>
      <c r="F1545" s="1">
        <f t="shared" si="354"/>
        <v>0</v>
      </c>
      <c r="G1545" s="1" t="str">
        <f t="shared" ref="G1545:G1550" si="355">IF(H1545=0,"-",_xlfn.CONCAT(K1545,N1545,O1545,J1545))</f>
        <v>24080316</v>
      </c>
      <c r="H1545" s="2">
        <v>45507</v>
      </c>
      <c r="I1545" s="36">
        <v>16</v>
      </c>
      <c r="J1545" s="1">
        <f t="shared" si="338"/>
        <v>16</v>
      </c>
      <c r="K1545" s="3">
        <f t="shared" si="339"/>
        <v>24</v>
      </c>
      <c r="L1545" s="3">
        <f t="shared" si="340"/>
        <v>8</v>
      </c>
      <c r="M1545" s="3">
        <f t="shared" si="341"/>
        <v>3</v>
      </c>
      <c r="N1545" s="3" t="str">
        <f t="shared" si="342"/>
        <v>08</v>
      </c>
      <c r="O1545" s="14" t="str">
        <f t="shared" si="343"/>
        <v>03</v>
      </c>
      <c r="P1545" s="11">
        <v>60000</v>
      </c>
      <c r="R1545" s="6">
        <v>516</v>
      </c>
      <c r="S1545" s="5">
        <f t="shared" si="348"/>
        <v>116.27906976744185</v>
      </c>
      <c r="T1545" s="5" t="s">
        <v>550</v>
      </c>
      <c r="U1545" s="3" t="s">
        <v>1</v>
      </c>
      <c r="V1545" s="3" t="s">
        <v>4</v>
      </c>
    </row>
    <row r="1546" spans="1:22">
      <c r="A1546" s="3">
        <v>1448</v>
      </c>
      <c r="B1546" s="1">
        <f t="shared" si="351"/>
        <v>0</v>
      </c>
      <c r="C1546" s="1">
        <f t="shared" si="352"/>
        <v>0</v>
      </c>
      <c r="D1546" s="1">
        <f t="shared" si="353"/>
        <v>0</v>
      </c>
      <c r="E1546" s="1">
        <f t="shared" si="354"/>
        <v>0</v>
      </c>
      <c r="F1546" s="1">
        <f t="shared" si="354"/>
        <v>0</v>
      </c>
      <c r="G1546" s="1" t="str">
        <f t="shared" si="355"/>
        <v>24080317</v>
      </c>
      <c r="H1546" s="2">
        <v>45507</v>
      </c>
      <c r="I1546" s="36">
        <v>17</v>
      </c>
      <c r="J1546" s="1">
        <f t="shared" si="338"/>
        <v>17</v>
      </c>
      <c r="K1546" s="3">
        <f t="shared" si="339"/>
        <v>24</v>
      </c>
      <c r="L1546" s="3">
        <f t="shared" si="340"/>
        <v>8</v>
      </c>
      <c r="M1546" s="3">
        <f t="shared" si="341"/>
        <v>3</v>
      </c>
      <c r="N1546" s="3" t="str">
        <f t="shared" si="342"/>
        <v>08</v>
      </c>
      <c r="O1546" s="14" t="str">
        <f t="shared" si="343"/>
        <v>03</v>
      </c>
      <c r="P1546" s="11">
        <v>120000</v>
      </c>
      <c r="R1546" s="6">
        <v>516</v>
      </c>
      <c r="S1546" s="5">
        <f t="shared" si="348"/>
        <v>232.55813953488371</v>
      </c>
      <c r="T1546" s="5" t="s">
        <v>551</v>
      </c>
      <c r="U1546" s="3" t="s">
        <v>1</v>
      </c>
      <c r="V1546" s="3" t="s">
        <v>4</v>
      </c>
    </row>
    <row r="1547" spans="1:22">
      <c r="A1547" s="3">
        <v>1449</v>
      </c>
      <c r="B1547" s="1">
        <f t="shared" si="351"/>
        <v>0</v>
      </c>
      <c r="C1547" s="1">
        <f t="shared" si="352"/>
        <v>0</v>
      </c>
      <c r="D1547" s="1">
        <f t="shared" si="353"/>
        <v>0</v>
      </c>
      <c r="E1547" s="1">
        <f t="shared" si="354"/>
        <v>0</v>
      </c>
      <c r="F1547" s="1">
        <f t="shared" si="354"/>
        <v>0</v>
      </c>
      <c r="G1547" s="1" t="str">
        <f t="shared" si="355"/>
        <v>24080318</v>
      </c>
      <c r="H1547" s="2">
        <v>45507</v>
      </c>
      <c r="I1547" s="36">
        <v>18</v>
      </c>
      <c r="J1547" s="1">
        <f t="shared" si="338"/>
        <v>18</v>
      </c>
      <c r="K1547" s="3">
        <f t="shared" si="339"/>
        <v>24</v>
      </c>
      <c r="L1547" s="3">
        <f t="shared" si="340"/>
        <v>8</v>
      </c>
      <c r="M1547" s="3">
        <f t="shared" si="341"/>
        <v>3</v>
      </c>
      <c r="N1547" s="3" t="str">
        <f t="shared" si="342"/>
        <v>08</v>
      </c>
      <c r="O1547" s="14" t="str">
        <f t="shared" si="343"/>
        <v>03</v>
      </c>
      <c r="P1547" s="11">
        <v>120000</v>
      </c>
      <c r="R1547" s="6">
        <v>516</v>
      </c>
      <c r="S1547" s="5">
        <f t="shared" si="348"/>
        <v>232.55813953488371</v>
      </c>
      <c r="T1547" s="5" t="s">
        <v>552</v>
      </c>
      <c r="U1547" s="3" t="s">
        <v>1</v>
      </c>
      <c r="V1547" s="3" t="s">
        <v>4</v>
      </c>
    </row>
    <row r="1548" spans="1:22">
      <c r="A1548" s="3">
        <v>1451</v>
      </c>
      <c r="B1548" s="1">
        <f t="shared" si="351"/>
        <v>0</v>
      </c>
      <c r="C1548" s="1">
        <f t="shared" si="352"/>
        <v>1</v>
      </c>
      <c r="D1548" s="1">
        <f t="shared" si="353"/>
        <v>0</v>
      </c>
      <c r="E1548" s="1">
        <f t="shared" si="354"/>
        <v>0</v>
      </c>
      <c r="F1548" s="1">
        <f t="shared" si="354"/>
        <v>0</v>
      </c>
      <c r="G1548" s="1" t="str">
        <f t="shared" si="355"/>
        <v>24080320</v>
      </c>
      <c r="H1548" s="2">
        <v>45507</v>
      </c>
      <c r="I1548" s="36">
        <v>20</v>
      </c>
      <c r="J1548" s="1">
        <f t="shared" si="338"/>
        <v>20</v>
      </c>
      <c r="K1548" s="3">
        <f t="shared" si="339"/>
        <v>24</v>
      </c>
      <c r="L1548" s="3">
        <f t="shared" si="340"/>
        <v>8</v>
      </c>
      <c r="M1548" s="3">
        <f t="shared" si="341"/>
        <v>3</v>
      </c>
      <c r="N1548" s="3" t="str">
        <f t="shared" si="342"/>
        <v>08</v>
      </c>
      <c r="O1548" s="14" t="str">
        <f t="shared" si="343"/>
        <v>03</v>
      </c>
      <c r="P1548" s="11">
        <v>205000</v>
      </c>
      <c r="R1548" s="6">
        <v>516</v>
      </c>
      <c r="S1548" s="5">
        <f t="shared" si="348"/>
        <v>397.28682170542635</v>
      </c>
      <c r="T1548" s="5" t="s">
        <v>565</v>
      </c>
      <c r="U1548" s="3" t="s">
        <v>1</v>
      </c>
      <c r="V1548" s="3" t="s">
        <v>4</v>
      </c>
    </row>
    <row r="1549" spans="1:22">
      <c r="A1549" s="3">
        <v>1452</v>
      </c>
      <c r="B1549" s="1">
        <f t="shared" si="351"/>
        <v>0</v>
      </c>
      <c r="C1549" s="1">
        <f t="shared" si="352"/>
        <v>0</v>
      </c>
      <c r="D1549" s="1">
        <f t="shared" si="353"/>
        <v>0</v>
      </c>
      <c r="E1549" s="1">
        <f t="shared" si="354"/>
        <v>0</v>
      </c>
      <c r="F1549" s="1">
        <f t="shared" si="354"/>
        <v>0</v>
      </c>
      <c r="G1549" s="1" t="str">
        <f t="shared" si="355"/>
        <v>24080321</v>
      </c>
      <c r="H1549" s="2">
        <v>45507</v>
      </c>
      <c r="I1549" s="36">
        <v>21</v>
      </c>
      <c r="J1549" s="1">
        <f t="shared" ref="J1549:J1612" si="356">+IF(I1549&lt;10,_xlfn.CONCAT("0",I1549),I1549)</f>
        <v>21</v>
      </c>
      <c r="K1549" s="3">
        <f t="shared" ref="K1549:K1612" si="357">+YEAR(H1549)-2000</f>
        <v>24</v>
      </c>
      <c r="L1549" s="3">
        <f t="shared" ref="L1549:L1612" si="358">+MONTH(H1549)</f>
        <v>8</v>
      </c>
      <c r="M1549" s="3">
        <f t="shared" ref="M1549:M1612" si="359">+DAY(H1549)</f>
        <v>3</v>
      </c>
      <c r="N1549" s="3" t="str">
        <f t="shared" ref="N1549:N1612" si="360">+IF(L1549&lt;10,_xlfn.CONCAT("0",L1549),L1549)</f>
        <v>08</v>
      </c>
      <c r="O1549" s="14" t="str">
        <f t="shared" ref="O1549:O1612" si="361">+IF(M1549&lt;10,_xlfn.CONCAT("0",M1549),M1549)</f>
        <v>03</v>
      </c>
      <c r="P1549" s="11">
        <v>65000</v>
      </c>
      <c r="R1549" s="6">
        <v>516</v>
      </c>
      <c r="S1549" s="5">
        <f t="shared" si="348"/>
        <v>125.96899224806202</v>
      </c>
      <c r="T1549" s="5" t="s">
        <v>442</v>
      </c>
      <c r="U1549" s="3" t="s">
        <v>1</v>
      </c>
      <c r="V1549" s="3" t="s">
        <v>4</v>
      </c>
    </row>
    <row r="1550" spans="1:22">
      <c r="A1550" s="3">
        <v>1454</v>
      </c>
      <c r="B1550" s="1">
        <f t="shared" si="351"/>
        <v>0</v>
      </c>
      <c r="C1550" s="1">
        <f t="shared" si="352"/>
        <v>1</v>
      </c>
      <c r="D1550" s="1">
        <f t="shared" si="353"/>
        <v>0</v>
      </c>
      <c r="E1550" s="1">
        <f t="shared" si="354"/>
        <v>0</v>
      </c>
      <c r="F1550" s="1">
        <f t="shared" si="354"/>
        <v>0</v>
      </c>
      <c r="G1550" s="1" t="str">
        <f t="shared" si="355"/>
        <v>24080323</v>
      </c>
      <c r="H1550" s="2">
        <v>45507</v>
      </c>
      <c r="I1550" s="36">
        <v>23</v>
      </c>
      <c r="J1550" s="1">
        <f t="shared" si="356"/>
        <v>23</v>
      </c>
      <c r="K1550" s="3">
        <f t="shared" si="357"/>
        <v>24</v>
      </c>
      <c r="L1550" s="3">
        <f t="shared" si="358"/>
        <v>8</v>
      </c>
      <c r="M1550" s="3">
        <f t="shared" si="359"/>
        <v>3</v>
      </c>
      <c r="N1550" s="3" t="str">
        <f t="shared" si="360"/>
        <v>08</v>
      </c>
      <c r="O1550" s="14" t="str">
        <f t="shared" si="361"/>
        <v>03</v>
      </c>
      <c r="P1550" s="11">
        <f>373603</f>
        <v>373603</v>
      </c>
      <c r="R1550" s="6">
        <v>516</v>
      </c>
      <c r="S1550" s="5">
        <f t="shared" si="348"/>
        <v>724.03682170542641</v>
      </c>
      <c r="T1550" s="5" t="s">
        <v>617</v>
      </c>
      <c r="U1550" s="3" t="s">
        <v>1</v>
      </c>
      <c r="V1550" s="3" t="s">
        <v>4</v>
      </c>
    </row>
    <row r="1551" spans="1:22" hidden="1">
      <c r="H1551" s="81"/>
      <c r="J1551" s="80" t="str">
        <f t="shared" si="356"/>
        <v>0</v>
      </c>
      <c r="K1551" s="117">
        <f t="shared" si="357"/>
        <v>-100</v>
      </c>
      <c r="L1551" s="117">
        <f t="shared" si="358"/>
        <v>1</v>
      </c>
      <c r="M1551" s="117">
        <f t="shared" si="359"/>
        <v>0</v>
      </c>
      <c r="N1551" s="117" t="str">
        <f t="shared" si="360"/>
        <v>01</v>
      </c>
      <c r="O1551" s="118" t="str">
        <f t="shared" si="361"/>
        <v>00</v>
      </c>
      <c r="P1551" s="132"/>
      <c r="Q1551" s="77"/>
      <c r="R1551" s="78">
        <v>520</v>
      </c>
      <c r="S1551" s="5">
        <f t="shared" si="348"/>
        <v>0</v>
      </c>
      <c r="T1551" s="117"/>
    </row>
    <row r="1552" spans="1:22" hidden="1">
      <c r="H1552" s="81"/>
      <c r="J1552" s="80" t="str">
        <f t="shared" si="356"/>
        <v>0</v>
      </c>
      <c r="K1552" s="117">
        <f t="shared" si="357"/>
        <v>-100</v>
      </c>
      <c r="L1552" s="117">
        <f t="shared" si="358"/>
        <v>1</v>
      </c>
      <c r="M1552" s="117">
        <f t="shared" si="359"/>
        <v>0</v>
      </c>
      <c r="N1552" s="117" t="str">
        <f t="shared" si="360"/>
        <v>01</v>
      </c>
      <c r="O1552" s="118" t="str">
        <f t="shared" si="361"/>
        <v>00</v>
      </c>
      <c r="P1552" s="132"/>
      <c r="Q1552" s="77"/>
      <c r="R1552" s="78">
        <v>520</v>
      </c>
      <c r="S1552" s="5">
        <f t="shared" si="348"/>
        <v>0</v>
      </c>
      <c r="T1552" s="117"/>
    </row>
    <row r="1553" spans="1:22" hidden="1">
      <c r="H1553" s="81"/>
      <c r="J1553" s="80" t="str">
        <f t="shared" si="356"/>
        <v>0</v>
      </c>
      <c r="K1553" s="117">
        <f t="shared" si="357"/>
        <v>-100</v>
      </c>
      <c r="L1553" s="117">
        <f t="shared" si="358"/>
        <v>1</v>
      </c>
      <c r="M1553" s="117">
        <f t="shared" si="359"/>
        <v>0</v>
      </c>
      <c r="N1553" s="117" t="str">
        <f t="shared" si="360"/>
        <v>01</v>
      </c>
      <c r="O1553" s="118" t="str">
        <f t="shared" si="361"/>
        <v>00</v>
      </c>
      <c r="P1553" s="132"/>
      <c r="Q1553" s="77"/>
      <c r="R1553" s="78">
        <v>520</v>
      </c>
      <c r="S1553" s="5">
        <f t="shared" si="348"/>
        <v>0</v>
      </c>
      <c r="T1553" s="117"/>
    </row>
    <row r="1554" spans="1:22">
      <c r="A1554" s="3">
        <v>1459</v>
      </c>
      <c r="B1554" s="1">
        <f>IF(G1554="-",0,IF(G1553=G1554,1,0))</f>
        <v>0</v>
      </c>
      <c r="C1554" s="1">
        <f>+IF(G1554="-",0,IF(I1554=I1553+1,0,(IF(I1554=1,0,1))))</f>
        <v>1</v>
      </c>
      <c r="D1554" s="1">
        <f>+IF(AND(P1554="",Q1554=""),1,0)</f>
        <v>0</v>
      </c>
      <c r="E1554" s="1">
        <f>IF(U1554="",1,0)</f>
        <v>0</v>
      </c>
      <c r="F1554" s="1">
        <f>IF(V1554="",1,0)</f>
        <v>0</v>
      </c>
      <c r="G1554" s="1" t="str">
        <f>IF(H1554=0,"-",_xlfn.CONCAT(K1554,N1554,O1554,J1554))</f>
        <v>24080328</v>
      </c>
      <c r="H1554" s="2">
        <v>45507</v>
      </c>
      <c r="I1554" s="36">
        <v>28</v>
      </c>
      <c r="J1554" s="1">
        <f t="shared" si="356"/>
        <v>28</v>
      </c>
      <c r="K1554" s="3">
        <f t="shared" si="357"/>
        <v>24</v>
      </c>
      <c r="L1554" s="3">
        <f t="shared" si="358"/>
        <v>8</v>
      </c>
      <c r="M1554" s="3">
        <f t="shared" si="359"/>
        <v>3</v>
      </c>
      <c r="N1554" s="3" t="str">
        <f t="shared" si="360"/>
        <v>08</v>
      </c>
      <c r="O1554" s="14" t="str">
        <f t="shared" si="361"/>
        <v>03</v>
      </c>
      <c r="P1554" s="4">
        <v>3040.93</v>
      </c>
      <c r="R1554" s="6">
        <v>516</v>
      </c>
      <c r="T1554" s="5" t="s">
        <v>778</v>
      </c>
      <c r="U1554" s="3" t="s">
        <v>29</v>
      </c>
      <c r="V1554" s="3" t="s">
        <v>4</v>
      </c>
    </row>
    <row r="1555" spans="1:22" hidden="1">
      <c r="J1555" s="1" t="str">
        <f t="shared" si="356"/>
        <v>0</v>
      </c>
      <c r="K1555" s="3">
        <f t="shared" si="357"/>
        <v>-100</v>
      </c>
      <c r="L1555" s="3">
        <f t="shared" si="358"/>
        <v>1</v>
      </c>
      <c r="M1555" s="3">
        <f t="shared" si="359"/>
        <v>0</v>
      </c>
      <c r="N1555" s="3" t="str">
        <f t="shared" si="360"/>
        <v>01</v>
      </c>
      <c r="O1555" s="14" t="str">
        <f t="shared" si="361"/>
        <v>00</v>
      </c>
      <c r="P1555" s="11"/>
      <c r="R1555" s="6">
        <v>520</v>
      </c>
      <c r="S1555" s="5">
        <f t="shared" ref="S1555:S1572" si="362">IFERROR(P1555/R1555,"")</f>
        <v>0</v>
      </c>
    </row>
    <row r="1556" spans="1:22" hidden="1">
      <c r="J1556" s="1" t="str">
        <f t="shared" si="356"/>
        <v>0</v>
      </c>
      <c r="K1556" s="3">
        <f t="shared" si="357"/>
        <v>-100</v>
      </c>
      <c r="L1556" s="3">
        <f t="shared" si="358"/>
        <v>1</v>
      </c>
      <c r="M1556" s="3">
        <f t="shared" si="359"/>
        <v>0</v>
      </c>
      <c r="N1556" s="3" t="str">
        <f t="shared" si="360"/>
        <v>01</v>
      </c>
      <c r="O1556" s="14" t="str">
        <f t="shared" si="361"/>
        <v>00</v>
      </c>
      <c r="P1556" s="11"/>
      <c r="R1556" s="6">
        <v>520</v>
      </c>
      <c r="S1556" s="5">
        <f t="shared" si="362"/>
        <v>0</v>
      </c>
    </row>
    <row r="1557" spans="1:22">
      <c r="A1557" s="3">
        <v>1460</v>
      </c>
      <c r="B1557" s="1">
        <f>IF(G1557="-",0,IF(G1556=G1557,1,0))</f>
        <v>0</v>
      </c>
      <c r="C1557" s="1">
        <f>+IF(G1557="-",0,IF(I1557=I1556+1,0,(IF(I1557=1,0,1))))</f>
        <v>0</v>
      </c>
      <c r="D1557" s="1">
        <f>+IF(AND(P1557="",Q1557=""),1,0)</f>
        <v>0</v>
      </c>
      <c r="E1557" s="1">
        <f>IF(U1557="",1,0)</f>
        <v>0</v>
      </c>
      <c r="F1557" s="1">
        <f>IF(V1557="",1,0)</f>
        <v>0</v>
      </c>
      <c r="G1557" s="1" t="str">
        <f>IF(H1557=0,"-",_xlfn.CONCAT(K1557,N1557,O1557,J1557))</f>
        <v>24080401</v>
      </c>
      <c r="H1557" s="2">
        <v>45508</v>
      </c>
      <c r="I1557" s="36">
        <v>1</v>
      </c>
      <c r="J1557" s="1" t="str">
        <f t="shared" si="356"/>
        <v>01</v>
      </c>
      <c r="K1557" s="3">
        <f t="shared" si="357"/>
        <v>24</v>
      </c>
      <c r="L1557" s="3">
        <f t="shared" si="358"/>
        <v>8</v>
      </c>
      <c r="M1557" s="3">
        <f t="shared" si="359"/>
        <v>4</v>
      </c>
      <c r="N1557" s="3" t="str">
        <f t="shared" si="360"/>
        <v>08</v>
      </c>
      <c r="O1557" s="14" t="str">
        <f t="shared" si="361"/>
        <v>04</v>
      </c>
      <c r="P1557" s="4">
        <v>20249.599999999999</v>
      </c>
      <c r="R1557" s="6">
        <v>516</v>
      </c>
      <c r="S1557" s="5">
        <f t="shared" si="362"/>
        <v>39.243410852713176</v>
      </c>
      <c r="T1557" s="5" t="s">
        <v>569</v>
      </c>
      <c r="U1557" s="3" t="s">
        <v>2</v>
      </c>
      <c r="V1557" s="3" t="s">
        <v>4</v>
      </c>
    </row>
    <row r="1558" spans="1:22">
      <c r="A1558" s="3">
        <v>1464</v>
      </c>
      <c r="B1558" s="1">
        <f>IF(G1558="-",0,IF(G1557=G1558,1,0))</f>
        <v>0</v>
      </c>
      <c r="C1558" s="1">
        <f>+IF(G1558="-",0,IF(I1558=I1557+1,0,(IF(I1558=1,0,1))))</f>
        <v>0</v>
      </c>
      <c r="D1558" s="1">
        <f>+IF(AND(P1558="",Q1558=""),1,0)</f>
        <v>0</v>
      </c>
      <c r="E1558" s="1">
        <f>IF(U1558="",1,0)</f>
        <v>0</v>
      </c>
      <c r="F1558" s="1">
        <f>IF(V1558="",1,0)</f>
        <v>0</v>
      </c>
      <c r="G1558" s="1" t="str">
        <f>IF(H1558=0,"-",_xlfn.CONCAT(K1558,N1558,O1558,J1558))</f>
        <v>24080501</v>
      </c>
      <c r="H1558" s="2">
        <v>45509</v>
      </c>
      <c r="I1558" s="36">
        <v>1</v>
      </c>
      <c r="J1558" s="1" t="str">
        <f t="shared" si="356"/>
        <v>01</v>
      </c>
      <c r="K1558" s="3">
        <f t="shared" si="357"/>
        <v>24</v>
      </c>
      <c r="L1558" s="3">
        <f t="shared" si="358"/>
        <v>8</v>
      </c>
      <c r="M1558" s="3">
        <f t="shared" si="359"/>
        <v>5</v>
      </c>
      <c r="N1558" s="3" t="str">
        <f t="shared" si="360"/>
        <v>08</v>
      </c>
      <c r="O1558" s="14" t="str">
        <f t="shared" si="361"/>
        <v>05</v>
      </c>
      <c r="P1558" s="4">
        <v>200000</v>
      </c>
      <c r="R1558" s="6">
        <v>516</v>
      </c>
      <c r="S1558" s="5">
        <f t="shared" si="362"/>
        <v>387.59689922480618</v>
      </c>
      <c r="T1558" s="5" t="s">
        <v>571</v>
      </c>
      <c r="U1558" s="3" t="s">
        <v>2</v>
      </c>
      <c r="V1558" s="3" t="s">
        <v>4</v>
      </c>
    </row>
    <row r="1559" spans="1:22" hidden="1">
      <c r="J1559" s="1" t="str">
        <f t="shared" si="356"/>
        <v>0</v>
      </c>
      <c r="K1559" s="3">
        <f t="shared" si="357"/>
        <v>-100</v>
      </c>
      <c r="L1559" s="3">
        <f t="shared" si="358"/>
        <v>1</v>
      </c>
      <c r="M1559" s="3">
        <f t="shared" si="359"/>
        <v>0</v>
      </c>
      <c r="N1559" s="3" t="str">
        <f t="shared" si="360"/>
        <v>01</v>
      </c>
      <c r="O1559" s="14" t="str">
        <f t="shared" si="361"/>
        <v>00</v>
      </c>
      <c r="R1559" s="6">
        <v>522</v>
      </c>
      <c r="S1559" s="5">
        <f t="shared" si="362"/>
        <v>0</v>
      </c>
    </row>
    <row r="1560" spans="1:22" hidden="1">
      <c r="J1560" s="1" t="str">
        <f t="shared" si="356"/>
        <v>0</v>
      </c>
      <c r="K1560" s="3">
        <f t="shared" si="357"/>
        <v>-100</v>
      </c>
      <c r="L1560" s="3">
        <f t="shared" si="358"/>
        <v>1</v>
      </c>
      <c r="M1560" s="3">
        <f t="shared" si="359"/>
        <v>0</v>
      </c>
      <c r="N1560" s="3" t="str">
        <f t="shared" si="360"/>
        <v>01</v>
      </c>
      <c r="O1560" s="14" t="str">
        <f t="shared" si="361"/>
        <v>00</v>
      </c>
      <c r="R1560" s="6">
        <v>522</v>
      </c>
      <c r="S1560" s="5">
        <f t="shared" si="362"/>
        <v>0</v>
      </c>
    </row>
    <row r="1561" spans="1:22" hidden="1">
      <c r="J1561" s="1" t="str">
        <f t="shared" si="356"/>
        <v>0</v>
      </c>
      <c r="K1561" s="3">
        <f t="shared" si="357"/>
        <v>-100</v>
      </c>
      <c r="L1561" s="3">
        <f t="shared" si="358"/>
        <v>1</v>
      </c>
      <c r="M1561" s="3">
        <f t="shared" si="359"/>
        <v>0</v>
      </c>
      <c r="N1561" s="3" t="str">
        <f t="shared" si="360"/>
        <v>01</v>
      </c>
      <c r="O1561" s="14" t="str">
        <f t="shared" si="361"/>
        <v>00</v>
      </c>
      <c r="R1561" s="6">
        <v>522</v>
      </c>
      <c r="S1561" s="5">
        <f t="shared" si="362"/>
        <v>0</v>
      </c>
    </row>
    <row r="1562" spans="1:22" hidden="1">
      <c r="J1562" s="1" t="str">
        <f t="shared" si="356"/>
        <v>0</v>
      </c>
      <c r="K1562" s="3">
        <f t="shared" si="357"/>
        <v>-100</v>
      </c>
      <c r="L1562" s="3">
        <f t="shared" si="358"/>
        <v>1</v>
      </c>
      <c r="M1562" s="3">
        <f t="shared" si="359"/>
        <v>0</v>
      </c>
      <c r="N1562" s="3" t="str">
        <f t="shared" si="360"/>
        <v>01</v>
      </c>
      <c r="O1562" s="14" t="str">
        <f t="shared" si="361"/>
        <v>00</v>
      </c>
      <c r="R1562" s="6">
        <v>522</v>
      </c>
      <c r="S1562" s="5">
        <f t="shared" si="362"/>
        <v>0</v>
      </c>
    </row>
    <row r="1563" spans="1:22" hidden="1">
      <c r="J1563" s="1" t="str">
        <f t="shared" si="356"/>
        <v>0</v>
      </c>
      <c r="K1563" s="3">
        <f t="shared" si="357"/>
        <v>-100</v>
      </c>
      <c r="L1563" s="3">
        <f t="shared" si="358"/>
        <v>1</v>
      </c>
      <c r="M1563" s="3">
        <f t="shared" si="359"/>
        <v>0</v>
      </c>
      <c r="N1563" s="3" t="str">
        <f t="shared" si="360"/>
        <v>01</v>
      </c>
      <c r="O1563" s="14" t="str">
        <f t="shared" si="361"/>
        <v>00</v>
      </c>
      <c r="R1563" s="6">
        <v>522</v>
      </c>
      <c r="S1563" s="5">
        <f t="shared" si="362"/>
        <v>0</v>
      </c>
    </row>
    <row r="1564" spans="1:22" hidden="1">
      <c r="J1564" s="1" t="str">
        <f t="shared" si="356"/>
        <v>0</v>
      </c>
      <c r="K1564" s="3">
        <f t="shared" si="357"/>
        <v>-100</v>
      </c>
      <c r="L1564" s="3">
        <f t="shared" si="358"/>
        <v>1</v>
      </c>
      <c r="M1564" s="3">
        <f t="shared" si="359"/>
        <v>0</v>
      </c>
      <c r="N1564" s="3" t="str">
        <f t="shared" si="360"/>
        <v>01</v>
      </c>
      <c r="O1564" s="14" t="str">
        <f t="shared" si="361"/>
        <v>00</v>
      </c>
      <c r="R1564" s="6">
        <v>522</v>
      </c>
      <c r="S1564" s="5">
        <f t="shared" si="362"/>
        <v>0</v>
      </c>
    </row>
    <row r="1565" spans="1:22" hidden="1">
      <c r="J1565" s="1" t="str">
        <f t="shared" si="356"/>
        <v>0</v>
      </c>
      <c r="K1565" s="3">
        <f t="shared" si="357"/>
        <v>-100</v>
      </c>
      <c r="L1565" s="3">
        <f t="shared" si="358"/>
        <v>1</v>
      </c>
      <c r="M1565" s="3">
        <f t="shared" si="359"/>
        <v>0</v>
      </c>
      <c r="N1565" s="3" t="str">
        <f t="shared" si="360"/>
        <v>01</v>
      </c>
      <c r="O1565" s="14" t="str">
        <f t="shared" si="361"/>
        <v>00</v>
      </c>
      <c r="R1565" s="6">
        <v>522</v>
      </c>
      <c r="S1565" s="5">
        <f t="shared" si="362"/>
        <v>0</v>
      </c>
    </row>
    <row r="1566" spans="1:22" hidden="1">
      <c r="J1566" s="1" t="str">
        <f t="shared" si="356"/>
        <v>0</v>
      </c>
      <c r="K1566" s="3">
        <f t="shared" si="357"/>
        <v>-100</v>
      </c>
      <c r="L1566" s="3">
        <f t="shared" si="358"/>
        <v>1</v>
      </c>
      <c r="M1566" s="3">
        <f t="shared" si="359"/>
        <v>0</v>
      </c>
      <c r="N1566" s="3" t="str">
        <f t="shared" si="360"/>
        <v>01</v>
      </c>
      <c r="O1566" s="14" t="str">
        <f t="shared" si="361"/>
        <v>00</v>
      </c>
      <c r="R1566" s="6">
        <v>519</v>
      </c>
      <c r="S1566" s="5">
        <f t="shared" si="362"/>
        <v>0</v>
      </c>
    </row>
    <row r="1567" spans="1:22">
      <c r="A1567" s="3">
        <v>1467</v>
      </c>
      <c r="B1567" s="1">
        <f>IF(G1567="-",0,IF(G1566=G1567,1,0))</f>
        <v>0</v>
      </c>
      <c r="C1567" s="1">
        <f>+IF(G1567="-",0,IF(I1567=I1566+1,0,(IF(I1567=1,0,1))))</f>
        <v>1</v>
      </c>
      <c r="D1567" s="1">
        <f>+IF(AND(P1567="",Q1567=""),1,0)</f>
        <v>0</v>
      </c>
      <c r="E1567" s="1">
        <f>IF(U1567="",1,0)</f>
        <v>0</v>
      </c>
      <c r="F1567" s="1">
        <f>IF(V1567="",1,0)</f>
        <v>0</v>
      </c>
      <c r="G1567" s="1" t="str">
        <f>IF(H1567=0,"-",_xlfn.CONCAT(K1567,N1567,O1567,J1567))</f>
        <v>24080504</v>
      </c>
      <c r="H1567" s="2">
        <v>45509</v>
      </c>
      <c r="I1567" s="36">
        <v>4</v>
      </c>
      <c r="J1567" s="1" t="str">
        <f t="shared" si="356"/>
        <v>04</v>
      </c>
      <c r="K1567" s="3">
        <f t="shared" si="357"/>
        <v>24</v>
      </c>
      <c r="L1567" s="3">
        <f t="shared" si="358"/>
        <v>8</v>
      </c>
      <c r="M1567" s="3">
        <f t="shared" si="359"/>
        <v>5</v>
      </c>
      <c r="N1567" s="3" t="str">
        <f t="shared" si="360"/>
        <v>08</v>
      </c>
      <c r="O1567" s="14" t="str">
        <f t="shared" si="361"/>
        <v>05</v>
      </c>
      <c r="P1567" s="4">
        <v>36147.96</v>
      </c>
      <c r="R1567" s="6">
        <v>516</v>
      </c>
      <c r="S1567" s="5">
        <f t="shared" si="362"/>
        <v>70.054186046511632</v>
      </c>
      <c r="T1567" s="5" t="s">
        <v>777</v>
      </c>
      <c r="U1567" s="3" t="s">
        <v>29</v>
      </c>
      <c r="V1567" s="3" t="s">
        <v>4</v>
      </c>
    </row>
    <row r="1568" spans="1:22" hidden="1">
      <c r="J1568" s="1" t="str">
        <f t="shared" si="356"/>
        <v>0</v>
      </c>
      <c r="K1568" s="3">
        <f t="shared" si="357"/>
        <v>-100</v>
      </c>
      <c r="L1568" s="3">
        <f t="shared" si="358"/>
        <v>1</v>
      </c>
      <c r="M1568" s="3">
        <f t="shared" si="359"/>
        <v>0</v>
      </c>
      <c r="N1568" s="3" t="str">
        <f t="shared" si="360"/>
        <v>01</v>
      </c>
      <c r="O1568" s="14" t="str">
        <f t="shared" si="361"/>
        <v>00</v>
      </c>
      <c r="R1568" s="6">
        <v>519</v>
      </c>
      <c r="S1568" s="5">
        <f t="shared" si="362"/>
        <v>0</v>
      </c>
    </row>
    <row r="1569" spans="1:22" hidden="1">
      <c r="J1569" s="1" t="str">
        <f t="shared" si="356"/>
        <v>0</v>
      </c>
      <c r="K1569" s="3">
        <f t="shared" si="357"/>
        <v>-100</v>
      </c>
      <c r="L1569" s="3">
        <f t="shared" si="358"/>
        <v>1</v>
      </c>
      <c r="M1569" s="3">
        <f t="shared" si="359"/>
        <v>0</v>
      </c>
      <c r="N1569" s="3" t="str">
        <f t="shared" si="360"/>
        <v>01</v>
      </c>
      <c r="O1569" s="14" t="str">
        <f t="shared" si="361"/>
        <v>00</v>
      </c>
      <c r="R1569" s="6">
        <v>519</v>
      </c>
      <c r="S1569" s="5">
        <f t="shared" si="362"/>
        <v>0</v>
      </c>
    </row>
    <row r="1570" spans="1:22" hidden="1">
      <c r="G1570" s="52"/>
      <c r="H1570" s="9"/>
      <c r="J1570" s="52" t="str">
        <f t="shared" si="356"/>
        <v>0</v>
      </c>
      <c r="K1570" s="10">
        <f t="shared" si="357"/>
        <v>-100</v>
      </c>
      <c r="L1570" s="10">
        <f t="shared" si="358"/>
        <v>1</v>
      </c>
      <c r="M1570" s="10">
        <f t="shared" si="359"/>
        <v>0</v>
      </c>
      <c r="N1570" s="10" t="str">
        <f t="shared" si="360"/>
        <v>01</v>
      </c>
      <c r="O1570" s="70" t="str">
        <f t="shared" si="361"/>
        <v>00</v>
      </c>
      <c r="P1570" s="11"/>
      <c r="Q1570" s="12"/>
      <c r="R1570" s="6">
        <v>519</v>
      </c>
      <c r="S1570" s="5">
        <f t="shared" si="362"/>
        <v>0</v>
      </c>
      <c r="T1570" s="12"/>
      <c r="U1570" s="10"/>
      <c r="V1570" s="10"/>
    </row>
    <row r="1571" spans="1:22">
      <c r="A1571" s="3">
        <v>1472</v>
      </c>
      <c r="B1571" s="1">
        <f>IF(G1571="-",0,IF(G1570=G1571,1,0))</f>
        <v>0</v>
      </c>
      <c r="C1571" s="1">
        <f>+IF(G1571="-",0,IF(I1571=I1570+1,0,(IF(I1571=1,0,1))))</f>
        <v>1</v>
      </c>
      <c r="D1571" s="1">
        <f>+IF(AND(P1571="",Q1571=""),1,0)</f>
        <v>0</v>
      </c>
      <c r="E1571" s="1">
        <f>IF(U1571="",1,0)</f>
        <v>0</v>
      </c>
      <c r="F1571" s="1">
        <f>IF(V1571="",1,0)</f>
        <v>0</v>
      </c>
      <c r="G1571" s="1" t="str">
        <f>IF(H1571=0,"-",_xlfn.CONCAT(K1571,N1571,O1571,J1571))</f>
        <v>24080603</v>
      </c>
      <c r="H1571" s="2">
        <v>45510</v>
      </c>
      <c r="I1571" s="36">
        <v>3</v>
      </c>
      <c r="J1571" s="1" t="str">
        <f t="shared" si="356"/>
        <v>03</v>
      </c>
      <c r="K1571" s="3">
        <f t="shared" si="357"/>
        <v>24</v>
      </c>
      <c r="L1571" s="3">
        <f t="shared" si="358"/>
        <v>8</v>
      </c>
      <c r="M1571" s="3">
        <f t="shared" si="359"/>
        <v>6</v>
      </c>
      <c r="N1571" s="3" t="str">
        <f t="shared" si="360"/>
        <v>08</v>
      </c>
      <c r="O1571" s="14" t="str">
        <f t="shared" si="361"/>
        <v>06</v>
      </c>
      <c r="P1571" s="4">
        <v>9684.1</v>
      </c>
      <c r="R1571" s="6">
        <v>516</v>
      </c>
      <c r="S1571" s="5">
        <f t="shared" si="362"/>
        <v>18.767635658914731</v>
      </c>
      <c r="T1571" s="5" t="s">
        <v>618</v>
      </c>
      <c r="U1571" s="3" t="s">
        <v>29</v>
      </c>
      <c r="V1571" s="3" t="s">
        <v>4</v>
      </c>
    </row>
    <row r="1572" spans="1:22">
      <c r="A1572" s="3">
        <v>1477</v>
      </c>
      <c r="B1572" s="1">
        <f>IF(G1572="-",0,IF(G1571=G1572,1,0))</f>
        <v>0</v>
      </c>
      <c r="C1572" s="1">
        <f>+IF(G1572="-",0,IF(I1572=I1571+1,0,(IF(I1572=1,0,1))))</f>
        <v>1</v>
      </c>
      <c r="D1572" s="1">
        <f>+IF(AND(P1572="",Q1572=""),1,0)</f>
        <v>0</v>
      </c>
      <c r="E1572" s="1">
        <f>IF(U1572="",1,0)</f>
        <v>0</v>
      </c>
      <c r="F1572" s="1">
        <f>IF(V1572="",1,0)</f>
        <v>0</v>
      </c>
      <c r="G1572" s="1" t="str">
        <f>IF(H1572=0,"-",_xlfn.CONCAT(K1572,N1572,O1572,J1572))</f>
        <v>24080608</v>
      </c>
      <c r="H1572" s="2">
        <v>45510</v>
      </c>
      <c r="I1572" s="36">
        <v>8</v>
      </c>
      <c r="J1572" s="1" t="str">
        <f t="shared" si="356"/>
        <v>08</v>
      </c>
      <c r="K1572" s="3">
        <f t="shared" si="357"/>
        <v>24</v>
      </c>
      <c r="L1572" s="3">
        <f t="shared" si="358"/>
        <v>8</v>
      </c>
      <c r="M1572" s="3">
        <f t="shared" si="359"/>
        <v>6</v>
      </c>
      <c r="N1572" s="3" t="str">
        <f t="shared" si="360"/>
        <v>08</v>
      </c>
      <c r="O1572" s="14" t="str">
        <f t="shared" si="361"/>
        <v>06</v>
      </c>
      <c r="P1572" s="4">
        <v>10675.96</v>
      </c>
      <c r="R1572" s="6">
        <v>516</v>
      </c>
      <c r="S1572" s="5">
        <f t="shared" si="362"/>
        <v>20.689844961240308</v>
      </c>
      <c r="T1572" s="5" t="s">
        <v>774</v>
      </c>
      <c r="U1572" s="3" t="s">
        <v>29</v>
      </c>
      <c r="V1572" s="3" t="s">
        <v>4</v>
      </c>
    </row>
    <row r="1573" spans="1:22" hidden="1">
      <c r="J1573" s="1" t="str">
        <f t="shared" si="356"/>
        <v>0</v>
      </c>
      <c r="K1573" s="3">
        <f t="shared" si="357"/>
        <v>-100</v>
      </c>
      <c r="L1573" s="3">
        <f t="shared" si="358"/>
        <v>1</v>
      </c>
      <c r="M1573" s="3">
        <f t="shared" si="359"/>
        <v>0</v>
      </c>
      <c r="N1573" s="3" t="str">
        <f t="shared" si="360"/>
        <v>01</v>
      </c>
      <c r="O1573" s="14" t="str">
        <f t="shared" si="361"/>
        <v>00</v>
      </c>
    </row>
    <row r="1574" spans="1:22">
      <c r="A1574" s="3">
        <v>1478</v>
      </c>
      <c r="B1574" s="1">
        <f>IF(G1574="-",0,IF(G1573=G1574,1,0))</f>
        <v>0</v>
      </c>
      <c r="C1574" s="1">
        <f>+IF(G1574="-",0,IF(I1574=I1573+1,0,(IF(I1574=1,0,1))))</f>
        <v>1</v>
      </c>
      <c r="D1574" s="1">
        <f>+IF(AND(P1574="",Q1574=""),1,0)</f>
        <v>0</v>
      </c>
      <c r="E1574" s="1">
        <f>IF(U1574="",1,0)</f>
        <v>0</v>
      </c>
      <c r="F1574" s="1">
        <f>IF(V1574="",1,0)</f>
        <v>0</v>
      </c>
      <c r="G1574" s="1" t="str">
        <f>IF(H1574=0,"-",_xlfn.CONCAT(K1574,N1574,O1574,J1574))</f>
        <v>24080609</v>
      </c>
      <c r="H1574" s="2">
        <v>45510</v>
      </c>
      <c r="I1574" s="36">
        <v>9</v>
      </c>
      <c r="J1574" s="1" t="str">
        <f t="shared" si="356"/>
        <v>09</v>
      </c>
      <c r="K1574" s="3">
        <f t="shared" si="357"/>
        <v>24</v>
      </c>
      <c r="L1574" s="3">
        <f t="shared" si="358"/>
        <v>8</v>
      </c>
      <c r="M1574" s="3">
        <f t="shared" si="359"/>
        <v>6</v>
      </c>
      <c r="N1574" s="3" t="str">
        <f t="shared" si="360"/>
        <v>08</v>
      </c>
      <c r="O1574" s="14" t="str">
        <f t="shared" si="361"/>
        <v>06</v>
      </c>
      <c r="P1574" s="4">
        <v>3000</v>
      </c>
      <c r="R1574" s="6">
        <v>516</v>
      </c>
      <c r="S1574" s="5">
        <f t="shared" ref="S1574:S1588" si="363">IFERROR(P1574/R1574,"")</f>
        <v>5.8139534883720927</v>
      </c>
      <c r="T1574" s="5" t="s">
        <v>776</v>
      </c>
      <c r="U1574" s="3" t="s">
        <v>29</v>
      </c>
      <c r="V1574" s="3" t="s">
        <v>4</v>
      </c>
    </row>
    <row r="1575" spans="1:22" hidden="1">
      <c r="J1575" s="1" t="str">
        <f t="shared" si="356"/>
        <v>0</v>
      </c>
      <c r="K1575" s="3">
        <f t="shared" si="357"/>
        <v>-100</v>
      </c>
      <c r="L1575" s="3">
        <f t="shared" si="358"/>
        <v>1</v>
      </c>
      <c r="M1575" s="3">
        <f t="shared" si="359"/>
        <v>0</v>
      </c>
      <c r="N1575" s="3" t="str">
        <f t="shared" si="360"/>
        <v>01</v>
      </c>
      <c r="O1575" s="14" t="str">
        <f t="shared" si="361"/>
        <v>00</v>
      </c>
      <c r="R1575" s="6">
        <v>515</v>
      </c>
      <c r="S1575" s="5">
        <f t="shared" si="363"/>
        <v>0</v>
      </c>
    </row>
    <row r="1576" spans="1:22" hidden="1">
      <c r="J1576" s="1" t="str">
        <f t="shared" si="356"/>
        <v>0</v>
      </c>
      <c r="K1576" s="3">
        <f t="shared" si="357"/>
        <v>-100</v>
      </c>
      <c r="L1576" s="3">
        <f t="shared" si="358"/>
        <v>1</v>
      </c>
      <c r="M1576" s="3">
        <f t="shared" si="359"/>
        <v>0</v>
      </c>
      <c r="N1576" s="3" t="str">
        <f t="shared" si="360"/>
        <v>01</v>
      </c>
      <c r="O1576" s="14" t="str">
        <f t="shared" si="361"/>
        <v>00</v>
      </c>
      <c r="R1576" s="6">
        <v>515</v>
      </c>
      <c r="S1576" s="5">
        <f t="shared" si="363"/>
        <v>0</v>
      </c>
    </row>
    <row r="1577" spans="1:22" hidden="1">
      <c r="J1577" s="1" t="str">
        <f t="shared" si="356"/>
        <v>0</v>
      </c>
      <c r="K1577" s="3">
        <f t="shared" si="357"/>
        <v>-100</v>
      </c>
      <c r="L1577" s="3">
        <f t="shared" si="358"/>
        <v>1</v>
      </c>
      <c r="M1577" s="3">
        <f t="shared" si="359"/>
        <v>0</v>
      </c>
      <c r="N1577" s="3" t="str">
        <f t="shared" si="360"/>
        <v>01</v>
      </c>
      <c r="O1577" s="14" t="str">
        <f t="shared" si="361"/>
        <v>00</v>
      </c>
      <c r="R1577" s="6">
        <v>515</v>
      </c>
      <c r="S1577" s="5">
        <f t="shared" si="363"/>
        <v>0</v>
      </c>
    </row>
    <row r="1578" spans="1:22" hidden="1">
      <c r="J1578" s="1" t="str">
        <f t="shared" si="356"/>
        <v>0</v>
      </c>
      <c r="K1578" s="3">
        <f t="shared" si="357"/>
        <v>-100</v>
      </c>
      <c r="L1578" s="3">
        <f t="shared" si="358"/>
        <v>1</v>
      </c>
      <c r="M1578" s="3">
        <f t="shared" si="359"/>
        <v>0</v>
      </c>
      <c r="N1578" s="3" t="str">
        <f t="shared" si="360"/>
        <v>01</v>
      </c>
      <c r="O1578" s="14" t="str">
        <f t="shared" si="361"/>
        <v>00</v>
      </c>
      <c r="R1578" s="6">
        <v>515</v>
      </c>
      <c r="S1578" s="5">
        <f t="shared" si="363"/>
        <v>0</v>
      </c>
      <c r="T1578" s="16"/>
    </row>
    <row r="1579" spans="1:22" hidden="1">
      <c r="J1579" s="1" t="str">
        <f t="shared" si="356"/>
        <v>0</v>
      </c>
      <c r="K1579" s="3">
        <f t="shared" si="357"/>
        <v>-100</v>
      </c>
      <c r="L1579" s="3">
        <f t="shared" si="358"/>
        <v>1</v>
      </c>
      <c r="M1579" s="3">
        <f t="shared" si="359"/>
        <v>0</v>
      </c>
      <c r="N1579" s="3" t="str">
        <f t="shared" si="360"/>
        <v>01</v>
      </c>
      <c r="O1579" s="14" t="str">
        <f t="shared" si="361"/>
        <v>00</v>
      </c>
      <c r="R1579" s="6">
        <v>515</v>
      </c>
      <c r="S1579" s="5">
        <f t="shared" si="363"/>
        <v>0</v>
      </c>
      <c r="T1579" s="16"/>
    </row>
    <row r="1580" spans="1:22" hidden="1">
      <c r="J1580" s="1" t="str">
        <f t="shared" si="356"/>
        <v>0</v>
      </c>
      <c r="K1580" s="3">
        <f t="shared" si="357"/>
        <v>-100</v>
      </c>
      <c r="L1580" s="3">
        <f t="shared" si="358"/>
        <v>1</v>
      </c>
      <c r="M1580" s="3">
        <f t="shared" si="359"/>
        <v>0</v>
      </c>
      <c r="N1580" s="3" t="str">
        <f t="shared" si="360"/>
        <v>01</v>
      </c>
      <c r="O1580" s="14" t="str">
        <f t="shared" si="361"/>
        <v>00</v>
      </c>
      <c r="R1580" s="6">
        <v>515</v>
      </c>
      <c r="S1580" s="5">
        <f t="shared" si="363"/>
        <v>0</v>
      </c>
    </row>
    <row r="1581" spans="1:22" hidden="1">
      <c r="J1581" s="1" t="str">
        <f t="shared" si="356"/>
        <v>0</v>
      </c>
      <c r="K1581" s="3">
        <f t="shared" si="357"/>
        <v>-100</v>
      </c>
      <c r="L1581" s="3">
        <f t="shared" si="358"/>
        <v>1</v>
      </c>
      <c r="M1581" s="3">
        <f t="shared" si="359"/>
        <v>0</v>
      </c>
      <c r="N1581" s="3" t="str">
        <f t="shared" si="360"/>
        <v>01</v>
      </c>
      <c r="O1581" s="14" t="str">
        <f t="shared" si="361"/>
        <v>00</v>
      </c>
      <c r="R1581" s="6">
        <v>515</v>
      </c>
      <c r="S1581" s="5">
        <f t="shared" si="363"/>
        <v>0</v>
      </c>
    </row>
    <row r="1582" spans="1:22">
      <c r="A1582" s="3">
        <v>1479</v>
      </c>
      <c r="B1582" s="1">
        <f>IF(G1582="-",0,IF(G1581=G1582,1,0))</f>
        <v>0</v>
      </c>
      <c r="C1582" s="1">
        <f>+IF(G1582="-",0,IF(I1582=I1581+1,0,(IF(I1582=1,0,1))))</f>
        <v>1</v>
      </c>
      <c r="D1582" s="1">
        <f>+IF(AND(P1582="",Q1582=""),1,0)</f>
        <v>0</v>
      </c>
      <c r="E1582" s="1">
        <f>IF(U1582="",1,0)</f>
        <v>0</v>
      </c>
      <c r="F1582" s="1">
        <f>IF(V1582="",1,0)</f>
        <v>0</v>
      </c>
      <c r="G1582" s="1" t="str">
        <f>IF(H1582=0,"-",_xlfn.CONCAT(K1582,N1582,O1582,J1582))</f>
        <v>24080610</v>
      </c>
      <c r="H1582" s="2">
        <v>45510</v>
      </c>
      <c r="I1582" s="36">
        <v>10</v>
      </c>
      <c r="J1582" s="1">
        <f t="shared" si="356"/>
        <v>10</v>
      </c>
      <c r="K1582" s="3">
        <f t="shared" si="357"/>
        <v>24</v>
      </c>
      <c r="L1582" s="3">
        <f t="shared" si="358"/>
        <v>8</v>
      </c>
      <c r="M1582" s="3">
        <f t="shared" si="359"/>
        <v>6</v>
      </c>
      <c r="N1582" s="3" t="str">
        <f t="shared" si="360"/>
        <v>08</v>
      </c>
      <c r="O1582" s="14" t="str">
        <f t="shared" si="361"/>
        <v>06</v>
      </c>
      <c r="P1582" s="4">
        <v>27236.42</v>
      </c>
      <c r="R1582" s="6">
        <v>516</v>
      </c>
      <c r="S1582" s="5">
        <f t="shared" si="363"/>
        <v>52.783759689922476</v>
      </c>
      <c r="T1582" s="5" t="s">
        <v>779</v>
      </c>
      <c r="U1582" s="3" t="s">
        <v>29</v>
      </c>
      <c r="V1582" s="3" t="s">
        <v>4</v>
      </c>
    </row>
    <row r="1583" spans="1:22" hidden="1">
      <c r="J1583" s="1" t="str">
        <f t="shared" si="356"/>
        <v>0</v>
      </c>
      <c r="K1583" s="3">
        <f t="shared" si="357"/>
        <v>-100</v>
      </c>
      <c r="L1583" s="3">
        <f t="shared" si="358"/>
        <v>1</v>
      </c>
      <c r="M1583" s="3">
        <f t="shared" si="359"/>
        <v>0</v>
      </c>
      <c r="N1583" s="3" t="str">
        <f t="shared" si="360"/>
        <v>01</v>
      </c>
      <c r="O1583" s="14" t="str">
        <f t="shared" si="361"/>
        <v>00</v>
      </c>
      <c r="R1583" s="6">
        <v>515</v>
      </c>
      <c r="S1583" s="5">
        <f t="shared" si="363"/>
        <v>0</v>
      </c>
    </row>
    <row r="1584" spans="1:22">
      <c r="A1584" s="3">
        <v>1489</v>
      </c>
      <c r="B1584" s="1">
        <f>IF(G1584="-",0,IF(G1583=G1584,1,0))</f>
        <v>0</v>
      </c>
      <c r="C1584" s="1">
        <f>+IF(G1584="-",0,IF(I1584=I1583+1,0,(IF(I1584=1,0,1))))</f>
        <v>1</v>
      </c>
      <c r="D1584" s="1">
        <f>+IF(AND(P1584="",Q1584=""),1,0)</f>
        <v>0</v>
      </c>
      <c r="E1584" s="1">
        <f>IF(U1584="",1,0)</f>
        <v>0</v>
      </c>
      <c r="F1584" s="1">
        <f>IF(V1584="",1,0)</f>
        <v>0</v>
      </c>
      <c r="G1584" s="1" t="str">
        <f>IF(H1584=0,"-",_xlfn.CONCAT(K1584,N1584,O1584,J1584))</f>
        <v>24080706</v>
      </c>
      <c r="H1584" s="2">
        <v>45511</v>
      </c>
      <c r="I1584" s="36">
        <v>6</v>
      </c>
      <c r="J1584" s="1" t="str">
        <f t="shared" si="356"/>
        <v>06</v>
      </c>
      <c r="K1584" s="3">
        <f t="shared" si="357"/>
        <v>24</v>
      </c>
      <c r="L1584" s="3">
        <f t="shared" si="358"/>
        <v>8</v>
      </c>
      <c r="M1584" s="3">
        <f t="shared" si="359"/>
        <v>7</v>
      </c>
      <c r="N1584" s="3" t="str">
        <f t="shared" si="360"/>
        <v>08</v>
      </c>
      <c r="O1584" s="14" t="str">
        <f t="shared" si="361"/>
        <v>07</v>
      </c>
      <c r="P1584" s="4">
        <v>115000</v>
      </c>
      <c r="R1584" s="6">
        <v>521</v>
      </c>
      <c r="S1584" s="5">
        <f t="shared" si="363"/>
        <v>220.72936660268715</v>
      </c>
      <c r="T1584" s="5" t="s">
        <v>572</v>
      </c>
      <c r="U1584" s="3" t="s">
        <v>2</v>
      </c>
      <c r="V1584" s="3" t="s">
        <v>4</v>
      </c>
    </row>
    <row r="1585" spans="1:23">
      <c r="A1585" s="3">
        <v>1498</v>
      </c>
      <c r="B1585" s="1">
        <f>IF(G1585="-",0,IF(G1584=G1585,1,0))</f>
        <v>0</v>
      </c>
      <c r="C1585" s="1">
        <f>+IF(G1585="-",0,IF(I1585=I1584+1,0,(IF(I1585=1,0,1))))</f>
        <v>1</v>
      </c>
      <c r="D1585" s="1">
        <f>+IF(AND(P1585="",Q1585=""),1,0)</f>
        <v>0</v>
      </c>
      <c r="E1585" s="1">
        <f>IF(U1585="",1,0)</f>
        <v>1</v>
      </c>
      <c r="F1585" s="1">
        <f>IF(V1585="",1,0)</f>
        <v>0</v>
      </c>
      <c r="G1585" s="1" t="str">
        <f>IF(H1585=0,"-",_xlfn.CONCAT(K1585,N1585,O1585,J1585))</f>
        <v>24080715</v>
      </c>
      <c r="H1585" s="2">
        <v>45511</v>
      </c>
      <c r="I1585" s="36">
        <v>15</v>
      </c>
      <c r="J1585" s="1">
        <f t="shared" si="356"/>
        <v>15</v>
      </c>
      <c r="K1585" s="3">
        <f t="shared" si="357"/>
        <v>24</v>
      </c>
      <c r="L1585" s="3">
        <f t="shared" si="358"/>
        <v>8</v>
      </c>
      <c r="M1585" s="3">
        <f t="shared" si="359"/>
        <v>7</v>
      </c>
      <c r="N1585" s="3" t="str">
        <f t="shared" si="360"/>
        <v>08</v>
      </c>
      <c r="O1585" s="14" t="str">
        <f t="shared" si="361"/>
        <v>07</v>
      </c>
      <c r="P1585" s="4">
        <v>115000</v>
      </c>
      <c r="R1585" s="6">
        <v>521</v>
      </c>
      <c r="S1585" s="5">
        <f t="shared" si="363"/>
        <v>220.72936660268715</v>
      </c>
      <c r="T1585" s="5" t="s">
        <v>625</v>
      </c>
      <c r="V1585" s="3" t="s">
        <v>4</v>
      </c>
    </row>
    <row r="1586" spans="1:23" hidden="1">
      <c r="J1586" s="1" t="str">
        <f t="shared" si="356"/>
        <v>0</v>
      </c>
      <c r="K1586" s="3">
        <f t="shared" si="357"/>
        <v>-100</v>
      </c>
      <c r="L1586" s="3">
        <f t="shared" si="358"/>
        <v>1</v>
      </c>
      <c r="M1586" s="3">
        <f t="shared" si="359"/>
        <v>0</v>
      </c>
      <c r="N1586" s="3" t="str">
        <f t="shared" si="360"/>
        <v>01</v>
      </c>
      <c r="O1586" s="14" t="str">
        <f t="shared" si="361"/>
        <v>00</v>
      </c>
      <c r="S1586" s="5" t="str">
        <f t="shared" si="363"/>
        <v/>
      </c>
    </row>
    <row r="1587" spans="1:23" hidden="1">
      <c r="J1587" s="1" t="str">
        <f t="shared" si="356"/>
        <v>0</v>
      </c>
      <c r="K1587" s="3">
        <f t="shared" si="357"/>
        <v>-100</v>
      </c>
      <c r="L1587" s="3">
        <f t="shared" si="358"/>
        <v>1</v>
      </c>
      <c r="M1587" s="3">
        <f t="shared" si="359"/>
        <v>0</v>
      </c>
      <c r="N1587" s="3" t="str">
        <f t="shared" si="360"/>
        <v>01</v>
      </c>
      <c r="O1587" s="14" t="str">
        <f t="shared" si="361"/>
        <v>00</v>
      </c>
      <c r="S1587" s="5" t="str">
        <f t="shared" si="363"/>
        <v/>
      </c>
    </row>
    <row r="1588" spans="1:23" hidden="1">
      <c r="J1588" s="1" t="str">
        <f t="shared" si="356"/>
        <v>0</v>
      </c>
      <c r="K1588" s="3">
        <f t="shared" si="357"/>
        <v>-100</v>
      </c>
      <c r="L1588" s="3">
        <f t="shared" si="358"/>
        <v>1</v>
      </c>
      <c r="M1588" s="3">
        <f t="shared" si="359"/>
        <v>0</v>
      </c>
      <c r="N1588" s="3" t="str">
        <f t="shared" si="360"/>
        <v>01</v>
      </c>
      <c r="O1588" s="14" t="str">
        <f t="shared" si="361"/>
        <v>00</v>
      </c>
      <c r="S1588" s="5" t="str">
        <f t="shared" si="363"/>
        <v/>
      </c>
    </row>
    <row r="1589" spans="1:23" hidden="1">
      <c r="J1589" s="1" t="str">
        <f t="shared" si="356"/>
        <v>0</v>
      </c>
      <c r="K1589" s="3">
        <f t="shared" si="357"/>
        <v>-100</v>
      </c>
      <c r="L1589" s="3">
        <f t="shared" si="358"/>
        <v>1</v>
      </c>
      <c r="M1589" s="3">
        <f t="shared" si="359"/>
        <v>0</v>
      </c>
      <c r="N1589" s="3" t="str">
        <f t="shared" si="360"/>
        <v>01</v>
      </c>
      <c r="O1589" s="14" t="str">
        <f t="shared" si="361"/>
        <v>00</v>
      </c>
    </row>
    <row r="1590" spans="1:23">
      <c r="A1590" s="3">
        <v>1499</v>
      </c>
      <c r="B1590" s="1">
        <f>IF(G1590="-",0,IF(G1589=G1590,1,0))</f>
        <v>0</v>
      </c>
      <c r="C1590" s="1">
        <f>+IF(G1590="-",0,IF(I1590=I1589+1,0,(IF(I1590=1,0,1))))</f>
        <v>1</v>
      </c>
      <c r="D1590" s="1">
        <f>+IF(AND(P1590="",Q1590=""),1,0)</f>
        <v>0</v>
      </c>
      <c r="E1590" s="1">
        <f>IF(U1590="",1,0)</f>
        <v>0</v>
      </c>
      <c r="F1590" s="1">
        <f>IF(V1590="",1,0)</f>
        <v>0</v>
      </c>
      <c r="G1590" s="1" t="str">
        <f>IF(H1590=0,"-",_xlfn.CONCAT(K1590,N1590,O1590,J1590))</f>
        <v>24080716</v>
      </c>
      <c r="H1590" s="2">
        <v>45511</v>
      </c>
      <c r="I1590" s="36">
        <v>16</v>
      </c>
      <c r="J1590" s="1">
        <f t="shared" si="356"/>
        <v>16</v>
      </c>
      <c r="K1590" s="3">
        <f t="shared" si="357"/>
        <v>24</v>
      </c>
      <c r="L1590" s="3">
        <f t="shared" si="358"/>
        <v>8</v>
      </c>
      <c r="M1590" s="3">
        <f t="shared" si="359"/>
        <v>7</v>
      </c>
      <c r="N1590" s="3" t="str">
        <f t="shared" si="360"/>
        <v>08</v>
      </c>
      <c r="O1590" s="14" t="str">
        <f t="shared" si="361"/>
        <v>07</v>
      </c>
      <c r="P1590" s="4">
        <v>47400</v>
      </c>
      <c r="R1590" s="6">
        <v>521</v>
      </c>
      <c r="S1590" s="5">
        <f t="shared" ref="S1590:S1595" si="364">IFERROR(P1590/R1590,"")</f>
        <v>90.978886756237998</v>
      </c>
      <c r="T1590" s="5" t="s">
        <v>767</v>
      </c>
      <c r="U1590" s="3" t="s">
        <v>29</v>
      </c>
      <c r="V1590" s="3" t="s">
        <v>4</v>
      </c>
    </row>
    <row r="1591" spans="1:23" hidden="1">
      <c r="J1591" s="1" t="str">
        <f t="shared" si="356"/>
        <v>0</v>
      </c>
      <c r="K1591" s="3">
        <f t="shared" si="357"/>
        <v>-100</v>
      </c>
      <c r="L1591" s="3">
        <f t="shared" si="358"/>
        <v>1</v>
      </c>
      <c r="M1591" s="3">
        <f t="shared" si="359"/>
        <v>0</v>
      </c>
      <c r="N1591" s="3" t="str">
        <f t="shared" si="360"/>
        <v>01</v>
      </c>
      <c r="O1591" s="14" t="str">
        <f t="shared" si="361"/>
        <v>00</v>
      </c>
      <c r="S1591" s="5" t="str">
        <f t="shared" si="364"/>
        <v/>
      </c>
    </row>
    <row r="1592" spans="1:23" hidden="1">
      <c r="J1592" s="1" t="str">
        <f t="shared" si="356"/>
        <v>0</v>
      </c>
      <c r="K1592" s="3">
        <f t="shared" si="357"/>
        <v>-100</v>
      </c>
      <c r="L1592" s="3">
        <f t="shared" si="358"/>
        <v>1</v>
      </c>
      <c r="M1592" s="3">
        <f t="shared" si="359"/>
        <v>0</v>
      </c>
      <c r="N1592" s="3" t="str">
        <f t="shared" si="360"/>
        <v>01</v>
      </c>
      <c r="O1592" s="14" t="str">
        <f t="shared" si="361"/>
        <v>00</v>
      </c>
      <c r="S1592" s="5" t="str">
        <f t="shared" si="364"/>
        <v/>
      </c>
    </row>
    <row r="1593" spans="1:23" s="97" customFormat="1" hidden="1">
      <c r="A1593" s="3"/>
      <c r="B1593" s="1"/>
      <c r="C1593" s="1"/>
      <c r="D1593" s="1"/>
      <c r="E1593" s="1"/>
      <c r="F1593" s="1"/>
      <c r="G1593" s="1"/>
      <c r="H1593" s="2"/>
      <c r="I1593" s="36"/>
      <c r="J1593" s="1" t="str">
        <f t="shared" si="356"/>
        <v>0</v>
      </c>
      <c r="K1593" s="3">
        <f t="shared" si="357"/>
        <v>-100</v>
      </c>
      <c r="L1593" s="3">
        <f t="shared" si="358"/>
        <v>1</v>
      </c>
      <c r="M1593" s="3">
        <f t="shared" si="359"/>
        <v>0</v>
      </c>
      <c r="N1593" s="3" t="str">
        <f t="shared" si="360"/>
        <v>01</v>
      </c>
      <c r="O1593" s="14" t="str">
        <f t="shared" si="361"/>
        <v>00</v>
      </c>
      <c r="P1593" s="4"/>
      <c r="Q1593" s="5"/>
      <c r="R1593" s="6"/>
      <c r="S1593" s="5" t="str">
        <f t="shared" si="364"/>
        <v/>
      </c>
      <c r="T1593" s="5"/>
      <c r="U1593" s="3"/>
      <c r="V1593" s="3"/>
      <c r="W1593" s="3"/>
    </row>
    <row r="1594" spans="1:23" hidden="1">
      <c r="J1594" s="1" t="str">
        <f t="shared" si="356"/>
        <v>0</v>
      </c>
      <c r="K1594" s="3">
        <f t="shared" si="357"/>
        <v>-100</v>
      </c>
      <c r="L1594" s="3">
        <f t="shared" si="358"/>
        <v>1</v>
      </c>
      <c r="M1594" s="3">
        <f t="shared" si="359"/>
        <v>0</v>
      </c>
      <c r="N1594" s="3" t="str">
        <f t="shared" si="360"/>
        <v>01</v>
      </c>
      <c r="O1594" s="14" t="str">
        <f t="shared" si="361"/>
        <v>00</v>
      </c>
      <c r="S1594" s="5" t="str">
        <f t="shared" si="364"/>
        <v/>
      </c>
    </row>
    <row r="1595" spans="1:23" hidden="1">
      <c r="J1595" s="1" t="str">
        <f t="shared" si="356"/>
        <v>0</v>
      </c>
      <c r="K1595" s="3">
        <f t="shared" si="357"/>
        <v>-100</v>
      </c>
      <c r="L1595" s="3">
        <f t="shared" si="358"/>
        <v>1</v>
      </c>
      <c r="M1595" s="3">
        <f t="shared" si="359"/>
        <v>0</v>
      </c>
      <c r="N1595" s="3" t="str">
        <f t="shared" si="360"/>
        <v>01</v>
      </c>
      <c r="O1595" s="14" t="str">
        <f t="shared" si="361"/>
        <v>00</v>
      </c>
      <c r="S1595" s="5" t="str">
        <f t="shared" si="364"/>
        <v/>
      </c>
    </row>
    <row r="1596" spans="1:23" hidden="1">
      <c r="J1596" s="1" t="str">
        <f t="shared" si="356"/>
        <v>0</v>
      </c>
      <c r="K1596" s="3">
        <f t="shared" si="357"/>
        <v>-100</v>
      </c>
      <c r="L1596" s="3">
        <f t="shared" si="358"/>
        <v>1</v>
      </c>
      <c r="M1596" s="3">
        <f t="shared" si="359"/>
        <v>0</v>
      </c>
      <c r="N1596" s="3" t="str">
        <f t="shared" si="360"/>
        <v>01</v>
      </c>
      <c r="O1596" s="14" t="str">
        <f t="shared" si="361"/>
        <v>00</v>
      </c>
    </row>
    <row r="1597" spans="1:23" hidden="1">
      <c r="J1597" s="1" t="str">
        <f t="shared" si="356"/>
        <v>0</v>
      </c>
      <c r="K1597" s="3">
        <f t="shared" si="357"/>
        <v>-100</v>
      </c>
      <c r="L1597" s="3">
        <f t="shared" si="358"/>
        <v>1</v>
      </c>
      <c r="M1597" s="3">
        <f t="shared" si="359"/>
        <v>0</v>
      </c>
      <c r="N1597" s="3" t="str">
        <f t="shared" si="360"/>
        <v>01</v>
      </c>
      <c r="O1597" s="14" t="str">
        <f t="shared" si="361"/>
        <v>00</v>
      </c>
    </row>
    <row r="1598" spans="1:23" hidden="1">
      <c r="J1598" s="1" t="str">
        <f t="shared" si="356"/>
        <v>0</v>
      </c>
      <c r="K1598" s="3">
        <f t="shared" si="357"/>
        <v>-100</v>
      </c>
      <c r="L1598" s="3">
        <f t="shared" si="358"/>
        <v>1</v>
      </c>
      <c r="M1598" s="3">
        <f t="shared" si="359"/>
        <v>0</v>
      </c>
      <c r="N1598" s="3" t="str">
        <f t="shared" si="360"/>
        <v>01</v>
      </c>
      <c r="O1598" s="14" t="str">
        <f t="shared" si="361"/>
        <v>00</v>
      </c>
      <c r="R1598" s="6">
        <v>512</v>
      </c>
      <c r="S1598" s="5">
        <f>IFERROR(P1598/R1598,"")</f>
        <v>0</v>
      </c>
    </row>
    <row r="1599" spans="1:23" hidden="1">
      <c r="J1599" s="1" t="str">
        <f t="shared" si="356"/>
        <v>0</v>
      </c>
      <c r="K1599" s="3">
        <f t="shared" si="357"/>
        <v>-100</v>
      </c>
      <c r="L1599" s="3">
        <f t="shared" si="358"/>
        <v>1</v>
      </c>
      <c r="M1599" s="3">
        <f t="shared" si="359"/>
        <v>0</v>
      </c>
      <c r="N1599" s="3" t="str">
        <f t="shared" si="360"/>
        <v>01</v>
      </c>
      <c r="O1599" s="14" t="str">
        <f t="shared" si="361"/>
        <v>00</v>
      </c>
      <c r="R1599" s="6">
        <v>512</v>
      </c>
      <c r="S1599" s="5">
        <f>IFERROR(P1599/R1599,"")</f>
        <v>0</v>
      </c>
    </row>
    <row r="1600" spans="1:23">
      <c r="A1600" s="3">
        <v>1500</v>
      </c>
      <c r="B1600" s="1">
        <f>IF(G1600="-",0,IF(G1599=G1600,1,0))</f>
        <v>0</v>
      </c>
      <c r="C1600" s="1">
        <f>+IF(G1600="-",0,IF(I1600=I1599+1,0,(IF(I1600=1,0,1))))</f>
        <v>1</v>
      </c>
      <c r="D1600" s="1">
        <f>+IF(AND(P1600="",Q1600=""),1,0)</f>
        <v>0</v>
      </c>
      <c r="E1600" s="1">
        <f>IF(U1600="",1,0)</f>
        <v>0</v>
      </c>
      <c r="F1600" s="1">
        <f>IF(V1600="",1,0)</f>
        <v>0</v>
      </c>
      <c r="G1600" s="1" t="str">
        <f>IF(H1600=0,"-",_xlfn.CONCAT(K1600,N1600,O1600,J1600))</f>
        <v>24080717</v>
      </c>
      <c r="H1600" s="2">
        <v>45511</v>
      </c>
      <c r="I1600" s="36">
        <v>17</v>
      </c>
      <c r="J1600" s="1">
        <f t="shared" si="356"/>
        <v>17</v>
      </c>
      <c r="K1600" s="3">
        <f t="shared" si="357"/>
        <v>24</v>
      </c>
      <c r="L1600" s="3">
        <f t="shared" si="358"/>
        <v>8</v>
      </c>
      <c r="M1600" s="3">
        <f t="shared" si="359"/>
        <v>7</v>
      </c>
      <c r="N1600" s="3" t="str">
        <f t="shared" si="360"/>
        <v>08</v>
      </c>
      <c r="O1600" s="14" t="str">
        <f t="shared" si="361"/>
        <v>07</v>
      </c>
      <c r="P1600" s="4">
        <v>16305.39</v>
      </c>
      <c r="R1600" s="6">
        <v>521</v>
      </c>
      <c r="S1600" s="5">
        <f>IFERROR(P1600/R1600,"")</f>
        <v>31.296333973128597</v>
      </c>
      <c r="T1600" s="5" t="s">
        <v>770</v>
      </c>
      <c r="U1600" s="3" t="s">
        <v>29</v>
      </c>
      <c r="V1600" s="3" t="s">
        <v>4</v>
      </c>
    </row>
    <row r="1601" spans="1:23" hidden="1">
      <c r="G1601" s="98"/>
      <c r="H1601" s="99"/>
      <c r="I1601" s="98"/>
      <c r="J1601" s="98" t="str">
        <f t="shared" si="356"/>
        <v>0</v>
      </c>
      <c r="K1601" s="97">
        <f t="shared" si="357"/>
        <v>-100</v>
      </c>
      <c r="L1601" s="97">
        <f t="shared" si="358"/>
        <v>1</v>
      </c>
      <c r="M1601" s="97">
        <f t="shared" si="359"/>
        <v>0</v>
      </c>
      <c r="N1601" s="97" t="str">
        <f t="shared" si="360"/>
        <v>01</v>
      </c>
      <c r="O1601" s="100" t="str">
        <f t="shared" si="361"/>
        <v>00</v>
      </c>
      <c r="P1601" s="101"/>
      <c r="Q1601" s="102"/>
      <c r="R1601" s="103"/>
      <c r="S1601" s="102" t="str">
        <f>IFERROR(P1601/R1601,"")</f>
        <v/>
      </c>
      <c r="T1601" s="102"/>
      <c r="U1601" s="97"/>
      <c r="V1601" s="97"/>
      <c r="W1601" s="97"/>
    </row>
    <row r="1602" spans="1:23" hidden="1">
      <c r="J1602" s="1" t="str">
        <f t="shared" si="356"/>
        <v>0</v>
      </c>
      <c r="K1602" s="3">
        <f t="shared" si="357"/>
        <v>-100</v>
      </c>
      <c r="L1602" s="3">
        <f t="shared" si="358"/>
        <v>1</v>
      </c>
      <c r="M1602" s="3">
        <f t="shared" si="359"/>
        <v>0</v>
      </c>
      <c r="N1602" s="3" t="str">
        <f t="shared" si="360"/>
        <v>01</v>
      </c>
      <c r="O1602" s="14" t="str">
        <f t="shared" si="361"/>
        <v>00</v>
      </c>
      <c r="R1602" s="6">
        <v>512</v>
      </c>
      <c r="S1602" s="5">
        <f>IFERROR(P1602/R1602,"")</f>
        <v>0</v>
      </c>
    </row>
    <row r="1603" spans="1:23" hidden="1">
      <c r="J1603" s="1" t="str">
        <f t="shared" si="356"/>
        <v>0</v>
      </c>
      <c r="K1603" s="3">
        <f t="shared" si="357"/>
        <v>-100</v>
      </c>
      <c r="L1603" s="3">
        <f t="shared" si="358"/>
        <v>1</v>
      </c>
      <c r="M1603" s="3">
        <f t="shared" si="359"/>
        <v>0</v>
      </c>
      <c r="N1603" s="3" t="str">
        <f t="shared" si="360"/>
        <v>01</v>
      </c>
      <c r="O1603" s="14" t="str">
        <f t="shared" si="361"/>
        <v>00</v>
      </c>
    </row>
    <row r="1604" spans="1:23">
      <c r="A1604" s="3">
        <v>1501</v>
      </c>
      <c r="B1604" s="1">
        <f>IF(G1604="-",0,IF(G1603=G1604,1,0))</f>
        <v>0</v>
      </c>
      <c r="C1604" s="1">
        <f>+IF(G1604="-",0,IF(I1604=I1603+1,0,(IF(I1604=1,0,1))))</f>
        <v>1</v>
      </c>
      <c r="D1604" s="1">
        <f>+IF(AND(P1604="",Q1604=""),1,0)</f>
        <v>0</v>
      </c>
      <c r="E1604" s="1">
        <f>IF(U1604="",1,0)</f>
        <v>0</v>
      </c>
      <c r="F1604" s="1">
        <f>IF(V1604="",1,0)</f>
        <v>0</v>
      </c>
      <c r="G1604" s="1" t="str">
        <f>IF(H1604=0,"-",_xlfn.CONCAT(K1604,N1604,O1604,J1604))</f>
        <v>24080718</v>
      </c>
      <c r="H1604" s="2">
        <v>45511</v>
      </c>
      <c r="I1604" s="36">
        <v>18</v>
      </c>
      <c r="J1604" s="1">
        <f t="shared" si="356"/>
        <v>18</v>
      </c>
      <c r="K1604" s="3">
        <f t="shared" si="357"/>
        <v>24</v>
      </c>
      <c r="L1604" s="3">
        <f t="shared" si="358"/>
        <v>8</v>
      </c>
      <c r="M1604" s="3">
        <f t="shared" si="359"/>
        <v>7</v>
      </c>
      <c r="N1604" s="3" t="str">
        <f t="shared" si="360"/>
        <v>08</v>
      </c>
      <c r="O1604" s="14" t="str">
        <f t="shared" si="361"/>
        <v>07</v>
      </c>
      <c r="P1604" s="4">
        <v>35445.22</v>
      </c>
      <c r="R1604" s="6">
        <v>521</v>
      </c>
      <c r="S1604" s="5">
        <f t="shared" ref="S1604:S1637" si="365">IFERROR(P1604/R1604,"")</f>
        <v>68.033051823416514</v>
      </c>
      <c r="T1604" s="5" t="s">
        <v>775</v>
      </c>
      <c r="U1604" s="3" t="s">
        <v>29</v>
      </c>
      <c r="V1604" s="3" t="s">
        <v>4</v>
      </c>
    </row>
    <row r="1605" spans="1:23">
      <c r="A1605" s="3">
        <v>1504</v>
      </c>
      <c r="B1605" s="1">
        <f>IF(G1605="-",0,IF(G1604=G1605,1,0))</f>
        <v>0</v>
      </c>
      <c r="C1605" s="1">
        <f>+IF(G1605="-",0,IF(I1605=I1604+1,0,(IF(I1605=1,0,1))))</f>
        <v>1</v>
      </c>
      <c r="D1605" s="1">
        <f>+IF(AND(P1605="",Q1605=""),1,0)</f>
        <v>0</v>
      </c>
      <c r="E1605" s="1">
        <f>IF(U1605="",1,0)</f>
        <v>0</v>
      </c>
      <c r="F1605" s="1">
        <f>IF(V1605="",1,0)</f>
        <v>0</v>
      </c>
      <c r="G1605" s="1" t="str">
        <f>IF(H1605=0,"-",_xlfn.CONCAT(K1605,N1605,O1605,J1605))</f>
        <v>24080802</v>
      </c>
      <c r="H1605" s="2">
        <v>45512</v>
      </c>
      <c r="I1605" s="36">
        <v>2</v>
      </c>
      <c r="J1605" s="1" t="str">
        <f t="shared" si="356"/>
        <v>02</v>
      </c>
      <c r="K1605" s="3">
        <f t="shared" si="357"/>
        <v>24</v>
      </c>
      <c r="L1605" s="3">
        <f t="shared" si="358"/>
        <v>8</v>
      </c>
      <c r="M1605" s="3">
        <f t="shared" si="359"/>
        <v>8</v>
      </c>
      <c r="N1605" s="3" t="str">
        <f t="shared" si="360"/>
        <v>08</v>
      </c>
      <c r="O1605" s="14" t="str">
        <f t="shared" si="361"/>
        <v>08</v>
      </c>
      <c r="P1605" s="4">
        <v>2599000</v>
      </c>
      <c r="R1605" s="6">
        <v>522</v>
      </c>
      <c r="S1605" s="5">
        <f t="shared" si="365"/>
        <v>4978.9272030651337</v>
      </c>
      <c r="T1605" s="5" t="s">
        <v>620</v>
      </c>
      <c r="U1605" s="3" t="s">
        <v>3</v>
      </c>
      <c r="V1605" s="3" t="s">
        <v>4</v>
      </c>
    </row>
    <row r="1606" spans="1:23" hidden="1">
      <c r="G1606" s="90"/>
      <c r="J1606" s="1" t="str">
        <f t="shared" si="356"/>
        <v>0</v>
      </c>
      <c r="K1606" s="3">
        <f t="shared" si="357"/>
        <v>-100</v>
      </c>
      <c r="L1606" s="3">
        <f t="shared" si="358"/>
        <v>1</v>
      </c>
      <c r="M1606" s="3">
        <f t="shared" si="359"/>
        <v>0</v>
      </c>
      <c r="N1606" s="3" t="str">
        <f t="shared" si="360"/>
        <v>01</v>
      </c>
      <c r="O1606" s="14" t="str">
        <f t="shared" si="361"/>
        <v>00</v>
      </c>
      <c r="R1606" s="6">
        <v>512</v>
      </c>
      <c r="S1606" s="5">
        <f t="shared" si="365"/>
        <v>0</v>
      </c>
    </row>
    <row r="1607" spans="1:23" hidden="1">
      <c r="J1607" s="1" t="str">
        <f t="shared" si="356"/>
        <v>0</v>
      </c>
      <c r="K1607" s="3">
        <f t="shared" si="357"/>
        <v>-100</v>
      </c>
      <c r="L1607" s="3">
        <f t="shared" si="358"/>
        <v>1</v>
      </c>
      <c r="M1607" s="3">
        <f t="shared" si="359"/>
        <v>0</v>
      </c>
      <c r="N1607" s="3" t="str">
        <f t="shared" si="360"/>
        <v>01</v>
      </c>
      <c r="O1607" s="14" t="str">
        <f t="shared" si="361"/>
        <v>00</v>
      </c>
      <c r="P1607" s="28"/>
      <c r="R1607" s="6">
        <v>512</v>
      </c>
      <c r="S1607" s="5">
        <f t="shared" si="365"/>
        <v>0</v>
      </c>
    </row>
    <row r="1608" spans="1:23" hidden="1">
      <c r="J1608" s="1" t="str">
        <f t="shared" si="356"/>
        <v>0</v>
      </c>
      <c r="K1608" s="3">
        <f t="shared" si="357"/>
        <v>-100</v>
      </c>
      <c r="L1608" s="3">
        <f t="shared" si="358"/>
        <v>1</v>
      </c>
      <c r="M1608" s="3">
        <f t="shared" si="359"/>
        <v>0</v>
      </c>
      <c r="N1608" s="3" t="str">
        <f t="shared" si="360"/>
        <v>01</v>
      </c>
      <c r="O1608" s="14" t="str">
        <f t="shared" si="361"/>
        <v>00</v>
      </c>
      <c r="R1608" s="6">
        <v>512</v>
      </c>
      <c r="S1608" s="5">
        <f t="shared" si="365"/>
        <v>0</v>
      </c>
    </row>
    <row r="1609" spans="1:23" hidden="1">
      <c r="J1609" s="1" t="str">
        <f t="shared" si="356"/>
        <v>0</v>
      </c>
      <c r="K1609" s="3">
        <f t="shared" si="357"/>
        <v>-100</v>
      </c>
      <c r="L1609" s="3">
        <f t="shared" si="358"/>
        <v>1</v>
      </c>
      <c r="M1609" s="3">
        <f t="shared" si="359"/>
        <v>0</v>
      </c>
      <c r="N1609" s="3" t="str">
        <f t="shared" si="360"/>
        <v>01</v>
      </c>
      <c r="O1609" s="14" t="str">
        <f t="shared" si="361"/>
        <v>00</v>
      </c>
      <c r="R1609" s="6">
        <v>512</v>
      </c>
      <c r="S1609" s="5">
        <f t="shared" si="365"/>
        <v>0</v>
      </c>
    </row>
    <row r="1610" spans="1:23" hidden="1">
      <c r="J1610" s="1" t="str">
        <f t="shared" si="356"/>
        <v>0</v>
      </c>
      <c r="K1610" s="3">
        <f t="shared" si="357"/>
        <v>-100</v>
      </c>
      <c r="L1610" s="3">
        <f t="shared" si="358"/>
        <v>1</v>
      </c>
      <c r="M1610" s="3">
        <f t="shared" si="359"/>
        <v>0</v>
      </c>
      <c r="N1610" s="3" t="str">
        <f t="shared" si="360"/>
        <v>01</v>
      </c>
      <c r="O1610" s="14" t="str">
        <f t="shared" si="361"/>
        <v>00</v>
      </c>
      <c r="R1610" s="6">
        <v>512</v>
      </c>
      <c r="S1610" s="5">
        <f t="shared" si="365"/>
        <v>0</v>
      </c>
    </row>
    <row r="1611" spans="1:23" hidden="1">
      <c r="J1611" s="1" t="str">
        <f t="shared" si="356"/>
        <v>0</v>
      </c>
      <c r="K1611" s="3">
        <f t="shared" si="357"/>
        <v>-100</v>
      </c>
      <c r="L1611" s="3">
        <f t="shared" si="358"/>
        <v>1</v>
      </c>
      <c r="M1611" s="3">
        <f t="shared" si="359"/>
        <v>0</v>
      </c>
      <c r="N1611" s="3" t="str">
        <f t="shared" si="360"/>
        <v>01</v>
      </c>
      <c r="O1611" s="14" t="str">
        <f t="shared" si="361"/>
        <v>00</v>
      </c>
      <c r="R1611" s="6">
        <v>512</v>
      </c>
      <c r="S1611" s="5">
        <f t="shared" si="365"/>
        <v>0</v>
      </c>
    </row>
    <row r="1612" spans="1:23" hidden="1">
      <c r="J1612" s="1" t="str">
        <f t="shared" si="356"/>
        <v>0</v>
      </c>
      <c r="K1612" s="3">
        <f t="shared" si="357"/>
        <v>-100</v>
      </c>
      <c r="L1612" s="3">
        <f t="shared" si="358"/>
        <v>1</v>
      </c>
      <c r="M1612" s="3">
        <f t="shared" si="359"/>
        <v>0</v>
      </c>
      <c r="N1612" s="3" t="str">
        <f t="shared" si="360"/>
        <v>01</v>
      </c>
      <c r="O1612" s="14" t="str">
        <f t="shared" si="361"/>
        <v>00</v>
      </c>
      <c r="R1612" s="6">
        <v>512</v>
      </c>
      <c r="S1612" s="5">
        <f t="shared" si="365"/>
        <v>0</v>
      </c>
    </row>
    <row r="1613" spans="1:23">
      <c r="A1613" s="3">
        <v>1516</v>
      </c>
      <c r="B1613" s="1">
        <f>IF(G1613="-",0,IF(G1612=G1613,1,0))</f>
        <v>0</v>
      </c>
      <c r="C1613" s="1">
        <f>+IF(G1613="-",0,IF(I1613=I1612+1,0,(IF(I1613=1,0,1))))</f>
        <v>1</v>
      </c>
      <c r="D1613" s="1">
        <f>+IF(AND(P1613="",Q1613=""),1,0)</f>
        <v>0</v>
      </c>
      <c r="E1613" s="1">
        <f t="shared" ref="E1613:F1617" si="366">IF(U1613="",1,0)</f>
        <v>0</v>
      </c>
      <c r="F1613" s="1">
        <f t="shared" si="366"/>
        <v>0</v>
      </c>
      <c r="G1613" s="1" t="str">
        <f>IF(H1613=0,"-",_xlfn.CONCAT(K1613,N1613,O1613,J1613))</f>
        <v>24080904</v>
      </c>
      <c r="H1613" s="2">
        <v>45513</v>
      </c>
      <c r="I1613" s="36">
        <v>4</v>
      </c>
      <c r="J1613" s="1" t="str">
        <f t="shared" ref="J1613:J1676" si="367">+IF(I1613&lt;10,_xlfn.CONCAT("0",I1613),I1613)</f>
        <v>04</v>
      </c>
      <c r="K1613" s="3">
        <f t="shared" ref="K1613:K1676" si="368">+YEAR(H1613)-2000</f>
        <v>24</v>
      </c>
      <c r="L1613" s="3">
        <f t="shared" ref="L1613:L1676" si="369">+MONTH(H1613)</f>
        <v>8</v>
      </c>
      <c r="M1613" s="3">
        <f t="shared" ref="M1613:M1676" si="370">+DAY(H1613)</f>
        <v>9</v>
      </c>
      <c r="N1613" s="3" t="str">
        <f t="shared" ref="N1613:N1676" si="371">+IF(L1613&lt;10,_xlfn.CONCAT("0",L1613),L1613)</f>
        <v>08</v>
      </c>
      <c r="O1613" s="14" t="str">
        <f t="shared" ref="O1613:O1676" si="372">+IF(M1613&lt;10,_xlfn.CONCAT("0",M1613),M1613)</f>
        <v>09</v>
      </c>
      <c r="P1613" s="4">
        <v>35062.089999999997</v>
      </c>
      <c r="R1613" s="6">
        <v>522</v>
      </c>
      <c r="S1613" s="5">
        <f t="shared" si="365"/>
        <v>67.168754789272029</v>
      </c>
      <c r="T1613" s="5" t="s">
        <v>768</v>
      </c>
      <c r="U1613" s="3" t="s">
        <v>29</v>
      </c>
      <c r="V1613" s="3" t="s">
        <v>4</v>
      </c>
    </row>
    <row r="1614" spans="1:23">
      <c r="A1614" s="3">
        <v>1521</v>
      </c>
      <c r="B1614" s="1">
        <f>IF(G1614="-",0,IF(G1612=G1614,1,0))</f>
        <v>0</v>
      </c>
      <c r="C1614" s="1">
        <f>+IF(G1614="-",0,IF(I1614=I1612+1,0,(IF(I1614=1,0,1))))</f>
        <v>1</v>
      </c>
      <c r="D1614" s="1">
        <f>+IF(AND(P1614="",Q1614=""),1,0)</f>
        <v>0</v>
      </c>
      <c r="E1614" s="1">
        <f t="shared" si="366"/>
        <v>0</v>
      </c>
      <c r="F1614" s="1">
        <f t="shared" si="366"/>
        <v>0</v>
      </c>
      <c r="G1614" s="1" t="str">
        <f>IF(H1614=0,"-",_xlfn.CONCAT(K1614,N1614,O1614,J1614))</f>
        <v>24081004</v>
      </c>
      <c r="H1614" s="112">
        <v>45514</v>
      </c>
      <c r="I1614" s="36">
        <v>4</v>
      </c>
      <c r="J1614" s="113" t="str">
        <f t="shared" si="367"/>
        <v>04</v>
      </c>
      <c r="K1614" s="34">
        <f t="shared" si="368"/>
        <v>24</v>
      </c>
      <c r="L1614" s="34">
        <f t="shared" si="369"/>
        <v>8</v>
      </c>
      <c r="M1614" s="34">
        <f t="shared" si="370"/>
        <v>10</v>
      </c>
      <c r="N1614" s="34" t="str">
        <f t="shared" si="371"/>
        <v>08</v>
      </c>
      <c r="O1614" s="114">
        <f t="shared" si="372"/>
        <v>10</v>
      </c>
      <c r="P1614" s="132">
        <v>150000</v>
      </c>
      <c r="Q1614" s="115"/>
      <c r="R1614" s="116">
        <v>520</v>
      </c>
      <c r="S1614" s="5">
        <f t="shared" si="365"/>
        <v>288.46153846153845</v>
      </c>
      <c r="T1614" s="34" t="s">
        <v>588</v>
      </c>
      <c r="U1614" s="34" t="s">
        <v>1</v>
      </c>
      <c r="V1614" s="34" t="s">
        <v>4</v>
      </c>
      <c r="W1614" s="3" t="s">
        <v>1072</v>
      </c>
    </row>
    <row r="1615" spans="1:23">
      <c r="A1615" s="3">
        <v>1523</v>
      </c>
      <c r="B1615" s="1">
        <f>IF(G1615="-",0,IF(G1614=G1615,1,0))</f>
        <v>0</v>
      </c>
      <c r="C1615" s="1">
        <f>+IF(G1615="-",0,IF(I1615=I1614+1,0,(IF(I1615=1,0,1))))</f>
        <v>1</v>
      </c>
      <c r="D1615" s="1">
        <f>+IF(AND(P1615="",Q1615=""),1,0)</f>
        <v>0</v>
      </c>
      <c r="E1615" s="1">
        <f t="shared" si="366"/>
        <v>0</v>
      </c>
      <c r="F1615" s="1">
        <f t="shared" si="366"/>
        <v>0</v>
      </c>
      <c r="G1615" s="1" t="str">
        <f>IF(H1615=0,"-",_xlfn.CONCAT(K1615,N1615,O1615,J1615))</f>
        <v>24081006</v>
      </c>
      <c r="H1615" s="2">
        <v>45514</v>
      </c>
      <c r="I1615" s="36">
        <v>6</v>
      </c>
      <c r="J1615" s="1" t="str">
        <f t="shared" si="367"/>
        <v>06</v>
      </c>
      <c r="K1615" s="3">
        <f t="shared" si="368"/>
        <v>24</v>
      </c>
      <c r="L1615" s="3">
        <f t="shared" si="369"/>
        <v>8</v>
      </c>
      <c r="M1615" s="3">
        <f t="shared" si="370"/>
        <v>10</v>
      </c>
      <c r="N1615" s="3" t="str">
        <f t="shared" si="371"/>
        <v>08</v>
      </c>
      <c r="O1615" s="14">
        <f t="shared" si="372"/>
        <v>10</v>
      </c>
      <c r="P1615" s="132">
        <v>120000</v>
      </c>
      <c r="R1615" s="6">
        <v>520</v>
      </c>
      <c r="S1615" s="5">
        <f t="shared" si="365"/>
        <v>230.76923076923077</v>
      </c>
      <c r="T1615" s="3" t="s">
        <v>589</v>
      </c>
      <c r="U1615" s="3" t="s">
        <v>1</v>
      </c>
      <c r="V1615" s="3" t="s">
        <v>4</v>
      </c>
    </row>
    <row r="1616" spans="1:23">
      <c r="A1616" s="3">
        <v>1524</v>
      </c>
      <c r="B1616" s="1">
        <f>IF(G1616="-",0,IF(G1615=G1616,1,0))</f>
        <v>0</v>
      </c>
      <c r="C1616" s="1">
        <f>+IF(G1616="-",0,IF(I1616=I1615+1,0,(IF(I1616=1,0,1))))</f>
        <v>0</v>
      </c>
      <c r="D1616" s="1">
        <f>+IF(AND(P1616="",Q1616=""),1,0)</f>
        <v>0</v>
      </c>
      <c r="E1616" s="1">
        <f t="shared" si="366"/>
        <v>0</v>
      </c>
      <c r="F1616" s="1">
        <f t="shared" si="366"/>
        <v>0</v>
      </c>
      <c r="G1616" s="1" t="str">
        <f>IF(H1616=0,"-",_xlfn.CONCAT(K1616,N1616,O1616,J1616))</f>
        <v>24081007</v>
      </c>
      <c r="H1616" s="2">
        <v>45514</v>
      </c>
      <c r="I1616" s="36">
        <v>7</v>
      </c>
      <c r="J1616" s="1" t="str">
        <f t="shared" si="367"/>
        <v>07</v>
      </c>
      <c r="K1616" s="3">
        <f t="shared" si="368"/>
        <v>24</v>
      </c>
      <c r="L1616" s="3">
        <f t="shared" si="369"/>
        <v>8</v>
      </c>
      <c r="M1616" s="3">
        <f t="shared" si="370"/>
        <v>10</v>
      </c>
      <c r="N1616" s="3" t="str">
        <f t="shared" si="371"/>
        <v>08</v>
      </c>
      <c r="O1616" s="14">
        <f t="shared" si="372"/>
        <v>10</v>
      </c>
      <c r="P1616" s="132">
        <v>180000</v>
      </c>
      <c r="R1616" s="6">
        <v>520</v>
      </c>
      <c r="S1616" s="5">
        <f t="shared" si="365"/>
        <v>346.15384615384613</v>
      </c>
      <c r="T1616" s="3" t="s">
        <v>590</v>
      </c>
      <c r="U1616" s="3" t="s">
        <v>1</v>
      </c>
      <c r="V1616" s="3" t="s">
        <v>4</v>
      </c>
    </row>
    <row r="1617" spans="1:23">
      <c r="A1617" s="3">
        <v>1525</v>
      </c>
      <c r="B1617" s="1">
        <f>IF(G1617="-",0,IF(G1616=G1617,1,0))</f>
        <v>0</v>
      </c>
      <c r="C1617" s="1">
        <f>+IF(G1617="-",0,IF(I1617=I1616+1,0,(IF(I1617=1,0,1))))</f>
        <v>0</v>
      </c>
      <c r="D1617" s="1">
        <f>+IF(AND(P1617="",Q1617=""),1,0)</f>
        <v>0</v>
      </c>
      <c r="E1617" s="1">
        <f t="shared" si="366"/>
        <v>0</v>
      </c>
      <c r="F1617" s="1">
        <f t="shared" si="366"/>
        <v>0</v>
      </c>
      <c r="G1617" s="1" t="str">
        <f>IF(H1617=0,"-",_xlfn.CONCAT(K1617,N1617,O1617,J1617))</f>
        <v>24081008</v>
      </c>
      <c r="H1617" s="2">
        <v>45514</v>
      </c>
      <c r="I1617" s="36">
        <v>8</v>
      </c>
      <c r="J1617" s="1" t="str">
        <f t="shared" si="367"/>
        <v>08</v>
      </c>
      <c r="K1617" s="3">
        <f t="shared" si="368"/>
        <v>24</v>
      </c>
      <c r="L1617" s="3">
        <f t="shared" si="369"/>
        <v>8</v>
      </c>
      <c r="M1617" s="3">
        <f t="shared" si="370"/>
        <v>10</v>
      </c>
      <c r="N1617" s="3" t="str">
        <f t="shared" si="371"/>
        <v>08</v>
      </c>
      <c r="O1617" s="14">
        <f t="shared" si="372"/>
        <v>10</v>
      </c>
      <c r="P1617" s="132">
        <v>120000</v>
      </c>
      <c r="R1617" s="6">
        <v>520</v>
      </c>
      <c r="S1617" s="5">
        <f t="shared" si="365"/>
        <v>230.76923076923077</v>
      </c>
      <c r="T1617" s="3" t="s">
        <v>591</v>
      </c>
      <c r="U1617" s="3" t="s">
        <v>1</v>
      </c>
      <c r="V1617" s="3" t="s">
        <v>4</v>
      </c>
    </row>
    <row r="1618" spans="1:23" hidden="1">
      <c r="J1618" s="1" t="str">
        <f t="shared" si="367"/>
        <v>0</v>
      </c>
      <c r="K1618" s="3">
        <f t="shared" si="368"/>
        <v>-100</v>
      </c>
      <c r="L1618" s="3">
        <f t="shared" si="369"/>
        <v>1</v>
      </c>
      <c r="M1618" s="3">
        <f t="shared" si="370"/>
        <v>0</v>
      </c>
      <c r="N1618" s="3" t="str">
        <f t="shared" si="371"/>
        <v>01</v>
      </c>
      <c r="O1618" s="14" t="str">
        <f t="shared" si="372"/>
        <v>00</v>
      </c>
      <c r="P1618" s="132"/>
      <c r="R1618" s="6">
        <v>512</v>
      </c>
      <c r="S1618" s="5">
        <f t="shared" si="365"/>
        <v>0</v>
      </c>
      <c r="T1618" s="3"/>
    </row>
    <row r="1619" spans="1:23" hidden="1">
      <c r="J1619" s="1" t="str">
        <f t="shared" si="367"/>
        <v>0</v>
      </c>
      <c r="K1619" s="3">
        <f t="shared" si="368"/>
        <v>-100</v>
      </c>
      <c r="L1619" s="3">
        <f t="shared" si="369"/>
        <v>1</v>
      </c>
      <c r="M1619" s="3">
        <f t="shared" si="370"/>
        <v>0</v>
      </c>
      <c r="N1619" s="3" t="str">
        <f t="shared" si="371"/>
        <v>01</v>
      </c>
      <c r="O1619" s="14" t="str">
        <f t="shared" si="372"/>
        <v>00</v>
      </c>
      <c r="P1619" s="132"/>
      <c r="R1619" s="6">
        <v>512</v>
      </c>
      <c r="S1619" s="5">
        <f t="shared" si="365"/>
        <v>0</v>
      </c>
      <c r="T1619" s="3"/>
    </row>
    <row r="1620" spans="1:23" hidden="1">
      <c r="J1620" s="1" t="str">
        <f t="shared" si="367"/>
        <v>0</v>
      </c>
      <c r="K1620" s="3">
        <f t="shared" si="368"/>
        <v>-100</v>
      </c>
      <c r="L1620" s="3">
        <f t="shared" si="369"/>
        <v>1</v>
      </c>
      <c r="M1620" s="3">
        <f t="shared" si="370"/>
        <v>0</v>
      </c>
      <c r="N1620" s="3" t="str">
        <f t="shared" si="371"/>
        <v>01</v>
      </c>
      <c r="O1620" s="14" t="str">
        <f t="shared" si="372"/>
        <v>00</v>
      </c>
      <c r="P1620" s="132"/>
      <c r="R1620" s="6">
        <v>512</v>
      </c>
      <c r="S1620" s="5">
        <f t="shared" si="365"/>
        <v>0</v>
      </c>
      <c r="T1620" s="3"/>
    </row>
    <row r="1621" spans="1:23" hidden="1">
      <c r="J1621" s="1" t="str">
        <f t="shared" si="367"/>
        <v>0</v>
      </c>
      <c r="K1621" s="3">
        <f t="shared" si="368"/>
        <v>-100</v>
      </c>
      <c r="L1621" s="3">
        <f t="shared" si="369"/>
        <v>1</v>
      </c>
      <c r="M1621" s="3">
        <f t="shared" si="370"/>
        <v>0</v>
      </c>
      <c r="N1621" s="3" t="str">
        <f t="shared" si="371"/>
        <v>01</v>
      </c>
      <c r="O1621" s="14" t="str">
        <f t="shared" si="372"/>
        <v>00</v>
      </c>
      <c r="P1621" s="132"/>
      <c r="R1621" s="6">
        <v>512</v>
      </c>
      <c r="S1621" s="5">
        <f t="shared" si="365"/>
        <v>0</v>
      </c>
      <c r="T1621" s="3"/>
    </row>
    <row r="1622" spans="1:23" s="92" customFormat="1" hidden="1">
      <c r="A1622" s="3"/>
      <c r="B1622" s="1"/>
      <c r="C1622" s="1"/>
      <c r="D1622" s="1"/>
      <c r="E1622" s="1"/>
      <c r="F1622" s="1"/>
      <c r="G1622" s="1"/>
      <c r="H1622" s="2"/>
      <c r="I1622" s="36"/>
      <c r="J1622" s="1" t="str">
        <f t="shared" si="367"/>
        <v>0</v>
      </c>
      <c r="K1622" s="3">
        <f t="shared" si="368"/>
        <v>-100</v>
      </c>
      <c r="L1622" s="3">
        <f t="shared" si="369"/>
        <v>1</v>
      </c>
      <c r="M1622" s="3">
        <f t="shared" si="370"/>
        <v>0</v>
      </c>
      <c r="N1622" s="3" t="str">
        <f t="shared" si="371"/>
        <v>01</v>
      </c>
      <c r="O1622" s="14" t="str">
        <f t="shared" si="372"/>
        <v>00</v>
      </c>
      <c r="P1622" s="132"/>
      <c r="Q1622" s="5"/>
      <c r="R1622" s="6">
        <v>512</v>
      </c>
      <c r="S1622" s="5">
        <f t="shared" si="365"/>
        <v>0</v>
      </c>
      <c r="T1622" s="3"/>
      <c r="U1622" s="3"/>
      <c r="V1622" s="3"/>
      <c r="W1622" s="3"/>
    </row>
    <row r="1623" spans="1:23" s="92" customFormat="1" hidden="1">
      <c r="A1623" s="3"/>
      <c r="B1623" s="1"/>
      <c r="C1623" s="1"/>
      <c r="D1623" s="1"/>
      <c r="E1623" s="1"/>
      <c r="F1623" s="1"/>
      <c r="G1623" s="1"/>
      <c r="H1623" s="2"/>
      <c r="I1623" s="36"/>
      <c r="J1623" s="1" t="str">
        <f t="shared" si="367"/>
        <v>0</v>
      </c>
      <c r="K1623" s="3">
        <f t="shared" si="368"/>
        <v>-100</v>
      </c>
      <c r="L1623" s="3">
        <f t="shared" si="369"/>
        <v>1</v>
      </c>
      <c r="M1623" s="3">
        <f t="shared" si="370"/>
        <v>0</v>
      </c>
      <c r="N1623" s="3" t="str">
        <f t="shared" si="371"/>
        <v>01</v>
      </c>
      <c r="O1623" s="14" t="str">
        <f t="shared" si="372"/>
        <v>00</v>
      </c>
      <c r="P1623" s="132"/>
      <c r="Q1623" s="5"/>
      <c r="R1623" s="6">
        <v>512</v>
      </c>
      <c r="S1623" s="5">
        <f t="shared" si="365"/>
        <v>0</v>
      </c>
      <c r="T1623" s="3"/>
      <c r="U1623" s="3"/>
      <c r="V1623" s="3"/>
      <c r="W1623" s="3"/>
    </row>
    <row r="1624" spans="1:23">
      <c r="A1624" s="3">
        <v>1526</v>
      </c>
      <c r="B1624" s="1">
        <f>IF(G1624="-",0,IF(G1623=G1624,1,0))</f>
        <v>0</v>
      </c>
      <c r="C1624" s="1">
        <f>+IF(G1624="-",0,IF(I1624=I1623+1,0,(IF(I1624=1,0,1))))</f>
        <v>1</v>
      </c>
      <c r="D1624" s="1">
        <f>+IF(AND(P1624="",Q1624=""),1,0)</f>
        <v>0</v>
      </c>
      <c r="E1624" s="1">
        <f>IF(U1624="",1,0)</f>
        <v>0</v>
      </c>
      <c r="F1624" s="1">
        <f>IF(V1624="",1,0)</f>
        <v>0</v>
      </c>
      <c r="G1624" s="1" t="str">
        <f>IF(H1624=0,"-",_xlfn.CONCAT(K1624,N1624,O1624,J1624))</f>
        <v>24081009</v>
      </c>
      <c r="H1624" s="2">
        <v>45514</v>
      </c>
      <c r="I1624" s="36">
        <v>9</v>
      </c>
      <c r="J1624" s="1" t="str">
        <f t="shared" si="367"/>
        <v>09</v>
      </c>
      <c r="K1624" s="3">
        <f t="shared" si="368"/>
        <v>24</v>
      </c>
      <c r="L1624" s="3">
        <f t="shared" si="369"/>
        <v>8</v>
      </c>
      <c r="M1624" s="3">
        <f t="shared" si="370"/>
        <v>10</v>
      </c>
      <c r="N1624" s="3" t="str">
        <f t="shared" si="371"/>
        <v>08</v>
      </c>
      <c r="O1624" s="14">
        <f t="shared" si="372"/>
        <v>10</v>
      </c>
      <c r="P1624" s="132">
        <v>120000</v>
      </c>
      <c r="R1624" s="6">
        <v>520</v>
      </c>
      <c r="S1624" s="5">
        <f t="shared" si="365"/>
        <v>230.76923076923077</v>
      </c>
      <c r="T1624" s="3" t="s">
        <v>595</v>
      </c>
      <c r="U1624" s="3" t="s">
        <v>1</v>
      </c>
      <c r="V1624" s="3" t="s">
        <v>4</v>
      </c>
    </row>
    <row r="1625" spans="1:23" hidden="1">
      <c r="J1625" s="1" t="str">
        <f t="shared" si="367"/>
        <v>0</v>
      </c>
      <c r="K1625" s="3">
        <f t="shared" si="368"/>
        <v>-100</v>
      </c>
      <c r="L1625" s="3">
        <f t="shared" si="369"/>
        <v>1</v>
      </c>
      <c r="M1625" s="3">
        <f t="shared" si="370"/>
        <v>0</v>
      </c>
      <c r="N1625" s="3" t="str">
        <f t="shared" si="371"/>
        <v>01</v>
      </c>
      <c r="O1625" s="14" t="str">
        <f t="shared" si="372"/>
        <v>00</v>
      </c>
      <c r="P1625" s="132"/>
      <c r="R1625" s="6">
        <v>512</v>
      </c>
      <c r="S1625" s="5">
        <f t="shared" si="365"/>
        <v>0</v>
      </c>
      <c r="T1625" s="3"/>
    </row>
    <row r="1626" spans="1:23">
      <c r="A1626" s="3">
        <v>1531</v>
      </c>
      <c r="B1626" s="1">
        <f>IF(G1626="-",0,IF(G1625=G1626,1,0))</f>
        <v>0</v>
      </c>
      <c r="C1626" s="1">
        <f>+IF(G1626="-",0,IF(I1626=I1625+1,0,(IF(I1626=1,0,1))))</f>
        <v>1</v>
      </c>
      <c r="D1626" s="1">
        <f>+IF(AND(P1626="",Q1626=""),1,0)</f>
        <v>0</v>
      </c>
      <c r="E1626" s="1">
        <f>IF(U1626="",1,0)</f>
        <v>0</v>
      </c>
      <c r="F1626" s="1">
        <f>IF(V1626="",1,0)</f>
        <v>0</v>
      </c>
      <c r="G1626" s="1" t="str">
        <f>IF(H1626=0,"-",_xlfn.CONCAT(K1626,N1626,O1626,J1626))</f>
        <v>24081014</v>
      </c>
      <c r="H1626" s="81">
        <v>45514</v>
      </c>
      <c r="I1626" s="36">
        <v>14</v>
      </c>
      <c r="J1626" s="80">
        <f t="shared" si="367"/>
        <v>14</v>
      </c>
      <c r="K1626" s="117">
        <f t="shared" si="368"/>
        <v>24</v>
      </c>
      <c r="L1626" s="117">
        <f t="shared" si="369"/>
        <v>8</v>
      </c>
      <c r="M1626" s="117">
        <f t="shared" si="370"/>
        <v>10</v>
      </c>
      <c r="N1626" s="117" t="str">
        <f t="shared" si="371"/>
        <v>08</v>
      </c>
      <c r="O1626" s="118">
        <f t="shared" si="372"/>
        <v>10</v>
      </c>
      <c r="P1626" s="132">
        <v>130000</v>
      </c>
      <c r="Q1626" s="77"/>
      <c r="R1626" s="78">
        <v>520</v>
      </c>
      <c r="S1626" s="5">
        <f t="shared" si="365"/>
        <v>250</v>
      </c>
      <c r="T1626" s="117" t="s">
        <v>579</v>
      </c>
      <c r="U1626" s="3" t="s">
        <v>1</v>
      </c>
      <c r="V1626" s="3" t="s">
        <v>4</v>
      </c>
    </row>
    <row r="1627" spans="1:23" hidden="1">
      <c r="J1627" s="1" t="str">
        <f t="shared" si="367"/>
        <v>0</v>
      </c>
      <c r="K1627" s="3">
        <f t="shared" si="368"/>
        <v>-100</v>
      </c>
      <c r="L1627" s="3">
        <f t="shared" si="369"/>
        <v>1</v>
      </c>
      <c r="M1627" s="3">
        <f t="shared" si="370"/>
        <v>0</v>
      </c>
      <c r="N1627" s="3" t="str">
        <f t="shared" si="371"/>
        <v>01</v>
      </c>
      <c r="O1627" s="14" t="str">
        <f t="shared" si="372"/>
        <v>00</v>
      </c>
      <c r="P1627" s="132"/>
      <c r="R1627" s="6">
        <v>512</v>
      </c>
      <c r="S1627" s="5">
        <f t="shared" si="365"/>
        <v>0</v>
      </c>
      <c r="T1627" s="3"/>
    </row>
    <row r="1628" spans="1:23" ht="15.6" customHeight="1">
      <c r="A1628" s="3">
        <v>1532</v>
      </c>
      <c r="B1628" s="1">
        <f>IF(G1628="-",0,IF(G1627=G1628,1,0))</f>
        <v>0</v>
      </c>
      <c r="C1628" s="1">
        <f>+IF(G1628="-",0,IF(I1628=I1627+1,0,(IF(I1628=1,0,1))))</f>
        <v>1</v>
      </c>
      <c r="D1628" s="1">
        <f>+IF(AND(P1628="",Q1628=""),1,0)</f>
        <v>0</v>
      </c>
      <c r="E1628" s="1">
        <f t="shared" ref="E1628:F1631" si="373">IF(U1628="",1,0)</f>
        <v>0</v>
      </c>
      <c r="F1628" s="1">
        <f t="shared" si="373"/>
        <v>0</v>
      </c>
      <c r="G1628" s="1" t="str">
        <f>IF(H1628=0,"-",_xlfn.CONCAT(K1628,N1628,O1628,J1628))</f>
        <v>24081015</v>
      </c>
      <c r="H1628" s="81">
        <v>45514</v>
      </c>
      <c r="I1628" s="36">
        <v>15</v>
      </c>
      <c r="J1628" s="80">
        <f t="shared" si="367"/>
        <v>15</v>
      </c>
      <c r="K1628" s="117">
        <f t="shared" si="368"/>
        <v>24</v>
      </c>
      <c r="L1628" s="117">
        <f t="shared" si="369"/>
        <v>8</v>
      </c>
      <c r="M1628" s="117">
        <f t="shared" si="370"/>
        <v>10</v>
      </c>
      <c r="N1628" s="117" t="str">
        <f t="shared" si="371"/>
        <v>08</v>
      </c>
      <c r="O1628" s="118">
        <f t="shared" si="372"/>
        <v>10</v>
      </c>
      <c r="P1628" s="132">
        <v>102000</v>
      </c>
      <c r="Q1628" s="77"/>
      <c r="R1628" s="78">
        <v>520</v>
      </c>
      <c r="S1628" s="5">
        <f t="shared" si="365"/>
        <v>196.15384615384616</v>
      </c>
      <c r="T1628" s="117" t="s">
        <v>580</v>
      </c>
      <c r="U1628" s="3" t="s">
        <v>1</v>
      </c>
      <c r="V1628" s="3" t="s">
        <v>4</v>
      </c>
    </row>
    <row r="1629" spans="1:23">
      <c r="A1629" s="3">
        <v>1533</v>
      </c>
      <c r="B1629" s="1">
        <f>IF(G1629="-",0,IF(G1628=G1629,1,0))</f>
        <v>0</v>
      </c>
      <c r="C1629" s="1">
        <f>+IF(G1629="-",0,IF(I1629=I1628+1,0,(IF(I1629=1,0,1))))</f>
        <v>0</v>
      </c>
      <c r="D1629" s="1">
        <f>+IF(AND(P1629="",Q1629=""),1,0)</f>
        <v>0</v>
      </c>
      <c r="E1629" s="1">
        <f t="shared" si="373"/>
        <v>0</v>
      </c>
      <c r="F1629" s="1">
        <f t="shared" si="373"/>
        <v>0</v>
      </c>
      <c r="G1629" s="1" t="str">
        <f>IF(H1629=0,"-",_xlfn.CONCAT(K1629,N1629,O1629,J1629))</f>
        <v>24081016</v>
      </c>
      <c r="H1629" s="81">
        <v>45514</v>
      </c>
      <c r="I1629" s="36">
        <v>16</v>
      </c>
      <c r="J1629" s="80">
        <f t="shared" si="367"/>
        <v>16</v>
      </c>
      <c r="K1629" s="117">
        <f t="shared" si="368"/>
        <v>24</v>
      </c>
      <c r="L1629" s="117">
        <f t="shared" si="369"/>
        <v>8</v>
      </c>
      <c r="M1629" s="117">
        <f t="shared" si="370"/>
        <v>10</v>
      </c>
      <c r="N1629" s="117" t="str">
        <f t="shared" si="371"/>
        <v>08</v>
      </c>
      <c r="O1629" s="118">
        <f t="shared" si="372"/>
        <v>10</v>
      </c>
      <c r="P1629" s="132">
        <v>102000</v>
      </c>
      <c r="Q1629" s="77"/>
      <c r="R1629" s="78">
        <v>520</v>
      </c>
      <c r="S1629" s="5">
        <f t="shared" si="365"/>
        <v>196.15384615384616</v>
      </c>
      <c r="T1629" s="117" t="s">
        <v>581</v>
      </c>
      <c r="U1629" s="3" t="s">
        <v>1</v>
      </c>
      <c r="V1629" s="3" t="s">
        <v>4</v>
      </c>
    </row>
    <row r="1630" spans="1:23">
      <c r="A1630" s="3">
        <v>1534</v>
      </c>
      <c r="B1630" s="1">
        <f>IF(G1630="-",0,IF(G1629=G1630,1,0))</f>
        <v>0</v>
      </c>
      <c r="C1630" s="1">
        <f>+IF(G1630="-",0,IF(I1630=I1629+1,0,(IF(I1630=1,0,1))))</f>
        <v>0</v>
      </c>
      <c r="D1630" s="1">
        <f>+IF(AND(P1630="",Q1630=""),1,0)</f>
        <v>0</v>
      </c>
      <c r="E1630" s="1">
        <f t="shared" si="373"/>
        <v>0</v>
      </c>
      <c r="F1630" s="1">
        <f t="shared" si="373"/>
        <v>0</v>
      </c>
      <c r="G1630" s="1" t="str">
        <f>IF(H1630=0,"-",_xlfn.CONCAT(K1630,N1630,O1630,J1630))</f>
        <v>24081017</v>
      </c>
      <c r="H1630" s="81">
        <v>45514</v>
      </c>
      <c r="I1630" s="36">
        <v>17</v>
      </c>
      <c r="J1630" s="80">
        <f t="shared" si="367"/>
        <v>17</v>
      </c>
      <c r="K1630" s="117">
        <f t="shared" si="368"/>
        <v>24</v>
      </c>
      <c r="L1630" s="117">
        <f t="shared" si="369"/>
        <v>8</v>
      </c>
      <c r="M1630" s="117">
        <f t="shared" si="370"/>
        <v>10</v>
      </c>
      <c r="N1630" s="117" t="str">
        <f t="shared" si="371"/>
        <v>08</v>
      </c>
      <c r="O1630" s="118">
        <f t="shared" si="372"/>
        <v>10</v>
      </c>
      <c r="P1630" s="132">
        <v>102000</v>
      </c>
      <c r="Q1630" s="77"/>
      <c r="R1630" s="78">
        <v>520</v>
      </c>
      <c r="S1630" s="5">
        <f t="shared" si="365"/>
        <v>196.15384615384616</v>
      </c>
      <c r="T1630" s="117" t="s">
        <v>582</v>
      </c>
      <c r="U1630" s="3" t="s">
        <v>1</v>
      </c>
      <c r="V1630" s="3" t="s">
        <v>4</v>
      </c>
    </row>
    <row r="1631" spans="1:23">
      <c r="A1631" s="3">
        <v>1535</v>
      </c>
      <c r="B1631" s="1">
        <f>IF(G1631="-",0,IF(G1630=G1631,1,0))</f>
        <v>0</v>
      </c>
      <c r="C1631" s="1">
        <f>+IF(G1631="-",0,IF(I1631=I1630+1,0,(IF(I1631=1,0,1))))</f>
        <v>0</v>
      </c>
      <c r="D1631" s="1">
        <f>+IF(AND(P1631="",Q1631=""),1,0)</f>
        <v>0</v>
      </c>
      <c r="E1631" s="1">
        <f t="shared" si="373"/>
        <v>0</v>
      </c>
      <c r="F1631" s="1">
        <f t="shared" si="373"/>
        <v>0</v>
      </c>
      <c r="G1631" s="1" t="str">
        <f>IF(H1631=0,"-",_xlfn.CONCAT(K1631,N1631,O1631,J1631))</f>
        <v>24081018</v>
      </c>
      <c r="H1631" s="81">
        <v>45514</v>
      </c>
      <c r="I1631" s="36">
        <v>18</v>
      </c>
      <c r="J1631" s="80">
        <f t="shared" si="367"/>
        <v>18</v>
      </c>
      <c r="K1631" s="117">
        <f t="shared" si="368"/>
        <v>24</v>
      </c>
      <c r="L1631" s="117">
        <f t="shared" si="369"/>
        <v>8</v>
      </c>
      <c r="M1631" s="117">
        <f t="shared" si="370"/>
        <v>10</v>
      </c>
      <c r="N1631" s="117" t="str">
        <f t="shared" si="371"/>
        <v>08</v>
      </c>
      <c r="O1631" s="118">
        <f t="shared" si="372"/>
        <v>10</v>
      </c>
      <c r="P1631" s="132">
        <v>102000</v>
      </c>
      <c r="Q1631" s="77"/>
      <c r="R1631" s="78">
        <v>520</v>
      </c>
      <c r="S1631" s="5">
        <f t="shared" si="365"/>
        <v>196.15384615384616</v>
      </c>
      <c r="T1631" s="117" t="s">
        <v>583</v>
      </c>
      <c r="U1631" s="3" t="s">
        <v>1</v>
      </c>
      <c r="V1631" s="3" t="s">
        <v>4</v>
      </c>
    </row>
    <row r="1632" spans="1:23" hidden="1">
      <c r="J1632" s="1" t="str">
        <f t="shared" si="367"/>
        <v>0</v>
      </c>
      <c r="K1632" s="3">
        <f t="shared" si="368"/>
        <v>-100</v>
      </c>
      <c r="L1632" s="3">
        <f t="shared" si="369"/>
        <v>1</v>
      </c>
      <c r="M1632" s="3">
        <f t="shared" si="370"/>
        <v>0</v>
      </c>
      <c r="N1632" s="3" t="str">
        <f t="shared" si="371"/>
        <v>01</v>
      </c>
      <c r="O1632" s="14" t="str">
        <f t="shared" si="372"/>
        <v>00</v>
      </c>
      <c r="P1632" s="132"/>
      <c r="R1632" s="6">
        <v>512</v>
      </c>
      <c r="S1632" s="5">
        <f t="shared" si="365"/>
        <v>0</v>
      </c>
    </row>
    <row r="1633" spans="1:22" hidden="1">
      <c r="J1633" s="1" t="str">
        <f t="shared" si="367"/>
        <v>0</v>
      </c>
      <c r="K1633" s="3">
        <f t="shared" si="368"/>
        <v>-100</v>
      </c>
      <c r="L1633" s="3">
        <f t="shared" si="369"/>
        <v>1</v>
      </c>
      <c r="M1633" s="3">
        <f t="shared" si="370"/>
        <v>0</v>
      </c>
      <c r="N1633" s="3" t="str">
        <f t="shared" si="371"/>
        <v>01</v>
      </c>
      <c r="O1633" s="14" t="str">
        <f t="shared" si="372"/>
        <v>00</v>
      </c>
      <c r="R1633" s="6">
        <v>512</v>
      </c>
      <c r="S1633" s="5">
        <f t="shared" si="365"/>
        <v>0</v>
      </c>
    </row>
    <row r="1634" spans="1:22" hidden="1">
      <c r="J1634" s="1" t="str">
        <f t="shared" si="367"/>
        <v>0</v>
      </c>
      <c r="K1634" s="3">
        <f t="shared" si="368"/>
        <v>-100</v>
      </c>
      <c r="L1634" s="3">
        <f t="shared" si="369"/>
        <v>1</v>
      </c>
      <c r="M1634" s="3">
        <f t="shared" si="370"/>
        <v>0</v>
      </c>
      <c r="N1634" s="3" t="str">
        <f t="shared" si="371"/>
        <v>01</v>
      </c>
      <c r="O1634" s="14" t="str">
        <f t="shared" si="372"/>
        <v>00</v>
      </c>
      <c r="R1634" s="6">
        <v>512</v>
      </c>
      <c r="S1634" s="5">
        <f t="shared" si="365"/>
        <v>0</v>
      </c>
    </row>
    <row r="1635" spans="1:22" hidden="1">
      <c r="J1635" s="1" t="str">
        <f t="shared" si="367"/>
        <v>0</v>
      </c>
      <c r="K1635" s="3">
        <f t="shared" si="368"/>
        <v>-100</v>
      </c>
      <c r="L1635" s="3">
        <f t="shared" si="369"/>
        <v>1</v>
      </c>
      <c r="M1635" s="3">
        <f t="shared" si="370"/>
        <v>0</v>
      </c>
      <c r="N1635" s="3" t="str">
        <f t="shared" si="371"/>
        <v>01</v>
      </c>
      <c r="O1635" s="14" t="str">
        <f t="shared" si="372"/>
        <v>00</v>
      </c>
      <c r="P1635" s="11"/>
      <c r="R1635" s="6">
        <v>512</v>
      </c>
      <c r="S1635" s="5">
        <f t="shared" si="365"/>
        <v>0</v>
      </c>
    </row>
    <row r="1636" spans="1:22" hidden="1">
      <c r="J1636" s="1" t="str">
        <f t="shared" si="367"/>
        <v>0</v>
      </c>
      <c r="K1636" s="3">
        <f t="shared" si="368"/>
        <v>-100</v>
      </c>
      <c r="L1636" s="3">
        <f t="shared" si="369"/>
        <v>1</v>
      </c>
      <c r="M1636" s="3">
        <f t="shared" si="370"/>
        <v>0</v>
      </c>
      <c r="N1636" s="3" t="str">
        <f t="shared" si="371"/>
        <v>01</v>
      </c>
      <c r="O1636" s="14" t="str">
        <f t="shared" si="372"/>
        <v>00</v>
      </c>
      <c r="R1636" s="6">
        <v>512</v>
      </c>
      <c r="S1636" s="5">
        <f t="shared" si="365"/>
        <v>0</v>
      </c>
    </row>
    <row r="1637" spans="1:22" hidden="1">
      <c r="J1637" s="1" t="str">
        <f t="shared" si="367"/>
        <v>0</v>
      </c>
      <c r="K1637" s="3">
        <f t="shared" si="368"/>
        <v>-100</v>
      </c>
      <c r="L1637" s="3">
        <f t="shared" si="369"/>
        <v>1</v>
      </c>
      <c r="M1637" s="3">
        <f t="shared" si="370"/>
        <v>0</v>
      </c>
      <c r="N1637" s="3" t="str">
        <f t="shared" si="371"/>
        <v>01</v>
      </c>
      <c r="O1637" s="14" t="str">
        <f t="shared" si="372"/>
        <v>00</v>
      </c>
      <c r="R1637" s="6">
        <v>512</v>
      </c>
      <c r="S1637" s="5">
        <f t="shared" si="365"/>
        <v>0</v>
      </c>
    </row>
    <row r="1638" spans="1:22" hidden="1">
      <c r="J1638" s="1" t="str">
        <f t="shared" si="367"/>
        <v>0</v>
      </c>
      <c r="K1638" s="3">
        <f t="shared" si="368"/>
        <v>-100</v>
      </c>
      <c r="L1638" s="3">
        <f t="shared" si="369"/>
        <v>1</v>
      </c>
      <c r="M1638" s="3">
        <f t="shared" si="370"/>
        <v>0</v>
      </c>
      <c r="N1638" s="3" t="str">
        <f t="shared" si="371"/>
        <v>01</v>
      </c>
      <c r="O1638" s="14" t="str">
        <f t="shared" si="372"/>
        <v>00</v>
      </c>
      <c r="R1638" s="6">
        <v>512</v>
      </c>
    </row>
    <row r="1639" spans="1:22" hidden="1">
      <c r="J1639" s="1" t="str">
        <f t="shared" si="367"/>
        <v>0</v>
      </c>
      <c r="K1639" s="3">
        <f t="shared" si="368"/>
        <v>-100</v>
      </c>
      <c r="L1639" s="3">
        <f t="shared" si="369"/>
        <v>1</v>
      </c>
      <c r="M1639" s="3">
        <f t="shared" si="370"/>
        <v>0</v>
      </c>
      <c r="N1639" s="3" t="str">
        <f t="shared" si="371"/>
        <v>01</v>
      </c>
      <c r="O1639" s="14" t="str">
        <f t="shared" si="372"/>
        <v>00</v>
      </c>
      <c r="R1639" s="6">
        <v>512</v>
      </c>
      <c r="S1639" s="5">
        <f>IFERROR(P1639/R1639,"")</f>
        <v>0</v>
      </c>
    </row>
    <row r="1640" spans="1:22" hidden="1">
      <c r="J1640" s="1" t="str">
        <f t="shared" si="367"/>
        <v>0</v>
      </c>
      <c r="K1640" s="3">
        <f t="shared" si="368"/>
        <v>-100</v>
      </c>
      <c r="L1640" s="3">
        <f t="shared" si="369"/>
        <v>1</v>
      </c>
      <c r="M1640" s="3">
        <f t="shared" si="370"/>
        <v>0</v>
      </c>
      <c r="N1640" s="3" t="str">
        <f t="shared" si="371"/>
        <v>01</v>
      </c>
      <c r="O1640" s="14" t="str">
        <f t="shared" si="372"/>
        <v>00</v>
      </c>
      <c r="R1640" s="6">
        <v>512</v>
      </c>
      <c r="S1640" s="5">
        <f>IFERROR(P1640/R1640,"")</f>
        <v>0</v>
      </c>
    </row>
    <row r="1641" spans="1:22" hidden="1">
      <c r="J1641" s="1" t="str">
        <f t="shared" si="367"/>
        <v>0</v>
      </c>
      <c r="K1641" s="3">
        <f t="shared" si="368"/>
        <v>-100</v>
      </c>
      <c r="L1641" s="3">
        <f t="shared" si="369"/>
        <v>1</v>
      </c>
      <c r="M1641" s="3">
        <f t="shared" si="370"/>
        <v>0</v>
      </c>
      <c r="N1641" s="3" t="str">
        <f t="shared" si="371"/>
        <v>01</v>
      </c>
      <c r="O1641" s="14" t="str">
        <f t="shared" si="372"/>
        <v>00</v>
      </c>
      <c r="R1641" s="6">
        <v>512</v>
      </c>
    </row>
    <row r="1642" spans="1:22">
      <c r="A1642" s="3">
        <v>1536</v>
      </c>
      <c r="B1642" s="1">
        <f>IF(G1642="-",0,IF(G1641=G1642,1,0))</f>
        <v>0</v>
      </c>
      <c r="C1642" s="1">
        <f>+IF(G1642="-",0,IF(I1642=I1641+1,0,(IF(I1642=1,0,1))))</f>
        <v>1</v>
      </c>
      <c r="D1642" s="1">
        <f>+IF(AND(P1642="",Q1642=""),1,0)</f>
        <v>0</v>
      </c>
      <c r="E1642" s="1">
        <f>IF(U1642="",1,0)</f>
        <v>0</v>
      </c>
      <c r="F1642" s="1">
        <f>IF(V1642="",1,0)</f>
        <v>0</v>
      </c>
      <c r="G1642" s="1" t="str">
        <f>IF(H1642=0,"-",_xlfn.CONCAT(K1642,N1642,O1642,J1642))</f>
        <v>24081019</v>
      </c>
      <c r="H1642" s="81">
        <v>45514</v>
      </c>
      <c r="I1642" s="36">
        <v>19</v>
      </c>
      <c r="J1642" s="80">
        <f t="shared" si="367"/>
        <v>19</v>
      </c>
      <c r="K1642" s="117">
        <f t="shared" si="368"/>
        <v>24</v>
      </c>
      <c r="L1642" s="117">
        <f t="shared" si="369"/>
        <v>8</v>
      </c>
      <c r="M1642" s="117">
        <f t="shared" si="370"/>
        <v>10</v>
      </c>
      <c r="N1642" s="117" t="str">
        <f t="shared" si="371"/>
        <v>08</v>
      </c>
      <c r="O1642" s="118">
        <f t="shared" si="372"/>
        <v>10</v>
      </c>
      <c r="P1642" s="132">
        <v>150000</v>
      </c>
      <c r="Q1642" s="77"/>
      <c r="R1642" s="78">
        <v>520</v>
      </c>
      <c r="S1642" s="5">
        <f t="shared" ref="S1642:S1686" si="374">IFERROR(P1642/R1642,"")</f>
        <v>288.46153846153845</v>
      </c>
      <c r="T1642" s="117" t="s">
        <v>584</v>
      </c>
      <c r="U1642" s="3" t="s">
        <v>1</v>
      </c>
      <c r="V1642" s="3" t="s">
        <v>4</v>
      </c>
    </row>
    <row r="1643" spans="1:22" hidden="1">
      <c r="J1643" s="1" t="str">
        <f t="shared" si="367"/>
        <v>0</v>
      </c>
      <c r="K1643" s="3">
        <f t="shared" si="368"/>
        <v>-100</v>
      </c>
      <c r="L1643" s="3">
        <f t="shared" si="369"/>
        <v>1</v>
      </c>
      <c r="M1643" s="3">
        <f t="shared" si="370"/>
        <v>0</v>
      </c>
      <c r="N1643" s="3" t="str">
        <f t="shared" si="371"/>
        <v>01</v>
      </c>
      <c r="O1643" s="14" t="str">
        <f t="shared" si="372"/>
        <v>00</v>
      </c>
      <c r="R1643" s="6">
        <v>514</v>
      </c>
      <c r="S1643" s="5">
        <f t="shared" si="374"/>
        <v>0</v>
      </c>
    </row>
    <row r="1644" spans="1:22" hidden="1">
      <c r="J1644" s="1" t="str">
        <f t="shared" si="367"/>
        <v>0</v>
      </c>
      <c r="K1644" s="3">
        <f t="shared" si="368"/>
        <v>-100</v>
      </c>
      <c r="L1644" s="3">
        <f t="shared" si="369"/>
        <v>1</v>
      </c>
      <c r="M1644" s="3">
        <f t="shared" si="370"/>
        <v>0</v>
      </c>
      <c r="N1644" s="3" t="str">
        <f t="shared" si="371"/>
        <v>01</v>
      </c>
      <c r="O1644" s="14" t="str">
        <f t="shared" si="372"/>
        <v>00</v>
      </c>
      <c r="R1644" s="6">
        <v>514</v>
      </c>
      <c r="S1644" s="5">
        <f t="shared" si="374"/>
        <v>0</v>
      </c>
    </row>
    <row r="1645" spans="1:22" hidden="1">
      <c r="J1645" s="1" t="str">
        <f t="shared" si="367"/>
        <v>0</v>
      </c>
      <c r="K1645" s="3">
        <f t="shared" si="368"/>
        <v>-100</v>
      </c>
      <c r="L1645" s="3">
        <f t="shared" si="369"/>
        <v>1</v>
      </c>
      <c r="M1645" s="3">
        <f t="shared" si="370"/>
        <v>0</v>
      </c>
      <c r="N1645" s="3" t="str">
        <f t="shared" si="371"/>
        <v>01</v>
      </c>
      <c r="O1645" s="14" t="str">
        <f t="shared" si="372"/>
        <v>00</v>
      </c>
      <c r="R1645" s="6">
        <v>514</v>
      </c>
      <c r="S1645" s="5">
        <f t="shared" si="374"/>
        <v>0</v>
      </c>
    </row>
    <row r="1646" spans="1:22" hidden="1">
      <c r="J1646" s="1" t="str">
        <f t="shared" si="367"/>
        <v>0</v>
      </c>
      <c r="K1646" s="3">
        <f t="shared" si="368"/>
        <v>-100</v>
      </c>
      <c r="L1646" s="3">
        <f t="shared" si="369"/>
        <v>1</v>
      </c>
      <c r="M1646" s="3">
        <f t="shared" si="370"/>
        <v>0</v>
      </c>
      <c r="N1646" s="3" t="str">
        <f t="shared" si="371"/>
        <v>01</v>
      </c>
      <c r="O1646" s="14" t="str">
        <f t="shared" si="372"/>
        <v>00</v>
      </c>
      <c r="R1646" s="6">
        <v>514</v>
      </c>
      <c r="S1646" s="5">
        <f t="shared" si="374"/>
        <v>0</v>
      </c>
    </row>
    <row r="1647" spans="1:22">
      <c r="A1647" s="3">
        <v>1540</v>
      </c>
      <c r="B1647" s="1">
        <f>IF(G1647="-",0,IF(G1646=G1647,1,0))</f>
        <v>0</v>
      </c>
      <c r="C1647" s="1">
        <f>+IF(G1647="-",0,IF(I1647=I1646+1,0,(IF(I1647=1,0,1))))</f>
        <v>1</v>
      </c>
      <c r="D1647" s="1">
        <f>+IF(AND(P1647="",Q1647=""),1,0)</f>
        <v>0</v>
      </c>
      <c r="E1647" s="1">
        <f>IF(U1647="",1,0)</f>
        <v>0</v>
      </c>
      <c r="F1647" s="1">
        <f>IF(V1647="",1,0)</f>
        <v>0</v>
      </c>
      <c r="G1647" s="1" t="str">
        <f>IF(H1647=0,"-",_xlfn.CONCAT(K1647,N1647,O1647,J1647))</f>
        <v>24081023</v>
      </c>
      <c r="H1647" s="2">
        <v>45514</v>
      </c>
      <c r="I1647" s="36">
        <v>23</v>
      </c>
      <c r="J1647" s="1">
        <f t="shared" si="367"/>
        <v>23</v>
      </c>
      <c r="K1647" s="3">
        <f t="shared" si="368"/>
        <v>24</v>
      </c>
      <c r="L1647" s="3">
        <f t="shared" si="369"/>
        <v>8</v>
      </c>
      <c r="M1647" s="3">
        <f t="shared" si="370"/>
        <v>10</v>
      </c>
      <c r="N1647" s="3" t="str">
        <f t="shared" si="371"/>
        <v>08</v>
      </c>
      <c r="O1647" s="14">
        <f t="shared" si="372"/>
        <v>10</v>
      </c>
      <c r="P1647" s="11">
        <v>70000</v>
      </c>
      <c r="R1647" s="6">
        <v>520</v>
      </c>
      <c r="S1647" s="5">
        <f t="shared" si="374"/>
        <v>134.61538461538461</v>
      </c>
      <c r="T1647" s="5" t="s">
        <v>63</v>
      </c>
      <c r="U1647" s="3" t="s">
        <v>1</v>
      </c>
      <c r="V1647" s="3" t="s">
        <v>4</v>
      </c>
    </row>
    <row r="1648" spans="1:22">
      <c r="A1648" s="3">
        <v>1543</v>
      </c>
      <c r="B1648" s="1">
        <f>IF(G1648="-",0,IF(G1647=G1648,1,0))</f>
        <v>0</v>
      </c>
      <c r="C1648" s="1">
        <f>+IF(G1648="-",0,IF(I1648=I1647+1,0,(IF(I1648=1,0,1))))</f>
        <v>1</v>
      </c>
      <c r="D1648" s="1">
        <f>+IF(AND(P1648="",Q1648=""),1,0)</f>
        <v>0</v>
      </c>
      <c r="E1648" s="1">
        <f>IF(U1648="",1,0)</f>
        <v>0</v>
      </c>
      <c r="F1648" s="1">
        <f>IF(V1648="",1,0)</f>
        <v>0</v>
      </c>
      <c r="G1648" s="1" t="str">
        <f>IF(H1648=0,"-",_xlfn.CONCAT(K1648,N1648,O1648,J1648))</f>
        <v>24081026</v>
      </c>
      <c r="H1648" s="2">
        <v>45514</v>
      </c>
      <c r="I1648" s="36">
        <v>26</v>
      </c>
      <c r="J1648" s="1">
        <f t="shared" si="367"/>
        <v>26</v>
      </c>
      <c r="K1648" s="3">
        <f t="shared" si="368"/>
        <v>24</v>
      </c>
      <c r="L1648" s="3">
        <f t="shared" si="369"/>
        <v>8</v>
      </c>
      <c r="M1648" s="3">
        <f t="shared" si="370"/>
        <v>10</v>
      </c>
      <c r="N1648" s="3" t="str">
        <f t="shared" si="371"/>
        <v>08</v>
      </c>
      <c r="O1648" s="14">
        <f t="shared" si="372"/>
        <v>10</v>
      </c>
      <c r="P1648" s="4">
        <v>38728.97</v>
      </c>
      <c r="R1648" s="6">
        <v>520</v>
      </c>
      <c r="S1648" s="5">
        <f t="shared" si="374"/>
        <v>74.478788461538457</v>
      </c>
      <c r="T1648" s="5" t="s">
        <v>771</v>
      </c>
      <c r="U1648" s="3" t="s">
        <v>29</v>
      </c>
      <c r="V1648" s="3" t="s">
        <v>4</v>
      </c>
    </row>
    <row r="1649" spans="1:22" hidden="1">
      <c r="J1649" s="1" t="str">
        <f t="shared" si="367"/>
        <v>0</v>
      </c>
      <c r="K1649" s="3">
        <f t="shared" si="368"/>
        <v>-100</v>
      </c>
      <c r="L1649" s="3">
        <f t="shared" si="369"/>
        <v>1</v>
      </c>
      <c r="M1649" s="3">
        <f t="shared" si="370"/>
        <v>0</v>
      </c>
      <c r="N1649" s="3" t="str">
        <f t="shared" si="371"/>
        <v>01</v>
      </c>
      <c r="O1649" s="14" t="str">
        <f t="shared" si="372"/>
        <v>00</v>
      </c>
      <c r="R1649" s="6">
        <v>514</v>
      </c>
      <c r="S1649" s="5">
        <f t="shared" si="374"/>
        <v>0</v>
      </c>
    </row>
    <row r="1650" spans="1:22">
      <c r="A1650" s="3">
        <v>1551</v>
      </c>
      <c r="B1650" s="1">
        <f>IF(G1650="-",0,IF(G1649=G1650,1,0))</f>
        <v>0</v>
      </c>
      <c r="C1650" s="1">
        <f>+IF(G1650="-",0,IF(I1650=I1649+1,0,(IF(I1650=1,0,1))))</f>
        <v>1</v>
      </c>
      <c r="D1650" s="1">
        <f>+IF(AND(P1650="",Q1650=""),1,0)</f>
        <v>0</v>
      </c>
      <c r="E1650" s="1">
        <f t="shared" ref="E1650:F1652" si="375">IF(U1650="",1,0)</f>
        <v>0</v>
      </c>
      <c r="F1650" s="1">
        <f t="shared" si="375"/>
        <v>0</v>
      </c>
      <c r="G1650" s="1" t="str">
        <f>IF(H1650=0,"-",_xlfn.CONCAT(K1650,N1650,O1650,J1650))</f>
        <v>24081202</v>
      </c>
      <c r="H1650" s="2">
        <v>45516</v>
      </c>
      <c r="I1650" s="36">
        <v>2</v>
      </c>
      <c r="J1650" s="1" t="str">
        <f t="shared" si="367"/>
        <v>02</v>
      </c>
      <c r="K1650" s="3">
        <f t="shared" si="368"/>
        <v>24</v>
      </c>
      <c r="L1650" s="3">
        <f t="shared" si="369"/>
        <v>8</v>
      </c>
      <c r="M1650" s="3">
        <f t="shared" si="370"/>
        <v>12</v>
      </c>
      <c r="N1650" s="3" t="str">
        <f t="shared" si="371"/>
        <v>08</v>
      </c>
      <c r="O1650" s="14">
        <f t="shared" si="372"/>
        <v>12</v>
      </c>
      <c r="P1650" s="4">
        <v>200000</v>
      </c>
      <c r="R1650" s="6">
        <v>519</v>
      </c>
      <c r="S1650" s="5">
        <f t="shared" si="374"/>
        <v>385.35645472061657</v>
      </c>
      <c r="T1650" s="5" t="s">
        <v>623</v>
      </c>
      <c r="U1650" s="3" t="s">
        <v>2</v>
      </c>
      <c r="V1650" s="3" t="s">
        <v>4</v>
      </c>
    </row>
    <row r="1651" spans="1:22">
      <c r="A1651" s="3">
        <v>1555</v>
      </c>
      <c r="B1651" s="1">
        <f>IF(G1651="-",0,IF(G1650=G1651,1,0))</f>
        <v>0</v>
      </c>
      <c r="C1651" s="1">
        <f>+IF(G1651="-",0,IF(I1651=I1650+1,0,(IF(I1651=1,0,1))))</f>
        <v>1</v>
      </c>
      <c r="D1651" s="1">
        <f>+IF(AND(P1651="",Q1651=""),1,0)</f>
        <v>0</v>
      </c>
      <c r="E1651" s="1">
        <f t="shared" si="375"/>
        <v>0</v>
      </c>
      <c r="F1651" s="1">
        <f t="shared" si="375"/>
        <v>0</v>
      </c>
      <c r="G1651" s="1" t="str">
        <f>IF(H1651=0,"-",_xlfn.CONCAT(K1651,N1651,O1651,J1651))</f>
        <v>24081206</v>
      </c>
      <c r="H1651" s="2">
        <v>45516</v>
      </c>
      <c r="I1651" s="36">
        <v>6</v>
      </c>
      <c r="J1651" s="1" t="str">
        <f t="shared" si="367"/>
        <v>06</v>
      </c>
      <c r="K1651" s="3">
        <f t="shared" si="368"/>
        <v>24</v>
      </c>
      <c r="L1651" s="3">
        <f t="shared" si="369"/>
        <v>8</v>
      </c>
      <c r="M1651" s="3">
        <f t="shared" si="370"/>
        <v>12</v>
      </c>
      <c r="N1651" s="3" t="str">
        <f t="shared" si="371"/>
        <v>08</v>
      </c>
      <c r="O1651" s="14">
        <f t="shared" si="372"/>
        <v>12</v>
      </c>
      <c r="P1651" s="4">
        <v>12504.85</v>
      </c>
      <c r="R1651" s="6">
        <v>519</v>
      </c>
      <c r="S1651" s="5">
        <f t="shared" si="374"/>
        <v>24.094123314065513</v>
      </c>
      <c r="T1651" s="5" t="s">
        <v>769</v>
      </c>
      <c r="U1651" s="3" t="s">
        <v>29</v>
      </c>
      <c r="V1651" s="3" t="s">
        <v>4</v>
      </c>
    </row>
    <row r="1652" spans="1:22">
      <c r="A1652" s="3">
        <v>1556</v>
      </c>
      <c r="B1652" s="1">
        <f>IF(G1652="-",0,IF(G1651=G1652,1,0))</f>
        <v>0</v>
      </c>
      <c r="C1652" s="1">
        <f>+IF(G1652="-",0,IF(I1652=I1651+1,0,(IF(I1652=1,0,1))))</f>
        <v>0</v>
      </c>
      <c r="D1652" s="1">
        <f>+IF(AND(P1652="",Q1652=""),1,0)</f>
        <v>0</v>
      </c>
      <c r="E1652" s="1">
        <f t="shared" si="375"/>
        <v>0</v>
      </c>
      <c r="F1652" s="1">
        <f t="shared" si="375"/>
        <v>0</v>
      </c>
      <c r="G1652" s="1" t="str">
        <f>IF(H1652=0,"-",_xlfn.CONCAT(K1652,N1652,O1652,J1652))</f>
        <v>24081207</v>
      </c>
      <c r="H1652" s="2">
        <v>45516</v>
      </c>
      <c r="I1652" s="36">
        <v>7</v>
      </c>
      <c r="J1652" s="1" t="str">
        <f t="shared" si="367"/>
        <v>07</v>
      </c>
      <c r="K1652" s="3">
        <f t="shared" si="368"/>
        <v>24</v>
      </c>
      <c r="L1652" s="3">
        <f t="shared" si="369"/>
        <v>8</v>
      </c>
      <c r="M1652" s="3">
        <f t="shared" si="370"/>
        <v>12</v>
      </c>
      <c r="N1652" s="3" t="str">
        <f t="shared" si="371"/>
        <v>08</v>
      </c>
      <c r="O1652" s="14">
        <f t="shared" si="372"/>
        <v>12</v>
      </c>
      <c r="P1652" s="4">
        <v>148715.98000000001</v>
      </c>
      <c r="R1652" s="6">
        <v>519</v>
      </c>
      <c r="S1652" s="5">
        <f t="shared" si="374"/>
        <v>286.54331406551063</v>
      </c>
      <c r="T1652" s="5" t="s">
        <v>773</v>
      </c>
      <c r="U1652" s="3" t="s">
        <v>29</v>
      </c>
      <c r="V1652" s="3" t="s">
        <v>4</v>
      </c>
    </row>
    <row r="1653" spans="1:22" hidden="1">
      <c r="J1653" s="1" t="str">
        <f t="shared" si="367"/>
        <v>0</v>
      </c>
      <c r="K1653" s="3">
        <f t="shared" si="368"/>
        <v>-100</v>
      </c>
      <c r="L1653" s="3">
        <f t="shared" si="369"/>
        <v>1</v>
      </c>
      <c r="M1653" s="3">
        <f t="shared" si="370"/>
        <v>0</v>
      </c>
      <c r="N1653" s="3" t="str">
        <f t="shared" si="371"/>
        <v>01</v>
      </c>
      <c r="O1653" s="14" t="str">
        <f t="shared" si="372"/>
        <v>00</v>
      </c>
      <c r="R1653" s="6">
        <v>516</v>
      </c>
      <c r="S1653" s="5">
        <f t="shared" si="374"/>
        <v>0</v>
      </c>
    </row>
    <row r="1654" spans="1:22" hidden="1">
      <c r="J1654" s="1" t="str">
        <f t="shared" si="367"/>
        <v>0</v>
      </c>
      <c r="K1654" s="3">
        <f t="shared" si="368"/>
        <v>-100</v>
      </c>
      <c r="L1654" s="3">
        <f t="shared" si="369"/>
        <v>1</v>
      </c>
      <c r="M1654" s="3">
        <f t="shared" si="370"/>
        <v>0</v>
      </c>
      <c r="N1654" s="3" t="str">
        <f t="shared" si="371"/>
        <v>01</v>
      </c>
      <c r="O1654" s="14" t="str">
        <f t="shared" si="372"/>
        <v>00</v>
      </c>
      <c r="S1654" s="5" t="str">
        <f t="shared" si="374"/>
        <v/>
      </c>
    </row>
    <row r="1655" spans="1:22">
      <c r="A1655" s="3">
        <v>1558</v>
      </c>
      <c r="B1655" s="1">
        <f>IF(G1655="-",0,IF(G1654=G1655,1,0))</f>
        <v>0</v>
      </c>
      <c r="C1655" s="1">
        <f>+IF(G1655="-",0,IF(I1655=I1654+1,0,(IF(I1655=1,0,1))))</f>
        <v>0</v>
      </c>
      <c r="D1655" s="1">
        <f>+IF(AND(P1655="",Q1655=""),1,0)</f>
        <v>0</v>
      </c>
      <c r="E1655" s="1">
        <f>IF(U1655="",1,0)</f>
        <v>0</v>
      </c>
      <c r="F1655" s="1">
        <f>IF(V1655="",1,0)</f>
        <v>0</v>
      </c>
      <c r="G1655" s="1" t="str">
        <f>IF(H1655=0,"-",_xlfn.CONCAT(K1655,N1655,O1655,J1655))</f>
        <v>24081301</v>
      </c>
      <c r="H1655" s="2">
        <v>45517</v>
      </c>
      <c r="I1655" s="36">
        <v>1</v>
      </c>
      <c r="J1655" s="1" t="str">
        <f t="shared" si="367"/>
        <v>01</v>
      </c>
      <c r="K1655" s="3">
        <f t="shared" si="368"/>
        <v>24</v>
      </c>
      <c r="L1655" s="3">
        <f t="shared" si="369"/>
        <v>8</v>
      </c>
      <c r="M1655" s="3">
        <f t="shared" si="370"/>
        <v>13</v>
      </c>
      <c r="N1655" s="3" t="str">
        <f t="shared" si="371"/>
        <v>08</v>
      </c>
      <c r="O1655" s="14">
        <f t="shared" si="372"/>
        <v>13</v>
      </c>
      <c r="P1655" s="4">
        <v>452000</v>
      </c>
      <c r="R1655" s="6">
        <v>515</v>
      </c>
      <c r="S1655" s="5">
        <f t="shared" si="374"/>
        <v>877.66990291262141</v>
      </c>
      <c r="T1655" s="5" t="s">
        <v>833</v>
      </c>
      <c r="U1655" s="3" t="s">
        <v>2</v>
      </c>
      <c r="V1655" s="3" t="s">
        <v>4</v>
      </c>
    </row>
    <row r="1656" spans="1:22" hidden="1">
      <c r="J1656" s="1" t="str">
        <f t="shared" si="367"/>
        <v>0</v>
      </c>
      <c r="K1656" s="3">
        <f t="shared" si="368"/>
        <v>-100</v>
      </c>
      <c r="L1656" s="3">
        <f t="shared" si="369"/>
        <v>1</v>
      </c>
      <c r="M1656" s="3">
        <f t="shared" si="370"/>
        <v>0</v>
      </c>
      <c r="N1656" s="3" t="str">
        <f t="shared" si="371"/>
        <v>01</v>
      </c>
      <c r="O1656" s="14" t="str">
        <f t="shared" si="372"/>
        <v>00</v>
      </c>
      <c r="R1656" s="6">
        <v>516</v>
      </c>
      <c r="S1656" s="5">
        <f t="shared" si="374"/>
        <v>0</v>
      </c>
    </row>
    <row r="1657" spans="1:22">
      <c r="A1657" s="3">
        <v>1566</v>
      </c>
      <c r="B1657" s="1">
        <f>IF(G1657="-",0,IF(G1656=G1657,1,0))</f>
        <v>0</v>
      </c>
      <c r="C1657" s="1">
        <f>+IF(G1657="-",0,IF(I1657=I1656+1,0,(IF(I1657=1,0,1))))</f>
        <v>1</v>
      </c>
      <c r="D1657" s="1">
        <f>+IF(AND(P1657="",Q1657=""),1,0)</f>
        <v>0</v>
      </c>
      <c r="E1657" s="1">
        <f>IF(U1657="",1,0)</f>
        <v>0</v>
      </c>
      <c r="F1657" s="1">
        <f>IF(V1657="",1,0)</f>
        <v>0</v>
      </c>
      <c r="G1657" s="1" t="str">
        <f>IF(H1657=0,"-",_xlfn.CONCAT(K1657,N1657,O1657,J1657))</f>
        <v>24081309</v>
      </c>
      <c r="H1657" s="2">
        <v>45517</v>
      </c>
      <c r="I1657" s="36">
        <v>9</v>
      </c>
      <c r="J1657" s="1" t="str">
        <f t="shared" si="367"/>
        <v>09</v>
      </c>
      <c r="K1657" s="3">
        <f t="shared" si="368"/>
        <v>24</v>
      </c>
      <c r="L1657" s="3">
        <f t="shared" si="369"/>
        <v>8</v>
      </c>
      <c r="M1657" s="3">
        <f t="shared" si="370"/>
        <v>13</v>
      </c>
      <c r="N1657" s="3" t="str">
        <f t="shared" si="371"/>
        <v>08</v>
      </c>
      <c r="O1657" s="14">
        <f t="shared" si="372"/>
        <v>13</v>
      </c>
      <c r="P1657" s="4">
        <v>9831.6200000000008</v>
      </c>
      <c r="R1657" s="6">
        <v>515</v>
      </c>
      <c r="S1657" s="5">
        <f t="shared" si="374"/>
        <v>19.090524271844661</v>
      </c>
      <c r="T1657" s="5" t="s">
        <v>772</v>
      </c>
      <c r="U1657" s="3" t="s">
        <v>29</v>
      </c>
      <c r="V1657" s="3" t="s">
        <v>4</v>
      </c>
    </row>
    <row r="1658" spans="1:22" hidden="1">
      <c r="J1658" s="1" t="str">
        <f t="shared" si="367"/>
        <v>0</v>
      </c>
      <c r="K1658" s="3">
        <f t="shared" si="368"/>
        <v>-100</v>
      </c>
      <c r="L1658" s="3">
        <f t="shared" si="369"/>
        <v>1</v>
      </c>
      <c r="M1658" s="3">
        <f t="shared" si="370"/>
        <v>0</v>
      </c>
      <c r="N1658" s="3" t="str">
        <f t="shared" si="371"/>
        <v>01</v>
      </c>
      <c r="O1658" s="14" t="str">
        <f t="shared" si="372"/>
        <v>00</v>
      </c>
      <c r="R1658" s="6">
        <v>516</v>
      </c>
      <c r="S1658" s="5">
        <f t="shared" si="374"/>
        <v>0</v>
      </c>
    </row>
    <row r="1659" spans="1:22" hidden="1">
      <c r="J1659" s="1" t="str">
        <f t="shared" si="367"/>
        <v>0</v>
      </c>
      <c r="K1659" s="3">
        <f t="shared" si="368"/>
        <v>-100</v>
      </c>
      <c r="L1659" s="3">
        <f t="shared" si="369"/>
        <v>1</v>
      </c>
      <c r="M1659" s="3">
        <f t="shared" si="370"/>
        <v>0</v>
      </c>
      <c r="N1659" s="3" t="str">
        <f t="shared" si="371"/>
        <v>01</v>
      </c>
      <c r="O1659" s="14" t="str">
        <f t="shared" si="372"/>
        <v>00</v>
      </c>
      <c r="R1659" s="6">
        <v>516</v>
      </c>
      <c r="S1659" s="5">
        <f t="shared" si="374"/>
        <v>0</v>
      </c>
      <c r="T1659" s="16"/>
    </row>
    <row r="1660" spans="1:22" hidden="1">
      <c r="J1660" s="1" t="str">
        <f t="shared" si="367"/>
        <v>0</v>
      </c>
      <c r="K1660" s="3">
        <f t="shared" si="368"/>
        <v>-100</v>
      </c>
      <c r="L1660" s="3">
        <f t="shared" si="369"/>
        <v>1</v>
      </c>
      <c r="M1660" s="3">
        <f t="shared" si="370"/>
        <v>0</v>
      </c>
      <c r="N1660" s="3" t="str">
        <f t="shared" si="371"/>
        <v>01</v>
      </c>
      <c r="O1660" s="14" t="str">
        <f t="shared" si="372"/>
        <v>00</v>
      </c>
      <c r="R1660" s="6">
        <v>516</v>
      </c>
      <c r="S1660" s="5">
        <f t="shared" si="374"/>
        <v>0</v>
      </c>
      <c r="T1660" s="16"/>
    </row>
    <row r="1661" spans="1:22" hidden="1">
      <c r="J1661" s="1" t="str">
        <f t="shared" si="367"/>
        <v>0</v>
      </c>
      <c r="K1661" s="3">
        <f t="shared" si="368"/>
        <v>-100</v>
      </c>
      <c r="L1661" s="3">
        <f t="shared" si="369"/>
        <v>1</v>
      </c>
      <c r="M1661" s="3">
        <f t="shared" si="370"/>
        <v>0</v>
      </c>
      <c r="N1661" s="3" t="str">
        <f t="shared" si="371"/>
        <v>01</v>
      </c>
      <c r="O1661" s="14" t="str">
        <f t="shared" si="372"/>
        <v>00</v>
      </c>
      <c r="R1661" s="6">
        <v>516</v>
      </c>
      <c r="S1661" s="5">
        <f t="shared" si="374"/>
        <v>0</v>
      </c>
    </row>
    <row r="1662" spans="1:22" hidden="1">
      <c r="J1662" s="1" t="str">
        <f t="shared" si="367"/>
        <v>0</v>
      </c>
      <c r="K1662" s="3">
        <f t="shared" si="368"/>
        <v>-100</v>
      </c>
      <c r="L1662" s="3">
        <f t="shared" si="369"/>
        <v>1</v>
      </c>
      <c r="M1662" s="3">
        <f t="shared" si="370"/>
        <v>0</v>
      </c>
      <c r="N1662" s="3" t="str">
        <f t="shared" si="371"/>
        <v>01</v>
      </c>
      <c r="O1662" s="14" t="str">
        <f t="shared" si="372"/>
        <v>00</v>
      </c>
      <c r="R1662" s="6">
        <v>516</v>
      </c>
      <c r="S1662" s="5">
        <f t="shared" si="374"/>
        <v>0</v>
      </c>
    </row>
    <row r="1663" spans="1:22" hidden="1">
      <c r="J1663" s="1" t="str">
        <f t="shared" si="367"/>
        <v>0</v>
      </c>
      <c r="K1663" s="3">
        <f t="shared" si="368"/>
        <v>-100</v>
      </c>
      <c r="L1663" s="3">
        <f t="shared" si="369"/>
        <v>1</v>
      </c>
      <c r="M1663" s="3">
        <f t="shared" si="370"/>
        <v>0</v>
      </c>
      <c r="N1663" s="3" t="str">
        <f t="shared" si="371"/>
        <v>01</v>
      </c>
      <c r="O1663" s="14" t="str">
        <f t="shared" si="372"/>
        <v>00</v>
      </c>
      <c r="R1663" s="6">
        <v>516</v>
      </c>
      <c r="S1663" s="5">
        <f t="shared" si="374"/>
        <v>0</v>
      </c>
    </row>
    <row r="1664" spans="1:22" hidden="1">
      <c r="J1664" s="1" t="str">
        <f t="shared" si="367"/>
        <v>0</v>
      </c>
      <c r="K1664" s="3">
        <f t="shared" si="368"/>
        <v>-100</v>
      </c>
      <c r="L1664" s="3">
        <f t="shared" si="369"/>
        <v>1</v>
      </c>
      <c r="M1664" s="3">
        <f t="shared" si="370"/>
        <v>0</v>
      </c>
      <c r="N1664" s="3" t="str">
        <f t="shared" si="371"/>
        <v>01</v>
      </c>
      <c r="O1664" s="14" t="str">
        <f t="shared" si="372"/>
        <v>00</v>
      </c>
      <c r="R1664" s="6">
        <v>516</v>
      </c>
      <c r="S1664" s="5">
        <f t="shared" si="374"/>
        <v>0</v>
      </c>
    </row>
    <row r="1665" spans="1:23" hidden="1">
      <c r="J1665" s="1" t="str">
        <f t="shared" si="367"/>
        <v>0</v>
      </c>
      <c r="K1665" s="3">
        <f t="shared" si="368"/>
        <v>-100</v>
      </c>
      <c r="L1665" s="3">
        <f t="shared" si="369"/>
        <v>1</v>
      </c>
      <c r="M1665" s="3">
        <f t="shared" si="370"/>
        <v>0</v>
      </c>
      <c r="N1665" s="3" t="str">
        <f t="shared" si="371"/>
        <v>01</v>
      </c>
      <c r="O1665" s="14" t="str">
        <f t="shared" si="372"/>
        <v>00</v>
      </c>
      <c r="R1665" s="6">
        <v>516</v>
      </c>
      <c r="S1665" s="5">
        <f t="shared" si="374"/>
        <v>0</v>
      </c>
    </row>
    <row r="1666" spans="1:23" hidden="1">
      <c r="J1666" s="1" t="str">
        <f t="shared" si="367"/>
        <v>0</v>
      </c>
      <c r="K1666" s="3">
        <f t="shared" si="368"/>
        <v>-100</v>
      </c>
      <c r="L1666" s="3">
        <f t="shared" si="369"/>
        <v>1</v>
      </c>
      <c r="M1666" s="3">
        <f t="shared" si="370"/>
        <v>0</v>
      </c>
      <c r="N1666" s="3" t="str">
        <f t="shared" si="371"/>
        <v>01</v>
      </c>
      <c r="O1666" s="14" t="str">
        <f t="shared" si="372"/>
        <v>00</v>
      </c>
      <c r="R1666" s="6">
        <v>516</v>
      </c>
      <c r="S1666" s="5">
        <f t="shared" si="374"/>
        <v>0</v>
      </c>
    </row>
    <row r="1667" spans="1:23" hidden="1">
      <c r="J1667" s="1" t="str">
        <f t="shared" si="367"/>
        <v>0</v>
      </c>
      <c r="K1667" s="3">
        <f t="shared" si="368"/>
        <v>-100</v>
      </c>
      <c r="L1667" s="3">
        <f t="shared" si="369"/>
        <v>1</v>
      </c>
      <c r="M1667" s="3">
        <f t="shared" si="370"/>
        <v>0</v>
      </c>
      <c r="N1667" s="3" t="str">
        <f t="shared" si="371"/>
        <v>01</v>
      </c>
      <c r="O1667" s="14" t="str">
        <f t="shared" si="372"/>
        <v>00</v>
      </c>
      <c r="R1667" s="6">
        <v>516</v>
      </c>
      <c r="S1667" s="5">
        <f t="shared" si="374"/>
        <v>0</v>
      </c>
    </row>
    <row r="1668" spans="1:23" hidden="1">
      <c r="J1668" s="1" t="str">
        <f t="shared" si="367"/>
        <v>0</v>
      </c>
      <c r="K1668" s="3">
        <f t="shared" si="368"/>
        <v>-100</v>
      </c>
      <c r="L1668" s="3">
        <f t="shared" si="369"/>
        <v>1</v>
      </c>
      <c r="M1668" s="3">
        <f t="shared" si="370"/>
        <v>0</v>
      </c>
      <c r="N1668" s="3" t="str">
        <f t="shared" si="371"/>
        <v>01</v>
      </c>
      <c r="O1668" s="14" t="str">
        <f t="shared" si="372"/>
        <v>00</v>
      </c>
      <c r="R1668" s="6">
        <v>516</v>
      </c>
      <c r="S1668" s="5">
        <f t="shared" si="374"/>
        <v>0</v>
      </c>
    </row>
    <row r="1669" spans="1:23">
      <c r="A1669" s="3">
        <v>1570</v>
      </c>
      <c r="B1669" s="1">
        <f>IF(G1669="-",0,IF(G1667=G1669,1,0))</f>
        <v>0</v>
      </c>
      <c r="C1669" s="1">
        <f>+IF(G1669="-",0,IF(I1669=I1667+1,0,(IF(I1669=1,0,1))))</f>
        <v>1</v>
      </c>
      <c r="D1669" s="1">
        <f>+IF(AND(P1669="",Q1669=""),1,0)</f>
        <v>0</v>
      </c>
      <c r="E1669" s="1">
        <f>IF(U1669="",1,0)</f>
        <v>0</v>
      </c>
      <c r="F1669" s="1">
        <f>IF(V1669="",1,0)</f>
        <v>0</v>
      </c>
      <c r="G1669" s="1" t="str">
        <f>IF(H1669=0,"-",_xlfn.CONCAT(K1669,N1669,O1669,J1669))</f>
        <v>24081402</v>
      </c>
      <c r="H1669" s="2">
        <v>45518</v>
      </c>
      <c r="I1669" s="36">
        <v>2</v>
      </c>
      <c r="J1669" s="1" t="str">
        <f t="shared" si="367"/>
        <v>02</v>
      </c>
      <c r="K1669" s="3">
        <f t="shared" si="368"/>
        <v>24</v>
      </c>
      <c r="L1669" s="3">
        <f t="shared" si="369"/>
        <v>8</v>
      </c>
      <c r="M1669" s="3">
        <f t="shared" si="370"/>
        <v>14</v>
      </c>
      <c r="N1669" s="3" t="str">
        <f t="shared" si="371"/>
        <v>08</v>
      </c>
      <c r="O1669" s="14">
        <f t="shared" si="372"/>
        <v>14</v>
      </c>
      <c r="P1669" s="4">
        <v>1130</v>
      </c>
      <c r="S1669" s="5" t="str">
        <f t="shared" si="374"/>
        <v/>
      </c>
      <c r="T1669" s="5" t="s">
        <v>616</v>
      </c>
      <c r="U1669" s="3" t="s">
        <v>2</v>
      </c>
      <c r="V1669" s="3" t="s">
        <v>4</v>
      </c>
    </row>
    <row r="1670" spans="1:23" hidden="1">
      <c r="J1670" s="1" t="str">
        <f t="shared" si="367"/>
        <v>0</v>
      </c>
      <c r="K1670" s="3">
        <f t="shared" si="368"/>
        <v>-100</v>
      </c>
      <c r="L1670" s="3">
        <f t="shared" si="369"/>
        <v>1</v>
      </c>
      <c r="M1670" s="3">
        <f t="shared" si="370"/>
        <v>0</v>
      </c>
      <c r="N1670" s="3" t="str">
        <f t="shared" si="371"/>
        <v>01</v>
      </c>
      <c r="O1670" s="14" t="str">
        <f t="shared" si="372"/>
        <v>00</v>
      </c>
      <c r="R1670" s="6">
        <v>516</v>
      </c>
      <c r="S1670" s="5">
        <f t="shared" si="374"/>
        <v>0</v>
      </c>
    </row>
    <row r="1671" spans="1:23">
      <c r="A1671" s="3">
        <v>1584</v>
      </c>
      <c r="B1671" s="1">
        <f>IF(G1671="-",0,IF(G1670=G1671,1,0))</f>
        <v>0</v>
      </c>
      <c r="C1671" s="1">
        <f>+IF(G1671="-",0,IF(I1671=I1670+1,0,(IF(I1671=1,0,1))))</f>
        <v>1</v>
      </c>
      <c r="D1671" s="1">
        <f>+IF(AND(P1671="",Q1671=""),1,0)</f>
        <v>0</v>
      </c>
      <c r="E1671" s="1">
        <f>IF(U1671="",1,0)</f>
        <v>0</v>
      </c>
      <c r="F1671" s="1">
        <f>IF(V1671="",1,0)</f>
        <v>0</v>
      </c>
      <c r="G1671" s="1" t="str">
        <f>IF(H1671=0,"-",_xlfn.CONCAT(K1671,N1671,O1671,J1671))</f>
        <v>24081603</v>
      </c>
      <c r="H1671" s="2">
        <v>45520</v>
      </c>
      <c r="I1671" s="36">
        <v>3</v>
      </c>
      <c r="J1671" s="1" t="str">
        <f t="shared" si="367"/>
        <v>03</v>
      </c>
      <c r="K1671" s="3">
        <f t="shared" si="368"/>
        <v>24</v>
      </c>
      <c r="L1671" s="3">
        <f t="shared" si="369"/>
        <v>8</v>
      </c>
      <c r="M1671" s="3">
        <f t="shared" si="370"/>
        <v>16</v>
      </c>
      <c r="N1671" s="3" t="str">
        <f t="shared" si="371"/>
        <v>08</v>
      </c>
      <c r="O1671" s="14">
        <f t="shared" si="372"/>
        <v>16</v>
      </c>
      <c r="P1671" s="4">
        <v>21570.19</v>
      </c>
      <c r="R1671" s="6">
        <v>512</v>
      </c>
      <c r="S1671" s="5">
        <f t="shared" si="374"/>
        <v>42.129277343749997</v>
      </c>
      <c r="T1671" s="5" t="s">
        <v>87</v>
      </c>
      <c r="U1671" s="3" t="s">
        <v>29</v>
      </c>
      <c r="V1671" s="3" t="s">
        <v>4</v>
      </c>
    </row>
    <row r="1672" spans="1:23" hidden="1">
      <c r="J1672" s="1" t="str">
        <f t="shared" si="367"/>
        <v>0</v>
      </c>
      <c r="K1672" s="3">
        <f t="shared" si="368"/>
        <v>-100</v>
      </c>
      <c r="L1672" s="3">
        <f t="shared" si="369"/>
        <v>1</v>
      </c>
      <c r="M1672" s="3">
        <f t="shared" si="370"/>
        <v>0</v>
      </c>
      <c r="N1672" s="3" t="str">
        <f t="shared" si="371"/>
        <v>01</v>
      </c>
      <c r="O1672" s="14" t="str">
        <f t="shared" si="372"/>
        <v>00</v>
      </c>
      <c r="R1672" s="6">
        <v>516</v>
      </c>
      <c r="S1672" s="5">
        <f t="shared" si="374"/>
        <v>0</v>
      </c>
    </row>
    <row r="1673" spans="1:23">
      <c r="A1673" s="3">
        <v>1589</v>
      </c>
      <c r="B1673" s="1">
        <f>IF(G1673="-",0,IF(G1672=G1673,1,0))</f>
        <v>0</v>
      </c>
      <c r="C1673" s="1">
        <f>+IF(G1673="-",0,IF(I1673=I1672+1,0,(IF(I1673=1,0,1))))</f>
        <v>1</v>
      </c>
      <c r="D1673" s="1">
        <f>+IF(AND(P1673="",Q1673=""),1,0)</f>
        <v>0</v>
      </c>
      <c r="E1673" s="1">
        <f>IF(U1673="",1,0)</f>
        <v>0</v>
      </c>
      <c r="F1673" s="1">
        <f>IF(V1673="",1,0)</f>
        <v>0</v>
      </c>
      <c r="G1673" s="90" t="str">
        <f>IF(H1673=0,"-",_xlfn.CONCAT(K1673,N1673,O1673,J1673))</f>
        <v>24081608</v>
      </c>
      <c r="H1673" s="2">
        <v>45520</v>
      </c>
      <c r="I1673" s="36">
        <v>8</v>
      </c>
      <c r="J1673" s="1" t="str">
        <f t="shared" si="367"/>
        <v>08</v>
      </c>
      <c r="K1673" s="3">
        <f t="shared" si="368"/>
        <v>24</v>
      </c>
      <c r="L1673" s="3">
        <f t="shared" si="369"/>
        <v>8</v>
      </c>
      <c r="M1673" s="3">
        <f t="shared" si="370"/>
        <v>16</v>
      </c>
      <c r="N1673" s="3" t="str">
        <f t="shared" si="371"/>
        <v>08</v>
      </c>
      <c r="O1673" s="14">
        <f t="shared" si="372"/>
        <v>16</v>
      </c>
      <c r="P1673" s="4">
        <v>112167.6</v>
      </c>
      <c r="R1673" s="6">
        <v>512</v>
      </c>
      <c r="S1673" s="5">
        <f t="shared" si="374"/>
        <v>219.07734375000001</v>
      </c>
      <c r="T1673" s="5" t="s">
        <v>1178</v>
      </c>
      <c r="U1673" s="3" t="s">
        <v>2</v>
      </c>
      <c r="V1673" s="3" t="s">
        <v>4</v>
      </c>
    </row>
    <row r="1674" spans="1:23" hidden="1">
      <c r="J1674" s="1" t="str">
        <f t="shared" si="367"/>
        <v>0</v>
      </c>
      <c r="K1674" s="3">
        <f t="shared" si="368"/>
        <v>-100</v>
      </c>
      <c r="L1674" s="3">
        <f t="shared" si="369"/>
        <v>1</v>
      </c>
      <c r="M1674" s="3">
        <f t="shared" si="370"/>
        <v>0</v>
      </c>
      <c r="N1674" s="3" t="str">
        <f t="shared" si="371"/>
        <v>01</v>
      </c>
      <c r="O1674" s="14" t="str">
        <f t="shared" si="372"/>
        <v>00</v>
      </c>
      <c r="R1674" s="6">
        <v>516</v>
      </c>
      <c r="S1674" s="5">
        <f t="shared" si="374"/>
        <v>0</v>
      </c>
    </row>
    <row r="1675" spans="1:23" hidden="1">
      <c r="J1675" s="1" t="str">
        <f t="shared" si="367"/>
        <v>0</v>
      </c>
      <c r="K1675" s="3">
        <f t="shared" si="368"/>
        <v>-100</v>
      </c>
      <c r="L1675" s="3">
        <f t="shared" si="369"/>
        <v>1</v>
      </c>
      <c r="M1675" s="3">
        <f t="shared" si="370"/>
        <v>0</v>
      </c>
      <c r="N1675" s="3" t="str">
        <f t="shared" si="371"/>
        <v>01</v>
      </c>
      <c r="O1675" s="14" t="str">
        <f t="shared" si="372"/>
        <v>00</v>
      </c>
      <c r="R1675" s="6">
        <v>516</v>
      </c>
      <c r="S1675" s="5">
        <f t="shared" si="374"/>
        <v>0</v>
      </c>
    </row>
    <row r="1676" spans="1:23" s="42" customFormat="1" hidden="1">
      <c r="A1676" s="3"/>
      <c r="B1676" s="1"/>
      <c r="C1676" s="1"/>
      <c r="D1676" s="1"/>
      <c r="E1676" s="1"/>
      <c r="F1676" s="1"/>
      <c r="G1676" s="1"/>
      <c r="H1676" s="2"/>
      <c r="I1676" s="36"/>
      <c r="J1676" s="1" t="str">
        <f t="shared" si="367"/>
        <v>0</v>
      </c>
      <c r="K1676" s="3">
        <f t="shared" si="368"/>
        <v>-100</v>
      </c>
      <c r="L1676" s="3">
        <f t="shared" si="369"/>
        <v>1</v>
      </c>
      <c r="M1676" s="3">
        <f t="shared" si="370"/>
        <v>0</v>
      </c>
      <c r="N1676" s="3" t="str">
        <f t="shared" si="371"/>
        <v>01</v>
      </c>
      <c r="O1676" s="14" t="str">
        <f t="shared" si="372"/>
        <v>00</v>
      </c>
      <c r="P1676" s="119"/>
      <c r="Q1676" s="5"/>
      <c r="R1676" s="6">
        <v>516</v>
      </c>
      <c r="S1676" s="5">
        <f t="shared" si="374"/>
        <v>0</v>
      </c>
      <c r="T1676" s="5"/>
      <c r="U1676" s="3"/>
      <c r="V1676" s="3"/>
      <c r="W1676" s="92"/>
    </row>
    <row r="1677" spans="1:23" hidden="1">
      <c r="J1677" s="1" t="str">
        <f t="shared" ref="J1677:J1740" si="376">+IF(I1677&lt;10,_xlfn.CONCAT("0",I1677),I1677)</f>
        <v>0</v>
      </c>
      <c r="K1677" s="3">
        <f t="shared" ref="K1677:K1740" si="377">+YEAR(H1677)-2000</f>
        <v>-100</v>
      </c>
      <c r="L1677" s="3">
        <f t="shared" ref="L1677:L1740" si="378">+MONTH(H1677)</f>
        <v>1</v>
      </c>
      <c r="M1677" s="3">
        <f t="shared" ref="M1677:M1740" si="379">+DAY(H1677)</f>
        <v>0</v>
      </c>
      <c r="N1677" s="3" t="str">
        <f t="shared" ref="N1677:N1740" si="380">+IF(L1677&lt;10,_xlfn.CONCAT("0",L1677),L1677)</f>
        <v>01</v>
      </c>
      <c r="O1677" s="14" t="str">
        <f t="shared" ref="O1677:O1740" si="381">+IF(M1677&lt;10,_xlfn.CONCAT("0",M1677),M1677)</f>
        <v>00</v>
      </c>
      <c r="R1677" s="6">
        <v>516</v>
      </c>
      <c r="S1677" s="5">
        <f t="shared" si="374"/>
        <v>0</v>
      </c>
    </row>
    <row r="1678" spans="1:23" hidden="1">
      <c r="J1678" s="1" t="str">
        <f t="shared" si="376"/>
        <v>0</v>
      </c>
      <c r="K1678" s="3">
        <f t="shared" si="377"/>
        <v>-100</v>
      </c>
      <c r="L1678" s="3">
        <f t="shared" si="378"/>
        <v>1</v>
      </c>
      <c r="M1678" s="3">
        <f t="shared" si="379"/>
        <v>0</v>
      </c>
      <c r="N1678" s="3" t="str">
        <f t="shared" si="380"/>
        <v>01</v>
      </c>
      <c r="O1678" s="14" t="str">
        <f t="shared" si="381"/>
        <v>00</v>
      </c>
      <c r="R1678" s="6">
        <v>516</v>
      </c>
      <c r="S1678" s="5">
        <f t="shared" si="374"/>
        <v>0</v>
      </c>
    </row>
    <row r="1679" spans="1:23" s="42" customFormat="1" hidden="1">
      <c r="A1679" s="3"/>
      <c r="B1679" s="1"/>
      <c r="C1679" s="1"/>
      <c r="D1679" s="1"/>
      <c r="E1679" s="1"/>
      <c r="F1679" s="1"/>
      <c r="G1679" s="1"/>
      <c r="H1679" s="2"/>
      <c r="I1679" s="36"/>
      <c r="J1679" s="1" t="str">
        <f t="shared" si="376"/>
        <v>0</v>
      </c>
      <c r="K1679" s="3">
        <f t="shared" si="377"/>
        <v>-100</v>
      </c>
      <c r="L1679" s="3">
        <f t="shared" si="378"/>
        <v>1</v>
      </c>
      <c r="M1679" s="3">
        <f t="shared" si="379"/>
        <v>0</v>
      </c>
      <c r="N1679" s="3" t="str">
        <f t="shared" si="380"/>
        <v>01</v>
      </c>
      <c r="O1679" s="14" t="str">
        <f t="shared" si="381"/>
        <v>00</v>
      </c>
      <c r="P1679" s="4"/>
      <c r="Q1679" s="5"/>
      <c r="R1679" s="6">
        <v>516</v>
      </c>
      <c r="S1679" s="5">
        <f t="shared" si="374"/>
        <v>0</v>
      </c>
      <c r="T1679" s="95"/>
      <c r="U1679" s="3"/>
      <c r="V1679" s="3"/>
      <c r="W1679" s="3"/>
    </row>
    <row r="1680" spans="1:23" hidden="1">
      <c r="J1680" s="1" t="str">
        <f t="shared" si="376"/>
        <v>0</v>
      </c>
      <c r="K1680" s="3">
        <f t="shared" si="377"/>
        <v>-100</v>
      </c>
      <c r="L1680" s="3">
        <f t="shared" si="378"/>
        <v>1</v>
      </c>
      <c r="M1680" s="3">
        <f t="shared" si="379"/>
        <v>0</v>
      </c>
      <c r="N1680" s="3" t="str">
        <f t="shared" si="380"/>
        <v>01</v>
      </c>
      <c r="O1680" s="14" t="str">
        <f t="shared" si="381"/>
        <v>00</v>
      </c>
      <c r="R1680" s="6">
        <v>516</v>
      </c>
      <c r="S1680" s="5">
        <f t="shared" si="374"/>
        <v>0</v>
      </c>
      <c r="T1680" s="95"/>
    </row>
    <row r="1681" spans="1:23" hidden="1">
      <c r="J1681" s="1" t="str">
        <f t="shared" si="376"/>
        <v>0</v>
      </c>
      <c r="K1681" s="3">
        <f t="shared" si="377"/>
        <v>-100</v>
      </c>
      <c r="L1681" s="3">
        <f t="shared" si="378"/>
        <v>1</v>
      </c>
      <c r="M1681" s="3">
        <f t="shared" si="379"/>
        <v>0</v>
      </c>
      <c r="N1681" s="3" t="str">
        <f t="shared" si="380"/>
        <v>01</v>
      </c>
      <c r="O1681" s="14" t="str">
        <f t="shared" si="381"/>
        <v>00</v>
      </c>
      <c r="R1681" s="6">
        <v>516</v>
      </c>
      <c r="S1681" s="5">
        <f t="shared" si="374"/>
        <v>0</v>
      </c>
    </row>
    <row r="1682" spans="1:23" hidden="1">
      <c r="J1682" s="1" t="str">
        <f t="shared" si="376"/>
        <v>0</v>
      </c>
      <c r="K1682" s="3">
        <f t="shared" si="377"/>
        <v>-100</v>
      </c>
      <c r="L1682" s="3">
        <f t="shared" si="378"/>
        <v>1</v>
      </c>
      <c r="M1682" s="3">
        <f t="shared" si="379"/>
        <v>0</v>
      </c>
      <c r="N1682" s="3" t="str">
        <f t="shared" si="380"/>
        <v>01</v>
      </c>
      <c r="O1682" s="14" t="str">
        <f t="shared" si="381"/>
        <v>00</v>
      </c>
      <c r="R1682" s="6">
        <v>516</v>
      </c>
      <c r="S1682" s="5">
        <f t="shared" si="374"/>
        <v>0</v>
      </c>
    </row>
    <row r="1683" spans="1:23" hidden="1">
      <c r="J1683" s="1" t="str">
        <f t="shared" si="376"/>
        <v>0</v>
      </c>
      <c r="K1683" s="3">
        <f t="shared" si="377"/>
        <v>-100</v>
      </c>
      <c r="L1683" s="3">
        <f t="shared" si="378"/>
        <v>1</v>
      </c>
      <c r="M1683" s="3">
        <f t="shared" si="379"/>
        <v>0</v>
      </c>
      <c r="N1683" s="3" t="str">
        <f t="shared" si="380"/>
        <v>01</v>
      </c>
      <c r="O1683" s="14" t="str">
        <f t="shared" si="381"/>
        <v>00</v>
      </c>
      <c r="R1683" s="6">
        <v>516</v>
      </c>
      <c r="S1683" s="5">
        <f t="shared" si="374"/>
        <v>0</v>
      </c>
    </row>
    <row r="1684" spans="1:23" hidden="1">
      <c r="I1684" s="1"/>
      <c r="J1684" s="1" t="str">
        <f t="shared" si="376"/>
        <v>0</v>
      </c>
      <c r="K1684" s="3">
        <f t="shared" si="377"/>
        <v>-100</v>
      </c>
      <c r="L1684" s="3">
        <f t="shared" si="378"/>
        <v>1</v>
      </c>
      <c r="M1684" s="3">
        <f t="shared" si="379"/>
        <v>0</v>
      </c>
      <c r="N1684" s="3" t="str">
        <f t="shared" si="380"/>
        <v>01</v>
      </c>
      <c r="O1684" s="14" t="str">
        <f t="shared" si="381"/>
        <v>00</v>
      </c>
      <c r="R1684" s="6">
        <v>512</v>
      </c>
      <c r="S1684" s="5">
        <f t="shared" si="374"/>
        <v>0</v>
      </c>
    </row>
    <row r="1685" spans="1:23" hidden="1">
      <c r="I1685" s="1"/>
      <c r="J1685" s="1" t="str">
        <f t="shared" si="376"/>
        <v>0</v>
      </c>
      <c r="K1685" s="3">
        <f t="shared" si="377"/>
        <v>-100</v>
      </c>
      <c r="L1685" s="3">
        <f t="shared" si="378"/>
        <v>1</v>
      </c>
      <c r="M1685" s="3">
        <f t="shared" si="379"/>
        <v>0</v>
      </c>
      <c r="N1685" s="3" t="str">
        <f t="shared" si="380"/>
        <v>01</v>
      </c>
      <c r="O1685" s="14" t="str">
        <f t="shared" si="381"/>
        <v>00</v>
      </c>
      <c r="R1685" s="6">
        <v>512</v>
      </c>
      <c r="S1685" s="5">
        <f t="shared" si="374"/>
        <v>0</v>
      </c>
    </row>
    <row r="1686" spans="1:23" hidden="1">
      <c r="G1686" s="38"/>
      <c r="H1686" s="37"/>
      <c r="I1686" s="38"/>
      <c r="J1686" s="38" t="str">
        <f t="shared" si="376"/>
        <v>0</v>
      </c>
      <c r="K1686" s="42">
        <f t="shared" si="377"/>
        <v>-100</v>
      </c>
      <c r="L1686" s="42">
        <f t="shared" si="378"/>
        <v>1</v>
      </c>
      <c r="M1686" s="42">
        <f t="shared" si="379"/>
        <v>0</v>
      </c>
      <c r="N1686" s="42" t="str">
        <f t="shared" si="380"/>
        <v>01</v>
      </c>
      <c r="O1686" s="50" t="str">
        <f t="shared" si="381"/>
        <v>00</v>
      </c>
      <c r="P1686" s="39"/>
      <c r="Q1686" s="40"/>
      <c r="R1686" s="41">
        <v>512</v>
      </c>
      <c r="S1686" s="40">
        <f t="shared" si="374"/>
        <v>0</v>
      </c>
      <c r="T1686" s="40"/>
      <c r="U1686" s="42"/>
      <c r="V1686" s="42"/>
      <c r="W1686" s="42"/>
    </row>
    <row r="1687" spans="1:23" s="104" customFormat="1" hidden="1">
      <c r="A1687" s="3"/>
      <c r="B1687" s="1"/>
      <c r="C1687" s="1"/>
      <c r="D1687" s="1"/>
      <c r="E1687" s="1"/>
      <c r="F1687" s="1"/>
      <c r="G1687" s="1"/>
      <c r="H1687" s="2"/>
      <c r="I1687" s="1"/>
      <c r="J1687" s="1" t="str">
        <f t="shared" si="376"/>
        <v>0</v>
      </c>
      <c r="K1687" s="3">
        <f t="shared" si="377"/>
        <v>-100</v>
      </c>
      <c r="L1687" s="3">
        <f t="shared" si="378"/>
        <v>1</v>
      </c>
      <c r="M1687" s="3">
        <f t="shared" si="379"/>
        <v>0</v>
      </c>
      <c r="N1687" s="3" t="str">
        <f t="shared" si="380"/>
        <v>01</v>
      </c>
      <c r="O1687" s="14" t="str">
        <f t="shared" si="381"/>
        <v>00</v>
      </c>
      <c r="P1687" s="4"/>
      <c r="Q1687" s="5"/>
      <c r="R1687" s="6"/>
      <c r="S1687" s="5"/>
      <c r="T1687" s="5"/>
      <c r="U1687" s="3"/>
      <c r="V1687" s="3"/>
      <c r="W1687" s="3"/>
    </row>
    <row r="1688" spans="1:23" hidden="1">
      <c r="I1688" s="1"/>
      <c r="J1688" s="1" t="str">
        <f t="shared" si="376"/>
        <v>0</v>
      </c>
      <c r="K1688" s="3">
        <f t="shared" si="377"/>
        <v>-100</v>
      </c>
      <c r="L1688" s="3">
        <f t="shared" si="378"/>
        <v>1</v>
      </c>
      <c r="M1688" s="3">
        <f t="shared" si="379"/>
        <v>0</v>
      </c>
      <c r="N1688" s="3" t="str">
        <f t="shared" si="380"/>
        <v>01</v>
      </c>
      <c r="O1688" s="14" t="str">
        <f t="shared" si="381"/>
        <v>00</v>
      </c>
      <c r="R1688" s="6">
        <v>512</v>
      </c>
      <c r="S1688" s="5">
        <f t="shared" ref="S1688:S1730" si="382">IFERROR(P1688/R1688,"")</f>
        <v>0</v>
      </c>
    </row>
    <row r="1689" spans="1:23" hidden="1">
      <c r="G1689" s="38"/>
      <c r="H1689" s="37"/>
      <c r="I1689" s="38"/>
      <c r="J1689" s="38" t="str">
        <f t="shared" si="376"/>
        <v>0</v>
      </c>
      <c r="K1689" s="42">
        <f t="shared" si="377"/>
        <v>-100</v>
      </c>
      <c r="L1689" s="42">
        <f t="shared" si="378"/>
        <v>1</v>
      </c>
      <c r="M1689" s="42">
        <f t="shared" si="379"/>
        <v>0</v>
      </c>
      <c r="N1689" s="42" t="str">
        <f t="shared" si="380"/>
        <v>01</v>
      </c>
      <c r="O1689" s="50" t="str">
        <f t="shared" si="381"/>
        <v>00</v>
      </c>
      <c r="P1689" s="39"/>
      <c r="Q1689" s="40"/>
      <c r="R1689" s="41">
        <v>512</v>
      </c>
      <c r="S1689" s="40">
        <f t="shared" si="382"/>
        <v>0</v>
      </c>
      <c r="T1689" s="40"/>
      <c r="U1689" s="42"/>
      <c r="V1689" s="42"/>
      <c r="W1689" s="42"/>
    </row>
    <row r="1690" spans="1:23" ht="15.6" customHeight="1">
      <c r="A1690" s="3">
        <v>1597</v>
      </c>
      <c r="B1690" s="1">
        <f>IF(G1690="-",0,IF(G1689=G1690,1,0))</f>
        <v>0</v>
      </c>
      <c r="C1690" s="1">
        <f>+IF(G1690="-",0,IF(I1690=I1689+1,0,(IF(I1690=1,0,1))))</f>
        <v>0</v>
      </c>
      <c r="D1690" s="1">
        <f>+IF(AND(P1690="",Q1690=""),1,0)</f>
        <v>0</v>
      </c>
      <c r="E1690" s="1">
        <f>IF(U1690="",1,0)</f>
        <v>1</v>
      </c>
      <c r="F1690" s="1">
        <f>IF(V1690="",1,0)</f>
        <v>0</v>
      </c>
      <c r="G1690" s="1" t="str">
        <f>IF(H1690=0,"-",_xlfn.CONCAT(K1690,N1690,O1690,J1690))</f>
        <v>24081701</v>
      </c>
      <c r="H1690" s="2">
        <v>45521</v>
      </c>
      <c r="I1690" s="36">
        <v>1</v>
      </c>
      <c r="J1690" s="1" t="str">
        <f t="shared" si="376"/>
        <v>01</v>
      </c>
      <c r="K1690" s="3">
        <f t="shared" si="377"/>
        <v>24</v>
      </c>
      <c r="L1690" s="3">
        <f t="shared" si="378"/>
        <v>8</v>
      </c>
      <c r="M1690" s="3">
        <f t="shared" si="379"/>
        <v>17</v>
      </c>
      <c r="N1690" s="3" t="str">
        <f t="shared" si="380"/>
        <v>08</v>
      </c>
      <c r="O1690" s="14">
        <f t="shared" si="381"/>
        <v>17</v>
      </c>
      <c r="P1690" s="132">
        <v>115600</v>
      </c>
      <c r="R1690" s="6">
        <v>512</v>
      </c>
      <c r="S1690" s="5">
        <f t="shared" si="382"/>
        <v>225.78125</v>
      </c>
      <c r="T1690" s="3" t="s">
        <v>600</v>
      </c>
      <c r="V1690" s="3" t="s">
        <v>4</v>
      </c>
      <c r="W1690" s="3" t="s">
        <v>1073</v>
      </c>
    </row>
    <row r="1691" spans="1:23">
      <c r="A1691" s="3">
        <v>1598</v>
      </c>
      <c r="B1691" s="1">
        <f>IF(G1691="-",0,IF(G1690=G1691,1,0))</f>
        <v>0</v>
      </c>
      <c r="C1691" s="1">
        <f>+IF(G1691="-",0,IF(I1691=I1690+1,0,(IF(I1691=1,0,1))))</f>
        <v>0</v>
      </c>
      <c r="D1691" s="1">
        <f>+IF(AND(P1691="",Q1691=""),1,0)</f>
        <v>0</v>
      </c>
      <c r="E1691" s="1">
        <f>IF(U1691="",1,0)</f>
        <v>1</v>
      </c>
      <c r="F1691" s="1">
        <f>IF(V1691="",1,0)</f>
        <v>0</v>
      </c>
      <c r="G1691" s="1" t="str">
        <f>IF(H1691=0,"-",_xlfn.CONCAT(K1691,N1691,O1691,J1691))</f>
        <v>24081702</v>
      </c>
      <c r="H1691" s="2">
        <v>45521</v>
      </c>
      <c r="I1691" s="36">
        <v>2</v>
      </c>
      <c r="J1691" s="1" t="str">
        <f t="shared" si="376"/>
        <v>02</v>
      </c>
      <c r="K1691" s="3">
        <f t="shared" si="377"/>
        <v>24</v>
      </c>
      <c r="L1691" s="3">
        <f t="shared" si="378"/>
        <v>8</v>
      </c>
      <c r="M1691" s="3">
        <f t="shared" si="379"/>
        <v>17</v>
      </c>
      <c r="N1691" s="3" t="str">
        <f t="shared" si="380"/>
        <v>08</v>
      </c>
      <c r="O1691" s="14">
        <f t="shared" si="381"/>
        <v>17</v>
      </c>
      <c r="P1691" s="132">
        <v>170000</v>
      </c>
      <c r="R1691" s="6">
        <v>512</v>
      </c>
      <c r="S1691" s="5">
        <f t="shared" si="382"/>
        <v>332.03125</v>
      </c>
      <c r="T1691" s="3" t="s">
        <v>601</v>
      </c>
      <c r="V1691" s="3" t="s">
        <v>4</v>
      </c>
    </row>
    <row r="1692" spans="1:23" hidden="1">
      <c r="J1692" s="1" t="str">
        <f t="shared" si="376"/>
        <v>0</v>
      </c>
      <c r="K1692" s="3">
        <f t="shared" si="377"/>
        <v>-100</v>
      </c>
      <c r="L1692" s="3">
        <f t="shared" si="378"/>
        <v>1</v>
      </c>
      <c r="M1692" s="3">
        <f t="shared" si="379"/>
        <v>0</v>
      </c>
      <c r="N1692" s="3" t="str">
        <f t="shared" si="380"/>
        <v>01</v>
      </c>
      <c r="O1692" s="14" t="str">
        <f t="shared" si="381"/>
        <v>00</v>
      </c>
      <c r="R1692" s="6">
        <v>519</v>
      </c>
      <c r="S1692" s="5">
        <f t="shared" si="382"/>
        <v>0</v>
      </c>
    </row>
    <row r="1693" spans="1:23">
      <c r="A1693" s="3">
        <v>1599</v>
      </c>
      <c r="B1693" s="1">
        <f>IF(G1693="-",0,IF(G1692=G1693,1,0))</f>
        <v>0</v>
      </c>
      <c r="C1693" s="1">
        <f>+IF(G1693="-",0,IF(I1693=I1692+1,0,(IF(I1693=1,0,1))))</f>
        <v>1</v>
      </c>
      <c r="D1693" s="1">
        <f>+IF(AND(P1693="",Q1693=""),1,0)</f>
        <v>0</v>
      </c>
      <c r="E1693" s="1">
        <f>IF(U1693="",1,0)</f>
        <v>1</v>
      </c>
      <c r="F1693" s="1">
        <f>IF(V1693="",1,0)</f>
        <v>0</v>
      </c>
      <c r="G1693" s="1" t="str">
        <f>IF(H1693=0,"-",_xlfn.CONCAT(K1693,N1693,O1693,J1693))</f>
        <v>24081703</v>
      </c>
      <c r="H1693" s="2">
        <v>45521</v>
      </c>
      <c r="I1693" s="36">
        <v>3</v>
      </c>
      <c r="J1693" s="1" t="str">
        <f t="shared" si="376"/>
        <v>03</v>
      </c>
      <c r="K1693" s="3">
        <f t="shared" si="377"/>
        <v>24</v>
      </c>
      <c r="L1693" s="3">
        <f t="shared" si="378"/>
        <v>8</v>
      </c>
      <c r="M1693" s="3">
        <f t="shared" si="379"/>
        <v>17</v>
      </c>
      <c r="N1693" s="3" t="str">
        <f t="shared" si="380"/>
        <v>08</v>
      </c>
      <c r="O1693" s="14">
        <f t="shared" si="381"/>
        <v>17</v>
      </c>
      <c r="P1693" s="132">
        <v>115600</v>
      </c>
      <c r="R1693" s="6">
        <v>512</v>
      </c>
      <c r="S1693" s="5">
        <f t="shared" si="382"/>
        <v>225.78125</v>
      </c>
      <c r="T1693" s="3" t="s">
        <v>602</v>
      </c>
      <c r="V1693" s="3" t="s">
        <v>4</v>
      </c>
    </row>
    <row r="1694" spans="1:23" hidden="1">
      <c r="J1694" s="1" t="str">
        <f t="shared" si="376"/>
        <v>0</v>
      </c>
      <c r="K1694" s="3">
        <f t="shared" si="377"/>
        <v>-100</v>
      </c>
      <c r="L1694" s="3">
        <f t="shared" si="378"/>
        <v>1</v>
      </c>
      <c r="M1694" s="3">
        <f t="shared" si="379"/>
        <v>0</v>
      </c>
      <c r="N1694" s="3" t="str">
        <f t="shared" si="380"/>
        <v>01</v>
      </c>
      <c r="O1694" s="14" t="str">
        <f t="shared" si="381"/>
        <v>00</v>
      </c>
      <c r="R1694" s="6">
        <v>519</v>
      </c>
      <c r="S1694" s="5">
        <f t="shared" si="382"/>
        <v>0</v>
      </c>
    </row>
    <row r="1695" spans="1:23" hidden="1">
      <c r="G1695" s="105"/>
      <c r="H1695" s="106"/>
      <c r="J1695" s="105" t="str">
        <f t="shared" si="376"/>
        <v>0</v>
      </c>
      <c r="K1695" s="104">
        <f t="shared" si="377"/>
        <v>-100</v>
      </c>
      <c r="L1695" s="104">
        <f t="shared" si="378"/>
        <v>1</v>
      </c>
      <c r="M1695" s="104">
        <f t="shared" si="379"/>
        <v>0</v>
      </c>
      <c r="N1695" s="104" t="str">
        <f t="shared" si="380"/>
        <v>01</v>
      </c>
      <c r="O1695" s="107" t="str">
        <f t="shared" si="381"/>
        <v>00</v>
      </c>
      <c r="P1695" s="108"/>
      <c r="Q1695" s="109"/>
      <c r="R1695" s="110">
        <v>519</v>
      </c>
      <c r="S1695" s="109">
        <f t="shared" si="382"/>
        <v>0</v>
      </c>
      <c r="T1695" s="109"/>
      <c r="U1695" s="104"/>
      <c r="V1695" s="104"/>
      <c r="W1695" s="104"/>
    </row>
    <row r="1696" spans="1:23" hidden="1">
      <c r="J1696" s="1" t="str">
        <f t="shared" si="376"/>
        <v>0</v>
      </c>
      <c r="K1696" s="3">
        <f t="shared" si="377"/>
        <v>-100</v>
      </c>
      <c r="L1696" s="3">
        <f t="shared" si="378"/>
        <v>1</v>
      </c>
      <c r="M1696" s="3">
        <f t="shared" si="379"/>
        <v>0</v>
      </c>
      <c r="N1696" s="3" t="str">
        <f t="shared" si="380"/>
        <v>01</v>
      </c>
      <c r="O1696" s="14" t="str">
        <f t="shared" si="381"/>
        <v>00</v>
      </c>
      <c r="R1696" s="6">
        <v>519</v>
      </c>
      <c r="S1696" s="5">
        <f t="shared" si="382"/>
        <v>0</v>
      </c>
    </row>
    <row r="1697" spans="1:22" hidden="1">
      <c r="J1697" s="1" t="str">
        <f t="shared" si="376"/>
        <v>0</v>
      </c>
      <c r="K1697" s="3">
        <f t="shared" si="377"/>
        <v>-100</v>
      </c>
      <c r="L1697" s="3">
        <f t="shared" si="378"/>
        <v>1</v>
      </c>
      <c r="M1697" s="3">
        <f t="shared" si="379"/>
        <v>0</v>
      </c>
      <c r="N1697" s="3" t="str">
        <f t="shared" si="380"/>
        <v>01</v>
      </c>
      <c r="O1697" s="14" t="str">
        <f t="shared" si="381"/>
        <v>00</v>
      </c>
      <c r="P1697" s="11"/>
      <c r="R1697" s="6">
        <v>528</v>
      </c>
      <c r="S1697" s="5">
        <f t="shared" si="382"/>
        <v>0</v>
      </c>
    </row>
    <row r="1698" spans="1:22">
      <c r="A1698" s="3">
        <v>1600</v>
      </c>
      <c r="B1698" s="1">
        <f>IF(G1698="-",0,IF(G1697=G1698,1,0))</f>
        <v>0</v>
      </c>
      <c r="C1698" s="1">
        <f>+IF(G1698="-",0,IF(I1698=I1697+1,0,(IF(I1698=1,0,1))))</f>
        <v>1</v>
      </c>
      <c r="D1698" s="1">
        <f>+IF(AND(P1698="",Q1698=""),1,0)</f>
        <v>0</v>
      </c>
      <c r="E1698" s="1">
        <f>IF(U1698="",1,0)</f>
        <v>1</v>
      </c>
      <c r="F1698" s="1">
        <f>IF(V1698="",1,0)</f>
        <v>0</v>
      </c>
      <c r="G1698" s="1" t="str">
        <f>IF(H1698=0,"-",_xlfn.CONCAT(K1698,N1698,O1698,J1698))</f>
        <v>24081704</v>
      </c>
      <c r="H1698" s="2">
        <v>45521</v>
      </c>
      <c r="I1698" s="36">
        <v>4</v>
      </c>
      <c r="J1698" s="1" t="str">
        <f t="shared" si="376"/>
        <v>04</v>
      </c>
      <c r="K1698" s="3">
        <f t="shared" si="377"/>
        <v>24</v>
      </c>
      <c r="L1698" s="3">
        <f t="shared" si="378"/>
        <v>8</v>
      </c>
      <c r="M1698" s="3">
        <f t="shared" si="379"/>
        <v>17</v>
      </c>
      <c r="N1698" s="3" t="str">
        <f t="shared" si="380"/>
        <v>08</v>
      </c>
      <c r="O1698" s="14">
        <f t="shared" si="381"/>
        <v>17</v>
      </c>
      <c r="P1698" s="132">
        <v>115600</v>
      </c>
      <c r="R1698" s="6">
        <v>512</v>
      </c>
      <c r="S1698" s="5">
        <f t="shared" si="382"/>
        <v>225.78125</v>
      </c>
      <c r="T1698" s="3" t="s">
        <v>603</v>
      </c>
      <c r="V1698" s="3" t="s">
        <v>4</v>
      </c>
    </row>
    <row r="1699" spans="1:22" hidden="1">
      <c r="J1699" s="1" t="str">
        <f t="shared" si="376"/>
        <v>0</v>
      </c>
      <c r="K1699" s="3">
        <f t="shared" si="377"/>
        <v>-100</v>
      </c>
      <c r="L1699" s="3">
        <f t="shared" si="378"/>
        <v>1</v>
      </c>
      <c r="M1699" s="3">
        <f t="shared" si="379"/>
        <v>0</v>
      </c>
      <c r="N1699" s="3" t="str">
        <f t="shared" si="380"/>
        <v>01</v>
      </c>
      <c r="O1699" s="14" t="str">
        <f t="shared" si="381"/>
        <v>00</v>
      </c>
      <c r="P1699" s="11"/>
      <c r="R1699" s="6">
        <v>528</v>
      </c>
      <c r="S1699" s="5">
        <f t="shared" si="382"/>
        <v>0</v>
      </c>
    </row>
    <row r="1700" spans="1:22" hidden="1">
      <c r="J1700" s="1" t="str">
        <f t="shared" si="376"/>
        <v>0</v>
      </c>
      <c r="K1700" s="3">
        <f t="shared" si="377"/>
        <v>-100</v>
      </c>
      <c r="L1700" s="3">
        <f t="shared" si="378"/>
        <v>1</v>
      </c>
      <c r="M1700" s="3">
        <f t="shared" si="379"/>
        <v>0</v>
      </c>
      <c r="N1700" s="3" t="str">
        <f t="shared" si="380"/>
        <v>01</v>
      </c>
      <c r="O1700" s="14" t="str">
        <f t="shared" si="381"/>
        <v>00</v>
      </c>
      <c r="P1700" s="11"/>
      <c r="R1700" s="6">
        <v>528</v>
      </c>
      <c r="S1700" s="5">
        <f t="shared" si="382"/>
        <v>0</v>
      </c>
    </row>
    <row r="1701" spans="1:22" hidden="1">
      <c r="J1701" s="1" t="str">
        <f t="shared" si="376"/>
        <v>0</v>
      </c>
      <c r="K1701" s="3">
        <f t="shared" si="377"/>
        <v>-100</v>
      </c>
      <c r="L1701" s="3">
        <f t="shared" si="378"/>
        <v>1</v>
      </c>
      <c r="M1701" s="3">
        <f t="shared" si="379"/>
        <v>0</v>
      </c>
      <c r="N1701" s="3" t="str">
        <f t="shared" si="380"/>
        <v>01</v>
      </c>
      <c r="O1701" s="14" t="str">
        <f t="shared" si="381"/>
        <v>00</v>
      </c>
      <c r="P1701" s="11"/>
      <c r="R1701" s="6">
        <v>528</v>
      </c>
      <c r="S1701" s="5">
        <f t="shared" si="382"/>
        <v>0</v>
      </c>
      <c r="T1701" s="3"/>
    </row>
    <row r="1702" spans="1:22">
      <c r="A1702" s="3">
        <v>1601</v>
      </c>
      <c r="B1702" s="1">
        <f>IF(G1702="-",0,IF(G1701=G1702,1,0))</f>
        <v>0</v>
      </c>
      <c r="C1702" s="1">
        <f>+IF(G1702="-",0,IF(I1702=I1701+1,0,(IF(I1702=1,0,1))))</f>
        <v>1</v>
      </c>
      <c r="D1702" s="1">
        <f>+IF(AND(P1702="",Q1702=""),1,0)</f>
        <v>0</v>
      </c>
      <c r="E1702" s="1">
        <f t="shared" ref="E1702:F1705" si="383">IF(U1702="",1,0)</f>
        <v>1</v>
      </c>
      <c r="F1702" s="1">
        <f t="shared" si="383"/>
        <v>0</v>
      </c>
      <c r="G1702" s="1" t="str">
        <f>IF(H1702=0,"-",_xlfn.CONCAT(K1702,N1702,O1702,J1702))</f>
        <v>24081705</v>
      </c>
      <c r="H1702" s="2">
        <v>45521</v>
      </c>
      <c r="I1702" s="36">
        <v>5</v>
      </c>
      <c r="J1702" s="1" t="str">
        <f t="shared" si="376"/>
        <v>05</v>
      </c>
      <c r="K1702" s="3">
        <f t="shared" si="377"/>
        <v>24</v>
      </c>
      <c r="L1702" s="3">
        <f t="shared" si="378"/>
        <v>8</v>
      </c>
      <c r="M1702" s="3">
        <f t="shared" si="379"/>
        <v>17</v>
      </c>
      <c r="N1702" s="3" t="str">
        <f t="shared" si="380"/>
        <v>08</v>
      </c>
      <c r="O1702" s="14">
        <f t="shared" si="381"/>
        <v>17</v>
      </c>
      <c r="P1702" s="132">
        <v>143000</v>
      </c>
      <c r="R1702" s="6">
        <v>512</v>
      </c>
      <c r="S1702" s="5">
        <f t="shared" si="382"/>
        <v>279.296875</v>
      </c>
      <c r="T1702" s="3" t="s">
        <v>604</v>
      </c>
      <c r="V1702" s="3" t="s">
        <v>4</v>
      </c>
    </row>
    <row r="1703" spans="1:22">
      <c r="A1703" s="3">
        <v>1608</v>
      </c>
      <c r="B1703" s="1">
        <f>IF(G1703="-",0,IF(G1702=G1703,1,0))</f>
        <v>0</v>
      </c>
      <c r="C1703" s="1">
        <f>+IF(G1703="-",0,IF(I1703=I1702+1,0,(IF(I1703=1,0,1))))</f>
        <v>1</v>
      </c>
      <c r="D1703" s="1">
        <f>+IF(AND(P1703="",Q1703=""),1,0)</f>
        <v>0</v>
      </c>
      <c r="E1703" s="1">
        <f t="shared" si="383"/>
        <v>1</v>
      </c>
      <c r="F1703" s="1">
        <f t="shared" si="383"/>
        <v>0</v>
      </c>
      <c r="G1703" s="1" t="str">
        <f>IF(H1703=0,"-",_xlfn.CONCAT(K1703,N1703,O1703,J1703))</f>
        <v>24081712</v>
      </c>
      <c r="H1703" s="2">
        <v>45521</v>
      </c>
      <c r="I1703" s="36">
        <v>12</v>
      </c>
      <c r="J1703" s="1">
        <f t="shared" si="376"/>
        <v>12</v>
      </c>
      <c r="K1703" s="3">
        <f t="shared" si="377"/>
        <v>24</v>
      </c>
      <c r="L1703" s="3">
        <f t="shared" si="378"/>
        <v>8</v>
      </c>
      <c r="M1703" s="3">
        <f t="shared" si="379"/>
        <v>17</v>
      </c>
      <c r="N1703" s="3" t="str">
        <f t="shared" si="380"/>
        <v>08</v>
      </c>
      <c r="O1703" s="14">
        <f t="shared" si="381"/>
        <v>17</v>
      </c>
      <c r="P1703" s="132">
        <v>170000</v>
      </c>
      <c r="R1703" s="6">
        <v>512</v>
      </c>
      <c r="S1703" s="5">
        <f t="shared" si="382"/>
        <v>332.03125</v>
      </c>
      <c r="T1703" s="3" t="s">
        <v>613</v>
      </c>
      <c r="V1703" s="3" t="s">
        <v>4</v>
      </c>
    </row>
    <row r="1704" spans="1:22">
      <c r="A1704" s="3">
        <v>1610</v>
      </c>
      <c r="B1704" s="1">
        <f>IF(G1704="-",0,IF(G1703=G1704,1,0))</f>
        <v>0</v>
      </c>
      <c r="C1704" s="1">
        <f>+IF(G1704="-",0,IF(I1704=I1703+1,0,(IF(I1704=1,0,1))))</f>
        <v>1</v>
      </c>
      <c r="D1704" s="1">
        <f>+IF(AND(P1704="",Q1704=""),1,0)</f>
        <v>0</v>
      </c>
      <c r="E1704" s="1">
        <f t="shared" si="383"/>
        <v>1</v>
      </c>
      <c r="F1704" s="1">
        <f t="shared" si="383"/>
        <v>0</v>
      </c>
      <c r="G1704" s="1" t="str">
        <f>IF(H1704=0,"-",_xlfn.CONCAT(K1704,N1704,O1704,J1704))</f>
        <v>24081714</v>
      </c>
      <c r="H1704" s="2">
        <v>45521</v>
      </c>
      <c r="I1704" s="36">
        <v>14</v>
      </c>
      <c r="J1704" s="1">
        <f t="shared" si="376"/>
        <v>14</v>
      </c>
      <c r="K1704" s="3">
        <f t="shared" si="377"/>
        <v>24</v>
      </c>
      <c r="L1704" s="3">
        <f t="shared" si="378"/>
        <v>8</v>
      </c>
      <c r="M1704" s="3">
        <f t="shared" si="379"/>
        <v>17</v>
      </c>
      <c r="N1704" s="3" t="str">
        <f t="shared" si="380"/>
        <v>08</v>
      </c>
      <c r="O1704" s="14">
        <f t="shared" si="381"/>
        <v>17</v>
      </c>
      <c r="P1704" s="132">
        <v>115600</v>
      </c>
      <c r="R1704" s="6">
        <v>512</v>
      </c>
      <c r="S1704" s="5">
        <f t="shared" si="382"/>
        <v>225.78125</v>
      </c>
      <c r="T1704" s="3" t="s">
        <v>609</v>
      </c>
      <c r="V1704" s="3" t="s">
        <v>4</v>
      </c>
    </row>
    <row r="1705" spans="1:22">
      <c r="A1705" s="3">
        <v>1612</v>
      </c>
      <c r="B1705" s="1">
        <f>IF(G1705="-",0,IF(G1704=G1705,1,0))</f>
        <v>0</v>
      </c>
      <c r="C1705" s="1">
        <f>+IF(G1705="-",0,IF(I1705=I1704+1,0,(IF(I1705=1,0,1))))</f>
        <v>1</v>
      </c>
      <c r="D1705" s="1">
        <f>+IF(AND(P1705="",Q1705=""),1,0)</f>
        <v>0</v>
      </c>
      <c r="E1705" s="1">
        <f t="shared" si="383"/>
        <v>1</v>
      </c>
      <c r="F1705" s="1">
        <f t="shared" si="383"/>
        <v>0</v>
      </c>
      <c r="G1705" s="1" t="str">
        <f>IF(H1705=0,"-",_xlfn.CONCAT(K1705,N1705,O1705,J1705))</f>
        <v>24081716</v>
      </c>
      <c r="H1705" s="2">
        <v>45521</v>
      </c>
      <c r="I1705" s="36">
        <v>16</v>
      </c>
      <c r="J1705" s="1">
        <f t="shared" si="376"/>
        <v>16</v>
      </c>
      <c r="K1705" s="3">
        <f t="shared" si="377"/>
        <v>24</v>
      </c>
      <c r="L1705" s="3">
        <f t="shared" si="378"/>
        <v>8</v>
      </c>
      <c r="M1705" s="3">
        <f t="shared" si="379"/>
        <v>17</v>
      </c>
      <c r="N1705" s="3" t="str">
        <f t="shared" si="380"/>
        <v>08</v>
      </c>
      <c r="O1705" s="14">
        <f t="shared" si="381"/>
        <v>17</v>
      </c>
      <c r="P1705" s="132">
        <v>136000</v>
      </c>
      <c r="R1705" s="6">
        <v>512</v>
      </c>
      <c r="S1705" s="5">
        <f t="shared" si="382"/>
        <v>265.625</v>
      </c>
      <c r="T1705" s="3" t="s">
        <v>596</v>
      </c>
      <c r="V1705" s="3" t="s">
        <v>4</v>
      </c>
    </row>
    <row r="1706" spans="1:22" hidden="1">
      <c r="J1706" s="1" t="str">
        <f t="shared" si="376"/>
        <v>0</v>
      </c>
      <c r="K1706" s="3">
        <f t="shared" si="377"/>
        <v>-100</v>
      </c>
      <c r="L1706" s="3">
        <f t="shared" si="378"/>
        <v>1</v>
      </c>
      <c r="M1706" s="3">
        <f t="shared" si="379"/>
        <v>0</v>
      </c>
      <c r="N1706" s="3" t="str">
        <f t="shared" si="380"/>
        <v>01</v>
      </c>
      <c r="O1706" s="14" t="str">
        <f t="shared" si="381"/>
        <v>00</v>
      </c>
      <c r="P1706" s="132"/>
      <c r="R1706" s="6">
        <v>528</v>
      </c>
      <c r="S1706" s="5">
        <f t="shared" si="382"/>
        <v>0</v>
      </c>
      <c r="T1706" s="3"/>
    </row>
    <row r="1707" spans="1:22" hidden="1">
      <c r="J1707" s="1" t="str">
        <f t="shared" si="376"/>
        <v>0</v>
      </c>
      <c r="K1707" s="3">
        <f t="shared" si="377"/>
        <v>-100</v>
      </c>
      <c r="L1707" s="3">
        <f t="shared" si="378"/>
        <v>1</v>
      </c>
      <c r="M1707" s="3">
        <f t="shared" si="379"/>
        <v>0</v>
      </c>
      <c r="N1707" s="3" t="str">
        <f t="shared" si="380"/>
        <v>01</v>
      </c>
      <c r="O1707" s="14" t="str">
        <f t="shared" si="381"/>
        <v>00</v>
      </c>
      <c r="P1707" s="132"/>
      <c r="R1707" s="6">
        <v>528</v>
      </c>
      <c r="S1707" s="5">
        <f t="shared" si="382"/>
        <v>0</v>
      </c>
      <c r="T1707" s="3"/>
    </row>
    <row r="1708" spans="1:22" hidden="1">
      <c r="J1708" s="1" t="str">
        <f t="shared" si="376"/>
        <v>0</v>
      </c>
      <c r="K1708" s="3">
        <f t="shared" si="377"/>
        <v>-100</v>
      </c>
      <c r="L1708" s="3">
        <f t="shared" si="378"/>
        <v>1</v>
      </c>
      <c r="M1708" s="3">
        <f t="shared" si="379"/>
        <v>0</v>
      </c>
      <c r="N1708" s="3" t="str">
        <f t="shared" si="380"/>
        <v>01</v>
      </c>
      <c r="O1708" s="14" t="str">
        <f t="shared" si="381"/>
        <v>00</v>
      </c>
      <c r="P1708" s="11"/>
      <c r="R1708" s="6">
        <v>528</v>
      </c>
      <c r="S1708" s="5">
        <f t="shared" si="382"/>
        <v>0</v>
      </c>
    </row>
    <row r="1709" spans="1:22">
      <c r="A1709" s="3">
        <v>1613</v>
      </c>
      <c r="B1709" s="1">
        <f>IF(G1709="-",0,IF(G1708=G1709,1,0))</f>
        <v>0</v>
      </c>
      <c r="C1709" s="1">
        <f>+IF(G1709="-",0,IF(I1709=I1708+1,0,(IF(I1709=1,0,1))))</f>
        <v>1</v>
      </c>
      <c r="D1709" s="1">
        <f>+IF(AND(P1709="",Q1709=""),1,0)</f>
        <v>0</v>
      </c>
      <c r="E1709" s="1">
        <f>IF(U1709="",1,0)</f>
        <v>1</v>
      </c>
      <c r="F1709" s="1">
        <f>IF(V1709="",1,0)</f>
        <v>0</v>
      </c>
      <c r="G1709" s="1" t="str">
        <f>IF(H1709=0,"-",_xlfn.CONCAT(K1709,N1709,O1709,J1709))</f>
        <v>24081717</v>
      </c>
      <c r="H1709" s="2">
        <v>45521</v>
      </c>
      <c r="I1709" s="36">
        <v>17</v>
      </c>
      <c r="J1709" s="1">
        <f t="shared" si="376"/>
        <v>17</v>
      </c>
      <c r="K1709" s="3">
        <f t="shared" si="377"/>
        <v>24</v>
      </c>
      <c r="L1709" s="3">
        <f t="shared" si="378"/>
        <v>8</v>
      </c>
      <c r="M1709" s="3">
        <f t="shared" si="379"/>
        <v>17</v>
      </c>
      <c r="N1709" s="3" t="str">
        <f t="shared" si="380"/>
        <v>08</v>
      </c>
      <c r="O1709" s="14">
        <f t="shared" si="381"/>
        <v>17</v>
      </c>
      <c r="P1709" s="132">
        <v>204000</v>
      </c>
      <c r="R1709" s="6">
        <v>512</v>
      </c>
      <c r="S1709" s="5">
        <f t="shared" si="382"/>
        <v>398.4375</v>
      </c>
      <c r="T1709" s="3" t="s">
        <v>597</v>
      </c>
      <c r="V1709" s="3" t="s">
        <v>4</v>
      </c>
    </row>
    <row r="1710" spans="1:22" hidden="1">
      <c r="J1710" s="1" t="str">
        <f t="shared" si="376"/>
        <v>0</v>
      </c>
      <c r="K1710" s="3">
        <f t="shared" si="377"/>
        <v>-100</v>
      </c>
      <c r="L1710" s="3">
        <f t="shared" si="378"/>
        <v>1</v>
      </c>
      <c r="M1710" s="3">
        <f t="shared" si="379"/>
        <v>0</v>
      </c>
      <c r="N1710" s="3" t="str">
        <f t="shared" si="380"/>
        <v>01</v>
      </c>
      <c r="O1710" s="14" t="str">
        <f t="shared" si="381"/>
        <v>00</v>
      </c>
      <c r="P1710" s="132"/>
      <c r="R1710" s="6">
        <v>528</v>
      </c>
      <c r="S1710" s="5">
        <f t="shared" si="382"/>
        <v>0</v>
      </c>
      <c r="T1710" s="3"/>
    </row>
    <row r="1711" spans="1:22" hidden="1">
      <c r="J1711" s="1" t="str">
        <f t="shared" si="376"/>
        <v>0</v>
      </c>
      <c r="K1711" s="3">
        <f t="shared" si="377"/>
        <v>-100</v>
      </c>
      <c r="L1711" s="3">
        <f t="shared" si="378"/>
        <v>1</v>
      </c>
      <c r="M1711" s="3">
        <f t="shared" si="379"/>
        <v>0</v>
      </c>
      <c r="N1711" s="3" t="str">
        <f t="shared" si="380"/>
        <v>01</v>
      </c>
      <c r="O1711" s="14" t="str">
        <f t="shared" si="381"/>
        <v>00</v>
      </c>
      <c r="P1711" s="132"/>
      <c r="R1711" s="6">
        <v>528</v>
      </c>
      <c r="S1711" s="5">
        <f t="shared" si="382"/>
        <v>0</v>
      </c>
      <c r="T1711" s="3"/>
    </row>
    <row r="1712" spans="1:22" hidden="1">
      <c r="J1712" s="1" t="str">
        <f t="shared" si="376"/>
        <v>0</v>
      </c>
      <c r="K1712" s="3">
        <f t="shared" si="377"/>
        <v>-100</v>
      </c>
      <c r="L1712" s="3">
        <f t="shared" si="378"/>
        <v>1</v>
      </c>
      <c r="M1712" s="3">
        <f t="shared" si="379"/>
        <v>0</v>
      </c>
      <c r="N1712" s="3" t="str">
        <f t="shared" si="380"/>
        <v>01</v>
      </c>
      <c r="O1712" s="14" t="str">
        <f t="shared" si="381"/>
        <v>00</v>
      </c>
      <c r="P1712" s="132"/>
      <c r="R1712" s="6">
        <v>528</v>
      </c>
      <c r="S1712" s="5">
        <f t="shared" si="382"/>
        <v>0</v>
      </c>
      <c r="T1712" s="3"/>
    </row>
    <row r="1713" spans="1:22" hidden="1">
      <c r="J1713" s="1" t="str">
        <f t="shared" si="376"/>
        <v>0</v>
      </c>
      <c r="K1713" s="3">
        <f t="shared" si="377"/>
        <v>-100</v>
      </c>
      <c r="L1713" s="3">
        <f t="shared" si="378"/>
        <v>1</v>
      </c>
      <c r="M1713" s="3">
        <f t="shared" si="379"/>
        <v>0</v>
      </c>
      <c r="N1713" s="3" t="str">
        <f t="shared" si="380"/>
        <v>01</v>
      </c>
      <c r="O1713" s="14" t="str">
        <f t="shared" si="381"/>
        <v>00</v>
      </c>
      <c r="P1713" s="132"/>
      <c r="R1713" s="6">
        <v>528</v>
      </c>
      <c r="S1713" s="5">
        <f t="shared" si="382"/>
        <v>0</v>
      </c>
      <c r="T1713" s="3"/>
    </row>
    <row r="1714" spans="1:22">
      <c r="A1714" s="3">
        <v>1614</v>
      </c>
      <c r="B1714" s="1">
        <f>IF(G1714="-",0,IF(G1713=G1714,1,0))</f>
        <v>0</v>
      </c>
      <c r="C1714" s="1">
        <f>+IF(G1714="-",0,IF(I1714=I1713+1,0,(IF(I1714=1,0,1))))</f>
        <v>1</v>
      </c>
      <c r="D1714" s="1">
        <f>+IF(AND(P1714="",Q1714=""),1,0)</f>
        <v>0</v>
      </c>
      <c r="E1714" s="1">
        <f t="shared" ref="E1714:F1718" si="384">IF(U1714="",1,0)</f>
        <v>1</v>
      </c>
      <c r="F1714" s="1">
        <f t="shared" si="384"/>
        <v>0</v>
      </c>
      <c r="G1714" s="1" t="str">
        <f>IF(H1714=0,"-",_xlfn.CONCAT(K1714,N1714,O1714,J1714))</f>
        <v>24081718</v>
      </c>
      <c r="H1714" s="2">
        <v>45521</v>
      </c>
      <c r="I1714" s="36">
        <v>18</v>
      </c>
      <c r="J1714" s="1">
        <f t="shared" si="376"/>
        <v>18</v>
      </c>
      <c r="K1714" s="3">
        <f t="shared" si="377"/>
        <v>24</v>
      </c>
      <c r="L1714" s="3">
        <f t="shared" si="378"/>
        <v>8</v>
      </c>
      <c r="M1714" s="3">
        <f t="shared" si="379"/>
        <v>17</v>
      </c>
      <c r="N1714" s="3" t="str">
        <f t="shared" si="380"/>
        <v>08</v>
      </c>
      <c r="O1714" s="14">
        <f t="shared" si="381"/>
        <v>17</v>
      </c>
      <c r="P1714" s="132">
        <v>136000</v>
      </c>
      <c r="R1714" s="6">
        <v>512</v>
      </c>
      <c r="S1714" s="5">
        <f t="shared" si="382"/>
        <v>265.625</v>
      </c>
      <c r="T1714" s="3" t="s">
        <v>598</v>
      </c>
      <c r="V1714" s="3" t="s">
        <v>4</v>
      </c>
    </row>
    <row r="1715" spans="1:22">
      <c r="A1715" s="3">
        <v>1615</v>
      </c>
      <c r="B1715" s="1">
        <f>IF(G1715="-",0,IF(G1714=G1715,1,0))</f>
        <v>0</v>
      </c>
      <c r="C1715" s="1">
        <f>+IF(G1715="-",0,IF(I1715=I1714+1,0,(IF(I1715=1,0,1))))</f>
        <v>0</v>
      </c>
      <c r="D1715" s="1">
        <f>+IF(AND(P1715="",Q1715=""),1,0)</f>
        <v>0</v>
      </c>
      <c r="E1715" s="1">
        <f t="shared" si="384"/>
        <v>1</v>
      </c>
      <c r="F1715" s="1">
        <f t="shared" si="384"/>
        <v>0</v>
      </c>
      <c r="G1715" s="1" t="str">
        <f>IF(H1715=0,"-",_xlfn.CONCAT(K1715,N1715,O1715,J1715))</f>
        <v>24081719</v>
      </c>
      <c r="H1715" s="2">
        <v>45521</v>
      </c>
      <c r="I1715" s="36">
        <v>19</v>
      </c>
      <c r="J1715" s="1">
        <f t="shared" si="376"/>
        <v>19</v>
      </c>
      <c r="K1715" s="3">
        <f t="shared" si="377"/>
        <v>24</v>
      </c>
      <c r="L1715" s="3">
        <f t="shared" si="378"/>
        <v>8</v>
      </c>
      <c r="M1715" s="3">
        <f t="shared" si="379"/>
        <v>17</v>
      </c>
      <c r="N1715" s="3" t="str">
        <f t="shared" si="380"/>
        <v>08</v>
      </c>
      <c r="O1715" s="14">
        <f t="shared" si="381"/>
        <v>17</v>
      </c>
      <c r="P1715" s="132">
        <v>136000</v>
      </c>
      <c r="R1715" s="6">
        <v>512</v>
      </c>
      <c r="S1715" s="5">
        <f t="shared" si="382"/>
        <v>265.625</v>
      </c>
      <c r="T1715" s="3" t="s">
        <v>599</v>
      </c>
      <c r="V1715" s="3" t="s">
        <v>4</v>
      </c>
    </row>
    <row r="1716" spans="1:22">
      <c r="A1716" s="3">
        <v>1626</v>
      </c>
      <c r="B1716" s="1">
        <f>IF(G1716="-",0,IF(G1715=G1716,1,0))</f>
        <v>0</v>
      </c>
      <c r="C1716" s="1">
        <f>+IF(G1716="-",0,IF(I1716=I1715+1,0,(IF(I1716=1,0,1))))</f>
        <v>0</v>
      </c>
      <c r="D1716" s="1">
        <f>+IF(AND(P1716="",Q1716=""),1,0)</f>
        <v>0</v>
      </c>
      <c r="E1716" s="1">
        <f t="shared" si="384"/>
        <v>0</v>
      </c>
      <c r="F1716" s="1">
        <f t="shared" si="384"/>
        <v>0</v>
      </c>
      <c r="G1716" s="1" t="str">
        <f>IF(H1716=0,"-",_xlfn.CONCAT(K1716,N1716,O1716,J1716))</f>
        <v>24081901</v>
      </c>
      <c r="H1716" s="2">
        <v>45523</v>
      </c>
      <c r="I1716" s="36">
        <v>1</v>
      </c>
      <c r="J1716" s="1" t="str">
        <f t="shared" si="376"/>
        <v>01</v>
      </c>
      <c r="K1716" s="3">
        <f t="shared" si="377"/>
        <v>24</v>
      </c>
      <c r="L1716" s="3">
        <f t="shared" si="378"/>
        <v>8</v>
      </c>
      <c r="M1716" s="3">
        <f t="shared" si="379"/>
        <v>19</v>
      </c>
      <c r="N1716" s="3" t="str">
        <f t="shared" si="380"/>
        <v>08</v>
      </c>
      <c r="O1716" s="14">
        <f t="shared" si="381"/>
        <v>19</v>
      </c>
      <c r="P1716" s="4">
        <v>6000.3</v>
      </c>
      <c r="R1716" s="6">
        <v>514</v>
      </c>
      <c r="S1716" s="5">
        <f t="shared" si="382"/>
        <v>11.673735408560312</v>
      </c>
      <c r="T1716" s="5" t="s">
        <v>622</v>
      </c>
      <c r="U1716" s="3" t="s">
        <v>29</v>
      </c>
      <c r="V1716" s="3" t="s">
        <v>4</v>
      </c>
    </row>
    <row r="1717" spans="1:22">
      <c r="A1717" s="3">
        <v>1631</v>
      </c>
      <c r="B1717" s="1">
        <f>IF(G1717="-",0,IF(G1716=G1717,1,0))</f>
        <v>0</v>
      </c>
      <c r="C1717" s="1">
        <f>+IF(G1717="-",0,IF(I1717=I1716+1,0,(IF(I1717=1,0,1))))</f>
        <v>1</v>
      </c>
      <c r="D1717" s="1">
        <f>+IF(AND(P1717="",Q1717=""),1,0)</f>
        <v>0</v>
      </c>
      <c r="E1717" s="1">
        <f t="shared" si="384"/>
        <v>0</v>
      </c>
      <c r="F1717" s="1">
        <f t="shared" si="384"/>
        <v>0</v>
      </c>
      <c r="G1717" s="1" t="str">
        <f>IF(H1717=0,"-",_xlfn.CONCAT(K1717,N1717,O1717,J1717))</f>
        <v>24081906</v>
      </c>
      <c r="H1717" s="2">
        <v>45523</v>
      </c>
      <c r="I1717" s="36">
        <v>6</v>
      </c>
      <c r="J1717" s="1" t="str">
        <f t="shared" si="376"/>
        <v>06</v>
      </c>
      <c r="K1717" s="3">
        <f t="shared" si="377"/>
        <v>24</v>
      </c>
      <c r="L1717" s="3">
        <f t="shared" si="378"/>
        <v>8</v>
      </c>
      <c r="M1717" s="3">
        <f t="shared" si="379"/>
        <v>19</v>
      </c>
      <c r="N1717" s="3" t="str">
        <f t="shared" si="380"/>
        <v>08</v>
      </c>
      <c r="O1717" s="14">
        <f t="shared" si="381"/>
        <v>19</v>
      </c>
      <c r="P1717" s="4">
        <v>2237.4</v>
      </c>
      <c r="R1717" s="6">
        <v>514</v>
      </c>
      <c r="S1717" s="5">
        <f t="shared" si="382"/>
        <v>4.3529182879377437</v>
      </c>
      <c r="T1717" s="5" t="s">
        <v>701</v>
      </c>
      <c r="U1717" s="3" t="s">
        <v>29</v>
      </c>
      <c r="V1717" s="3" t="s">
        <v>4</v>
      </c>
    </row>
    <row r="1718" spans="1:22">
      <c r="A1718" s="3">
        <v>1632</v>
      </c>
      <c r="B1718" s="1">
        <f>IF(G1718="-",0,IF(G1717=G1718,1,0))</f>
        <v>0</v>
      </c>
      <c r="C1718" s="1">
        <f>+IF(G1718="-",0,IF(I1718=I1717+1,0,(IF(I1718=1,0,1))))</f>
        <v>0</v>
      </c>
      <c r="D1718" s="1">
        <f>+IF(AND(P1718="",Q1718=""),1,0)</f>
        <v>0</v>
      </c>
      <c r="E1718" s="1">
        <f t="shared" si="384"/>
        <v>0</v>
      </c>
      <c r="F1718" s="1">
        <f t="shared" si="384"/>
        <v>0</v>
      </c>
      <c r="G1718" s="1" t="str">
        <f>IF(H1718=0,"-",_xlfn.CONCAT(K1718,N1718,O1718,J1718))</f>
        <v>24081907</v>
      </c>
      <c r="H1718" s="2">
        <v>45523</v>
      </c>
      <c r="I1718" s="36">
        <v>7</v>
      </c>
      <c r="J1718" s="1" t="str">
        <f t="shared" si="376"/>
        <v>07</v>
      </c>
      <c r="K1718" s="3">
        <f t="shared" si="377"/>
        <v>24</v>
      </c>
      <c r="L1718" s="3">
        <f t="shared" si="378"/>
        <v>8</v>
      </c>
      <c r="M1718" s="3">
        <f t="shared" si="379"/>
        <v>19</v>
      </c>
      <c r="N1718" s="3" t="str">
        <f t="shared" si="380"/>
        <v>08</v>
      </c>
      <c r="O1718" s="14">
        <f t="shared" si="381"/>
        <v>19</v>
      </c>
      <c r="P1718" s="4">
        <v>1423.8</v>
      </c>
      <c r="R1718" s="6">
        <v>514</v>
      </c>
      <c r="S1718" s="5">
        <f t="shared" si="382"/>
        <v>2.7700389105058365</v>
      </c>
      <c r="T1718" s="5" t="s">
        <v>697</v>
      </c>
      <c r="U1718" s="3" t="s">
        <v>29</v>
      </c>
      <c r="V1718" s="3" t="s">
        <v>4</v>
      </c>
    </row>
    <row r="1719" spans="1:22" hidden="1">
      <c r="J1719" s="1" t="str">
        <f t="shared" si="376"/>
        <v>0</v>
      </c>
      <c r="K1719" s="3">
        <f t="shared" si="377"/>
        <v>-100</v>
      </c>
      <c r="L1719" s="3">
        <f t="shared" si="378"/>
        <v>1</v>
      </c>
      <c r="M1719" s="3">
        <f t="shared" si="379"/>
        <v>0</v>
      </c>
      <c r="N1719" s="3" t="str">
        <f t="shared" si="380"/>
        <v>01</v>
      </c>
      <c r="O1719" s="14" t="str">
        <f t="shared" si="381"/>
        <v>00</v>
      </c>
      <c r="P1719" s="132"/>
      <c r="R1719" s="6">
        <v>528</v>
      </c>
      <c r="S1719" s="5">
        <f t="shared" si="382"/>
        <v>0</v>
      </c>
      <c r="T1719" s="3"/>
    </row>
    <row r="1720" spans="1:22" hidden="1">
      <c r="J1720" s="1" t="str">
        <f t="shared" si="376"/>
        <v>0</v>
      </c>
      <c r="K1720" s="3">
        <f t="shared" si="377"/>
        <v>-100</v>
      </c>
      <c r="L1720" s="3">
        <f t="shared" si="378"/>
        <v>1</v>
      </c>
      <c r="M1720" s="3">
        <f t="shared" si="379"/>
        <v>0</v>
      </c>
      <c r="N1720" s="3" t="str">
        <f t="shared" si="380"/>
        <v>01</v>
      </c>
      <c r="O1720" s="14" t="str">
        <f t="shared" si="381"/>
        <v>00</v>
      </c>
      <c r="P1720" s="132"/>
      <c r="R1720" s="6">
        <v>528</v>
      </c>
      <c r="S1720" s="5">
        <f t="shared" si="382"/>
        <v>0</v>
      </c>
      <c r="T1720" s="3"/>
    </row>
    <row r="1721" spans="1:22" hidden="1">
      <c r="J1721" s="1" t="str">
        <f t="shared" si="376"/>
        <v>0</v>
      </c>
      <c r="K1721" s="3">
        <f t="shared" si="377"/>
        <v>-100</v>
      </c>
      <c r="L1721" s="3">
        <f t="shared" si="378"/>
        <v>1</v>
      </c>
      <c r="M1721" s="3">
        <f t="shared" si="379"/>
        <v>0</v>
      </c>
      <c r="N1721" s="3" t="str">
        <f t="shared" si="380"/>
        <v>01</v>
      </c>
      <c r="O1721" s="14" t="str">
        <f t="shared" si="381"/>
        <v>00</v>
      </c>
      <c r="P1721" s="132"/>
      <c r="R1721" s="6">
        <v>528</v>
      </c>
      <c r="S1721" s="5">
        <f t="shared" si="382"/>
        <v>0</v>
      </c>
      <c r="T1721" s="3"/>
    </row>
    <row r="1722" spans="1:22" hidden="1">
      <c r="J1722" s="1" t="str">
        <f t="shared" si="376"/>
        <v>0</v>
      </c>
      <c r="K1722" s="3">
        <f t="shared" si="377"/>
        <v>-100</v>
      </c>
      <c r="L1722" s="3">
        <f t="shared" si="378"/>
        <v>1</v>
      </c>
      <c r="M1722" s="3">
        <f t="shared" si="379"/>
        <v>0</v>
      </c>
      <c r="N1722" s="3" t="str">
        <f t="shared" si="380"/>
        <v>01</v>
      </c>
      <c r="O1722" s="14" t="str">
        <f t="shared" si="381"/>
        <v>00</v>
      </c>
      <c r="P1722" s="132"/>
      <c r="R1722" s="6">
        <v>528</v>
      </c>
      <c r="S1722" s="5">
        <f t="shared" si="382"/>
        <v>0</v>
      </c>
      <c r="T1722" s="3"/>
    </row>
    <row r="1723" spans="1:22" hidden="1">
      <c r="J1723" s="1" t="str">
        <f t="shared" si="376"/>
        <v>0</v>
      </c>
      <c r="K1723" s="3">
        <f t="shared" si="377"/>
        <v>-100</v>
      </c>
      <c r="L1723" s="3">
        <f t="shared" si="378"/>
        <v>1</v>
      </c>
      <c r="M1723" s="3">
        <f t="shared" si="379"/>
        <v>0</v>
      </c>
      <c r="N1723" s="3" t="str">
        <f t="shared" si="380"/>
        <v>01</v>
      </c>
      <c r="O1723" s="14" t="str">
        <f t="shared" si="381"/>
        <v>00</v>
      </c>
      <c r="P1723" s="133"/>
      <c r="R1723" s="6">
        <v>528</v>
      </c>
      <c r="S1723" s="5">
        <f t="shared" si="382"/>
        <v>0</v>
      </c>
      <c r="T1723" s="3"/>
    </row>
    <row r="1724" spans="1:22" hidden="1">
      <c r="J1724" s="1" t="str">
        <f t="shared" si="376"/>
        <v>0</v>
      </c>
      <c r="K1724" s="3">
        <f t="shared" si="377"/>
        <v>-100</v>
      </c>
      <c r="L1724" s="3">
        <f t="shared" si="378"/>
        <v>1</v>
      </c>
      <c r="M1724" s="3">
        <f t="shared" si="379"/>
        <v>0</v>
      </c>
      <c r="N1724" s="3" t="str">
        <f t="shared" si="380"/>
        <v>01</v>
      </c>
      <c r="O1724" s="14" t="str">
        <f t="shared" si="381"/>
        <v>00</v>
      </c>
      <c r="R1724" s="6">
        <v>519</v>
      </c>
      <c r="S1724" s="5">
        <f t="shared" si="382"/>
        <v>0</v>
      </c>
    </row>
    <row r="1725" spans="1:22" hidden="1">
      <c r="J1725" s="1" t="str">
        <f t="shared" si="376"/>
        <v>0</v>
      </c>
      <c r="K1725" s="3">
        <f t="shared" si="377"/>
        <v>-100</v>
      </c>
      <c r="L1725" s="3">
        <f t="shared" si="378"/>
        <v>1</v>
      </c>
      <c r="M1725" s="3">
        <f t="shared" si="379"/>
        <v>0</v>
      </c>
      <c r="N1725" s="3" t="str">
        <f t="shared" si="380"/>
        <v>01</v>
      </c>
      <c r="O1725" s="14" t="str">
        <f t="shared" si="381"/>
        <v>00</v>
      </c>
      <c r="R1725" s="6">
        <v>519</v>
      </c>
      <c r="S1725" s="5">
        <f t="shared" si="382"/>
        <v>0</v>
      </c>
    </row>
    <row r="1726" spans="1:22" hidden="1">
      <c r="J1726" s="1" t="str">
        <f t="shared" si="376"/>
        <v>0</v>
      </c>
      <c r="K1726" s="3">
        <f t="shared" si="377"/>
        <v>-100</v>
      </c>
      <c r="L1726" s="3">
        <f t="shared" si="378"/>
        <v>1</v>
      </c>
      <c r="M1726" s="3">
        <f t="shared" si="379"/>
        <v>0</v>
      </c>
      <c r="N1726" s="3" t="str">
        <f t="shared" si="380"/>
        <v>01</v>
      </c>
      <c r="O1726" s="14" t="str">
        <f t="shared" si="381"/>
        <v>00</v>
      </c>
      <c r="R1726" s="6">
        <v>519</v>
      </c>
      <c r="S1726" s="5">
        <f t="shared" si="382"/>
        <v>0</v>
      </c>
    </row>
    <row r="1727" spans="1:22" hidden="1">
      <c r="J1727" s="1" t="str">
        <f t="shared" si="376"/>
        <v>0</v>
      </c>
      <c r="K1727" s="3">
        <f t="shared" si="377"/>
        <v>-100</v>
      </c>
      <c r="L1727" s="3">
        <f t="shared" si="378"/>
        <v>1</v>
      </c>
      <c r="M1727" s="3">
        <f t="shared" si="379"/>
        <v>0</v>
      </c>
      <c r="N1727" s="3" t="str">
        <f t="shared" si="380"/>
        <v>01</v>
      </c>
      <c r="O1727" s="14" t="str">
        <f t="shared" si="381"/>
        <v>00</v>
      </c>
      <c r="R1727" s="6">
        <v>519</v>
      </c>
      <c r="S1727" s="5">
        <f t="shared" si="382"/>
        <v>0</v>
      </c>
    </row>
    <row r="1728" spans="1:22">
      <c r="A1728" s="3">
        <v>1636</v>
      </c>
      <c r="B1728" s="1">
        <f>IF(G1728="-",0,IF(G1726=G1728,1,0))</f>
        <v>0</v>
      </c>
      <c r="C1728" s="1">
        <f>+IF(G1728="-",0,IF(I1728=I1726+1,0,(IF(I1728=1,0,1))))</f>
        <v>1</v>
      </c>
      <c r="D1728" s="1">
        <f>+IF(AND(P1728="",Q1728=""),1,0)</f>
        <v>0</v>
      </c>
      <c r="E1728" s="1">
        <f>IF(U1728="",1,0)</f>
        <v>0</v>
      </c>
      <c r="F1728" s="1">
        <f>IF(V1728="",1,0)</f>
        <v>0</v>
      </c>
      <c r="G1728" s="1" t="str">
        <f>IF(H1728=0,"-",_xlfn.CONCAT(K1728,N1728,O1728,J1728))</f>
        <v>24082002</v>
      </c>
      <c r="H1728" s="2">
        <v>45524</v>
      </c>
      <c r="I1728" s="36">
        <v>2</v>
      </c>
      <c r="J1728" s="1" t="str">
        <f t="shared" si="376"/>
        <v>02</v>
      </c>
      <c r="K1728" s="3">
        <f t="shared" si="377"/>
        <v>24</v>
      </c>
      <c r="L1728" s="3">
        <f t="shared" si="378"/>
        <v>8</v>
      </c>
      <c r="M1728" s="3">
        <f t="shared" si="379"/>
        <v>20</v>
      </c>
      <c r="N1728" s="3" t="str">
        <f t="shared" si="380"/>
        <v>08</v>
      </c>
      <c r="O1728" s="14">
        <f t="shared" si="381"/>
        <v>20</v>
      </c>
      <c r="P1728" s="4">
        <v>3937</v>
      </c>
      <c r="R1728" s="6">
        <v>516</v>
      </c>
      <c r="S1728" s="5">
        <f t="shared" si="382"/>
        <v>7.6298449612403099</v>
      </c>
      <c r="T1728" s="5" t="s">
        <v>628</v>
      </c>
      <c r="U1728" s="3" t="s">
        <v>2</v>
      </c>
      <c r="V1728" s="3" t="s">
        <v>4</v>
      </c>
    </row>
    <row r="1729" spans="1:22" hidden="1">
      <c r="J1729" s="1" t="str">
        <f t="shared" si="376"/>
        <v>0</v>
      </c>
      <c r="K1729" s="3">
        <f t="shared" si="377"/>
        <v>-100</v>
      </c>
      <c r="L1729" s="3">
        <f t="shared" si="378"/>
        <v>1</v>
      </c>
      <c r="M1729" s="3">
        <f t="shared" si="379"/>
        <v>0</v>
      </c>
      <c r="N1729" s="3" t="str">
        <f t="shared" si="380"/>
        <v>01</v>
      </c>
      <c r="O1729" s="14" t="str">
        <f t="shared" si="381"/>
        <v>00</v>
      </c>
      <c r="R1729" s="6">
        <v>519</v>
      </c>
      <c r="S1729" s="5">
        <f t="shared" si="382"/>
        <v>0</v>
      </c>
    </row>
    <row r="1730" spans="1:22" hidden="1">
      <c r="J1730" s="1" t="str">
        <f t="shared" si="376"/>
        <v>0</v>
      </c>
      <c r="K1730" s="3">
        <f t="shared" si="377"/>
        <v>-100</v>
      </c>
      <c r="L1730" s="3">
        <f t="shared" si="378"/>
        <v>1</v>
      </c>
      <c r="M1730" s="3">
        <f t="shared" si="379"/>
        <v>0</v>
      </c>
      <c r="N1730" s="3" t="str">
        <f t="shared" si="380"/>
        <v>01</v>
      </c>
      <c r="O1730" s="14" t="str">
        <f t="shared" si="381"/>
        <v>00</v>
      </c>
      <c r="R1730" s="6">
        <v>519</v>
      </c>
      <c r="S1730" s="5">
        <f t="shared" si="382"/>
        <v>0</v>
      </c>
    </row>
    <row r="1731" spans="1:22" hidden="1">
      <c r="J1731" s="1" t="str">
        <f t="shared" si="376"/>
        <v>0</v>
      </c>
      <c r="K1731" s="3">
        <f t="shared" si="377"/>
        <v>-100</v>
      </c>
      <c r="L1731" s="3">
        <f t="shared" si="378"/>
        <v>1</v>
      </c>
      <c r="M1731" s="3">
        <f t="shared" si="379"/>
        <v>0</v>
      </c>
      <c r="N1731" s="3" t="str">
        <f t="shared" si="380"/>
        <v>01</v>
      </c>
      <c r="O1731" s="14" t="str">
        <f t="shared" si="381"/>
        <v>00</v>
      </c>
    </row>
    <row r="1732" spans="1:22" hidden="1">
      <c r="J1732" s="1" t="str">
        <f t="shared" si="376"/>
        <v>0</v>
      </c>
      <c r="K1732" s="3">
        <f t="shared" si="377"/>
        <v>-100</v>
      </c>
      <c r="L1732" s="3">
        <f t="shared" si="378"/>
        <v>1</v>
      </c>
      <c r="M1732" s="3">
        <f t="shared" si="379"/>
        <v>0</v>
      </c>
      <c r="N1732" s="3" t="str">
        <f t="shared" si="380"/>
        <v>01</v>
      </c>
      <c r="O1732" s="14" t="str">
        <f t="shared" si="381"/>
        <v>00</v>
      </c>
      <c r="R1732" s="6">
        <v>517</v>
      </c>
      <c r="S1732" s="5">
        <f t="shared" ref="S1732:S1743" si="385">IFERROR(P1732/R1732,"")</f>
        <v>0</v>
      </c>
    </row>
    <row r="1733" spans="1:22" hidden="1">
      <c r="J1733" s="1" t="str">
        <f t="shared" si="376"/>
        <v>0</v>
      </c>
      <c r="K1733" s="3">
        <f t="shared" si="377"/>
        <v>-100</v>
      </c>
      <c r="L1733" s="3">
        <f t="shared" si="378"/>
        <v>1</v>
      </c>
      <c r="M1733" s="3">
        <f t="shared" si="379"/>
        <v>0</v>
      </c>
      <c r="N1733" s="3" t="str">
        <f t="shared" si="380"/>
        <v>01</v>
      </c>
      <c r="O1733" s="14" t="str">
        <f t="shared" si="381"/>
        <v>00</v>
      </c>
      <c r="R1733" s="6">
        <v>517</v>
      </c>
      <c r="S1733" s="5">
        <f t="shared" si="385"/>
        <v>0</v>
      </c>
    </row>
    <row r="1734" spans="1:22">
      <c r="A1734" s="3">
        <v>1637</v>
      </c>
      <c r="B1734" s="1">
        <f>IF(G1734="-",0,IF(G1733=G1734,1,0))</f>
        <v>0</v>
      </c>
      <c r="C1734" s="1">
        <f>+IF(G1734="-",0,IF(I1734=I1733+1,0,(IF(I1734=1,0,1))))</f>
        <v>1</v>
      </c>
      <c r="D1734" s="1">
        <f>+IF(AND(P1734="",Q1734=""),1,0)</f>
        <v>0</v>
      </c>
      <c r="E1734" s="1">
        <f>IF(U1734="",1,0)</f>
        <v>0</v>
      </c>
      <c r="F1734" s="1">
        <f>IF(V1734="",1,0)</f>
        <v>0</v>
      </c>
      <c r="G1734" s="1" t="str">
        <f>IF(H1734=0,"-",_xlfn.CONCAT(K1734,N1734,O1734,J1734))</f>
        <v>24082003</v>
      </c>
      <c r="H1734" s="2">
        <v>45524</v>
      </c>
      <c r="I1734" s="36">
        <v>3</v>
      </c>
      <c r="J1734" s="1" t="str">
        <f t="shared" si="376"/>
        <v>03</v>
      </c>
      <c r="K1734" s="3">
        <f t="shared" si="377"/>
        <v>24</v>
      </c>
      <c r="L1734" s="3">
        <f t="shared" si="378"/>
        <v>8</v>
      </c>
      <c r="M1734" s="3">
        <f t="shared" si="379"/>
        <v>20</v>
      </c>
      <c r="N1734" s="3" t="str">
        <f t="shared" si="380"/>
        <v>08</v>
      </c>
      <c r="O1734" s="14">
        <f t="shared" si="381"/>
        <v>20</v>
      </c>
      <c r="P1734" s="4">
        <v>1695</v>
      </c>
      <c r="R1734" s="6">
        <v>516</v>
      </c>
      <c r="S1734" s="5">
        <f t="shared" si="385"/>
        <v>3.2848837209302326</v>
      </c>
      <c r="T1734" s="5" t="s">
        <v>629</v>
      </c>
      <c r="U1734" s="3" t="s">
        <v>2</v>
      </c>
      <c r="V1734" s="3" t="s">
        <v>4</v>
      </c>
    </row>
    <row r="1735" spans="1:22" hidden="1">
      <c r="J1735" s="1" t="str">
        <f t="shared" si="376"/>
        <v>0</v>
      </c>
      <c r="K1735" s="3">
        <f t="shared" si="377"/>
        <v>-100</v>
      </c>
      <c r="L1735" s="3">
        <f t="shared" si="378"/>
        <v>1</v>
      </c>
      <c r="M1735" s="3">
        <f t="shared" si="379"/>
        <v>0</v>
      </c>
      <c r="N1735" s="3" t="str">
        <f t="shared" si="380"/>
        <v>01</v>
      </c>
      <c r="O1735" s="14" t="str">
        <f t="shared" si="381"/>
        <v>00</v>
      </c>
      <c r="R1735" s="6">
        <v>517</v>
      </c>
      <c r="S1735" s="5">
        <f t="shared" si="385"/>
        <v>0</v>
      </c>
    </row>
    <row r="1736" spans="1:22" hidden="1">
      <c r="J1736" s="1" t="str">
        <f t="shared" si="376"/>
        <v>0</v>
      </c>
      <c r="K1736" s="3">
        <f t="shared" si="377"/>
        <v>-100</v>
      </c>
      <c r="L1736" s="3">
        <f t="shared" si="378"/>
        <v>1</v>
      </c>
      <c r="M1736" s="3">
        <f t="shared" si="379"/>
        <v>0</v>
      </c>
      <c r="N1736" s="3" t="str">
        <f t="shared" si="380"/>
        <v>01</v>
      </c>
      <c r="O1736" s="14" t="str">
        <f t="shared" si="381"/>
        <v>00</v>
      </c>
      <c r="R1736" s="6">
        <v>517</v>
      </c>
      <c r="S1736" s="5">
        <f t="shared" si="385"/>
        <v>0</v>
      </c>
    </row>
    <row r="1737" spans="1:22">
      <c r="A1737" s="3">
        <v>1640</v>
      </c>
      <c r="B1737" s="1">
        <f>IF(G1737="-",0,IF(G1736=G1737,1,0))</f>
        <v>0</v>
      </c>
      <c r="C1737" s="1">
        <f>+IF(G1737="-",0,IF(I1737=I1736+1,0,(IF(I1737=1,0,1))))</f>
        <v>1</v>
      </c>
      <c r="D1737" s="1">
        <f>+IF(AND(P1737="",Q1737=""),1,0)</f>
        <v>0</v>
      </c>
      <c r="E1737" s="1">
        <f>IF(U1737="",1,0)</f>
        <v>0</v>
      </c>
      <c r="F1737" s="1">
        <f>IF(V1737="",1,0)</f>
        <v>0</v>
      </c>
      <c r="G1737" s="1" t="str">
        <f>IF(H1737=0,"-",_xlfn.CONCAT(K1737,N1737,O1737,J1737))</f>
        <v>24082006</v>
      </c>
      <c r="H1737" s="2">
        <v>45524</v>
      </c>
      <c r="I1737" s="36">
        <v>6</v>
      </c>
      <c r="J1737" s="1" t="str">
        <f t="shared" si="376"/>
        <v>06</v>
      </c>
      <c r="K1737" s="3">
        <f t="shared" si="377"/>
        <v>24</v>
      </c>
      <c r="L1737" s="3">
        <f t="shared" si="378"/>
        <v>8</v>
      </c>
      <c r="M1737" s="3">
        <f t="shared" si="379"/>
        <v>20</v>
      </c>
      <c r="N1737" s="3" t="str">
        <f t="shared" si="380"/>
        <v>08</v>
      </c>
      <c r="O1737" s="14">
        <f t="shared" si="381"/>
        <v>20</v>
      </c>
      <c r="P1737" s="4">
        <v>1750</v>
      </c>
      <c r="R1737" s="6">
        <v>516</v>
      </c>
      <c r="S1737" s="5">
        <f t="shared" si="385"/>
        <v>3.3914728682170541</v>
      </c>
      <c r="T1737" s="5" t="s">
        <v>87</v>
      </c>
      <c r="U1737" s="3" t="s">
        <v>29</v>
      </c>
      <c r="V1737" s="3" t="s">
        <v>4</v>
      </c>
    </row>
    <row r="1738" spans="1:22">
      <c r="A1738" s="3">
        <v>1642</v>
      </c>
      <c r="B1738" s="1">
        <f>IF(G1738="-",0,IF(G1737=G1738,1,0))</f>
        <v>0</v>
      </c>
      <c r="C1738" s="1">
        <f>+IF(G1738="-",0,IF(I1738=I1737+1,0,(IF(I1738=1,0,1))))</f>
        <v>1</v>
      </c>
      <c r="D1738" s="1">
        <f>+IF(AND(P1738="",Q1738=""),1,0)</f>
        <v>0</v>
      </c>
      <c r="E1738" s="1">
        <f>IF(U1738="",1,0)</f>
        <v>0</v>
      </c>
      <c r="F1738" s="1">
        <f>IF(V1738="",1,0)</f>
        <v>0</v>
      </c>
      <c r="G1738" s="1" t="str">
        <f>IF(H1738=0,"-",_xlfn.CONCAT(K1738,N1738,O1738,J1738))</f>
        <v>24082008</v>
      </c>
      <c r="H1738" s="2">
        <v>45524</v>
      </c>
      <c r="I1738" s="36">
        <v>8</v>
      </c>
      <c r="J1738" s="1" t="str">
        <f t="shared" si="376"/>
        <v>08</v>
      </c>
      <c r="K1738" s="3">
        <f t="shared" si="377"/>
        <v>24</v>
      </c>
      <c r="L1738" s="3">
        <f t="shared" si="378"/>
        <v>8</v>
      </c>
      <c r="M1738" s="3">
        <f t="shared" si="379"/>
        <v>20</v>
      </c>
      <c r="N1738" s="3" t="str">
        <f t="shared" si="380"/>
        <v>08</v>
      </c>
      <c r="O1738" s="14">
        <f t="shared" si="381"/>
        <v>20</v>
      </c>
      <c r="P1738" s="4">
        <v>150000</v>
      </c>
      <c r="R1738" s="6">
        <v>516</v>
      </c>
      <c r="S1738" s="5">
        <f t="shared" si="385"/>
        <v>290.69767441860466</v>
      </c>
      <c r="T1738" s="5" t="s">
        <v>631</v>
      </c>
      <c r="U1738" s="3" t="s">
        <v>2</v>
      </c>
      <c r="V1738" s="3" t="s">
        <v>4</v>
      </c>
    </row>
    <row r="1739" spans="1:22" hidden="1">
      <c r="J1739" s="1" t="str">
        <f t="shared" si="376"/>
        <v>0</v>
      </c>
      <c r="K1739" s="3">
        <f t="shared" si="377"/>
        <v>-100</v>
      </c>
      <c r="L1739" s="3">
        <f t="shared" si="378"/>
        <v>1</v>
      </c>
      <c r="M1739" s="3">
        <f t="shared" si="379"/>
        <v>0</v>
      </c>
      <c r="N1739" s="3" t="str">
        <f t="shared" si="380"/>
        <v>01</v>
      </c>
      <c r="O1739" s="14" t="str">
        <f t="shared" si="381"/>
        <v>00</v>
      </c>
      <c r="R1739" s="6">
        <v>512</v>
      </c>
      <c r="S1739" s="5">
        <f t="shared" si="385"/>
        <v>0</v>
      </c>
    </row>
    <row r="1740" spans="1:22" hidden="1">
      <c r="J1740" s="1" t="str">
        <f t="shared" si="376"/>
        <v>0</v>
      </c>
      <c r="K1740" s="3">
        <f t="shared" si="377"/>
        <v>-100</v>
      </c>
      <c r="L1740" s="3">
        <f t="shared" si="378"/>
        <v>1</v>
      </c>
      <c r="M1740" s="3">
        <f t="shared" si="379"/>
        <v>0</v>
      </c>
      <c r="N1740" s="3" t="str">
        <f t="shared" si="380"/>
        <v>01</v>
      </c>
      <c r="O1740" s="14" t="str">
        <f t="shared" si="381"/>
        <v>00</v>
      </c>
      <c r="R1740" s="6">
        <v>512</v>
      </c>
      <c r="S1740" s="5">
        <f t="shared" si="385"/>
        <v>0</v>
      </c>
    </row>
    <row r="1741" spans="1:22">
      <c r="A1741" s="3">
        <v>1656</v>
      </c>
      <c r="B1741" s="1">
        <f>IF(G1741="-",0,IF(G1740=G1741,1,0))</f>
        <v>0</v>
      </c>
      <c r="C1741" s="1">
        <f>+IF(G1741="-",0,IF(I1741=I1740+1,0,(IF(I1741=1,0,1))))</f>
        <v>1</v>
      </c>
      <c r="D1741" s="1">
        <f>+IF(AND(P1741="",Q1741=""),1,0)</f>
        <v>0</v>
      </c>
      <c r="E1741" s="1">
        <f>IF(U1741="",1,0)</f>
        <v>0</v>
      </c>
      <c r="F1741" s="1">
        <f>IF(V1741="",1,0)</f>
        <v>0</v>
      </c>
      <c r="G1741" s="1" t="str">
        <f>IF(H1741=0,"-",_xlfn.CONCAT(K1741,N1741,O1741,J1741))</f>
        <v>24082022</v>
      </c>
      <c r="H1741" s="2">
        <v>45524</v>
      </c>
      <c r="I1741" s="36">
        <v>22</v>
      </c>
      <c r="J1741" s="1">
        <f t="shared" ref="J1741:J1804" si="386">+IF(I1741&lt;10,_xlfn.CONCAT("0",I1741),I1741)</f>
        <v>22</v>
      </c>
      <c r="K1741" s="3">
        <f t="shared" ref="K1741:K1804" si="387">+YEAR(H1741)-2000</f>
        <v>24</v>
      </c>
      <c r="L1741" s="3">
        <f t="shared" ref="L1741:L1804" si="388">+MONTH(H1741)</f>
        <v>8</v>
      </c>
      <c r="M1741" s="3">
        <f t="shared" ref="M1741:M1804" si="389">+DAY(H1741)</f>
        <v>20</v>
      </c>
      <c r="N1741" s="3" t="str">
        <f t="shared" ref="N1741:N1804" si="390">+IF(L1741&lt;10,_xlfn.CONCAT("0",L1741),L1741)</f>
        <v>08</v>
      </c>
      <c r="O1741" s="14">
        <f t="shared" ref="O1741:O1804" si="391">+IF(M1741&lt;10,_xlfn.CONCAT("0",M1741),M1741)</f>
        <v>20</v>
      </c>
      <c r="P1741" s="4">
        <v>75688.240000000005</v>
      </c>
      <c r="R1741" s="6">
        <v>516</v>
      </c>
      <c r="S1741" s="5">
        <f t="shared" si="385"/>
        <v>146.68263565891473</v>
      </c>
      <c r="T1741" s="5" t="s">
        <v>764</v>
      </c>
      <c r="U1741" s="3" t="s">
        <v>29</v>
      </c>
      <c r="V1741" s="3" t="s">
        <v>4</v>
      </c>
    </row>
    <row r="1742" spans="1:22">
      <c r="A1742" s="3">
        <v>1674</v>
      </c>
      <c r="B1742" s="1">
        <f>IF(G1742="-",0,IF(G1741=G1742,1,0))</f>
        <v>0</v>
      </c>
      <c r="C1742" s="1">
        <f>+IF(G1742="-",0,IF(I1742=I1741+1,0,(IF(I1742=1,0,1))))</f>
        <v>0</v>
      </c>
      <c r="D1742" s="1">
        <f>+IF(AND(P1742="",Q1742=""),1,0)</f>
        <v>0</v>
      </c>
      <c r="E1742" s="1">
        <f>IF(U1742="",1,0)</f>
        <v>0</v>
      </c>
      <c r="F1742" s="1">
        <f>IF(V1742="",1,0)</f>
        <v>0</v>
      </c>
      <c r="G1742" s="1" t="str">
        <f>IF(H1742=0,"-",_xlfn.CONCAT(K1742,N1742,O1742,J1742))</f>
        <v>24082301</v>
      </c>
      <c r="H1742" s="2">
        <v>45527</v>
      </c>
      <c r="I1742" s="36">
        <v>1</v>
      </c>
      <c r="J1742" s="1" t="str">
        <f t="shared" si="386"/>
        <v>01</v>
      </c>
      <c r="K1742" s="3">
        <f t="shared" si="387"/>
        <v>24</v>
      </c>
      <c r="L1742" s="3">
        <f t="shared" si="388"/>
        <v>8</v>
      </c>
      <c r="M1742" s="3">
        <f t="shared" si="389"/>
        <v>23</v>
      </c>
      <c r="N1742" s="3" t="str">
        <f t="shared" si="390"/>
        <v>08</v>
      </c>
      <c r="O1742" s="14">
        <f t="shared" si="391"/>
        <v>23</v>
      </c>
      <c r="P1742" s="4">
        <v>2618.7800000000002</v>
      </c>
      <c r="R1742" s="6">
        <v>519</v>
      </c>
      <c r="S1742" s="5">
        <f t="shared" si="385"/>
        <v>5.045818882466282</v>
      </c>
      <c r="T1742" s="5" t="s">
        <v>40</v>
      </c>
      <c r="U1742" s="3" t="s">
        <v>29</v>
      </c>
      <c r="V1742" s="3" t="s">
        <v>4</v>
      </c>
    </row>
    <row r="1743" spans="1:22" hidden="1">
      <c r="J1743" s="1" t="str">
        <f t="shared" si="386"/>
        <v>0</v>
      </c>
      <c r="K1743" s="3">
        <f t="shared" si="387"/>
        <v>-100</v>
      </c>
      <c r="L1743" s="3">
        <f t="shared" si="388"/>
        <v>1</v>
      </c>
      <c r="M1743" s="3">
        <f t="shared" si="389"/>
        <v>0</v>
      </c>
      <c r="N1743" s="3" t="str">
        <f t="shared" si="390"/>
        <v>01</v>
      </c>
      <c r="O1743" s="14" t="str">
        <f t="shared" si="391"/>
        <v>00</v>
      </c>
      <c r="R1743" s="6">
        <v>512</v>
      </c>
      <c r="S1743" s="5">
        <f t="shared" si="385"/>
        <v>0</v>
      </c>
    </row>
    <row r="1744" spans="1:22" hidden="1">
      <c r="J1744" s="1" t="str">
        <f t="shared" si="386"/>
        <v>0</v>
      </c>
      <c r="K1744" s="3">
        <f t="shared" si="387"/>
        <v>-100</v>
      </c>
      <c r="L1744" s="3">
        <f t="shared" si="388"/>
        <v>1</v>
      </c>
      <c r="M1744" s="3">
        <f t="shared" si="389"/>
        <v>0</v>
      </c>
      <c r="N1744" s="3" t="str">
        <f t="shared" si="390"/>
        <v>01</v>
      </c>
      <c r="O1744" s="14" t="str">
        <f t="shared" si="391"/>
        <v>00</v>
      </c>
    </row>
    <row r="1745" spans="1:22" hidden="1">
      <c r="J1745" s="1" t="str">
        <f t="shared" si="386"/>
        <v>0</v>
      </c>
      <c r="K1745" s="3">
        <f t="shared" si="387"/>
        <v>-100</v>
      </c>
      <c r="L1745" s="3">
        <f t="shared" si="388"/>
        <v>1</v>
      </c>
      <c r="M1745" s="3">
        <f t="shared" si="389"/>
        <v>0</v>
      </c>
      <c r="N1745" s="3" t="str">
        <f t="shared" si="390"/>
        <v>01</v>
      </c>
      <c r="O1745" s="14" t="str">
        <f t="shared" si="391"/>
        <v>00</v>
      </c>
      <c r="R1745" s="6">
        <v>512</v>
      </c>
      <c r="S1745" s="5">
        <f t="shared" ref="S1745:S1775" si="392">IFERROR(P1745/R1745,"")</f>
        <v>0</v>
      </c>
    </row>
    <row r="1746" spans="1:22" hidden="1">
      <c r="J1746" s="1" t="str">
        <f t="shared" si="386"/>
        <v>0</v>
      </c>
      <c r="K1746" s="3">
        <f t="shared" si="387"/>
        <v>-100</v>
      </c>
      <c r="L1746" s="3">
        <f t="shared" si="388"/>
        <v>1</v>
      </c>
      <c r="M1746" s="3">
        <f t="shared" si="389"/>
        <v>0</v>
      </c>
      <c r="N1746" s="3" t="str">
        <f t="shared" si="390"/>
        <v>01</v>
      </c>
      <c r="O1746" s="14" t="str">
        <f t="shared" si="391"/>
        <v>00</v>
      </c>
      <c r="R1746" s="6">
        <v>512</v>
      </c>
      <c r="S1746" s="5">
        <f t="shared" si="392"/>
        <v>0</v>
      </c>
    </row>
    <row r="1747" spans="1:22" hidden="1">
      <c r="J1747" s="1" t="str">
        <f t="shared" si="386"/>
        <v>0</v>
      </c>
      <c r="K1747" s="3">
        <f t="shared" si="387"/>
        <v>-100</v>
      </c>
      <c r="L1747" s="3">
        <f t="shared" si="388"/>
        <v>1</v>
      </c>
      <c r="M1747" s="3">
        <f t="shared" si="389"/>
        <v>0</v>
      </c>
      <c r="N1747" s="3" t="str">
        <f t="shared" si="390"/>
        <v>01</v>
      </c>
      <c r="O1747" s="14" t="str">
        <f t="shared" si="391"/>
        <v>00</v>
      </c>
      <c r="R1747" s="6">
        <v>512</v>
      </c>
      <c r="S1747" s="5">
        <f t="shared" si="392"/>
        <v>0</v>
      </c>
    </row>
    <row r="1748" spans="1:22" hidden="1">
      <c r="J1748" s="1" t="str">
        <f t="shared" si="386"/>
        <v>0</v>
      </c>
      <c r="K1748" s="3">
        <f t="shared" si="387"/>
        <v>-100</v>
      </c>
      <c r="L1748" s="3">
        <f t="shared" si="388"/>
        <v>1</v>
      </c>
      <c r="M1748" s="3">
        <f t="shared" si="389"/>
        <v>0</v>
      </c>
      <c r="N1748" s="3" t="str">
        <f t="shared" si="390"/>
        <v>01</v>
      </c>
      <c r="O1748" s="14" t="str">
        <f t="shared" si="391"/>
        <v>00</v>
      </c>
      <c r="R1748" s="6">
        <v>512</v>
      </c>
      <c r="S1748" s="5">
        <f t="shared" si="392"/>
        <v>0</v>
      </c>
    </row>
    <row r="1749" spans="1:22" hidden="1">
      <c r="J1749" s="1" t="str">
        <f t="shared" si="386"/>
        <v>0</v>
      </c>
      <c r="K1749" s="3">
        <f t="shared" si="387"/>
        <v>-100</v>
      </c>
      <c r="L1749" s="3">
        <f t="shared" si="388"/>
        <v>1</v>
      </c>
      <c r="M1749" s="3">
        <f t="shared" si="389"/>
        <v>0</v>
      </c>
      <c r="N1749" s="3" t="str">
        <f t="shared" si="390"/>
        <v>01</v>
      </c>
      <c r="O1749" s="14" t="str">
        <f t="shared" si="391"/>
        <v>00</v>
      </c>
      <c r="R1749" s="6">
        <v>512</v>
      </c>
      <c r="S1749" s="5">
        <f t="shared" si="392"/>
        <v>0</v>
      </c>
    </row>
    <row r="1750" spans="1:22" hidden="1">
      <c r="J1750" s="1" t="str">
        <f t="shared" si="386"/>
        <v>0</v>
      </c>
      <c r="K1750" s="3">
        <f t="shared" si="387"/>
        <v>-100</v>
      </c>
      <c r="L1750" s="3">
        <f t="shared" si="388"/>
        <v>1</v>
      </c>
      <c r="M1750" s="3">
        <f t="shared" si="389"/>
        <v>0</v>
      </c>
      <c r="N1750" s="3" t="str">
        <f t="shared" si="390"/>
        <v>01</v>
      </c>
      <c r="O1750" s="14" t="str">
        <f t="shared" si="391"/>
        <v>00</v>
      </c>
      <c r="R1750" s="6">
        <v>512</v>
      </c>
      <c r="S1750" s="5">
        <f t="shared" si="392"/>
        <v>0</v>
      </c>
    </row>
    <row r="1751" spans="1:22" hidden="1">
      <c r="J1751" s="1" t="str">
        <f t="shared" si="386"/>
        <v>0</v>
      </c>
      <c r="K1751" s="3">
        <f t="shared" si="387"/>
        <v>-100</v>
      </c>
      <c r="L1751" s="3">
        <f t="shared" si="388"/>
        <v>1</v>
      </c>
      <c r="M1751" s="3">
        <f t="shared" si="389"/>
        <v>0</v>
      </c>
      <c r="N1751" s="3" t="str">
        <f t="shared" si="390"/>
        <v>01</v>
      </c>
      <c r="O1751" s="14" t="str">
        <f t="shared" si="391"/>
        <v>00</v>
      </c>
      <c r="R1751" s="6">
        <v>512</v>
      </c>
      <c r="S1751" s="5">
        <f t="shared" si="392"/>
        <v>0</v>
      </c>
    </row>
    <row r="1752" spans="1:22" hidden="1">
      <c r="J1752" s="1" t="str">
        <f t="shared" si="386"/>
        <v>0</v>
      </c>
      <c r="K1752" s="3">
        <f t="shared" si="387"/>
        <v>-100</v>
      </c>
      <c r="L1752" s="3">
        <f t="shared" si="388"/>
        <v>1</v>
      </c>
      <c r="M1752" s="3">
        <f t="shared" si="389"/>
        <v>0</v>
      </c>
      <c r="N1752" s="3" t="str">
        <f t="shared" si="390"/>
        <v>01</v>
      </c>
      <c r="O1752" s="14" t="str">
        <f t="shared" si="391"/>
        <v>00</v>
      </c>
      <c r="R1752" s="6">
        <v>512</v>
      </c>
      <c r="S1752" s="5">
        <f t="shared" si="392"/>
        <v>0</v>
      </c>
    </row>
    <row r="1753" spans="1:22" hidden="1">
      <c r="J1753" s="1" t="str">
        <f t="shared" si="386"/>
        <v>0</v>
      </c>
      <c r="K1753" s="3">
        <f t="shared" si="387"/>
        <v>-100</v>
      </c>
      <c r="L1753" s="3">
        <f t="shared" si="388"/>
        <v>1</v>
      </c>
      <c r="M1753" s="3">
        <f t="shared" si="389"/>
        <v>0</v>
      </c>
      <c r="N1753" s="3" t="str">
        <f t="shared" si="390"/>
        <v>01</v>
      </c>
      <c r="O1753" s="14" t="str">
        <f t="shared" si="391"/>
        <v>00</v>
      </c>
      <c r="R1753" s="6">
        <v>512</v>
      </c>
      <c r="S1753" s="5">
        <f t="shared" si="392"/>
        <v>0</v>
      </c>
    </row>
    <row r="1754" spans="1:22" hidden="1">
      <c r="J1754" s="1" t="str">
        <f t="shared" si="386"/>
        <v>0</v>
      </c>
      <c r="K1754" s="3">
        <f t="shared" si="387"/>
        <v>-100</v>
      </c>
      <c r="L1754" s="3">
        <f t="shared" si="388"/>
        <v>1</v>
      </c>
      <c r="M1754" s="3">
        <f t="shared" si="389"/>
        <v>0</v>
      </c>
      <c r="N1754" s="3" t="str">
        <f t="shared" si="390"/>
        <v>01</v>
      </c>
      <c r="O1754" s="14" t="str">
        <f t="shared" si="391"/>
        <v>00</v>
      </c>
      <c r="R1754" s="6">
        <v>512</v>
      </c>
      <c r="S1754" s="5">
        <f t="shared" si="392"/>
        <v>0</v>
      </c>
    </row>
    <row r="1755" spans="1:22" hidden="1">
      <c r="J1755" s="1" t="str">
        <f t="shared" si="386"/>
        <v>0</v>
      </c>
      <c r="K1755" s="3">
        <f t="shared" si="387"/>
        <v>-100</v>
      </c>
      <c r="L1755" s="3">
        <f t="shared" si="388"/>
        <v>1</v>
      </c>
      <c r="M1755" s="3">
        <f t="shared" si="389"/>
        <v>0</v>
      </c>
      <c r="N1755" s="3" t="str">
        <f t="shared" si="390"/>
        <v>01</v>
      </c>
      <c r="O1755" s="14" t="str">
        <f t="shared" si="391"/>
        <v>00</v>
      </c>
      <c r="R1755" s="6">
        <v>512</v>
      </c>
      <c r="S1755" s="5">
        <f t="shared" si="392"/>
        <v>0</v>
      </c>
    </row>
    <row r="1756" spans="1:22" hidden="1">
      <c r="J1756" s="1" t="str">
        <f t="shared" si="386"/>
        <v>0</v>
      </c>
      <c r="K1756" s="3">
        <f t="shared" si="387"/>
        <v>-100</v>
      </c>
      <c r="L1756" s="3">
        <f t="shared" si="388"/>
        <v>1</v>
      </c>
      <c r="M1756" s="3">
        <f t="shared" si="389"/>
        <v>0</v>
      </c>
      <c r="N1756" s="3" t="str">
        <f t="shared" si="390"/>
        <v>01</v>
      </c>
      <c r="O1756" s="14" t="str">
        <f t="shared" si="391"/>
        <v>00</v>
      </c>
      <c r="R1756" s="6">
        <v>512</v>
      </c>
      <c r="S1756" s="5">
        <f t="shared" si="392"/>
        <v>0</v>
      </c>
    </row>
    <row r="1757" spans="1:22" hidden="1">
      <c r="J1757" s="1" t="str">
        <f t="shared" si="386"/>
        <v>0</v>
      </c>
      <c r="K1757" s="3">
        <f t="shared" si="387"/>
        <v>-100</v>
      </c>
      <c r="L1757" s="3">
        <f t="shared" si="388"/>
        <v>1</v>
      </c>
      <c r="M1757" s="3">
        <f t="shared" si="389"/>
        <v>0</v>
      </c>
      <c r="N1757" s="3" t="str">
        <f t="shared" si="390"/>
        <v>01</v>
      </c>
      <c r="O1757" s="14" t="str">
        <f t="shared" si="391"/>
        <v>00</v>
      </c>
      <c r="R1757" s="6">
        <v>512</v>
      </c>
      <c r="S1757" s="5">
        <f t="shared" si="392"/>
        <v>0</v>
      </c>
    </row>
    <row r="1758" spans="1:22">
      <c r="A1758" s="3">
        <v>1675</v>
      </c>
      <c r="B1758" s="1">
        <f>IF(G1758="-",0,IF(G1757=G1758,1,0))</f>
        <v>0</v>
      </c>
      <c r="C1758" s="1">
        <f>+IF(G1758="-",0,IF(I1758=I1757+1,0,(IF(I1758=1,0,1))))</f>
        <v>1</v>
      </c>
      <c r="D1758" s="1">
        <f>+IF(AND(P1758="",Q1758=""),1,0)</f>
        <v>0</v>
      </c>
      <c r="E1758" s="1">
        <f t="shared" ref="E1758:F1761" si="393">IF(U1758="",1,0)</f>
        <v>0</v>
      </c>
      <c r="F1758" s="1">
        <f t="shared" si="393"/>
        <v>0</v>
      </c>
      <c r="G1758" s="1" t="str">
        <f>IF(H1758=0,"-",_xlfn.CONCAT(K1758,N1758,O1758,J1758))</f>
        <v>24082302</v>
      </c>
      <c r="H1758" s="2">
        <v>45527</v>
      </c>
      <c r="I1758" s="36">
        <v>2</v>
      </c>
      <c r="J1758" s="1" t="str">
        <f t="shared" si="386"/>
        <v>02</v>
      </c>
      <c r="K1758" s="3">
        <f t="shared" si="387"/>
        <v>24</v>
      </c>
      <c r="L1758" s="3">
        <f t="shared" si="388"/>
        <v>8</v>
      </c>
      <c r="M1758" s="3">
        <f t="shared" si="389"/>
        <v>23</v>
      </c>
      <c r="N1758" s="3" t="str">
        <f t="shared" si="390"/>
        <v>08</v>
      </c>
      <c r="O1758" s="14">
        <f t="shared" si="391"/>
        <v>23</v>
      </c>
      <c r="P1758" s="4">
        <v>9601.61</v>
      </c>
      <c r="R1758" s="6">
        <v>519</v>
      </c>
      <c r="S1758" s="5">
        <f t="shared" si="392"/>
        <v>18.500211946050097</v>
      </c>
      <c r="T1758" s="5" t="s">
        <v>40</v>
      </c>
      <c r="U1758" s="3" t="s">
        <v>29</v>
      </c>
      <c r="V1758" s="3" t="s">
        <v>4</v>
      </c>
    </row>
    <row r="1759" spans="1:22">
      <c r="A1759" s="3">
        <v>1677</v>
      </c>
      <c r="B1759" s="1">
        <f>IF(G1759="-",0,IF(G1758=G1759,1,0))</f>
        <v>0</v>
      </c>
      <c r="C1759" s="1">
        <f>+IF(G1759="-",0,IF(I1759=I1758+1,0,(IF(I1759=1,0,1))))</f>
        <v>1</v>
      </c>
      <c r="D1759" s="1">
        <f>+IF(AND(P1759="",Q1759=""),1,0)</f>
        <v>0</v>
      </c>
      <c r="E1759" s="1">
        <f t="shared" si="393"/>
        <v>1</v>
      </c>
      <c r="F1759" s="1">
        <f t="shared" si="393"/>
        <v>0</v>
      </c>
      <c r="G1759" s="1" t="str">
        <f>IF(H1759=0,"-",_xlfn.CONCAT(K1759,N1759,O1759,J1759))</f>
        <v>24082304</v>
      </c>
      <c r="H1759" s="2">
        <v>45527</v>
      </c>
      <c r="I1759" s="36">
        <v>4</v>
      </c>
      <c r="J1759" s="1" t="str">
        <f t="shared" si="386"/>
        <v>04</v>
      </c>
      <c r="K1759" s="3">
        <f t="shared" si="387"/>
        <v>24</v>
      </c>
      <c r="L1759" s="3">
        <f t="shared" si="388"/>
        <v>8</v>
      </c>
      <c r="M1759" s="3">
        <f t="shared" si="389"/>
        <v>23</v>
      </c>
      <c r="N1759" s="3" t="str">
        <f t="shared" si="390"/>
        <v>08</v>
      </c>
      <c r="O1759" s="14">
        <f t="shared" si="391"/>
        <v>23</v>
      </c>
      <c r="P1759" s="4">
        <v>254250</v>
      </c>
      <c r="R1759" s="6">
        <v>519</v>
      </c>
      <c r="S1759" s="5">
        <f t="shared" si="392"/>
        <v>489.88439306358384</v>
      </c>
      <c r="T1759" s="5" t="s">
        <v>675</v>
      </c>
      <c r="V1759" s="3" t="s">
        <v>4</v>
      </c>
    </row>
    <row r="1760" spans="1:22">
      <c r="A1760" s="3">
        <v>1682</v>
      </c>
      <c r="B1760" s="1">
        <f>IF(G1760="-",0,IF(G1759=G1760,1,0))</f>
        <v>0</v>
      </c>
      <c r="C1760" s="1">
        <f>+IF(G1760="-",0,IF(I1760=I1759+1,0,(IF(I1760=1,0,1))))</f>
        <v>1</v>
      </c>
      <c r="D1760" s="1">
        <f>+IF(AND(P1760="",Q1760=""),1,0)</f>
        <v>0</v>
      </c>
      <c r="E1760" s="1">
        <f t="shared" si="393"/>
        <v>0</v>
      </c>
      <c r="F1760" s="1">
        <f t="shared" si="393"/>
        <v>0</v>
      </c>
      <c r="G1760" s="1" t="str">
        <f>IF(H1760=0,"-",_xlfn.CONCAT(K1760,N1760,O1760,J1760))</f>
        <v>24082403</v>
      </c>
      <c r="H1760" s="2">
        <v>45528</v>
      </c>
      <c r="I1760" s="36">
        <v>3</v>
      </c>
      <c r="J1760" s="1" t="str">
        <f t="shared" si="386"/>
        <v>03</v>
      </c>
      <c r="K1760" s="3">
        <f t="shared" si="387"/>
        <v>24</v>
      </c>
      <c r="L1760" s="3">
        <f t="shared" si="388"/>
        <v>8</v>
      </c>
      <c r="M1760" s="3">
        <f t="shared" si="389"/>
        <v>24</v>
      </c>
      <c r="N1760" s="3" t="str">
        <f t="shared" si="390"/>
        <v>08</v>
      </c>
      <c r="O1760" s="14">
        <f t="shared" si="391"/>
        <v>24</v>
      </c>
      <c r="P1760" s="11">
        <v>223474.27</v>
      </c>
      <c r="R1760" s="6">
        <v>528</v>
      </c>
      <c r="S1760" s="5">
        <f t="shared" si="392"/>
        <v>423.24672348484847</v>
      </c>
      <c r="T1760" s="5" t="s">
        <v>147</v>
      </c>
      <c r="U1760" s="3" t="s">
        <v>1</v>
      </c>
      <c r="V1760" s="3" t="s">
        <v>4</v>
      </c>
    </row>
    <row r="1761" spans="1:23">
      <c r="A1761" s="3">
        <v>1686</v>
      </c>
      <c r="B1761" s="1">
        <f>IF(G1761="-",0,IF(G1760=G1761,1,0))</f>
        <v>0</v>
      </c>
      <c r="C1761" s="1">
        <f>+IF(G1761="-",0,IF(I1761=I1760+1,0,(IF(I1761=1,0,1))))</f>
        <v>1</v>
      </c>
      <c r="D1761" s="1">
        <f>+IF(AND(P1761="",Q1761=""),1,0)</f>
        <v>0</v>
      </c>
      <c r="E1761" s="1">
        <f t="shared" si="393"/>
        <v>0</v>
      </c>
      <c r="F1761" s="1">
        <f t="shared" si="393"/>
        <v>0</v>
      </c>
      <c r="G1761" s="1" t="str">
        <f>IF(H1761=0,"-",_xlfn.CONCAT(K1761,N1761,O1761,J1761))</f>
        <v>24082407</v>
      </c>
      <c r="H1761" s="2">
        <v>45528</v>
      </c>
      <c r="I1761" s="36">
        <v>7</v>
      </c>
      <c r="J1761" s="1" t="str">
        <f t="shared" si="386"/>
        <v>07</v>
      </c>
      <c r="K1761" s="3">
        <f t="shared" si="387"/>
        <v>24</v>
      </c>
      <c r="L1761" s="3">
        <f t="shared" si="388"/>
        <v>8</v>
      </c>
      <c r="M1761" s="3">
        <f t="shared" si="389"/>
        <v>24</v>
      </c>
      <c r="N1761" s="3" t="str">
        <f t="shared" si="390"/>
        <v>08</v>
      </c>
      <c r="O1761" s="14">
        <f t="shared" si="391"/>
        <v>24</v>
      </c>
      <c r="P1761" s="132">
        <v>120000</v>
      </c>
      <c r="R1761" s="6">
        <v>528</v>
      </c>
      <c r="S1761" s="5">
        <f t="shared" si="392"/>
        <v>227.27272727272728</v>
      </c>
      <c r="T1761" s="3" t="s">
        <v>645</v>
      </c>
      <c r="U1761" s="3" t="s">
        <v>1</v>
      </c>
      <c r="V1761" s="3" t="s">
        <v>4</v>
      </c>
    </row>
    <row r="1762" spans="1:23" hidden="1">
      <c r="J1762" s="1" t="str">
        <f t="shared" si="386"/>
        <v>0</v>
      </c>
      <c r="K1762" s="3">
        <f t="shared" si="387"/>
        <v>-100</v>
      </c>
      <c r="L1762" s="3">
        <f t="shared" si="388"/>
        <v>1</v>
      </c>
      <c r="M1762" s="3">
        <f t="shared" si="389"/>
        <v>0</v>
      </c>
      <c r="N1762" s="3" t="str">
        <f t="shared" si="390"/>
        <v>01</v>
      </c>
      <c r="O1762" s="14" t="str">
        <f t="shared" si="391"/>
        <v>00</v>
      </c>
      <c r="R1762" s="6">
        <v>512</v>
      </c>
      <c r="S1762" s="5">
        <f t="shared" si="392"/>
        <v>0</v>
      </c>
    </row>
    <row r="1763" spans="1:23" hidden="1">
      <c r="J1763" s="1" t="str">
        <f t="shared" si="386"/>
        <v>0</v>
      </c>
      <c r="K1763" s="3">
        <f t="shared" si="387"/>
        <v>-100</v>
      </c>
      <c r="L1763" s="3">
        <f t="shared" si="388"/>
        <v>1</v>
      </c>
      <c r="M1763" s="3">
        <f t="shared" si="389"/>
        <v>0</v>
      </c>
      <c r="N1763" s="3" t="str">
        <f t="shared" si="390"/>
        <v>01</v>
      </c>
      <c r="O1763" s="14" t="str">
        <f t="shared" si="391"/>
        <v>00</v>
      </c>
      <c r="R1763" s="6">
        <v>512</v>
      </c>
      <c r="S1763" s="5">
        <f t="shared" si="392"/>
        <v>0</v>
      </c>
    </row>
    <row r="1764" spans="1:23" hidden="1">
      <c r="J1764" s="1" t="str">
        <f t="shared" si="386"/>
        <v>0</v>
      </c>
      <c r="K1764" s="3">
        <f t="shared" si="387"/>
        <v>-100</v>
      </c>
      <c r="L1764" s="3">
        <f t="shared" si="388"/>
        <v>1</v>
      </c>
      <c r="M1764" s="3">
        <f t="shared" si="389"/>
        <v>0</v>
      </c>
      <c r="N1764" s="3" t="str">
        <f t="shared" si="390"/>
        <v>01</v>
      </c>
      <c r="O1764" s="14" t="str">
        <f t="shared" si="391"/>
        <v>00</v>
      </c>
      <c r="R1764" s="6">
        <v>513</v>
      </c>
      <c r="S1764" s="5">
        <f t="shared" si="392"/>
        <v>0</v>
      </c>
    </row>
    <row r="1765" spans="1:23" hidden="1">
      <c r="J1765" s="1" t="str">
        <f t="shared" si="386"/>
        <v>0</v>
      </c>
      <c r="K1765" s="3">
        <f t="shared" si="387"/>
        <v>-100</v>
      </c>
      <c r="L1765" s="3">
        <f t="shared" si="388"/>
        <v>1</v>
      </c>
      <c r="M1765" s="3">
        <f t="shared" si="389"/>
        <v>0</v>
      </c>
      <c r="N1765" s="3" t="str">
        <f t="shared" si="390"/>
        <v>01</v>
      </c>
      <c r="O1765" s="14" t="str">
        <f t="shared" si="391"/>
        <v>00</v>
      </c>
      <c r="R1765" s="6">
        <v>513</v>
      </c>
      <c r="S1765" s="5">
        <f t="shared" si="392"/>
        <v>0</v>
      </c>
    </row>
    <row r="1766" spans="1:23" hidden="1">
      <c r="J1766" s="1" t="str">
        <f t="shared" si="386"/>
        <v>0</v>
      </c>
      <c r="K1766" s="3">
        <f t="shared" si="387"/>
        <v>-100</v>
      </c>
      <c r="L1766" s="3">
        <f t="shared" si="388"/>
        <v>1</v>
      </c>
      <c r="M1766" s="3">
        <f t="shared" si="389"/>
        <v>0</v>
      </c>
      <c r="N1766" s="3" t="str">
        <f t="shared" si="390"/>
        <v>01</v>
      </c>
      <c r="O1766" s="14" t="str">
        <f t="shared" si="391"/>
        <v>00</v>
      </c>
      <c r="R1766" s="6">
        <v>513</v>
      </c>
      <c r="S1766" s="5">
        <f t="shared" si="392"/>
        <v>0</v>
      </c>
    </row>
    <row r="1767" spans="1:23" hidden="1">
      <c r="J1767" s="1" t="str">
        <f t="shared" si="386"/>
        <v>0</v>
      </c>
      <c r="K1767" s="3">
        <f t="shared" si="387"/>
        <v>-100</v>
      </c>
      <c r="L1767" s="3">
        <f t="shared" si="388"/>
        <v>1</v>
      </c>
      <c r="M1767" s="3">
        <f t="shared" si="389"/>
        <v>0</v>
      </c>
      <c r="N1767" s="3" t="str">
        <f t="shared" si="390"/>
        <v>01</v>
      </c>
      <c r="O1767" s="14" t="str">
        <f t="shared" si="391"/>
        <v>00</v>
      </c>
      <c r="R1767" s="6">
        <v>513</v>
      </c>
      <c r="S1767" s="5">
        <f t="shared" si="392"/>
        <v>0</v>
      </c>
    </row>
    <row r="1768" spans="1:23" s="97" customFormat="1" hidden="1">
      <c r="A1768" s="3"/>
      <c r="B1768" s="1"/>
      <c r="C1768" s="1"/>
      <c r="D1768" s="1"/>
      <c r="E1768" s="1"/>
      <c r="F1768" s="1"/>
      <c r="G1768" s="1"/>
      <c r="H1768" s="2"/>
      <c r="I1768" s="36"/>
      <c r="J1768" s="1" t="str">
        <f t="shared" si="386"/>
        <v>0</v>
      </c>
      <c r="K1768" s="3">
        <f t="shared" si="387"/>
        <v>-100</v>
      </c>
      <c r="L1768" s="3">
        <f t="shared" si="388"/>
        <v>1</v>
      </c>
      <c r="M1768" s="3">
        <f t="shared" si="389"/>
        <v>0</v>
      </c>
      <c r="N1768" s="3" t="str">
        <f t="shared" si="390"/>
        <v>01</v>
      </c>
      <c r="O1768" s="14" t="str">
        <f t="shared" si="391"/>
        <v>00</v>
      </c>
      <c r="P1768" s="4"/>
      <c r="Q1768" s="5"/>
      <c r="R1768" s="6">
        <v>513</v>
      </c>
      <c r="S1768" s="5">
        <f t="shared" si="392"/>
        <v>0</v>
      </c>
      <c r="T1768" s="5"/>
      <c r="U1768" s="3"/>
      <c r="V1768" s="3"/>
      <c r="W1768" s="3"/>
    </row>
    <row r="1769" spans="1:23" s="97" customFormat="1" hidden="1">
      <c r="A1769" s="3"/>
      <c r="B1769" s="1"/>
      <c r="C1769" s="1"/>
      <c r="D1769" s="1"/>
      <c r="E1769" s="1"/>
      <c r="F1769" s="1"/>
      <c r="G1769" s="1"/>
      <c r="H1769" s="2"/>
      <c r="I1769" s="36"/>
      <c r="J1769" s="1" t="str">
        <f t="shared" si="386"/>
        <v>0</v>
      </c>
      <c r="K1769" s="3">
        <f t="shared" si="387"/>
        <v>-100</v>
      </c>
      <c r="L1769" s="3">
        <f t="shared" si="388"/>
        <v>1</v>
      </c>
      <c r="M1769" s="3">
        <f t="shared" si="389"/>
        <v>0</v>
      </c>
      <c r="N1769" s="3" t="str">
        <f t="shared" si="390"/>
        <v>01</v>
      </c>
      <c r="O1769" s="14" t="str">
        <f t="shared" si="391"/>
        <v>00</v>
      </c>
      <c r="P1769" s="4"/>
      <c r="Q1769" s="5"/>
      <c r="R1769" s="6">
        <v>513</v>
      </c>
      <c r="S1769" s="5">
        <f t="shared" si="392"/>
        <v>0</v>
      </c>
      <c r="T1769" s="5"/>
      <c r="U1769" s="3"/>
      <c r="V1769" s="3"/>
      <c r="W1769" s="3"/>
    </row>
    <row r="1770" spans="1:23" hidden="1">
      <c r="J1770" s="1" t="str">
        <f t="shared" si="386"/>
        <v>0</v>
      </c>
      <c r="K1770" s="3">
        <f t="shared" si="387"/>
        <v>-100</v>
      </c>
      <c r="L1770" s="3">
        <f t="shared" si="388"/>
        <v>1</v>
      </c>
      <c r="M1770" s="3">
        <f t="shared" si="389"/>
        <v>0</v>
      </c>
      <c r="N1770" s="3" t="str">
        <f t="shared" si="390"/>
        <v>01</v>
      </c>
      <c r="O1770" s="14" t="str">
        <f t="shared" si="391"/>
        <v>00</v>
      </c>
      <c r="R1770" s="6">
        <v>513</v>
      </c>
      <c r="S1770" s="5">
        <f t="shared" si="392"/>
        <v>0</v>
      </c>
    </row>
    <row r="1771" spans="1:23" hidden="1">
      <c r="J1771" s="1" t="str">
        <f t="shared" si="386"/>
        <v>0</v>
      </c>
      <c r="K1771" s="3">
        <f t="shared" si="387"/>
        <v>-100</v>
      </c>
      <c r="L1771" s="3">
        <f t="shared" si="388"/>
        <v>1</v>
      </c>
      <c r="M1771" s="3">
        <f t="shared" si="389"/>
        <v>0</v>
      </c>
      <c r="N1771" s="3" t="str">
        <f t="shared" si="390"/>
        <v>01</v>
      </c>
      <c r="O1771" s="14" t="str">
        <f t="shared" si="391"/>
        <v>00</v>
      </c>
      <c r="R1771" s="6">
        <v>513</v>
      </c>
      <c r="S1771" s="5">
        <f t="shared" si="392"/>
        <v>0</v>
      </c>
    </row>
    <row r="1772" spans="1:23" hidden="1">
      <c r="J1772" s="1" t="str">
        <f t="shared" si="386"/>
        <v>0</v>
      </c>
      <c r="K1772" s="3">
        <f t="shared" si="387"/>
        <v>-100</v>
      </c>
      <c r="L1772" s="3">
        <f t="shared" si="388"/>
        <v>1</v>
      </c>
      <c r="M1772" s="3">
        <f t="shared" si="389"/>
        <v>0</v>
      </c>
      <c r="N1772" s="3" t="str">
        <f t="shared" si="390"/>
        <v>01</v>
      </c>
      <c r="O1772" s="14" t="str">
        <f t="shared" si="391"/>
        <v>00</v>
      </c>
      <c r="R1772" s="6">
        <v>513</v>
      </c>
      <c r="S1772" s="5">
        <f t="shared" si="392"/>
        <v>0</v>
      </c>
    </row>
    <row r="1773" spans="1:23" hidden="1">
      <c r="J1773" s="1" t="str">
        <f t="shared" si="386"/>
        <v>0</v>
      </c>
      <c r="K1773" s="3">
        <f t="shared" si="387"/>
        <v>-100</v>
      </c>
      <c r="L1773" s="3">
        <f t="shared" si="388"/>
        <v>1</v>
      </c>
      <c r="M1773" s="3">
        <f t="shared" si="389"/>
        <v>0</v>
      </c>
      <c r="N1773" s="3" t="str">
        <f t="shared" si="390"/>
        <v>01</v>
      </c>
      <c r="O1773" s="14" t="str">
        <f t="shared" si="391"/>
        <v>00</v>
      </c>
      <c r="R1773" s="6">
        <v>513</v>
      </c>
      <c r="S1773" s="5">
        <f t="shared" si="392"/>
        <v>0</v>
      </c>
    </row>
    <row r="1774" spans="1:23">
      <c r="A1774" s="3">
        <v>1687</v>
      </c>
      <c r="B1774" s="1">
        <f>IF(G1774="-",0,IF(G1773=G1774,1,0))</f>
        <v>0</v>
      </c>
      <c r="C1774" s="1">
        <f>+IF(G1774="-",0,IF(I1774=I1773+1,0,(IF(I1774=1,0,1))))</f>
        <v>1</v>
      </c>
      <c r="D1774" s="1">
        <f>+IF(AND(P1774="",Q1774=""),1,0)</f>
        <v>0</v>
      </c>
      <c r="E1774" s="1">
        <f>IF(U1774="",1,0)</f>
        <v>0</v>
      </c>
      <c r="F1774" s="1">
        <f>IF(V1774="",1,0)</f>
        <v>0</v>
      </c>
      <c r="G1774" s="1" t="str">
        <f>IF(H1774=0,"-",_xlfn.CONCAT(K1774,N1774,O1774,J1774))</f>
        <v>24082408</v>
      </c>
      <c r="H1774" s="2">
        <v>45528</v>
      </c>
      <c r="I1774" s="36">
        <v>8</v>
      </c>
      <c r="J1774" s="1" t="str">
        <f t="shared" si="386"/>
        <v>08</v>
      </c>
      <c r="K1774" s="3">
        <f t="shared" si="387"/>
        <v>24</v>
      </c>
      <c r="L1774" s="3">
        <f t="shared" si="388"/>
        <v>8</v>
      </c>
      <c r="M1774" s="3">
        <f t="shared" si="389"/>
        <v>24</v>
      </c>
      <c r="N1774" s="3" t="str">
        <f t="shared" si="390"/>
        <v>08</v>
      </c>
      <c r="O1774" s="14">
        <f t="shared" si="391"/>
        <v>24</v>
      </c>
      <c r="P1774" s="132">
        <v>120000</v>
      </c>
      <c r="R1774" s="6">
        <v>528</v>
      </c>
      <c r="S1774" s="5">
        <f t="shared" si="392"/>
        <v>227.27272727272728</v>
      </c>
      <c r="T1774" s="3" t="s">
        <v>646</v>
      </c>
      <c r="U1774" s="3" t="s">
        <v>1</v>
      </c>
      <c r="V1774" s="3" t="s">
        <v>4</v>
      </c>
    </row>
    <row r="1775" spans="1:23" hidden="1">
      <c r="G1775" s="98"/>
      <c r="H1775" s="99"/>
      <c r="J1775" s="98" t="str">
        <f t="shared" si="386"/>
        <v>0</v>
      </c>
      <c r="K1775" s="97">
        <f t="shared" si="387"/>
        <v>-100</v>
      </c>
      <c r="L1775" s="97">
        <f t="shared" si="388"/>
        <v>1</v>
      </c>
      <c r="M1775" s="97">
        <f t="shared" si="389"/>
        <v>0</v>
      </c>
      <c r="N1775" s="97" t="str">
        <f t="shared" si="390"/>
        <v>01</v>
      </c>
      <c r="O1775" s="100" t="str">
        <f t="shared" si="391"/>
        <v>00</v>
      </c>
      <c r="P1775" s="101"/>
      <c r="Q1775" s="102"/>
      <c r="R1775" s="103">
        <v>512</v>
      </c>
      <c r="S1775" s="102">
        <f t="shared" si="392"/>
        <v>0</v>
      </c>
      <c r="T1775" s="102"/>
      <c r="U1775" s="97"/>
      <c r="V1775" s="97"/>
      <c r="W1775" s="97"/>
    </row>
    <row r="1776" spans="1:23" hidden="1">
      <c r="J1776" s="1" t="str">
        <f t="shared" si="386"/>
        <v>0</v>
      </c>
      <c r="K1776" s="3">
        <f t="shared" si="387"/>
        <v>-100</v>
      </c>
      <c r="L1776" s="3">
        <f t="shared" si="388"/>
        <v>1</v>
      </c>
      <c r="M1776" s="3">
        <f t="shared" si="389"/>
        <v>0</v>
      </c>
      <c r="N1776" s="3" t="str">
        <f t="shared" si="390"/>
        <v>01</v>
      </c>
      <c r="O1776" s="14" t="str">
        <f t="shared" si="391"/>
        <v>00</v>
      </c>
    </row>
    <row r="1777" spans="1:23" hidden="1">
      <c r="G1777" s="98"/>
      <c r="H1777" s="99"/>
      <c r="J1777" s="98" t="str">
        <f t="shared" si="386"/>
        <v>0</v>
      </c>
      <c r="K1777" s="97">
        <f t="shared" si="387"/>
        <v>-100</v>
      </c>
      <c r="L1777" s="97">
        <f t="shared" si="388"/>
        <v>1</v>
      </c>
      <c r="M1777" s="97">
        <f t="shared" si="389"/>
        <v>0</v>
      </c>
      <c r="N1777" s="97" t="str">
        <f t="shared" si="390"/>
        <v>01</v>
      </c>
      <c r="O1777" s="100" t="str">
        <f t="shared" si="391"/>
        <v>00</v>
      </c>
      <c r="P1777" s="101"/>
      <c r="Q1777" s="102"/>
      <c r="R1777" s="103"/>
      <c r="S1777" s="102"/>
      <c r="T1777" s="102"/>
      <c r="U1777" s="97"/>
      <c r="V1777" s="97"/>
      <c r="W1777" s="97"/>
    </row>
    <row r="1778" spans="1:23" hidden="1">
      <c r="J1778" s="1" t="str">
        <f t="shared" si="386"/>
        <v>0</v>
      </c>
      <c r="K1778" s="3">
        <f t="shared" si="387"/>
        <v>-100</v>
      </c>
      <c r="L1778" s="3">
        <f t="shared" si="388"/>
        <v>1</v>
      </c>
      <c r="M1778" s="3">
        <f t="shared" si="389"/>
        <v>0</v>
      </c>
      <c r="N1778" s="3" t="str">
        <f t="shared" si="390"/>
        <v>01</v>
      </c>
      <c r="O1778" s="14" t="str">
        <f t="shared" si="391"/>
        <v>00</v>
      </c>
      <c r="R1778" s="6">
        <v>513</v>
      </c>
      <c r="S1778" s="5">
        <f t="shared" ref="S1778:S1812" si="394">IFERROR(P1778/R1778,"")</f>
        <v>0</v>
      </c>
    </row>
    <row r="1779" spans="1:23">
      <c r="A1779" s="3">
        <v>1688</v>
      </c>
      <c r="B1779" s="1">
        <f>IF(G1779="-",0,IF(G1778=G1779,1,0))</f>
        <v>0</v>
      </c>
      <c r="C1779" s="1">
        <f>+IF(G1779="-",0,IF(I1779=I1778+1,0,(IF(I1779=1,0,1))))</f>
        <v>1</v>
      </c>
      <c r="D1779" s="1">
        <f>+IF(AND(P1779="",Q1779=""),1,0)</f>
        <v>0</v>
      </c>
      <c r="E1779" s="1">
        <f>IF(U1779="",1,0)</f>
        <v>0</v>
      </c>
      <c r="F1779" s="1">
        <f>IF(V1779="",1,0)</f>
        <v>0</v>
      </c>
      <c r="G1779" s="1" t="str">
        <f>IF(H1779=0,"-",_xlfn.CONCAT(K1779,N1779,O1779,J1779))</f>
        <v>24082409</v>
      </c>
      <c r="H1779" s="2">
        <v>45528</v>
      </c>
      <c r="I1779" s="36">
        <v>9</v>
      </c>
      <c r="J1779" s="1" t="str">
        <f t="shared" si="386"/>
        <v>09</v>
      </c>
      <c r="K1779" s="3">
        <f t="shared" si="387"/>
        <v>24</v>
      </c>
      <c r="L1779" s="3">
        <f t="shared" si="388"/>
        <v>8</v>
      </c>
      <c r="M1779" s="3">
        <f t="shared" si="389"/>
        <v>24</v>
      </c>
      <c r="N1779" s="3" t="str">
        <f t="shared" si="390"/>
        <v>08</v>
      </c>
      <c r="O1779" s="14">
        <f t="shared" si="391"/>
        <v>24</v>
      </c>
      <c r="P1779" s="132">
        <v>180000</v>
      </c>
      <c r="R1779" s="6">
        <v>528</v>
      </c>
      <c r="S1779" s="5">
        <f t="shared" si="394"/>
        <v>340.90909090909093</v>
      </c>
      <c r="T1779" s="3" t="s">
        <v>647</v>
      </c>
      <c r="U1779" s="3" t="s">
        <v>1</v>
      </c>
      <c r="V1779" s="3" t="s">
        <v>4</v>
      </c>
    </row>
    <row r="1780" spans="1:23">
      <c r="A1780" s="3">
        <v>1689</v>
      </c>
      <c r="B1780" s="1">
        <f>IF(G1780="-",0,IF(G1779=G1780,1,0))</f>
        <v>0</v>
      </c>
      <c r="C1780" s="1">
        <f>+IF(G1780="-",0,IF(I1780=I1779+1,0,(IF(I1780=1,0,1))))</f>
        <v>0</v>
      </c>
      <c r="D1780" s="1">
        <f>+IF(AND(P1780="",Q1780=""),1,0)</f>
        <v>0</v>
      </c>
      <c r="E1780" s="1">
        <f>IF(U1780="",1,0)</f>
        <v>0</v>
      </c>
      <c r="F1780" s="1">
        <f>IF(V1780="",1,0)</f>
        <v>0</v>
      </c>
      <c r="G1780" s="1" t="str">
        <f>IF(H1780=0,"-",_xlfn.CONCAT(K1780,N1780,O1780,J1780))</f>
        <v>24082410</v>
      </c>
      <c r="H1780" s="2">
        <v>45528</v>
      </c>
      <c r="I1780" s="36">
        <v>10</v>
      </c>
      <c r="J1780" s="1">
        <f t="shared" si="386"/>
        <v>10</v>
      </c>
      <c r="K1780" s="3">
        <f t="shared" si="387"/>
        <v>24</v>
      </c>
      <c r="L1780" s="3">
        <f t="shared" si="388"/>
        <v>8</v>
      </c>
      <c r="M1780" s="3">
        <f t="shared" si="389"/>
        <v>24</v>
      </c>
      <c r="N1780" s="3" t="str">
        <f t="shared" si="390"/>
        <v>08</v>
      </c>
      <c r="O1780" s="14">
        <f t="shared" si="391"/>
        <v>24</v>
      </c>
      <c r="P1780" s="132">
        <v>120000</v>
      </c>
      <c r="R1780" s="6">
        <v>528</v>
      </c>
      <c r="S1780" s="5">
        <f t="shared" si="394"/>
        <v>227.27272727272728</v>
      </c>
      <c r="T1780" s="3" t="s">
        <v>648</v>
      </c>
      <c r="U1780" s="3" t="s">
        <v>1</v>
      </c>
      <c r="V1780" s="3" t="s">
        <v>4</v>
      </c>
    </row>
    <row r="1781" spans="1:23" hidden="1">
      <c r="J1781" s="1" t="str">
        <f t="shared" si="386"/>
        <v>0</v>
      </c>
      <c r="K1781" s="3">
        <f t="shared" si="387"/>
        <v>-100</v>
      </c>
      <c r="L1781" s="3">
        <f t="shared" si="388"/>
        <v>1</v>
      </c>
      <c r="M1781" s="3">
        <f t="shared" si="389"/>
        <v>0</v>
      </c>
      <c r="N1781" s="3" t="str">
        <f t="shared" si="390"/>
        <v>01</v>
      </c>
      <c r="O1781" s="14" t="str">
        <f t="shared" si="391"/>
        <v>00</v>
      </c>
      <c r="P1781" s="132"/>
      <c r="R1781" s="6">
        <v>513</v>
      </c>
      <c r="S1781" s="5">
        <f t="shared" si="394"/>
        <v>0</v>
      </c>
      <c r="T1781" s="28"/>
    </row>
    <row r="1782" spans="1:23" hidden="1">
      <c r="J1782" s="1" t="str">
        <f t="shared" si="386"/>
        <v>0</v>
      </c>
      <c r="K1782" s="3">
        <f t="shared" si="387"/>
        <v>-100</v>
      </c>
      <c r="L1782" s="3">
        <f t="shared" si="388"/>
        <v>1</v>
      </c>
      <c r="M1782" s="3">
        <f t="shared" si="389"/>
        <v>0</v>
      </c>
      <c r="N1782" s="3" t="str">
        <f t="shared" si="390"/>
        <v>01</v>
      </c>
      <c r="O1782" s="14" t="str">
        <f t="shared" si="391"/>
        <v>00</v>
      </c>
      <c r="P1782" s="132"/>
      <c r="R1782" s="6">
        <v>513</v>
      </c>
      <c r="S1782" s="5">
        <f t="shared" si="394"/>
        <v>0</v>
      </c>
      <c r="T1782" s="28"/>
    </row>
    <row r="1783" spans="1:23" hidden="1">
      <c r="J1783" s="1" t="str">
        <f t="shared" si="386"/>
        <v>0</v>
      </c>
      <c r="K1783" s="3">
        <f t="shared" si="387"/>
        <v>-100</v>
      </c>
      <c r="L1783" s="3">
        <f t="shared" si="388"/>
        <v>1</v>
      </c>
      <c r="M1783" s="3">
        <f t="shared" si="389"/>
        <v>0</v>
      </c>
      <c r="N1783" s="3" t="str">
        <f t="shared" si="390"/>
        <v>01</v>
      </c>
      <c r="O1783" s="14" t="str">
        <f t="shared" si="391"/>
        <v>00</v>
      </c>
      <c r="P1783" s="132"/>
      <c r="R1783" s="6">
        <v>513</v>
      </c>
      <c r="S1783" s="5">
        <f t="shared" si="394"/>
        <v>0</v>
      </c>
      <c r="T1783" s="28"/>
    </row>
    <row r="1784" spans="1:23" hidden="1">
      <c r="J1784" s="1" t="str">
        <f t="shared" si="386"/>
        <v>0</v>
      </c>
      <c r="K1784" s="3">
        <f t="shared" si="387"/>
        <v>-100</v>
      </c>
      <c r="L1784" s="3">
        <f t="shared" si="388"/>
        <v>1</v>
      </c>
      <c r="M1784" s="3">
        <f t="shared" si="389"/>
        <v>0</v>
      </c>
      <c r="N1784" s="3" t="str">
        <f t="shared" si="390"/>
        <v>01</v>
      </c>
      <c r="O1784" s="14" t="str">
        <f t="shared" si="391"/>
        <v>00</v>
      </c>
      <c r="P1784" s="132"/>
      <c r="R1784" s="6">
        <v>513</v>
      </c>
      <c r="S1784" s="5">
        <f t="shared" si="394"/>
        <v>0</v>
      </c>
      <c r="T1784" s="28"/>
    </row>
    <row r="1785" spans="1:23">
      <c r="A1785" s="3">
        <v>1693</v>
      </c>
      <c r="B1785" s="1">
        <f>IF(G1785="-",0,IF(G1784=G1785,1,0))</f>
        <v>0</v>
      </c>
      <c r="C1785" s="1">
        <f>+IF(G1785="-",0,IF(I1785=I1784+1,0,(IF(I1785=1,0,1))))</f>
        <v>1</v>
      </c>
      <c r="D1785" s="1">
        <f>+IF(AND(P1785="",Q1785=""),1,0)</f>
        <v>0</v>
      </c>
      <c r="E1785" s="1">
        <f t="shared" ref="E1785:F1788" si="395">IF(U1785="",1,0)</f>
        <v>0</v>
      </c>
      <c r="F1785" s="1">
        <f t="shared" si="395"/>
        <v>0</v>
      </c>
      <c r="G1785" s="1" t="str">
        <f>IF(H1785=0,"-",_xlfn.CONCAT(K1785,N1785,O1785,J1785))</f>
        <v>24082414</v>
      </c>
      <c r="H1785" s="2">
        <v>45528</v>
      </c>
      <c r="I1785" s="36">
        <v>14</v>
      </c>
      <c r="J1785" s="1">
        <f t="shared" si="386"/>
        <v>14</v>
      </c>
      <c r="K1785" s="3">
        <f t="shared" si="387"/>
        <v>24</v>
      </c>
      <c r="L1785" s="3">
        <f t="shared" si="388"/>
        <v>8</v>
      </c>
      <c r="M1785" s="3">
        <f t="shared" si="389"/>
        <v>24</v>
      </c>
      <c r="N1785" s="3" t="str">
        <f t="shared" si="390"/>
        <v>08</v>
      </c>
      <c r="O1785" s="14">
        <f t="shared" si="391"/>
        <v>24</v>
      </c>
      <c r="P1785" s="132">
        <v>150000</v>
      </c>
      <c r="R1785" s="6">
        <v>528</v>
      </c>
      <c r="S1785" s="5">
        <f t="shared" si="394"/>
        <v>284.09090909090907</v>
      </c>
      <c r="T1785" s="3" t="s">
        <v>642</v>
      </c>
      <c r="U1785" s="3" t="s">
        <v>1</v>
      </c>
      <c r="V1785" s="3" t="s">
        <v>4</v>
      </c>
    </row>
    <row r="1786" spans="1:23">
      <c r="A1786" s="3">
        <v>1698</v>
      </c>
      <c r="B1786" s="1">
        <f>IF(G1786="-",0,IF(G1785=G1786,1,0))</f>
        <v>0</v>
      </c>
      <c r="C1786" s="1">
        <f>+IF(G1786="-",0,IF(I1786=I1785+1,0,(IF(I1786=1,0,1))))</f>
        <v>1</v>
      </c>
      <c r="D1786" s="1">
        <f>+IF(AND(P1786="",Q1786=""),1,0)</f>
        <v>0</v>
      </c>
      <c r="E1786" s="1">
        <f t="shared" si="395"/>
        <v>0</v>
      </c>
      <c r="F1786" s="1">
        <f t="shared" si="395"/>
        <v>0</v>
      </c>
      <c r="G1786" s="1" t="str">
        <f>IF(H1786=0,"-",_xlfn.CONCAT(K1786,N1786,O1786,J1786))</f>
        <v>24082419</v>
      </c>
      <c r="H1786" s="2">
        <v>45528</v>
      </c>
      <c r="I1786" s="36">
        <v>19</v>
      </c>
      <c r="J1786" s="1">
        <f t="shared" si="386"/>
        <v>19</v>
      </c>
      <c r="K1786" s="3">
        <f t="shared" si="387"/>
        <v>24</v>
      </c>
      <c r="L1786" s="3">
        <f t="shared" si="388"/>
        <v>8</v>
      </c>
      <c r="M1786" s="3">
        <f t="shared" si="389"/>
        <v>24</v>
      </c>
      <c r="N1786" s="3" t="str">
        <f t="shared" si="390"/>
        <v>08</v>
      </c>
      <c r="O1786" s="14">
        <f t="shared" si="391"/>
        <v>24</v>
      </c>
      <c r="P1786" s="132">
        <v>102000</v>
      </c>
      <c r="R1786" s="6">
        <v>528</v>
      </c>
      <c r="S1786" s="5">
        <f t="shared" si="394"/>
        <v>193.18181818181819</v>
      </c>
      <c r="T1786" s="3" t="s">
        <v>632</v>
      </c>
      <c r="U1786" s="3" t="s">
        <v>1</v>
      </c>
      <c r="V1786" s="3" t="s">
        <v>4</v>
      </c>
    </row>
    <row r="1787" spans="1:23">
      <c r="A1787" s="3">
        <v>1699</v>
      </c>
      <c r="B1787" s="1">
        <f>IF(G1787="-",0,IF(G1786=G1787,1,0))</f>
        <v>0</v>
      </c>
      <c r="C1787" s="1">
        <f>+IF(G1787="-",0,IF(I1787=I1786+1,0,(IF(I1787=1,0,1))))</f>
        <v>0</v>
      </c>
      <c r="D1787" s="1">
        <f>+IF(AND(P1787="",Q1787=""),1,0)</f>
        <v>0</v>
      </c>
      <c r="E1787" s="1">
        <f t="shared" si="395"/>
        <v>0</v>
      </c>
      <c r="F1787" s="1">
        <f t="shared" si="395"/>
        <v>0</v>
      </c>
      <c r="G1787" s="1" t="str">
        <f>IF(H1787=0,"-",_xlfn.CONCAT(K1787,N1787,O1787,J1787))</f>
        <v>24082420</v>
      </c>
      <c r="H1787" s="2">
        <v>45528</v>
      </c>
      <c r="I1787" s="36">
        <v>20</v>
      </c>
      <c r="J1787" s="1">
        <f t="shared" si="386"/>
        <v>20</v>
      </c>
      <c r="K1787" s="3">
        <f t="shared" si="387"/>
        <v>24</v>
      </c>
      <c r="L1787" s="3">
        <f t="shared" si="388"/>
        <v>8</v>
      </c>
      <c r="M1787" s="3">
        <f t="shared" si="389"/>
        <v>24</v>
      </c>
      <c r="N1787" s="3" t="str">
        <f t="shared" si="390"/>
        <v>08</v>
      </c>
      <c r="O1787" s="14">
        <f t="shared" si="391"/>
        <v>24</v>
      </c>
      <c r="P1787" s="132">
        <v>102000</v>
      </c>
      <c r="R1787" s="6">
        <v>528</v>
      </c>
      <c r="S1787" s="5">
        <f t="shared" si="394"/>
        <v>193.18181818181819</v>
      </c>
      <c r="T1787" s="3" t="s">
        <v>633</v>
      </c>
      <c r="U1787" s="3" t="s">
        <v>1</v>
      </c>
      <c r="V1787" s="3" t="s">
        <v>4</v>
      </c>
    </row>
    <row r="1788" spans="1:23">
      <c r="A1788" s="3">
        <v>1700</v>
      </c>
      <c r="B1788" s="1">
        <f>IF(G1788="-",0,IF(G1787=G1788,1,0))</f>
        <v>0</v>
      </c>
      <c r="C1788" s="1">
        <f>+IF(G1788="-",0,IF(I1788=I1787+1,0,(IF(I1788=1,0,1))))</f>
        <v>0</v>
      </c>
      <c r="D1788" s="1">
        <f>+IF(AND(P1788="",Q1788=""),1,0)</f>
        <v>0</v>
      </c>
      <c r="E1788" s="1">
        <f t="shared" si="395"/>
        <v>0</v>
      </c>
      <c r="F1788" s="1">
        <f t="shared" si="395"/>
        <v>0</v>
      </c>
      <c r="G1788" s="1" t="str">
        <f>IF(H1788=0,"-",_xlfn.CONCAT(K1788,N1788,O1788,J1788))</f>
        <v>24082421</v>
      </c>
      <c r="H1788" s="2">
        <v>45528</v>
      </c>
      <c r="I1788" s="36">
        <v>21</v>
      </c>
      <c r="J1788" s="1">
        <f t="shared" si="386"/>
        <v>21</v>
      </c>
      <c r="K1788" s="3">
        <f t="shared" si="387"/>
        <v>24</v>
      </c>
      <c r="L1788" s="3">
        <f t="shared" si="388"/>
        <v>8</v>
      </c>
      <c r="M1788" s="3">
        <f t="shared" si="389"/>
        <v>24</v>
      </c>
      <c r="N1788" s="3" t="str">
        <f t="shared" si="390"/>
        <v>08</v>
      </c>
      <c r="O1788" s="14">
        <f t="shared" si="391"/>
        <v>24</v>
      </c>
      <c r="P1788" s="132">
        <v>102000</v>
      </c>
      <c r="R1788" s="6">
        <v>528</v>
      </c>
      <c r="S1788" s="5">
        <f t="shared" si="394"/>
        <v>193.18181818181819</v>
      </c>
      <c r="T1788" s="3" t="s">
        <v>634</v>
      </c>
      <c r="U1788" s="3" t="s">
        <v>1</v>
      </c>
      <c r="V1788" s="3" t="s">
        <v>4</v>
      </c>
    </row>
    <row r="1789" spans="1:23" hidden="1">
      <c r="J1789" s="1" t="str">
        <f t="shared" si="386"/>
        <v>0</v>
      </c>
      <c r="K1789" s="3">
        <f t="shared" si="387"/>
        <v>-100</v>
      </c>
      <c r="L1789" s="3">
        <f t="shared" si="388"/>
        <v>1</v>
      </c>
      <c r="M1789" s="3">
        <f t="shared" si="389"/>
        <v>0</v>
      </c>
      <c r="N1789" s="3" t="str">
        <f t="shared" si="390"/>
        <v>01</v>
      </c>
      <c r="O1789" s="14" t="str">
        <f t="shared" si="391"/>
        <v>00</v>
      </c>
      <c r="P1789" s="132"/>
      <c r="R1789" s="6">
        <v>513</v>
      </c>
      <c r="S1789" s="5">
        <f t="shared" si="394"/>
        <v>0</v>
      </c>
      <c r="T1789" s="28"/>
    </row>
    <row r="1790" spans="1:23">
      <c r="A1790" s="3">
        <v>1701</v>
      </c>
      <c r="B1790" s="1">
        <f>IF(G1790="-",0,IF(G1789=G1790,1,0))</f>
        <v>0</v>
      </c>
      <c r="C1790" s="1">
        <f>+IF(G1790="-",0,IF(I1790=I1789+1,0,(IF(I1790=1,0,1))))</f>
        <v>1</v>
      </c>
      <c r="D1790" s="1">
        <f>+IF(AND(P1790="",Q1790=""),1,0)</f>
        <v>0</v>
      </c>
      <c r="E1790" s="1">
        <f t="shared" ref="E1790:F1792" si="396">IF(U1790="",1,0)</f>
        <v>0</v>
      </c>
      <c r="F1790" s="1">
        <f t="shared" si="396"/>
        <v>0</v>
      </c>
      <c r="G1790" s="1" t="str">
        <f>IF(H1790=0,"-",_xlfn.CONCAT(K1790,N1790,O1790,J1790))</f>
        <v>24082422</v>
      </c>
      <c r="H1790" s="2">
        <v>45528</v>
      </c>
      <c r="I1790" s="36">
        <v>22</v>
      </c>
      <c r="J1790" s="1">
        <f t="shared" si="386"/>
        <v>22</v>
      </c>
      <c r="K1790" s="3">
        <f t="shared" si="387"/>
        <v>24</v>
      </c>
      <c r="L1790" s="3">
        <f t="shared" si="388"/>
        <v>8</v>
      </c>
      <c r="M1790" s="3">
        <f t="shared" si="389"/>
        <v>24</v>
      </c>
      <c r="N1790" s="3" t="str">
        <f t="shared" si="390"/>
        <v>08</v>
      </c>
      <c r="O1790" s="14">
        <f t="shared" si="391"/>
        <v>24</v>
      </c>
      <c r="P1790" s="132">
        <v>130000</v>
      </c>
      <c r="R1790" s="6">
        <v>528</v>
      </c>
      <c r="S1790" s="5">
        <f t="shared" si="394"/>
        <v>246.21212121212122</v>
      </c>
      <c r="T1790" s="3" t="s">
        <v>635</v>
      </c>
      <c r="U1790" s="3" t="s">
        <v>1</v>
      </c>
      <c r="V1790" s="3" t="s">
        <v>4</v>
      </c>
    </row>
    <row r="1791" spans="1:23">
      <c r="A1791" s="3">
        <v>1702</v>
      </c>
      <c r="B1791" s="1">
        <f>IF(G1791="-",0,IF(G1790=G1791,1,0))</f>
        <v>0</v>
      </c>
      <c r="C1791" s="1">
        <f>+IF(G1791="-",0,IF(I1791=I1790+1,0,(IF(I1791=1,0,1))))</f>
        <v>0</v>
      </c>
      <c r="D1791" s="1">
        <f>+IF(AND(P1791="",Q1791=""),1,0)</f>
        <v>0</v>
      </c>
      <c r="E1791" s="1">
        <f t="shared" si="396"/>
        <v>0</v>
      </c>
      <c r="F1791" s="1">
        <f t="shared" si="396"/>
        <v>0</v>
      </c>
      <c r="G1791" s="1" t="str">
        <f>IF(H1791=0,"-",_xlfn.CONCAT(K1791,N1791,O1791,J1791))</f>
        <v>24082423</v>
      </c>
      <c r="H1791" s="2">
        <v>45528</v>
      </c>
      <c r="I1791" s="36">
        <v>23</v>
      </c>
      <c r="J1791" s="1">
        <f t="shared" si="386"/>
        <v>23</v>
      </c>
      <c r="K1791" s="3">
        <f t="shared" si="387"/>
        <v>24</v>
      </c>
      <c r="L1791" s="3">
        <f t="shared" si="388"/>
        <v>8</v>
      </c>
      <c r="M1791" s="3">
        <f t="shared" si="389"/>
        <v>24</v>
      </c>
      <c r="N1791" s="3" t="str">
        <f t="shared" si="390"/>
        <v>08</v>
      </c>
      <c r="O1791" s="14">
        <f t="shared" si="391"/>
        <v>24</v>
      </c>
      <c r="P1791" s="132">
        <v>150000</v>
      </c>
      <c r="R1791" s="6">
        <v>528</v>
      </c>
      <c r="S1791" s="5">
        <f t="shared" si="394"/>
        <v>284.09090909090907</v>
      </c>
      <c r="T1791" s="3" t="s">
        <v>636</v>
      </c>
      <c r="U1791" s="3" t="s">
        <v>1</v>
      </c>
      <c r="V1791" s="3" t="s">
        <v>4</v>
      </c>
    </row>
    <row r="1792" spans="1:23">
      <c r="A1792" s="3">
        <v>1712</v>
      </c>
      <c r="B1792" s="1">
        <f>IF(G1792="-",0,IF(G1791=G1792,1,0))</f>
        <v>0</v>
      </c>
      <c r="C1792" s="1">
        <f>+IF(G1792="-",0,IF(I1792=I1791+1,0,(IF(I1792=1,0,1))))</f>
        <v>1</v>
      </c>
      <c r="D1792" s="1">
        <f>+IF(AND(P1792="",Q1792=""),1,0)</f>
        <v>0</v>
      </c>
      <c r="E1792" s="1">
        <f t="shared" si="396"/>
        <v>0</v>
      </c>
      <c r="F1792" s="1">
        <f t="shared" si="396"/>
        <v>0</v>
      </c>
      <c r="G1792" s="1" t="str">
        <f>IF(H1792=0,"-",_xlfn.CONCAT(K1792,N1792,O1792,J1792))</f>
        <v>24082433</v>
      </c>
      <c r="H1792" s="2">
        <v>45528</v>
      </c>
      <c r="I1792" s="36">
        <v>33</v>
      </c>
      <c r="J1792" s="1">
        <f t="shared" si="386"/>
        <v>33</v>
      </c>
      <c r="K1792" s="3">
        <f t="shared" si="387"/>
        <v>24</v>
      </c>
      <c r="L1792" s="3">
        <f t="shared" si="388"/>
        <v>8</v>
      </c>
      <c r="M1792" s="3">
        <f t="shared" si="389"/>
        <v>24</v>
      </c>
      <c r="N1792" s="3" t="str">
        <f t="shared" si="390"/>
        <v>08</v>
      </c>
      <c r="O1792" s="14">
        <f t="shared" si="391"/>
        <v>24</v>
      </c>
      <c r="P1792" s="4">
        <v>26694.33</v>
      </c>
      <c r="R1792" s="6">
        <v>519</v>
      </c>
      <c r="S1792" s="5">
        <f t="shared" si="394"/>
        <v>51.434161849710989</v>
      </c>
      <c r="T1792" s="5" t="s">
        <v>766</v>
      </c>
      <c r="U1792" s="3" t="s">
        <v>29</v>
      </c>
      <c r="V1792" s="3" t="s">
        <v>4</v>
      </c>
    </row>
    <row r="1793" spans="1:22" hidden="1">
      <c r="J1793" s="1" t="str">
        <f t="shared" si="386"/>
        <v>0</v>
      </c>
      <c r="K1793" s="3">
        <f t="shared" si="387"/>
        <v>-100</v>
      </c>
      <c r="L1793" s="3">
        <f t="shared" si="388"/>
        <v>1</v>
      </c>
      <c r="M1793" s="3">
        <f t="shared" si="389"/>
        <v>0</v>
      </c>
      <c r="N1793" s="3" t="str">
        <f t="shared" si="390"/>
        <v>01</v>
      </c>
      <c r="O1793" s="14" t="str">
        <f t="shared" si="391"/>
        <v>00</v>
      </c>
      <c r="P1793" s="132"/>
      <c r="R1793" s="6">
        <v>513</v>
      </c>
      <c r="S1793" s="5">
        <f t="shared" si="394"/>
        <v>0</v>
      </c>
      <c r="T1793" s="28"/>
    </row>
    <row r="1794" spans="1:22" hidden="1">
      <c r="J1794" s="1" t="str">
        <f t="shared" si="386"/>
        <v>0</v>
      </c>
      <c r="K1794" s="3">
        <f t="shared" si="387"/>
        <v>-100</v>
      </c>
      <c r="L1794" s="3">
        <f t="shared" si="388"/>
        <v>1</v>
      </c>
      <c r="M1794" s="3">
        <f t="shared" si="389"/>
        <v>0</v>
      </c>
      <c r="N1794" s="3" t="str">
        <f t="shared" si="390"/>
        <v>01</v>
      </c>
      <c r="O1794" s="14" t="str">
        <f t="shared" si="391"/>
        <v>00</v>
      </c>
      <c r="P1794" s="132"/>
      <c r="R1794" s="6">
        <v>513</v>
      </c>
      <c r="S1794" s="5">
        <f t="shared" si="394"/>
        <v>0</v>
      </c>
      <c r="T1794" s="28"/>
    </row>
    <row r="1795" spans="1:22" hidden="1">
      <c r="J1795" s="1" t="str">
        <f t="shared" si="386"/>
        <v>0</v>
      </c>
      <c r="K1795" s="3">
        <f t="shared" si="387"/>
        <v>-100</v>
      </c>
      <c r="L1795" s="3">
        <f t="shared" si="388"/>
        <v>1</v>
      </c>
      <c r="M1795" s="3">
        <f t="shared" si="389"/>
        <v>0</v>
      </c>
      <c r="N1795" s="3" t="str">
        <f t="shared" si="390"/>
        <v>01</v>
      </c>
      <c r="O1795" s="14" t="str">
        <f t="shared" si="391"/>
        <v>00</v>
      </c>
      <c r="P1795" s="132"/>
      <c r="R1795" s="6">
        <v>513</v>
      </c>
      <c r="S1795" s="5">
        <f t="shared" si="394"/>
        <v>0</v>
      </c>
      <c r="T1795" s="28"/>
    </row>
    <row r="1796" spans="1:22">
      <c r="A1796" s="3">
        <v>1718</v>
      </c>
      <c r="B1796" s="1">
        <f>IF(G1796="-",0,IF(G1795=G1796,1,0))</f>
        <v>0</v>
      </c>
      <c r="C1796" s="1">
        <f>+IF(G1796="-",0,IF(I1796=I1795+1,0,(IF(I1796=1,0,1))))</f>
        <v>1</v>
      </c>
      <c r="D1796" s="1">
        <f>+IF(AND(P1796="",Q1796=""),1,0)</f>
        <v>0</v>
      </c>
      <c r="E1796" s="1">
        <f>IF(U1796="",1,0)</f>
        <v>0</v>
      </c>
      <c r="F1796" s="1">
        <f>IF(V1796="",1,0)</f>
        <v>0</v>
      </c>
      <c r="G1796" s="1" t="str">
        <f>IF(H1796=0,"-",_xlfn.CONCAT(K1796,N1796,O1796,J1796))</f>
        <v>24082603</v>
      </c>
      <c r="H1796" s="2">
        <v>45530</v>
      </c>
      <c r="I1796" s="36">
        <v>3</v>
      </c>
      <c r="J1796" s="1" t="str">
        <f t="shared" si="386"/>
        <v>03</v>
      </c>
      <c r="K1796" s="3">
        <f t="shared" si="387"/>
        <v>24</v>
      </c>
      <c r="L1796" s="3">
        <f t="shared" si="388"/>
        <v>8</v>
      </c>
      <c r="M1796" s="3">
        <f t="shared" si="389"/>
        <v>26</v>
      </c>
      <c r="N1796" s="3" t="str">
        <f t="shared" si="390"/>
        <v>08</v>
      </c>
      <c r="O1796" s="14">
        <f t="shared" si="391"/>
        <v>26</v>
      </c>
      <c r="P1796" s="4">
        <v>15000</v>
      </c>
      <c r="R1796" s="6">
        <v>517</v>
      </c>
      <c r="S1796" s="5">
        <f t="shared" si="394"/>
        <v>29.013539651837526</v>
      </c>
      <c r="T1796" s="5" t="s">
        <v>676</v>
      </c>
      <c r="U1796" s="3" t="s">
        <v>29</v>
      </c>
      <c r="V1796" s="3" t="s">
        <v>4</v>
      </c>
    </row>
    <row r="1797" spans="1:22" hidden="1">
      <c r="J1797" s="1" t="str">
        <f t="shared" si="386"/>
        <v>0</v>
      </c>
      <c r="K1797" s="3">
        <f t="shared" si="387"/>
        <v>-100</v>
      </c>
      <c r="L1797" s="3">
        <f t="shared" si="388"/>
        <v>1</v>
      </c>
      <c r="M1797" s="3">
        <f t="shared" si="389"/>
        <v>0</v>
      </c>
      <c r="N1797" s="3" t="str">
        <f t="shared" si="390"/>
        <v>01</v>
      </c>
      <c r="O1797" s="14" t="str">
        <f t="shared" si="391"/>
        <v>00</v>
      </c>
      <c r="P1797" s="132"/>
      <c r="R1797" s="6">
        <v>513</v>
      </c>
      <c r="S1797" s="5">
        <f t="shared" si="394"/>
        <v>0</v>
      </c>
      <c r="T1797" s="28"/>
    </row>
    <row r="1798" spans="1:22" hidden="1">
      <c r="J1798" s="1" t="str">
        <f t="shared" si="386"/>
        <v>0</v>
      </c>
      <c r="K1798" s="3">
        <f t="shared" si="387"/>
        <v>-100</v>
      </c>
      <c r="L1798" s="3">
        <f t="shared" si="388"/>
        <v>1</v>
      </c>
      <c r="M1798" s="3">
        <f t="shared" si="389"/>
        <v>0</v>
      </c>
      <c r="N1798" s="3" t="str">
        <f t="shared" si="390"/>
        <v>01</v>
      </c>
      <c r="O1798" s="14" t="str">
        <f t="shared" si="391"/>
        <v>00</v>
      </c>
      <c r="P1798" s="132"/>
      <c r="R1798" s="6">
        <v>513</v>
      </c>
      <c r="S1798" s="5">
        <f t="shared" si="394"/>
        <v>0</v>
      </c>
      <c r="T1798" s="28"/>
    </row>
    <row r="1799" spans="1:22">
      <c r="A1799" s="3">
        <v>1725</v>
      </c>
      <c r="B1799" s="1">
        <f>IF(G1799="-",0,IF(G1798=G1799,1,0))</f>
        <v>0</v>
      </c>
      <c r="C1799" s="1">
        <f>+IF(G1799="-",0,IF(I1799=I1798+1,0,(IF(I1799=1,0,1))))</f>
        <v>1</v>
      </c>
      <c r="D1799" s="1">
        <f>+IF(AND(P1799="",Q1799=""),1,0)</f>
        <v>0</v>
      </c>
      <c r="E1799" s="1">
        <f>IF(U1799="",1,0)</f>
        <v>0</v>
      </c>
      <c r="F1799" s="1">
        <f>IF(V1799="",1,0)</f>
        <v>0</v>
      </c>
      <c r="G1799" s="1" t="str">
        <f>IF(H1799=0,"-",_xlfn.CONCAT(K1799,N1799,O1799,J1799))</f>
        <v>24082703</v>
      </c>
      <c r="H1799" s="2">
        <v>45531</v>
      </c>
      <c r="I1799" s="36">
        <v>3</v>
      </c>
      <c r="J1799" s="1" t="str">
        <f t="shared" si="386"/>
        <v>03</v>
      </c>
      <c r="K1799" s="3">
        <f t="shared" si="387"/>
        <v>24</v>
      </c>
      <c r="L1799" s="3">
        <f t="shared" si="388"/>
        <v>8</v>
      </c>
      <c r="M1799" s="3">
        <f t="shared" si="389"/>
        <v>27</v>
      </c>
      <c r="N1799" s="3" t="str">
        <f t="shared" si="390"/>
        <v>08</v>
      </c>
      <c r="O1799" s="14">
        <f t="shared" si="391"/>
        <v>27</v>
      </c>
      <c r="P1799" s="4">
        <v>347478.4</v>
      </c>
      <c r="R1799" s="6">
        <v>512</v>
      </c>
      <c r="S1799" s="5">
        <f t="shared" si="394"/>
        <v>678.66875000000005</v>
      </c>
      <c r="T1799" s="5" t="s">
        <v>681</v>
      </c>
      <c r="U1799" s="3" t="s">
        <v>1</v>
      </c>
      <c r="V1799" s="3" t="s">
        <v>4</v>
      </c>
    </row>
    <row r="1800" spans="1:22" hidden="1">
      <c r="J1800" s="1" t="str">
        <f t="shared" si="386"/>
        <v>0</v>
      </c>
      <c r="K1800" s="3">
        <f t="shared" si="387"/>
        <v>-100</v>
      </c>
      <c r="L1800" s="3">
        <f t="shared" si="388"/>
        <v>1</v>
      </c>
      <c r="M1800" s="3">
        <f t="shared" si="389"/>
        <v>0</v>
      </c>
      <c r="N1800" s="3" t="str">
        <f t="shared" si="390"/>
        <v>01</v>
      </c>
      <c r="O1800" s="14" t="str">
        <f t="shared" si="391"/>
        <v>00</v>
      </c>
      <c r="P1800" s="132"/>
      <c r="R1800" s="6">
        <v>513</v>
      </c>
      <c r="S1800" s="5">
        <f t="shared" si="394"/>
        <v>0</v>
      </c>
      <c r="T1800" s="28"/>
    </row>
    <row r="1801" spans="1:22" hidden="1">
      <c r="J1801" s="1" t="str">
        <f t="shared" si="386"/>
        <v>0</v>
      </c>
      <c r="K1801" s="3">
        <f t="shared" si="387"/>
        <v>-100</v>
      </c>
      <c r="L1801" s="3">
        <f t="shared" si="388"/>
        <v>1</v>
      </c>
      <c r="M1801" s="3">
        <f t="shared" si="389"/>
        <v>0</v>
      </c>
      <c r="N1801" s="3" t="str">
        <f t="shared" si="390"/>
        <v>01</v>
      </c>
      <c r="O1801" s="14" t="str">
        <f t="shared" si="391"/>
        <v>00</v>
      </c>
      <c r="R1801" s="6">
        <v>513</v>
      </c>
      <c r="S1801" s="5">
        <f t="shared" si="394"/>
        <v>0</v>
      </c>
    </row>
    <row r="1802" spans="1:22" hidden="1">
      <c r="J1802" s="1" t="str">
        <f t="shared" si="386"/>
        <v>0</v>
      </c>
      <c r="K1802" s="3">
        <f t="shared" si="387"/>
        <v>-100</v>
      </c>
      <c r="L1802" s="3">
        <f t="shared" si="388"/>
        <v>1</v>
      </c>
      <c r="M1802" s="3">
        <f t="shared" si="389"/>
        <v>0</v>
      </c>
      <c r="N1802" s="3" t="str">
        <f t="shared" si="390"/>
        <v>01</v>
      </c>
      <c r="O1802" s="14" t="str">
        <f t="shared" si="391"/>
        <v>00</v>
      </c>
      <c r="R1802" s="6">
        <v>513</v>
      </c>
      <c r="S1802" s="5">
        <f t="shared" si="394"/>
        <v>0</v>
      </c>
    </row>
    <row r="1803" spans="1:22" hidden="1">
      <c r="J1803" s="1" t="str">
        <f t="shared" si="386"/>
        <v>0</v>
      </c>
      <c r="K1803" s="3">
        <f t="shared" si="387"/>
        <v>-100</v>
      </c>
      <c r="L1803" s="3">
        <f t="shared" si="388"/>
        <v>1</v>
      </c>
      <c r="M1803" s="3">
        <f t="shared" si="389"/>
        <v>0</v>
      </c>
      <c r="N1803" s="3" t="str">
        <f t="shared" si="390"/>
        <v>01</v>
      </c>
      <c r="O1803" s="14" t="str">
        <f t="shared" si="391"/>
        <v>00</v>
      </c>
      <c r="R1803" s="6">
        <v>513</v>
      </c>
      <c r="S1803" s="5">
        <f t="shared" si="394"/>
        <v>0</v>
      </c>
    </row>
    <row r="1804" spans="1:22" hidden="1">
      <c r="J1804" s="1" t="str">
        <f t="shared" si="386"/>
        <v>0</v>
      </c>
      <c r="K1804" s="3">
        <f t="shared" si="387"/>
        <v>-100</v>
      </c>
      <c r="L1804" s="3">
        <f t="shared" si="388"/>
        <v>1</v>
      </c>
      <c r="M1804" s="3">
        <f t="shared" si="389"/>
        <v>0</v>
      </c>
      <c r="N1804" s="3" t="str">
        <f t="shared" si="390"/>
        <v>01</v>
      </c>
      <c r="O1804" s="14" t="str">
        <f t="shared" si="391"/>
        <v>00</v>
      </c>
      <c r="R1804" s="6">
        <v>513</v>
      </c>
      <c r="S1804" s="5">
        <f t="shared" si="394"/>
        <v>0</v>
      </c>
    </row>
    <row r="1805" spans="1:22" hidden="1">
      <c r="J1805" s="1" t="str">
        <f t="shared" ref="J1805:J1868" si="397">+IF(I1805&lt;10,_xlfn.CONCAT("0",I1805),I1805)</f>
        <v>0</v>
      </c>
      <c r="K1805" s="3">
        <f t="shared" ref="K1805:K1868" si="398">+YEAR(H1805)-2000</f>
        <v>-100</v>
      </c>
      <c r="L1805" s="3">
        <f t="shared" ref="L1805:L1868" si="399">+MONTH(H1805)</f>
        <v>1</v>
      </c>
      <c r="M1805" s="3">
        <f t="shared" ref="M1805:M1868" si="400">+DAY(H1805)</f>
        <v>0</v>
      </c>
      <c r="N1805" s="3" t="str">
        <f t="shared" ref="N1805:N1868" si="401">+IF(L1805&lt;10,_xlfn.CONCAT("0",L1805),L1805)</f>
        <v>01</v>
      </c>
      <c r="O1805" s="14" t="str">
        <f t="shared" ref="O1805:O1868" si="402">+IF(M1805&lt;10,_xlfn.CONCAT("0",M1805),M1805)</f>
        <v>00</v>
      </c>
      <c r="R1805" s="6">
        <v>513</v>
      </c>
      <c r="S1805" s="5">
        <f t="shared" si="394"/>
        <v>0</v>
      </c>
    </row>
    <row r="1806" spans="1:22" hidden="1">
      <c r="J1806" s="1" t="str">
        <f t="shared" si="397"/>
        <v>0</v>
      </c>
      <c r="K1806" s="3">
        <f t="shared" si="398"/>
        <v>-100</v>
      </c>
      <c r="L1806" s="3">
        <f t="shared" si="399"/>
        <v>1</v>
      </c>
      <c r="M1806" s="3">
        <f t="shared" si="400"/>
        <v>0</v>
      </c>
      <c r="N1806" s="3" t="str">
        <f t="shared" si="401"/>
        <v>01</v>
      </c>
      <c r="O1806" s="14" t="str">
        <f t="shared" si="402"/>
        <v>00</v>
      </c>
      <c r="R1806" s="6">
        <v>513</v>
      </c>
      <c r="S1806" s="5">
        <f t="shared" si="394"/>
        <v>0</v>
      </c>
    </row>
    <row r="1807" spans="1:22" hidden="1">
      <c r="J1807" s="1" t="str">
        <f t="shared" si="397"/>
        <v>0</v>
      </c>
      <c r="K1807" s="3">
        <f t="shared" si="398"/>
        <v>-100</v>
      </c>
      <c r="L1807" s="3">
        <f t="shared" si="399"/>
        <v>1</v>
      </c>
      <c r="M1807" s="3">
        <f t="shared" si="400"/>
        <v>0</v>
      </c>
      <c r="N1807" s="3" t="str">
        <f t="shared" si="401"/>
        <v>01</v>
      </c>
      <c r="O1807" s="14" t="str">
        <f t="shared" si="402"/>
        <v>00</v>
      </c>
      <c r="R1807" s="6">
        <v>513</v>
      </c>
      <c r="S1807" s="5">
        <f t="shared" si="394"/>
        <v>0</v>
      </c>
    </row>
    <row r="1808" spans="1:22">
      <c r="A1808" s="3">
        <v>1758</v>
      </c>
      <c r="B1808" s="1">
        <f>IF(G1808="-",0,IF(G1807=G1808,1,0))</f>
        <v>0</v>
      </c>
      <c r="C1808" s="1">
        <f>+IF(G1808="-",0,IF(I1808=I1807+1,0,(IF(I1808=1,0,1))))</f>
        <v>1</v>
      </c>
      <c r="D1808" s="1">
        <f>+IF(AND(P1808="",Q1808=""),1,0)</f>
        <v>0</v>
      </c>
      <c r="E1808" s="1">
        <f>IF(U1808="",1,0)</f>
        <v>0</v>
      </c>
      <c r="F1808" s="1">
        <f>IF(V1808="",1,0)</f>
        <v>0</v>
      </c>
      <c r="G1808" s="1" t="str">
        <f>IF(H1808=0,"-",_xlfn.CONCAT(K1808,N1808,O1808,J1808))</f>
        <v>24083011</v>
      </c>
      <c r="H1808" s="2">
        <v>45534</v>
      </c>
      <c r="I1808" s="36">
        <v>11</v>
      </c>
      <c r="J1808" s="1">
        <f t="shared" si="397"/>
        <v>11</v>
      </c>
      <c r="K1808" s="3">
        <f t="shared" si="398"/>
        <v>24</v>
      </c>
      <c r="L1808" s="3">
        <f t="shared" si="399"/>
        <v>8</v>
      </c>
      <c r="M1808" s="3">
        <f t="shared" si="400"/>
        <v>30</v>
      </c>
      <c r="N1808" s="3" t="str">
        <f t="shared" si="401"/>
        <v>08</v>
      </c>
      <c r="O1808" s="14">
        <f t="shared" si="402"/>
        <v>30</v>
      </c>
      <c r="P1808" s="4">
        <v>43017.03</v>
      </c>
      <c r="R1808" s="6">
        <v>513</v>
      </c>
      <c r="S1808" s="5">
        <f t="shared" si="394"/>
        <v>83.853859649122811</v>
      </c>
      <c r="T1808" s="5" t="s">
        <v>762</v>
      </c>
      <c r="U1808" s="3" t="s">
        <v>29</v>
      </c>
      <c r="V1808" s="3" t="s">
        <v>4</v>
      </c>
    </row>
    <row r="1809" spans="1:23" hidden="1">
      <c r="J1809" s="1" t="str">
        <f t="shared" si="397"/>
        <v>0</v>
      </c>
      <c r="K1809" s="3">
        <f t="shared" si="398"/>
        <v>-100</v>
      </c>
      <c r="L1809" s="3">
        <f t="shared" si="399"/>
        <v>1</v>
      </c>
      <c r="M1809" s="3">
        <f t="shared" si="400"/>
        <v>0</v>
      </c>
      <c r="N1809" s="3" t="str">
        <f t="shared" si="401"/>
        <v>01</v>
      </c>
      <c r="O1809" s="14" t="str">
        <f t="shared" si="402"/>
        <v>00</v>
      </c>
      <c r="R1809" s="6">
        <v>513</v>
      </c>
      <c r="S1809" s="5">
        <f t="shared" si="394"/>
        <v>0</v>
      </c>
    </row>
    <row r="1810" spans="1:23" hidden="1">
      <c r="J1810" s="1" t="str">
        <f t="shared" si="397"/>
        <v>0</v>
      </c>
      <c r="K1810" s="3">
        <f t="shared" si="398"/>
        <v>-100</v>
      </c>
      <c r="L1810" s="3">
        <f t="shared" si="399"/>
        <v>1</v>
      </c>
      <c r="M1810" s="3">
        <f t="shared" si="400"/>
        <v>0</v>
      </c>
      <c r="N1810" s="3" t="str">
        <f t="shared" si="401"/>
        <v>01</v>
      </c>
      <c r="O1810" s="14" t="str">
        <f t="shared" si="402"/>
        <v>00</v>
      </c>
      <c r="R1810" s="6">
        <v>513</v>
      </c>
      <c r="S1810" s="5">
        <f t="shared" si="394"/>
        <v>0</v>
      </c>
    </row>
    <row r="1811" spans="1:23" hidden="1">
      <c r="J1811" s="1" t="str">
        <f t="shared" si="397"/>
        <v>0</v>
      </c>
      <c r="K1811" s="3">
        <f t="shared" si="398"/>
        <v>-100</v>
      </c>
      <c r="L1811" s="3">
        <f t="shared" si="399"/>
        <v>1</v>
      </c>
      <c r="M1811" s="3">
        <f t="shared" si="400"/>
        <v>0</v>
      </c>
      <c r="N1811" s="3" t="str">
        <f t="shared" si="401"/>
        <v>01</v>
      </c>
      <c r="O1811" s="14" t="str">
        <f t="shared" si="402"/>
        <v>00</v>
      </c>
      <c r="R1811" s="6">
        <v>512</v>
      </c>
      <c r="S1811" s="5">
        <f t="shared" si="394"/>
        <v>0</v>
      </c>
    </row>
    <row r="1812" spans="1:23" hidden="1">
      <c r="J1812" s="1" t="str">
        <f t="shared" si="397"/>
        <v>0</v>
      </c>
      <c r="K1812" s="3">
        <f t="shared" si="398"/>
        <v>-100</v>
      </c>
      <c r="L1812" s="3">
        <f t="shared" si="399"/>
        <v>1</v>
      </c>
      <c r="M1812" s="3">
        <f t="shared" si="400"/>
        <v>0</v>
      </c>
      <c r="N1812" s="3" t="str">
        <f t="shared" si="401"/>
        <v>01</v>
      </c>
      <c r="O1812" s="14" t="str">
        <f t="shared" si="402"/>
        <v>00</v>
      </c>
      <c r="R1812" s="6">
        <v>512</v>
      </c>
      <c r="S1812" s="5">
        <f t="shared" si="394"/>
        <v>0</v>
      </c>
    </row>
    <row r="1813" spans="1:23" hidden="1">
      <c r="J1813" s="1" t="str">
        <f t="shared" si="397"/>
        <v>0</v>
      </c>
      <c r="K1813" s="3">
        <f t="shared" si="398"/>
        <v>-100</v>
      </c>
      <c r="L1813" s="3">
        <f t="shared" si="399"/>
        <v>1</v>
      </c>
      <c r="M1813" s="3">
        <f t="shared" si="400"/>
        <v>0</v>
      </c>
      <c r="N1813" s="3" t="str">
        <f t="shared" si="401"/>
        <v>01</v>
      </c>
      <c r="O1813" s="14" t="str">
        <f t="shared" si="402"/>
        <v>00</v>
      </c>
    </row>
    <row r="1814" spans="1:23" hidden="1">
      <c r="J1814" s="1" t="str">
        <f t="shared" si="397"/>
        <v>0</v>
      </c>
      <c r="K1814" s="3">
        <f t="shared" si="398"/>
        <v>-100</v>
      </c>
      <c r="L1814" s="3">
        <f t="shared" si="399"/>
        <v>1</v>
      </c>
      <c r="M1814" s="3">
        <f t="shared" si="400"/>
        <v>0</v>
      </c>
      <c r="N1814" s="3" t="str">
        <f t="shared" si="401"/>
        <v>01</v>
      </c>
      <c r="O1814" s="14" t="str">
        <f t="shared" si="402"/>
        <v>00</v>
      </c>
      <c r="R1814" s="6">
        <v>512</v>
      </c>
      <c r="S1814" s="5">
        <f t="shared" ref="S1814:S1845" si="403">IFERROR(P1814/R1814,"")</f>
        <v>0</v>
      </c>
      <c r="T1814" s="12"/>
    </row>
    <row r="1815" spans="1:23" hidden="1">
      <c r="J1815" s="1" t="str">
        <f t="shared" si="397"/>
        <v>0</v>
      </c>
      <c r="K1815" s="3">
        <f t="shared" si="398"/>
        <v>-100</v>
      </c>
      <c r="L1815" s="3">
        <f t="shared" si="399"/>
        <v>1</v>
      </c>
      <c r="M1815" s="3">
        <f t="shared" si="400"/>
        <v>0</v>
      </c>
      <c r="N1815" s="3" t="str">
        <f t="shared" si="401"/>
        <v>01</v>
      </c>
      <c r="O1815" s="14" t="str">
        <f t="shared" si="402"/>
        <v>00</v>
      </c>
      <c r="R1815" s="6">
        <v>512</v>
      </c>
      <c r="S1815" s="5">
        <f t="shared" si="403"/>
        <v>0</v>
      </c>
    </row>
    <row r="1816" spans="1:23" hidden="1">
      <c r="J1816" s="1" t="str">
        <f t="shared" si="397"/>
        <v>0</v>
      </c>
      <c r="K1816" s="3">
        <f t="shared" si="398"/>
        <v>-100</v>
      </c>
      <c r="L1816" s="3">
        <f t="shared" si="399"/>
        <v>1</v>
      </c>
      <c r="M1816" s="3">
        <f t="shared" si="400"/>
        <v>0</v>
      </c>
      <c r="N1816" s="3" t="str">
        <f t="shared" si="401"/>
        <v>01</v>
      </c>
      <c r="O1816" s="14" t="str">
        <f t="shared" si="402"/>
        <v>00</v>
      </c>
      <c r="R1816" s="6">
        <v>512</v>
      </c>
      <c r="S1816" s="5">
        <f t="shared" si="403"/>
        <v>0</v>
      </c>
    </row>
    <row r="1817" spans="1:23" hidden="1">
      <c r="J1817" s="1" t="str">
        <f t="shared" si="397"/>
        <v>0</v>
      </c>
      <c r="K1817" s="3">
        <f t="shared" si="398"/>
        <v>-100</v>
      </c>
      <c r="L1817" s="3">
        <f t="shared" si="399"/>
        <v>1</v>
      </c>
      <c r="M1817" s="3">
        <f t="shared" si="400"/>
        <v>0</v>
      </c>
      <c r="N1817" s="3" t="str">
        <f t="shared" si="401"/>
        <v>01</v>
      </c>
      <c r="O1817" s="14" t="str">
        <f t="shared" si="402"/>
        <v>00</v>
      </c>
      <c r="R1817" s="6">
        <v>512</v>
      </c>
      <c r="S1817" s="5">
        <f t="shared" si="403"/>
        <v>0</v>
      </c>
    </row>
    <row r="1818" spans="1:23" hidden="1">
      <c r="J1818" s="1" t="str">
        <f t="shared" si="397"/>
        <v>0</v>
      </c>
      <c r="K1818" s="3">
        <f t="shared" si="398"/>
        <v>-100</v>
      </c>
      <c r="L1818" s="3">
        <f t="shared" si="399"/>
        <v>1</v>
      </c>
      <c r="M1818" s="3">
        <f t="shared" si="400"/>
        <v>0</v>
      </c>
      <c r="N1818" s="3" t="str">
        <f t="shared" si="401"/>
        <v>01</v>
      </c>
      <c r="O1818" s="14" t="str">
        <f t="shared" si="402"/>
        <v>00</v>
      </c>
      <c r="R1818" s="6">
        <v>511</v>
      </c>
      <c r="S1818" s="5">
        <f t="shared" si="403"/>
        <v>0</v>
      </c>
    </row>
    <row r="1819" spans="1:23" hidden="1">
      <c r="J1819" s="1" t="str">
        <f t="shared" si="397"/>
        <v>0</v>
      </c>
      <c r="K1819" s="3">
        <f t="shared" si="398"/>
        <v>-100</v>
      </c>
      <c r="L1819" s="3">
        <f t="shared" si="399"/>
        <v>1</v>
      </c>
      <c r="M1819" s="3">
        <f t="shared" si="400"/>
        <v>0</v>
      </c>
      <c r="N1819" s="3" t="str">
        <f t="shared" si="401"/>
        <v>01</v>
      </c>
      <c r="O1819" s="14" t="str">
        <f t="shared" si="402"/>
        <v>00</v>
      </c>
      <c r="R1819" s="6">
        <v>511</v>
      </c>
      <c r="S1819" s="5">
        <f t="shared" si="403"/>
        <v>0</v>
      </c>
    </row>
    <row r="1820" spans="1:23" hidden="1">
      <c r="J1820" s="1" t="str">
        <f t="shared" si="397"/>
        <v>0</v>
      </c>
      <c r="K1820" s="3">
        <f t="shared" si="398"/>
        <v>-100</v>
      </c>
      <c r="L1820" s="3">
        <f t="shared" si="399"/>
        <v>1</v>
      </c>
      <c r="M1820" s="3">
        <f t="shared" si="400"/>
        <v>0</v>
      </c>
      <c r="N1820" s="3" t="str">
        <f t="shared" si="401"/>
        <v>01</v>
      </c>
      <c r="O1820" s="14" t="str">
        <f t="shared" si="402"/>
        <v>00</v>
      </c>
      <c r="R1820" s="6">
        <v>511</v>
      </c>
      <c r="S1820" s="5">
        <f t="shared" si="403"/>
        <v>0</v>
      </c>
    </row>
    <row r="1821" spans="1:23" hidden="1">
      <c r="J1821" s="1" t="str">
        <f t="shared" si="397"/>
        <v>0</v>
      </c>
      <c r="K1821" s="3">
        <f t="shared" si="398"/>
        <v>-100</v>
      </c>
      <c r="L1821" s="3">
        <f t="shared" si="399"/>
        <v>1</v>
      </c>
      <c r="M1821" s="3">
        <f t="shared" si="400"/>
        <v>0</v>
      </c>
      <c r="N1821" s="3" t="str">
        <f t="shared" si="401"/>
        <v>01</v>
      </c>
      <c r="O1821" s="14" t="str">
        <f t="shared" si="402"/>
        <v>00</v>
      </c>
      <c r="R1821" s="6">
        <v>511</v>
      </c>
      <c r="S1821" s="5">
        <f t="shared" si="403"/>
        <v>0</v>
      </c>
    </row>
    <row r="1822" spans="1:23" hidden="1">
      <c r="J1822" s="1" t="str">
        <f t="shared" si="397"/>
        <v>0</v>
      </c>
      <c r="K1822" s="3">
        <f t="shared" si="398"/>
        <v>-100</v>
      </c>
      <c r="L1822" s="3">
        <f t="shared" si="399"/>
        <v>1</v>
      </c>
      <c r="M1822" s="3">
        <f t="shared" si="400"/>
        <v>0</v>
      </c>
      <c r="N1822" s="3" t="str">
        <f t="shared" si="401"/>
        <v>01</v>
      </c>
      <c r="O1822" s="14" t="str">
        <f t="shared" si="402"/>
        <v>00</v>
      </c>
      <c r="R1822" s="6">
        <v>511</v>
      </c>
      <c r="S1822" s="5">
        <f t="shared" si="403"/>
        <v>0</v>
      </c>
    </row>
    <row r="1823" spans="1:23">
      <c r="A1823" s="3">
        <v>1765</v>
      </c>
      <c r="B1823" s="1">
        <f>IF(G1823="-",0,IF(G1821=G1823,1,0))</f>
        <v>0</v>
      </c>
      <c r="C1823" s="1">
        <f>+IF(G1823="-",0,IF(I1823=I1821+1,0,(IF(I1823=1,0,1))))</f>
        <v>1</v>
      </c>
      <c r="D1823" s="1">
        <f>+IF(AND(P1823="",Q1823=""),1,0)</f>
        <v>0</v>
      </c>
      <c r="E1823" s="1">
        <f>IF(U1823="",1,0)</f>
        <v>0</v>
      </c>
      <c r="F1823" s="1">
        <f>IF(V1823="",1,0)</f>
        <v>0</v>
      </c>
      <c r="G1823" s="1" t="str">
        <f>IF(H1823=0,"-",_xlfn.CONCAT(K1823,N1823,O1823,J1823))</f>
        <v>24083102</v>
      </c>
      <c r="H1823" s="2">
        <v>45535</v>
      </c>
      <c r="I1823" s="36">
        <v>2</v>
      </c>
      <c r="J1823" s="1" t="str">
        <f t="shared" si="397"/>
        <v>02</v>
      </c>
      <c r="K1823" s="3">
        <f t="shared" si="398"/>
        <v>24</v>
      </c>
      <c r="L1823" s="3">
        <f t="shared" si="399"/>
        <v>8</v>
      </c>
      <c r="M1823" s="3">
        <f t="shared" si="400"/>
        <v>31</v>
      </c>
      <c r="N1823" s="3" t="str">
        <f t="shared" si="401"/>
        <v>08</v>
      </c>
      <c r="O1823" s="14">
        <f t="shared" si="402"/>
        <v>31</v>
      </c>
      <c r="P1823" s="132">
        <v>150000</v>
      </c>
      <c r="R1823" s="6">
        <v>513</v>
      </c>
      <c r="S1823" s="5">
        <f t="shared" si="403"/>
        <v>292.39766081871346</v>
      </c>
      <c r="T1823" s="3" t="s">
        <v>654</v>
      </c>
      <c r="U1823" s="3" t="s">
        <v>1</v>
      </c>
      <c r="V1823" s="3" t="s">
        <v>4</v>
      </c>
      <c r="W1823" s="3" t="s">
        <v>1075</v>
      </c>
    </row>
    <row r="1824" spans="1:23">
      <c r="A1824" s="3">
        <v>1770</v>
      </c>
      <c r="B1824" s="1">
        <f>IF(G1824="-",0,IF(G1823=G1824,1,0))</f>
        <v>0</v>
      </c>
      <c r="C1824" s="1">
        <f>+IF(G1824="-",0,IF(I1824=I1823+1,0,(IF(I1824=1,0,1))))</f>
        <v>1</v>
      </c>
      <c r="D1824" s="1">
        <f>+IF(AND(P1824="",Q1824=""),1,0)</f>
        <v>0</v>
      </c>
      <c r="E1824" s="1">
        <f>IF(U1824="",1,0)</f>
        <v>0</v>
      </c>
      <c r="F1824" s="1">
        <f>IF(V1824="",1,0)</f>
        <v>0</v>
      </c>
      <c r="G1824" s="1" t="str">
        <f>IF(H1824=0,"-",_xlfn.CONCAT(K1824,N1824,O1824,J1824))</f>
        <v>24083107</v>
      </c>
      <c r="H1824" s="2">
        <v>45535</v>
      </c>
      <c r="I1824" s="36">
        <v>7</v>
      </c>
      <c r="J1824" s="1" t="str">
        <f t="shared" si="397"/>
        <v>07</v>
      </c>
      <c r="K1824" s="3">
        <f t="shared" si="398"/>
        <v>24</v>
      </c>
      <c r="L1824" s="3">
        <f t="shared" si="399"/>
        <v>8</v>
      </c>
      <c r="M1824" s="3">
        <f t="shared" si="400"/>
        <v>31</v>
      </c>
      <c r="N1824" s="3" t="str">
        <f t="shared" si="401"/>
        <v>08</v>
      </c>
      <c r="O1824" s="14">
        <f t="shared" si="402"/>
        <v>31</v>
      </c>
      <c r="P1824" s="132">
        <v>120000</v>
      </c>
      <c r="R1824" s="6">
        <v>513</v>
      </c>
      <c r="S1824" s="5">
        <f t="shared" si="403"/>
        <v>233.91812865497076</v>
      </c>
      <c r="T1824" s="28" t="s">
        <v>658</v>
      </c>
      <c r="U1824" s="3" t="s">
        <v>1</v>
      </c>
      <c r="V1824" s="3" t="s">
        <v>4</v>
      </c>
    </row>
    <row r="1825" spans="1:22" hidden="1">
      <c r="J1825" s="1" t="str">
        <f t="shared" si="397"/>
        <v>0</v>
      </c>
      <c r="K1825" s="3">
        <f t="shared" si="398"/>
        <v>-100</v>
      </c>
      <c r="L1825" s="3">
        <f t="shared" si="399"/>
        <v>1</v>
      </c>
      <c r="M1825" s="3">
        <f t="shared" si="400"/>
        <v>0</v>
      </c>
      <c r="N1825" s="3" t="str">
        <f t="shared" si="401"/>
        <v>01</v>
      </c>
      <c r="O1825" s="14" t="str">
        <f t="shared" si="402"/>
        <v>00</v>
      </c>
      <c r="R1825" s="6">
        <v>511</v>
      </c>
      <c r="S1825" s="5">
        <f t="shared" si="403"/>
        <v>0</v>
      </c>
    </row>
    <row r="1826" spans="1:22" hidden="1">
      <c r="J1826" s="1" t="str">
        <f t="shared" si="397"/>
        <v>0</v>
      </c>
      <c r="K1826" s="3">
        <f t="shared" si="398"/>
        <v>-100</v>
      </c>
      <c r="L1826" s="3">
        <f t="shared" si="399"/>
        <v>1</v>
      </c>
      <c r="M1826" s="3">
        <f t="shared" si="400"/>
        <v>0</v>
      </c>
      <c r="N1826" s="3" t="str">
        <f t="shared" si="401"/>
        <v>01</v>
      </c>
      <c r="O1826" s="14" t="str">
        <f t="shared" si="402"/>
        <v>00</v>
      </c>
      <c r="R1826" s="6">
        <v>511</v>
      </c>
      <c r="S1826" s="5">
        <f t="shared" si="403"/>
        <v>0</v>
      </c>
    </row>
    <row r="1827" spans="1:22" hidden="1">
      <c r="J1827" s="1" t="str">
        <f t="shared" si="397"/>
        <v>0</v>
      </c>
      <c r="K1827" s="3">
        <f t="shared" si="398"/>
        <v>-100</v>
      </c>
      <c r="L1827" s="3">
        <f t="shared" si="399"/>
        <v>1</v>
      </c>
      <c r="M1827" s="3">
        <f t="shared" si="400"/>
        <v>0</v>
      </c>
      <c r="N1827" s="3" t="str">
        <f t="shared" si="401"/>
        <v>01</v>
      </c>
      <c r="O1827" s="14" t="str">
        <f t="shared" si="402"/>
        <v>00</v>
      </c>
      <c r="R1827" s="6">
        <v>511</v>
      </c>
      <c r="S1827" s="5">
        <f t="shared" si="403"/>
        <v>0</v>
      </c>
    </row>
    <row r="1828" spans="1:22" hidden="1">
      <c r="J1828" s="1" t="str">
        <f t="shared" si="397"/>
        <v>0</v>
      </c>
      <c r="K1828" s="3">
        <f t="shared" si="398"/>
        <v>-100</v>
      </c>
      <c r="L1828" s="3">
        <f t="shared" si="399"/>
        <v>1</v>
      </c>
      <c r="M1828" s="3">
        <f t="shared" si="400"/>
        <v>0</v>
      </c>
      <c r="N1828" s="3" t="str">
        <f t="shared" si="401"/>
        <v>01</v>
      </c>
      <c r="O1828" s="14" t="str">
        <f t="shared" si="402"/>
        <v>00</v>
      </c>
      <c r="R1828" s="6">
        <v>511</v>
      </c>
      <c r="S1828" s="5">
        <f t="shared" si="403"/>
        <v>0</v>
      </c>
    </row>
    <row r="1829" spans="1:22">
      <c r="A1829" s="3">
        <v>1771</v>
      </c>
      <c r="B1829" s="1">
        <f>IF(G1829="-",0,IF(G1828=G1829,1,0))</f>
        <v>0</v>
      </c>
      <c r="C1829" s="1">
        <f>+IF(G1829="-",0,IF(I1829=I1828+1,0,(IF(I1829=1,0,1))))</f>
        <v>1</v>
      </c>
      <c r="D1829" s="1">
        <f>+IF(AND(P1829="",Q1829=""),1,0)</f>
        <v>0</v>
      </c>
      <c r="E1829" s="1">
        <f>IF(U1829="",1,0)</f>
        <v>0</v>
      </c>
      <c r="F1829" s="1">
        <f>IF(V1829="",1,0)</f>
        <v>0</v>
      </c>
      <c r="G1829" s="1" t="str">
        <f>IF(H1829=0,"-",_xlfn.CONCAT(K1829,N1829,O1829,J1829))</f>
        <v>24083108</v>
      </c>
      <c r="H1829" s="2">
        <v>45535</v>
      </c>
      <c r="I1829" s="36">
        <v>8</v>
      </c>
      <c r="J1829" s="1" t="str">
        <f t="shared" si="397"/>
        <v>08</v>
      </c>
      <c r="K1829" s="3">
        <f t="shared" si="398"/>
        <v>24</v>
      </c>
      <c r="L1829" s="3">
        <f t="shared" si="399"/>
        <v>8</v>
      </c>
      <c r="M1829" s="3">
        <f t="shared" si="400"/>
        <v>31</v>
      </c>
      <c r="N1829" s="3" t="str">
        <f t="shared" si="401"/>
        <v>08</v>
      </c>
      <c r="O1829" s="14">
        <f t="shared" si="402"/>
        <v>31</v>
      </c>
      <c r="P1829" s="132">
        <v>120000</v>
      </c>
      <c r="R1829" s="6">
        <v>513</v>
      </c>
      <c r="S1829" s="5">
        <f t="shared" si="403"/>
        <v>233.91812865497076</v>
      </c>
      <c r="T1829" s="28" t="s">
        <v>671</v>
      </c>
      <c r="U1829" s="3" t="s">
        <v>1</v>
      </c>
      <c r="V1829" s="3" t="s">
        <v>4</v>
      </c>
    </row>
    <row r="1830" spans="1:22" hidden="1">
      <c r="J1830" s="1" t="str">
        <f t="shared" si="397"/>
        <v>0</v>
      </c>
      <c r="K1830" s="3">
        <f t="shared" si="398"/>
        <v>-100</v>
      </c>
      <c r="L1830" s="3">
        <f t="shared" si="399"/>
        <v>1</v>
      </c>
      <c r="M1830" s="3">
        <f t="shared" si="400"/>
        <v>0</v>
      </c>
      <c r="N1830" s="3" t="str">
        <f t="shared" si="401"/>
        <v>01</v>
      </c>
      <c r="O1830" s="14" t="str">
        <f t="shared" si="402"/>
        <v>00</v>
      </c>
      <c r="R1830" s="6">
        <v>514</v>
      </c>
      <c r="S1830" s="5">
        <f t="shared" si="403"/>
        <v>0</v>
      </c>
    </row>
    <row r="1831" spans="1:22" hidden="1">
      <c r="J1831" s="1" t="str">
        <f t="shared" si="397"/>
        <v>0</v>
      </c>
      <c r="K1831" s="3">
        <f t="shared" si="398"/>
        <v>-100</v>
      </c>
      <c r="L1831" s="3">
        <f t="shared" si="399"/>
        <v>1</v>
      </c>
      <c r="M1831" s="3">
        <f t="shared" si="400"/>
        <v>0</v>
      </c>
      <c r="N1831" s="3" t="str">
        <f t="shared" si="401"/>
        <v>01</v>
      </c>
      <c r="O1831" s="14" t="str">
        <f t="shared" si="402"/>
        <v>00</v>
      </c>
      <c r="R1831" s="6">
        <v>514</v>
      </c>
      <c r="S1831" s="5">
        <f t="shared" si="403"/>
        <v>0</v>
      </c>
    </row>
    <row r="1832" spans="1:22" hidden="1">
      <c r="J1832" s="1" t="str">
        <f t="shared" si="397"/>
        <v>0</v>
      </c>
      <c r="K1832" s="3">
        <f t="shared" si="398"/>
        <v>-100</v>
      </c>
      <c r="L1832" s="3">
        <f t="shared" si="399"/>
        <v>1</v>
      </c>
      <c r="M1832" s="3">
        <f t="shared" si="400"/>
        <v>0</v>
      </c>
      <c r="N1832" s="3" t="str">
        <f t="shared" si="401"/>
        <v>01</v>
      </c>
      <c r="O1832" s="14" t="str">
        <f t="shared" si="402"/>
        <v>00</v>
      </c>
      <c r="R1832" s="6">
        <v>514</v>
      </c>
      <c r="S1832" s="5">
        <f t="shared" si="403"/>
        <v>0</v>
      </c>
    </row>
    <row r="1833" spans="1:22" hidden="1">
      <c r="G1833" s="90"/>
      <c r="H1833" s="91"/>
      <c r="J1833" s="90" t="str">
        <f t="shared" si="397"/>
        <v>0</v>
      </c>
      <c r="K1833" s="92">
        <f t="shared" si="398"/>
        <v>-100</v>
      </c>
      <c r="L1833" s="92">
        <f t="shared" si="399"/>
        <v>1</v>
      </c>
      <c r="M1833" s="92">
        <f t="shared" si="400"/>
        <v>0</v>
      </c>
      <c r="N1833" s="92" t="str">
        <f t="shared" si="401"/>
        <v>01</v>
      </c>
      <c r="O1833" s="93" t="str">
        <f t="shared" si="402"/>
        <v>00</v>
      </c>
      <c r="P1833" s="94"/>
      <c r="Q1833" s="95"/>
      <c r="R1833" s="6">
        <v>514</v>
      </c>
      <c r="S1833" s="5">
        <f t="shared" si="403"/>
        <v>0</v>
      </c>
      <c r="T1833" s="95"/>
      <c r="U1833" s="92"/>
      <c r="V1833" s="92"/>
    </row>
    <row r="1834" spans="1:22" hidden="1">
      <c r="J1834" s="1" t="str">
        <f t="shared" si="397"/>
        <v>0</v>
      </c>
      <c r="K1834" s="3">
        <f t="shared" si="398"/>
        <v>-100</v>
      </c>
      <c r="L1834" s="3">
        <f t="shared" si="399"/>
        <v>1</v>
      </c>
      <c r="M1834" s="3">
        <f t="shared" si="400"/>
        <v>0</v>
      </c>
      <c r="N1834" s="3" t="str">
        <f t="shared" si="401"/>
        <v>01</v>
      </c>
      <c r="O1834" s="14" t="str">
        <f t="shared" si="402"/>
        <v>00</v>
      </c>
      <c r="R1834" s="6">
        <v>514</v>
      </c>
      <c r="S1834" s="5">
        <f t="shared" si="403"/>
        <v>0</v>
      </c>
    </row>
    <row r="1835" spans="1:22" hidden="1">
      <c r="J1835" s="1" t="str">
        <f t="shared" si="397"/>
        <v>0</v>
      </c>
      <c r="K1835" s="3">
        <f t="shared" si="398"/>
        <v>-100</v>
      </c>
      <c r="L1835" s="3">
        <f t="shared" si="399"/>
        <v>1</v>
      </c>
      <c r="M1835" s="3">
        <f t="shared" si="400"/>
        <v>0</v>
      </c>
      <c r="N1835" s="3" t="str">
        <f t="shared" si="401"/>
        <v>01</v>
      </c>
      <c r="O1835" s="14" t="str">
        <f t="shared" si="402"/>
        <v>00</v>
      </c>
      <c r="R1835" s="6">
        <v>515</v>
      </c>
      <c r="S1835" s="5">
        <f t="shared" si="403"/>
        <v>0</v>
      </c>
    </row>
    <row r="1836" spans="1:22" hidden="1">
      <c r="J1836" s="1" t="str">
        <f t="shared" si="397"/>
        <v>0</v>
      </c>
      <c r="K1836" s="3">
        <f t="shared" si="398"/>
        <v>-100</v>
      </c>
      <c r="L1836" s="3">
        <f t="shared" si="399"/>
        <v>1</v>
      </c>
      <c r="M1836" s="3">
        <f t="shared" si="400"/>
        <v>0</v>
      </c>
      <c r="N1836" s="3" t="str">
        <f t="shared" si="401"/>
        <v>01</v>
      </c>
      <c r="O1836" s="14" t="str">
        <f t="shared" si="402"/>
        <v>00</v>
      </c>
      <c r="R1836" s="6">
        <v>515</v>
      </c>
      <c r="S1836" s="5">
        <f t="shared" si="403"/>
        <v>0</v>
      </c>
    </row>
    <row r="1837" spans="1:22" hidden="1">
      <c r="J1837" s="1" t="str">
        <f t="shared" si="397"/>
        <v>0</v>
      </c>
      <c r="K1837" s="3">
        <f t="shared" si="398"/>
        <v>-100</v>
      </c>
      <c r="L1837" s="3">
        <f t="shared" si="399"/>
        <v>1</v>
      </c>
      <c r="M1837" s="3">
        <f t="shared" si="400"/>
        <v>0</v>
      </c>
      <c r="N1837" s="3" t="str">
        <f t="shared" si="401"/>
        <v>01</v>
      </c>
      <c r="O1837" s="14" t="str">
        <f t="shared" si="402"/>
        <v>00</v>
      </c>
      <c r="R1837" s="6">
        <v>515</v>
      </c>
      <c r="S1837" s="5">
        <f t="shared" si="403"/>
        <v>0</v>
      </c>
    </row>
    <row r="1838" spans="1:22" hidden="1">
      <c r="J1838" s="1" t="str">
        <f t="shared" si="397"/>
        <v>0</v>
      </c>
      <c r="K1838" s="3">
        <f t="shared" si="398"/>
        <v>-100</v>
      </c>
      <c r="L1838" s="3">
        <f t="shared" si="399"/>
        <v>1</v>
      </c>
      <c r="M1838" s="3">
        <f t="shared" si="400"/>
        <v>0</v>
      </c>
      <c r="N1838" s="3" t="str">
        <f t="shared" si="401"/>
        <v>01</v>
      </c>
      <c r="O1838" s="14" t="str">
        <f t="shared" si="402"/>
        <v>00</v>
      </c>
      <c r="R1838" s="6">
        <v>515</v>
      </c>
      <c r="S1838" s="5">
        <f t="shared" si="403"/>
        <v>0</v>
      </c>
    </row>
    <row r="1839" spans="1:22" hidden="1">
      <c r="J1839" s="1" t="str">
        <f t="shared" si="397"/>
        <v>0</v>
      </c>
      <c r="K1839" s="3">
        <f t="shared" si="398"/>
        <v>-100</v>
      </c>
      <c r="L1839" s="3">
        <f t="shared" si="399"/>
        <v>1</v>
      </c>
      <c r="M1839" s="3">
        <f t="shared" si="400"/>
        <v>0</v>
      </c>
      <c r="N1839" s="3" t="str">
        <f t="shared" si="401"/>
        <v>01</v>
      </c>
      <c r="O1839" s="14" t="str">
        <f t="shared" si="402"/>
        <v>00</v>
      </c>
      <c r="R1839" s="6">
        <v>513</v>
      </c>
      <c r="S1839" s="5">
        <f t="shared" si="403"/>
        <v>0</v>
      </c>
    </row>
    <row r="1840" spans="1:22" hidden="1">
      <c r="J1840" s="1" t="str">
        <f t="shared" si="397"/>
        <v>0</v>
      </c>
      <c r="K1840" s="3">
        <f t="shared" si="398"/>
        <v>-100</v>
      </c>
      <c r="L1840" s="3">
        <f t="shared" si="399"/>
        <v>1</v>
      </c>
      <c r="M1840" s="3">
        <f t="shared" si="400"/>
        <v>0</v>
      </c>
      <c r="N1840" s="3" t="str">
        <f t="shared" si="401"/>
        <v>01</v>
      </c>
      <c r="O1840" s="14" t="str">
        <f t="shared" si="402"/>
        <v>00</v>
      </c>
      <c r="R1840" s="6">
        <v>513</v>
      </c>
      <c r="S1840" s="5">
        <f t="shared" si="403"/>
        <v>0</v>
      </c>
    </row>
    <row r="1841" spans="1:22">
      <c r="A1841" s="3">
        <v>1772</v>
      </c>
      <c r="B1841" s="1">
        <f>IF(G1841="-",0,IF(G1840=G1841,1,0))</f>
        <v>0</v>
      </c>
      <c r="C1841" s="1">
        <f>+IF(G1841="-",0,IF(I1841=I1840+1,0,(IF(I1841=1,0,1))))</f>
        <v>1</v>
      </c>
      <c r="D1841" s="1">
        <f>+IF(AND(P1841="",Q1841=""),1,0)</f>
        <v>0</v>
      </c>
      <c r="E1841" s="1">
        <f>IF(U1841="",1,0)</f>
        <v>0</v>
      </c>
      <c r="F1841" s="1">
        <f>IF(V1841="",1,0)</f>
        <v>0</v>
      </c>
      <c r="G1841" s="1" t="str">
        <f>IF(H1841=0,"-",_xlfn.CONCAT(K1841,N1841,O1841,J1841))</f>
        <v>24083109</v>
      </c>
      <c r="H1841" s="2">
        <v>45535</v>
      </c>
      <c r="I1841" s="36">
        <v>9</v>
      </c>
      <c r="J1841" s="1" t="str">
        <f t="shared" si="397"/>
        <v>09</v>
      </c>
      <c r="K1841" s="3">
        <f t="shared" si="398"/>
        <v>24</v>
      </c>
      <c r="L1841" s="3">
        <f t="shared" si="399"/>
        <v>8</v>
      </c>
      <c r="M1841" s="3">
        <f t="shared" si="400"/>
        <v>31</v>
      </c>
      <c r="N1841" s="3" t="str">
        <f t="shared" si="401"/>
        <v>08</v>
      </c>
      <c r="O1841" s="14">
        <f t="shared" si="402"/>
        <v>31</v>
      </c>
      <c r="P1841" s="132">
        <v>150000</v>
      </c>
      <c r="R1841" s="6">
        <v>513</v>
      </c>
      <c r="S1841" s="5">
        <f t="shared" si="403"/>
        <v>292.39766081871346</v>
      </c>
      <c r="T1841" s="28" t="s">
        <v>659</v>
      </c>
      <c r="U1841" s="3" t="s">
        <v>1</v>
      </c>
      <c r="V1841" s="3" t="s">
        <v>4</v>
      </c>
    </row>
    <row r="1842" spans="1:22" hidden="1">
      <c r="J1842" s="1" t="str">
        <f t="shared" si="397"/>
        <v>0</v>
      </c>
      <c r="K1842" s="3">
        <f t="shared" si="398"/>
        <v>-100</v>
      </c>
      <c r="L1842" s="3">
        <f t="shared" si="399"/>
        <v>1</v>
      </c>
      <c r="M1842" s="3">
        <f t="shared" si="400"/>
        <v>0</v>
      </c>
      <c r="N1842" s="3" t="str">
        <f t="shared" si="401"/>
        <v>01</v>
      </c>
      <c r="O1842" s="14" t="str">
        <f t="shared" si="402"/>
        <v>00</v>
      </c>
      <c r="R1842" s="6">
        <v>513</v>
      </c>
      <c r="S1842" s="5">
        <f t="shared" si="403"/>
        <v>0</v>
      </c>
    </row>
    <row r="1843" spans="1:22" hidden="1">
      <c r="J1843" s="1" t="str">
        <f t="shared" si="397"/>
        <v>0</v>
      </c>
      <c r="K1843" s="3">
        <f t="shared" si="398"/>
        <v>-100</v>
      </c>
      <c r="L1843" s="3">
        <f t="shared" si="399"/>
        <v>1</v>
      </c>
      <c r="M1843" s="3">
        <f t="shared" si="400"/>
        <v>0</v>
      </c>
      <c r="N1843" s="3" t="str">
        <f t="shared" si="401"/>
        <v>01</v>
      </c>
      <c r="O1843" s="14" t="str">
        <f t="shared" si="402"/>
        <v>00</v>
      </c>
      <c r="R1843" s="6">
        <v>513</v>
      </c>
      <c r="S1843" s="5">
        <f t="shared" si="403"/>
        <v>0</v>
      </c>
    </row>
    <row r="1844" spans="1:22" hidden="1">
      <c r="J1844" s="1" t="str">
        <f t="shared" si="397"/>
        <v>0</v>
      </c>
      <c r="K1844" s="3">
        <f t="shared" si="398"/>
        <v>-100</v>
      </c>
      <c r="L1844" s="3">
        <f t="shared" si="399"/>
        <v>1</v>
      </c>
      <c r="M1844" s="3">
        <f t="shared" si="400"/>
        <v>0</v>
      </c>
      <c r="N1844" s="3" t="str">
        <f t="shared" si="401"/>
        <v>01</v>
      </c>
      <c r="O1844" s="14" t="str">
        <f t="shared" si="402"/>
        <v>00</v>
      </c>
      <c r="S1844" s="5" t="str">
        <f t="shared" si="403"/>
        <v/>
      </c>
    </row>
    <row r="1845" spans="1:22" hidden="1">
      <c r="J1845" s="1" t="str">
        <f t="shared" si="397"/>
        <v>0</v>
      </c>
      <c r="K1845" s="3">
        <f t="shared" si="398"/>
        <v>-100</v>
      </c>
      <c r="L1845" s="3">
        <f t="shared" si="399"/>
        <v>1</v>
      </c>
      <c r="M1845" s="3">
        <f t="shared" si="400"/>
        <v>0</v>
      </c>
      <c r="N1845" s="3" t="str">
        <f t="shared" si="401"/>
        <v>01</v>
      </c>
      <c r="O1845" s="14" t="str">
        <f t="shared" si="402"/>
        <v>00</v>
      </c>
      <c r="R1845" s="6">
        <v>513</v>
      </c>
      <c r="S1845" s="5">
        <f t="shared" si="403"/>
        <v>0</v>
      </c>
    </row>
    <row r="1846" spans="1:22">
      <c r="A1846" s="3">
        <v>1773</v>
      </c>
      <c r="B1846" s="1">
        <f>IF(G1846="-",0,IF(G1845=G1846,1,0))</f>
        <v>0</v>
      </c>
      <c r="C1846" s="1">
        <f>+IF(G1846="-",0,IF(I1846=I1845+1,0,(IF(I1846=1,0,1))))</f>
        <v>1</v>
      </c>
      <c r="D1846" s="1">
        <f>+IF(AND(P1846="",Q1846=""),1,0)</f>
        <v>0</v>
      </c>
      <c r="E1846" s="1">
        <f>IF(U1846="",1,0)</f>
        <v>0</v>
      </c>
      <c r="F1846" s="1">
        <f>IF(V1846="",1,0)</f>
        <v>0</v>
      </c>
      <c r="G1846" s="1" t="str">
        <f>IF(H1846=0,"-",_xlfn.CONCAT(K1846,N1846,O1846,J1846))</f>
        <v>24083110</v>
      </c>
      <c r="H1846" s="2">
        <v>45535</v>
      </c>
      <c r="I1846" s="36">
        <v>10</v>
      </c>
      <c r="J1846" s="1">
        <f t="shared" si="397"/>
        <v>10</v>
      </c>
      <c r="K1846" s="3">
        <f t="shared" si="398"/>
        <v>24</v>
      </c>
      <c r="L1846" s="3">
        <f t="shared" si="399"/>
        <v>8</v>
      </c>
      <c r="M1846" s="3">
        <f t="shared" si="400"/>
        <v>31</v>
      </c>
      <c r="N1846" s="3" t="str">
        <f t="shared" si="401"/>
        <v>08</v>
      </c>
      <c r="O1846" s="14">
        <f t="shared" si="402"/>
        <v>31</v>
      </c>
      <c r="P1846" s="132">
        <v>120000</v>
      </c>
      <c r="R1846" s="6">
        <v>513</v>
      </c>
      <c r="S1846" s="5">
        <f t="shared" ref="S1846:S1877" si="404">IFERROR(P1846/R1846,"")</f>
        <v>233.91812865497076</v>
      </c>
      <c r="T1846" s="28" t="s">
        <v>660</v>
      </c>
      <c r="U1846" s="3" t="s">
        <v>1</v>
      </c>
      <c r="V1846" s="3" t="s">
        <v>4</v>
      </c>
    </row>
    <row r="1847" spans="1:22" hidden="1">
      <c r="J1847" s="1" t="str">
        <f t="shared" si="397"/>
        <v>0</v>
      </c>
      <c r="K1847" s="3">
        <f t="shared" si="398"/>
        <v>-100</v>
      </c>
      <c r="L1847" s="3">
        <f t="shared" si="399"/>
        <v>1</v>
      </c>
      <c r="M1847" s="3">
        <f t="shared" si="400"/>
        <v>0</v>
      </c>
      <c r="N1847" s="3" t="str">
        <f t="shared" si="401"/>
        <v>01</v>
      </c>
      <c r="O1847" s="14" t="str">
        <f t="shared" si="402"/>
        <v>00</v>
      </c>
      <c r="R1847" s="6">
        <v>513</v>
      </c>
      <c r="S1847" s="5">
        <f t="shared" si="404"/>
        <v>0</v>
      </c>
    </row>
    <row r="1848" spans="1:22">
      <c r="A1848" s="3">
        <v>1775</v>
      </c>
      <c r="B1848" s="1">
        <f>IF(G1848="-",0,IF(G1847=G1848,1,0))</f>
        <v>0</v>
      </c>
      <c r="C1848" s="1">
        <f>+IF(G1848="-",0,IF(I1848=I1847+1,0,(IF(I1848=1,0,1))))</f>
        <v>1</v>
      </c>
      <c r="D1848" s="1">
        <f>+IF(AND(P1848="",Q1848=""),1,0)</f>
        <v>0</v>
      </c>
      <c r="E1848" s="1">
        <f>IF(U1848="",1,0)</f>
        <v>0</v>
      </c>
      <c r="F1848" s="1">
        <f>IF(V1848="",1,0)</f>
        <v>0</v>
      </c>
      <c r="G1848" s="1" t="str">
        <f>IF(H1848=0,"-",_xlfn.CONCAT(K1848,N1848,O1848,J1848))</f>
        <v>24083112</v>
      </c>
      <c r="H1848" s="2">
        <v>45535</v>
      </c>
      <c r="I1848" s="36">
        <v>12</v>
      </c>
      <c r="J1848" s="1">
        <f t="shared" si="397"/>
        <v>12</v>
      </c>
      <c r="K1848" s="3">
        <f t="shared" si="398"/>
        <v>24</v>
      </c>
      <c r="L1848" s="3">
        <f t="shared" si="399"/>
        <v>8</v>
      </c>
      <c r="M1848" s="3">
        <f t="shared" si="400"/>
        <v>31</v>
      </c>
      <c r="N1848" s="3" t="str">
        <f t="shared" si="401"/>
        <v>08</v>
      </c>
      <c r="O1848" s="14">
        <f t="shared" si="402"/>
        <v>31</v>
      </c>
      <c r="P1848" s="132">
        <v>130000</v>
      </c>
      <c r="R1848" s="6">
        <v>513</v>
      </c>
      <c r="S1848" s="5">
        <f t="shared" si="404"/>
        <v>253.411306042885</v>
      </c>
      <c r="T1848" s="28" t="s">
        <v>672</v>
      </c>
      <c r="U1848" s="3" t="s">
        <v>1</v>
      </c>
      <c r="V1848" s="3" t="s">
        <v>4</v>
      </c>
    </row>
    <row r="1849" spans="1:22">
      <c r="A1849" s="3">
        <v>1776</v>
      </c>
      <c r="B1849" s="1">
        <f>IF(G1849="-",0,IF(G1848=G1849,1,0))</f>
        <v>0</v>
      </c>
      <c r="C1849" s="1">
        <f>+IF(G1849="-",0,IF(I1849=I1848+1,0,(IF(I1849=1,0,1))))</f>
        <v>0</v>
      </c>
      <c r="D1849" s="1">
        <f>+IF(AND(P1849="",Q1849=""),1,0)</f>
        <v>0</v>
      </c>
      <c r="E1849" s="1">
        <f>IF(U1849="",1,0)</f>
        <v>0</v>
      </c>
      <c r="F1849" s="1">
        <f>IF(V1849="",1,0)</f>
        <v>0</v>
      </c>
      <c r="G1849" s="1" t="str">
        <f>IF(H1849=0,"-",_xlfn.CONCAT(K1849,N1849,O1849,J1849))</f>
        <v>24083113</v>
      </c>
      <c r="H1849" s="2">
        <v>45535</v>
      </c>
      <c r="I1849" s="36">
        <v>13</v>
      </c>
      <c r="J1849" s="1">
        <f t="shared" si="397"/>
        <v>13</v>
      </c>
      <c r="K1849" s="3">
        <f t="shared" si="398"/>
        <v>24</v>
      </c>
      <c r="L1849" s="3">
        <f t="shared" si="399"/>
        <v>8</v>
      </c>
      <c r="M1849" s="3">
        <f t="shared" si="400"/>
        <v>31</v>
      </c>
      <c r="N1849" s="3" t="str">
        <f t="shared" si="401"/>
        <v>08</v>
      </c>
      <c r="O1849" s="14">
        <f t="shared" si="402"/>
        <v>31</v>
      </c>
      <c r="P1849" s="132">
        <v>102000</v>
      </c>
      <c r="R1849" s="6">
        <v>513</v>
      </c>
      <c r="S1849" s="5">
        <f t="shared" si="404"/>
        <v>198.83040935672514</v>
      </c>
      <c r="T1849" s="28" t="s">
        <v>662</v>
      </c>
      <c r="U1849" s="3" t="s">
        <v>1</v>
      </c>
      <c r="V1849" s="3" t="s">
        <v>4</v>
      </c>
    </row>
    <row r="1850" spans="1:22" hidden="1">
      <c r="J1850" s="1" t="str">
        <f t="shared" si="397"/>
        <v>0</v>
      </c>
      <c r="K1850" s="3">
        <f t="shared" si="398"/>
        <v>-100</v>
      </c>
      <c r="L1850" s="3">
        <f t="shared" si="399"/>
        <v>1</v>
      </c>
      <c r="M1850" s="3">
        <f t="shared" si="400"/>
        <v>0</v>
      </c>
      <c r="N1850" s="3" t="str">
        <f t="shared" si="401"/>
        <v>01</v>
      </c>
      <c r="O1850" s="14" t="str">
        <f t="shared" si="402"/>
        <v>00</v>
      </c>
      <c r="P1850" s="120"/>
      <c r="R1850" s="6">
        <v>513</v>
      </c>
      <c r="S1850" s="5">
        <f t="shared" si="404"/>
        <v>0</v>
      </c>
      <c r="T1850" s="28"/>
    </row>
    <row r="1851" spans="1:22" hidden="1">
      <c r="J1851" s="1" t="str">
        <f t="shared" si="397"/>
        <v>0</v>
      </c>
      <c r="K1851" s="3">
        <f t="shared" si="398"/>
        <v>-100</v>
      </c>
      <c r="L1851" s="3">
        <f t="shared" si="399"/>
        <v>1</v>
      </c>
      <c r="M1851" s="3">
        <f t="shared" si="400"/>
        <v>0</v>
      </c>
      <c r="N1851" s="3" t="str">
        <f t="shared" si="401"/>
        <v>01</v>
      </c>
      <c r="O1851" s="14" t="str">
        <f t="shared" si="402"/>
        <v>00</v>
      </c>
      <c r="P1851" s="22"/>
      <c r="R1851" s="6">
        <v>513</v>
      </c>
      <c r="S1851" s="5">
        <f t="shared" si="404"/>
        <v>0</v>
      </c>
      <c r="T1851" s="28"/>
    </row>
    <row r="1852" spans="1:22" hidden="1">
      <c r="J1852" s="1" t="str">
        <f t="shared" si="397"/>
        <v>0</v>
      </c>
      <c r="K1852" s="3">
        <f t="shared" si="398"/>
        <v>-100</v>
      </c>
      <c r="L1852" s="3">
        <f t="shared" si="399"/>
        <v>1</v>
      </c>
      <c r="M1852" s="3">
        <f t="shared" si="400"/>
        <v>0</v>
      </c>
      <c r="N1852" s="3" t="str">
        <f t="shared" si="401"/>
        <v>01</v>
      </c>
      <c r="O1852" s="14" t="str">
        <f t="shared" si="402"/>
        <v>00</v>
      </c>
      <c r="P1852" s="22"/>
      <c r="R1852" s="6">
        <v>513</v>
      </c>
      <c r="S1852" s="5">
        <f t="shared" si="404"/>
        <v>0</v>
      </c>
      <c r="T1852" s="28"/>
    </row>
    <row r="1853" spans="1:22" hidden="1">
      <c r="J1853" s="1" t="str">
        <f t="shared" si="397"/>
        <v>0</v>
      </c>
      <c r="K1853" s="3">
        <f t="shared" si="398"/>
        <v>-100</v>
      </c>
      <c r="L1853" s="3">
        <f t="shared" si="399"/>
        <v>1</v>
      </c>
      <c r="M1853" s="3">
        <f t="shared" si="400"/>
        <v>0</v>
      </c>
      <c r="N1853" s="3" t="str">
        <f t="shared" si="401"/>
        <v>01</v>
      </c>
      <c r="O1853" s="14" t="str">
        <f t="shared" si="402"/>
        <v>00</v>
      </c>
      <c r="P1853" s="22"/>
      <c r="R1853" s="6">
        <v>513</v>
      </c>
      <c r="S1853" s="5">
        <f t="shared" si="404"/>
        <v>0</v>
      </c>
      <c r="T1853" s="28"/>
    </row>
    <row r="1854" spans="1:22">
      <c r="A1854" s="3">
        <v>1777</v>
      </c>
      <c r="B1854" s="1">
        <f>IF(G1854="-",0,IF(G1853=G1854,1,0))</f>
        <v>0</v>
      </c>
      <c r="C1854" s="1">
        <f>+IF(G1854="-",0,IF(I1854=I1853+1,0,(IF(I1854=1,0,1))))</f>
        <v>1</v>
      </c>
      <c r="D1854" s="1">
        <f>+IF(AND(P1854="",Q1854=""),1,0)</f>
        <v>0</v>
      </c>
      <c r="E1854" s="1">
        <f t="shared" ref="E1854:F1857" si="405">IF(U1854="",1,0)</f>
        <v>0</v>
      </c>
      <c r="F1854" s="1">
        <f t="shared" si="405"/>
        <v>0</v>
      </c>
      <c r="G1854" s="1" t="str">
        <f>IF(H1854=0,"-",_xlfn.CONCAT(K1854,N1854,O1854,J1854))</f>
        <v>24083114</v>
      </c>
      <c r="H1854" s="2">
        <v>45535</v>
      </c>
      <c r="I1854" s="36">
        <v>14</v>
      </c>
      <c r="J1854" s="1">
        <f t="shared" si="397"/>
        <v>14</v>
      </c>
      <c r="K1854" s="3">
        <f t="shared" si="398"/>
        <v>24</v>
      </c>
      <c r="L1854" s="3">
        <f t="shared" si="399"/>
        <v>8</v>
      </c>
      <c r="M1854" s="3">
        <f t="shared" si="400"/>
        <v>31</v>
      </c>
      <c r="N1854" s="3" t="str">
        <f t="shared" si="401"/>
        <v>08</v>
      </c>
      <c r="O1854" s="14">
        <f t="shared" si="402"/>
        <v>31</v>
      </c>
      <c r="P1854" s="132">
        <v>102000</v>
      </c>
      <c r="R1854" s="6">
        <v>513</v>
      </c>
      <c r="S1854" s="5">
        <f t="shared" si="404"/>
        <v>198.83040935672514</v>
      </c>
      <c r="T1854" s="28" t="s">
        <v>663</v>
      </c>
      <c r="U1854" s="3" t="s">
        <v>1</v>
      </c>
      <c r="V1854" s="3" t="s">
        <v>4</v>
      </c>
    </row>
    <row r="1855" spans="1:22">
      <c r="A1855" s="3">
        <v>1781</v>
      </c>
      <c r="B1855" s="1">
        <f>IF(G1855="-",0,IF(G1854=G1855,1,0))</f>
        <v>0</v>
      </c>
      <c r="C1855" s="1">
        <f>+IF(G1855="-",0,IF(I1855=I1854+1,0,(IF(I1855=1,0,1))))</f>
        <v>1</v>
      </c>
      <c r="D1855" s="1">
        <f>+IF(AND(P1855="",Q1855=""),1,0)</f>
        <v>0</v>
      </c>
      <c r="E1855" s="1">
        <f t="shared" si="405"/>
        <v>0</v>
      </c>
      <c r="F1855" s="1">
        <f t="shared" si="405"/>
        <v>0</v>
      </c>
      <c r="G1855" s="1" t="str">
        <f>IF(H1855=0,"-",_xlfn.CONCAT(K1855,N1855,O1855,J1855))</f>
        <v>24083118</v>
      </c>
      <c r="H1855" s="2">
        <v>45535</v>
      </c>
      <c r="I1855" s="36">
        <v>18</v>
      </c>
      <c r="J1855" s="1">
        <f t="shared" si="397"/>
        <v>18</v>
      </c>
      <c r="K1855" s="3">
        <f t="shared" si="398"/>
        <v>24</v>
      </c>
      <c r="L1855" s="3">
        <f t="shared" si="399"/>
        <v>8</v>
      </c>
      <c r="M1855" s="3">
        <f t="shared" si="400"/>
        <v>31</v>
      </c>
      <c r="N1855" s="3" t="str">
        <f t="shared" si="401"/>
        <v>08</v>
      </c>
      <c r="O1855" s="14">
        <f t="shared" si="402"/>
        <v>31</v>
      </c>
      <c r="P1855" s="132">
        <v>102000</v>
      </c>
      <c r="R1855" s="6">
        <v>513</v>
      </c>
      <c r="S1855" s="5">
        <f t="shared" si="404"/>
        <v>198.83040935672514</v>
      </c>
      <c r="T1855" s="28" t="s">
        <v>667</v>
      </c>
      <c r="U1855" s="3" t="s">
        <v>1</v>
      </c>
      <c r="V1855" s="3" t="s">
        <v>4</v>
      </c>
    </row>
    <row r="1856" spans="1:22">
      <c r="A1856" s="3">
        <v>1784</v>
      </c>
      <c r="B1856" s="1">
        <f>IF(G1856="-",0,IF(G1855=G1856,1,0))</f>
        <v>0</v>
      </c>
      <c r="C1856" s="1">
        <f>+IF(G1856="-",0,IF(I1856=I1855+1,0,(IF(I1856=1,0,1))))</f>
        <v>1</v>
      </c>
      <c r="D1856" s="1">
        <f>+IF(AND(P1856="",Q1856=""),1,0)</f>
        <v>0</v>
      </c>
      <c r="E1856" s="1">
        <f t="shared" si="405"/>
        <v>0</v>
      </c>
      <c r="F1856" s="1">
        <f t="shared" si="405"/>
        <v>0</v>
      </c>
      <c r="G1856" s="1" t="str">
        <f>IF(H1856=0,"-",_xlfn.CONCAT(K1856,N1856,O1856,J1856))</f>
        <v>24083121</v>
      </c>
      <c r="H1856" s="2">
        <v>45535</v>
      </c>
      <c r="I1856" s="36">
        <v>21</v>
      </c>
      <c r="J1856" s="1">
        <f t="shared" si="397"/>
        <v>21</v>
      </c>
      <c r="K1856" s="3">
        <f t="shared" si="398"/>
        <v>24</v>
      </c>
      <c r="L1856" s="3">
        <f t="shared" si="399"/>
        <v>8</v>
      </c>
      <c r="M1856" s="3">
        <f t="shared" si="400"/>
        <v>31</v>
      </c>
      <c r="N1856" s="3" t="str">
        <f t="shared" si="401"/>
        <v>08</v>
      </c>
      <c r="O1856" s="14">
        <f t="shared" si="402"/>
        <v>31</v>
      </c>
      <c r="P1856" s="132">
        <v>30000</v>
      </c>
      <c r="R1856" s="6">
        <v>513</v>
      </c>
      <c r="S1856" s="5">
        <f t="shared" si="404"/>
        <v>58.479532163742689</v>
      </c>
      <c r="T1856" s="28" t="s">
        <v>673</v>
      </c>
      <c r="U1856" s="3" t="s">
        <v>1</v>
      </c>
      <c r="V1856" s="3" t="s">
        <v>4</v>
      </c>
    </row>
    <row r="1857" spans="1:23">
      <c r="A1857" s="3">
        <v>1807</v>
      </c>
      <c r="B1857" s="1">
        <f>IF(G1857="-",0,IF(G1856=G1857,1,0))</f>
        <v>0</v>
      </c>
      <c r="C1857" s="1">
        <f>+IF(G1857="-",0,IF(I1857=I1856+1,0,(IF(I1857=1,0,1))))</f>
        <v>1</v>
      </c>
      <c r="D1857" s="1">
        <f>+IF(AND(P1857="",Q1857=""),1,0)</f>
        <v>0</v>
      </c>
      <c r="E1857" s="1">
        <f t="shared" si="405"/>
        <v>0</v>
      </c>
      <c r="F1857" s="1">
        <f t="shared" si="405"/>
        <v>0</v>
      </c>
      <c r="G1857" s="1" t="str">
        <f>IF(H1857=0,"-",_xlfn.CONCAT(K1857,N1857,O1857,J1857))</f>
        <v>24090306</v>
      </c>
      <c r="H1857" s="2">
        <v>45538</v>
      </c>
      <c r="I1857" s="36">
        <v>6</v>
      </c>
      <c r="J1857" s="1" t="str">
        <f t="shared" si="397"/>
        <v>06</v>
      </c>
      <c r="K1857" s="3">
        <f t="shared" si="398"/>
        <v>24</v>
      </c>
      <c r="L1857" s="3">
        <f t="shared" si="399"/>
        <v>9</v>
      </c>
      <c r="M1857" s="3">
        <f t="shared" si="400"/>
        <v>3</v>
      </c>
      <c r="N1857" s="3" t="str">
        <f t="shared" si="401"/>
        <v>09</v>
      </c>
      <c r="O1857" s="14" t="str">
        <f t="shared" si="402"/>
        <v>03</v>
      </c>
      <c r="P1857" s="4">
        <v>3437.46</v>
      </c>
      <c r="R1857" s="6">
        <v>511</v>
      </c>
      <c r="S1857" s="5">
        <f t="shared" si="404"/>
        <v>6.7269275929549899</v>
      </c>
      <c r="T1857" s="5" t="s">
        <v>759</v>
      </c>
      <c r="U1857" s="3" t="s">
        <v>29</v>
      </c>
      <c r="V1857" s="3" t="s">
        <v>4</v>
      </c>
    </row>
    <row r="1858" spans="1:23" hidden="1">
      <c r="J1858" s="1" t="str">
        <f t="shared" si="397"/>
        <v>0</v>
      </c>
      <c r="K1858" s="3">
        <f t="shared" si="398"/>
        <v>-100</v>
      </c>
      <c r="L1858" s="3">
        <f t="shared" si="399"/>
        <v>1</v>
      </c>
      <c r="M1858" s="3">
        <f t="shared" si="400"/>
        <v>0</v>
      </c>
      <c r="N1858" s="3" t="str">
        <f t="shared" si="401"/>
        <v>01</v>
      </c>
      <c r="O1858" s="14" t="str">
        <f t="shared" si="402"/>
        <v>00</v>
      </c>
      <c r="P1858" s="121"/>
      <c r="R1858" s="6">
        <v>513</v>
      </c>
      <c r="S1858" s="5">
        <f t="shared" si="404"/>
        <v>0</v>
      </c>
      <c r="T1858" s="28"/>
    </row>
    <row r="1859" spans="1:23">
      <c r="A1859" s="3">
        <v>1808</v>
      </c>
      <c r="B1859" s="1">
        <f>IF(G1859="-",0,IF(G1858=G1859,1,0))</f>
        <v>0</v>
      </c>
      <c r="C1859" s="1">
        <f>+IF(G1859="-",0,IF(I1859=I1858+1,0,(IF(I1859=1,0,1))))</f>
        <v>1</v>
      </c>
      <c r="D1859" s="1">
        <f>+IF(AND(P1859="",Q1859=""),1,0)</f>
        <v>0</v>
      </c>
      <c r="E1859" s="1">
        <f t="shared" ref="E1859:F1862" si="406">IF(U1859="",1,0)</f>
        <v>0</v>
      </c>
      <c r="F1859" s="1">
        <f t="shared" si="406"/>
        <v>0</v>
      </c>
      <c r="G1859" s="1" t="str">
        <f>IF(H1859=0,"-",_xlfn.CONCAT(K1859,N1859,O1859,J1859))</f>
        <v>24090307</v>
      </c>
      <c r="H1859" s="2">
        <v>45538</v>
      </c>
      <c r="I1859" s="36">
        <v>7</v>
      </c>
      <c r="J1859" s="1" t="str">
        <f t="shared" si="397"/>
        <v>07</v>
      </c>
      <c r="K1859" s="3">
        <f t="shared" si="398"/>
        <v>24</v>
      </c>
      <c r="L1859" s="3">
        <f t="shared" si="399"/>
        <v>9</v>
      </c>
      <c r="M1859" s="3">
        <f t="shared" si="400"/>
        <v>3</v>
      </c>
      <c r="N1859" s="3" t="str">
        <f t="shared" si="401"/>
        <v>09</v>
      </c>
      <c r="O1859" s="14" t="str">
        <f t="shared" si="402"/>
        <v>03</v>
      </c>
      <c r="P1859" s="4">
        <v>14942.91</v>
      </c>
      <c r="R1859" s="6">
        <v>511</v>
      </c>
      <c r="S1859" s="5">
        <f t="shared" si="404"/>
        <v>29.242485322896282</v>
      </c>
      <c r="T1859" s="5" t="s">
        <v>761</v>
      </c>
      <c r="U1859" s="3" t="s">
        <v>29</v>
      </c>
      <c r="V1859" s="3" t="s">
        <v>4</v>
      </c>
    </row>
    <row r="1860" spans="1:23">
      <c r="A1860" s="3">
        <v>1813</v>
      </c>
      <c r="B1860" s="1">
        <f>IF(G1860="-",0,IF(G1859=G1860,1,0))</f>
        <v>0</v>
      </c>
      <c r="C1860" s="1">
        <f>+IF(G1860="-",0,IF(I1860=I1859+1,0,(IF(I1860=1,0,1))))</f>
        <v>0</v>
      </c>
      <c r="D1860" s="1">
        <f>+IF(AND(P1860="",Q1860=""),1,0)</f>
        <v>0</v>
      </c>
      <c r="E1860" s="1">
        <f t="shared" si="406"/>
        <v>0</v>
      </c>
      <c r="F1860" s="1">
        <f t="shared" si="406"/>
        <v>0</v>
      </c>
      <c r="G1860" s="1" t="str">
        <f>IF(H1860=0,"-",_xlfn.CONCAT(K1860,N1860,O1860,J1860))</f>
        <v>24090401</v>
      </c>
      <c r="H1860" s="2">
        <v>45539</v>
      </c>
      <c r="I1860" s="36">
        <v>1</v>
      </c>
      <c r="J1860" s="1" t="str">
        <f t="shared" si="397"/>
        <v>01</v>
      </c>
      <c r="K1860" s="3">
        <f t="shared" si="398"/>
        <v>24</v>
      </c>
      <c r="L1860" s="3">
        <f t="shared" si="399"/>
        <v>9</v>
      </c>
      <c r="M1860" s="3">
        <f t="shared" si="400"/>
        <v>4</v>
      </c>
      <c r="N1860" s="3" t="str">
        <f t="shared" si="401"/>
        <v>09</v>
      </c>
      <c r="O1860" s="14" t="str">
        <f t="shared" si="402"/>
        <v>04</v>
      </c>
      <c r="P1860" s="4">
        <v>137000</v>
      </c>
      <c r="R1860" s="6">
        <v>514</v>
      </c>
      <c r="S1860" s="5">
        <f t="shared" si="404"/>
        <v>266.53696498054472</v>
      </c>
      <c r="T1860" s="5" t="s">
        <v>691</v>
      </c>
      <c r="U1860" s="3" t="s">
        <v>2</v>
      </c>
      <c r="V1860" s="3" t="s">
        <v>4</v>
      </c>
    </row>
    <row r="1861" spans="1:23">
      <c r="A1861" s="3">
        <v>1825</v>
      </c>
      <c r="B1861" s="1">
        <f>IF(G1861="-",0,IF(G1860=G1861,1,0))</f>
        <v>0</v>
      </c>
      <c r="C1861" s="1">
        <f>+IF(G1861="-",0,IF(I1861=I1860+1,0,(IF(I1861=1,0,1))))</f>
        <v>1</v>
      </c>
      <c r="D1861" s="1">
        <f>+IF(AND(P1861="",Q1861=""),1,0)</f>
        <v>0</v>
      </c>
      <c r="E1861" s="1">
        <f t="shared" si="406"/>
        <v>0</v>
      </c>
      <c r="F1861" s="1">
        <f t="shared" si="406"/>
        <v>0</v>
      </c>
      <c r="G1861" s="1" t="str">
        <f>IF(H1861=0,"-",_xlfn.CONCAT(K1861,N1861,O1861,J1861))</f>
        <v>24090603</v>
      </c>
      <c r="H1861" s="2">
        <v>45541</v>
      </c>
      <c r="I1861" s="36">
        <v>3</v>
      </c>
      <c r="J1861" s="1" t="str">
        <f t="shared" si="397"/>
        <v>03</v>
      </c>
      <c r="K1861" s="3">
        <f t="shared" si="398"/>
        <v>24</v>
      </c>
      <c r="L1861" s="3">
        <f t="shared" si="399"/>
        <v>9</v>
      </c>
      <c r="M1861" s="3">
        <f t="shared" si="400"/>
        <v>6</v>
      </c>
      <c r="N1861" s="3" t="str">
        <f t="shared" si="401"/>
        <v>09</v>
      </c>
      <c r="O1861" s="14" t="str">
        <f t="shared" si="402"/>
        <v>06</v>
      </c>
      <c r="P1861" s="4">
        <v>34720.370000000003</v>
      </c>
      <c r="R1861" s="6">
        <v>513</v>
      </c>
      <c r="S1861" s="5">
        <f t="shared" si="404"/>
        <v>67.68103313840156</v>
      </c>
      <c r="T1861" s="5" t="s">
        <v>1197</v>
      </c>
      <c r="U1861" s="3" t="s">
        <v>2</v>
      </c>
      <c r="V1861" s="3" t="s">
        <v>4</v>
      </c>
    </row>
    <row r="1862" spans="1:23">
      <c r="A1862" s="3">
        <v>1830</v>
      </c>
      <c r="B1862" s="1">
        <f>IF(G1862="-",0,IF(G1861=G1862,1,0))</f>
        <v>0</v>
      </c>
      <c r="C1862" s="1">
        <f>+IF(G1862="-",0,IF(I1862=I1861+1,0,(IF(I1862=1,0,1))))</f>
        <v>1</v>
      </c>
      <c r="D1862" s="1">
        <f>+IF(AND(P1862="",Q1862=""),1,0)</f>
        <v>0</v>
      </c>
      <c r="E1862" s="1">
        <f t="shared" si="406"/>
        <v>0</v>
      </c>
      <c r="F1862" s="1">
        <f t="shared" si="406"/>
        <v>0</v>
      </c>
      <c r="G1862" s="1" t="str">
        <f>IF(H1862=0,"-",_xlfn.CONCAT(K1862,N1862,O1862,J1862))</f>
        <v>24090702</v>
      </c>
      <c r="H1862" s="2">
        <v>45542</v>
      </c>
      <c r="I1862" s="36">
        <v>2</v>
      </c>
      <c r="J1862" s="1" t="str">
        <f t="shared" si="397"/>
        <v>02</v>
      </c>
      <c r="K1862" s="3">
        <f t="shared" si="398"/>
        <v>24</v>
      </c>
      <c r="L1862" s="3">
        <f t="shared" si="399"/>
        <v>9</v>
      </c>
      <c r="M1862" s="3">
        <f t="shared" si="400"/>
        <v>7</v>
      </c>
      <c r="N1862" s="3" t="str">
        <f t="shared" si="401"/>
        <v>09</v>
      </c>
      <c r="O1862" s="14" t="str">
        <f t="shared" si="402"/>
        <v>07</v>
      </c>
      <c r="P1862" s="4">
        <v>15729.98</v>
      </c>
      <c r="R1862" s="6">
        <v>513</v>
      </c>
      <c r="S1862" s="5">
        <f t="shared" si="404"/>
        <v>30.662729044834308</v>
      </c>
      <c r="T1862" s="5" t="s">
        <v>87</v>
      </c>
      <c r="U1862" s="3" t="s">
        <v>29</v>
      </c>
      <c r="V1862" s="3" t="s">
        <v>4</v>
      </c>
    </row>
    <row r="1863" spans="1:23" hidden="1">
      <c r="J1863" s="1" t="str">
        <f t="shared" si="397"/>
        <v>0</v>
      </c>
      <c r="K1863" s="3">
        <f t="shared" si="398"/>
        <v>-100</v>
      </c>
      <c r="L1863" s="3">
        <f t="shared" si="399"/>
        <v>1</v>
      </c>
      <c r="M1863" s="3">
        <f t="shared" si="400"/>
        <v>0</v>
      </c>
      <c r="N1863" s="3" t="str">
        <f t="shared" si="401"/>
        <v>01</v>
      </c>
      <c r="O1863" s="14" t="str">
        <f t="shared" si="402"/>
        <v>00</v>
      </c>
      <c r="P1863" s="26"/>
      <c r="R1863" s="6">
        <v>513</v>
      </c>
      <c r="S1863" s="5">
        <f t="shared" si="404"/>
        <v>0</v>
      </c>
      <c r="T1863" s="28"/>
    </row>
    <row r="1864" spans="1:23" hidden="1">
      <c r="J1864" s="1" t="str">
        <f t="shared" si="397"/>
        <v>0</v>
      </c>
      <c r="K1864" s="3">
        <f t="shared" si="398"/>
        <v>-100</v>
      </c>
      <c r="L1864" s="3">
        <f t="shared" si="399"/>
        <v>1</v>
      </c>
      <c r="M1864" s="3">
        <f t="shared" si="400"/>
        <v>0</v>
      </c>
      <c r="N1864" s="3" t="str">
        <f t="shared" si="401"/>
        <v>01</v>
      </c>
      <c r="O1864" s="14" t="str">
        <f t="shared" si="402"/>
        <v>00</v>
      </c>
      <c r="P1864" s="26"/>
      <c r="R1864" s="6">
        <v>513</v>
      </c>
      <c r="S1864" s="5">
        <f t="shared" si="404"/>
        <v>0</v>
      </c>
      <c r="T1864" s="28"/>
    </row>
    <row r="1865" spans="1:23">
      <c r="A1865" s="3">
        <v>1834</v>
      </c>
      <c r="B1865" s="1">
        <f>IF(G1865="-",0,IF(G1863=G1865,1,0))</f>
        <v>0</v>
      </c>
      <c r="C1865" s="1">
        <f>+IF(G1865="-",0,IF(I1865=I1863+1,0,(IF(I1865=1,0,1))))</f>
        <v>1</v>
      </c>
      <c r="D1865" s="1">
        <f>+IF(AND(P1865="",Q1865=""),1,0)</f>
        <v>0</v>
      </c>
      <c r="E1865" s="1">
        <f>IF(U1865="",1,0)</f>
        <v>1</v>
      </c>
      <c r="F1865" s="1">
        <f>IF(V1865="",1,0)</f>
        <v>0</v>
      </c>
      <c r="G1865" s="1" t="str">
        <f>IF(H1865=0,"-",_xlfn.CONCAT(K1865,N1865,O1865,J1865))</f>
        <v>24090705</v>
      </c>
      <c r="H1865" s="2">
        <v>45542</v>
      </c>
      <c r="I1865" s="36">
        <v>5</v>
      </c>
      <c r="J1865" s="1" t="str">
        <f t="shared" si="397"/>
        <v>05</v>
      </c>
      <c r="K1865" s="3">
        <f t="shared" si="398"/>
        <v>24</v>
      </c>
      <c r="L1865" s="3">
        <f t="shared" si="399"/>
        <v>9</v>
      </c>
      <c r="M1865" s="3">
        <f t="shared" si="400"/>
        <v>7</v>
      </c>
      <c r="N1865" s="3" t="str">
        <f t="shared" si="401"/>
        <v>09</v>
      </c>
      <c r="O1865" s="14" t="str">
        <f t="shared" si="402"/>
        <v>07</v>
      </c>
      <c r="P1865" s="120">
        <v>125000</v>
      </c>
      <c r="R1865" s="6">
        <v>513</v>
      </c>
      <c r="S1865" s="5">
        <f t="shared" si="404"/>
        <v>243.66471734892787</v>
      </c>
      <c r="T1865" s="3" t="s">
        <v>707</v>
      </c>
      <c r="V1865" s="3" t="s">
        <v>4</v>
      </c>
      <c r="W1865" s="3" t="s">
        <v>1076</v>
      </c>
    </row>
    <row r="1866" spans="1:23" hidden="1">
      <c r="J1866" s="1" t="str">
        <f t="shared" si="397"/>
        <v>0</v>
      </c>
      <c r="K1866" s="3">
        <f t="shared" si="398"/>
        <v>-100</v>
      </c>
      <c r="L1866" s="3">
        <f t="shared" si="399"/>
        <v>1</v>
      </c>
      <c r="M1866" s="3">
        <f t="shared" si="400"/>
        <v>0</v>
      </c>
      <c r="N1866" s="3" t="str">
        <f t="shared" si="401"/>
        <v>01</v>
      </c>
      <c r="O1866" s="14" t="str">
        <f t="shared" si="402"/>
        <v>00</v>
      </c>
      <c r="P1866" s="26"/>
      <c r="R1866" s="6">
        <v>513</v>
      </c>
      <c r="S1866" s="5">
        <f t="shared" si="404"/>
        <v>0</v>
      </c>
      <c r="T1866" s="28"/>
    </row>
    <row r="1867" spans="1:23" hidden="1">
      <c r="J1867" s="1" t="str">
        <f t="shared" si="397"/>
        <v>0</v>
      </c>
      <c r="K1867" s="3">
        <f t="shared" si="398"/>
        <v>-100</v>
      </c>
      <c r="L1867" s="3">
        <f t="shared" si="399"/>
        <v>1</v>
      </c>
      <c r="M1867" s="3">
        <f t="shared" si="400"/>
        <v>0</v>
      </c>
      <c r="N1867" s="3" t="str">
        <f t="shared" si="401"/>
        <v>01</v>
      </c>
      <c r="O1867" s="14" t="str">
        <f t="shared" si="402"/>
        <v>00</v>
      </c>
      <c r="P1867" s="26"/>
      <c r="R1867" s="6">
        <v>513</v>
      </c>
      <c r="S1867" s="5">
        <f t="shared" si="404"/>
        <v>0</v>
      </c>
      <c r="T1867" s="28"/>
    </row>
    <row r="1868" spans="1:23">
      <c r="A1868" s="3">
        <v>1839</v>
      </c>
      <c r="B1868" s="1">
        <f>IF(G1868="-",0,IF(G1867=G1868,1,0))</f>
        <v>0</v>
      </c>
      <c r="C1868" s="1">
        <f>+IF(G1868="-",0,IF(I1868=I1867+1,0,(IF(I1868=1,0,1))))</f>
        <v>1</v>
      </c>
      <c r="D1868" s="1">
        <f>+IF(AND(P1868="",Q1868=""),1,0)</f>
        <v>0</v>
      </c>
      <c r="E1868" s="1">
        <f>IF(U1868="",1,0)</f>
        <v>1</v>
      </c>
      <c r="F1868" s="1">
        <f>IF(V1868="",1,0)</f>
        <v>0</v>
      </c>
      <c r="G1868" s="1" t="str">
        <f>IF(H1868=0,"-",_xlfn.CONCAT(K1868,N1868,O1868,J1868))</f>
        <v>24090710</v>
      </c>
      <c r="H1868" s="2">
        <v>45542</v>
      </c>
      <c r="I1868" s="36">
        <v>10</v>
      </c>
      <c r="J1868" s="1">
        <f t="shared" si="397"/>
        <v>10</v>
      </c>
      <c r="K1868" s="3">
        <f t="shared" si="398"/>
        <v>24</v>
      </c>
      <c r="L1868" s="3">
        <f t="shared" si="399"/>
        <v>9</v>
      </c>
      <c r="M1868" s="3">
        <f t="shared" si="400"/>
        <v>7</v>
      </c>
      <c r="N1868" s="3" t="str">
        <f t="shared" si="401"/>
        <v>09</v>
      </c>
      <c r="O1868" s="14" t="str">
        <f t="shared" si="402"/>
        <v>07</v>
      </c>
      <c r="P1868" s="121">
        <v>120000</v>
      </c>
      <c r="R1868" s="6">
        <v>513</v>
      </c>
      <c r="S1868" s="5">
        <f t="shared" si="404"/>
        <v>233.91812865497076</v>
      </c>
      <c r="T1868" s="28" t="s">
        <v>722</v>
      </c>
      <c r="V1868" s="3" t="s">
        <v>4</v>
      </c>
    </row>
    <row r="1869" spans="1:23" hidden="1">
      <c r="J1869" s="1" t="str">
        <f t="shared" ref="J1869:J1932" si="407">+IF(I1869&lt;10,_xlfn.CONCAT("0",I1869),I1869)</f>
        <v>0</v>
      </c>
      <c r="K1869" s="3">
        <f t="shared" ref="K1869:K1932" si="408">+YEAR(H1869)-2000</f>
        <v>-100</v>
      </c>
      <c r="L1869" s="3">
        <f t="shared" ref="L1869:L1932" si="409">+MONTH(H1869)</f>
        <v>1</v>
      </c>
      <c r="M1869" s="3">
        <f t="shared" ref="M1869:M1932" si="410">+DAY(H1869)</f>
        <v>0</v>
      </c>
      <c r="N1869" s="3" t="str">
        <f t="shared" ref="N1869:N1932" si="411">+IF(L1869&lt;10,_xlfn.CONCAT("0",L1869),L1869)</f>
        <v>01</v>
      </c>
      <c r="O1869" s="14" t="str">
        <f t="shared" ref="O1869:O1932" si="412">+IF(M1869&lt;10,_xlfn.CONCAT("0",M1869),M1869)</f>
        <v>00</v>
      </c>
      <c r="P1869" s="33"/>
      <c r="R1869" s="6">
        <v>513</v>
      </c>
      <c r="S1869" s="5">
        <f t="shared" si="404"/>
        <v>0</v>
      </c>
      <c r="T1869" s="28"/>
    </row>
    <row r="1870" spans="1:23">
      <c r="A1870" s="3">
        <v>1840</v>
      </c>
      <c r="B1870" s="1">
        <f>IF(G1870="-",0,IF(G1869=G1870,1,0))</f>
        <v>0</v>
      </c>
      <c r="C1870" s="1">
        <f>+IF(G1870="-",0,IF(I1870=I1869+1,0,(IF(I1870=1,0,1))))</f>
        <v>1</v>
      </c>
      <c r="D1870" s="1">
        <f>+IF(AND(P1870="",Q1870=""),1,0)</f>
        <v>0</v>
      </c>
      <c r="E1870" s="1">
        <f>IF(U1870="",1,0)</f>
        <v>1</v>
      </c>
      <c r="F1870" s="1">
        <f>IF(V1870="",1,0)</f>
        <v>0</v>
      </c>
      <c r="G1870" s="1" t="str">
        <f>IF(H1870=0,"-",_xlfn.CONCAT(K1870,N1870,O1870,J1870))</f>
        <v>24090711</v>
      </c>
      <c r="H1870" s="2">
        <v>45542</v>
      </c>
      <c r="I1870" s="36">
        <v>11</v>
      </c>
      <c r="J1870" s="1">
        <f t="shared" si="407"/>
        <v>11</v>
      </c>
      <c r="K1870" s="3">
        <f t="shared" si="408"/>
        <v>24</v>
      </c>
      <c r="L1870" s="3">
        <f t="shared" si="409"/>
        <v>9</v>
      </c>
      <c r="M1870" s="3">
        <f t="shared" si="410"/>
        <v>7</v>
      </c>
      <c r="N1870" s="3" t="str">
        <f t="shared" si="411"/>
        <v>09</v>
      </c>
      <c r="O1870" s="14" t="str">
        <f t="shared" si="412"/>
        <v>07</v>
      </c>
      <c r="P1870" s="121">
        <v>120000</v>
      </c>
      <c r="R1870" s="6">
        <v>513</v>
      </c>
      <c r="S1870" s="5">
        <f t="shared" si="404"/>
        <v>233.91812865497076</v>
      </c>
      <c r="T1870" s="28" t="s">
        <v>711</v>
      </c>
      <c r="V1870" s="3" t="s">
        <v>4</v>
      </c>
    </row>
    <row r="1871" spans="1:23" hidden="1">
      <c r="J1871" s="1" t="str">
        <f t="shared" si="407"/>
        <v>0</v>
      </c>
      <c r="K1871" s="3">
        <f t="shared" si="408"/>
        <v>-100</v>
      </c>
      <c r="L1871" s="3">
        <f t="shared" si="409"/>
        <v>1</v>
      </c>
      <c r="M1871" s="3">
        <f t="shared" si="410"/>
        <v>0</v>
      </c>
      <c r="N1871" s="3" t="str">
        <f t="shared" si="411"/>
        <v>01</v>
      </c>
      <c r="O1871" s="14" t="str">
        <f t="shared" si="412"/>
        <v>00</v>
      </c>
      <c r="P1871" s="28"/>
      <c r="R1871" s="6">
        <v>513</v>
      </c>
      <c r="S1871" s="5">
        <f t="shared" si="404"/>
        <v>0</v>
      </c>
      <c r="T1871" s="28"/>
    </row>
    <row r="1872" spans="1:23">
      <c r="A1872" s="3">
        <v>1841</v>
      </c>
      <c r="B1872" s="1">
        <f>IF(G1872="-",0,IF(G1871=G1872,1,0))</f>
        <v>0</v>
      </c>
      <c r="C1872" s="1">
        <f>+IF(G1872="-",0,IF(I1872=I1871+1,0,(IF(I1872=1,0,1))))</f>
        <v>1</v>
      </c>
      <c r="D1872" s="1">
        <f>+IF(AND(P1872="",Q1872=""),1,0)</f>
        <v>0</v>
      </c>
      <c r="E1872" s="1">
        <f>IF(U1872="",1,0)</f>
        <v>1</v>
      </c>
      <c r="F1872" s="1">
        <f>IF(V1872="",1,0)</f>
        <v>0</v>
      </c>
      <c r="G1872" s="1" t="str">
        <f>IF(H1872=0,"-",_xlfn.CONCAT(K1872,N1872,O1872,J1872))</f>
        <v>24090712</v>
      </c>
      <c r="H1872" s="2">
        <v>45542</v>
      </c>
      <c r="I1872" s="36">
        <v>12</v>
      </c>
      <c r="J1872" s="1">
        <f t="shared" si="407"/>
        <v>12</v>
      </c>
      <c r="K1872" s="3">
        <f t="shared" si="408"/>
        <v>24</v>
      </c>
      <c r="L1872" s="3">
        <f t="shared" si="409"/>
        <v>9</v>
      </c>
      <c r="M1872" s="3">
        <f t="shared" si="410"/>
        <v>7</v>
      </c>
      <c r="N1872" s="3" t="str">
        <f t="shared" si="411"/>
        <v>09</v>
      </c>
      <c r="O1872" s="14" t="str">
        <f t="shared" si="412"/>
        <v>07</v>
      </c>
      <c r="P1872" s="121">
        <v>120000</v>
      </c>
      <c r="R1872" s="6">
        <v>513</v>
      </c>
      <c r="S1872" s="5">
        <f t="shared" si="404"/>
        <v>233.91812865497076</v>
      </c>
      <c r="T1872" s="28" t="s">
        <v>712</v>
      </c>
      <c r="V1872" s="3" t="s">
        <v>4</v>
      </c>
    </row>
    <row r="1873" spans="7:22" hidden="1">
      <c r="J1873" s="1" t="str">
        <f t="shared" si="407"/>
        <v>0</v>
      </c>
      <c r="K1873" s="3">
        <f t="shared" si="408"/>
        <v>-100</v>
      </c>
      <c r="L1873" s="3">
        <f t="shared" si="409"/>
        <v>1</v>
      </c>
      <c r="M1873" s="3">
        <f t="shared" si="410"/>
        <v>0</v>
      </c>
      <c r="N1873" s="3" t="str">
        <f t="shared" si="411"/>
        <v>01</v>
      </c>
      <c r="O1873" s="14" t="str">
        <f t="shared" si="412"/>
        <v>00</v>
      </c>
      <c r="R1873" s="6">
        <v>513</v>
      </c>
      <c r="S1873" s="5">
        <f t="shared" si="404"/>
        <v>0</v>
      </c>
    </row>
    <row r="1874" spans="7:22" hidden="1">
      <c r="J1874" s="1" t="str">
        <f t="shared" si="407"/>
        <v>0</v>
      </c>
      <c r="K1874" s="3">
        <f t="shared" si="408"/>
        <v>-100</v>
      </c>
      <c r="L1874" s="3">
        <f t="shared" si="409"/>
        <v>1</v>
      </c>
      <c r="M1874" s="3">
        <f t="shared" si="410"/>
        <v>0</v>
      </c>
      <c r="N1874" s="3" t="str">
        <f t="shared" si="411"/>
        <v>01</v>
      </c>
      <c r="O1874" s="14" t="str">
        <f t="shared" si="412"/>
        <v>00</v>
      </c>
      <c r="R1874" s="6">
        <v>513</v>
      </c>
      <c r="S1874" s="5">
        <f t="shared" si="404"/>
        <v>0</v>
      </c>
    </row>
    <row r="1875" spans="7:22" hidden="1">
      <c r="J1875" s="1" t="str">
        <f t="shared" si="407"/>
        <v>0</v>
      </c>
      <c r="K1875" s="3">
        <f t="shared" si="408"/>
        <v>-100</v>
      </c>
      <c r="L1875" s="3">
        <f t="shared" si="409"/>
        <v>1</v>
      </c>
      <c r="M1875" s="3">
        <f t="shared" si="410"/>
        <v>0</v>
      </c>
      <c r="N1875" s="3" t="str">
        <f t="shared" si="411"/>
        <v>01</v>
      </c>
      <c r="O1875" s="14" t="str">
        <f t="shared" si="412"/>
        <v>00</v>
      </c>
      <c r="R1875" s="6">
        <v>513</v>
      </c>
      <c r="S1875" s="5">
        <f t="shared" si="404"/>
        <v>0</v>
      </c>
    </row>
    <row r="1876" spans="7:22" hidden="1">
      <c r="J1876" s="1" t="str">
        <f t="shared" si="407"/>
        <v>0</v>
      </c>
      <c r="K1876" s="3">
        <f t="shared" si="408"/>
        <v>-100</v>
      </c>
      <c r="L1876" s="3">
        <f t="shared" si="409"/>
        <v>1</v>
      </c>
      <c r="M1876" s="3">
        <f t="shared" si="410"/>
        <v>0</v>
      </c>
      <c r="N1876" s="3" t="str">
        <f t="shared" si="411"/>
        <v>01</v>
      </c>
      <c r="O1876" s="14" t="str">
        <f t="shared" si="412"/>
        <v>00</v>
      </c>
      <c r="R1876" s="6">
        <v>513</v>
      </c>
      <c r="S1876" s="5">
        <f t="shared" si="404"/>
        <v>0</v>
      </c>
    </row>
    <row r="1877" spans="7:22" hidden="1">
      <c r="J1877" s="1" t="str">
        <f t="shared" si="407"/>
        <v>0</v>
      </c>
      <c r="K1877" s="3">
        <f t="shared" si="408"/>
        <v>-100</v>
      </c>
      <c r="L1877" s="3">
        <f t="shared" si="409"/>
        <v>1</v>
      </c>
      <c r="M1877" s="3">
        <f t="shared" si="410"/>
        <v>0</v>
      </c>
      <c r="N1877" s="3" t="str">
        <f t="shared" si="411"/>
        <v>01</v>
      </c>
      <c r="O1877" s="14" t="str">
        <f t="shared" si="412"/>
        <v>00</v>
      </c>
      <c r="R1877" s="6">
        <v>513</v>
      </c>
      <c r="S1877" s="5">
        <f t="shared" si="404"/>
        <v>0</v>
      </c>
    </row>
    <row r="1878" spans="7:22" hidden="1">
      <c r="J1878" s="1" t="str">
        <f t="shared" si="407"/>
        <v>0</v>
      </c>
      <c r="K1878" s="3">
        <f t="shared" si="408"/>
        <v>-100</v>
      </c>
      <c r="L1878" s="3">
        <f t="shared" si="409"/>
        <v>1</v>
      </c>
      <c r="M1878" s="3">
        <f t="shared" si="410"/>
        <v>0</v>
      </c>
      <c r="N1878" s="3" t="str">
        <f t="shared" si="411"/>
        <v>01</v>
      </c>
      <c r="O1878" s="14" t="str">
        <f t="shared" si="412"/>
        <v>00</v>
      </c>
      <c r="R1878" s="6">
        <v>512</v>
      </c>
      <c r="S1878" s="5">
        <f t="shared" ref="S1878:S1903" si="413">IFERROR(P1878/R1878,"")</f>
        <v>0</v>
      </c>
    </row>
    <row r="1879" spans="7:22" hidden="1">
      <c r="J1879" s="1" t="str">
        <f t="shared" si="407"/>
        <v>0</v>
      </c>
      <c r="K1879" s="3">
        <f t="shared" si="408"/>
        <v>-100</v>
      </c>
      <c r="L1879" s="3">
        <f t="shared" si="409"/>
        <v>1</v>
      </c>
      <c r="M1879" s="3">
        <f t="shared" si="410"/>
        <v>0</v>
      </c>
      <c r="N1879" s="3" t="str">
        <f t="shared" si="411"/>
        <v>01</v>
      </c>
      <c r="O1879" s="14" t="str">
        <f t="shared" si="412"/>
        <v>00</v>
      </c>
      <c r="R1879" s="6">
        <v>512</v>
      </c>
      <c r="S1879" s="5">
        <f t="shared" si="413"/>
        <v>0</v>
      </c>
    </row>
    <row r="1880" spans="7:22" hidden="1">
      <c r="J1880" s="1" t="str">
        <f t="shared" si="407"/>
        <v>0</v>
      </c>
      <c r="K1880" s="3">
        <f t="shared" si="408"/>
        <v>-100</v>
      </c>
      <c r="L1880" s="3">
        <f t="shared" si="409"/>
        <v>1</v>
      </c>
      <c r="M1880" s="3">
        <f t="shared" si="410"/>
        <v>0</v>
      </c>
      <c r="N1880" s="3" t="str">
        <f t="shared" si="411"/>
        <v>01</v>
      </c>
      <c r="O1880" s="14" t="str">
        <f t="shared" si="412"/>
        <v>00</v>
      </c>
      <c r="R1880" s="6">
        <v>512</v>
      </c>
      <c r="S1880" s="5">
        <f t="shared" si="413"/>
        <v>0</v>
      </c>
    </row>
    <row r="1881" spans="7:22" hidden="1">
      <c r="J1881" s="1" t="str">
        <f t="shared" si="407"/>
        <v>0</v>
      </c>
      <c r="K1881" s="3">
        <f t="shared" si="408"/>
        <v>-100</v>
      </c>
      <c r="L1881" s="3">
        <f t="shared" si="409"/>
        <v>1</v>
      </c>
      <c r="M1881" s="3">
        <f t="shared" si="410"/>
        <v>0</v>
      </c>
      <c r="N1881" s="3" t="str">
        <f t="shared" si="411"/>
        <v>01</v>
      </c>
      <c r="O1881" s="14" t="str">
        <f t="shared" si="412"/>
        <v>00</v>
      </c>
      <c r="R1881" s="6">
        <v>512</v>
      </c>
      <c r="S1881" s="5">
        <f t="shared" si="413"/>
        <v>0</v>
      </c>
    </row>
    <row r="1882" spans="7:22" hidden="1">
      <c r="J1882" s="1" t="str">
        <f t="shared" si="407"/>
        <v>0</v>
      </c>
      <c r="K1882" s="3">
        <f t="shared" si="408"/>
        <v>-100</v>
      </c>
      <c r="L1882" s="3">
        <f t="shared" si="409"/>
        <v>1</v>
      </c>
      <c r="M1882" s="3">
        <f t="shared" si="410"/>
        <v>0</v>
      </c>
      <c r="N1882" s="3" t="str">
        <f t="shared" si="411"/>
        <v>01</v>
      </c>
      <c r="O1882" s="14" t="str">
        <f t="shared" si="412"/>
        <v>00</v>
      </c>
      <c r="R1882" s="6">
        <v>512</v>
      </c>
      <c r="S1882" s="5">
        <f t="shared" si="413"/>
        <v>0</v>
      </c>
    </row>
    <row r="1883" spans="7:22" hidden="1">
      <c r="J1883" s="1" t="str">
        <f t="shared" si="407"/>
        <v>0</v>
      </c>
      <c r="K1883" s="3">
        <f t="shared" si="408"/>
        <v>-100</v>
      </c>
      <c r="L1883" s="3">
        <f t="shared" si="409"/>
        <v>1</v>
      </c>
      <c r="M1883" s="3">
        <f t="shared" si="410"/>
        <v>0</v>
      </c>
      <c r="N1883" s="3" t="str">
        <f t="shared" si="411"/>
        <v>01</v>
      </c>
      <c r="O1883" s="14" t="str">
        <f t="shared" si="412"/>
        <v>00</v>
      </c>
      <c r="R1883" s="6">
        <v>512</v>
      </c>
      <c r="S1883" s="5">
        <f t="shared" si="413"/>
        <v>0</v>
      </c>
    </row>
    <row r="1884" spans="7:22" hidden="1">
      <c r="J1884" s="1" t="str">
        <f t="shared" si="407"/>
        <v>0</v>
      </c>
      <c r="K1884" s="3">
        <f t="shared" si="408"/>
        <v>-100</v>
      </c>
      <c r="L1884" s="3">
        <f t="shared" si="409"/>
        <v>1</v>
      </c>
      <c r="M1884" s="3">
        <f t="shared" si="410"/>
        <v>0</v>
      </c>
      <c r="N1884" s="3" t="str">
        <f t="shared" si="411"/>
        <v>01</v>
      </c>
      <c r="O1884" s="14" t="str">
        <f t="shared" si="412"/>
        <v>00</v>
      </c>
      <c r="R1884" s="6">
        <v>512</v>
      </c>
      <c r="S1884" s="5">
        <f t="shared" si="413"/>
        <v>0</v>
      </c>
    </row>
    <row r="1885" spans="7:22" hidden="1">
      <c r="J1885" s="1" t="str">
        <f t="shared" si="407"/>
        <v>0</v>
      </c>
      <c r="K1885" s="3">
        <f t="shared" si="408"/>
        <v>-100</v>
      </c>
      <c r="L1885" s="3">
        <f t="shared" si="409"/>
        <v>1</v>
      </c>
      <c r="M1885" s="3">
        <f t="shared" si="410"/>
        <v>0</v>
      </c>
      <c r="N1885" s="3" t="str">
        <f t="shared" si="411"/>
        <v>01</v>
      </c>
      <c r="O1885" s="14" t="str">
        <f t="shared" si="412"/>
        <v>00</v>
      </c>
      <c r="R1885" s="6">
        <v>512</v>
      </c>
      <c r="S1885" s="5">
        <f t="shared" si="413"/>
        <v>0</v>
      </c>
    </row>
    <row r="1886" spans="7:22" hidden="1">
      <c r="G1886" s="122"/>
      <c r="H1886" s="8"/>
      <c r="J1886" s="122" t="str">
        <f t="shared" si="407"/>
        <v>0</v>
      </c>
      <c r="K1886" s="56">
        <f t="shared" si="408"/>
        <v>-100</v>
      </c>
      <c r="L1886" s="56">
        <f t="shared" si="409"/>
        <v>1</v>
      </c>
      <c r="M1886" s="56">
        <f t="shared" si="410"/>
        <v>0</v>
      </c>
      <c r="N1886" s="56" t="str">
        <f t="shared" si="411"/>
        <v>01</v>
      </c>
      <c r="O1886" s="123" t="str">
        <f t="shared" si="412"/>
        <v>00</v>
      </c>
      <c r="P1886" s="53"/>
      <c r="Q1886" s="54"/>
      <c r="R1886" s="6">
        <v>512</v>
      </c>
      <c r="S1886" s="5">
        <f t="shared" si="413"/>
        <v>0</v>
      </c>
      <c r="T1886" s="54"/>
      <c r="U1886" s="56"/>
      <c r="V1886" s="56"/>
    </row>
    <row r="1887" spans="7:22" hidden="1">
      <c r="J1887" s="1" t="str">
        <f t="shared" si="407"/>
        <v>0</v>
      </c>
      <c r="K1887" s="3">
        <f t="shared" si="408"/>
        <v>-100</v>
      </c>
      <c r="L1887" s="3">
        <f t="shared" si="409"/>
        <v>1</v>
      </c>
      <c r="M1887" s="3">
        <f t="shared" si="410"/>
        <v>0</v>
      </c>
      <c r="N1887" s="3" t="str">
        <f t="shared" si="411"/>
        <v>01</v>
      </c>
      <c r="O1887" s="14" t="str">
        <f t="shared" si="412"/>
        <v>00</v>
      </c>
      <c r="R1887" s="6">
        <v>512</v>
      </c>
      <c r="S1887" s="5">
        <f t="shared" si="413"/>
        <v>0</v>
      </c>
    </row>
    <row r="1888" spans="7:22" hidden="1">
      <c r="J1888" s="1" t="str">
        <f t="shared" si="407"/>
        <v>0</v>
      </c>
      <c r="K1888" s="3">
        <f t="shared" si="408"/>
        <v>-100</v>
      </c>
      <c r="L1888" s="3">
        <f t="shared" si="409"/>
        <v>1</v>
      </c>
      <c r="M1888" s="3">
        <f t="shared" si="410"/>
        <v>0</v>
      </c>
      <c r="N1888" s="3" t="str">
        <f t="shared" si="411"/>
        <v>01</v>
      </c>
      <c r="O1888" s="14" t="str">
        <f t="shared" si="412"/>
        <v>00</v>
      </c>
      <c r="R1888" s="6">
        <v>511</v>
      </c>
      <c r="S1888" s="5">
        <f t="shared" si="413"/>
        <v>0</v>
      </c>
    </row>
    <row r="1889" spans="1:22" hidden="1">
      <c r="J1889" s="1" t="str">
        <f t="shared" si="407"/>
        <v>0</v>
      </c>
      <c r="K1889" s="3">
        <f t="shared" si="408"/>
        <v>-100</v>
      </c>
      <c r="L1889" s="3">
        <f t="shared" si="409"/>
        <v>1</v>
      </c>
      <c r="M1889" s="3">
        <f t="shared" si="410"/>
        <v>0</v>
      </c>
      <c r="N1889" s="3" t="str">
        <f t="shared" si="411"/>
        <v>01</v>
      </c>
      <c r="O1889" s="14" t="str">
        <f t="shared" si="412"/>
        <v>00</v>
      </c>
      <c r="R1889" s="6">
        <v>511</v>
      </c>
      <c r="S1889" s="5">
        <f t="shared" si="413"/>
        <v>0</v>
      </c>
    </row>
    <row r="1890" spans="1:22" hidden="1">
      <c r="J1890" s="1" t="str">
        <f t="shared" si="407"/>
        <v>0</v>
      </c>
      <c r="K1890" s="3">
        <f t="shared" si="408"/>
        <v>-100</v>
      </c>
      <c r="L1890" s="3">
        <f t="shared" si="409"/>
        <v>1</v>
      </c>
      <c r="M1890" s="3">
        <f t="shared" si="410"/>
        <v>0</v>
      </c>
      <c r="N1890" s="3" t="str">
        <f t="shared" si="411"/>
        <v>01</v>
      </c>
      <c r="O1890" s="14" t="str">
        <f t="shared" si="412"/>
        <v>00</v>
      </c>
      <c r="R1890" s="6">
        <v>511</v>
      </c>
      <c r="S1890" s="5">
        <f t="shared" si="413"/>
        <v>0</v>
      </c>
    </row>
    <row r="1891" spans="1:22" hidden="1">
      <c r="J1891" s="1" t="str">
        <f t="shared" si="407"/>
        <v>0</v>
      </c>
      <c r="K1891" s="3">
        <f t="shared" si="408"/>
        <v>-100</v>
      </c>
      <c r="L1891" s="3">
        <f t="shared" si="409"/>
        <v>1</v>
      </c>
      <c r="M1891" s="3">
        <f t="shared" si="410"/>
        <v>0</v>
      </c>
      <c r="N1891" s="3" t="str">
        <f t="shared" si="411"/>
        <v>01</v>
      </c>
      <c r="O1891" s="14" t="str">
        <f t="shared" si="412"/>
        <v>00</v>
      </c>
      <c r="R1891" s="6">
        <v>511</v>
      </c>
      <c r="S1891" s="5">
        <f t="shared" si="413"/>
        <v>0</v>
      </c>
    </row>
    <row r="1892" spans="1:22" hidden="1">
      <c r="J1892" s="1" t="str">
        <f t="shared" si="407"/>
        <v>0</v>
      </c>
      <c r="K1892" s="3">
        <f t="shared" si="408"/>
        <v>-100</v>
      </c>
      <c r="L1892" s="3">
        <f t="shared" si="409"/>
        <v>1</v>
      </c>
      <c r="M1892" s="3">
        <f t="shared" si="410"/>
        <v>0</v>
      </c>
      <c r="N1892" s="3" t="str">
        <f t="shared" si="411"/>
        <v>01</v>
      </c>
      <c r="O1892" s="14" t="str">
        <f t="shared" si="412"/>
        <v>00</v>
      </c>
      <c r="R1892" s="6">
        <v>511</v>
      </c>
      <c r="S1892" s="5">
        <f t="shared" si="413"/>
        <v>0</v>
      </c>
    </row>
    <row r="1893" spans="1:22" hidden="1">
      <c r="J1893" s="1" t="str">
        <f t="shared" si="407"/>
        <v>0</v>
      </c>
      <c r="K1893" s="3">
        <f t="shared" si="408"/>
        <v>-100</v>
      </c>
      <c r="L1893" s="3">
        <f t="shared" si="409"/>
        <v>1</v>
      </c>
      <c r="M1893" s="3">
        <f t="shared" si="410"/>
        <v>0</v>
      </c>
      <c r="N1893" s="3" t="str">
        <f t="shared" si="411"/>
        <v>01</v>
      </c>
      <c r="O1893" s="14" t="str">
        <f t="shared" si="412"/>
        <v>00</v>
      </c>
      <c r="R1893" s="6">
        <v>511</v>
      </c>
      <c r="S1893" s="5">
        <f t="shared" si="413"/>
        <v>0</v>
      </c>
    </row>
    <row r="1894" spans="1:22" hidden="1">
      <c r="J1894" s="1" t="str">
        <f t="shared" si="407"/>
        <v>0</v>
      </c>
      <c r="K1894" s="3">
        <f t="shared" si="408"/>
        <v>-100</v>
      </c>
      <c r="L1894" s="3">
        <f t="shared" si="409"/>
        <v>1</v>
      </c>
      <c r="M1894" s="3">
        <f t="shared" si="410"/>
        <v>0</v>
      </c>
      <c r="N1894" s="3" t="str">
        <f t="shared" si="411"/>
        <v>01</v>
      </c>
      <c r="O1894" s="14" t="str">
        <f t="shared" si="412"/>
        <v>00</v>
      </c>
      <c r="R1894" s="6">
        <v>511</v>
      </c>
      <c r="S1894" s="5">
        <f t="shared" si="413"/>
        <v>0</v>
      </c>
    </row>
    <row r="1895" spans="1:22">
      <c r="A1895" s="3">
        <v>1842</v>
      </c>
      <c r="B1895" s="1">
        <f>IF(G1895="-",0,IF(G1894=G1895,1,0))</f>
        <v>0</v>
      </c>
      <c r="C1895" s="1">
        <f>+IF(G1895="-",0,IF(I1895=I1894+1,0,(IF(I1895=1,0,1))))</f>
        <v>1</v>
      </c>
      <c r="D1895" s="1">
        <f>+IF(AND(P1895="",Q1895=""),1,0)</f>
        <v>0</v>
      </c>
      <c r="E1895" s="1">
        <f t="shared" ref="E1895:F1897" si="414">IF(U1895="",1,0)</f>
        <v>1</v>
      </c>
      <c r="F1895" s="1">
        <f t="shared" si="414"/>
        <v>0</v>
      </c>
      <c r="G1895" s="1" t="str">
        <f>IF(H1895=0,"-",_xlfn.CONCAT(K1895,N1895,O1895,J1895))</f>
        <v>24090713</v>
      </c>
      <c r="H1895" s="2">
        <v>45542</v>
      </c>
      <c r="I1895" s="36">
        <v>13</v>
      </c>
      <c r="J1895" s="1">
        <f t="shared" si="407"/>
        <v>13</v>
      </c>
      <c r="K1895" s="3">
        <f t="shared" si="408"/>
        <v>24</v>
      </c>
      <c r="L1895" s="3">
        <f t="shared" si="409"/>
        <v>9</v>
      </c>
      <c r="M1895" s="3">
        <f t="shared" si="410"/>
        <v>7</v>
      </c>
      <c r="N1895" s="3" t="str">
        <f t="shared" si="411"/>
        <v>09</v>
      </c>
      <c r="O1895" s="14" t="str">
        <f t="shared" si="412"/>
        <v>07</v>
      </c>
      <c r="P1895" s="121">
        <v>120000</v>
      </c>
      <c r="R1895" s="6">
        <v>513</v>
      </c>
      <c r="S1895" s="5">
        <f t="shared" si="413"/>
        <v>233.91812865497076</v>
      </c>
      <c r="T1895" s="28" t="s">
        <v>713</v>
      </c>
      <c r="V1895" s="3" t="s">
        <v>4</v>
      </c>
    </row>
    <row r="1896" spans="1:22">
      <c r="A1896" s="3">
        <v>1844</v>
      </c>
      <c r="B1896" s="1">
        <f>IF(G1896="-",0,IF(G1895=G1896,1,0))</f>
        <v>0</v>
      </c>
      <c r="C1896" s="1">
        <f>+IF(G1896="-",0,IF(I1896=I1895+1,0,(IF(I1896=1,0,1))))</f>
        <v>1</v>
      </c>
      <c r="D1896" s="1">
        <f>+IF(AND(P1896="",Q1896=""),1,0)</f>
        <v>0</v>
      </c>
      <c r="E1896" s="1">
        <f t="shared" si="414"/>
        <v>1</v>
      </c>
      <c r="F1896" s="1">
        <f t="shared" si="414"/>
        <v>0</v>
      </c>
      <c r="G1896" s="1" t="str">
        <f>IF(H1896=0,"-",_xlfn.CONCAT(K1896,N1896,O1896,J1896))</f>
        <v>24090715</v>
      </c>
      <c r="H1896" s="2">
        <v>45542</v>
      </c>
      <c r="I1896" s="36">
        <v>15</v>
      </c>
      <c r="J1896" s="1">
        <f t="shared" si="407"/>
        <v>15</v>
      </c>
      <c r="K1896" s="3">
        <f t="shared" si="408"/>
        <v>24</v>
      </c>
      <c r="L1896" s="3">
        <f t="shared" si="409"/>
        <v>9</v>
      </c>
      <c r="M1896" s="3">
        <f t="shared" si="410"/>
        <v>7</v>
      </c>
      <c r="N1896" s="3" t="str">
        <f t="shared" si="411"/>
        <v>09</v>
      </c>
      <c r="O1896" s="14" t="str">
        <f t="shared" si="412"/>
        <v>07</v>
      </c>
      <c r="P1896" s="26">
        <v>130000</v>
      </c>
      <c r="R1896" s="6">
        <v>513</v>
      </c>
      <c r="S1896" s="5">
        <f t="shared" si="413"/>
        <v>253.411306042885</v>
      </c>
      <c r="T1896" s="28" t="s">
        <v>715</v>
      </c>
      <c r="V1896" s="3" t="s">
        <v>4</v>
      </c>
    </row>
    <row r="1897" spans="1:22">
      <c r="A1897" s="3">
        <v>1845</v>
      </c>
      <c r="B1897" s="1">
        <f>IF(G1897="-",0,IF(G1896=G1897,1,0))</f>
        <v>0</v>
      </c>
      <c r="C1897" s="1">
        <f>+IF(G1897="-",0,IF(I1897=I1896+1,0,(IF(I1897=1,0,1))))</f>
        <v>0</v>
      </c>
      <c r="D1897" s="1">
        <f>+IF(AND(P1897="",Q1897=""),1,0)</f>
        <v>0</v>
      </c>
      <c r="E1897" s="1">
        <f t="shared" si="414"/>
        <v>1</v>
      </c>
      <c r="F1897" s="1">
        <f t="shared" si="414"/>
        <v>0</v>
      </c>
      <c r="G1897" s="1" t="str">
        <f>IF(H1897=0,"-",_xlfn.CONCAT(K1897,N1897,O1897,J1897))</f>
        <v>24090716</v>
      </c>
      <c r="H1897" s="2">
        <v>45542</v>
      </c>
      <c r="I1897" s="36">
        <v>16</v>
      </c>
      <c r="J1897" s="1">
        <f t="shared" si="407"/>
        <v>16</v>
      </c>
      <c r="K1897" s="3">
        <f t="shared" si="408"/>
        <v>24</v>
      </c>
      <c r="L1897" s="3">
        <f t="shared" si="409"/>
        <v>9</v>
      </c>
      <c r="M1897" s="3">
        <f t="shared" si="410"/>
        <v>7</v>
      </c>
      <c r="N1897" s="3" t="str">
        <f t="shared" si="411"/>
        <v>09</v>
      </c>
      <c r="O1897" s="14" t="str">
        <f t="shared" si="412"/>
        <v>07</v>
      </c>
      <c r="P1897" s="26">
        <v>102000</v>
      </c>
      <c r="R1897" s="6">
        <v>513</v>
      </c>
      <c r="S1897" s="5">
        <f t="shared" si="413"/>
        <v>198.83040935672514</v>
      </c>
      <c r="T1897" s="28" t="s">
        <v>716</v>
      </c>
      <c r="V1897" s="3" t="s">
        <v>4</v>
      </c>
    </row>
    <row r="1898" spans="1:22" hidden="1">
      <c r="J1898" s="1" t="str">
        <f t="shared" si="407"/>
        <v>0</v>
      </c>
      <c r="K1898" s="3">
        <f t="shared" si="408"/>
        <v>-100</v>
      </c>
      <c r="L1898" s="3">
        <f t="shared" si="409"/>
        <v>1</v>
      </c>
      <c r="M1898" s="3">
        <f t="shared" si="410"/>
        <v>0</v>
      </c>
      <c r="N1898" s="3" t="str">
        <f t="shared" si="411"/>
        <v>01</v>
      </c>
      <c r="O1898" s="14" t="str">
        <f t="shared" si="412"/>
        <v>00</v>
      </c>
      <c r="R1898" s="6">
        <v>511</v>
      </c>
      <c r="S1898" s="5">
        <f t="shared" si="413"/>
        <v>0</v>
      </c>
    </row>
    <row r="1899" spans="1:22" hidden="1">
      <c r="J1899" s="1" t="str">
        <f t="shared" si="407"/>
        <v>0</v>
      </c>
      <c r="K1899" s="3">
        <f t="shared" si="408"/>
        <v>-100</v>
      </c>
      <c r="L1899" s="3">
        <f t="shared" si="409"/>
        <v>1</v>
      </c>
      <c r="M1899" s="3">
        <f t="shared" si="410"/>
        <v>0</v>
      </c>
      <c r="N1899" s="3" t="str">
        <f t="shared" si="411"/>
        <v>01</v>
      </c>
      <c r="O1899" s="14" t="str">
        <f t="shared" si="412"/>
        <v>00</v>
      </c>
      <c r="R1899" s="6">
        <v>511</v>
      </c>
      <c r="S1899" s="5">
        <f t="shared" si="413"/>
        <v>0</v>
      </c>
    </row>
    <row r="1900" spans="1:22" hidden="1">
      <c r="J1900" s="1" t="str">
        <f t="shared" si="407"/>
        <v>0</v>
      </c>
      <c r="K1900" s="3">
        <f t="shared" si="408"/>
        <v>-100</v>
      </c>
      <c r="L1900" s="3">
        <f t="shared" si="409"/>
        <v>1</v>
      </c>
      <c r="M1900" s="3">
        <f t="shared" si="410"/>
        <v>0</v>
      </c>
      <c r="N1900" s="3" t="str">
        <f t="shared" si="411"/>
        <v>01</v>
      </c>
      <c r="O1900" s="14" t="str">
        <f t="shared" si="412"/>
        <v>00</v>
      </c>
      <c r="R1900" s="6">
        <v>511</v>
      </c>
      <c r="S1900" s="5">
        <f t="shared" si="413"/>
        <v>0</v>
      </c>
    </row>
    <row r="1901" spans="1:22" hidden="1">
      <c r="J1901" s="1" t="str">
        <f t="shared" si="407"/>
        <v>0</v>
      </c>
      <c r="K1901" s="3">
        <f t="shared" si="408"/>
        <v>-100</v>
      </c>
      <c r="L1901" s="3">
        <f t="shared" si="409"/>
        <v>1</v>
      </c>
      <c r="M1901" s="3">
        <f t="shared" si="410"/>
        <v>0</v>
      </c>
      <c r="N1901" s="3" t="str">
        <f t="shared" si="411"/>
        <v>01</v>
      </c>
      <c r="O1901" s="14" t="str">
        <f t="shared" si="412"/>
        <v>00</v>
      </c>
      <c r="R1901" s="6">
        <v>511</v>
      </c>
      <c r="S1901" s="5">
        <f t="shared" si="413"/>
        <v>0</v>
      </c>
    </row>
    <row r="1902" spans="1:22">
      <c r="A1902" s="3">
        <v>1846</v>
      </c>
      <c r="B1902" s="1">
        <f>IF(G1902="-",0,IF(G1901=G1902,1,0))</f>
        <v>0</v>
      </c>
      <c r="C1902" s="1">
        <f>+IF(G1902="-",0,IF(I1902=I1901+1,0,(IF(I1902=1,0,1))))</f>
        <v>1</v>
      </c>
      <c r="D1902" s="1">
        <f>+IF(AND(P1902="",Q1902=""),1,0)</f>
        <v>0</v>
      </c>
      <c r="E1902" s="1">
        <f>IF(U1902="",1,0)</f>
        <v>1</v>
      </c>
      <c r="F1902" s="1">
        <f>IF(V1902="",1,0)</f>
        <v>0</v>
      </c>
      <c r="G1902" s="1" t="str">
        <f>IF(H1902=0,"-",_xlfn.CONCAT(K1902,N1902,O1902,J1902))</f>
        <v>24090717</v>
      </c>
      <c r="H1902" s="2">
        <v>45542</v>
      </c>
      <c r="I1902" s="36">
        <v>17</v>
      </c>
      <c r="J1902" s="1">
        <f t="shared" si="407"/>
        <v>17</v>
      </c>
      <c r="K1902" s="3">
        <f t="shared" si="408"/>
        <v>24</v>
      </c>
      <c r="L1902" s="3">
        <f t="shared" si="409"/>
        <v>9</v>
      </c>
      <c r="M1902" s="3">
        <f t="shared" si="410"/>
        <v>7</v>
      </c>
      <c r="N1902" s="3" t="str">
        <f t="shared" si="411"/>
        <v>09</v>
      </c>
      <c r="O1902" s="14" t="str">
        <f t="shared" si="412"/>
        <v>07</v>
      </c>
      <c r="P1902" s="26">
        <v>102000</v>
      </c>
      <c r="R1902" s="6">
        <v>513</v>
      </c>
      <c r="S1902" s="5">
        <f t="shared" si="413"/>
        <v>198.83040935672514</v>
      </c>
      <c r="T1902" s="28" t="s">
        <v>717</v>
      </c>
      <c r="V1902" s="3" t="s">
        <v>4</v>
      </c>
    </row>
    <row r="1903" spans="1:22" hidden="1">
      <c r="J1903" s="1" t="str">
        <f t="shared" si="407"/>
        <v>0</v>
      </c>
      <c r="K1903" s="3">
        <f t="shared" si="408"/>
        <v>-100</v>
      </c>
      <c r="L1903" s="3">
        <f t="shared" si="409"/>
        <v>1</v>
      </c>
      <c r="M1903" s="3">
        <f t="shared" si="410"/>
        <v>0</v>
      </c>
      <c r="N1903" s="3" t="str">
        <f t="shared" si="411"/>
        <v>01</v>
      </c>
      <c r="O1903" s="14" t="str">
        <f t="shared" si="412"/>
        <v>00</v>
      </c>
      <c r="R1903" s="6">
        <v>511</v>
      </c>
      <c r="S1903" s="5">
        <f t="shared" si="413"/>
        <v>0</v>
      </c>
    </row>
    <row r="1904" spans="1:22" hidden="1">
      <c r="J1904" s="1" t="str">
        <f t="shared" si="407"/>
        <v>0</v>
      </c>
      <c r="K1904" s="3">
        <f t="shared" si="408"/>
        <v>-100</v>
      </c>
      <c r="L1904" s="3">
        <f t="shared" si="409"/>
        <v>1</v>
      </c>
      <c r="M1904" s="3">
        <f t="shared" si="410"/>
        <v>0</v>
      </c>
      <c r="N1904" s="3" t="str">
        <f t="shared" si="411"/>
        <v>01</v>
      </c>
      <c r="O1904" s="14" t="str">
        <f t="shared" si="412"/>
        <v>00</v>
      </c>
    </row>
    <row r="1905" spans="1:22" hidden="1">
      <c r="J1905" s="1" t="str">
        <f t="shared" si="407"/>
        <v>0</v>
      </c>
      <c r="K1905" s="3">
        <f t="shared" si="408"/>
        <v>-100</v>
      </c>
      <c r="L1905" s="3">
        <f t="shared" si="409"/>
        <v>1</v>
      </c>
      <c r="M1905" s="3">
        <f t="shared" si="410"/>
        <v>0</v>
      </c>
      <c r="N1905" s="3" t="str">
        <f t="shared" si="411"/>
        <v>01</v>
      </c>
      <c r="O1905" s="14" t="str">
        <f t="shared" si="412"/>
        <v>00</v>
      </c>
      <c r="R1905" s="6">
        <v>511</v>
      </c>
      <c r="S1905" s="5">
        <f t="shared" ref="S1905:S1926" si="415">IFERROR(P1905/R1905,"")</f>
        <v>0</v>
      </c>
    </row>
    <row r="1906" spans="1:22" hidden="1">
      <c r="J1906" s="1" t="str">
        <f t="shared" si="407"/>
        <v>0</v>
      </c>
      <c r="K1906" s="3">
        <f t="shared" si="408"/>
        <v>-100</v>
      </c>
      <c r="L1906" s="3">
        <f t="shared" si="409"/>
        <v>1</v>
      </c>
      <c r="M1906" s="3">
        <f t="shared" si="410"/>
        <v>0</v>
      </c>
      <c r="N1906" s="3" t="str">
        <f t="shared" si="411"/>
        <v>01</v>
      </c>
      <c r="O1906" s="14" t="str">
        <f t="shared" si="412"/>
        <v>00</v>
      </c>
      <c r="R1906" s="6">
        <v>510</v>
      </c>
      <c r="S1906" s="5">
        <f t="shared" si="415"/>
        <v>0</v>
      </c>
    </row>
    <row r="1907" spans="1:22" hidden="1">
      <c r="J1907" s="1" t="str">
        <f t="shared" si="407"/>
        <v>0</v>
      </c>
      <c r="K1907" s="3">
        <f t="shared" si="408"/>
        <v>-100</v>
      </c>
      <c r="L1907" s="3">
        <f t="shared" si="409"/>
        <v>1</v>
      </c>
      <c r="M1907" s="3">
        <f t="shared" si="410"/>
        <v>0</v>
      </c>
      <c r="N1907" s="3" t="str">
        <f t="shared" si="411"/>
        <v>01</v>
      </c>
      <c r="O1907" s="14" t="str">
        <f t="shared" si="412"/>
        <v>00</v>
      </c>
      <c r="R1907" s="6">
        <v>510</v>
      </c>
      <c r="S1907" s="5">
        <f t="shared" si="415"/>
        <v>0</v>
      </c>
    </row>
    <row r="1908" spans="1:22" hidden="1">
      <c r="J1908" s="1" t="str">
        <f t="shared" si="407"/>
        <v>0</v>
      </c>
      <c r="K1908" s="3">
        <f t="shared" si="408"/>
        <v>-100</v>
      </c>
      <c r="L1908" s="3">
        <f t="shared" si="409"/>
        <v>1</v>
      </c>
      <c r="M1908" s="3">
        <f t="shared" si="410"/>
        <v>0</v>
      </c>
      <c r="N1908" s="3" t="str">
        <f t="shared" si="411"/>
        <v>01</v>
      </c>
      <c r="O1908" s="14" t="str">
        <f t="shared" si="412"/>
        <v>00</v>
      </c>
      <c r="R1908" s="6">
        <v>510</v>
      </c>
      <c r="S1908" s="5">
        <f t="shared" si="415"/>
        <v>0</v>
      </c>
      <c r="T1908" s="124"/>
    </row>
    <row r="1909" spans="1:22" hidden="1">
      <c r="J1909" s="1" t="str">
        <f t="shared" si="407"/>
        <v>0</v>
      </c>
      <c r="K1909" s="3">
        <f t="shared" si="408"/>
        <v>-100</v>
      </c>
      <c r="L1909" s="3">
        <f t="shared" si="409"/>
        <v>1</v>
      </c>
      <c r="M1909" s="3">
        <f t="shared" si="410"/>
        <v>0</v>
      </c>
      <c r="N1909" s="3" t="str">
        <f t="shared" si="411"/>
        <v>01</v>
      </c>
      <c r="O1909" s="14" t="str">
        <f t="shared" si="412"/>
        <v>00</v>
      </c>
      <c r="R1909" s="6">
        <v>510</v>
      </c>
      <c r="S1909" s="5">
        <f t="shared" si="415"/>
        <v>0</v>
      </c>
      <c r="T1909" s="124"/>
    </row>
    <row r="1910" spans="1:22" hidden="1">
      <c r="J1910" s="1" t="str">
        <f t="shared" si="407"/>
        <v>0</v>
      </c>
      <c r="K1910" s="3">
        <f t="shared" si="408"/>
        <v>-100</v>
      </c>
      <c r="L1910" s="3">
        <f t="shared" si="409"/>
        <v>1</v>
      </c>
      <c r="M1910" s="3">
        <f t="shared" si="410"/>
        <v>0</v>
      </c>
      <c r="N1910" s="3" t="str">
        <f t="shared" si="411"/>
        <v>01</v>
      </c>
      <c r="O1910" s="14" t="str">
        <f t="shared" si="412"/>
        <v>00</v>
      </c>
      <c r="R1910" s="6">
        <v>510</v>
      </c>
      <c r="S1910" s="5">
        <f t="shared" si="415"/>
        <v>0</v>
      </c>
    </row>
    <row r="1911" spans="1:22" hidden="1">
      <c r="J1911" s="1" t="str">
        <f t="shared" si="407"/>
        <v>0</v>
      </c>
      <c r="K1911" s="3">
        <f t="shared" si="408"/>
        <v>-100</v>
      </c>
      <c r="L1911" s="3">
        <f t="shared" si="409"/>
        <v>1</v>
      </c>
      <c r="M1911" s="3">
        <f t="shared" si="410"/>
        <v>0</v>
      </c>
      <c r="N1911" s="3" t="str">
        <f t="shared" si="411"/>
        <v>01</v>
      </c>
      <c r="O1911" s="14" t="str">
        <f t="shared" si="412"/>
        <v>00</v>
      </c>
      <c r="R1911" s="6">
        <v>510</v>
      </c>
      <c r="S1911" s="5">
        <f t="shared" si="415"/>
        <v>0</v>
      </c>
    </row>
    <row r="1912" spans="1:22" hidden="1">
      <c r="J1912" s="1" t="str">
        <f t="shared" si="407"/>
        <v>0</v>
      </c>
      <c r="K1912" s="3">
        <f t="shared" si="408"/>
        <v>-100</v>
      </c>
      <c r="L1912" s="3">
        <f t="shared" si="409"/>
        <v>1</v>
      </c>
      <c r="M1912" s="3">
        <f t="shared" si="410"/>
        <v>0</v>
      </c>
      <c r="N1912" s="3" t="str">
        <f t="shared" si="411"/>
        <v>01</v>
      </c>
      <c r="O1912" s="14" t="str">
        <f t="shared" si="412"/>
        <v>00</v>
      </c>
      <c r="R1912" s="6">
        <v>510</v>
      </c>
      <c r="S1912" s="5">
        <f t="shared" si="415"/>
        <v>0</v>
      </c>
    </row>
    <row r="1913" spans="1:22" hidden="1">
      <c r="J1913" s="1" t="str">
        <f t="shared" si="407"/>
        <v>0</v>
      </c>
      <c r="K1913" s="3">
        <f t="shared" si="408"/>
        <v>-100</v>
      </c>
      <c r="L1913" s="3">
        <f t="shared" si="409"/>
        <v>1</v>
      </c>
      <c r="M1913" s="3">
        <f t="shared" si="410"/>
        <v>0</v>
      </c>
      <c r="N1913" s="3" t="str">
        <f t="shared" si="411"/>
        <v>01</v>
      </c>
      <c r="O1913" s="14" t="str">
        <f t="shared" si="412"/>
        <v>00</v>
      </c>
      <c r="R1913" s="6">
        <v>510</v>
      </c>
      <c r="S1913" s="5">
        <f t="shared" si="415"/>
        <v>0</v>
      </c>
    </row>
    <row r="1914" spans="1:22" hidden="1">
      <c r="J1914" s="1" t="str">
        <f t="shared" si="407"/>
        <v>0</v>
      </c>
      <c r="K1914" s="3">
        <f t="shared" si="408"/>
        <v>-100</v>
      </c>
      <c r="L1914" s="3">
        <f t="shared" si="409"/>
        <v>1</v>
      </c>
      <c r="M1914" s="3">
        <f t="shared" si="410"/>
        <v>0</v>
      </c>
      <c r="N1914" s="3" t="str">
        <f t="shared" si="411"/>
        <v>01</v>
      </c>
      <c r="O1914" s="14" t="str">
        <f t="shared" si="412"/>
        <v>00</v>
      </c>
      <c r="R1914" s="6">
        <v>510</v>
      </c>
      <c r="S1914" s="5">
        <f t="shared" si="415"/>
        <v>0</v>
      </c>
    </row>
    <row r="1915" spans="1:22" hidden="1">
      <c r="J1915" s="1" t="str">
        <f t="shared" si="407"/>
        <v>0</v>
      </c>
      <c r="K1915" s="3">
        <f t="shared" si="408"/>
        <v>-100</v>
      </c>
      <c r="L1915" s="3">
        <f t="shared" si="409"/>
        <v>1</v>
      </c>
      <c r="M1915" s="3">
        <f t="shared" si="410"/>
        <v>0</v>
      </c>
      <c r="N1915" s="3" t="str">
        <f t="shared" si="411"/>
        <v>01</v>
      </c>
      <c r="O1915" s="14" t="str">
        <f t="shared" si="412"/>
        <v>00</v>
      </c>
      <c r="R1915" s="6">
        <v>510</v>
      </c>
      <c r="S1915" s="5">
        <f t="shared" si="415"/>
        <v>0</v>
      </c>
    </row>
    <row r="1916" spans="1:22" hidden="1">
      <c r="J1916" s="1" t="str">
        <f t="shared" si="407"/>
        <v>0</v>
      </c>
      <c r="K1916" s="3">
        <f t="shared" si="408"/>
        <v>-100</v>
      </c>
      <c r="L1916" s="3">
        <f t="shared" si="409"/>
        <v>1</v>
      </c>
      <c r="M1916" s="3">
        <f t="shared" si="410"/>
        <v>0</v>
      </c>
      <c r="N1916" s="3" t="str">
        <f t="shared" si="411"/>
        <v>01</v>
      </c>
      <c r="O1916" s="14" t="str">
        <f t="shared" si="412"/>
        <v>00</v>
      </c>
      <c r="R1916" s="6">
        <v>510</v>
      </c>
      <c r="S1916" s="5">
        <f t="shared" si="415"/>
        <v>0</v>
      </c>
    </row>
    <row r="1917" spans="1:22" hidden="1">
      <c r="J1917" s="1" t="str">
        <f t="shared" si="407"/>
        <v>0</v>
      </c>
      <c r="K1917" s="3">
        <f t="shared" si="408"/>
        <v>-100</v>
      </c>
      <c r="L1917" s="3">
        <f t="shared" si="409"/>
        <v>1</v>
      </c>
      <c r="M1917" s="3">
        <f t="shared" si="410"/>
        <v>0</v>
      </c>
      <c r="N1917" s="3" t="str">
        <f t="shared" si="411"/>
        <v>01</v>
      </c>
      <c r="O1917" s="14" t="str">
        <f t="shared" si="412"/>
        <v>00</v>
      </c>
      <c r="R1917" s="6">
        <v>510</v>
      </c>
      <c r="S1917" s="5">
        <f t="shared" si="415"/>
        <v>0</v>
      </c>
    </row>
    <row r="1918" spans="1:22">
      <c r="A1918" s="3">
        <v>1847</v>
      </c>
      <c r="B1918" s="1">
        <f>IF(G1918="-",0,IF(G1917=G1918,1,0))</f>
        <v>0</v>
      </c>
      <c r="C1918" s="1">
        <f>+IF(G1918="-",0,IF(I1918=I1917+1,0,(IF(I1918=1,0,1))))</f>
        <v>1</v>
      </c>
      <c r="D1918" s="1">
        <f>+IF(AND(P1918="",Q1918=""),1,0)</f>
        <v>0</v>
      </c>
      <c r="E1918" s="1">
        <f>IF(U1918="",1,0)</f>
        <v>1</v>
      </c>
      <c r="F1918" s="1">
        <f>IF(V1918="",1,0)</f>
        <v>0</v>
      </c>
      <c r="G1918" s="1" t="str">
        <f>IF(H1918=0,"-",_xlfn.CONCAT(K1918,N1918,O1918,J1918))</f>
        <v>24090718</v>
      </c>
      <c r="H1918" s="2">
        <v>45542</v>
      </c>
      <c r="I1918" s="36">
        <v>18</v>
      </c>
      <c r="J1918" s="1">
        <f t="shared" si="407"/>
        <v>18</v>
      </c>
      <c r="K1918" s="3">
        <f t="shared" si="408"/>
        <v>24</v>
      </c>
      <c r="L1918" s="3">
        <f t="shared" si="409"/>
        <v>9</v>
      </c>
      <c r="M1918" s="3">
        <f t="shared" si="410"/>
        <v>7</v>
      </c>
      <c r="N1918" s="3" t="str">
        <f t="shared" si="411"/>
        <v>09</v>
      </c>
      <c r="O1918" s="14" t="str">
        <f t="shared" si="412"/>
        <v>07</v>
      </c>
      <c r="P1918" s="26">
        <v>150000</v>
      </c>
      <c r="R1918" s="6">
        <v>513</v>
      </c>
      <c r="S1918" s="5">
        <f t="shared" si="415"/>
        <v>292.39766081871346</v>
      </c>
      <c r="T1918" s="28" t="s">
        <v>718</v>
      </c>
      <c r="V1918" s="3" t="s">
        <v>4</v>
      </c>
    </row>
    <row r="1919" spans="1:22">
      <c r="A1919" s="3">
        <v>1850</v>
      </c>
      <c r="B1919" s="1">
        <f>IF(G1919="-",0,IF(G1918=G1919,1,0))</f>
        <v>0</v>
      </c>
      <c r="C1919" s="1">
        <f>+IF(G1919="-",0,IF(I1919=I1918+1,0,(IF(I1919=1,0,1))))</f>
        <v>1</v>
      </c>
      <c r="D1919" s="1">
        <f>+IF(AND(P1919="",Q1919=""),1,0)</f>
        <v>0</v>
      </c>
      <c r="E1919" s="1">
        <f>IF(U1919="",1,0)</f>
        <v>1</v>
      </c>
      <c r="F1919" s="1">
        <f>IF(V1919="",1,0)</f>
        <v>0</v>
      </c>
      <c r="G1919" s="1" t="str">
        <f>IF(H1919=0,"-",_xlfn.CONCAT(K1919,N1919,O1919,J1919))</f>
        <v>24090721</v>
      </c>
      <c r="H1919" s="2">
        <v>45542</v>
      </c>
      <c r="I1919" s="36">
        <v>21</v>
      </c>
      <c r="J1919" s="1">
        <f t="shared" si="407"/>
        <v>21</v>
      </c>
      <c r="K1919" s="3">
        <f t="shared" si="408"/>
        <v>24</v>
      </c>
      <c r="L1919" s="3">
        <f t="shared" si="409"/>
        <v>9</v>
      </c>
      <c r="M1919" s="3">
        <f t="shared" si="410"/>
        <v>7</v>
      </c>
      <c r="N1919" s="3" t="str">
        <f t="shared" si="411"/>
        <v>09</v>
      </c>
      <c r="O1919" s="14" t="str">
        <f t="shared" si="412"/>
        <v>07</v>
      </c>
      <c r="P1919" s="26">
        <v>102000</v>
      </c>
      <c r="R1919" s="6">
        <v>513</v>
      </c>
      <c r="S1919" s="5">
        <f t="shared" si="415"/>
        <v>198.83040935672514</v>
      </c>
      <c r="T1919" s="28" t="s">
        <v>721</v>
      </c>
      <c r="V1919" s="3" t="s">
        <v>4</v>
      </c>
    </row>
    <row r="1920" spans="1:22" hidden="1">
      <c r="J1920" s="1" t="str">
        <f t="shared" si="407"/>
        <v>0</v>
      </c>
      <c r="K1920" s="3">
        <f t="shared" si="408"/>
        <v>-100</v>
      </c>
      <c r="L1920" s="3">
        <f t="shared" si="409"/>
        <v>1</v>
      </c>
      <c r="M1920" s="3">
        <f t="shared" si="410"/>
        <v>0</v>
      </c>
      <c r="N1920" s="3" t="str">
        <f t="shared" si="411"/>
        <v>01</v>
      </c>
      <c r="O1920" s="14" t="str">
        <f t="shared" si="412"/>
        <v>00</v>
      </c>
      <c r="R1920" s="6">
        <v>510</v>
      </c>
      <c r="S1920" s="5">
        <f t="shared" si="415"/>
        <v>0</v>
      </c>
    </row>
    <row r="1921" spans="1:22" hidden="1">
      <c r="J1921" s="1" t="str">
        <f t="shared" si="407"/>
        <v>0</v>
      </c>
      <c r="K1921" s="3">
        <f t="shared" si="408"/>
        <v>-100</v>
      </c>
      <c r="L1921" s="3">
        <f t="shared" si="409"/>
        <v>1</v>
      </c>
      <c r="M1921" s="3">
        <f t="shared" si="410"/>
        <v>0</v>
      </c>
      <c r="N1921" s="3" t="str">
        <f t="shared" si="411"/>
        <v>01</v>
      </c>
      <c r="O1921" s="14" t="str">
        <f t="shared" si="412"/>
        <v>00</v>
      </c>
      <c r="R1921" s="6">
        <v>510</v>
      </c>
      <c r="S1921" s="5">
        <f t="shared" si="415"/>
        <v>0</v>
      </c>
    </row>
    <row r="1922" spans="1:22" hidden="1">
      <c r="J1922" s="1" t="str">
        <f t="shared" si="407"/>
        <v>0</v>
      </c>
      <c r="K1922" s="3">
        <f t="shared" si="408"/>
        <v>-100</v>
      </c>
      <c r="L1922" s="3">
        <f t="shared" si="409"/>
        <v>1</v>
      </c>
      <c r="M1922" s="3">
        <f t="shared" si="410"/>
        <v>0</v>
      </c>
      <c r="N1922" s="3" t="str">
        <f t="shared" si="411"/>
        <v>01</v>
      </c>
      <c r="O1922" s="14" t="str">
        <f t="shared" si="412"/>
        <v>00</v>
      </c>
      <c r="R1922" s="6">
        <v>510</v>
      </c>
      <c r="S1922" s="5">
        <f t="shared" si="415"/>
        <v>0</v>
      </c>
    </row>
    <row r="1923" spans="1:22" hidden="1">
      <c r="J1923" s="1" t="str">
        <f t="shared" si="407"/>
        <v>0</v>
      </c>
      <c r="K1923" s="3">
        <f t="shared" si="408"/>
        <v>-100</v>
      </c>
      <c r="L1923" s="3">
        <f t="shared" si="409"/>
        <v>1</v>
      </c>
      <c r="M1923" s="3">
        <f t="shared" si="410"/>
        <v>0</v>
      </c>
      <c r="N1923" s="3" t="str">
        <f t="shared" si="411"/>
        <v>01</v>
      </c>
      <c r="O1923" s="14" t="str">
        <f t="shared" si="412"/>
        <v>00</v>
      </c>
      <c r="R1923" s="6">
        <v>510</v>
      </c>
      <c r="S1923" s="5">
        <f t="shared" si="415"/>
        <v>0</v>
      </c>
    </row>
    <row r="1924" spans="1:22" hidden="1">
      <c r="J1924" s="1" t="str">
        <f t="shared" si="407"/>
        <v>0</v>
      </c>
      <c r="K1924" s="3">
        <f t="shared" si="408"/>
        <v>-100</v>
      </c>
      <c r="L1924" s="3">
        <f t="shared" si="409"/>
        <v>1</v>
      </c>
      <c r="M1924" s="3">
        <f t="shared" si="410"/>
        <v>0</v>
      </c>
      <c r="N1924" s="3" t="str">
        <f t="shared" si="411"/>
        <v>01</v>
      </c>
      <c r="O1924" s="14" t="str">
        <f t="shared" si="412"/>
        <v>00</v>
      </c>
      <c r="R1924" s="6">
        <v>510</v>
      </c>
      <c r="S1924" s="5">
        <f t="shared" si="415"/>
        <v>0</v>
      </c>
    </row>
    <row r="1925" spans="1:22" hidden="1">
      <c r="J1925" s="1" t="str">
        <f t="shared" si="407"/>
        <v>0</v>
      </c>
      <c r="K1925" s="3">
        <f t="shared" si="408"/>
        <v>-100</v>
      </c>
      <c r="L1925" s="3">
        <f t="shared" si="409"/>
        <v>1</v>
      </c>
      <c r="M1925" s="3">
        <f t="shared" si="410"/>
        <v>0</v>
      </c>
      <c r="N1925" s="3" t="str">
        <f t="shared" si="411"/>
        <v>01</v>
      </c>
      <c r="O1925" s="14" t="str">
        <f t="shared" si="412"/>
        <v>00</v>
      </c>
      <c r="R1925" s="6">
        <v>512</v>
      </c>
      <c r="S1925" s="5">
        <f t="shared" si="415"/>
        <v>0</v>
      </c>
    </row>
    <row r="1926" spans="1:22" hidden="1">
      <c r="J1926" s="1" t="str">
        <f t="shared" si="407"/>
        <v>0</v>
      </c>
      <c r="K1926" s="3">
        <f t="shared" si="408"/>
        <v>-100</v>
      </c>
      <c r="L1926" s="3">
        <f t="shared" si="409"/>
        <v>1</v>
      </c>
      <c r="M1926" s="3">
        <f t="shared" si="410"/>
        <v>0</v>
      </c>
      <c r="N1926" s="3" t="str">
        <f t="shared" si="411"/>
        <v>01</v>
      </c>
      <c r="O1926" s="14" t="str">
        <f t="shared" si="412"/>
        <v>00</v>
      </c>
      <c r="R1926" s="6">
        <v>512</v>
      </c>
      <c r="S1926" s="5">
        <f t="shared" si="415"/>
        <v>0</v>
      </c>
    </row>
    <row r="1927" spans="1:22" hidden="1">
      <c r="J1927" s="1" t="str">
        <f t="shared" si="407"/>
        <v>0</v>
      </c>
      <c r="K1927" s="3">
        <f t="shared" si="408"/>
        <v>-100</v>
      </c>
      <c r="L1927" s="3">
        <f t="shared" si="409"/>
        <v>1</v>
      </c>
      <c r="M1927" s="3">
        <f t="shared" si="410"/>
        <v>0</v>
      </c>
      <c r="N1927" s="3" t="str">
        <f t="shared" si="411"/>
        <v>01</v>
      </c>
      <c r="O1927" s="14" t="str">
        <f t="shared" si="412"/>
        <v>00</v>
      </c>
    </row>
    <row r="1928" spans="1:22">
      <c r="A1928" s="3">
        <v>1853</v>
      </c>
      <c r="B1928" s="1">
        <f>IF(G1928="-",0,IF(G1927=G1928,1,0))</f>
        <v>0</v>
      </c>
      <c r="C1928" s="1">
        <f>+IF(G1928="-",0,IF(I1928=I1927+1,0,(IF(I1928=1,0,1))))</f>
        <v>1</v>
      </c>
      <c r="D1928" s="1">
        <f>+IF(AND(P1928="",Q1928=""),1,0)</f>
        <v>0</v>
      </c>
      <c r="E1928" s="1">
        <f>IF(U1928="",1,0)</f>
        <v>1</v>
      </c>
      <c r="F1928" s="1">
        <f>IF(V1928="",1,0)</f>
        <v>0</v>
      </c>
      <c r="G1928" s="1" t="str">
        <f>IF(H1928=0,"-",_xlfn.CONCAT(K1928,N1928,O1928,J1928))</f>
        <v>24090724</v>
      </c>
      <c r="H1928" s="2">
        <v>45542</v>
      </c>
      <c r="I1928" s="36">
        <v>24</v>
      </c>
      <c r="J1928" s="1">
        <f t="shared" si="407"/>
        <v>24</v>
      </c>
      <c r="K1928" s="3">
        <f t="shared" si="408"/>
        <v>24</v>
      </c>
      <c r="L1928" s="3">
        <f t="shared" si="409"/>
        <v>9</v>
      </c>
      <c r="M1928" s="3">
        <f t="shared" si="410"/>
        <v>7</v>
      </c>
      <c r="N1928" s="3" t="str">
        <f t="shared" si="411"/>
        <v>09</v>
      </c>
      <c r="O1928" s="14" t="str">
        <f t="shared" si="412"/>
        <v>07</v>
      </c>
      <c r="P1928" s="33">
        <v>70000</v>
      </c>
      <c r="R1928" s="6">
        <v>513</v>
      </c>
      <c r="S1928" s="5">
        <f t="shared" ref="S1928:S1937" si="416">IFERROR(P1928/R1928,"")</f>
        <v>136.45224171539962</v>
      </c>
      <c r="T1928" s="28" t="s">
        <v>705</v>
      </c>
      <c r="V1928" s="3" t="s">
        <v>4</v>
      </c>
    </row>
    <row r="1929" spans="1:22" hidden="1">
      <c r="J1929" s="1" t="str">
        <f t="shared" si="407"/>
        <v>0</v>
      </c>
      <c r="K1929" s="3">
        <f t="shared" si="408"/>
        <v>-100</v>
      </c>
      <c r="L1929" s="3">
        <f t="shared" si="409"/>
        <v>1</v>
      </c>
      <c r="M1929" s="3">
        <f t="shared" si="410"/>
        <v>0</v>
      </c>
      <c r="N1929" s="3" t="str">
        <f t="shared" si="411"/>
        <v>01</v>
      </c>
      <c r="O1929" s="14" t="str">
        <f t="shared" si="412"/>
        <v>00</v>
      </c>
      <c r="R1929" s="6">
        <v>511</v>
      </c>
      <c r="S1929" s="5">
        <f t="shared" si="416"/>
        <v>0</v>
      </c>
    </row>
    <row r="1930" spans="1:22" hidden="1">
      <c r="J1930" s="1" t="str">
        <f t="shared" si="407"/>
        <v>0</v>
      </c>
      <c r="K1930" s="3">
        <f t="shared" si="408"/>
        <v>-100</v>
      </c>
      <c r="L1930" s="3">
        <f t="shared" si="409"/>
        <v>1</v>
      </c>
      <c r="M1930" s="3">
        <f t="shared" si="410"/>
        <v>0</v>
      </c>
      <c r="N1930" s="3" t="str">
        <f t="shared" si="411"/>
        <v>01</v>
      </c>
      <c r="O1930" s="14" t="str">
        <f t="shared" si="412"/>
        <v>00</v>
      </c>
      <c r="R1930" s="6">
        <v>511</v>
      </c>
      <c r="S1930" s="5">
        <f t="shared" si="416"/>
        <v>0</v>
      </c>
    </row>
    <row r="1931" spans="1:22" hidden="1">
      <c r="J1931" s="1" t="str">
        <f t="shared" si="407"/>
        <v>0</v>
      </c>
      <c r="K1931" s="3">
        <f t="shared" si="408"/>
        <v>-100</v>
      </c>
      <c r="L1931" s="3">
        <f t="shared" si="409"/>
        <v>1</v>
      </c>
      <c r="M1931" s="3">
        <f t="shared" si="410"/>
        <v>0</v>
      </c>
      <c r="N1931" s="3" t="str">
        <f t="shared" si="411"/>
        <v>01</v>
      </c>
      <c r="O1931" s="14" t="str">
        <f t="shared" si="412"/>
        <v>00</v>
      </c>
      <c r="R1931" s="6">
        <v>511</v>
      </c>
      <c r="S1931" s="5">
        <f t="shared" si="416"/>
        <v>0</v>
      </c>
    </row>
    <row r="1932" spans="1:22" hidden="1">
      <c r="J1932" s="1" t="str">
        <f t="shared" si="407"/>
        <v>0</v>
      </c>
      <c r="K1932" s="3">
        <f t="shared" si="408"/>
        <v>-100</v>
      </c>
      <c r="L1932" s="3">
        <f t="shared" si="409"/>
        <v>1</v>
      </c>
      <c r="M1932" s="3">
        <f t="shared" si="410"/>
        <v>0</v>
      </c>
      <c r="N1932" s="3" t="str">
        <f t="shared" si="411"/>
        <v>01</v>
      </c>
      <c r="O1932" s="14" t="str">
        <f t="shared" si="412"/>
        <v>00</v>
      </c>
      <c r="R1932" s="6">
        <v>511</v>
      </c>
      <c r="S1932" s="5">
        <f t="shared" si="416"/>
        <v>0</v>
      </c>
    </row>
    <row r="1933" spans="1:22" hidden="1">
      <c r="J1933" s="1" t="str">
        <f t="shared" ref="J1933:J1968" si="417">+IF(I1933&lt;10,_xlfn.CONCAT("0",I1933),I1933)</f>
        <v>0</v>
      </c>
      <c r="K1933" s="3">
        <f t="shared" ref="K1933:K1968" si="418">+YEAR(H1933)-2000</f>
        <v>-100</v>
      </c>
      <c r="L1933" s="3">
        <f t="shared" ref="L1933:L1968" si="419">+MONTH(H1933)</f>
        <v>1</v>
      </c>
      <c r="M1933" s="3">
        <f t="shared" ref="M1933:M1968" si="420">+DAY(H1933)</f>
        <v>0</v>
      </c>
      <c r="N1933" s="3" t="str">
        <f t="shared" ref="N1933:N1968" si="421">+IF(L1933&lt;10,_xlfn.CONCAT("0",L1933),L1933)</f>
        <v>01</v>
      </c>
      <c r="O1933" s="14" t="str">
        <f t="shared" ref="O1933:O1968" si="422">+IF(M1933&lt;10,_xlfn.CONCAT("0",M1933),M1933)</f>
        <v>00</v>
      </c>
      <c r="R1933" s="6">
        <v>511</v>
      </c>
      <c r="S1933" s="5">
        <f t="shared" si="416"/>
        <v>0</v>
      </c>
    </row>
    <row r="1934" spans="1:22" hidden="1">
      <c r="J1934" s="1" t="str">
        <f t="shared" si="417"/>
        <v>0</v>
      </c>
      <c r="K1934" s="3">
        <f t="shared" si="418"/>
        <v>-100</v>
      </c>
      <c r="L1934" s="3">
        <f t="shared" si="419"/>
        <v>1</v>
      </c>
      <c r="M1934" s="3">
        <f t="shared" si="420"/>
        <v>0</v>
      </c>
      <c r="N1934" s="3" t="str">
        <f t="shared" si="421"/>
        <v>01</v>
      </c>
      <c r="O1934" s="14" t="str">
        <f t="shared" si="422"/>
        <v>00</v>
      </c>
      <c r="R1934" s="6">
        <v>511</v>
      </c>
      <c r="S1934" s="5">
        <f t="shared" si="416"/>
        <v>0</v>
      </c>
    </row>
    <row r="1935" spans="1:22" hidden="1">
      <c r="J1935" s="1" t="str">
        <f t="shared" si="417"/>
        <v>0</v>
      </c>
      <c r="K1935" s="3">
        <f t="shared" si="418"/>
        <v>-100</v>
      </c>
      <c r="L1935" s="3">
        <f t="shared" si="419"/>
        <v>1</v>
      </c>
      <c r="M1935" s="3">
        <f t="shared" si="420"/>
        <v>0</v>
      </c>
      <c r="N1935" s="3" t="str">
        <f t="shared" si="421"/>
        <v>01</v>
      </c>
      <c r="O1935" s="14" t="str">
        <f t="shared" si="422"/>
        <v>00</v>
      </c>
      <c r="R1935" s="6">
        <v>511</v>
      </c>
      <c r="S1935" s="5">
        <f t="shared" si="416"/>
        <v>0</v>
      </c>
    </row>
    <row r="1936" spans="1:22" hidden="1">
      <c r="J1936" s="1" t="str">
        <f t="shared" si="417"/>
        <v>0</v>
      </c>
      <c r="K1936" s="3">
        <f t="shared" si="418"/>
        <v>-100</v>
      </c>
      <c r="L1936" s="3">
        <f t="shared" si="419"/>
        <v>1</v>
      </c>
      <c r="M1936" s="3">
        <f t="shared" si="420"/>
        <v>0</v>
      </c>
      <c r="N1936" s="3" t="str">
        <f t="shared" si="421"/>
        <v>01</v>
      </c>
      <c r="O1936" s="14" t="str">
        <f t="shared" si="422"/>
        <v>00</v>
      </c>
      <c r="R1936" s="6">
        <v>511</v>
      </c>
      <c r="S1936" s="5">
        <f t="shared" si="416"/>
        <v>0</v>
      </c>
    </row>
    <row r="1937" spans="1:22" hidden="1">
      <c r="J1937" s="1" t="str">
        <f t="shared" si="417"/>
        <v>0</v>
      </c>
      <c r="K1937" s="3">
        <f t="shared" si="418"/>
        <v>-100</v>
      </c>
      <c r="L1937" s="3">
        <f t="shared" si="419"/>
        <v>1</v>
      </c>
      <c r="M1937" s="3">
        <f t="shared" si="420"/>
        <v>0</v>
      </c>
      <c r="N1937" s="3" t="str">
        <f t="shared" si="421"/>
        <v>01</v>
      </c>
      <c r="O1937" s="14" t="str">
        <f t="shared" si="422"/>
        <v>00</v>
      </c>
      <c r="R1937" s="6">
        <v>511</v>
      </c>
      <c r="S1937" s="5">
        <f t="shared" si="416"/>
        <v>0</v>
      </c>
    </row>
    <row r="1938" spans="1:22" hidden="1">
      <c r="J1938" s="1" t="str">
        <f t="shared" si="417"/>
        <v>0</v>
      </c>
      <c r="K1938" s="3">
        <f t="shared" si="418"/>
        <v>-100</v>
      </c>
      <c r="L1938" s="3">
        <f t="shared" si="419"/>
        <v>1</v>
      </c>
      <c r="M1938" s="3">
        <f t="shared" si="420"/>
        <v>0</v>
      </c>
      <c r="N1938" s="3" t="str">
        <f t="shared" si="421"/>
        <v>01</v>
      </c>
      <c r="O1938" s="14" t="str">
        <f t="shared" si="422"/>
        <v>00</v>
      </c>
    </row>
    <row r="1939" spans="1:22" hidden="1">
      <c r="J1939" s="1" t="str">
        <f t="shared" si="417"/>
        <v>0</v>
      </c>
      <c r="K1939" s="3">
        <f t="shared" si="418"/>
        <v>-100</v>
      </c>
      <c r="L1939" s="3">
        <f t="shared" si="419"/>
        <v>1</v>
      </c>
      <c r="M1939" s="3">
        <f t="shared" si="420"/>
        <v>0</v>
      </c>
      <c r="N1939" s="3" t="str">
        <f t="shared" si="421"/>
        <v>01</v>
      </c>
      <c r="O1939" s="14" t="str">
        <f t="shared" si="422"/>
        <v>00</v>
      </c>
      <c r="R1939" s="6">
        <v>511</v>
      </c>
      <c r="S1939" s="5">
        <f t="shared" ref="S1939:S1967" si="423">IFERROR(P1939/R1939,"")</f>
        <v>0</v>
      </c>
    </row>
    <row r="1940" spans="1:22" hidden="1">
      <c r="J1940" s="1" t="str">
        <f t="shared" si="417"/>
        <v>0</v>
      </c>
      <c r="K1940" s="3">
        <f t="shared" si="418"/>
        <v>-100</v>
      </c>
      <c r="L1940" s="3">
        <f t="shared" si="419"/>
        <v>1</v>
      </c>
      <c r="M1940" s="3">
        <f t="shared" si="420"/>
        <v>0</v>
      </c>
      <c r="N1940" s="3" t="str">
        <f t="shared" si="421"/>
        <v>01</v>
      </c>
      <c r="O1940" s="14" t="str">
        <f t="shared" si="422"/>
        <v>00</v>
      </c>
      <c r="R1940" s="6">
        <v>511</v>
      </c>
      <c r="S1940" s="5">
        <f t="shared" si="423"/>
        <v>0</v>
      </c>
    </row>
    <row r="1941" spans="1:22" hidden="1">
      <c r="J1941" s="1" t="str">
        <f t="shared" si="417"/>
        <v>0</v>
      </c>
      <c r="K1941" s="3">
        <f t="shared" si="418"/>
        <v>-100</v>
      </c>
      <c r="L1941" s="3">
        <f t="shared" si="419"/>
        <v>1</v>
      </c>
      <c r="M1941" s="3">
        <f t="shared" si="420"/>
        <v>0</v>
      </c>
      <c r="N1941" s="3" t="str">
        <f t="shared" si="421"/>
        <v>01</v>
      </c>
      <c r="O1941" s="14" t="str">
        <f t="shared" si="422"/>
        <v>00</v>
      </c>
      <c r="R1941" s="6">
        <v>511</v>
      </c>
      <c r="S1941" s="5">
        <f t="shared" si="423"/>
        <v>0</v>
      </c>
    </row>
    <row r="1942" spans="1:22" hidden="1">
      <c r="J1942" s="1" t="str">
        <f t="shared" si="417"/>
        <v>0</v>
      </c>
      <c r="K1942" s="3">
        <f t="shared" si="418"/>
        <v>-100</v>
      </c>
      <c r="L1942" s="3">
        <f t="shared" si="419"/>
        <v>1</v>
      </c>
      <c r="M1942" s="3">
        <f t="shared" si="420"/>
        <v>0</v>
      </c>
      <c r="N1942" s="3" t="str">
        <f t="shared" si="421"/>
        <v>01</v>
      </c>
      <c r="O1942" s="14" t="str">
        <f t="shared" si="422"/>
        <v>00</v>
      </c>
      <c r="R1942" s="6">
        <v>511</v>
      </c>
      <c r="S1942" s="5">
        <f t="shared" si="423"/>
        <v>0</v>
      </c>
    </row>
    <row r="1943" spans="1:22" hidden="1">
      <c r="J1943" s="1" t="str">
        <f t="shared" si="417"/>
        <v>0</v>
      </c>
      <c r="K1943" s="3">
        <f t="shared" si="418"/>
        <v>-100</v>
      </c>
      <c r="L1943" s="3">
        <f t="shared" si="419"/>
        <v>1</v>
      </c>
      <c r="M1943" s="3">
        <f t="shared" si="420"/>
        <v>0</v>
      </c>
      <c r="N1943" s="3" t="str">
        <f t="shared" si="421"/>
        <v>01</v>
      </c>
      <c r="O1943" s="14" t="str">
        <f t="shared" si="422"/>
        <v>00</v>
      </c>
      <c r="R1943" s="6">
        <v>511</v>
      </c>
      <c r="S1943" s="5">
        <f t="shared" si="423"/>
        <v>0</v>
      </c>
    </row>
    <row r="1944" spans="1:22" hidden="1">
      <c r="J1944" s="1" t="str">
        <f t="shared" si="417"/>
        <v>0</v>
      </c>
      <c r="K1944" s="3">
        <f t="shared" si="418"/>
        <v>-100</v>
      </c>
      <c r="L1944" s="3">
        <f t="shared" si="419"/>
        <v>1</v>
      </c>
      <c r="M1944" s="3">
        <f t="shared" si="420"/>
        <v>0</v>
      </c>
      <c r="N1944" s="3" t="str">
        <f t="shared" si="421"/>
        <v>01</v>
      </c>
      <c r="O1944" s="14" t="str">
        <f t="shared" si="422"/>
        <v>00</v>
      </c>
      <c r="R1944" s="6">
        <v>511</v>
      </c>
      <c r="S1944" s="5">
        <f t="shared" si="423"/>
        <v>0</v>
      </c>
    </row>
    <row r="1945" spans="1:22" hidden="1">
      <c r="J1945" s="1" t="str">
        <f t="shared" si="417"/>
        <v>0</v>
      </c>
      <c r="K1945" s="3">
        <f t="shared" si="418"/>
        <v>-100</v>
      </c>
      <c r="L1945" s="3">
        <f t="shared" si="419"/>
        <v>1</v>
      </c>
      <c r="M1945" s="3">
        <f t="shared" si="420"/>
        <v>0</v>
      </c>
      <c r="N1945" s="3" t="str">
        <f t="shared" si="421"/>
        <v>01</v>
      </c>
      <c r="O1945" s="14" t="str">
        <f t="shared" si="422"/>
        <v>00</v>
      </c>
      <c r="P1945" s="19"/>
      <c r="R1945" s="6">
        <v>511</v>
      </c>
      <c r="S1945" s="5">
        <f t="shared" si="423"/>
        <v>0</v>
      </c>
      <c r="T1945" s="3"/>
    </row>
    <row r="1946" spans="1:22" hidden="1">
      <c r="J1946" s="1" t="str">
        <f t="shared" si="417"/>
        <v>0</v>
      </c>
      <c r="K1946" s="3">
        <f t="shared" si="418"/>
        <v>-100</v>
      </c>
      <c r="L1946" s="3">
        <f t="shared" si="419"/>
        <v>1</v>
      </c>
      <c r="M1946" s="3">
        <f t="shared" si="420"/>
        <v>0</v>
      </c>
      <c r="N1946" s="3" t="str">
        <f t="shared" si="421"/>
        <v>01</v>
      </c>
      <c r="O1946" s="14" t="str">
        <f t="shared" si="422"/>
        <v>00</v>
      </c>
      <c r="P1946" s="19"/>
      <c r="R1946" s="6">
        <v>511</v>
      </c>
      <c r="S1946" s="5">
        <f t="shared" si="423"/>
        <v>0</v>
      </c>
      <c r="T1946" s="28"/>
    </row>
    <row r="1947" spans="1:22" hidden="1">
      <c r="J1947" s="1" t="str">
        <f t="shared" si="417"/>
        <v>0</v>
      </c>
      <c r="K1947" s="3">
        <f t="shared" si="418"/>
        <v>-100</v>
      </c>
      <c r="L1947" s="3">
        <f t="shared" si="419"/>
        <v>1</v>
      </c>
      <c r="M1947" s="3">
        <f t="shared" si="420"/>
        <v>0</v>
      </c>
      <c r="N1947" s="3" t="str">
        <f t="shared" si="421"/>
        <v>01</v>
      </c>
      <c r="O1947" s="14" t="str">
        <f t="shared" si="422"/>
        <v>00</v>
      </c>
      <c r="P1947" s="22"/>
      <c r="R1947" s="6">
        <v>511</v>
      </c>
      <c r="S1947" s="5">
        <f t="shared" si="423"/>
        <v>0</v>
      </c>
      <c r="T1947" s="28"/>
    </row>
    <row r="1948" spans="1:22" hidden="1">
      <c r="J1948" s="1" t="str">
        <f t="shared" si="417"/>
        <v>0</v>
      </c>
      <c r="K1948" s="3">
        <f t="shared" si="418"/>
        <v>-100</v>
      </c>
      <c r="L1948" s="3">
        <f t="shared" si="419"/>
        <v>1</v>
      </c>
      <c r="M1948" s="3">
        <f t="shared" si="420"/>
        <v>0</v>
      </c>
      <c r="N1948" s="3" t="str">
        <f t="shared" si="421"/>
        <v>01</v>
      </c>
      <c r="O1948" s="14" t="str">
        <f t="shared" si="422"/>
        <v>00</v>
      </c>
      <c r="P1948" s="22"/>
      <c r="R1948" s="6">
        <v>511</v>
      </c>
      <c r="S1948" s="5">
        <f t="shared" si="423"/>
        <v>0</v>
      </c>
      <c r="T1948" s="28"/>
    </row>
    <row r="1949" spans="1:22" hidden="1">
      <c r="J1949" s="1" t="str">
        <f t="shared" si="417"/>
        <v>0</v>
      </c>
      <c r="K1949" s="3">
        <f t="shared" si="418"/>
        <v>-100</v>
      </c>
      <c r="L1949" s="3">
        <f t="shared" si="419"/>
        <v>1</v>
      </c>
      <c r="M1949" s="3">
        <f t="shared" si="420"/>
        <v>0</v>
      </c>
      <c r="N1949" s="3" t="str">
        <f t="shared" si="421"/>
        <v>01</v>
      </c>
      <c r="O1949" s="14" t="str">
        <f t="shared" si="422"/>
        <v>00</v>
      </c>
      <c r="P1949" s="22"/>
      <c r="R1949" s="6">
        <v>511</v>
      </c>
      <c r="S1949" s="5">
        <f t="shared" si="423"/>
        <v>0</v>
      </c>
      <c r="T1949" s="28"/>
    </row>
    <row r="1950" spans="1:22" hidden="1">
      <c r="J1950" s="1" t="str">
        <f t="shared" si="417"/>
        <v>0</v>
      </c>
      <c r="K1950" s="3">
        <f t="shared" si="418"/>
        <v>-100</v>
      </c>
      <c r="L1950" s="3">
        <f t="shared" si="419"/>
        <v>1</v>
      </c>
      <c r="M1950" s="3">
        <f t="shared" si="420"/>
        <v>0</v>
      </c>
      <c r="N1950" s="3" t="str">
        <f t="shared" si="421"/>
        <v>01</v>
      </c>
      <c r="O1950" s="14" t="str">
        <f t="shared" si="422"/>
        <v>00</v>
      </c>
      <c r="P1950" s="24"/>
      <c r="R1950" s="6">
        <v>511</v>
      </c>
      <c r="S1950" s="5">
        <f t="shared" si="423"/>
        <v>0</v>
      </c>
      <c r="T1950" s="28"/>
    </row>
    <row r="1951" spans="1:22">
      <c r="A1951" s="3">
        <v>1855</v>
      </c>
      <c r="B1951" s="1">
        <f>IF(G1951="-",0,IF(G1950=G1951,1,0))</f>
        <v>0</v>
      </c>
      <c r="C1951" s="1">
        <f>+IF(G1951="-",0,IF(I1951=I1950+1,0,(IF(I1951=1,0,1))))</f>
        <v>1</v>
      </c>
      <c r="D1951" s="1">
        <f>+IF(AND(P1951="",Q1951=""),1,0)</f>
        <v>0</v>
      </c>
      <c r="E1951" s="1">
        <f t="shared" ref="E1951:F1953" si="424">IF(U1951="",1,0)</f>
        <v>0</v>
      </c>
      <c r="F1951" s="1">
        <f t="shared" si="424"/>
        <v>0</v>
      </c>
      <c r="G1951" s="1" t="str">
        <f>IF(H1951=0,"-",_xlfn.CONCAT(K1951,N1951,O1951,J1951))</f>
        <v>24090726</v>
      </c>
      <c r="H1951" s="2">
        <v>45542</v>
      </c>
      <c r="I1951" s="36">
        <v>26</v>
      </c>
      <c r="J1951" s="1">
        <f t="shared" si="417"/>
        <v>26</v>
      </c>
      <c r="K1951" s="3">
        <f t="shared" si="418"/>
        <v>24</v>
      </c>
      <c r="L1951" s="3">
        <f t="shared" si="419"/>
        <v>9</v>
      </c>
      <c r="M1951" s="3">
        <f t="shared" si="420"/>
        <v>7</v>
      </c>
      <c r="N1951" s="3" t="str">
        <f t="shared" si="421"/>
        <v>09</v>
      </c>
      <c r="O1951" s="14" t="str">
        <f t="shared" si="422"/>
        <v>07</v>
      </c>
      <c r="P1951" s="4">
        <v>75791.78</v>
      </c>
      <c r="R1951" s="6">
        <v>513</v>
      </c>
      <c r="S1951" s="5">
        <f t="shared" si="423"/>
        <v>147.74226120857699</v>
      </c>
      <c r="T1951" s="5" t="s">
        <v>763</v>
      </c>
      <c r="U1951" s="3" t="s">
        <v>29</v>
      </c>
      <c r="V1951" s="3" t="s">
        <v>4</v>
      </c>
    </row>
    <row r="1952" spans="1:22">
      <c r="A1952" s="3">
        <v>1879</v>
      </c>
      <c r="B1952" s="1">
        <f>IF(G1952="-",0,IF(G1951=G1952,1,0))</f>
        <v>0</v>
      </c>
      <c r="C1952" s="1">
        <f>+IF(G1952="-",0,IF(I1952=I1951+1,0,(IF(I1952=1,0,1))))</f>
        <v>1</v>
      </c>
      <c r="D1952" s="1">
        <f>+IF(AND(P1952="",Q1952=""),1,0)</f>
        <v>0</v>
      </c>
      <c r="E1952" s="1">
        <f t="shared" si="424"/>
        <v>0</v>
      </c>
      <c r="F1952" s="1">
        <f t="shared" si="424"/>
        <v>0</v>
      </c>
      <c r="G1952" s="1" t="str">
        <f>IF(H1952=0,"-",_xlfn.CONCAT(K1952,N1952,O1952,J1952))</f>
        <v>24091008</v>
      </c>
      <c r="H1952" s="2">
        <v>45545</v>
      </c>
      <c r="I1952" s="36">
        <v>8</v>
      </c>
      <c r="J1952" s="1" t="str">
        <f t="shared" si="417"/>
        <v>08</v>
      </c>
      <c r="K1952" s="3">
        <f t="shared" si="418"/>
        <v>24</v>
      </c>
      <c r="L1952" s="3">
        <f t="shared" si="419"/>
        <v>9</v>
      </c>
      <c r="M1952" s="3">
        <f t="shared" si="420"/>
        <v>10</v>
      </c>
      <c r="N1952" s="3" t="str">
        <f t="shared" si="421"/>
        <v>09</v>
      </c>
      <c r="O1952" s="14">
        <f t="shared" si="422"/>
        <v>10</v>
      </c>
      <c r="P1952" s="4">
        <v>11543.04</v>
      </c>
      <c r="R1952" s="6">
        <v>511</v>
      </c>
      <c r="S1952" s="5">
        <f t="shared" si="423"/>
        <v>22.58911937377691</v>
      </c>
      <c r="T1952" s="5" t="s">
        <v>728</v>
      </c>
      <c r="U1952" s="3" t="s">
        <v>1</v>
      </c>
      <c r="V1952" s="3" t="s">
        <v>4</v>
      </c>
    </row>
    <row r="1953" spans="1:22">
      <c r="A1953" s="3">
        <v>1880</v>
      </c>
      <c r="B1953" s="1">
        <f>IF(G1953="-",0,IF(G1952=G1953,1,0))</f>
        <v>0</v>
      </c>
      <c r="C1953" s="1">
        <f>+IF(G1953="-",0,IF(I1953=I1952+1,0,(IF(I1953=1,0,1))))</f>
        <v>0</v>
      </c>
      <c r="D1953" s="1">
        <f>+IF(AND(P1953="",Q1953=""),1,0)</f>
        <v>0</v>
      </c>
      <c r="E1953" s="1">
        <f t="shared" si="424"/>
        <v>0</v>
      </c>
      <c r="F1953" s="1">
        <f t="shared" si="424"/>
        <v>0</v>
      </c>
      <c r="G1953" s="1" t="str">
        <f>IF(H1953=0,"-",_xlfn.CONCAT(K1953,N1953,O1953,J1953))</f>
        <v>24091009</v>
      </c>
      <c r="H1953" s="2">
        <v>45545</v>
      </c>
      <c r="I1953" s="36">
        <v>9</v>
      </c>
      <c r="J1953" s="1" t="str">
        <f t="shared" si="417"/>
        <v>09</v>
      </c>
      <c r="K1953" s="3">
        <f t="shared" si="418"/>
        <v>24</v>
      </c>
      <c r="L1953" s="3">
        <f t="shared" si="419"/>
        <v>9</v>
      </c>
      <c r="M1953" s="3">
        <f t="shared" si="420"/>
        <v>10</v>
      </c>
      <c r="N1953" s="3" t="str">
        <f t="shared" si="421"/>
        <v>09</v>
      </c>
      <c r="O1953" s="14">
        <f t="shared" si="422"/>
        <v>10</v>
      </c>
      <c r="P1953" s="4">
        <v>1939089.98</v>
      </c>
      <c r="R1953" s="6">
        <v>511</v>
      </c>
      <c r="S1953" s="5">
        <f t="shared" si="423"/>
        <v>3794.6966340508807</v>
      </c>
      <c r="T1953" s="5" t="s">
        <v>729</v>
      </c>
      <c r="U1953" s="3" t="s">
        <v>1</v>
      </c>
      <c r="V1953" s="3" t="s">
        <v>4</v>
      </c>
    </row>
    <row r="1954" spans="1:22" hidden="1">
      <c r="J1954" s="1" t="str">
        <f t="shared" si="417"/>
        <v>0</v>
      </c>
      <c r="K1954" s="3">
        <f t="shared" si="418"/>
        <v>-100</v>
      </c>
      <c r="L1954" s="3">
        <f t="shared" si="419"/>
        <v>1</v>
      </c>
      <c r="M1954" s="3">
        <f t="shared" si="420"/>
        <v>0</v>
      </c>
      <c r="N1954" s="3" t="str">
        <f t="shared" si="421"/>
        <v>01</v>
      </c>
      <c r="O1954" s="14" t="str">
        <f t="shared" si="422"/>
        <v>00</v>
      </c>
      <c r="P1954" s="24"/>
      <c r="R1954" s="6">
        <v>511</v>
      </c>
      <c r="S1954" s="5">
        <f t="shared" si="423"/>
        <v>0</v>
      </c>
      <c r="T1954" s="28"/>
    </row>
    <row r="1955" spans="1:22">
      <c r="A1955" s="3">
        <v>1886</v>
      </c>
      <c r="B1955" s="1">
        <f t="shared" ref="B1955:B1960" si="425">IF(G1955="-",0,IF(G1954=G1955,1,0))</f>
        <v>0</v>
      </c>
      <c r="C1955" s="1">
        <f t="shared" ref="C1955:C1960" si="426">+IF(G1955="-",0,IF(I1955=I1954+1,0,(IF(I1955=1,0,1))))</f>
        <v>1</v>
      </c>
      <c r="D1955" s="1">
        <f t="shared" ref="D1955:D1960" si="427">+IF(AND(P1955="",Q1955=""),1,0)</f>
        <v>0</v>
      </c>
      <c r="E1955" s="1">
        <f t="shared" ref="E1955:F1960" si="428">IF(U1955="",1,0)</f>
        <v>0</v>
      </c>
      <c r="F1955" s="1">
        <f t="shared" si="428"/>
        <v>0</v>
      </c>
      <c r="G1955" s="1" t="str">
        <f t="shared" ref="G1955:G1960" si="429">IF(H1955=0,"-",_xlfn.CONCAT(K1955,N1955,O1955,J1955))</f>
        <v>24091015</v>
      </c>
      <c r="H1955" s="2">
        <v>45545</v>
      </c>
      <c r="I1955" s="36">
        <v>15</v>
      </c>
      <c r="J1955" s="1">
        <f t="shared" si="417"/>
        <v>15</v>
      </c>
      <c r="K1955" s="3">
        <f t="shared" si="418"/>
        <v>24</v>
      </c>
      <c r="L1955" s="3">
        <f t="shared" si="419"/>
        <v>9</v>
      </c>
      <c r="M1955" s="3">
        <f t="shared" si="420"/>
        <v>10</v>
      </c>
      <c r="N1955" s="3" t="str">
        <f t="shared" si="421"/>
        <v>09</v>
      </c>
      <c r="O1955" s="14">
        <f t="shared" si="422"/>
        <v>10</v>
      </c>
      <c r="P1955" s="4">
        <v>16829.849999999999</v>
      </c>
      <c r="R1955" s="6">
        <v>511</v>
      </c>
      <c r="S1955" s="5">
        <f t="shared" si="423"/>
        <v>32.935127201565557</v>
      </c>
      <c r="T1955" s="5" t="s">
        <v>758</v>
      </c>
      <c r="U1955" s="3" t="s">
        <v>29</v>
      </c>
      <c r="V1955" s="3" t="s">
        <v>4</v>
      </c>
    </row>
    <row r="1956" spans="1:22">
      <c r="A1956" s="3">
        <v>1902</v>
      </c>
      <c r="B1956" s="1">
        <f t="shared" si="425"/>
        <v>0</v>
      </c>
      <c r="C1956" s="1">
        <f t="shared" si="426"/>
        <v>1</v>
      </c>
      <c r="D1956" s="1">
        <f t="shared" si="427"/>
        <v>0</v>
      </c>
      <c r="E1956" s="1">
        <f t="shared" si="428"/>
        <v>0</v>
      </c>
      <c r="F1956" s="1">
        <f t="shared" si="428"/>
        <v>0</v>
      </c>
      <c r="G1956" s="1" t="str">
        <f t="shared" si="429"/>
        <v>24091113</v>
      </c>
      <c r="H1956" s="2">
        <v>45546</v>
      </c>
      <c r="I1956" s="36">
        <v>13</v>
      </c>
      <c r="J1956" s="1">
        <f t="shared" si="417"/>
        <v>13</v>
      </c>
      <c r="K1956" s="3">
        <f t="shared" si="418"/>
        <v>24</v>
      </c>
      <c r="L1956" s="3">
        <f t="shared" si="419"/>
        <v>9</v>
      </c>
      <c r="M1956" s="3">
        <f t="shared" si="420"/>
        <v>11</v>
      </c>
      <c r="N1956" s="3" t="str">
        <f t="shared" si="421"/>
        <v>09</v>
      </c>
      <c r="O1956" s="14">
        <f t="shared" si="422"/>
        <v>11</v>
      </c>
      <c r="P1956" s="4">
        <v>12567.2</v>
      </c>
      <c r="R1956" s="6">
        <v>510</v>
      </c>
      <c r="S1956" s="5">
        <f t="shared" si="423"/>
        <v>24.641568627450983</v>
      </c>
      <c r="T1956" s="5" t="s">
        <v>757</v>
      </c>
      <c r="U1956" s="3" t="s">
        <v>29</v>
      </c>
      <c r="V1956" s="3" t="s">
        <v>4</v>
      </c>
    </row>
    <row r="1957" spans="1:22">
      <c r="A1957" s="3">
        <v>1903</v>
      </c>
      <c r="B1957" s="1">
        <f t="shared" si="425"/>
        <v>0</v>
      </c>
      <c r="C1957" s="1">
        <f t="shared" si="426"/>
        <v>0</v>
      </c>
      <c r="D1957" s="1">
        <f t="shared" si="427"/>
        <v>0</v>
      </c>
      <c r="E1957" s="1">
        <f t="shared" si="428"/>
        <v>0</v>
      </c>
      <c r="F1957" s="1">
        <f t="shared" si="428"/>
        <v>0</v>
      </c>
      <c r="G1957" s="1" t="str">
        <f t="shared" si="429"/>
        <v>24091114</v>
      </c>
      <c r="H1957" s="2">
        <v>45546</v>
      </c>
      <c r="I1957" s="36">
        <v>14</v>
      </c>
      <c r="J1957" s="1">
        <f t="shared" si="417"/>
        <v>14</v>
      </c>
      <c r="K1957" s="3">
        <f t="shared" si="418"/>
        <v>24</v>
      </c>
      <c r="L1957" s="3">
        <f t="shared" si="419"/>
        <v>9</v>
      </c>
      <c r="M1957" s="3">
        <f t="shared" si="420"/>
        <v>11</v>
      </c>
      <c r="N1957" s="3" t="str">
        <f t="shared" si="421"/>
        <v>09</v>
      </c>
      <c r="O1957" s="14">
        <f t="shared" si="422"/>
        <v>11</v>
      </c>
      <c r="P1957" s="4">
        <v>3714.51</v>
      </c>
      <c r="R1957" s="6">
        <v>510</v>
      </c>
      <c r="S1957" s="5">
        <f t="shared" si="423"/>
        <v>7.2833529411764708</v>
      </c>
      <c r="T1957" s="5" t="s">
        <v>760</v>
      </c>
      <c r="U1957" s="3" t="s">
        <v>29</v>
      </c>
      <c r="V1957" s="3" t="s">
        <v>4</v>
      </c>
    </row>
    <row r="1958" spans="1:22">
      <c r="A1958" s="3">
        <v>1912</v>
      </c>
      <c r="B1958" s="1">
        <f t="shared" si="425"/>
        <v>0</v>
      </c>
      <c r="C1958" s="1">
        <f t="shared" si="426"/>
        <v>0</v>
      </c>
      <c r="D1958" s="1">
        <f t="shared" si="427"/>
        <v>0</v>
      </c>
      <c r="E1958" s="1">
        <f t="shared" si="428"/>
        <v>0</v>
      </c>
      <c r="F1958" s="1">
        <f t="shared" si="428"/>
        <v>0</v>
      </c>
      <c r="G1958" s="1" t="str">
        <f t="shared" si="429"/>
        <v>24091301</v>
      </c>
      <c r="H1958" s="2">
        <v>45548</v>
      </c>
      <c r="I1958" s="36">
        <v>1</v>
      </c>
      <c r="J1958" s="1" t="str">
        <f t="shared" si="417"/>
        <v>01</v>
      </c>
      <c r="K1958" s="3">
        <f t="shared" si="418"/>
        <v>24</v>
      </c>
      <c r="L1958" s="3">
        <f t="shared" si="419"/>
        <v>9</v>
      </c>
      <c r="M1958" s="3">
        <f t="shared" si="420"/>
        <v>13</v>
      </c>
      <c r="N1958" s="3" t="str">
        <f t="shared" si="421"/>
        <v>09</v>
      </c>
      <c r="O1958" s="14">
        <f t="shared" si="422"/>
        <v>13</v>
      </c>
      <c r="P1958" s="4">
        <v>133000</v>
      </c>
      <c r="R1958" s="6">
        <v>511</v>
      </c>
      <c r="S1958" s="5">
        <f t="shared" si="423"/>
        <v>260.27397260273972</v>
      </c>
      <c r="T1958" s="5" t="s">
        <v>731</v>
      </c>
      <c r="U1958" s="3" t="s">
        <v>1</v>
      </c>
      <c r="V1958" s="3" t="s">
        <v>4</v>
      </c>
    </row>
    <row r="1959" spans="1:22">
      <c r="A1959" s="3">
        <v>1935</v>
      </c>
      <c r="B1959" s="1">
        <f t="shared" si="425"/>
        <v>0</v>
      </c>
      <c r="C1959" s="1">
        <f t="shared" si="426"/>
        <v>1</v>
      </c>
      <c r="D1959" s="1">
        <f t="shared" si="427"/>
        <v>0</v>
      </c>
      <c r="E1959" s="1">
        <f t="shared" si="428"/>
        <v>1</v>
      </c>
      <c r="F1959" s="1">
        <f t="shared" si="428"/>
        <v>0</v>
      </c>
      <c r="G1959" s="1" t="str">
        <f t="shared" si="429"/>
        <v>24091413</v>
      </c>
      <c r="H1959" s="2">
        <v>45549</v>
      </c>
      <c r="I1959" s="36">
        <v>13</v>
      </c>
      <c r="J1959" s="1">
        <f t="shared" si="417"/>
        <v>13</v>
      </c>
      <c r="K1959" s="3">
        <f t="shared" si="418"/>
        <v>24</v>
      </c>
      <c r="L1959" s="3">
        <f t="shared" si="419"/>
        <v>9</v>
      </c>
      <c r="M1959" s="3">
        <f t="shared" si="420"/>
        <v>14</v>
      </c>
      <c r="N1959" s="3" t="str">
        <f t="shared" si="421"/>
        <v>09</v>
      </c>
      <c r="O1959" s="14">
        <f t="shared" si="422"/>
        <v>14</v>
      </c>
      <c r="P1959" s="24">
        <v>120000</v>
      </c>
      <c r="R1959" s="6">
        <v>511</v>
      </c>
      <c r="S1959" s="5">
        <f t="shared" si="423"/>
        <v>234.83365949119374</v>
      </c>
      <c r="T1959" s="28" t="s">
        <v>739</v>
      </c>
      <c r="V1959" s="3" t="s">
        <v>4</v>
      </c>
    </row>
    <row r="1960" spans="1:22">
      <c r="A1960" s="3">
        <v>1936</v>
      </c>
      <c r="B1960" s="1">
        <f t="shared" si="425"/>
        <v>0</v>
      </c>
      <c r="C1960" s="1">
        <f t="shared" si="426"/>
        <v>0</v>
      </c>
      <c r="D1960" s="1">
        <f t="shared" si="427"/>
        <v>0</v>
      </c>
      <c r="E1960" s="1">
        <f t="shared" si="428"/>
        <v>1</v>
      </c>
      <c r="F1960" s="1">
        <f t="shared" si="428"/>
        <v>0</v>
      </c>
      <c r="G1960" s="1" t="str">
        <f t="shared" si="429"/>
        <v>24091414</v>
      </c>
      <c r="H1960" s="2">
        <v>45549</v>
      </c>
      <c r="I1960" s="36">
        <v>14</v>
      </c>
      <c r="J1960" s="1">
        <f t="shared" si="417"/>
        <v>14</v>
      </c>
      <c r="K1960" s="3">
        <f t="shared" si="418"/>
        <v>24</v>
      </c>
      <c r="L1960" s="3">
        <f t="shared" si="419"/>
        <v>9</v>
      </c>
      <c r="M1960" s="3">
        <f t="shared" si="420"/>
        <v>14</v>
      </c>
      <c r="N1960" s="3" t="str">
        <f t="shared" si="421"/>
        <v>09</v>
      </c>
      <c r="O1960" s="14">
        <f t="shared" si="422"/>
        <v>14</v>
      </c>
      <c r="P1960" s="24">
        <v>180000</v>
      </c>
      <c r="R1960" s="6">
        <v>511</v>
      </c>
      <c r="S1960" s="5">
        <f t="shared" si="423"/>
        <v>352.2504892367906</v>
      </c>
      <c r="T1960" s="28" t="s">
        <v>740</v>
      </c>
      <c r="V1960" s="3" t="s">
        <v>4</v>
      </c>
    </row>
    <row r="1961" spans="1:22" hidden="1">
      <c r="J1961" s="1" t="str">
        <f t="shared" si="417"/>
        <v>0</v>
      </c>
      <c r="K1961" s="3">
        <f t="shared" si="418"/>
        <v>-100</v>
      </c>
      <c r="L1961" s="3">
        <f t="shared" si="419"/>
        <v>1</v>
      </c>
      <c r="M1961" s="3">
        <f t="shared" si="420"/>
        <v>0</v>
      </c>
      <c r="N1961" s="3" t="str">
        <f t="shared" si="421"/>
        <v>01</v>
      </c>
      <c r="O1961" s="14" t="str">
        <f t="shared" si="422"/>
        <v>00</v>
      </c>
      <c r="P1961" s="125"/>
      <c r="R1961" s="6">
        <v>511</v>
      </c>
      <c r="S1961" s="5">
        <f t="shared" si="423"/>
        <v>0</v>
      </c>
      <c r="T1961" s="28"/>
    </row>
    <row r="1962" spans="1:22" hidden="1">
      <c r="J1962" s="1" t="str">
        <f t="shared" si="417"/>
        <v>0</v>
      </c>
      <c r="K1962" s="3">
        <f t="shared" si="418"/>
        <v>-100</v>
      </c>
      <c r="L1962" s="3">
        <f t="shared" si="419"/>
        <v>1</v>
      </c>
      <c r="M1962" s="3">
        <f t="shared" si="420"/>
        <v>0</v>
      </c>
      <c r="N1962" s="3" t="str">
        <f t="shared" si="421"/>
        <v>01</v>
      </c>
      <c r="O1962" s="14" t="str">
        <f t="shared" si="422"/>
        <v>00</v>
      </c>
      <c r="P1962" s="125"/>
      <c r="R1962" s="6">
        <v>511</v>
      </c>
      <c r="S1962" s="5">
        <f t="shared" si="423"/>
        <v>0</v>
      </c>
      <c r="T1962" s="28"/>
    </row>
    <row r="1963" spans="1:22" hidden="1">
      <c r="J1963" s="1" t="str">
        <f t="shared" si="417"/>
        <v>0</v>
      </c>
      <c r="K1963" s="3">
        <f t="shared" si="418"/>
        <v>-100</v>
      </c>
      <c r="L1963" s="3">
        <f t="shared" si="419"/>
        <v>1</v>
      </c>
      <c r="M1963" s="3">
        <f t="shared" si="420"/>
        <v>0</v>
      </c>
      <c r="N1963" s="3" t="str">
        <f t="shared" si="421"/>
        <v>01</v>
      </c>
      <c r="O1963" s="14" t="str">
        <f t="shared" si="422"/>
        <v>00</v>
      </c>
      <c r="P1963" s="125"/>
      <c r="R1963" s="6">
        <v>511</v>
      </c>
      <c r="S1963" s="5">
        <f t="shared" si="423"/>
        <v>0</v>
      </c>
      <c r="T1963" s="28"/>
    </row>
    <row r="1964" spans="1:22" hidden="1">
      <c r="J1964" s="1" t="str">
        <f t="shared" si="417"/>
        <v>0</v>
      </c>
      <c r="K1964" s="3">
        <f t="shared" si="418"/>
        <v>-100</v>
      </c>
      <c r="L1964" s="3">
        <f t="shared" si="419"/>
        <v>1</v>
      </c>
      <c r="M1964" s="3">
        <f t="shared" si="420"/>
        <v>0</v>
      </c>
      <c r="N1964" s="3" t="str">
        <f t="shared" si="421"/>
        <v>01</v>
      </c>
      <c r="O1964" s="14" t="str">
        <f t="shared" si="422"/>
        <v>00</v>
      </c>
      <c r="P1964" s="126"/>
      <c r="R1964" s="6">
        <v>511</v>
      </c>
      <c r="S1964" s="5">
        <f t="shared" si="423"/>
        <v>0</v>
      </c>
      <c r="T1964" s="3"/>
    </row>
    <row r="1965" spans="1:22" hidden="1">
      <c r="J1965" s="1" t="str">
        <f t="shared" si="417"/>
        <v>0</v>
      </c>
      <c r="K1965" s="3">
        <f t="shared" si="418"/>
        <v>-100</v>
      </c>
      <c r="L1965" s="3">
        <f t="shared" si="419"/>
        <v>1</v>
      </c>
      <c r="M1965" s="3">
        <f t="shared" si="420"/>
        <v>0</v>
      </c>
      <c r="N1965" s="3" t="str">
        <f t="shared" si="421"/>
        <v>01</v>
      </c>
      <c r="O1965" s="14" t="str">
        <f t="shared" si="422"/>
        <v>00</v>
      </c>
      <c r="P1965" s="33"/>
      <c r="R1965" s="6">
        <v>511</v>
      </c>
      <c r="S1965" s="5">
        <f t="shared" si="423"/>
        <v>0</v>
      </c>
      <c r="T1965" s="28"/>
    </row>
    <row r="1966" spans="1:22" hidden="1">
      <c r="J1966" s="1" t="str">
        <f t="shared" si="417"/>
        <v>0</v>
      </c>
      <c r="K1966" s="3">
        <f t="shared" si="418"/>
        <v>-100</v>
      </c>
      <c r="L1966" s="3">
        <f t="shared" si="419"/>
        <v>1</v>
      </c>
      <c r="M1966" s="3">
        <f t="shared" si="420"/>
        <v>0</v>
      </c>
      <c r="N1966" s="3" t="str">
        <f t="shared" si="421"/>
        <v>01</v>
      </c>
      <c r="O1966" s="14" t="str">
        <f t="shared" si="422"/>
        <v>00</v>
      </c>
      <c r="P1966" s="33"/>
      <c r="R1966" s="6">
        <v>511</v>
      </c>
      <c r="S1966" s="5">
        <f t="shared" si="423"/>
        <v>0</v>
      </c>
      <c r="T1966" s="28"/>
    </row>
    <row r="1967" spans="1:22">
      <c r="A1967" s="3">
        <v>1937</v>
      </c>
      <c r="B1967" s="1">
        <f>IF(G1967="-",0,IF(G1966=G1967,1,0))</f>
        <v>0</v>
      </c>
      <c r="C1967" s="1">
        <f>+IF(G1967="-",0,IF(I1967=I1966+1,0,(IF(I1967=1,0,1))))</f>
        <v>1</v>
      </c>
      <c r="D1967" s="1">
        <f>+IF(AND(P1967="",Q1967=""),1,0)</f>
        <v>0</v>
      </c>
      <c r="E1967" s="1">
        <f>IF(U1967="",1,0)</f>
        <v>1</v>
      </c>
      <c r="F1967" s="1">
        <f>IF(V1967="",1,0)</f>
        <v>0</v>
      </c>
      <c r="G1967" s="1" t="str">
        <f>IF(H1967=0,"-",_xlfn.CONCAT(K1967,N1967,O1967,J1967))</f>
        <v>24091415</v>
      </c>
      <c r="H1967" s="2">
        <v>45549</v>
      </c>
      <c r="I1967" s="36">
        <v>15</v>
      </c>
      <c r="J1967" s="1">
        <f t="shared" si="417"/>
        <v>15</v>
      </c>
      <c r="K1967" s="3">
        <f t="shared" si="418"/>
        <v>24</v>
      </c>
      <c r="L1967" s="3">
        <f t="shared" si="419"/>
        <v>9</v>
      </c>
      <c r="M1967" s="3">
        <f t="shared" si="420"/>
        <v>14</v>
      </c>
      <c r="N1967" s="3" t="str">
        <f t="shared" si="421"/>
        <v>09</v>
      </c>
      <c r="O1967" s="14">
        <f t="shared" si="422"/>
        <v>14</v>
      </c>
      <c r="P1967" s="24">
        <v>132000</v>
      </c>
      <c r="R1967" s="6">
        <v>511</v>
      </c>
      <c r="S1967" s="5">
        <f t="shared" si="423"/>
        <v>258.3170254403131</v>
      </c>
      <c r="T1967" s="28" t="s">
        <v>741</v>
      </c>
      <c r="V1967" s="3" t="s">
        <v>4</v>
      </c>
    </row>
    <row r="1968" spans="1:22" hidden="1">
      <c r="J1968" s="1" t="str">
        <f t="shared" si="417"/>
        <v>0</v>
      </c>
      <c r="K1968" s="3">
        <f t="shared" si="418"/>
        <v>-100</v>
      </c>
      <c r="L1968" s="3">
        <f t="shared" si="419"/>
        <v>1</v>
      </c>
      <c r="M1968" s="3">
        <f t="shared" si="420"/>
        <v>0</v>
      </c>
      <c r="N1968" s="3" t="str">
        <f t="shared" si="421"/>
        <v>01</v>
      </c>
      <c r="O1968" s="14" t="str">
        <f t="shared" si="422"/>
        <v>00</v>
      </c>
    </row>
    <row r="1969" spans="10:19" hidden="1"/>
    <row r="1970" spans="10:19" hidden="1">
      <c r="J1970" s="1" t="str">
        <f t="shared" ref="J1970:J2033" si="430">+IF(I1970&lt;10,_xlfn.CONCAT("0",I1970),I1970)</f>
        <v>0</v>
      </c>
      <c r="K1970" s="3">
        <f t="shared" ref="K1970:K2033" si="431">+YEAR(H1970)-2000</f>
        <v>-100</v>
      </c>
      <c r="L1970" s="3">
        <f t="shared" ref="L1970:L2033" si="432">+MONTH(H1970)</f>
        <v>1</v>
      </c>
      <c r="M1970" s="3">
        <f t="shared" ref="M1970:M2033" si="433">+DAY(H1970)</f>
        <v>0</v>
      </c>
      <c r="N1970" s="3" t="str">
        <f t="shared" ref="N1970:N2033" si="434">+IF(L1970&lt;10,_xlfn.CONCAT("0",L1970),L1970)</f>
        <v>01</v>
      </c>
      <c r="O1970" s="14" t="str">
        <f t="shared" ref="O1970:O2033" si="435">+IF(M1970&lt;10,_xlfn.CONCAT("0",M1970),M1970)</f>
        <v>00</v>
      </c>
      <c r="R1970" s="6">
        <v>511</v>
      </c>
      <c r="S1970" s="5">
        <f t="shared" ref="S1970:S1987" si="436">IFERROR(P1970/R1970,"")</f>
        <v>0</v>
      </c>
    </row>
    <row r="1971" spans="10:19" hidden="1">
      <c r="J1971" s="1" t="str">
        <f t="shared" si="430"/>
        <v>0</v>
      </c>
      <c r="K1971" s="3">
        <f t="shared" si="431"/>
        <v>-100</v>
      </c>
      <c r="L1971" s="3">
        <f t="shared" si="432"/>
        <v>1</v>
      </c>
      <c r="M1971" s="3">
        <f t="shared" si="433"/>
        <v>0</v>
      </c>
      <c r="N1971" s="3" t="str">
        <f t="shared" si="434"/>
        <v>01</v>
      </c>
      <c r="O1971" s="14" t="str">
        <f t="shared" si="435"/>
        <v>00</v>
      </c>
      <c r="R1971" s="6">
        <v>511</v>
      </c>
      <c r="S1971" s="5">
        <f t="shared" si="436"/>
        <v>0</v>
      </c>
    </row>
    <row r="1972" spans="10:19" hidden="1">
      <c r="J1972" s="1" t="str">
        <f t="shared" si="430"/>
        <v>0</v>
      </c>
      <c r="K1972" s="3">
        <f t="shared" si="431"/>
        <v>-100</v>
      </c>
      <c r="L1972" s="3">
        <f t="shared" si="432"/>
        <v>1</v>
      </c>
      <c r="M1972" s="3">
        <f t="shared" si="433"/>
        <v>0</v>
      </c>
      <c r="N1972" s="3" t="str">
        <f t="shared" si="434"/>
        <v>01</v>
      </c>
      <c r="O1972" s="14" t="str">
        <f t="shared" si="435"/>
        <v>00</v>
      </c>
      <c r="R1972" s="6">
        <v>511</v>
      </c>
      <c r="S1972" s="5">
        <f t="shared" si="436"/>
        <v>0</v>
      </c>
    </row>
    <row r="1973" spans="10:19" hidden="1">
      <c r="J1973" s="1" t="str">
        <f t="shared" si="430"/>
        <v>0</v>
      </c>
      <c r="K1973" s="3">
        <f t="shared" si="431"/>
        <v>-100</v>
      </c>
      <c r="L1973" s="3">
        <f t="shared" si="432"/>
        <v>1</v>
      </c>
      <c r="M1973" s="3">
        <f t="shared" si="433"/>
        <v>0</v>
      </c>
      <c r="N1973" s="3" t="str">
        <f t="shared" si="434"/>
        <v>01</v>
      </c>
      <c r="O1973" s="14" t="str">
        <f t="shared" si="435"/>
        <v>00</v>
      </c>
      <c r="R1973" s="6">
        <v>511</v>
      </c>
      <c r="S1973" s="5">
        <f t="shared" si="436"/>
        <v>0</v>
      </c>
    </row>
    <row r="1974" spans="10:19" hidden="1">
      <c r="J1974" s="1" t="str">
        <f t="shared" si="430"/>
        <v>0</v>
      </c>
      <c r="K1974" s="3">
        <f t="shared" si="431"/>
        <v>-100</v>
      </c>
      <c r="L1974" s="3">
        <f t="shared" si="432"/>
        <v>1</v>
      </c>
      <c r="M1974" s="3">
        <f t="shared" si="433"/>
        <v>0</v>
      </c>
      <c r="N1974" s="3" t="str">
        <f t="shared" si="434"/>
        <v>01</v>
      </c>
      <c r="O1974" s="14" t="str">
        <f t="shared" si="435"/>
        <v>00</v>
      </c>
      <c r="R1974" s="6">
        <v>511</v>
      </c>
      <c r="S1974" s="5">
        <f t="shared" si="436"/>
        <v>0</v>
      </c>
    </row>
    <row r="1975" spans="10:19" hidden="1">
      <c r="J1975" s="1" t="str">
        <f t="shared" si="430"/>
        <v>0</v>
      </c>
      <c r="K1975" s="3">
        <f t="shared" si="431"/>
        <v>-100</v>
      </c>
      <c r="L1975" s="3">
        <f t="shared" si="432"/>
        <v>1</v>
      </c>
      <c r="M1975" s="3">
        <f t="shared" si="433"/>
        <v>0</v>
      </c>
      <c r="N1975" s="3" t="str">
        <f t="shared" si="434"/>
        <v>01</v>
      </c>
      <c r="O1975" s="14" t="str">
        <f t="shared" si="435"/>
        <v>00</v>
      </c>
      <c r="R1975" s="6">
        <v>511</v>
      </c>
      <c r="S1975" s="5">
        <f t="shared" si="436"/>
        <v>0</v>
      </c>
    </row>
    <row r="1976" spans="10:19" hidden="1">
      <c r="J1976" s="1" t="str">
        <f t="shared" si="430"/>
        <v>0</v>
      </c>
      <c r="K1976" s="3">
        <f t="shared" si="431"/>
        <v>-100</v>
      </c>
      <c r="L1976" s="3">
        <f t="shared" si="432"/>
        <v>1</v>
      </c>
      <c r="M1976" s="3">
        <f t="shared" si="433"/>
        <v>0</v>
      </c>
      <c r="N1976" s="3" t="str">
        <f t="shared" si="434"/>
        <v>01</v>
      </c>
      <c r="O1976" s="14" t="str">
        <f t="shared" si="435"/>
        <v>00</v>
      </c>
      <c r="R1976" s="6">
        <v>511</v>
      </c>
      <c r="S1976" s="5">
        <f t="shared" si="436"/>
        <v>0</v>
      </c>
    </row>
    <row r="1977" spans="10:19" hidden="1">
      <c r="J1977" s="1" t="str">
        <f t="shared" si="430"/>
        <v>0</v>
      </c>
      <c r="K1977" s="3">
        <f t="shared" si="431"/>
        <v>-100</v>
      </c>
      <c r="L1977" s="3">
        <f t="shared" si="432"/>
        <v>1</v>
      </c>
      <c r="M1977" s="3">
        <f t="shared" si="433"/>
        <v>0</v>
      </c>
      <c r="N1977" s="3" t="str">
        <f t="shared" si="434"/>
        <v>01</v>
      </c>
      <c r="O1977" s="14" t="str">
        <f t="shared" si="435"/>
        <v>00</v>
      </c>
      <c r="R1977" s="6">
        <v>511</v>
      </c>
      <c r="S1977" s="5">
        <f t="shared" si="436"/>
        <v>0</v>
      </c>
    </row>
    <row r="1978" spans="10:19" hidden="1">
      <c r="J1978" s="1" t="str">
        <f t="shared" si="430"/>
        <v>0</v>
      </c>
      <c r="K1978" s="3">
        <f t="shared" si="431"/>
        <v>-100</v>
      </c>
      <c r="L1978" s="3">
        <f t="shared" si="432"/>
        <v>1</v>
      </c>
      <c r="M1978" s="3">
        <f t="shared" si="433"/>
        <v>0</v>
      </c>
      <c r="N1978" s="3" t="str">
        <f t="shared" si="434"/>
        <v>01</v>
      </c>
      <c r="O1978" s="14" t="str">
        <f t="shared" si="435"/>
        <v>00</v>
      </c>
      <c r="R1978" s="6">
        <v>511</v>
      </c>
      <c r="S1978" s="5">
        <f t="shared" si="436"/>
        <v>0</v>
      </c>
    </row>
    <row r="1979" spans="10:19" hidden="1">
      <c r="J1979" s="1" t="str">
        <f t="shared" si="430"/>
        <v>0</v>
      </c>
      <c r="K1979" s="3">
        <f t="shared" si="431"/>
        <v>-100</v>
      </c>
      <c r="L1979" s="3">
        <f t="shared" si="432"/>
        <v>1</v>
      </c>
      <c r="M1979" s="3">
        <f t="shared" si="433"/>
        <v>0</v>
      </c>
      <c r="N1979" s="3" t="str">
        <f t="shared" si="434"/>
        <v>01</v>
      </c>
      <c r="O1979" s="14" t="str">
        <f t="shared" si="435"/>
        <v>00</v>
      </c>
      <c r="R1979" s="6">
        <v>511</v>
      </c>
      <c r="S1979" s="5">
        <f t="shared" si="436"/>
        <v>0</v>
      </c>
    </row>
    <row r="1980" spans="10:19" hidden="1">
      <c r="J1980" s="1" t="str">
        <f t="shared" si="430"/>
        <v>0</v>
      </c>
      <c r="K1980" s="3">
        <f t="shared" si="431"/>
        <v>-100</v>
      </c>
      <c r="L1980" s="3">
        <f t="shared" si="432"/>
        <v>1</v>
      </c>
      <c r="M1980" s="3">
        <f t="shared" si="433"/>
        <v>0</v>
      </c>
      <c r="N1980" s="3" t="str">
        <f t="shared" si="434"/>
        <v>01</v>
      </c>
      <c r="O1980" s="14" t="str">
        <f t="shared" si="435"/>
        <v>00</v>
      </c>
      <c r="R1980" s="6">
        <v>511</v>
      </c>
      <c r="S1980" s="5">
        <f t="shared" si="436"/>
        <v>0</v>
      </c>
    </row>
    <row r="1981" spans="10:19" hidden="1">
      <c r="J1981" s="1" t="str">
        <f t="shared" si="430"/>
        <v>0</v>
      </c>
      <c r="K1981" s="3">
        <f t="shared" si="431"/>
        <v>-100</v>
      </c>
      <c r="L1981" s="3">
        <f t="shared" si="432"/>
        <v>1</v>
      </c>
      <c r="M1981" s="3">
        <f t="shared" si="433"/>
        <v>0</v>
      </c>
      <c r="N1981" s="3" t="str">
        <f t="shared" si="434"/>
        <v>01</v>
      </c>
      <c r="O1981" s="14" t="str">
        <f t="shared" si="435"/>
        <v>00</v>
      </c>
      <c r="R1981" s="6">
        <v>511</v>
      </c>
      <c r="S1981" s="5">
        <f t="shared" si="436"/>
        <v>0</v>
      </c>
    </row>
    <row r="1982" spans="10:19" hidden="1">
      <c r="J1982" s="1" t="str">
        <f t="shared" si="430"/>
        <v>0</v>
      </c>
      <c r="K1982" s="3">
        <f t="shared" si="431"/>
        <v>-100</v>
      </c>
      <c r="L1982" s="3">
        <f t="shared" si="432"/>
        <v>1</v>
      </c>
      <c r="M1982" s="3">
        <f t="shared" si="433"/>
        <v>0</v>
      </c>
      <c r="N1982" s="3" t="str">
        <f t="shared" si="434"/>
        <v>01</v>
      </c>
      <c r="O1982" s="14" t="str">
        <f t="shared" si="435"/>
        <v>00</v>
      </c>
      <c r="R1982" s="6">
        <v>511</v>
      </c>
      <c r="S1982" s="5">
        <f t="shared" si="436"/>
        <v>0</v>
      </c>
    </row>
    <row r="1983" spans="10:19" hidden="1">
      <c r="J1983" s="1" t="str">
        <f t="shared" si="430"/>
        <v>0</v>
      </c>
      <c r="K1983" s="3">
        <f t="shared" si="431"/>
        <v>-100</v>
      </c>
      <c r="L1983" s="3">
        <f t="shared" si="432"/>
        <v>1</v>
      </c>
      <c r="M1983" s="3">
        <f t="shared" si="433"/>
        <v>0</v>
      </c>
      <c r="N1983" s="3" t="str">
        <f t="shared" si="434"/>
        <v>01</v>
      </c>
      <c r="O1983" s="14" t="str">
        <f t="shared" si="435"/>
        <v>00</v>
      </c>
      <c r="R1983" s="6">
        <v>511</v>
      </c>
      <c r="S1983" s="5">
        <f t="shared" si="436"/>
        <v>0</v>
      </c>
    </row>
    <row r="1984" spans="10:19" hidden="1">
      <c r="J1984" s="1" t="str">
        <f t="shared" si="430"/>
        <v>0</v>
      </c>
      <c r="K1984" s="3">
        <f t="shared" si="431"/>
        <v>-100</v>
      </c>
      <c r="L1984" s="3">
        <f t="shared" si="432"/>
        <v>1</v>
      </c>
      <c r="M1984" s="3">
        <f t="shared" si="433"/>
        <v>0</v>
      </c>
      <c r="N1984" s="3" t="str">
        <f t="shared" si="434"/>
        <v>01</v>
      </c>
      <c r="O1984" s="14" t="str">
        <f t="shared" si="435"/>
        <v>00</v>
      </c>
      <c r="R1984" s="6">
        <v>511</v>
      </c>
      <c r="S1984" s="5">
        <f t="shared" si="436"/>
        <v>0</v>
      </c>
    </row>
    <row r="1985" spans="1:23" hidden="1">
      <c r="J1985" s="1" t="str">
        <f t="shared" si="430"/>
        <v>0</v>
      </c>
      <c r="K1985" s="3">
        <f t="shared" si="431"/>
        <v>-100</v>
      </c>
      <c r="L1985" s="3">
        <f t="shared" si="432"/>
        <v>1</v>
      </c>
      <c r="M1985" s="3">
        <f t="shared" si="433"/>
        <v>0</v>
      </c>
      <c r="N1985" s="3" t="str">
        <f t="shared" si="434"/>
        <v>01</v>
      </c>
      <c r="O1985" s="14" t="str">
        <f t="shared" si="435"/>
        <v>00</v>
      </c>
      <c r="R1985" s="6">
        <v>511</v>
      </c>
      <c r="S1985" s="5">
        <f t="shared" si="436"/>
        <v>0</v>
      </c>
    </row>
    <row r="1986" spans="1:23" hidden="1">
      <c r="J1986" s="1" t="str">
        <f t="shared" si="430"/>
        <v>0</v>
      </c>
      <c r="K1986" s="3">
        <f t="shared" si="431"/>
        <v>-100</v>
      </c>
      <c r="L1986" s="3">
        <f t="shared" si="432"/>
        <v>1</v>
      </c>
      <c r="M1986" s="3">
        <f t="shared" si="433"/>
        <v>0</v>
      </c>
      <c r="N1986" s="3" t="str">
        <f t="shared" si="434"/>
        <v>01</v>
      </c>
      <c r="O1986" s="14" t="str">
        <f t="shared" si="435"/>
        <v>00</v>
      </c>
      <c r="R1986" s="6">
        <v>511</v>
      </c>
      <c r="S1986" s="5">
        <f t="shared" si="436"/>
        <v>0</v>
      </c>
    </row>
    <row r="1987" spans="1:23" hidden="1">
      <c r="J1987" s="1" t="str">
        <f t="shared" si="430"/>
        <v>0</v>
      </c>
      <c r="K1987" s="3">
        <f t="shared" si="431"/>
        <v>-100</v>
      </c>
      <c r="L1987" s="3">
        <f t="shared" si="432"/>
        <v>1</v>
      </c>
      <c r="M1987" s="3">
        <f t="shared" si="433"/>
        <v>0</v>
      </c>
      <c r="N1987" s="3" t="str">
        <f t="shared" si="434"/>
        <v>01</v>
      </c>
      <c r="O1987" s="14" t="str">
        <f t="shared" si="435"/>
        <v>00</v>
      </c>
      <c r="R1987" s="6">
        <v>511</v>
      </c>
      <c r="S1987" s="5">
        <f t="shared" si="436"/>
        <v>0</v>
      </c>
    </row>
    <row r="1988" spans="1:23" s="97" customFormat="1" hidden="1">
      <c r="A1988" s="3"/>
      <c r="B1988" s="1"/>
      <c r="C1988" s="1"/>
      <c r="D1988" s="1"/>
      <c r="E1988" s="1"/>
      <c r="F1988" s="1"/>
      <c r="G1988" s="1"/>
      <c r="H1988" s="2"/>
      <c r="I1988" s="36"/>
      <c r="J1988" s="1" t="str">
        <f t="shared" si="430"/>
        <v>0</v>
      </c>
      <c r="K1988" s="3">
        <f t="shared" si="431"/>
        <v>-100</v>
      </c>
      <c r="L1988" s="3">
        <f t="shared" si="432"/>
        <v>1</v>
      </c>
      <c r="M1988" s="3">
        <f t="shared" si="433"/>
        <v>0</v>
      </c>
      <c r="N1988" s="3" t="str">
        <f t="shared" si="434"/>
        <v>01</v>
      </c>
      <c r="O1988" s="14" t="str">
        <f t="shared" si="435"/>
        <v>00</v>
      </c>
      <c r="P1988" s="4"/>
      <c r="Q1988" s="5"/>
      <c r="R1988" s="6"/>
      <c r="S1988" s="5"/>
      <c r="T1988" s="5"/>
      <c r="U1988" s="3"/>
      <c r="V1988" s="3"/>
      <c r="W1988" s="3"/>
    </row>
    <row r="1989" spans="1:23" hidden="1">
      <c r="J1989" s="1" t="str">
        <f t="shared" si="430"/>
        <v>0</v>
      </c>
      <c r="K1989" s="3">
        <f t="shared" si="431"/>
        <v>-100</v>
      </c>
      <c r="L1989" s="3">
        <f t="shared" si="432"/>
        <v>1</v>
      </c>
      <c r="M1989" s="3">
        <f t="shared" si="433"/>
        <v>0</v>
      </c>
      <c r="N1989" s="3" t="str">
        <f t="shared" si="434"/>
        <v>01</v>
      </c>
      <c r="O1989" s="14" t="str">
        <f t="shared" si="435"/>
        <v>00</v>
      </c>
    </row>
    <row r="1990" spans="1:23" s="97" customFormat="1" hidden="1">
      <c r="A1990" s="3"/>
      <c r="B1990" s="1"/>
      <c r="C1990" s="1"/>
      <c r="D1990" s="1"/>
      <c r="E1990" s="1"/>
      <c r="F1990" s="1"/>
      <c r="G1990" s="1"/>
      <c r="H1990" s="2"/>
      <c r="I1990" s="36"/>
      <c r="J1990" s="1" t="str">
        <f t="shared" si="430"/>
        <v>0</v>
      </c>
      <c r="K1990" s="3">
        <f t="shared" si="431"/>
        <v>-100</v>
      </c>
      <c r="L1990" s="3">
        <f t="shared" si="432"/>
        <v>1</v>
      </c>
      <c r="M1990" s="3">
        <f t="shared" si="433"/>
        <v>0</v>
      </c>
      <c r="N1990" s="3" t="str">
        <f t="shared" si="434"/>
        <v>01</v>
      </c>
      <c r="O1990" s="14" t="str">
        <f t="shared" si="435"/>
        <v>00</v>
      </c>
      <c r="P1990" s="4"/>
      <c r="Q1990" s="5"/>
      <c r="R1990" s="6">
        <v>511</v>
      </c>
      <c r="S1990" s="5">
        <f t="shared" ref="S1990:S1999" si="437">IFERROR(P1990/R1990,"")</f>
        <v>0</v>
      </c>
      <c r="T1990" s="5"/>
      <c r="U1990" s="3"/>
      <c r="V1990" s="3"/>
      <c r="W1990" s="3"/>
    </row>
    <row r="1991" spans="1:23" hidden="1">
      <c r="J1991" s="1" t="str">
        <f t="shared" si="430"/>
        <v>0</v>
      </c>
      <c r="K1991" s="3">
        <f t="shared" si="431"/>
        <v>-100</v>
      </c>
      <c r="L1991" s="3">
        <f t="shared" si="432"/>
        <v>1</v>
      </c>
      <c r="M1991" s="3">
        <f t="shared" si="433"/>
        <v>0</v>
      </c>
      <c r="N1991" s="3" t="str">
        <f t="shared" si="434"/>
        <v>01</v>
      </c>
      <c r="O1991" s="14" t="str">
        <f t="shared" si="435"/>
        <v>00</v>
      </c>
      <c r="R1991" s="6">
        <v>511</v>
      </c>
      <c r="S1991" s="5">
        <f t="shared" si="437"/>
        <v>0</v>
      </c>
    </row>
    <row r="1992" spans="1:23" hidden="1">
      <c r="J1992" s="1" t="str">
        <f t="shared" si="430"/>
        <v>0</v>
      </c>
      <c r="K1992" s="3">
        <f t="shared" si="431"/>
        <v>-100</v>
      </c>
      <c r="L1992" s="3">
        <f t="shared" si="432"/>
        <v>1</v>
      </c>
      <c r="M1992" s="3">
        <f t="shared" si="433"/>
        <v>0</v>
      </c>
      <c r="N1992" s="3" t="str">
        <f t="shared" si="434"/>
        <v>01</v>
      </c>
      <c r="O1992" s="14" t="str">
        <f t="shared" si="435"/>
        <v>00</v>
      </c>
      <c r="R1992" s="6">
        <v>511</v>
      </c>
      <c r="S1992" s="5">
        <f t="shared" si="437"/>
        <v>0</v>
      </c>
    </row>
    <row r="1993" spans="1:23" hidden="1">
      <c r="J1993" s="1" t="str">
        <f t="shared" si="430"/>
        <v>0</v>
      </c>
      <c r="K1993" s="3">
        <f t="shared" si="431"/>
        <v>-100</v>
      </c>
      <c r="L1993" s="3">
        <f t="shared" si="432"/>
        <v>1</v>
      </c>
      <c r="M1993" s="3">
        <f t="shared" si="433"/>
        <v>0</v>
      </c>
      <c r="N1993" s="3" t="str">
        <f t="shared" si="434"/>
        <v>01</v>
      </c>
      <c r="O1993" s="14" t="str">
        <f t="shared" si="435"/>
        <v>00</v>
      </c>
      <c r="R1993" s="6">
        <v>511</v>
      </c>
      <c r="S1993" s="5">
        <f t="shared" si="437"/>
        <v>0</v>
      </c>
    </row>
    <row r="1994" spans="1:23" hidden="1">
      <c r="J1994" s="1" t="str">
        <f t="shared" si="430"/>
        <v>0</v>
      </c>
      <c r="K1994" s="3">
        <f t="shared" si="431"/>
        <v>-100</v>
      </c>
      <c r="L1994" s="3">
        <f t="shared" si="432"/>
        <v>1</v>
      </c>
      <c r="M1994" s="3">
        <f t="shared" si="433"/>
        <v>0</v>
      </c>
      <c r="N1994" s="3" t="str">
        <f t="shared" si="434"/>
        <v>01</v>
      </c>
      <c r="O1994" s="14" t="str">
        <f t="shared" si="435"/>
        <v>00</v>
      </c>
      <c r="R1994" s="6">
        <v>511</v>
      </c>
      <c r="S1994" s="5">
        <f t="shared" si="437"/>
        <v>0</v>
      </c>
    </row>
    <row r="1995" spans="1:23" hidden="1">
      <c r="J1995" s="1" t="str">
        <f t="shared" si="430"/>
        <v>0</v>
      </c>
      <c r="K1995" s="3">
        <f t="shared" si="431"/>
        <v>-100</v>
      </c>
      <c r="L1995" s="3">
        <f t="shared" si="432"/>
        <v>1</v>
      </c>
      <c r="M1995" s="3">
        <f t="shared" si="433"/>
        <v>0</v>
      </c>
      <c r="N1995" s="3" t="str">
        <f t="shared" si="434"/>
        <v>01</v>
      </c>
      <c r="O1995" s="14" t="str">
        <f t="shared" si="435"/>
        <v>00</v>
      </c>
      <c r="R1995" s="6">
        <v>511</v>
      </c>
      <c r="S1995" s="5">
        <f t="shared" si="437"/>
        <v>0</v>
      </c>
    </row>
    <row r="1996" spans="1:23" hidden="1">
      <c r="J1996" s="1" t="str">
        <f t="shared" si="430"/>
        <v>0</v>
      </c>
      <c r="K1996" s="3">
        <f t="shared" si="431"/>
        <v>-100</v>
      </c>
      <c r="L1996" s="3">
        <f t="shared" si="432"/>
        <v>1</v>
      </c>
      <c r="M1996" s="3">
        <f t="shared" si="433"/>
        <v>0</v>
      </c>
      <c r="N1996" s="3" t="str">
        <f t="shared" si="434"/>
        <v>01</v>
      </c>
      <c r="O1996" s="14" t="str">
        <f t="shared" si="435"/>
        <v>00</v>
      </c>
      <c r="R1996" s="6">
        <v>511</v>
      </c>
      <c r="S1996" s="5">
        <f t="shared" si="437"/>
        <v>0</v>
      </c>
    </row>
    <row r="1997" spans="1:23" hidden="1">
      <c r="J1997" s="1" t="str">
        <f t="shared" si="430"/>
        <v>0</v>
      </c>
      <c r="K1997" s="3">
        <f t="shared" si="431"/>
        <v>-100</v>
      </c>
      <c r="L1997" s="3">
        <f t="shared" si="432"/>
        <v>1</v>
      </c>
      <c r="M1997" s="3">
        <f t="shared" si="433"/>
        <v>0</v>
      </c>
      <c r="N1997" s="3" t="str">
        <f t="shared" si="434"/>
        <v>01</v>
      </c>
      <c r="O1997" s="14" t="str">
        <f t="shared" si="435"/>
        <v>00</v>
      </c>
      <c r="R1997" s="6">
        <v>511</v>
      </c>
      <c r="S1997" s="5">
        <f t="shared" si="437"/>
        <v>0</v>
      </c>
    </row>
    <row r="1998" spans="1:23" hidden="1">
      <c r="J1998" s="1" t="str">
        <f t="shared" si="430"/>
        <v>0</v>
      </c>
      <c r="K1998" s="3">
        <f t="shared" si="431"/>
        <v>-100</v>
      </c>
      <c r="L1998" s="3">
        <f t="shared" si="432"/>
        <v>1</v>
      </c>
      <c r="M1998" s="3">
        <f t="shared" si="433"/>
        <v>0</v>
      </c>
      <c r="N1998" s="3" t="str">
        <f t="shared" si="434"/>
        <v>01</v>
      </c>
      <c r="O1998" s="14" t="str">
        <f t="shared" si="435"/>
        <v>00</v>
      </c>
      <c r="R1998" s="6">
        <v>511</v>
      </c>
      <c r="S1998" s="5">
        <f t="shared" si="437"/>
        <v>0</v>
      </c>
    </row>
    <row r="1999" spans="1:23">
      <c r="A1999" s="3">
        <v>1939</v>
      </c>
      <c r="B1999" s="1">
        <f>IF(G1999="-",0,IF(G1998=G1999,1,0))</f>
        <v>0</v>
      </c>
      <c r="C1999" s="1">
        <f>+IF(G1999="-",0,IF(I1999=I1998+1,0,(IF(I1999=1,0,1))))</f>
        <v>1</v>
      </c>
      <c r="D1999" s="1">
        <f>+IF(AND(P1999="",Q1999=""),1,0)</f>
        <v>0</v>
      </c>
      <c r="E1999" s="1">
        <f>IF(U1999="",1,0)</f>
        <v>1</v>
      </c>
      <c r="F1999" s="1">
        <f>IF(V1999="",1,0)</f>
        <v>0</v>
      </c>
      <c r="G1999" s="1" t="str">
        <f>IF(H1999=0,"-",_xlfn.CONCAT(K1999,N1999,O1999,J1999))</f>
        <v>24091417</v>
      </c>
      <c r="H1999" s="2">
        <v>45549</v>
      </c>
      <c r="I1999" s="36">
        <v>17</v>
      </c>
      <c r="J1999" s="1">
        <f t="shared" si="430"/>
        <v>17</v>
      </c>
      <c r="K1999" s="3">
        <f t="shared" si="431"/>
        <v>24</v>
      </c>
      <c r="L1999" s="3">
        <f t="shared" si="432"/>
        <v>9</v>
      </c>
      <c r="M1999" s="3">
        <f t="shared" si="433"/>
        <v>14</v>
      </c>
      <c r="N1999" s="3" t="str">
        <f t="shared" si="434"/>
        <v>09</v>
      </c>
      <c r="O1999" s="14">
        <f t="shared" si="435"/>
        <v>14</v>
      </c>
      <c r="P1999" s="125">
        <v>108000</v>
      </c>
      <c r="R1999" s="6">
        <v>511</v>
      </c>
      <c r="S1999" s="5">
        <f t="shared" si="437"/>
        <v>211.35029354207435</v>
      </c>
      <c r="T1999" s="28" t="s">
        <v>744</v>
      </c>
      <c r="V1999" s="3" t="s">
        <v>4</v>
      </c>
    </row>
    <row r="2000" spans="1:23" hidden="1">
      <c r="J2000" s="1" t="str">
        <f t="shared" si="430"/>
        <v>0</v>
      </c>
      <c r="K2000" s="3">
        <f t="shared" si="431"/>
        <v>-100</v>
      </c>
      <c r="L2000" s="3">
        <f t="shared" si="432"/>
        <v>1</v>
      </c>
      <c r="M2000" s="3">
        <f t="shared" si="433"/>
        <v>0</v>
      </c>
      <c r="N2000" s="3" t="str">
        <f t="shared" si="434"/>
        <v>01</v>
      </c>
      <c r="O2000" s="14" t="str">
        <f t="shared" si="435"/>
        <v>00</v>
      </c>
    </row>
    <row r="2001" spans="1:23" hidden="1">
      <c r="G2001" s="98"/>
      <c r="H2001" s="99"/>
      <c r="J2001" s="98" t="str">
        <f t="shared" si="430"/>
        <v>0</v>
      </c>
      <c r="K2001" s="97">
        <f t="shared" si="431"/>
        <v>-100</v>
      </c>
      <c r="L2001" s="97">
        <f t="shared" si="432"/>
        <v>1</v>
      </c>
      <c r="M2001" s="97">
        <f t="shared" si="433"/>
        <v>0</v>
      </c>
      <c r="N2001" s="97" t="str">
        <f t="shared" si="434"/>
        <v>01</v>
      </c>
      <c r="O2001" s="100" t="str">
        <f t="shared" si="435"/>
        <v>00</v>
      </c>
      <c r="P2001" s="101"/>
      <c r="Q2001" s="102"/>
      <c r="R2001" s="103">
        <v>511</v>
      </c>
      <c r="S2001" s="102">
        <f t="shared" ref="S2001:S2010" si="438">IFERROR(P2001/R2001,"")</f>
        <v>0</v>
      </c>
      <c r="T2001" s="102"/>
      <c r="U2001" s="97"/>
      <c r="V2001" s="97"/>
      <c r="W2001" s="97"/>
    </row>
    <row r="2002" spans="1:23" hidden="1">
      <c r="G2002" s="98"/>
      <c r="H2002" s="99"/>
      <c r="J2002" s="98" t="str">
        <f t="shared" si="430"/>
        <v>0</v>
      </c>
      <c r="K2002" s="97">
        <f t="shared" si="431"/>
        <v>-100</v>
      </c>
      <c r="L2002" s="97">
        <f t="shared" si="432"/>
        <v>1</v>
      </c>
      <c r="M2002" s="97">
        <f t="shared" si="433"/>
        <v>0</v>
      </c>
      <c r="N2002" s="97" t="str">
        <f t="shared" si="434"/>
        <v>01</v>
      </c>
      <c r="O2002" s="100" t="str">
        <f t="shared" si="435"/>
        <v>00</v>
      </c>
      <c r="P2002" s="101"/>
      <c r="Q2002" s="102"/>
      <c r="R2002" s="103">
        <v>511</v>
      </c>
      <c r="S2002" s="102">
        <f t="shared" si="438"/>
        <v>0</v>
      </c>
      <c r="T2002" s="102"/>
      <c r="U2002" s="97"/>
      <c r="V2002" s="97"/>
      <c r="W2002" s="97"/>
    </row>
    <row r="2003" spans="1:23" hidden="1">
      <c r="J2003" s="1" t="str">
        <f t="shared" si="430"/>
        <v>0</v>
      </c>
      <c r="K2003" s="3">
        <f t="shared" si="431"/>
        <v>-100</v>
      </c>
      <c r="L2003" s="3">
        <f t="shared" si="432"/>
        <v>1</v>
      </c>
      <c r="M2003" s="3">
        <f t="shared" si="433"/>
        <v>0</v>
      </c>
      <c r="N2003" s="3" t="str">
        <f t="shared" si="434"/>
        <v>01</v>
      </c>
      <c r="O2003" s="14" t="str">
        <f t="shared" si="435"/>
        <v>00</v>
      </c>
      <c r="R2003" s="6">
        <v>511</v>
      </c>
      <c r="S2003" s="5">
        <f t="shared" si="438"/>
        <v>0</v>
      </c>
    </row>
    <row r="2004" spans="1:23" hidden="1">
      <c r="J2004" s="1" t="str">
        <f t="shared" si="430"/>
        <v>0</v>
      </c>
      <c r="K2004" s="3">
        <f t="shared" si="431"/>
        <v>-100</v>
      </c>
      <c r="L2004" s="3">
        <f t="shared" si="432"/>
        <v>1</v>
      </c>
      <c r="M2004" s="3">
        <f t="shared" si="433"/>
        <v>0</v>
      </c>
      <c r="N2004" s="3" t="str">
        <f t="shared" si="434"/>
        <v>01</v>
      </c>
      <c r="O2004" s="14" t="str">
        <f t="shared" si="435"/>
        <v>00</v>
      </c>
      <c r="R2004" s="6">
        <v>511</v>
      </c>
      <c r="S2004" s="5">
        <f t="shared" si="438"/>
        <v>0</v>
      </c>
    </row>
    <row r="2005" spans="1:23" hidden="1">
      <c r="J2005" s="1" t="str">
        <f t="shared" si="430"/>
        <v>0</v>
      </c>
      <c r="K2005" s="3">
        <f t="shared" si="431"/>
        <v>-100</v>
      </c>
      <c r="L2005" s="3">
        <f t="shared" si="432"/>
        <v>1</v>
      </c>
      <c r="M2005" s="3">
        <f t="shared" si="433"/>
        <v>0</v>
      </c>
      <c r="N2005" s="3" t="str">
        <f t="shared" si="434"/>
        <v>01</v>
      </c>
      <c r="O2005" s="14" t="str">
        <f t="shared" si="435"/>
        <v>00</v>
      </c>
      <c r="R2005" s="6">
        <v>511</v>
      </c>
      <c r="S2005" s="5">
        <f t="shared" si="438"/>
        <v>0</v>
      </c>
    </row>
    <row r="2006" spans="1:23" hidden="1">
      <c r="J2006" s="1" t="str">
        <f t="shared" si="430"/>
        <v>0</v>
      </c>
      <c r="K2006" s="3">
        <f t="shared" si="431"/>
        <v>-100</v>
      </c>
      <c r="L2006" s="3">
        <f t="shared" si="432"/>
        <v>1</v>
      </c>
      <c r="M2006" s="3">
        <f t="shared" si="433"/>
        <v>0</v>
      </c>
      <c r="N2006" s="3" t="str">
        <f t="shared" si="434"/>
        <v>01</v>
      </c>
      <c r="O2006" s="14" t="str">
        <f t="shared" si="435"/>
        <v>00</v>
      </c>
      <c r="R2006" s="6">
        <v>511</v>
      </c>
      <c r="S2006" s="5">
        <f t="shared" si="438"/>
        <v>0</v>
      </c>
    </row>
    <row r="2007" spans="1:23" hidden="1">
      <c r="J2007" s="1" t="str">
        <f t="shared" si="430"/>
        <v>0</v>
      </c>
      <c r="K2007" s="3">
        <f t="shared" si="431"/>
        <v>-100</v>
      </c>
      <c r="L2007" s="3">
        <f t="shared" si="432"/>
        <v>1</v>
      </c>
      <c r="M2007" s="3">
        <f t="shared" si="433"/>
        <v>0</v>
      </c>
      <c r="N2007" s="3" t="str">
        <f t="shared" si="434"/>
        <v>01</v>
      </c>
      <c r="O2007" s="14" t="str">
        <f t="shared" si="435"/>
        <v>00</v>
      </c>
      <c r="R2007" s="6">
        <v>511</v>
      </c>
      <c r="S2007" s="5">
        <f t="shared" si="438"/>
        <v>0</v>
      </c>
    </row>
    <row r="2008" spans="1:23" hidden="1">
      <c r="J2008" s="1" t="str">
        <f t="shared" si="430"/>
        <v>0</v>
      </c>
      <c r="K2008" s="3">
        <f t="shared" si="431"/>
        <v>-100</v>
      </c>
      <c r="L2008" s="3">
        <f t="shared" si="432"/>
        <v>1</v>
      </c>
      <c r="M2008" s="3">
        <f t="shared" si="433"/>
        <v>0</v>
      </c>
      <c r="N2008" s="3" t="str">
        <f t="shared" si="434"/>
        <v>01</v>
      </c>
      <c r="O2008" s="14" t="str">
        <f t="shared" si="435"/>
        <v>00</v>
      </c>
      <c r="R2008" s="6">
        <v>511</v>
      </c>
      <c r="S2008" s="5">
        <f t="shared" si="438"/>
        <v>0</v>
      </c>
    </row>
    <row r="2009" spans="1:23" hidden="1">
      <c r="J2009" s="1" t="str">
        <f t="shared" si="430"/>
        <v>0</v>
      </c>
      <c r="K2009" s="3">
        <f t="shared" si="431"/>
        <v>-100</v>
      </c>
      <c r="L2009" s="3">
        <f t="shared" si="432"/>
        <v>1</v>
      </c>
      <c r="M2009" s="3">
        <f t="shared" si="433"/>
        <v>0</v>
      </c>
      <c r="N2009" s="3" t="str">
        <f t="shared" si="434"/>
        <v>01</v>
      </c>
      <c r="O2009" s="14" t="str">
        <f t="shared" si="435"/>
        <v>00</v>
      </c>
      <c r="R2009" s="6">
        <v>511</v>
      </c>
      <c r="S2009" s="5">
        <f t="shared" si="438"/>
        <v>0</v>
      </c>
    </row>
    <row r="2010" spans="1:23">
      <c r="A2010" s="3">
        <v>1940</v>
      </c>
      <c r="B2010" s="1">
        <f>IF(G2010="-",0,IF(G2009=G2010,1,0))</f>
        <v>0</v>
      </c>
      <c r="C2010" s="1">
        <f>+IF(G2010="-",0,IF(I2010=I2009+1,0,(IF(I2010=1,0,1))))</f>
        <v>1</v>
      </c>
      <c r="D2010" s="1">
        <f>+IF(AND(P2010="",Q2010=""),1,0)</f>
        <v>0</v>
      </c>
      <c r="E2010" s="1">
        <f>IF(U2010="",1,0)</f>
        <v>1</v>
      </c>
      <c r="F2010" s="1">
        <f>IF(V2010="",1,0)</f>
        <v>0</v>
      </c>
      <c r="G2010" s="1" t="str">
        <f>IF(H2010=0,"-",_xlfn.CONCAT(K2010,N2010,O2010,J2010))</f>
        <v>24091418</v>
      </c>
      <c r="H2010" s="2">
        <v>45549</v>
      </c>
      <c r="I2010" s="36">
        <v>18</v>
      </c>
      <c r="J2010" s="1">
        <f t="shared" si="430"/>
        <v>18</v>
      </c>
      <c r="K2010" s="3">
        <f t="shared" si="431"/>
        <v>24</v>
      </c>
      <c r="L2010" s="3">
        <f t="shared" si="432"/>
        <v>9</v>
      </c>
      <c r="M2010" s="3">
        <f t="shared" si="433"/>
        <v>14</v>
      </c>
      <c r="N2010" s="3" t="str">
        <f t="shared" si="434"/>
        <v>09</v>
      </c>
      <c r="O2010" s="14">
        <f t="shared" si="435"/>
        <v>14</v>
      </c>
      <c r="P2010" s="125">
        <v>150000</v>
      </c>
      <c r="R2010" s="6">
        <v>511</v>
      </c>
      <c r="S2010" s="5">
        <f t="shared" si="438"/>
        <v>293.54207436399219</v>
      </c>
      <c r="T2010" s="28" t="s">
        <v>746</v>
      </c>
      <c r="V2010" s="3" t="s">
        <v>4</v>
      </c>
    </row>
    <row r="2011" spans="1:23" hidden="1">
      <c r="J2011" s="1" t="str">
        <f t="shared" si="430"/>
        <v>0</v>
      </c>
      <c r="K2011" s="3">
        <f t="shared" si="431"/>
        <v>-100</v>
      </c>
      <c r="L2011" s="3">
        <f t="shared" si="432"/>
        <v>1</v>
      </c>
      <c r="M2011" s="3">
        <f t="shared" si="433"/>
        <v>0</v>
      </c>
      <c r="N2011" s="3" t="str">
        <f t="shared" si="434"/>
        <v>01</v>
      </c>
      <c r="O2011" s="14" t="str">
        <f t="shared" si="435"/>
        <v>00</v>
      </c>
    </row>
    <row r="2012" spans="1:23" hidden="1">
      <c r="J2012" s="1" t="str">
        <f t="shared" si="430"/>
        <v>0</v>
      </c>
      <c r="K2012" s="3">
        <f t="shared" si="431"/>
        <v>-100</v>
      </c>
      <c r="L2012" s="3">
        <f t="shared" si="432"/>
        <v>1</v>
      </c>
      <c r="M2012" s="3">
        <f t="shared" si="433"/>
        <v>0</v>
      </c>
      <c r="N2012" s="3" t="str">
        <f t="shared" si="434"/>
        <v>01</v>
      </c>
      <c r="O2012" s="14" t="str">
        <f t="shared" si="435"/>
        <v>00</v>
      </c>
      <c r="R2012" s="6">
        <v>511</v>
      </c>
      <c r="S2012" s="5">
        <f>IFERROR(P2012/R2012,"")</f>
        <v>0</v>
      </c>
    </row>
    <row r="2013" spans="1:23" hidden="1">
      <c r="J2013" s="1" t="str">
        <f t="shared" si="430"/>
        <v>0</v>
      </c>
      <c r="K2013" s="3">
        <f t="shared" si="431"/>
        <v>-100</v>
      </c>
      <c r="L2013" s="3">
        <f t="shared" si="432"/>
        <v>1</v>
      </c>
      <c r="M2013" s="3">
        <f t="shared" si="433"/>
        <v>0</v>
      </c>
      <c r="N2013" s="3" t="str">
        <f t="shared" si="434"/>
        <v>01</v>
      </c>
      <c r="O2013" s="14" t="str">
        <f t="shared" si="435"/>
        <v>00</v>
      </c>
      <c r="R2013" s="6">
        <v>511</v>
      </c>
      <c r="S2013" s="5">
        <f>IFERROR(P2013/R2013,"")</f>
        <v>0</v>
      </c>
    </row>
    <row r="2014" spans="1:23" hidden="1">
      <c r="J2014" s="1" t="str">
        <f t="shared" si="430"/>
        <v>0</v>
      </c>
      <c r="K2014" s="3">
        <f t="shared" si="431"/>
        <v>-100</v>
      </c>
      <c r="L2014" s="3">
        <f t="shared" si="432"/>
        <v>1</v>
      </c>
      <c r="M2014" s="3">
        <f t="shared" si="433"/>
        <v>0</v>
      </c>
      <c r="N2014" s="3" t="str">
        <f t="shared" si="434"/>
        <v>01</v>
      </c>
      <c r="O2014" s="14" t="str">
        <f t="shared" si="435"/>
        <v>00</v>
      </c>
      <c r="R2014" s="6">
        <v>511</v>
      </c>
      <c r="S2014" s="5">
        <f>IFERROR(P2014/R2014,"")</f>
        <v>0</v>
      </c>
    </row>
    <row r="2015" spans="1:23" hidden="1">
      <c r="J2015" s="1" t="str">
        <f t="shared" si="430"/>
        <v>0</v>
      </c>
      <c r="K2015" s="3">
        <f t="shared" si="431"/>
        <v>-100</v>
      </c>
      <c r="L2015" s="3">
        <f t="shared" si="432"/>
        <v>1</v>
      </c>
      <c r="M2015" s="3">
        <f t="shared" si="433"/>
        <v>0</v>
      </c>
      <c r="N2015" s="3" t="str">
        <f t="shared" si="434"/>
        <v>01</v>
      </c>
      <c r="O2015" s="14" t="str">
        <f t="shared" si="435"/>
        <v>00</v>
      </c>
      <c r="R2015" s="6">
        <v>511</v>
      </c>
      <c r="S2015" s="5">
        <f>IFERROR(P2015/R2015,"")</f>
        <v>0</v>
      </c>
    </row>
    <row r="2016" spans="1:23" hidden="1">
      <c r="J2016" s="1" t="str">
        <f t="shared" si="430"/>
        <v>0</v>
      </c>
      <c r="K2016" s="3">
        <f t="shared" si="431"/>
        <v>-100</v>
      </c>
      <c r="L2016" s="3">
        <f t="shared" si="432"/>
        <v>1</v>
      </c>
      <c r="M2016" s="3">
        <f t="shared" si="433"/>
        <v>0</v>
      </c>
      <c r="N2016" s="3" t="str">
        <f t="shared" si="434"/>
        <v>01</v>
      </c>
      <c r="O2016" s="14" t="str">
        <f t="shared" si="435"/>
        <v>00</v>
      </c>
      <c r="R2016" s="6">
        <v>511</v>
      </c>
      <c r="S2016" s="5">
        <f>IFERROR(P2016/R2016,"")</f>
        <v>0</v>
      </c>
    </row>
    <row r="2017" spans="1:22" hidden="1">
      <c r="J2017" s="1" t="str">
        <f t="shared" si="430"/>
        <v>0</v>
      </c>
      <c r="K2017" s="3">
        <f t="shared" si="431"/>
        <v>-100</v>
      </c>
      <c r="L2017" s="3">
        <f t="shared" si="432"/>
        <v>1</v>
      </c>
      <c r="M2017" s="3">
        <f t="shared" si="433"/>
        <v>0</v>
      </c>
      <c r="N2017" s="3" t="str">
        <f t="shared" si="434"/>
        <v>01</v>
      </c>
      <c r="O2017" s="14" t="str">
        <f t="shared" si="435"/>
        <v>00</v>
      </c>
    </row>
    <row r="2018" spans="1:22" hidden="1">
      <c r="J2018" s="1" t="str">
        <f t="shared" si="430"/>
        <v>0</v>
      </c>
      <c r="K2018" s="3">
        <f t="shared" si="431"/>
        <v>-100</v>
      </c>
      <c r="L2018" s="3">
        <f t="shared" si="432"/>
        <v>1</v>
      </c>
      <c r="M2018" s="3">
        <f t="shared" si="433"/>
        <v>0</v>
      </c>
      <c r="N2018" s="3" t="str">
        <f t="shared" si="434"/>
        <v>01</v>
      </c>
      <c r="O2018" s="14" t="str">
        <f t="shared" si="435"/>
        <v>00</v>
      </c>
      <c r="R2018" s="6">
        <v>513</v>
      </c>
      <c r="S2018" s="5">
        <f t="shared" ref="S2018:S2023" si="439">IFERROR(P2018/R2018,"")</f>
        <v>0</v>
      </c>
    </row>
    <row r="2019" spans="1:22" hidden="1">
      <c r="J2019" s="1" t="str">
        <f t="shared" si="430"/>
        <v>0</v>
      </c>
      <c r="K2019" s="3">
        <f t="shared" si="431"/>
        <v>-100</v>
      </c>
      <c r="L2019" s="3">
        <f t="shared" si="432"/>
        <v>1</v>
      </c>
      <c r="M2019" s="3">
        <f t="shared" si="433"/>
        <v>0</v>
      </c>
      <c r="N2019" s="3" t="str">
        <f t="shared" si="434"/>
        <v>01</v>
      </c>
      <c r="O2019" s="14" t="str">
        <f t="shared" si="435"/>
        <v>00</v>
      </c>
      <c r="R2019" s="6">
        <v>513</v>
      </c>
      <c r="S2019" s="5">
        <f t="shared" si="439"/>
        <v>0</v>
      </c>
    </row>
    <row r="2020" spans="1:22" hidden="1">
      <c r="J2020" s="1" t="str">
        <f t="shared" si="430"/>
        <v>0</v>
      </c>
      <c r="K2020" s="3">
        <f t="shared" si="431"/>
        <v>-100</v>
      </c>
      <c r="L2020" s="3">
        <f t="shared" si="432"/>
        <v>1</v>
      </c>
      <c r="M2020" s="3">
        <f t="shared" si="433"/>
        <v>0</v>
      </c>
      <c r="N2020" s="3" t="str">
        <f t="shared" si="434"/>
        <v>01</v>
      </c>
      <c r="O2020" s="14" t="str">
        <f t="shared" si="435"/>
        <v>00</v>
      </c>
      <c r="R2020" s="6">
        <v>513</v>
      </c>
      <c r="S2020" s="5">
        <f t="shared" si="439"/>
        <v>0</v>
      </c>
    </row>
    <row r="2021" spans="1:22" hidden="1">
      <c r="J2021" s="1" t="str">
        <f t="shared" si="430"/>
        <v>0</v>
      </c>
      <c r="K2021" s="3">
        <f t="shared" si="431"/>
        <v>-100</v>
      </c>
      <c r="L2021" s="3">
        <f t="shared" si="432"/>
        <v>1</v>
      </c>
      <c r="M2021" s="3">
        <f t="shared" si="433"/>
        <v>0</v>
      </c>
      <c r="N2021" s="3" t="str">
        <f t="shared" si="434"/>
        <v>01</v>
      </c>
      <c r="O2021" s="14" t="str">
        <f t="shared" si="435"/>
        <v>00</v>
      </c>
      <c r="R2021" s="6">
        <v>513</v>
      </c>
      <c r="S2021" s="5">
        <f t="shared" si="439"/>
        <v>0</v>
      </c>
    </row>
    <row r="2022" spans="1:22" hidden="1">
      <c r="J2022" s="1" t="str">
        <f t="shared" si="430"/>
        <v>0</v>
      </c>
      <c r="K2022" s="3">
        <f t="shared" si="431"/>
        <v>-100</v>
      </c>
      <c r="L2022" s="3">
        <f t="shared" si="432"/>
        <v>1</v>
      </c>
      <c r="M2022" s="3">
        <f t="shared" si="433"/>
        <v>0</v>
      </c>
      <c r="N2022" s="3" t="str">
        <f t="shared" si="434"/>
        <v>01</v>
      </c>
      <c r="O2022" s="14" t="str">
        <f t="shared" si="435"/>
        <v>00</v>
      </c>
      <c r="R2022" s="6">
        <v>513</v>
      </c>
      <c r="S2022" s="5">
        <f t="shared" si="439"/>
        <v>0</v>
      </c>
    </row>
    <row r="2023" spans="1:22">
      <c r="A2023" s="3">
        <v>1941</v>
      </c>
      <c r="B2023" s="1">
        <f>IF(G2023="-",0,IF(G2022=G2023,1,0))</f>
        <v>0</v>
      </c>
      <c r="C2023" s="1">
        <f>+IF(G2023="-",0,IF(I2023=I2022+1,0,(IF(I2023=1,0,1))))</f>
        <v>1</v>
      </c>
      <c r="D2023" s="1">
        <f>+IF(AND(P2023="",Q2023=""),1,0)</f>
        <v>0</v>
      </c>
      <c r="E2023" s="1">
        <f>IF(U2023="",1,0)</f>
        <v>1</v>
      </c>
      <c r="F2023" s="1">
        <f>IF(V2023="",1,0)</f>
        <v>0</v>
      </c>
      <c r="G2023" s="1" t="str">
        <f>IF(H2023=0,"-",_xlfn.CONCAT(K2023,N2023,O2023,J2023))</f>
        <v>24091419</v>
      </c>
      <c r="H2023" s="2">
        <v>45549</v>
      </c>
      <c r="I2023" s="36">
        <v>19</v>
      </c>
      <c r="J2023" s="1">
        <f t="shared" si="430"/>
        <v>19</v>
      </c>
      <c r="K2023" s="3">
        <f t="shared" si="431"/>
        <v>24</v>
      </c>
      <c r="L2023" s="3">
        <f t="shared" si="432"/>
        <v>9</v>
      </c>
      <c r="M2023" s="3">
        <f t="shared" si="433"/>
        <v>14</v>
      </c>
      <c r="N2023" s="3" t="str">
        <f t="shared" si="434"/>
        <v>09</v>
      </c>
      <c r="O2023" s="14">
        <f t="shared" si="435"/>
        <v>14</v>
      </c>
      <c r="P2023" s="125">
        <v>108000</v>
      </c>
      <c r="R2023" s="6">
        <v>511</v>
      </c>
      <c r="S2023" s="5">
        <f t="shared" si="439"/>
        <v>211.35029354207435</v>
      </c>
      <c r="T2023" s="28" t="s">
        <v>748</v>
      </c>
      <c r="V2023" s="3" t="s">
        <v>4</v>
      </c>
    </row>
    <row r="2024" spans="1:22" hidden="1">
      <c r="J2024" s="1" t="str">
        <f t="shared" si="430"/>
        <v>0</v>
      </c>
      <c r="K2024" s="3">
        <f t="shared" si="431"/>
        <v>-100</v>
      </c>
      <c r="L2024" s="3">
        <f t="shared" si="432"/>
        <v>1</v>
      </c>
      <c r="M2024" s="3">
        <f t="shared" si="433"/>
        <v>0</v>
      </c>
      <c r="N2024" s="3" t="str">
        <f t="shared" si="434"/>
        <v>01</v>
      </c>
      <c r="O2024" s="14" t="str">
        <f t="shared" si="435"/>
        <v>00</v>
      </c>
    </row>
    <row r="2025" spans="1:22" hidden="1">
      <c r="J2025" s="1" t="str">
        <f t="shared" si="430"/>
        <v>0</v>
      </c>
      <c r="K2025" s="3">
        <f t="shared" si="431"/>
        <v>-100</v>
      </c>
      <c r="L2025" s="3">
        <f t="shared" si="432"/>
        <v>1</v>
      </c>
      <c r="M2025" s="3">
        <f t="shared" si="433"/>
        <v>0</v>
      </c>
      <c r="N2025" s="3" t="str">
        <f t="shared" si="434"/>
        <v>01</v>
      </c>
      <c r="O2025" s="14" t="str">
        <f t="shared" si="435"/>
        <v>00</v>
      </c>
      <c r="P2025" s="19"/>
      <c r="R2025" s="6">
        <v>513</v>
      </c>
      <c r="S2025" s="5">
        <f t="shared" ref="S2025:S2035" si="440">IFERROR(P2025/R2025,"")</f>
        <v>0</v>
      </c>
      <c r="T2025" s="3"/>
    </row>
    <row r="2026" spans="1:22" hidden="1">
      <c r="J2026" s="1" t="str">
        <f t="shared" si="430"/>
        <v>0</v>
      </c>
      <c r="K2026" s="3">
        <f t="shared" si="431"/>
        <v>-100</v>
      </c>
      <c r="L2026" s="3">
        <f t="shared" si="432"/>
        <v>1</v>
      </c>
      <c r="M2026" s="3">
        <f t="shared" si="433"/>
        <v>0</v>
      </c>
      <c r="N2026" s="3" t="str">
        <f t="shared" si="434"/>
        <v>01</v>
      </c>
      <c r="O2026" s="14" t="str">
        <f t="shared" si="435"/>
        <v>00</v>
      </c>
      <c r="P2026" s="19"/>
      <c r="R2026" s="6">
        <v>513</v>
      </c>
      <c r="S2026" s="5">
        <f t="shared" si="440"/>
        <v>0</v>
      </c>
      <c r="T2026" s="28"/>
    </row>
    <row r="2027" spans="1:22" hidden="1">
      <c r="J2027" s="1" t="str">
        <f t="shared" si="430"/>
        <v>0</v>
      </c>
      <c r="K2027" s="3">
        <f t="shared" si="431"/>
        <v>-100</v>
      </c>
      <c r="L2027" s="3">
        <f t="shared" si="432"/>
        <v>1</v>
      </c>
      <c r="M2027" s="3">
        <f t="shared" si="433"/>
        <v>0</v>
      </c>
      <c r="N2027" s="3" t="str">
        <f t="shared" si="434"/>
        <v>01</v>
      </c>
      <c r="O2027" s="14" t="str">
        <f t="shared" si="435"/>
        <v>00</v>
      </c>
      <c r="P2027" s="22"/>
      <c r="R2027" s="6">
        <v>513</v>
      </c>
      <c r="S2027" s="5">
        <f t="shared" si="440"/>
        <v>0</v>
      </c>
      <c r="T2027" s="28"/>
    </row>
    <row r="2028" spans="1:22" hidden="1">
      <c r="J2028" s="1" t="str">
        <f t="shared" si="430"/>
        <v>0</v>
      </c>
      <c r="K2028" s="3">
        <f t="shared" si="431"/>
        <v>-100</v>
      </c>
      <c r="L2028" s="3">
        <f t="shared" si="432"/>
        <v>1</v>
      </c>
      <c r="M2028" s="3">
        <f t="shared" si="433"/>
        <v>0</v>
      </c>
      <c r="N2028" s="3" t="str">
        <f t="shared" si="434"/>
        <v>01</v>
      </c>
      <c r="O2028" s="14" t="str">
        <f t="shared" si="435"/>
        <v>00</v>
      </c>
      <c r="P2028" s="22"/>
      <c r="R2028" s="6">
        <v>513</v>
      </c>
      <c r="S2028" s="5">
        <f t="shared" si="440"/>
        <v>0</v>
      </c>
      <c r="T2028" s="28"/>
    </row>
    <row r="2029" spans="1:22" hidden="1">
      <c r="J2029" s="1" t="str">
        <f t="shared" si="430"/>
        <v>0</v>
      </c>
      <c r="K2029" s="3">
        <f t="shared" si="431"/>
        <v>-100</v>
      </c>
      <c r="L2029" s="3">
        <f t="shared" si="432"/>
        <v>1</v>
      </c>
      <c r="M2029" s="3">
        <f t="shared" si="433"/>
        <v>0</v>
      </c>
      <c r="N2029" s="3" t="str">
        <f t="shared" si="434"/>
        <v>01</v>
      </c>
      <c r="O2029" s="14" t="str">
        <f t="shared" si="435"/>
        <v>00</v>
      </c>
      <c r="P2029" s="22"/>
      <c r="R2029" s="6">
        <v>513</v>
      </c>
      <c r="S2029" s="5">
        <f t="shared" si="440"/>
        <v>0</v>
      </c>
      <c r="T2029" s="28"/>
    </row>
    <row r="2030" spans="1:22" hidden="1">
      <c r="J2030" s="1" t="str">
        <f t="shared" si="430"/>
        <v>0</v>
      </c>
      <c r="K2030" s="3">
        <f t="shared" si="431"/>
        <v>-100</v>
      </c>
      <c r="L2030" s="3">
        <f t="shared" si="432"/>
        <v>1</v>
      </c>
      <c r="M2030" s="3">
        <f t="shared" si="433"/>
        <v>0</v>
      </c>
      <c r="N2030" s="3" t="str">
        <f t="shared" si="434"/>
        <v>01</v>
      </c>
      <c r="O2030" s="14" t="str">
        <f t="shared" si="435"/>
        <v>00</v>
      </c>
      <c r="P2030" s="29"/>
      <c r="R2030" s="6">
        <v>513</v>
      </c>
      <c r="S2030" s="5">
        <f t="shared" si="440"/>
        <v>0</v>
      </c>
      <c r="T2030" s="28"/>
    </row>
    <row r="2031" spans="1:22">
      <c r="A2031" s="3">
        <v>1942</v>
      </c>
      <c r="B2031" s="1">
        <f>IF(G2031="-",0,IF(G2030=G2031,1,0))</f>
        <v>0</v>
      </c>
      <c r="C2031" s="1">
        <f>+IF(G2031="-",0,IF(I2031=I2030+1,0,(IF(I2031=1,0,1))))</f>
        <v>1</v>
      </c>
      <c r="D2031" s="1">
        <f>+IF(AND(P2031="",Q2031=""),1,0)</f>
        <v>0</v>
      </c>
      <c r="E2031" s="1">
        <f t="shared" ref="E2031:F2033" si="441">IF(U2031="",1,0)</f>
        <v>1</v>
      </c>
      <c r="F2031" s="1">
        <f t="shared" si="441"/>
        <v>0</v>
      </c>
      <c r="G2031" s="1" t="str">
        <f>IF(H2031=0,"-",_xlfn.CONCAT(K2031,N2031,O2031,J2031))</f>
        <v>24091420</v>
      </c>
      <c r="H2031" s="2">
        <v>45549</v>
      </c>
      <c r="I2031" s="36">
        <v>20</v>
      </c>
      <c r="J2031" s="1">
        <f t="shared" si="430"/>
        <v>20</v>
      </c>
      <c r="K2031" s="3">
        <f t="shared" si="431"/>
        <v>24</v>
      </c>
      <c r="L2031" s="3">
        <f t="shared" si="432"/>
        <v>9</v>
      </c>
      <c r="M2031" s="3">
        <f t="shared" si="433"/>
        <v>14</v>
      </c>
      <c r="N2031" s="3" t="str">
        <f t="shared" si="434"/>
        <v>09</v>
      </c>
      <c r="O2031" s="14">
        <f t="shared" si="435"/>
        <v>14</v>
      </c>
      <c r="P2031" s="125">
        <v>108000</v>
      </c>
      <c r="R2031" s="6">
        <v>511</v>
      </c>
      <c r="S2031" s="5">
        <f t="shared" si="440"/>
        <v>211.35029354207435</v>
      </c>
      <c r="T2031" s="28" t="s">
        <v>745</v>
      </c>
      <c r="V2031" s="3" t="s">
        <v>4</v>
      </c>
    </row>
    <row r="2032" spans="1:22">
      <c r="A2032" s="3">
        <v>1943</v>
      </c>
      <c r="B2032" s="1">
        <f>IF(G2032="-",0,IF(G2031=G2032,1,0))</f>
        <v>0</v>
      </c>
      <c r="C2032" s="1">
        <f>+IF(G2032="-",0,IF(I2032=I2031+1,0,(IF(I2032=1,0,1))))</f>
        <v>0</v>
      </c>
      <c r="D2032" s="1">
        <f>+IF(AND(P2032="",Q2032=""),1,0)</f>
        <v>0</v>
      </c>
      <c r="E2032" s="1">
        <f t="shared" si="441"/>
        <v>1</v>
      </c>
      <c r="F2032" s="1">
        <f t="shared" si="441"/>
        <v>0</v>
      </c>
      <c r="G2032" s="1" t="str">
        <f>IF(H2032=0,"-",_xlfn.CONCAT(K2032,N2032,O2032,J2032))</f>
        <v>24091421</v>
      </c>
      <c r="H2032" s="2">
        <v>45549</v>
      </c>
      <c r="I2032" s="36">
        <v>21</v>
      </c>
      <c r="J2032" s="1">
        <f t="shared" si="430"/>
        <v>21</v>
      </c>
      <c r="K2032" s="3">
        <f t="shared" si="431"/>
        <v>24</v>
      </c>
      <c r="L2032" s="3">
        <f t="shared" si="432"/>
        <v>9</v>
      </c>
      <c r="M2032" s="3">
        <f t="shared" si="433"/>
        <v>14</v>
      </c>
      <c r="N2032" s="3" t="str">
        <f t="shared" si="434"/>
        <v>09</v>
      </c>
      <c r="O2032" s="14">
        <f t="shared" si="435"/>
        <v>14</v>
      </c>
      <c r="P2032" s="125">
        <v>132000</v>
      </c>
      <c r="R2032" s="6">
        <v>511</v>
      </c>
      <c r="S2032" s="5">
        <f t="shared" si="440"/>
        <v>258.3170254403131</v>
      </c>
      <c r="T2032" s="28" t="s">
        <v>743</v>
      </c>
      <c r="V2032" s="3" t="s">
        <v>4</v>
      </c>
    </row>
    <row r="2033" spans="1:23">
      <c r="A2033" s="3">
        <v>1944</v>
      </c>
      <c r="B2033" s="1">
        <f>IF(G2033="-",0,IF(G2032=G2033,1,0))</f>
        <v>0</v>
      </c>
      <c r="C2033" s="1">
        <f>+IF(G2033="-",0,IF(I2033=I2032+1,0,(IF(I2033=1,0,1))))</f>
        <v>0</v>
      </c>
      <c r="D2033" s="1">
        <f>+IF(AND(P2033="",Q2033=""),1,0)</f>
        <v>0</v>
      </c>
      <c r="E2033" s="1">
        <f t="shared" si="441"/>
        <v>1</v>
      </c>
      <c r="F2033" s="1">
        <f t="shared" si="441"/>
        <v>0</v>
      </c>
      <c r="G2033" s="1" t="str">
        <f>IF(H2033=0,"-",_xlfn.CONCAT(K2033,N2033,O2033,J2033))</f>
        <v>24091422</v>
      </c>
      <c r="H2033" s="2">
        <v>45549</v>
      </c>
      <c r="I2033" s="36">
        <v>22</v>
      </c>
      <c r="J2033" s="1">
        <f t="shared" si="430"/>
        <v>22</v>
      </c>
      <c r="K2033" s="3">
        <f t="shared" si="431"/>
        <v>24</v>
      </c>
      <c r="L2033" s="3">
        <f t="shared" si="432"/>
        <v>9</v>
      </c>
      <c r="M2033" s="3">
        <f t="shared" si="433"/>
        <v>14</v>
      </c>
      <c r="N2033" s="3" t="str">
        <f t="shared" si="434"/>
        <v>09</v>
      </c>
      <c r="O2033" s="14">
        <f t="shared" si="435"/>
        <v>14</v>
      </c>
      <c r="P2033" s="125">
        <v>108000</v>
      </c>
      <c r="R2033" s="6">
        <v>511</v>
      </c>
      <c r="S2033" s="5">
        <f t="shared" si="440"/>
        <v>211.35029354207435</v>
      </c>
      <c r="T2033" s="28" t="s">
        <v>754</v>
      </c>
      <c r="V2033" s="3" t="s">
        <v>4</v>
      </c>
    </row>
    <row r="2034" spans="1:23" hidden="1">
      <c r="J2034" s="1" t="str">
        <f t="shared" ref="J2034:J2097" si="442">+IF(I2034&lt;10,_xlfn.CONCAT("0",I2034),I2034)</f>
        <v>0</v>
      </c>
      <c r="K2034" s="3">
        <f t="shared" ref="K2034:K2097" si="443">+YEAR(H2034)-2000</f>
        <v>-100</v>
      </c>
      <c r="L2034" s="3">
        <f t="shared" ref="L2034:L2097" si="444">+MONTH(H2034)</f>
        <v>1</v>
      </c>
      <c r="M2034" s="3">
        <f t="shared" ref="M2034:M2097" si="445">+DAY(H2034)</f>
        <v>0</v>
      </c>
      <c r="N2034" s="3" t="str">
        <f t="shared" ref="N2034:N2097" si="446">+IF(L2034&lt;10,_xlfn.CONCAT("0",L2034),L2034)</f>
        <v>01</v>
      </c>
      <c r="O2034" s="14" t="str">
        <f t="shared" ref="O2034:O2097" si="447">+IF(M2034&lt;10,_xlfn.CONCAT("0",M2034),M2034)</f>
        <v>00</v>
      </c>
      <c r="P2034" s="29"/>
      <c r="R2034" s="6">
        <v>513</v>
      </c>
      <c r="S2034" s="5">
        <f t="shared" si="440"/>
        <v>0</v>
      </c>
      <c r="T2034" s="28"/>
    </row>
    <row r="2035" spans="1:23" hidden="1">
      <c r="J2035" s="1" t="str">
        <f t="shared" si="442"/>
        <v>0</v>
      </c>
      <c r="K2035" s="3">
        <f t="shared" si="443"/>
        <v>-100</v>
      </c>
      <c r="L2035" s="3">
        <f t="shared" si="444"/>
        <v>1</v>
      </c>
      <c r="M2035" s="3">
        <f t="shared" si="445"/>
        <v>0</v>
      </c>
      <c r="N2035" s="3" t="str">
        <f t="shared" si="446"/>
        <v>01</v>
      </c>
      <c r="O2035" s="14" t="str">
        <f t="shared" si="447"/>
        <v>00</v>
      </c>
      <c r="P2035" s="127"/>
      <c r="R2035" s="6">
        <v>513</v>
      </c>
      <c r="S2035" s="5">
        <f t="shared" si="440"/>
        <v>0</v>
      </c>
      <c r="T2035" s="28"/>
    </row>
    <row r="2036" spans="1:23">
      <c r="A2036" s="3">
        <v>1951</v>
      </c>
      <c r="B2036" s="1">
        <f>IF(G2036="-",0,IF(G2035=G2036,1,0))</f>
        <v>0</v>
      </c>
      <c r="C2036" s="1">
        <f>+IF(G2036="-",0,IF(I2036=I2035+1,0,(IF(I2036=1,0,1))))</f>
        <v>1</v>
      </c>
      <c r="D2036" s="1">
        <f>+IF(AND(P2036="",Q2036=""),1,0)</f>
        <v>0</v>
      </c>
      <c r="E2036" s="1">
        <f t="shared" ref="E2036:F2040" si="448">IF(U2036="",1,0)</f>
        <v>0</v>
      </c>
      <c r="F2036" s="1">
        <f t="shared" si="448"/>
        <v>0</v>
      </c>
      <c r="G2036" s="1" t="str">
        <f>IF(H2036=0,"-",_xlfn.CONCAT(K2036,N2036,O2036,J2036))</f>
        <v>24091429</v>
      </c>
      <c r="H2036" s="2">
        <v>45549</v>
      </c>
      <c r="I2036" s="36">
        <v>29</v>
      </c>
      <c r="J2036" s="1">
        <f t="shared" si="442"/>
        <v>29</v>
      </c>
      <c r="K2036" s="3">
        <f t="shared" si="443"/>
        <v>24</v>
      </c>
      <c r="L2036" s="3">
        <f t="shared" si="444"/>
        <v>9</v>
      </c>
      <c r="M2036" s="3">
        <f t="shared" si="445"/>
        <v>14</v>
      </c>
      <c r="N2036" s="3" t="str">
        <f t="shared" si="446"/>
        <v>09</v>
      </c>
      <c r="O2036" s="14">
        <f t="shared" si="447"/>
        <v>14</v>
      </c>
      <c r="P2036" s="4">
        <v>18248.13</v>
      </c>
      <c r="T2036" s="5" t="s">
        <v>1185</v>
      </c>
      <c r="U2036" s="3" t="s">
        <v>29</v>
      </c>
      <c r="V2036" s="3" t="s">
        <v>4</v>
      </c>
    </row>
    <row r="2037" spans="1:23">
      <c r="A2037" s="3">
        <v>1982</v>
      </c>
      <c r="B2037" s="1">
        <f>IF(G2037="-",0,IF(G2036=G2037,1,0))</f>
        <v>0</v>
      </c>
      <c r="C2037" s="1">
        <f>+IF(G2037="-",0,IF(I2037=I2036+1,0,(IF(I2037=1,0,1))))</f>
        <v>1</v>
      </c>
      <c r="D2037" s="1">
        <f>+IF(AND(P2037="",Q2037=""),1,0)</f>
        <v>0</v>
      </c>
      <c r="E2037" s="1">
        <f t="shared" si="448"/>
        <v>0</v>
      </c>
      <c r="F2037" s="1">
        <f t="shared" si="448"/>
        <v>0</v>
      </c>
      <c r="G2037" s="1" t="str">
        <f>IF(H2037=0,"-",_xlfn.CONCAT(K2037,N2037,O2037,J2037))</f>
        <v>24091710</v>
      </c>
      <c r="H2037" s="2">
        <v>45552</v>
      </c>
      <c r="I2037" s="36">
        <v>10</v>
      </c>
      <c r="J2037" s="1">
        <f t="shared" si="442"/>
        <v>10</v>
      </c>
      <c r="K2037" s="3">
        <f t="shared" si="443"/>
        <v>24</v>
      </c>
      <c r="L2037" s="3">
        <f t="shared" si="444"/>
        <v>9</v>
      </c>
      <c r="M2037" s="3">
        <f t="shared" si="445"/>
        <v>17</v>
      </c>
      <c r="N2037" s="3" t="str">
        <f t="shared" si="446"/>
        <v>09</v>
      </c>
      <c r="O2037" s="14">
        <f t="shared" si="447"/>
        <v>17</v>
      </c>
      <c r="P2037" s="4">
        <v>40634.69</v>
      </c>
      <c r="T2037" s="5" t="s">
        <v>1179</v>
      </c>
      <c r="U2037" s="3" t="s">
        <v>29</v>
      </c>
      <c r="V2037" s="3" t="s">
        <v>4</v>
      </c>
    </row>
    <row r="2038" spans="1:23">
      <c r="A2038" s="3">
        <v>1993</v>
      </c>
      <c r="B2038" s="1">
        <f>IF(G2038="-",0,IF(G2037=G2038,1,0))</f>
        <v>0</v>
      </c>
      <c r="C2038" s="1">
        <f>+IF(G2038="-",0,IF(I2038=I2037+1,0,(IF(I2038=1,0,1))))</f>
        <v>1</v>
      </c>
      <c r="D2038" s="1">
        <f>+IF(AND(P2038="",Q2038=""),1,0)</f>
        <v>0</v>
      </c>
      <c r="E2038" s="1">
        <f t="shared" si="448"/>
        <v>0</v>
      </c>
      <c r="F2038" s="1">
        <f t="shared" si="448"/>
        <v>0</v>
      </c>
      <c r="G2038" s="1" t="str">
        <f>IF(H2038=0,"-",_xlfn.CONCAT(K2038,N2038,O2038,J2038))</f>
        <v>24091808</v>
      </c>
      <c r="H2038" s="2">
        <v>45553</v>
      </c>
      <c r="I2038" s="36">
        <v>8</v>
      </c>
      <c r="J2038" s="1" t="str">
        <f t="shared" si="442"/>
        <v>08</v>
      </c>
      <c r="K2038" s="3">
        <f t="shared" si="443"/>
        <v>24</v>
      </c>
      <c r="L2038" s="3">
        <f t="shared" si="444"/>
        <v>9</v>
      </c>
      <c r="M2038" s="3">
        <f t="shared" si="445"/>
        <v>18</v>
      </c>
      <c r="N2038" s="3" t="str">
        <f t="shared" si="446"/>
        <v>09</v>
      </c>
      <c r="O2038" s="14">
        <f t="shared" si="447"/>
        <v>18</v>
      </c>
      <c r="P2038" s="4">
        <v>6063.02</v>
      </c>
      <c r="T2038" s="5" t="s">
        <v>1173</v>
      </c>
      <c r="U2038" s="3" t="s">
        <v>29</v>
      </c>
      <c r="V2038" s="3" t="s">
        <v>4</v>
      </c>
    </row>
    <row r="2039" spans="1:23">
      <c r="A2039" s="3">
        <v>2006</v>
      </c>
      <c r="B2039" s="1">
        <f>IF(G2039="-",0,IF(G2038=G2039,1,0))</f>
        <v>0</v>
      </c>
      <c r="C2039" s="1">
        <f>+IF(G2039="-",0,IF(I2039=I2038+1,0,(IF(I2039=1,0,1))))</f>
        <v>1</v>
      </c>
      <c r="D2039" s="1">
        <f>+IF(AND(P2039="",Q2039=""),1,0)</f>
        <v>0</v>
      </c>
      <c r="E2039" s="1">
        <f t="shared" si="448"/>
        <v>0</v>
      </c>
      <c r="F2039" s="1">
        <f t="shared" si="448"/>
        <v>0</v>
      </c>
      <c r="G2039" s="1" t="str">
        <f>IF(H2039=0,"-",_xlfn.CONCAT(K2039,N2039,O2039,J2039))</f>
        <v>24092006</v>
      </c>
      <c r="H2039" s="2">
        <v>45555</v>
      </c>
      <c r="I2039" s="36">
        <v>6</v>
      </c>
      <c r="J2039" s="1" t="str">
        <f t="shared" si="442"/>
        <v>06</v>
      </c>
      <c r="K2039" s="3">
        <f t="shared" si="443"/>
        <v>24</v>
      </c>
      <c r="L2039" s="3">
        <f t="shared" si="444"/>
        <v>9</v>
      </c>
      <c r="M2039" s="3">
        <f t="shared" si="445"/>
        <v>20</v>
      </c>
      <c r="N2039" s="3" t="str">
        <f t="shared" si="446"/>
        <v>09</v>
      </c>
      <c r="O2039" s="14">
        <f t="shared" si="447"/>
        <v>20</v>
      </c>
      <c r="P2039" s="4">
        <v>27722.21</v>
      </c>
      <c r="T2039" s="5" t="s">
        <v>1186</v>
      </c>
      <c r="U2039" s="3" t="s">
        <v>29</v>
      </c>
      <c r="V2039" s="3" t="s">
        <v>4</v>
      </c>
    </row>
    <row r="2040" spans="1:23">
      <c r="A2040" s="3">
        <v>2014</v>
      </c>
      <c r="B2040" s="1">
        <f>IF(G2040="-",0,IF(G2039=G2040,1,0))</f>
        <v>0</v>
      </c>
      <c r="C2040" s="1">
        <f>+IF(G2040="-",0,IF(I2040=I2039+1,0,(IF(I2040=1,0,1))))</f>
        <v>0</v>
      </c>
      <c r="D2040" s="1">
        <f>+IF(AND(P2040="",Q2040=""),1,0)</f>
        <v>0</v>
      </c>
      <c r="E2040" s="1">
        <f t="shared" si="448"/>
        <v>1</v>
      </c>
      <c r="F2040" s="1">
        <f t="shared" si="448"/>
        <v>0</v>
      </c>
      <c r="G2040" s="1" t="str">
        <f>IF(H2040=0,"-",_xlfn.CONCAT(K2040,N2040,O2040,J2040))</f>
        <v>24092107</v>
      </c>
      <c r="H2040" s="2">
        <v>45556</v>
      </c>
      <c r="I2040" s="36">
        <v>7</v>
      </c>
      <c r="J2040" s="1" t="str">
        <f t="shared" si="442"/>
        <v>07</v>
      </c>
      <c r="K2040" s="3">
        <f t="shared" si="443"/>
        <v>24</v>
      </c>
      <c r="L2040" s="3">
        <f t="shared" si="444"/>
        <v>9</v>
      </c>
      <c r="M2040" s="3">
        <f t="shared" si="445"/>
        <v>21</v>
      </c>
      <c r="N2040" s="3" t="str">
        <f t="shared" si="446"/>
        <v>09</v>
      </c>
      <c r="O2040" s="14">
        <f t="shared" si="447"/>
        <v>21</v>
      </c>
      <c r="P2040" s="29">
        <v>136000</v>
      </c>
      <c r="R2040" s="6">
        <v>513</v>
      </c>
      <c r="S2040" s="5">
        <f t="shared" ref="S2040:S2061" si="449">IFERROR(P2040/R2040,"")</f>
        <v>265.1072124756335</v>
      </c>
      <c r="T2040" s="28" t="s">
        <v>794</v>
      </c>
      <c r="V2040" s="3" t="s">
        <v>4</v>
      </c>
      <c r="W2040" s="3" t="s">
        <v>813</v>
      </c>
    </row>
    <row r="2041" spans="1:23" hidden="1">
      <c r="J2041" s="1" t="str">
        <f t="shared" si="442"/>
        <v>0</v>
      </c>
      <c r="K2041" s="3">
        <f t="shared" si="443"/>
        <v>-100</v>
      </c>
      <c r="L2041" s="3">
        <f t="shared" si="444"/>
        <v>1</v>
      </c>
      <c r="M2041" s="3">
        <f t="shared" si="445"/>
        <v>0</v>
      </c>
      <c r="N2041" s="3" t="str">
        <f t="shared" si="446"/>
        <v>01</v>
      </c>
      <c r="O2041" s="14" t="str">
        <f t="shared" si="447"/>
        <v>00</v>
      </c>
      <c r="P2041" s="127"/>
      <c r="R2041" s="6">
        <v>513</v>
      </c>
      <c r="S2041" s="5">
        <f t="shared" si="449"/>
        <v>0</v>
      </c>
      <c r="T2041" s="28"/>
    </row>
    <row r="2042" spans="1:23" hidden="1">
      <c r="J2042" s="1" t="str">
        <f t="shared" si="442"/>
        <v>0</v>
      </c>
      <c r="K2042" s="3">
        <f t="shared" si="443"/>
        <v>-100</v>
      </c>
      <c r="L2042" s="3">
        <f t="shared" si="444"/>
        <v>1</v>
      </c>
      <c r="M2042" s="3">
        <f t="shared" si="445"/>
        <v>0</v>
      </c>
      <c r="N2042" s="3" t="str">
        <f t="shared" si="446"/>
        <v>01</v>
      </c>
      <c r="O2042" s="14" t="str">
        <f t="shared" si="447"/>
        <v>00</v>
      </c>
      <c r="P2042" s="127"/>
      <c r="R2042" s="6">
        <v>513</v>
      </c>
      <c r="S2042" s="5">
        <f t="shared" si="449"/>
        <v>0</v>
      </c>
      <c r="T2042" s="28"/>
    </row>
    <row r="2043" spans="1:23" hidden="1">
      <c r="J2043" s="1" t="str">
        <f t="shared" si="442"/>
        <v>0</v>
      </c>
      <c r="K2043" s="3">
        <f t="shared" si="443"/>
        <v>-100</v>
      </c>
      <c r="L2043" s="3">
        <f t="shared" si="444"/>
        <v>1</v>
      </c>
      <c r="M2043" s="3">
        <f t="shared" si="445"/>
        <v>0</v>
      </c>
      <c r="N2043" s="3" t="str">
        <f t="shared" si="446"/>
        <v>01</v>
      </c>
      <c r="O2043" s="14" t="str">
        <f t="shared" si="447"/>
        <v>00</v>
      </c>
      <c r="P2043" s="127"/>
      <c r="R2043" s="6">
        <v>513</v>
      </c>
      <c r="S2043" s="5">
        <f t="shared" si="449"/>
        <v>0</v>
      </c>
      <c r="T2043" s="28"/>
    </row>
    <row r="2044" spans="1:23" hidden="1">
      <c r="J2044" s="1" t="str">
        <f t="shared" si="442"/>
        <v>0</v>
      </c>
      <c r="K2044" s="3">
        <f t="shared" si="443"/>
        <v>-100</v>
      </c>
      <c r="L2044" s="3">
        <f t="shared" si="444"/>
        <v>1</v>
      </c>
      <c r="M2044" s="3">
        <f t="shared" si="445"/>
        <v>0</v>
      </c>
      <c r="N2044" s="3" t="str">
        <f t="shared" si="446"/>
        <v>01</v>
      </c>
      <c r="O2044" s="14" t="str">
        <f t="shared" si="447"/>
        <v>00</v>
      </c>
      <c r="P2044" s="127"/>
      <c r="R2044" s="6">
        <v>513</v>
      </c>
      <c r="S2044" s="5">
        <f t="shared" si="449"/>
        <v>0</v>
      </c>
      <c r="T2044" s="28"/>
    </row>
    <row r="2045" spans="1:23" hidden="1">
      <c r="J2045" s="1" t="str">
        <f t="shared" si="442"/>
        <v>0</v>
      </c>
      <c r="K2045" s="3">
        <f t="shared" si="443"/>
        <v>-100</v>
      </c>
      <c r="L2045" s="3">
        <f t="shared" si="444"/>
        <v>1</v>
      </c>
      <c r="M2045" s="3">
        <f t="shared" si="445"/>
        <v>0</v>
      </c>
      <c r="N2045" s="3" t="str">
        <f t="shared" si="446"/>
        <v>01</v>
      </c>
      <c r="O2045" s="14" t="str">
        <f t="shared" si="447"/>
        <v>00</v>
      </c>
      <c r="P2045" s="127"/>
      <c r="R2045" s="6">
        <v>513</v>
      </c>
      <c r="S2045" s="5">
        <f t="shared" si="449"/>
        <v>0</v>
      </c>
      <c r="T2045" s="28"/>
    </row>
    <row r="2046" spans="1:23" hidden="1">
      <c r="J2046" s="1" t="str">
        <f t="shared" si="442"/>
        <v>0</v>
      </c>
      <c r="K2046" s="3">
        <f t="shared" si="443"/>
        <v>-100</v>
      </c>
      <c r="L2046" s="3">
        <f t="shared" si="444"/>
        <v>1</v>
      </c>
      <c r="M2046" s="3">
        <f t="shared" si="445"/>
        <v>0</v>
      </c>
      <c r="N2046" s="3" t="str">
        <f t="shared" si="446"/>
        <v>01</v>
      </c>
      <c r="O2046" s="14" t="str">
        <f t="shared" si="447"/>
        <v>00</v>
      </c>
      <c r="P2046" s="33"/>
      <c r="R2046" s="6">
        <v>513</v>
      </c>
      <c r="S2046" s="5">
        <f t="shared" si="449"/>
        <v>0</v>
      </c>
      <c r="T2046" s="28"/>
    </row>
    <row r="2047" spans="1:23" hidden="1">
      <c r="J2047" s="1" t="str">
        <f t="shared" si="442"/>
        <v>0</v>
      </c>
      <c r="K2047" s="3">
        <f t="shared" si="443"/>
        <v>-100</v>
      </c>
      <c r="L2047" s="3">
        <f t="shared" si="444"/>
        <v>1</v>
      </c>
      <c r="M2047" s="3">
        <f t="shared" si="445"/>
        <v>0</v>
      </c>
      <c r="N2047" s="3" t="str">
        <f t="shared" si="446"/>
        <v>01</v>
      </c>
      <c r="O2047" s="14" t="str">
        <f t="shared" si="447"/>
        <v>00</v>
      </c>
      <c r="P2047" s="33"/>
      <c r="R2047" s="6">
        <v>513</v>
      </c>
      <c r="S2047" s="5">
        <f t="shared" si="449"/>
        <v>0</v>
      </c>
      <c r="T2047" s="28"/>
    </row>
    <row r="2048" spans="1:23" hidden="1">
      <c r="J2048" s="1" t="str">
        <f t="shared" si="442"/>
        <v>0</v>
      </c>
      <c r="K2048" s="3">
        <f t="shared" si="443"/>
        <v>-100</v>
      </c>
      <c r="L2048" s="3">
        <f t="shared" si="444"/>
        <v>1</v>
      </c>
      <c r="M2048" s="3">
        <f t="shared" si="445"/>
        <v>0</v>
      </c>
      <c r="N2048" s="3" t="str">
        <f t="shared" si="446"/>
        <v>01</v>
      </c>
      <c r="O2048" s="14" t="str">
        <f t="shared" si="447"/>
        <v>00</v>
      </c>
      <c r="R2048" s="6">
        <v>513</v>
      </c>
      <c r="S2048" s="5">
        <f t="shared" si="449"/>
        <v>0</v>
      </c>
    </row>
    <row r="2049" spans="10:20" hidden="1">
      <c r="J2049" s="1" t="str">
        <f t="shared" si="442"/>
        <v>0</v>
      </c>
      <c r="K2049" s="3">
        <f t="shared" si="443"/>
        <v>-100</v>
      </c>
      <c r="L2049" s="3">
        <f t="shared" si="444"/>
        <v>1</v>
      </c>
      <c r="M2049" s="3">
        <f t="shared" si="445"/>
        <v>0</v>
      </c>
      <c r="N2049" s="3" t="str">
        <f t="shared" si="446"/>
        <v>01</v>
      </c>
      <c r="O2049" s="14" t="str">
        <f t="shared" si="447"/>
        <v>00</v>
      </c>
      <c r="R2049" s="6">
        <v>513</v>
      </c>
      <c r="S2049" s="5">
        <f t="shared" si="449"/>
        <v>0</v>
      </c>
    </row>
    <row r="2050" spans="10:20" hidden="1">
      <c r="J2050" s="1" t="str">
        <f t="shared" si="442"/>
        <v>0</v>
      </c>
      <c r="K2050" s="3">
        <f t="shared" si="443"/>
        <v>-100</v>
      </c>
      <c r="L2050" s="3">
        <f t="shared" si="444"/>
        <v>1</v>
      </c>
      <c r="M2050" s="3">
        <f t="shared" si="445"/>
        <v>0</v>
      </c>
      <c r="N2050" s="3" t="str">
        <f t="shared" si="446"/>
        <v>01</v>
      </c>
      <c r="O2050" s="14" t="str">
        <f t="shared" si="447"/>
        <v>00</v>
      </c>
      <c r="P2050" s="26"/>
      <c r="R2050" s="6">
        <v>513</v>
      </c>
      <c r="S2050" s="5">
        <f t="shared" si="449"/>
        <v>0</v>
      </c>
      <c r="T2050" s="72"/>
    </row>
    <row r="2051" spans="10:20" hidden="1">
      <c r="J2051" s="1" t="str">
        <f t="shared" si="442"/>
        <v>0</v>
      </c>
      <c r="K2051" s="3">
        <f t="shared" si="443"/>
        <v>-100</v>
      </c>
      <c r="L2051" s="3">
        <f t="shared" si="444"/>
        <v>1</v>
      </c>
      <c r="M2051" s="3">
        <f t="shared" si="445"/>
        <v>0</v>
      </c>
      <c r="N2051" s="3" t="str">
        <f t="shared" si="446"/>
        <v>01</v>
      </c>
      <c r="O2051" s="14" t="str">
        <f t="shared" si="447"/>
        <v>00</v>
      </c>
      <c r="R2051" s="6">
        <v>513</v>
      </c>
      <c r="S2051" s="5">
        <f t="shared" si="449"/>
        <v>0</v>
      </c>
    </row>
    <row r="2052" spans="10:20" hidden="1">
      <c r="J2052" s="1" t="str">
        <f t="shared" si="442"/>
        <v>0</v>
      </c>
      <c r="K2052" s="3">
        <f t="shared" si="443"/>
        <v>-100</v>
      </c>
      <c r="L2052" s="3">
        <f t="shared" si="444"/>
        <v>1</v>
      </c>
      <c r="M2052" s="3">
        <f t="shared" si="445"/>
        <v>0</v>
      </c>
      <c r="N2052" s="3" t="str">
        <f t="shared" si="446"/>
        <v>01</v>
      </c>
      <c r="O2052" s="14" t="str">
        <f t="shared" si="447"/>
        <v>00</v>
      </c>
      <c r="R2052" s="6">
        <v>513</v>
      </c>
      <c r="S2052" s="5">
        <f t="shared" si="449"/>
        <v>0</v>
      </c>
    </row>
    <row r="2053" spans="10:20" hidden="1">
      <c r="J2053" s="1" t="str">
        <f t="shared" si="442"/>
        <v>0</v>
      </c>
      <c r="K2053" s="3">
        <f t="shared" si="443"/>
        <v>-100</v>
      </c>
      <c r="L2053" s="3">
        <f t="shared" si="444"/>
        <v>1</v>
      </c>
      <c r="M2053" s="3">
        <f t="shared" si="445"/>
        <v>0</v>
      </c>
      <c r="N2053" s="3" t="str">
        <f t="shared" si="446"/>
        <v>01</v>
      </c>
      <c r="O2053" s="14" t="str">
        <f t="shared" si="447"/>
        <v>00</v>
      </c>
      <c r="R2053" s="6">
        <v>513</v>
      </c>
      <c r="S2053" s="5">
        <f t="shared" si="449"/>
        <v>0</v>
      </c>
    </row>
    <row r="2054" spans="10:20" hidden="1">
      <c r="J2054" s="1" t="str">
        <f t="shared" si="442"/>
        <v>0</v>
      </c>
      <c r="K2054" s="3">
        <f t="shared" si="443"/>
        <v>-100</v>
      </c>
      <c r="L2054" s="3">
        <f t="shared" si="444"/>
        <v>1</v>
      </c>
      <c r="M2054" s="3">
        <f t="shared" si="445"/>
        <v>0</v>
      </c>
      <c r="N2054" s="3" t="str">
        <f t="shared" si="446"/>
        <v>01</v>
      </c>
      <c r="O2054" s="14" t="str">
        <f t="shared" si="447"/>
        <v>00</v>
      </c>
      <c r="R2054" s="6">
        <v>513</v>
      </c>
      <c r="S2054" s="5">
        <f t="shared" si="449"/>
        <v>0</v>
      </c>
    </row>
    <row r="2055" spans="10:20" hidden="1">
      <c r="J2055" s="1" t="str">
        <f t="shared" si="442"/>
        <v>0</v>
      </c>
      <c r="K2055" s="3">
        <f t="shared" si="443"/>
        <v>-100</v>
      </c>
      <c r="L2055" s="3">
        <f t="shared" si="444"/>
        <v>1</v>
      </c>
      <c r="M2055" s="3">
        <f t="shared" si="445"/>
        <v>0</v>
      </c>
      <c r="N2055" s="3" t="str">
        <f t="shared" si="446"/>
        <v>01</v>
      </c>
      <c r="O2055" s="14" t="str">
        <f t="shared" si="447"/>
        <v>00</v>
      </c>
      <c r="R2055" s="6">
        <v>513</v>
      </c>
      <c r="S2055" s="5">
        <f t="shared" si="449"/>
        <v>0</v>
      </c>
    </row>
    <row r="2056" spans="10:20" hidden="1">
      <c r="J2056" s="1" t="str">
        <f t="shared" si="442"/>
        <v>0</v>
      </c>
      <c r="K2056" s="3">
        <f t="shared" si="443"/>
        <v>-100</v>
      </c>
      <c r="L2056" s="3">
        <f t="shared" si="444"/>
        <v>1</v>
      </c>
      <c r="M2056" s="3">
        <f t="shared" si="445"/>
        <v>0</v>
      </c>
      <c r="N2056" s="3" t="str">
        <f t="shared" si="446"/>
        <v>01</v>
      </c>
      <c r="O2056" s="14" t="str">
        <f t="shared" si="447"/>
        <v>00</v>
      </c>
      <c r="R2056" s="6">
        <v>513</v>
      </c>
      <c r="S2056" s="5">
        <f t="shared" si="449"/>
        <v>0</v>
      </c>
    </row>
    <row r="2057" spans="10:20" hidden="1">
      <c r="J2057" s="1" t="str">
        <f t="shared" si="442"/>
        <v>0</v>
      </c>
      <c r="K2057" s="3">
        <f t="shared" si="443"/>
        <v>-100</v>
      </c>
      <c r="L2057" s="3">
        <f t="shared" si="444"/>
        <v>1</v>
      </c>
      <c r="M2057" s="3">
        <f t="shared" si="445"/>
        <v>0</v>
      </c>
      <c r="N2057" s="3" t="str">
        <f t="shared" si="446"/>
        <v>01</v>
      </c>
      <c r="O2057" s="14" t="str">
        <f t="shared" si="447"/>
        <v>00</v>
      </c>
      <c r="R2057" s="6">
        <v>513</v>
      </c>
      <c r="S2057" s="5">
        <f t="shared" si="449"/>
        <v>0</v>
      </c>
    </row>
    <row r="2058" spans="10:20" hidden="1">
      <c r="J2058" s="1" t="str">
        <f t="shared" si="442"/>
        <v>0</v>
      </c>
      <c r="K2058" s="3">
        <f t="shared" si="443"/>
        <v>-100</v>
      </c>
      <c r="L2058" s="3">
        <f t="shared" si="444"/>
        <v>1</v>
      </c>
      <c r="M2058" s="3">
        <f t="shared" si="445"/>
        <v>0</v>
      </c>
      <c r="N2058" s="3" t="str">
        <f t="shared" si="446"/>
        <v>01</v>
      </c>
      <c r="O2058" s="14" t="str">
        <f t="shared" si="447"/>
        <v>00</v>
      </c>
      <c r="R2058" s="6">
        <v>512</v>
      </c>
      <c r="S2058" s="5">
        <f t="shared" si="449"/>
        <v>0</v>
      </c>
    </row>
    <row r="2059" spans="10:20" hidden="1">
      <c r="J2059" s="1" t="str">
        <f t="shared" si="442"/>
        <v>0</v>
      </c>
      <c r="K2059" s="3">
        <f t="shared" si="443"/>
        <v>-100</v>
      </c>
      <c r="L2059" s="3">
        <f t="shared" si="444"/>
        <v>1</v>
      </c>
      <c r="M2059" s="3">
        <f t="shared" si="445"/>
        <v>0</v>
      </c>
      <c r="N2059" s="3" t="str">
        <f t="shared" si="446"/>
        <v>01</v>
      </c>
      <c r="O2059" s="14" t="str">
        <f t="shared" si="447"/>
        <v>00</v>
      </c>
      <c r="R2059" s="6">
        <v>512</v>
      </c>
      <c r="S2059" s="5">
        <f t="shared" si="449"/>
        <v>0</v>
      </c>
    </row>
    <row r="2060" spans="10:20" hidden="1">
      <c r="J2060" s="1" t="str">
        <f t="shared" si="442"/>
        <v>0</v>
      </c>
      <c r="K2060" s="3">
        <f t="shared" si="443"/>
        <v>-100</v>
      </c>
      <c r="L2060" s="3">
        <f t="shared" si="444"/>
        <v>1</v>
      </c>
      <c r="M2060" s="3">
        <f t="shared" si="445"/>
        <v>0</v>
      </c>
      <c r="N2060" s="3" t="str">
        <f t="shared" si="446"/>
        <v>01</v>
      </c>
      <c r="O2060" s="14" t="str">
        <f t="shared" si="447"/>
        <v>00</v>
      </c>
      <c r="R2060" s="6">
        <v>512</v>
      </c>
      <c r="S2060" s="5">
        <f t="shared" si="449"/>
        <v>0</v>
      </c>
    </row>
    <row r="2061" spans="10:20" hidden="1">
      <c r="J2061" s="1" t="str">
        <f t="shared" si="442"/>
        <v>0</v>
      </c>
      <c r="K2061" s="3">
        <f t="shared" si="443"/>
        <v>-100</v>
      </c>
      <c r="L2061" s="3">
        <f t="shared" si="444"/>
        <v>1</v>
      </c>
      <c r="M2061" s="3">
        <f t="shared" si="445"/>
        <v>0</v>
      </c>
      <c r="N2061" s="3" t="str">
        <f t="shared" si="446"/>
        <v>01</v>
      </c>
      <c r="O2061" s="14" t="str">
        <f t="shared" si="447"/>
        <v>00</v>
      </c>
      <c r="R2061" s="6">
        <v>512</v>
      </c>
      <c r="S2061" s="5">
        <f t="shared" si="449"/>
        <v>0</v>
      </c>
    </row>
    <row r="2062" spans="10:20" hidden="1">
      <c r="J2062" s="1" t="str">
        <f t="shared" si="442"/>
        <v>0</v>
      </c>
      <c r="K2062" s="3">
        <f t="shared" si="443"/>
        <v>-100</v>
      </c>
      <c r="L2062" s="3">
        <f t="shared" si="444"/>
        <v>1</v>
      </c>
      <c r="M2062" s="3">
        <f t="shared" si="445"/>
        <v>0</v>
      </c>
      <c r="N2062" s="3" t="str">
        <f t="shared" si="446"/>
        <v>01</v>
      </c>
      <c r="O2062" s="14" t="str">
        <f t="shared" si="447"/>
        <v>00</v>
      </c>
    </row>
    <row r="2063" spans="10:20" hidden="1">
      <c r="J2063" s="1" t="str">
        <f t="shared" si="442"/>
        <v>0</v>
      </c>
      <c r="K2063" s="3">
        <f t="shared" si="443"/>
        <v>-100</v>
      </c>
      <c r="L2063" s="3">
        <f t="shared" si="444"/>
        <v>1</v>
      </c>
      <c r="M2063" s="3">
        <f t="shared" si="445"/>
        <v>0</v>
      </c>
      <c r="N2063" s="3" t="str">
        <f t="shared" si="446"/>
        <v>01</v>
      </c>
      <c r="O2063" s="14" t="str">
        <f t="shared" si="447"/>
        <v>00</v>
      </c>
      <c r="R2063" s="6">
        <v>512</v>
      </c>
      <c r="S2063" s="5">
        <f t="shared" ref="S2063:S2082" si="450">IFERROR(P2063/R2063,"")</f>
        <v>0</v>
      </c>
    </row>
    <row r="2064" spans="10:20" hidden="1">
      <c r="J2064" s="1" t="str">
        <f t="shared" si="442"/>
        <v>0</v>
      </c>
      <c r="K2064" s="3">
        <f t="shared" si="443"/>
        <v>-100</v>
      </c>
      <c r="L2064" s="3">
        <f t="shared" si="444"/>
        <v>1</v>
      </c>
      <c r="M2064" s="3">
        <f t="shared" si="445"/>
        <v>0</v>
      </c>
      <c r="N2064" s="3" t="str">
        <f t="shared" si="446"/>
        <v>01</v>
      </c>
      <c r="O2064" s="14" t="str">
        <f t="shared" si="447"/>
        <v>00</v>
      </c>
      <c r="R2064" s="6">
        <v>512</v>
      </c>
      <c r="S2064" s="5">
        <f t="shared" si="450"/>
        <v>0</v>
      </c>
    </row>
    <row r="2065" spans="1:23" hidden="1">
      <c r="J2065" s="1" t="str">
        <f t="shared" si="442"/>
        <v>0</v>
      </c>
      <c r="K2065" s="3">
        <f t="shared" si="443"/>
        <v>-100</v>
      </c>
      <c r="L2065" s="3">
        <f t="shared" si="444"/>
        <v>1</v>
      </c>
      <c r="M2065" s="3">
        <f t="shared" si="445"/>
        <v>0</v>
      </c>
      <c r="N2065" s="3" t="str">
        <f t="shared" si="446"/>
        <v>01</v>
      </c>
      <c r="O2065" s="14" t="str">
        <f t="shared" si="447"/>
        <v>00</v>
      </c>
      <c r="R2065" s="6">
        <v>512</v>
      </c>
      <c r="S2065" s="5">
        <f t="shared" si="450"/>
        <v>0</v>
      </c>
    </row>
    <row r="2066" spans="1:23" hidden="1">
      <c r="J2066" s="1" t="str">
        <f t="shared" si="442"/>
        <v>0</v>
      </c>
      <c r="K2066" s="3">
        <f t="shared" si="443"/>
        <v>-100</v>
      </c>
      <c r="L2066" s="3">
        <f t="shared" si="444"/>
        <v>1</v>
      </c>
      <c r="M2066" s="3">
        <f t="shared" si="445"/>
        <v>0</v>
      </c>
      <c r="N2066" s="3" t="str">
        <f t="shared" si="446"/>
        <v>01</v>
      </c>
      <c r="O2066" s="14" t="str">
        <f t="shared" si="447"/>
        <v>00</v>
      </c>
      <c r="R2066" s="6">
        <v>512</v>
      </c>
      <c r="S2066" s="5">
        <f t="shared" si="450"/>
        <v>0</v>
      </c>
    </row>
    <row r="2067" spans="1:23">
      <c r="A2067" s="3">
        <v>2015</v>
      </c>
      <c r="B2067" s="1">
        <f t="shared" ref="B2067:B2072" si="451">IF(G2067="-",0,IF(G2066=G2067,1,0))</f>
        <v>0</v>
      </c>
      <c r="C2067" s="1">
        <f t="shared" ref="C2067:C2072" si="452">+IF(G2067="-",0,IF(I2067=I2066+1,0,(IF(I2067=1,0,1))))</f>
        <v>1</v>
      </c>
      <c r="D2067" s="1">
        <f t="shared" ref="D2067:D2072" si="453">+IF(AND(P2067="",Q2067=""),1,0)</f>
        <v>0</v>
      </c>
      <c r="E2067" s="1">
        <f t="shared" ref="E2067:F2072" si="454">IF(U2067="",1,0)</f>
        <v>1</v>
      </c>
      <c r="F2067" s="1">
        <f t="shared" si="454"/>
        <v>0</v>
      </c>
      <c r="G2067" s="1" t="str">
        <f t="shared" ref="G2067:G2072" si="455">IF(H2067=0,"-",_xlfn.CONCAT(K2067,N2067,O2067,J2067))</f>
        <v>24092108</v>
      </c>
      <c r="H2067" s="2">
        <v>45556</v>
      </c>
      <c r="I2067" s="36">
        <v>8</v>
      </c>
      <c r="J2067" s="1" t="str">
        <f t="shared" si="442"/>
        <v>08</v>
      </c>
      <c r="K2067" s="3">
        <f t="shared" si="443"/>
        <v>24</v>
      </c>
      <c r="L2067" s="3">
        <f t="shared" si="444"/>
        <v>9</v>
      </c>
      <c r="M2067" s="3">
        <f t="shared" si="445"/>
        <v>21</v>
      </c>
      <c r="N2067" s="3" t="str">
        <f t="shared" si="446"/>
        <v>09</v>
      </c>
      <c r="O2067" s="14">
        <f t="shared" si="447"/>
        <v>21</v>
      </c>
      <c r="P2067" s="29">
        <v>105000</v>
      </c>
      <c r="R2067" s="6">
        <v>513</v>
      </c>
      <c r="S2067" s="5">
        <f t="shared" si="450"/>
        <v>204.67836257309941</v>
      </c>
      <c r="T2067" s="28" t="s">
        <v>795</v>
      </c>
      <c r="V2067" s="3" t="s">
        <v>4</v>
      </c>
      <c r="W2067" s="3" t="s">
        <v>814</v>
      </c>
    </row>
    <row r="2068" spans="1:23">
      <c r="A2068" s="3">
        <v>2016</v>
      </c>
      <c r="B2068" s="1">
        <f t="shared" si="451"/>
        <v>0</v>
      </c>
      <c r="C2068" s="1">
        <f t="shared" si="452"/>
        <v>0</v>
      </c>
      <c r="D2068" s="1">
        <f t="shared" si="453"/>
        <v>0</v>
      </c>
      <c r="E2068" s="1">
        <f t="shared" si="454"/>
        <v>1</v>
      </c>
      <c r="F2068" s="1">
        <f t="shared" si="454"/>
        <v>0</v>
      </c>
      <c r="G2068" s="1" t="str">
        <f t="shared" si="455"/>
        <v>24092109</v>
      </c>
      <c r="H2068" s="2">
        <v>45556</v>
      </c>
      <c r="I2068" s="36">
        <v>9</v>
      </c>
      <c r="J2068" s="1" t="str">
        <f t="shared" si="442"/>
        <v>09</v>
      </c>
      <c r="K2068" s="3">
        <f t="shared" si="443"/>
        <v>24</v>
      </c>
      <c r="L2068" s="3">
        <f t="shared" si="444"/>
        <v>9</v>
      </c>
      <c r="M2068" s="3">
        <f t="shared" si="445"/>
        <v>21</v>
      </c>
      <c r="N2068" s="3" t="str">
        <f t="shared" si="446"/>
        <v>09</v>
      </c>
      <c r="O2068" s="14">
        <f t="shared" si="447"/>
        <v>21</v>
      </c>
      <c r="P2068" s="29">
        <v>149600</v>
      </c>
      <c r="R2068" s="6">
        <v>513</v>
      </c>
      <c r="S2068" s="5">
        <f t="shared" si="450"/>
        <v>291.61793372319687</v>
      </c>
      <c r="T2068" s="28" t="s">
        <v>796</v>
      </c>
      <c r="V2068" s="3" t="s">
        <v>4</v>
      </c>
      <c r="W2068" s="3" t="s">
        <v>815</v>
      </c>
    </row>
    <row r="2069" spans="1:23">
      <c r="A2069" s="3">
        <v>2019</v>
      </c>
      <c r="B2069" s="1">
        <f t="shared" si="451"/>
        <v>0</v>
      </c>
      <c r="C2069" s="1">
        <f t="shared" si="452"/>
        <v>1</v>
      </c>
      <c r="D2069" s="1">
        <f t="shared" si="453"/>
        <v>0</v>
      </c>
      <c r="E2069" s="1">
        <f t="shared" si="454"/>
        <v>1</v>
      </c>
      <c r="F2069" s="1">
        <f t="shared" si="454"/>
        <v>0</v>
      </c>
      <c r="G2069" s="1" t="str">
        <f t="shared" si="455"/>
        <v>24092112</v>
      </c>
      <c r="H2069" s="2">
        <v>45556</v>
      </c>
      <c r="I2069" s="36">
        <v>12</v>
      </c>
      <c r="J2069" s="1">
        <f t="shared" si="442"/>
        <v>12</v>
      </c>
      <c r="K2069" s="3">
        <f t="shared" si="443"/>
        <v>24</v>
      </c>
      <c r="L2069" s="3">
        <f t="shared" si="444"/>
        <v>9</v>
      </c>
      <c r="M2069" s="3">
        <f t="shared" si="445"/>
        <v>21</v>
      </c>
      <c r="N2069" s="3" t="str">
        <f t="shared" si="446"/>
        <v>09</v>
      </c>
      <c r="O2069" s="14">
        <f t="shared" si="447"/>
        <v>21</v>
      </c>
      <c r="P2069" s="127">
        <v>170000</v>
      </c>
      <c r="R2069" s="6">
        <v>513</v>
      </c>
      <c r="S2069" s="5">
        <f t="shared" si="450"/>
        <v>331.38401559454189</v>
      </c>
      <c r="T2069" s="28" t="s">
        <v>798</v>
      </c>
      <c r="V2069" s="3" t="s">
        <v>4</v>
      </c>
    </row>
    <row r="2070" spans="1:23">
      <c r="A2070" s="3">
        <v>2020</v>
      </c>
      <c r="B2070" s="1">
        <f t="shared" si="451"/>
        <v>0</v>
      </c>
      <c r="C2070" s="1">
        <f t="shared" si="452"/>
        <v>0</v>
      </c>
      <c r="D2070" s="1">
        <f t="shared" si="453"/>
        <v>0</v>
      </c>
      <c r="E2070" s="1">
        <f t="shared" si="454"/>
        <v>1</v>
      </c>
      <c r="F2070" s="1">
        <f t="shared" si="454"/>
        <v>0</v>
      </c>
      <c r="G2070" s="1" t="str">
        <f t="shared" si="455"/>
        <v>24092113</v>
      </c>
      <c r="H2070" s="2">
        <v>45556</v>
      </c>
      <c r="I2070" s="36">
        <v>13</v>
      </c>
      <c r="J2070" s="1">
        <f t="shared" si="442"/>
        <v>13</v>
      </c>
      <c r="K2070" s="3">
        <f t="shared" si="443"/>
        <v>24</v>
      </c>
      <c r="L2070" s="3">
        <f t="shared" si="444"/>
        <v>9</v>
      </c>
      <c r="M2070" s="3">
        <f t="shared" si="445"/>
        <v>21</v>
      </c>
      <c r="N2070" s="3" t="str">
        <f t="shared" si="446"/>
        <v>09</v>
      </c>
      <c r="O2070" s="14">
        <f t="shared" si="447"/>
        <v>21</v>
      </c>
      <c r="P2070" s="127">
        <v>122400</v>
      </c>
      <c r="R2070" s="6">
        <v>513</v>
      </c>
      <c r="S2070" s="5">
        <f t="shared" si="450"/>
        <v>238.59649122807016</v>
      </c>
      <c r="T2070" s="28" t="s">
        <v>799</v>
      </c>
      <c r="V2070" s="3" t="s">
        <v>4</v>
      </c>
    </row>
    <row r="2071" spans="1:23">
      <c r="A2071" s="3">
        <v>2021</v>
      </c>
      <c r="B2071" s="1">
        <f t="shared" si="451"/>
        <v>0</v>
      </c>
      <c r="C2071" s="1">
        <f t="shared" si="452"/>
        <v>0</v>
      </c>
      <c r="D2071" s="1">
        <f t="shared" si="453"/>
        <v>0</v>
      </c>
      <c r="E2071" s="1">
        <f t="shared" si="454"/>
        <v>1</v>
      </c>
      <c r="F2071" s="1">
        <f t="shared" si="454"/>
        <v>0</v>
      </c>
      <c r="G2071" s="1" t="str">
        <f t="shared" si="455"/>
        <v>24092114</v>
      </c>
      <c r="H2071" s="2">
        <v>45556</v>
      </c>
      <c r="I2071" s="36">
        <v>14</v>
      </c>
      <c r="J2071" s="1">
        <f t="shared" si="442"/>
        <v>14</v>
      </c>
      <c r="K2071" s="3">
        <f t="shared" si="443"/>
        <v>24</v>
      </c>
      <c r="L2071" s="3">
        <f t="shared" si="444"/>
        <v>9</v>
      </c>
      <c r="M2071" s="3">
        <f t="shared" si="445"/>
        <v>21</v>
      </c>
      <c r="N2071" s="3" t="str">
        <f t="shared" si="446"/>
        <v>09</v>
      </c>
      <c r="O2071" s="14">
        <f t="shared" si="447"/>
        <v>21</v>
      </c>
      <c r="P2071" s="127">
        <v>122400</v>
      </c>
      <c r="R2071" s="6">
        <v>513</v>
      </c>
      <c r="S2071" s="5">
        <f t="shared" si="450"/>
        <v>238.59649122807016</v>
      </c>
      <c r="T2071" s="28" t="s">
        <v>800</v>
      </c>
      <c r="V2071" s="3" t="s">
        <v>4</v>
      </c>
    </row>
    <row r="2072" spans="1:23">
      <c r="A2072" s="3">
        <v>2022</v>
      </c>
      <c r="B2072" s="1">
        <f t="shared" si="451"/>
        <v>0</v>
      </c>
      <c r="C2072" s="1">
        <f t="shared" si="452"/>
        <v>0</v>
      </c>
      <c r="D2072" s="1">
        <f t="shared" si="453"/>
        <v>0</v>
      </c>
      <c r="E2072" s="1">
        <f t="shared" si="454"/>
        <v>1</v>
      </c>
      <c r="F2072" s="1">
        <f t="shared" si="454"/>
        <v>0</v>
      </c>
      <c r="G2072" s="1" t="str">
        <f t="shared" si="455"/>
        <v>24092115</v>
      </c>
      <c r="H2072" s="2">
        <v>45556</v>
      </c>
      <c r="I2072" s="36">
        <v>15</v>
      </c>
      <c r="J2072" s="1">
        <f t="shared" si="442"/>
        <v>15</v>
      </c>
      <c r="K2072" s="3">
        <f t="shared" si="443"/>
        <v>24</v>
      </c>
      <c r="L2072" s="3">
        <f t="shared" si="444"/>
        <v>9</v>
      </c>
      <c r="M2072" s="3">
        <f t="shared" si="445"/>
        <v>21</v>
      </c>
      <c r="N2072" s="3" t="str">
        <f t="shared" si="446"/>
        <v>09</v>
      </c>
      <c r="O2072" s="14">
        <f t="shared" si="447"/>
        <v>21</v>
      </c>
      <c r="P2072" s="127">
        <v>149600</v>
      </c>
      <c r="R2072" s="6">
        <v>513</v>
      </c>
      <c r="S2072" s="5">
        <f t="shared" si="450"/>
        <v>291.61793372319687</v>
      </c>
      <c r="T2072" s="28" t="s">
        <v>801</v>
      </c>
      <c r="V2072" s="3" t="s">
        <v>4</v>
      </c>
    </row>
    <row r="2073" spans="1:23" hidden="1">
      <c r="J2073" s="1" t="str">
        <f t="shared" si="442"/>
        <v>0</v>
      </c>
      <c r="K2073" s="3">
        <f t="shared" si="443"/>
        <v>-100</v>
      </c>
      <c r="L2073" s="3">
        <f t="shared" si="444"/>
        <v>1</v>
      </c>
      <c r="M2073" s="3">
        <f t="shared" si="445"/>
        <v>0</v>
      </c>
      <c r="N2073" s="3" t="str">
        <f t="shared" si="446"/>
        <v>01</v>
      </c>
      <c r="O2073" s="14" t="str">
        <f t="shared" si="447"/>
        <v>00</v>
      </c>
      <c r="R2073" s="6">
        <v>512</v>
      </c>
      <c r="S2073" s="5">
        <f t="shared" si="450"/>
        <v>0</v>
      </c>
    </row>
    <row r="2074" spans="1:23" hidden="1">
      <c r="J2074" s="1" t="str">
        <f t="shared" si="442"/>
        <v>0</v>
      </c>
      <c r="K2074" s="3">
        <f t="shared" si="443"/>
        <v>-100</v>
      </c>
      <c r="L2074" s="3">
        <f t="shared" si="444"/>
        <v>1</v>
      </c>
      <c r="M2074" s="3">
        <f t="shared" si="445"/>
        <v>0</v>
      </c>
      <c r="N2074" s="3" t="str">
        <f t="shared" si="446"/>
        <v>01</v>
      </c>
      <c r="O2074" s="14" t="str">
        <f t="shared" si="447"/>
        <v>00</v>
      </c>
      <c r="R2074" s="6">
        <v>511</v>
      </c>
      <c r="S2074" s="5">
        <f t="shared" si="450"/>
        <v>0</v>
      </c>
    </row>
    <row r="2075" spans="1:23" hidden="1">
      <c r="J2075" s="1" t="str">
        <f t="shared" si="442"/>
        <v>0</v>
      </c>
      <c r="K2075" s="3">
        <f t="shared" si="443"/>
        <v>-100</v>
      </c>
      <c r="L2075" s="3">
        <f t="shared" si="444"/>
        <v>1</v>
      </c>
      <c r="M2075" s="3">
        <f t="shared" si="445"/>
        <v>0</v>
      </c>
      <c r="N2075" s="3" t="str">
        <f t="shared" si="446"/>
        <v>01</v>
      </c>
      <c r="O2075" s="14" t="str">
        <f t="shared" si="447"/>
        <v>00</v>
      </c>
      <c r="R2075" s="6">
        <v>511</v>
      </c>
      <c r="S2075" s="5">
        <f t="shared" si="450"/>
        <v>0</v>
      </c>
    </row>
    <row r="2076" spans="1:23" hidden="1">
      <c r="J2076" s="1" t="str">
        <f t="shared" si="442"/>
        <v>0</v>
      </c>
      <c r="K2076" s="3">
        <f t="shared" si="443"/>
        <v>-100</v>
      </c>
      <c r="L2076" s="3">
        <f t="shared" si="444"/>
        <v>1</v>
      </c>
      <c r="M2076" s="3">
        <f t="shared" si="445"/>
        <v>0</v>
      </c>
      <c r="N2076" s="3" t="str">
        <f t="shared" si="446"/>
        <v>01</v>
      </c>
      <c r="O2076" s="14" t="str">
        <f t="shared" si="447"/>
        <v>00</v>
      </c>
      <c r="R2076" s="6">
        <v>511</v>
      </c>
      <c r="S2076" s="5">
        <f t="shared" si="450"/>
        <v>0</v>
      </c>
    </row>
    <row r="2077" spans="1:23">
      <c r="A2077" s="3">
        <v>2023</v>
      </c>
      <c r="B2077" s="1">
        <f>IF(G2077="-",0,IF(G2076=G2077,1,0))</f>
        <v>0</v>
      </c>
      <c r="C2077" s="1">
        <f>+IF(G2077="-",0,IF(I2077=I2076+1,0,(IF(I2077=1,0,1))))</f>
        <v>1</v>
      </c>
      <c r="D2077" s="1">
        <f>+IF(AND(P2077="",Q2077=""),1,0)</f>
        <v>0</v>
      </c>
      <c r="E2077" s="1">
        <f>IF(U2077="",1,0)</f>
        <v>1</v>
      </c>
      <c r="F2077" s="1">
        <f>IF(V2077="",1,0)</f>
        <v>0</v>
      </c>
      <c r="G2077" s="1" t="str">
        <f>IF(H2077=0,"-",_xlfn.CONCAT(K2077,N2077,O2077,J2077))</f>
        <v>24092116</v>
      </c>
      <c r="H2077" s="2">
        <v>45556</v>
      </c>
      <c r="I2077" s="36">
        <v>16</v>
      </c>
      <c r="J2077" s="1">
        <f t="shared" si="442"/>
        <v>16</v>
      </c>
      <c r="K2077" s="3">
        <f t="shared" si="443"/>
        <v>24</v>
      </c>
      <c r="L2077" s="3">
        <f t="shared" si="444"/>
        <v>9</v>
      </c>
      <c r="M2077" s="3">
        <f t="shared" si="445"/>
        <v>21</v>
      </c>
      <c r="N2077" s="3" t="str">
        <f t="shared" si="446"/>
        <v>09</v>
      </c>
      <c r="O2077" s="14">
        <f t="shared" si="447"/>
        <v>21</v>
      </c>
      <c r="P2077" s="127">
        <v>122400</v>
      </c>
      <c r="R2077" s="6">
        <v>513</v>
      </c>
      <c r="S2077" s="5">
        <f t="shared" si="450"/>
        <v>238.59649122807016</v>
      </c>
      <c r="T2077" s="28" t="s">
        <v>802</v>
      </c>
      <c r="V2077" s="3" t="s">
        <v>4</v>
      </c>
    </row>
    <row r="2078" spans="1:23" hidden="1">
      <c r="J2078" s="1" t="str">
        <f t="shared" si="442"/>
        <v>0</v>
      </c>
      <c r="K2078" s="3">
        <f t="shared" si="443"/>
        <v>-100</v>
      </c>
      <c r="L2078" s="3">
        <f t="shared" si="444"/>
        <v>1</v>
      </c>
      <c r="M2078" s="3">
        <f t="shared" si="445"/>
        <v>0</v>
      </c>
      <c r="N2078" s="3" t="str">
        <f t="shared" si="446"/>
        <v>01</v>
      </c>
      <c r="O2078" s="14" t="str">
        <f t="shared" si="447"/>
        <v>00</v>
      </c>
      <c r="R2078" s="6">
        <v>511</v>
      </c>
      <c r="S2078" s="5">
        <f t="shared" si="450"/>
        <v>0</v>
      </c>
    </row>
    <row r="2079" spans="1:23" hidden="1">
      <c r="J2079" s="1" t="str">
        <f t="shared" si="442"/>
        <v>0</v>
      </c>
      <c r="K2079" s="3">
        <f t="shared" si="443"/>
        <v>-100</v>
      </c>
      <c r="L2079" s="3">
        <f t="shared" si="444"/>
        <v>1</v>
      </c>
      <c r="M2079" s="3">
        <f t="shared" si="445"/>
        <v>0</v>
      </c>
      <c r="N2079" s="3" t="str">
        <f t="shared" si="446"/>
        <v>01</v>
      </c>
      <c r="O2079" s="14" t="str">
        <f t="shared" si="447"/>
        <v>00</v>
      </c>
      <c r="R2079" s="6">
        <v>511</v>
      </c>
      <c r="S2079" s="5">
        <f t="shared" si="450"/>
        <v>0</v>
      </c>
    </row>
    <row r="2080" spans="1:23" hidden="1">
      <c r="J2080" s="1" t="str">
        <f t="shared" si="442"/>
        <v>0</v>
      </c>
      <c r="K2080" s="3">
        <f t="shared" si="443"/>
        <v>-100</v>
      </c>
      <c r="L2080" s="3">
        <f t="shared" si="444"/>
        <v>1</v>
      </c>
      <c r="M2080" s="3">
        <f t="shared" si="445"/>
        <v>0</v>
      </c>
      <c r="N2080" s="3" t="str">
        <f t="shared" si="446"/>
        <v>01</v>
      </c>
      <c r="O2080" s="14" t="str">
        <f t="shared" si="447"/>
        <v>00</v>
      </c>
      <c r="P2080" s="57"/>
      <c r="R2080" s="6">
        <v>511</v>
      </c>
      <c r="S2080" s="5">
        <f t="shared" si="450"/>
        <v>0</v>
      </c>
    </row>
    <row r="2081" spans="1:22" hidden="1">
      <c r="J2081" s="1" t="str">
        <f t="shared" si="442"/>
        <v>0</v>
      </c>
      <c r="K2081" s="3">
        <f t="shared" si="443"/>
        <v>-100</v>
      </c>
      <c r="L2081" s="3">
        <f t="shared" si="444"/>
        <v>1</v>
      </c>
      <c r="M2081" s="3">
        <f t="shared" si="445"/>
        <v>0</v>
      </c>
      <c r="N2081" s="3" t="str">
        <f t="shared" si="446"/>
        <v>01</v>
      </c>
      <c r="O2081" s="14" t="str">
        <f t="shared" si="447"/>
        <v>00</v>
      </c>
      <c r="R2081" s="6">
        <v>511</v>
      </c>
      <c r="S2081" s="5">
        <f t="shared" si="450"/>
        <v>0</v>
      </c>
    </row>
    <row r="2082" spans="1:22" hidden="1">
      <c r="J2082" s="1" t="str">
        <f t="shared" si="442"/>
        <v>0</v>
      </c>
      <c r="K2082" s="3">
        <f t="shared" si="443"/>
        <v>-100</v>
      </c>
      <c r="L2082" s="3">
        <f t="shared" si="444"/>
        <v>1</v>
      </c>
      <c r="M2082" s="3">
        <f t="shared" si="445"/>
        <v>0</v>
      </c>
      <c r="N2082" s="3" t="str">
        <f t="shared" si="446"/>
        <v>01</v>
      </c>
      <c r="O2082" s="14" t="str">
        <f t="shared" si="447"/>
        <v>00</v>
      </c>
      <c r="R2082" s="6">
        <v>511</v>
      </c>
      <c r="S2082" s="5">
        <f t="shared" si="450"/>
        <v>0</v>
      </c>
    </row>
    <row r="2083" spans="1:22" hidden="1">
      <c r="J2083" s="1" t="str">
        <f t="shared" si="442"/>
        <v>0</v>
      </c>
      <c r="K2083" s="3">
        <f t="shared" si="443"/>
        <v>-100</v>
      </c>
      <c r="L2083" s="3">
        <f t="shared" si="444"/>
        <v>1</v>
      </c>
      <c r="M2083" s="3">
        <f t="shared" si="445"/>
        <v>0</v>
      </c>
      <c r="N2083" s="3" t="str">
        <f t="shared" si="446"/>
        <v>01</v>
      </c>
      <c r="O2083" s="14" t="str">
        <f t="shared" si="447"/>
        <v>00</v>
      </c>
    </row>
    <row r="2084" spans="1:22" hidden="1">
      <c r="J2084" s="1" t="str">
        <f t="shared" si="442"/>
        <v>0</v>
      </c>
      <c r="K2084" s="3">
        <f t="shared" si="443"/>
        <v>-100</v>
      </c>
      <c r="L2084" s="3">
        <f t="shared" si="444"/>
        <v>1</v>
      </c>
      <c r="M2084" s="3">
        <f t="shared" si="445"/>
        <v>0</v>
      </c>
      <c r="N2084" s="3" t="str">
        <f t="shared" si="446"/>
        <v>01</v>
      </c>
      <c r="O2084" s="14" t="str">
        <f t="shared" si="447"/>
        <v>00</v>
      </c>
      <c r="R2084" s="6">
        <v>514</v>
      </c>
      <c r="S2084" s="5">
        <f t="shared" ref="S2084:S2090" si="456">IFERROR(P2084/R2084,"")</f>
        <v>0</v>
      </c>
    </row>
    <row r="2085" spans="1:22" hidden="1">
      <c r="J2085" s="1" t="str">
        <f t="shared" si="442"/>
        <v>0</v>
      </c>
      <c r="K2085" s="3">
        <f t="shared" si="443"/>
        <v>-100</v>
      </c>
      <c r="L2085" s="3">
        <f t="shared" si="444"/>
        <v>1</v>
      </c>
      <c r="M2085" s="3">
        <f t="shared" si="445"/>
        <v>0</v>
      </c>
      <c r="N2085" s="3" t="str">
        <f t="shared" si="446"/>
        <v>01</v>
      </c>
      <c r="O2085" s="14" t="str">
        <f t="shared" si="447"/>
        <v>00</v>
      </c>
      <c r="R2085" s="6">
        <v>514</v>
      </c>
      <c r="S2085" s="5">
        <f t="shared" si="456"/>
        <v>0</v>
      </c>
    </row>
    <row r="2086" spans="1:22" hidden="1">
      <c r="J2086" s="1" t="str">
        <f t="shared" si="442"/>
        <v>0</v>
      </c>
      <c r="K2086" s="3">
        <f t="shared" si="443"/>
        <v>-100</v>
      </c>
      <c r="L2086" s="3">
        <f t="shared" si="444"/>
        <v>1</v>
      </c>
      <c r="M2086" s="3">
        <f t="shared" si="445"/>
        <v>0</v>
      </c>
      <c r="N2086" s="3" t="str">
        <f t="shared" si="446"/>
        <v>01</v>
      </c>
      <c r="O2086" s="14" t="str">
        <f t="shared" si="447"/>
        <v>00</v>
      </c>
      <c r="R2086" s="6">
        <v>514</v>
      </c>
      <c r="S2086" s="5">
        <f t="shared" si="456"/>
        <v>0</v>
      </c>
    </row>
    <row r="2087" spans="1:22">
      <c r="A2087" s="3">
        <v>2050</v>
      </c>
      <c r="B2087" s="1">
        <f>IF(G2087="-",0,IF(G2086=G2087,1,0))</f>
        <v>0</v>
      </c>
      <c r="C2087" s="1">
        <f>+IF(G2087="-",0,IF(I2087=I2086+1,0,(IF(I2087=1,0,1))))</f>
        <v>1</v>
      </c>
      <c r="D2087" s="1">
        <f>+IF(AND(P2087="",Q2087=""),1,0)</f>
        <v>0</v>
      </c>
      <c r="E2087" s="1">
        <f>IF(U2087="",1,0)</f>
        <v>0</v>
      </c>
      <c r="F2087" s="1">
        <f>IF(V2087="",1,0)</f>
        <v>0</v>
      </c>
      <c r="G2087" s="1" t="str">
        <f>IF(H2087=0,"-",_xlfn.CONCAT(K2087,N2087,O2087,J2087))</f>
        <v>24092405</v>
      </c>
      <c r="H2087" s="2">
        <v>45559</v>
      </c>
      <c r="I2087" s="36">
        <v>5</v>
      </c>
      <c r="J2087" s="1" t="str">
        <f t="shared" si="442"/>
        <v>05</v>
      </c>
      <c r="K2087" s="3">
        <f t="shared" si="443"/>
        <v>24</v>
      </c>
      <c r="L2087" s="3">
        <f t="shared" si="444"/>
        <v>9</v>
      </c>
      <c r="M2087" s="3">
        <f t="shared" si="445"/>
        <v>24</v>
      </c>
      <c r="N2087" s="3" t="str">
        <f t="shared" si="446"/>
        <v>09</v>
      </c>
      <c r="O2087" s="14">
        <f t="shared" si="447"/>
        <v>24</v>
      </c>
      <c r="P2087" s="4">
        <v>342369.65</v>
      </c>
      <c r="R2087" s="6">
        <v>512</v>
      </c>
      <c r="S2087" s="5">
        <f t="shared" si="456"/>
        <v>668.69072265625005</v>
      </c>
      <c r="T2087" s="5" t="s">
        <v>874</v>
      </c>
      <c r="U2087" s="3" t="s">
        <v>29</v>
      </c>
      <c r="V2087" s="3" t="s">
        <v>4</v>
      </c>
    </row>
    <row r="2088" spans="1:22" hidden="1">
      <c r="J2088" s="1" t="str">
        <f t="shared" si="442"/>
        <v>0</v>
      </c>
      <c r="K2088" s="3">
        <f t="shared" si="443"/>
        <v>-100</v>
      </c>
      <c r="L2088" s="3">
        <f t="shared" si="444"/>
        <v>1</v>
      </c>
      <c r="M2088" s="3">
        <f t="shared" si="445"/>
        <v>0</v>
      </c>
      <c r="N2088" s="3" t="str">
        <f t="shared" si="446"/>
        <v>01</v>
      </c>
      <c r="O2088" s="14" t="str">
        <f t="shared" si="447"/>
        <v>00</v>
      </c>
      <c r="R2088" s="6">
        <v>514</v>
      </c>
      <c r="S2088" s="5">
        <f t="shared" si="456"/>
        <v>0</v>
      </c>
    </row>
    <row r="2089" spans="1:22" hidden="1">
      <c r="J2089" s="1" t="str">
        <f t="shared" si="442"/>
        <v>0</v>
      </c>
      <c r="K2089" s="3">
        <f t="shared" si="443"/>
        <v>-100</v>
      </c>
      <c r="L2089" s="3">
        <f t="shared" si="444"/>
        <v>1</v>
      </c>
      <c r="M2089" s="3">
        <f t="shared" si="445"/>
        <v>0</v>
      </c>
      <c r="N2089" s="3" t="str">
        <f t="shared" si="446"/>
        <v>01</v>
      </c>
      <c r="O2089" s="14" t="str">
        <f t="shared" si="447"/>
        <v>00</v>
      </c>
      <c r="R2089" s="6">
        <v>514</v>
      </c>
      <c r="S2089" s="5">
        <f t="shared" si="456"/>
        <v>0</v>
      </c>
    </row>
    <row r="2090" spans="1:22" hidden="1">
      <c r="J2090" s="1" t="str">
        <f t="shared" si="442"/>
        <v>0</v>
      </c>
      <c r="K2090" s="3">
        <f t="shared" si="443"/>
        <v>-100</v>
      </c>
      <c r="L2090" s="3">
        <f t="shared" si="444"/>
        <v>1</v>
      </c>
      <c r="M2090" s="3">
        <f t="shared" si="445"/>
        <v>0</v>
      </c>
      <c r="N2090" s="3" t="str">
        <f t="shared" si="446"/>
        <v>01</v>
      </c>
      <c r="O2090" s="14" t="str">
        <f t="shared" si="447"/>
        <v>00</v>
      </c>
      <c r="R2090" s="6">
        <v>514</v>
      </c>
      <c r="S2090" s="5">
        <f t="shared" si="456"/>
        <v>0</v>
      </c>
    </row>
    <row r="2091" spans="1:22" hidden="1">
      <c r="J2091" s="1" t="str">
        <f t="shared" si="442"/>
        <v>0</v>
      </c>
      <c r="K2091" s="3">
        <f t="shared" si="443"/>
        <v>-100</v>
      </c>
      <c r="L2091" s="3">
        <f t="shared" si="444"/>
        <v>1</v>
      </c>
      <c r="M2091" s="3">
        <f t="shared" si="445"/>
        <v>0</v>
      </c>
      <c r="N2091" s="3" t="str">
        <f t="shared" si="446"/>
        <v>01</v>
      </c>
      <c r="O2091" s="14" t="str">
        <f t="shared" si="447"/>
        <v>00</v>
      </c>
    </row>
    <row r="2092" spans="1:22" hidden="1">
      <c r="J2092" s="1" t="str">
        <f t="shared" si="442"/>
        <v>0</v>
      </c>
      <c r="K2092" s="3">
        <f t="shared" si="443"/>
        <v>-100</v>
      </c>
      <c r="L2092" s="3">
        <f t="shared" si="444"/>
        <v>1</v>
      </c>
      <c r="M2092" s="3">
        <f t="shared" si="445"/>
        <v>0</v>
      </c>
      <c r="N2092" s="3" t="str">
        <f t="shared" si="446"/>
        <v>01</v>
      </c>
      <c r="O2092" s="14" t="str">
        <f t="shared" si="447"/>
        <v>00</v>
      </c>
    </row>
    <row r="2093" spans="1:22" hidden="1">
      <c r="J2093" s="1" t="str">
        <f t="shared" si="442"/>
        <v>0</v>
      </c>
      <c r="K2093" s="3">
        <f t="shared" si="443"/>
        <v>-100</v>
      </c>
      <c r="L2093" s="3">
        <f t="shared" si="444"/>
        <v>1</v>
      </c>
      <c r="M2093" s="3">
        <f t="shared" si="445"/>
        <v>0</v>
      </c>
      <c r="N2093" s="3" t="str">
        <f t="shared" si="446"/>
        <v>01</v>
      </c>
      <c r="O2093" s="14" t="str">
        <f t="shared" si="447"/>
        <v>00</v>
      </c>
    </row>
    <row r="2094" spans="1:22" hidden="1">
      <c r="J2094" s="1" t="str">
        <f t="shared" si="442"/>
        <v>0</v>
      </c>
      <c r="K2094" s="3">
        <f t="shared" si="443"/>
        <v>-100</v>
      </c>
      <c r="L2094" s="3">
        <f t="shared" si="444"/>
        <v>1</v>
      </c>
      <c r="M2094" s="3">
        <f t="shared" si="445"/>
        <v>0</v>
      </c>
      <c r="N2094" s="3" t="str">
        <f t="shared" si="446"/>
        <v>01</v>
      </c>
      <c r="O2094" s="14" t="str">
        <f t="shared" si="447"/>
        <v>00</v>
      </c>
      <c r="R2094" s="6">
        <v>514</v>
      </c>
      <c r="S2094" s="5">
        <f t="shared" ref="S2094:S2136" si="457">IFERROR(P2094/R2094,"")</f>
        <v>0</v>
      </c>
    </row>
    <row r="2095" spans="1:22" hidden="1">
      <c r="J2095" s="1" t="str">
        <f t="shared" si="442"/>
        <v>0</v>
      </c>
      <c r="K2095" s="3">
        <f t="shared" si="443"/>
        <v>-100</v>
      </c>
      <c r="L2095" s="3">
        <f t="shared" si="444"/>
        <v>1</v>
      </c>
      <c r="M2095" s="3">
        <f t="shared" si="445"/>
        <v>0</v>
      </c>
      <c r="N2095" s="3" t="str">
        <f t="shared" si="446"/>
        <v>01</v>
      </c>
      <c r="O2095" s="14" t="str">
        <f t="shared" si="447"/>
        <v>00</v>
      </c>
      <c r="R2095" s="6">
        <v>514</v>
      </c>
      <c r="S2095" s="5">
        <f t="shared" si="457"/>
        <v>0</v>
      </c>
    </row>
    <row r="2096" spans="1:22" hidden="1">
      <c r="J2096" s="1" t="str">
        <f t="shared" si="442"/>
        <v>0</v>
      </c>
      <c r="K2096" s="3">
        <f t="shared" si="443"/>
        <v>-100</v>
      </c>
      <c r="L2096" s="3">
        <f t="shared" si="444"/>
        <v>1</v>
      </c>
      <c r="M2096" s="3">
        <f t="shared" si="445"/>
        <v>0</v>
      </c>
      <c r="N2096" s="3" t="str">
        <f t="shared" si="446"/>
        <v>01</v>
      </c>
      <c r="O2096" s="14" t="str">
        <f t="shared" si="447"/>
        <v>00</v>
      </c>
      <c r="R2096" s="6">
        <v>514</v>
      </c>
      <c r="S2096" s="5">
        <f t="shared" si="457"/>
        <v>0</v>
      </c>
    </row>
    <row r="2097" spans="9:20" hidden="1">
      <c r="J2097" s="1" t="str">
        <f t="shared" si="442"/>
        <v>0</v>
      </c>
      <c r="K2097" s="3">
        <f t="shared" si="443"/>
        <v>-100</v>
      </c>
      <c r="L2097" s="3">
        <f t="shared" si="444"/>
        <v>1</v>
      </c>
      <c r="M2097" s="3">
        <f t="shared" si="445"/>
        <v>0</v>
      </c>
      <c r="N2097" s="3" t="str">
        <f t="shared" si="446"/>
        <v>01</v>
      </c>
      <c r="O2097" s="14" t="str">
        <f t="shared" si="447"/>
        <v>00</v>
      </c>
      <c r="R2097" s="6">
        <v>514</v>
      </c>
      <c r="S2097" s="5">
        <f t="shared" si="457"/>
        <v>0</v>
      </c>
    </row>
    <row r="2098" spans="9:20" hidden="1">
      <c r="J2098" s="1" t="str">
        <f t="shared" ref="J2098:J2161" si="458">+IF(I2098&lt;10,_xlfn.CONCAT("0",I2098),I2098)</f>
        <v>0</v>
      </c>
      <c r="K2098" s="3">
        <f t="shared" ref="K2098:K2161" si="459">+YEAR(H2098)-2000</f>
        <v>-100</v>
      </c>
      <c r="L2098" s="3">
        <f t="shared" ref="L2098:L2161" si="460">+MONTH(H2098)</f>
        <v>1</v>
      </c>
      <c r="M2098" s="3">
        <f t="shared" ref="M2098:M2161" si="461">+DAY(H2098)</f>
        <v>0</v>
      </c>
      <c r="N2098" s="3" t="str">
        <f t="shared" ref="N2098:N2161" si="462">+IF(L2098&lt;10,_xlfn.CONCAT("0",L2098),L2098)</f>
        <v>01</v>
      </c>
      <c r="O2098" s="14" t="str">
        <f t="shared" ref="O2098:O2161" si="463">+IF(M2098&lt;10,_xlfn.CONCAT("0",M2098),M2098)</f>
        <v>00</v>
      </c>
      <c r="R2098" s="6">
        <v>514</v>
      </c>
      <c r="S2098" s="5">
        <f t="shared" si="457"/>
        <v>0</v>
      </c>
    </row>
    <row r="2099" spans="9:20" hidden="1">
      <c r="I2099" s="1"/>
      <c r="J2099" s="1" t="str">
        <f t="shared" si="458"/>
        <v>0</v>
      </c>
      <c r="K2099" s="3">
        <f t="shared" si="459"/>
        <v>-100</v>
      </c>
      <c r="L2099" s="3">
        <f t="shared" si="460"/>
        <v>1</v>
      </c>
      <c r="M2099" s="3">
        <f t="shared" si="461"/>
        <v>0</v>
      </c>
      <c r="N2099" s="3" t="str">
        <f t="shared" si="462"/>
        <v>01</v>
      </c>
      <c r="O2099" s="14" t="str">
        <f t="shared" si="463"/>
        <v>00</v>
      </c>
      <c r="R2099" s="6">
        <v>514</v>
      </c>
      <c r="S2099" s="5">
        <f t="shared" si="457"/>
        <v>0</v>
      </c>
      <c r="T2099" s="128"/>
    </row>
    <row r="2100" spans="9:20" hidden="1">
      <c r="I2100" s="1"/>
      <c r="J2100" s="1" t="str">
        <f t="shared" si="458"/>
        <v>0</v>
      </c>
      <c r="K2100" s="3">
        <f t="shared" si="459"/>
        <v>-100</v>
      </c>
      <c r="L2100" s="3">
        <f t="shared" si="460"/>
        <v>1</v>
      </c>
      <c r="M2100" s="3">
        <f t="shared" si="461"/>
        <v>0</v>
      </c>
      <c r="N2100" s="3" t="str">
        <f t="shared" si="462"/>
        <v>01</v>
      </c>
      <c r="O2100" s="14" t="str">
        <f t="shared" si="463"/>
        <v>00</v>
      </c>
      <c r="R2100" s="6">
        <v>514</v>
      </c>
      <c r="S2100" s="5">
        <f t="shared" si="457"/>
        <v>0</v>
      </c>
      <c r="T2100" s="128"/>
    </row>
    <row r="2101" spans="9:20" hidden="1">
      <c r="I2101" s="1"/>
      <c r="J2101" s="1" t="str">
        <f t="shared" si="458"/>
        <v>0</v>
      </c>
      <c r="K2101" s="3">
        <f t="shared" si="459"/>
        <v>-100</v>
      </c>
      <c r="L2101" s="3">
        <f t="shared" si="460"/>
        <v>1</v>
      </c>
      <c r="M2101" s="3">
        <f t="shared" si="461"/>
        <v>0</v>
      </c>
      <c r="N2101" s="3" t="str">
        <f t="shared" si="462"/>
        <v>01</v>
      </c>
      <c r="O2101" s="14" t="str">
        <f t="shared" si="463"/>
        <v>00</v>
      </c>
      <c r="R2101" s="6">
        <v>514</v>
      </c>
      <c r="S2101" s="5">
        <f t="shared" si="457"/>
        <v>0</v>
      </c>
      <c r="T2101" s="128"/>
    </row>
    <row r="2102" spans="9:20" hidden="1">
      <c r="I2102" s="1"/>
      <c r="J2102" s="1" t="str">
        <f t="shared" si="458"/>
        <v>0</v>
      </c>
      <c r="K2102" s="3">
        <f t="shared" si="459"/>
        <v>-100</v>
      </c>
      <c r="L2102" s="3">
        <f t="shared" si="460"/>
        <v>1</v>
      </c>
      <c r="M2102" s="3">
        <f t="shared" si="461"/>
        <v>0</v>
      </c>
      <c r="N2102" s="3" t="str">
        <f t="shared" si="462"/>
        <v>01</v>
      </c>
      <c r="O2102" s="14" t="str">
        <f t="shared" si="463"/>
        <v>00</v>
      </c>
      <c r="R2102" s="6">
        <v>514</v>
      </c>
      <c r="S2102" s="5">
        <f t="shared" si="457"/>
        <v>0</v>
      </c>
      <c r="T2102" s="128"/>
    </row>
    <row r="2103" spans="9:20" hidden="1">
      <c r="I2103" s="1"/>
      <c r="J2103" s="1" t="str">
        <f t="shared" si="458"/>
        <v>0</v>
      </c>
      <c r="K2103" s="3">
        <f t="shared" si="459"/>
        <v>-100</v>
      </c>
      <c r="L2103" s="3">
        <f t="shared" si="460"/>
        <v>1</v>
      </c>
      <c r="M2103" s="3">
        <f t="shared" si="461"/>
        <v>0</v>
      </c>
      <c r="N2103" s="3" t="str">
        <f t="shared" si="462"/>
        <v>01</v>
      </c>
      <c r="O2103" s="14" t="str">
        <f t="shared" si="463"/>
        <v>00</v>
      </c>
      <c r="R2103" s="6">
        <v>514</v>
      </c>
      <c r="S2103" s="5">
        <f t="shared" si="457"/>
        <v>0</v>
      </c>
      <c r="T2103" s="128"/>
    </row>
    <row r="2104" spans="9:20" hidden="1">
      <c r="I2104" s="1"/>
      <c r="J2104" s="1" t="str">
        <f t="shared" si="458"/>
        <v>0</v>
      </c>
      <c r="K2104" s="3">
        <f t="shared" si="459"/>
        <v>-100</v>
      </c>
      <c r="L2104" s="3">
        <f t="shared" si="460"/>
        <v>1</v>
      </c>
      <c r="M2104" s="3">
        <f t="shared" si="461"/>
        <v>0</v>
      </c>
      <c r="N2104" s="3" t="str">
        <f t="shared" si="462"/>
        <v>01</v>
      </c>
      <c r="O2104" s="14" t="str">
        <f t="shared" si="463"/>
        <v>00</v>
      </c>
      <c r="P2104" s="57"/>
      <c r="R2104" s="6">
        <v>514</v>
      </c>
      <c r="S2104" s="5">
        <f t="shared" si="457"/>
        <v>0</v>
      </c>
      <c r="T2104" s="129"/>
    </row>
    <row r="2105" spans="9:20" hidden="1">
      <c r="I2105" s="1"/>
      <c r="J2105" s="1" t="str">
        <f t="shared" si="458"/>
        <v>0</v>
      </c>
      <c r="K2105" s="3">
        <f t="shared" si="459"/>
        <v>-100</v>
      </c>
      <c r="L2105" s="3">
        <f t="shared" si="460"/>
        <v>1</v>
      </c>
      <c r="M2105" s="3">
        <f t="shared" si="461"/>
        <v>0</v>
      </c>
      <c r="N2105" s="3" t="str">
        <f t="shared" si="462"/>
        <v>01</v>
      </c>
      <c r="O2105" s="14" t="str">
        <f t="shared" si="463"/>
        <v>00</v>
      </c>
      <c r="P2105" s="57"/>
      <c r="R2105" s="6">
        <v>514</v>
      </c>
      <c r="S2105" s="5">
        <f t="shared" si="457"/>
        <v>0</v>
      </c>
      <c r="T2105" s="35"/>
    </row>
    <row r="2106" spans="9:20" hidden="1">
      <c r="I2106" s="1"/>
      <c r="J2106" s="1" t="str">
        <f t="shared" si="458"/>
        <v>0</v>
      </c>
      <c r="K2106" s="3">
        <f t="shared" si="459"/>
        <v>-100</v>
      </c>
      <c r="L2106" s="3">
        <f t="shared" si="460"/>
        <v>1</v>
      </c>
      <c r="M2106" s="3">
        <f t="shared" si="461"/>
        <v>0</v>
      </c>
      <c r="N2106" s="3" t="str">
        <f t="shared" si="462"/>
        <v>01</v>
      </c>
      <c r="O2106" s="14" t="str">
        <f t="shared" si="463"/>
        <v>00</v>
      </c>
      <c r="P2106" s="57"/>
      <c r="R2106" s="6">
        <v>514</v>
      </c>
      <c r="S2106" s="5">
        <f t="shared" si="457"/>
        <v>0</v>
      </c>
      <c r="T2106" s="35"/>
    </row>
    <row r="2107" spans="9:20" hidden="1">
      <c r="I2107" s="1"/>
      <c r="J2107" s="1" t="str">
        <f t="shared" si="458"/>
        <v>0</v>
      </c>
      <c r="K2107" s="3">
        <f t="shared" si="459"/>
        <v>-100</v>
      </c>
      <c r="L2107" s="3">
        <f t="shared" si="460"/>
        <v>1</v>
      </c>
      <c r="M2107" s="3">
        <f t="shared" si="461"/>
        <v>0</v>
      </c>
      <c r="N2107" s="3" t="str">
        <f t="shared" si="462"/>
        <v>01</v>
      </c>
      <c r="O2107" s="14" t="str">
        <f t="shared" si="463"/>
        <v>00</v>
      </c>
      <c r="P2107" s="57"/>
      <c r="R2107" s="6">
        <v>514</v>
      </c>
      <c r="S2107" s="5">
        <f t="shared" si="457"/>
        <v>0</v>
      </c>
      <c r="T2107" s="130"/>
    </row>
    <row r="2108" spans="9:20" hidden="1">
      <c r="I2108" s="1"/>
      <c r="J2108" s="1" t="str">
        <f t="shared" si="458"/>
        <v>0</v>
      </c>
      <c r="K2108" s="3">
        <f t="shared" si="459"/>
        <v>-100</v>
      </c>
      <c r="L2108" s="3">
        <f t="shared" si="460"/>
        <v>1</v>
      </c>
      <c r="M2108" s="3">
        <f t="shared" si="461"/>
        <v>0</v>
      </c>
      <c r="N2108" s="3" t="str">
        <f t="shared" si="462"/>
        <v>01</v>
      </c>
      <c r="O2108" s="14" t="str">
        <f t="shared" si="463"/>
        <v>00</v>
      </c>
      <c r="R2108" s="6">
        <v>514</v>
      </c>
      <c r="S2108" s="5">
        <f t="shared" si="457"/>
        <v>0</v>
      </c>
    </row>
    <row r="2109" spans="9:20" hidden="1">
      <c r="I2109" s="1"/>
      <c r="J2109" s="1" t="str">
        <f t="shared" si="458"/>
        <v>0</v>
      </c>
      <c r="K2109" s="3">
        <f t="shared" si="459"/>
        <v>-100</v>
      </c>
      <c r="L2109" s="3">
        <f t="shared" si="460"/>
        <v>1</v>
      </c>
      <c r="M2109" s="3">
        <f t="shared" si="461"/>
        <v>0</v>
      </c>
      <c r="N2109" s="3" t="str">
        <f t="shared" si="462"/>
        <v>01</v>
      </c>
      <c r="O2109" s="14" t="str">
        <f t="shared" si="463"/>
        <v>00</v>
      </c>
      <c r="R2109" s="6">
        <v>514</v>
      </c>
      <c r="S2109" s="5">
        <f t="shared" si="457"/>
        <v>0</v>
      </c>
    </row>
    <row r="2110" spans="9:20" hidden="1">
      <c r="J2110" s="1" t="str">
        <f t="shared" si="458"/>
        <v>0</v>
      </c>
      <c r="K2110" s="3">
        <f t="shared" si="459"/>
        <v>-100</v>
      </c>
      <c r="L2110" s="3">
        <f t="shared" si="460"/>
        <v>1</v>
      </c>
      <c r="M2110" s="3">
        <f t="shared" si="461"/>
        <v>0</v>
      </c>
      <c r="N2110" s="3" t="str">
        <f t="shared" si="462"/>
        <v>01</v>
      </c>
      <c r="O2110" s="14" t="str">
        <f t="shared" si="463"/>
        <v>00</v>
      </c>
      <c r="P2110" s="11"/>
      <c r="R2110" s="6">
        <v>514</v>
      </c>
      <c r="S2110" s="5">
        <f t="shared" si="457"/>
        <v>0</v>
      </c>
      <c r="T2110" s="18"/>
    </row>
    <row r="2111" spans="9:20" hidden="1">
      <c r="J2111" s="1" t="str">
        <f t="shared" si="458"/>
        <v>0</v>
      </c>
      <c r="K2111" s="3">
        <f t="shared" si="459"/>
        <v>-100</v>
      </c>
      <c r="L2111" s="3">
        <f t="shared" si="460"/>
        <v>1</v>
      </c>
      <c r="M2111" s="3">
        <f t="shared" si="461"/>
        <v>0</v>
      </c>
      <c r="N2111" s="3" t="str">
        <f t="shared" si="462"/>
        <v>01</v>
      </c>
      <c r="O2111" s="14" t="str">
        <f t="shared" si="463"/>
        <v>00</v>
      </c>
      <c r="P2111" s="11"/>
      <c r="R2111" s="6">
        <v>514</v>
      </c>
      <c r="S2111" s="5">
        <f t="shared" si="457"/>
        <v>0</v>
      </c>
      <c r="T2111" s="20"/>
    </row>
    <row r="2112" spans="9:20" hidden="1">
      <c r="J2112" s="1" t="str">
        <f t="shared" si="458"/>
        <v>0</v>
      </c>
      <c r="K2112" s="3">
        <f t="shared" si="459"/>
        <v>-100</v>
      </c>
      <c r="L2112" s="3">
        <f t="shared" si="460"/>
        <v>1</v>
      </c>
      <c r="M2112" s="3">
        <f t="shared" si="461"/>
        <v>0</v>
      </c>
      <c r="N2112" s="3" t="str">
        <f t="shared" si="462"/>
        <v>01</v>
      </c>
      <c r="O2112" s="14" t="str">
        <f t="shared" si="463"/>
        <v>00</v>
      </c>
      <c r="P2112" s="11"/>
      <c r="R2112" s="6">
        <v>514</v>
      </c>
      <c r="S2112" s="5">
        <f t="shared" si="457"/>
        <v>0</v>
      </c>
      <c r="T2112" s="21"/>
    </row>
    <row r="2113" spans="1:22" hidden="1">
      <c r="J2113" s="1" t="str">
        <f t="shared" si="458"/>
        <v>0</v>
      </c>
      <c r="K2113" s="3">
        <f t="shared" si="459"/>
        <v>-100</v>
      </c>
      <c r="L2113" s="3">
        <f t="shared" si="460"/>
        <v>1</v>
      </c>
      <c r="M2113" s="3">
        <f t="shared" si="461"/>
        <v>0</v>
      </c>
      <c r="N2113" s="3" t="str">
        <f t="shared" si="462"/>
        <v>01</v>
      </c>
      <c r="O2113" s="14" t="str">
        <f t="shared" si="463"/>
        <v>00</v>
      </c>
      <c r="P2113" s="11"/>
      <c r="R2113" s="6">
        <v>514</v>
      </c>
      <c r="S2113" s="5">
        <f t="shared" si="457"/>
        <v>0</v>
      </c>
      <c r="T2113" s="21"/>
    </row>
    <row r="2114" spans="1:22" hidden="1">
      <c r="J2114" s="1" t="str">
        <f t="shared" si="458"/>
        <v>0</v>
      </c>
      <c r="K2114" s="3">
        <f t="shared" si="459"/>
        <v>-100</v>
      </c>
      <c r="L2114" s="3">
        <f t="shared" si="460"/>
        <v>1</v>
      </c>
      <c r="M2114" s="3">
        <f t="shared" si="461"/>
        <v>0</v>
      </c>
      <c r="N2114" s="3" t="str">
        <f t="shared" si="462"/>
        <v>01</v>
      </c>
      <c r="O2114" s="14" t="str">
        <f t="shared" si="463"/>
        <v>00</v>
      </c>
      <c r="P2114" s="11"/>
      <c r="R2114" s="6">
        <v>514</v>
      </c>
      <c r="S2114" s="5">
        <f t="shared" si="457"/>
        <v>0</v>
      </c>
      <c r="T2114" s="21"/>
    </row>
    <row r="2115" spans="1:22" hidden="1">
      <c r="J2115" s="1" t="str">
        <f t="shared" si="458"/>
        <v>0</v>
      </c>
      <c r="K2115" s="3">
        <f t="shared" si="459"/>
        <v>-100</v>
      </c>
      <c r="L2115" s="3">
        <f t="shared" si="460"/>
        <v>1</v>
      </c>
      <c r="M2115" s="3">
        <f t="shared" si="461"/>
        <v>0</v>
      </c>
      <c r="N2115" s="3" t="str">
        <f t="shared" si="462"/>
        <v>01</v>
      </c>
      <c r="O2115" s="14" t="str">
        <f t="shared" si="463"/>
        <v>00</v>
      </c>
      <c r="P2115" s="11"/>
      <c r="R2115" s="6">
        <v>514</v>
      </c>
      <c r="S2115" s="5">
        <f t="shared" si="457"/>
        <v>0</v>
      </c>
      <c r="T2115" s="23"/>
    </row>
    <row r="2116" spans="1:22">
      <c r="A2116" s="3">
        <v>2051</v>
      </c>
      <c r="B2116" s="1">
        <f>IF(G2116="-",0,IF(G2115=G2116,1,0))</f>
        <v>0</v>
      </c>
      <c r="C2116" s="1">
        <f>+IF(G2116="-",0,IF(I2116=I2115+1,0,(IF(I2116=1,0,1))))</f>
        <v>1</v>
      </c>
      <c r="D2116" s="1">
        <f>+IF(AND(P2116="",Q2116=""),1,0)</f>
        <v>0</v>
      </c>
      <c r="E2116" s="1">
        <f>IF(U2116="",1,0)</f>
        <v>0</v>
      </c>
      <c r="F2116" s="1">
        <f>IF(V2116="",1,0)</f>
        <v>0</v>
      </c>
      <c r="G2116" s="1" t="str">
        <f>IF(H2116=0,"-",_xlfn.CONCAT(K2116,N2116,O2116,J2116))</f>
        <v>24092406</v>
      </c>
      <c r="H2116" s="2">
        <v>45559</v>
      </c>
      <c r="I2116" s="36">
        <v>6</v>
      </c>
      <c r="J2116" s="1" t="str">
        <f t="shared" si="458"/>
        <v>06</v>
      </c>
      <c r="K2116" s="3">
        <f t="shared" si="459"/>
        <v>24</v>
      </c>
      <c r="L2116" s="3">
        <f t="shared" si="460"/>
        <v>9</v>
      </c>
      <c r="M2116" s="3">
        <f t="shared" si="461"/>
        <v>24</v>
      </c>
      <c r="N2116" s="3" t="str">
        <f t="shared" si="462"/>
        <v>09</v>
      </c>
      <c r="O2116" s="14">
        <f t="shared" si="463"/>
        <v>24</v>
      </c>
      <c r="P2116" s="4">
        <v>65650</v>
      </c>
      <c r="R2116" s="6">
        <v>512</v>
      </c>
      <c r="S2116" s="5">
        <f t="shared" si="457"/>
        <v>128.22265625</v>
      </c>
      <c r="T2116" s="5" t="s">
        <v>875</v>
      </c>
      <c r="U2116" s="3" t="s">
        <v>29</v>
      </c>
      <c r="V2116" s="3" t="s">
        <v>4</v>
      </c>
    </row>
    <row r="2117" spans="1:22">
      <c r="A2117" s="3">
        <v>2052</v>
      </c>
      <c r="B2117" s="1">
        <f>IF(G2117="-",0,IF(G2116=G2117,1,0))</f>
        <v>0</v>
      </c>
      <c r="C2117" s="1">
        <f>+IF(G2117="-",0,IF(I2117=I2116+1,0,(IF(I2117=1,0,1))))</f>
        <v>0</v>
      </c>
      <c r="D2117" s="1">
        <f>+IF(AND(P2117="",Q2117=""),1,0)</f>
        <v>0</v>
      </c>
      <c r="E2117" s="1">
        <f>IF(U2117="",1,0)</f>
        <v>0</v>
      </c>
      <c r="F2117" s="1">
        <f>IF(V2117="",1,0)</f>
        <v>0</v>
      </c>
      <c r="G2117" s="1" t="str">
        <f>IF(H2117=0,"-",_xlfn.CONCAT(K2117,N2117,O2117,J2117))</f>
        <v>24092407</v>
      </c>
      <c r="H2117" s="2">
        <v>45559</v>
      </c>
      <c r="I2117" s="36">
        <v>7</v>
      </c>
      <c r="J2117" s="1" t="str">
        <f t="shared" si="458"/>
        <v>07</v>
      </c>
      <c r="K2117" s="3">
        <f t="shared" si="459"/>
        <v>24</v>
      </c>
      <c r="L2117" s="3">
        <f t="shared" si="460"/>
        <v>9</v>
      </c>
      <c r="M2117" s="3">
        <f t="shared" si="461"/>
        <v>24</v>
      </c>
      <c r="N2117" s="3" t="str">
        <f t="shared" si="462"/>
        <v>09</v>
      </c>
      <c r="O2117" s="14">
        <f t="shared" si="463"/>
        <v>24</v>
      </c>
      <c r="P2117" s="4">
        <v>6510</v>
      </c>
      <c r="R2117" s="6">
        <v>512</v>
      </c>
      <c r="S2117" s="5">
        <f t="shared" si="457"/>
        <v>12.71484375</v>
      </c>
      <c r="T2117" s="5" t="s">
        <v>876</v>
      </c>
      <c r="U2117" s="3" t="s">
        <v>29</v>
      </c>
      <c r="V2117" s="3" t="s">
        <v>4</v>
      </c>
    </row>
    <row r="2118" spans="1:22" hidden="1">
      <c r="J2118" s="1" t="str">
        <f t="shared" si="458"/>
        <v>0</v>
      </c>
      <c r="K2118" s="3">
        <f t="shared" si="459"/>
        <v>-100</v>
      </c>
      <c r="L2118" s="3">
        <f t="shared" si="460"/>
        <v>1</v>
      </c>
      <c r="M2118" s="3">
        <f t="shared" si="461"/>
        <v>0</v>
      </c>
      <c r="N2118" s="3" t="str">
        <f t="shared" si="462"/>
        <v>01</v>
      </c>
      <c r="O2118" s="14" t="str">
        <f t="shared" si="463"/>
        <v>00</v>
      </c>
      <c r="P2118" s="11"/>
      <c r="R2118" s="6">
        <v>514</v>
      </c>
      <c r="S2118" s="5">
        <f t="shared" si="457"/>
        <v>0</v>
      </c>
      <c r="T2118" s="23"/>
    </row>
    <row r="2119" spans="1:22" hidden="1">
      <c r="J2119" s="1" t="str">
        <f t="shared" si="458"/>
        <v>0</v>
      </c>
      <c r="K2119" s="3">
        <f t="shared" si="459"/>
        <v>-100</v>
      </c>
      <c r="L2119" s="3">
        <f t="shared" si="460"/>
        <v>1</v>
      </c>
      <c r="M2119" s="3">
        <f t="shared" si="461"/>
        <v>0</v>
      </c>
      <c r="N2119" s="3" t="str">
        <f t="shared" si="462"/>
        <v>01</v>
      </c>
      <c r="O2119" s="14" t="str">
        <f t="shared" si="463"/>
        <v>00</v>
      </c>
      <c r="P2119" s="11"/>
      <c r="R2119" s="6">
        <v>514</v>
      </c>
      <c r="S2119" s="5">
        <f t="shared" si="457"/>
        <v>0</v>
      </c>
      <c r="T2119" s="25"/>
    </row>
    <row r="2120" spans="1:22" hidden="1">
      <c r="J2120" s="1" t="str">
        <f t="shared" si="458"/>
        <v>0</v>
      </c>
      <c r="K2120" s="3">
        <f t="shared" si="459"/>
        <v>-100</v>
      </c>
      <c r="L2120" s="3">
        <f t="shared" si="460"/>
        <v>1</v>
      </c>
      <c r="M2120" s="3">
        <f t="shared" si="461"/>
        <v>0</v>
      </c>
      <c r="N2120" s="3" t="str">
        <f t="shared" si="462"/>
        <v>01</v>
      </c>
      <c r="O2120" s="14" t="str">
        <f t="shared" si="463"/>
        <v>00</v>
      </c>
      <c r="P2120" s="11"/>
      <c r="R2120" s="6">
        <v>514</v>
      </c>
      <c r="S2120" s="5">
        <f t="shared" si="457"/>
        <v>0</v>
      </c>
      <c r="T2120" s="25"/>
    </row>
    <row r="2121" spans="1:22">
      <c r="A2121" s="3">
        <v>2053</v>
      </c>
      <c r="B2121" s="1">
        <f>IF(G2121="-",0,IF(G2120=G2121,1,0))</f>
        <v>0</v>
      </c>
      <c r="C2121" s="1">
        <f>+IF(G2121="-",0,IF(I2121=I2120+1,0,(IF(I2121=1,0,1))))</f>
        <v>1</v>
      </c>
      <c r="D2121" s="1">
        <f>+IF(AND(P2121="",Q2121=""),1,0)</f>
        <v>0</v>
      </c>
      <c r="E2121" s="1">
        <f t="shared" ref="E2121:F2125" si="464">IF(U2121="",1,0)</f>
        <v>0</v>
      </c>
      <c r="F2121" s="1">
        <f t="shared" si="464"/>
        <v>0</v>
      </c>
      <c r="G2121" s="1" t="str">
        <f>IF(H2121=0,"-",_xlfn.CONCAT(K2121,N2121,O2121,J2121))</f>
        <v>24092408</v>
      </c>
      <c r="H2121" s="2">
        <v>45559</v>
      </c>
      <c r="I2121" s="36">
        <v>8</v>
      </c>
      <c r="J2121" s="1" t="str">
        <f t="shared" si="458"/>
        <v>08</v>
      </c>
      <c r="K2121" s="3">
        <f t="shared" si="459"/>
        <v>24</v>
      </c>
      <c r="L2121" s="3">
        <f t="shared" si="460"/>
        <v>9</v>
      </c>
      <c r="M2121" s="3">
        <f t="shared" si="461"/>
        <v>24</v>
      </c>
      <c r="N2121" s="3" t="str">
        <f t="shared" si="462"/>
        <v>09</v>
      </c>
      <c r="O2121" s="14">
        <f t="shared" si="463"/>
        <v>24</v>
      </c>
      <c r="P2121" s="4">
        <v>9830.01</v>
      </c>
      <c r="R2121" s="6">
        <v>512</v>
      </c>
      <c r="S2121" s="5">
        <f t="shared" si="457"/>
        <v>19.19923828125</v>
      </c>
      <c r="T2121" s="5" t="s">
        <v>876</v>
      </c>
      <c r="U2121" s="3" t="s">
        <v>29</v>
      </c>
      <c r="V2121" s="3" t="s">
        <v>4</v>
      </c>
    </row>
    <row r="2122" spans="1:22">
      <c r="A2122" s="3">
        <v>2054</v>
      </c>
      <c r="B2122" s="1">
        <f>IF(G2122="-",0,IF(G2121=G2122,1,0))</f>
        <v>0</v>
      </c>
      <c r="C2122" s="1">
        <f>+IF(G2122="-",0,IF(I2122=I2121+1,0,(IF(I2122=1,0,1))))</f>
        <v>0</v>
      </c>
      <c r="D2122" s="1">
        <f>+IF(AND(P2122="",Q2122=""),1,0)</f>
        <v>0</v>
      </c>
      <c r="E2122" s="1">
        <f t="shared" si="464"/>
        <v>0</v>
      </c>
      <c r="F2122" s="1">
        <f t="shared" si="464"/>
        <v>0</v>
      </c>
      <c r="G2122" s="1" t="str">
        <f>IF(H2122=0,"-",_xlfn.CONCAT(K2122,N2122,O2122,J2122))</f>
        <v>24092409</v>
      </c>
      <c r="H2122" s="2">
        <v>45559</v>
      </c>
      <c r="I2122" s="36">
        <v>9</v>
      </c>
      <c r="J2122" s="1" t="str">
        <f t="shared" si="458"/>
        <v>09</v>
      </c>
      <c r="K2122" s="3">
        <f t="shared" si="459"/>
        <v>24</v>
      </c>
      <c r="L2122" s="3">
        <f t="shared" si="460"/>
        <v>9</v>
      </c>
      <c r="M2122" s="3">
        <f t="shared" si="461"/>
        <v>24</v>
      </c>
      <c r="N2122" s="3" t="str">
        <f t="shared" si="462"/>
        <v>09</v>
      </c>
      <c r="O2122" s="14">
        <f t="shared" si="463"/>
        <v>24</v>
      </c>
      <c r="P2122" s="4">
        <v>33966.11</v>
      </c>
      <c r="R2122" s="6">
        <v>512</v>
      </c>
      <c r="S2122" s="5">
        <f t="shared" si="457"/>
        <v>66.340058593750001</v>
      </c>
      <c r="T2122" s="5" t="s">
        <v>876</v>
      </c>
      <c r="U2122" s="3" t="s">
        <v>29</v>
      </c>
      <c r="V2122" s="3" t="s">
        <v>4</v>
      </c>
    </row>
    <row r="2123" spans="1:22">
      <c r="A2123" s="3">
        <v>2055</v>
      </c>
      <c r="B2123" s="1">
        <f>IF(G2123="-",0,IF(G2122=G2123,1,0))</f>
        <v>0</v>
      </c>
      <c r="C2123" s="1">
        <f>+IF(G2123="-",0,IF(I2123=I2122+1,0,(IF(I2123=1,0,1))))</f>
        <v>0</v>
      </c>
      <c r="D2123" s="1">
        <f>+IF(AND(P2123="",Q2123=""),1,0)</f>
        <v>0</v>
      </c>
      <c r="E2123" s="1">
        <f t="shared" si="464"/>
        <v>0</v>
      </c>
      <c r="F2123" s="1">
        <f t="shared" si="464"/>
        <v>0</v>
      </c>
      <c r="G2123" s="1" t="str">
        <f>IF(H2123=0,"-",_xlfn.CONCAT(K2123,N2123,O2123,J2123))</f>
        <v>24092410</v>
      </c>
      <c r="H2123" s="2">
        <v>45559</v>
      </c>
      <c r="I2123" s="36">
        <v>10</v>
      </c>
      <c r="J2123" s="1">
        <f t="shared" si="458"/>
        <v>10</v>
      </c>
      <c r="K2123" s="3">
        <f t="shared" si="459"/>
        <v>24</v>
      </c>
      <c r="L2123" s="3">
        <f t="shared" si="460"/>
        <v>9</v>
      </c>
      <c r="M2123" s="3">
        <f t="shared" si="461"/>
        <v>24</v>
      </c>
      <c r="N2123" s="3" t="str">
        <f t="shared" si="462"/>
        <v>09</v>
      </c>
      <c r="O2123" s="14">
        <f t="shared" si="463"/>
        <v>24</v>
      </c>
      <c r="P2123" s="4">
        <v>47400</v>
      </c>
      <c r="R2123" s="6">
        <v>512</v>
      </c>
      <c r="S2123" s="5">
        <f t="shared" si="457"/>
        <v>92.578125</v>
      </c>
      <c r="T2123" s="5" t="s">
        <v>877</v>
      </c>
      <c r="U2123" s="3" t="s">
        <v>29</v>
      </c>
      <c r="V2123" s="3" t="s">
        <v>4</v>
      </c>
    </row>
    <row r="2124" spans="1:22">
      <c r="A2124" s="3">
        <v>2060</v>
      </c>
      <c r="B2124" s="1">
        <f>IF(G2124="-",0,IF(G2123=G2124,1,0))</f>
        <v>0</v>
      </c>
      <c r="C2124" s="1">
        <f>+IF(G2124="-",0,IF(I2124=I2123+1,0,(IF(I2124=1,0,1))))</f>
        <v>1</v>
      </c>
      <c r="D2124" s="1">
        <f>+IF(AND(P2124="",Q2124=""),1,0)</f>
        <v>0</v>
      </c>
      <c r="E2124" s="1">
        <f t="shared" si="464"/>
        <v>0</v>
      </c>
      <c r="F2124" s="1">
        <f t="shared" si="464"/>
        <v>0</v>
      </c>
      <c r="G2124" s="1" t="str">
        <f>IF(H2124=0,"-",_xlfn.CONCAT(K2124,N2124,O2124,J2124))</f>
        <v>24092504</v>
      </c>
      <c r="H2124" s="2">
        <v>45560</v>
      </c>
      <c r="I2124" s="36">
        <v>4</v>
      </c>
      <c r="J2124" s="1" t="str">
        <f t="shared" si="458"/>
        <v>04</v>
      </c>
      <c r="K2124" s="3">
        <f t="shared" si="459"/>
        <v>24</v>
      </c>
      <c r="L2124" s="3">
        <f t="shared" si="460"/>
        <v>9</v>
      </c>
      <c r="M2124" s="3">
        <f t="shared" si="461"/>
        <v>25</v>
      </c>
      <c r="N2124" s="3" t="str">
        <f t="shared" si="462"/>
        <v>09</v>
      </c>
      <c r="O2124" s="14">
        <f t="shared" si="463"/>
        <v>25</v>
      </c>
      <c r="P2124" s="4">
        <v>227000</v>
      </c>
      <c r="R2124" s="6">
        <v>511</v>
      </c>
      <c r="S2124" s="5">
        <f t="shared" si="457"/>
        <v>444.22700587084148</v>
      </c>
      <c r="T2124" s="5" t="s">
        <v>873</v>
      </c>
      <c r="U2124" s="3" t="s">
        <v>2</v>
      </c>
      <c r="V2124" s="3" t="s">
        <v>4</v>
      </c>
    </row>
    <row r="2125" spans="1:22">
      <c r="A2125" s="3">
        <v>2070</v>
      </c>
      <c r="B2125" s="1">
        <f>IF(G2125="-",0,IF(G2124=G2125,1,0))</f>
        <v>0</v>
      </c>
      <c r="C2125" s="1">
        <f>+IF(G2125="-",0,IF(I2125=I2124+1,0,(IF(I2125=1,0,1))))</f>
        <v>1</v>
      </c>
      <c r="D2125" s="1">
        <f>+IF(AND(P2125="",Q2125=""),1,0)</f>
        <v>0</v>
      </c>
      <c r="E2125" s="1">
        <f t="shared" si="464"/>
        <v>0</v>
      </c>
      <c r="F2125" s="1">
        <f t="shared" si="464"/>
        <v>0</v>
      </c>
      <c r="G2125" s="1" t="str">
        <f>IF(H2125=0,"-",_xlfn.CONCAT(K2125,N2125,O2125,J2125))</f>
        <v>24092604</v>
      </c>
      <c r="H2125" s="2">
        <v>45561</v>
      </c>
      <c r="I2125" s="36">
        <v>4</v>
      </c>
      <c r="J2125" s="1" t="str">
        <f t="shared" si="458"/>
        <v>04</v>
      </c>
      <c r="K2125" s="3">
        <f t="shared" si="459"/>
        <v>24</v>
      </c>
      <c r="L2125" s="3">
        <f t="shared" si="460"/>
        <v>9</v>
      </c>
      <c r="M2125" s="3">
        <f t="shared" si="461"/>
        <v>26</v>
      </c>
      <c r="N2125" s="3" t="str">
        <f t="shared" si="462"/>
        <v>09</v>
      </c>
      <c r="O2125" s="14">
        <f t="shared" si="463"/>
        <v>26</v>
      </c>
      <c r="P2125" s="4">
        <v>19509.55</v>
      </c>
      <c r="R2125" s="6">
        <v>514</v>
      </c>
      <c r="S2125" s="5">
        <f t="shared" si="457"/>
        <v>37.956322957198445</v>
      </c>
      <c r="T2125" s="5" t="s">
        <v>1183</v>
      </c>
      <c r="U2125" s="3" t="s">
        <v>29</v>
      </c>
      <c r="V2125" s="3" t="s">
        <v>4</v>
      </c>
    </row>
    <row r="2126" spans="1:22" hidden="1">
      <c r="J2126" s="1" t="str">
        <f t="shared" si="458"/>
        <v>0</v>
      </c>
      <c r="K2126" s="3">
        <f t="shared" si="459"/>
        <v>-100</v>
      </c>
      <c r="L2126" s="3">
        <f t="shared" si="460"/>
        <v>1</v>
      </c>
      <c r="M2126" s="3">
        <f t="shared" si="461"/>
        <v>0</v>
      </c>
      <c r="N2126" s="3" t="str">
        <f t="shared" si="462"/>
        <v>01</v>
      </c>
      <c r="O2126" s="14" t="str">
        <f t="shared" si="463"/>
        <v>00</v>
      </c>
      <c r="P2126" s="11"/>
      <c r="R2126" s="6">
        <v>514</v>
      </c>
      <c r="S2126" s="5">
        <f t="shared" si="457"/>
        <v>0</v>
      </c>
      <c r="T2126" s="25"/>
    </row>
    <row r="2127" spans="1:22" hidden="1">
      <c r="J2127" s="1" t="str">
        <f t="shared" si="458"/>
        <v>0</v>
      </c>
      <c r="K2127" s="3">
        <f t="shared" si="459"/>
        <v>-100</v>
      </c>
      <c r="L2127" s="3">
        <f t="shared" si="460"/>
        <v>1</v>
      </c>
      <c r="M2127" s="3">
        <f t="shared" si="461"/>
        <v>0</v>
      </c>
      <c r="N2127" s="3" t="str">
        <f t="shared" si="462"/>
        <v>01</v>
      </c>
      <c r="O2127" s="14" t="str">
        <f t="shared" si="463"/>
        <v>00</v>
      </c>
      <c r="P2127" s="11"/>
      <c r="R2127" s="6">
        <v>514</v>
      </c>
      <c r="S2127" s="5">
        <f t="shared" si="457"/>
        <v>0</v>
      </c>
      <c r="T2127" s="25"/>
    </row>
    <row r="2128" spans="1:22" hidden="1">
      <c r="J2128" s="1" t="str">
        <f t="shared" si="458"/>
        <v>0</v>
      </c>
      <c r="K2128" s="3">
        <f t="shared" si="459"/>
        <v>-100</v>
      </c>
      <c r="L2128" s="3">
        <f t="shared" si="460"/>
        <v>1</v>
      </c>
      <c r="M2128" s="3">
        <f t="shared" si="461"/>
        <v>0</v>
      </c>
      <c r="N2128" s="3" t="str">
        <f t="shared" si="462"/>
        <v>01</v>
      </c>
      <c r="O2128" s="14" t="str">
        <f t="shared" si="463"/>
        <v>00</v>
      </c>
      <c r="P2128" s="11"/>
      <c r="R2128" s="6">
        <v>514</v>
      </c>
      <c r="S2128" s="5">
        <f t="shared" si="457"/>
        <v>0</v>
      </c>
      <c r="T2128" s="27"/>
    </row>
    <row r="2129" spans="10:20" hidden="1">
      <c r="J2129" s="1" t="str">
        <f t="shared" si="458"/>
        <v>0</v>
      </c>
      <c r="K2129" s="3">
        <f t="shared" si="459"/>
        <v>-100</v>
      </c>
      <c r="L2129" s="3">
        <f t="shared" si="460"/>
        <v>1</v>
      </c>
      <c r="M2129" s="3">
        <f t="shared" si="461"/>
        <v>0</v>
      </c>
      <c r="N2129" s="3" t="str">
        <f t="shared" si="462"/>
        <v>01</v>
      </c>
      <c r="O2129" s="14" t="str">
        <f t="shared" si="463"/>
        <v>00</v>
      </c>
      <c r="P2129" s="11"/>
      <c r="R2129" s="6">
        <v>514</v>
      </c>
      <c r="S2129" s="5">
        <f t="shared" si="457"/>
        <v>0</v>
      </c>
      <c r="T2129" s="27"/>
    </row>
    <row r="2130" spans="10:20" hidden="1">
      <c r="J2130" s="1" t="str">
        <f t="shared" si="458"/>
        <v>0</v>
      </c>
      <c r="K2130" s="3">
        <f t="shared" si="459"/>
        <v>-100</v>
      </c>
      <c r="L2130" s="3">
        <f t="shared" si="460"/>
        <v>1</v>
      </c>
      <c r="M2130" s="3">
        <f t="shared" si="461"/>
        <v>0</v>
      </c>
      <c r="N2130" s="3" t="str">
        <f t="shared" si="462"/>
        <v>01</v>
      </c>
      <c r="O2130" s="14" t="str">
        <f t="shared" si="463"/>
        <v>00</v>
      </c>
      <c r="P2130" s="11"/>
      <c r="R2130" s="6">
        <v>514</v>
      </c>
      <c r="S2130" s="5">
        <f t="shared" si="457"/>
        <v>0</v>
      </c>
      <c r="T2130" s="27"/>
    </row>
    <row r="2131" spans="10:20" hidden="1">
      <c r="J2131" s="1" t="str">
        <f t="shared" si="458"/>
        <v>0</v>
      </c>
      <c r="K2131" s="3">
        <f t="shared" si="459"/>
        <v>-100</v>
      </c>
      <c r="L2131" s="3">
        <f t="shared" si="460"/>
        <v>1</v>
      </c>
      <c r="M2131" s="3">
        <f t="shared" si="461"/>
        <v>0</v>
      </c>
      <c r="N2131" s="3" t="str">
        <f t="shared" si="462"/>
        <v>01</v>
      </c>
      <c r="O2131" s="14" t="str">
        <f t="shared" si="463"/>
        <v>00</v>
      </c>
      <c r="P2131" s="11"/>
      <c r="R2131" s="6">
        <v>514</v>
      </c>
      <c r="S2131" s="5">
        <f t="shared" si="457"/>
        <v>0</v>
      </c>
      <c r="T2131" s="27"/>
    </row>
    <row r="2132" spans="10:20" hidden="1">
      <c r="J2132" s="1" t="str">
        <f t="shared" si="458"/>
        <v>0</v>
      </c>
      <c r="K2132" s="3">
        <f t="shared" si="459"/>
        <v>-100</v>
      </c>
      <c r="L2132" s="3">
        <f t="shared" si="460"/>
        <v>1</v>
      </c>
      <c r="M2132" s="3">
        <f t="shared" si="461"/>
        <v>0</v>
      </c>
      <c r="N2132" s="3" t="str">
        <f t="shared" si="462"/>
        <v>01</v>
      </c>
      <c r="O2132" s="14" t="str">
        <f t="shared" si="463"/>
        <v>00</v>
      </c>
      <c r="P2132" s="11"/>
      <c r="R2132" s="6">
        <v>514</v>
      </c>
      <c r="S2132" s="5">
        <f t="shared" si="457"/>
        <v>0</v>
      </c>
      <c r="T2132" s="27"/>
    </row>
    <row r="2133" spans="10:20" hidden="1">
      <c r="J2133" s="1" t="str">
        <f t="shared" si="458"/>
        <v>0</v>
      </c>
      <c r="K2133" s="3">
        <f t="shared" si="459"/>
        <v>-100</v>
      </c>
      <c r="L2133" s="3">
        <f t="shared" si="460"/>
        <v>1</v>
      </c>
      <c r="M2133" s="3">
        <f t="shared" si="461"/>
        <v>0</v>
      </c>
      <c r="N2133" s="3" t="str">
        <f t="shared" si="462"/>
        <v>01</v>
      </c>
      <c r="O2133" s="14" t="str">
        <f t="shared" si="463"/>
        <v>00</v>
      </c>
      <c r="P2133" s="11"/>
      <c r="R2133" s="6">
        <v>514</v>
      </c>
      <c r="S2133" s="5">
        <f t="shared" si="457"/>
        <v>0</v>
      </c>
      <c r="T2133" s="27"/>
    </row>
    <row r="2134" spans="10:20" hidden="1">
      <c r="J2134" s="1" t="str">
        <f t="shared" si="458"/>
        <v>0</v>
      </c>
      <c r="K2134" s="3">
        <f t="shared" si="459"/>
        <v>-100</v>
      </c>
      <c r="L2134" s="3">
        <f t="shared" si="460"/>
        <v>1</v>
      </c>
      <c r="M2134" s="3">
        <f t="shared" si="461"/>
        <v>0</v>
      </c>
      <c r="N2134" s="3" t="str">
        <f t="shared" si="462"/>
        <v>01</v>
      </c>
      <c r="O2134" s="14" t="str">
        <f t="shared" si="463"/>
        <v>00</v>
      </c>
      <c r="P2134" s="11"/>
      <c r="R2134" s="6">
        <v>514</v>
      </c>
      <c r="S2134" s="5">
        <f t="shared" si="457"/>
        <v>0</v>
      </c>
      <c r="T2134" s="27"/>
    </row>
    <row r="2135" spans="10:20" hidden="1">
      <c r="J2135" s="1" t="str">
        <f t="shared" si="458"/>
        <v>0</v>
      </c>
      <c r="K2135" s="3">
        <f t="shared" si="459"/>
        <v>-100</v>
      </c>
      <c r="L2135" s="3">
        <f t="shared" si="460"/>
        <v>1</v>
      </c>
      <c r="M2135" s="3">
        <f t="shared" si="461"/>
        <v>0</v>
      </c>
      <c r="N2135" s="3" t="str">
        <f t="shared" si="462"/>
        <v>01</v>
      </c>
      <c r="O2135" s="14" t="str">
        <f t="shared" si="463"/>
        <v>00</v>
      </c>
      <c r="R2135" s="6">
        <v>514</v>
      </c>
      <c r="S2135" s="5">
        <f t="shared" si="457"/>
        <v>0</v>
      </c>
    </row>
    <row r="2136" spans="10:20" hidden="1">
      <c r="J2136" s="1" t="str">
        <f t="shared" si="458"/>
        <v>0</v>
      </c>
      <c r="K2136" s="3">
        <f t="shared" si="459"/>
        <v>-100</v>
      </c>
      <c r="L2136" s="3">
        <f t="shared" si="460"/>
        <v>1</v>
      </c>
      <c r="M2136" s="3">
        <f t="shared" si="461"/>
        <v>0</v>
      </c>
      <c r="N2136" s="3" t="str">
        <f t="shared" si="462"/>
        <v>01</v>
      </c>
      <c r="O2136" s="14" t="str">
        <f t="shared" si="463"/>
        <v>00</v>
      </c>
      <c r="R2136" s="6">
        <v>514</v>
      </c>
      <c r="S2136" s="5">
        <f t="shared" si="457"/>
        <v>0</v>
      </c>
    </row>
    <row r="2137" spans="10:20" hidden="1">
      <c r="J2137" s="1" t="str">
        <f t="shared" si="458"/>
        <v>0</v>
      </c>
      <c r="K2137" s="3">
        <f t="shared" si="459"/>
        <v>-100</v>
      </c>
      <c r="L2137" s="3">
        <f t="shared" si="460"/>
        <v>1</v>
      </c>
      <c r="M2137" s="3">
        <f t="shared" si="461"/>
        <v>0</v>
      </c>
      <c r="N2137" s="3" t="str">
        <f t="shared" si="462"/>
        <v>01</v>
      </c>
      <c r="O2137" s="14" t="str">
        <f t="shared" si="463"/>
        <v>00</v>
      </c>
    </row>
    <row r="2138" spans="10:20" hidden="1">
      <c r="J2138" s="1" t="str">
        <f t="shared" si="458"/>
        <v>0</v>
      </c>
      <c r="K2138" s="3">
        <f t="shared" si="459"/>
        <v>-100</v>
      </c>
      <c r="L2138" s="3">
        <f t="shared" si="460"/>
        <v>1</v>
      </c>
      <c r="M2138" s="3">
        <f t="shared" si="461"/>
        <v>0</v>
      </c>
      <c r="N2138" s="3" t="str">
        <f t="shared" si="462"/>
        <v>01</v>
      </c>
      <c r="O2138" s="14" t="str">
        <f t="shared" si="463"/>
        <v>00</v>
      </c>
      <c r="P2138" s="132"/>
      <c r="R2138" s="6">
        <v>514</v>
      </c>
      <c r="S2138" s="5">
        <f t="shared" ref="S2138:S2145" si="465">IFERROR(P2138/R2138,"")</f>
        <v>0</v>
      </c>
    </row>
    <row r="2139" spans="10:20" hidden="1">
      <c r="J2139" s="1" t="str">
        <f t="shared" si="458"/>
        <v>0</v>
      </c>
      <c r="K2139" s="3">
        <f t="shared" si="459"/>
        <v>-100</v>
      </c>
      <c r="L2139" s="3">
        <f t="shared" si="460"/>
        <v>1</v>
      </c>
      <c r="M2139" s="3">
        <f t="shared" si="461"/>
        <v>0</v>
      </c>
      <c r="N2139" s="3" t="str">
        <f t="shared" si="462"/>
        <v>01</v>
      </c>
      <c r="O2139" s="14" t="str">
        <f t="shared" si="463"/>
        <v>00</v>
      </c>
      <c r="R2139" s="6">
        <v>514</v>
      </c>
      <c r="S2139" s="5">
        <f t="shared" si="465"/>
        <v>0</v>
      </c>
    </row>
    <row r="2140" spans="10:20" hidden="1">
      <c r="J2140" s="1" t="str">
        <f t="shared" si="458"/>
        <v>0</v>
      </c>
      <c r="K2140" s="3">
        <f t="shared" si="459"/>
        <v>-100</v>
      </c>
      <c r="L2140" s="3">
        <f t="shared" si="460"/>
        <v>1</v>
      </c>
      <c r="M2140" s="3">
        <f t="shared" si="461"/>
        <v>0</v>
      </c>
      <c r="N2140" s="3" t="str">
        <f t="shared" si="462"/>
        <v>01</v>
      </c>
      <c r="O2140" s="14" t="str">
        <f t="shared" si="463"/>
        <v>00</v>
      </c>
      <c r="R2140" s="6">
        <v>514</v>
      </c>
      <c r="S2140" s="5">
        <f t="shared" si="465"/>
        <v>0</v>
      </c>
    </row>
    <row r="2141" spans="10:20" hidden="1">
      <c r="J2141" s="1" t="str">
        <f t="shared" si="458"/>
        <v>0</v>
      </c>
      <c r="K2141" s="3">
        <f t="shared" si="459"/>
        <v>-100</v>
      </c>
      <c r="L2141" s="3">
        <f t="shared" si="460"/>
        <v>1</v>
      </c>
      <c r="M2141" s="3">
        <f t="shared" si="461"/>
        <v>0</v>
      </c>
      <c r="N2141" s="3" t="str">
        <f t="shared" si="462"/>
        <v>01</v>
      </c>
      <c r="O2141" s="14" t="str">
        <f t="shared" si="463"/>
        <v>00</v>
      </c>
      <c r="R2141" s="6">
        <v>514</v>
      </c>
      <c r="S2141" s="5">
        <f t="shared" si="465"/>
        <v>0</v>
      </c>
    </row>
    <row r="2142" spans="10:20" hidden="1">
      <c r="J2142" s="1" t="str">
        <f t="shared" si="458"/>
        <v>0</v>
      </c>
      <c r="K2142" s="3">
        <f t="shared" si="459"/>
        <v>-100</v>
      </c>
      <c r="L2142" s="3">
        <f t="shared" si="460"/>
        <v>1</v>
      </c>
      <c r="M2142" s="3">
        <f t="shared" si="461"/>
        <v>0</v>
      </c>
      <c r="N2142" s="3" t="str">
        <f t="shared" si="462"/>
        <v>01</v>
      </c>
      <c r="O2142" s="14" t="str">
        <f t="shared" si="463"/>
        <v>00</v>
      </c>
      <c r="R2142" s="6">
        <v>514</v>
      </c>
      <c r="S2142" s="5">
        <f t="shared" si="465"/>
        <v>0</v>
      </c>
    </row>
    <row r="2143" spans="10:20" hidden="1">
      <c r="J2143" s="1" t="str">
        <f t="shared" si="458"/>
        <v>0</v>
      </c>
      <c r="K2143" s="3">
        <f t="shared" si="459"/>
        <v>-100</v>
      </c>
      <c r="L2143" s="3">
        <f t="shared" si="460"/>
        <v>1</v>
      </c>
      <c r="M2143" s="3">
        <f t="shared" si="461"/>
        <v>0</v>
      </c>
      <c r="N2143" s="3" t="str">
        <f t="shared" si="462"/>
        <v>01</v>
      </c>
      <c r="O2143" s="14" t="str">
        <f t="shared" si="463"/>
        <v>00</v>
      </c>
      <c r="R2143" s="6">
        <v>514</v>
      </c>
      <c r="S2143" s="5">
        <f t="shared" si="465"/>
        <v>0</v>
      </c>
    </row>
    <row r="2144" spans="10:20" hidden="1">
      <c r="J2144" s="1" t="str">
        <f t="shared" si="458"/>
        <v>0</v>
      </c>
      <c r="K2144" s="3">
        <f t="shared" si="459"/>
        <v>-100</v>
      </c>
      <c r="L2144" s="3">
        <f t="shared" si="460"/>
        <v>1</v>
      </c>
      <c r="M2144" s="3">
        <f t="shared" si="461"/>
        <v>0</v>
      </c>
      <c r="N2144" s="3" t="str">
        <f t="shared" si="462"/>
        <v>01</v>
      </c>
      <c r="O2144" s="14" t="str">
        <f t="shared" si="463"/>
        <v>00</v>
      </c>
      <c r="R2144" s="6">
        <v>514</v>
      </c>
      <c r="S2144" s="5">
        <f t="shared" si="465"/>
        <v>0</v>
      </c>
    </row>
    <row r="2145" spans="1:23" hidden="1">
      <c r="J2145" s="1" t="str">
        <f t="shared" si="458"/>
        <v>0</v>
      </c>
      <c r="K2145" s="3">
        <f t="shared" si="459"/>
        <v>-100</v>
      </c>
      <c r="L2145" s="3">
        <f t="shared" si="460"/>
        <v>1</v>
      </c>
      <c r="M2145" s="3">
        <f t="shared" si="461"/>
        <v>0</v>
      </c>
      <c r="N2145" s="3" t="str">
        <f t="shared" si="462"/>
        <v>01</v>
      </c>
      <c r="O2145" s="14" t="str">
        <f t="shared" si="463"/>
        <v>00</v>
      </c>
      <c r="R2145" s="6">
        <v>514</v>
      </c>
      <c r="S2145" s="5">
        <f t="shared" si="465"/>
        <v>0</v>
      </c>
    </row>
    <row r="2146" spans="1:23" hidden="1">
      <c r="J2146" s="1" t="str">
        <f t="shared" si="458"/>
        <v>0</v>
      </c>
      <c r="K2146" s="3">
        <f t="shared" si="459"/>
        <v>-100</v>
      </c>
      <c r="L2146" s="3">
        <f t="shared" si="460"/>
        <v>1</v>
      </c>
      <c r="M2146" s="3">
        <f t="shared" si="461"/>
        <v>0</v>
      </c>
      <c r="N2146" s="3" t="str">
        <f t="shared" si="462"/>
        <v>01</v>
      </c>
      <c r="O2146" s="14" t="str">
        <f t="shared" si="463"/>
        <v>00</v>
      </c>
    </row>
    <row r="2147" spans="1:23" hidden="1">
      <c r="J2147" s="1" t="str">
        <f t="shared" si="458"/>
        <v>0</v>
      </c>
      <c r="K2147" s="3">
        <f t="shared" si="459"/>
        <v>-100</v>
      </c>
      <c r="L2147" s="3">
        <f t="shared" si="460"/>
        <v>1</v>
      </c>
      <c r="M2147" s="3">
        <f t="shared" si="461"/>
        <v>0</v>
      </c>
      <c r="N2147" s="3" t="str">
        <f t="shared" si="462"/>
        <v>01</v>
      </c>
      <c r="O2147" s="14" t="str">
        <f t="shared" si="463"/>
        <v>00</v>
      </c>
      <c r="R2147" s="6">
        <v>512</v>
      </c>
      <c r="S2147" s="5">
        <f>IFERROR(P2147/R2147,"")</f>
        <v>0</v>
      </c>
    </row>
    <row r="2148" spans="1:23" hidden="1">
      <c r="J2148" s="1" t="str">
        <f t="shared" si="458"/>
        <v>0</v>
      </c>
      <c r="K2148" s="3">
        <f t="shared" si="459"/>
        <v>-100</v>
      </c>
      <c r="L2148" s="3">
        <f t="shared" si="460"/>
        <v>1</v>
      </c>
      <c r="M2148" s="3">
        <f t="shared" si="461"/>
        <v>0</v>
      </c>
      <c r="N2148" s="3" t="str">
        <f t="shared" si="462"/>
        <v>01</v>
      </c>
      <c r="O2148" s="14" t="str">
        <f t="shared" si="463"/>
        <v>00</v>
      </c>
      <c r="R2148" s="6">
        <v>512</v>
      </c>
      <c r="S2148" s="5">
        <f>IFERROR(P2148/R2148,"")</f>
        <v>0</v>
      </c>
    </row>
    <row r="2149" spans="1:23" hidden="1">
      <c r="J2149" s="1" t="str">
        <f t="shared" si="458"/>
        <v>0</v>
      </c>
      <c r="K2149" s="3">
        <f t="shared" si="459"/>
        <v>-100</v>
      </c>
      <c r="L2149" s="3">
        <f t="shared" si="460"/>
        <v>1</v>
      </c>
      <c r="M2149" s="3">
        <f t="shared" si="461"/>
        <v>0</v>
      </c>
      <c r="N2149" s="3" t="str">
        <f t="shared" si="462"/>
        <v>01</v>
      </c>
      <c r="O2149" s="14" t="str">
        <f t="shared" si="463"/>
        <v>00</v>
      </c>
    </row>
    <row r="2150" spans="1:23" hidden="1">
      <c r="J2150" s="1" t="str">
        <f t="shared" si="458"/>
        <v>0</v>
      </c>
      <c r="K2150" s="3">
        <f t="shared" si="459"/>
        <v>-100</v>
      </c>
      <c r="L2150" s="3">
        <f t="shared" si="460"/>
        <v>1</v>
      </c>
      <c r="M2150" s="3">
        <f t="shared" si="461"/>
        <v>0</v>
      </c>
      <c r="N2150" s="3" t="str">
        <f t="shared" si="462"/>
        <v>01</v>
      </c>
      <c r="O2150" s="14" t="str">
        <f t="shared" si="463"/>
        <v>00</v>
      </c>
      <c r="R2150" s="6">
        <v>512</v>
      </c>
      <c r="S2150" s="5">
        <f t="shared" ref="S2150:S2170" si="466">IFERROR(P2150/R2150,"")</f>
        <v>0</v>
      </c>
    </row>
    <row r="2151" spans="1:23" s="42" customFormat="1" hidden="1">
      <c r="A2151" s="3"/>
      <c r="B2151" s="1"/>
      <c r="C2151" s="1"/>
      <c r="D2151" s="1"/>
      <c r="E2151" s="1"/>
      <c r="F2151" s="1"/>
      <c r="G2151" s="1"/>
      <c r="H2151" s="2"/>
      <c r="I2151" s="36"/>
      <c r="J2151" s="1" t="str">
        <f t="shared" si="458"/>
        <v>0</v>
      </c>
      <c r="K2151" s="3">
        <f t="shared" si="459"/>
        <v>-100</v>
      </c>
      <c r="L2151" s="3">
        <f t="shared" si="460"/>
        <v>1</v>
      </c>
      <c r="M2151" s="3">
        <f t="shared" si="461"/>
        <v>0</v>
      </c>
      <c r="N2151" s="3" t="str">
        <f t="shared" si="462"/>
        <v>01</v>
      </c>
      <c r="O2151" s="14" t="str">
        <f t="shared" si="463"/>
        <v>00</v>
      </c>
      <c r="P2151" s="4"/>
      <c r="Q2151" s="5"/>
      <c r="R2151" s="6">
        <v>511</v>
      </c>
      <c r="S2151" s="5">
        <f t="shared" si="466"/>
        <v>0</v>
      </c>
      <c r="T2151" s="5"/>
      <c r="U2151" s="3"/>
      <c r="V2151" s="3"/>
      <c r="W2151" s="3"/>
    </row>
    <row r="2152" spans="1:23" s="42" customFormat="1" hidden="1">
      <c r="A2152" s="3"/>
      <c r="B2152" s="1"/>
      <c r="C2152" s="1"/>
      <c r="D2152" s="1"/>
      <c r="E2152" s="1"/>
      <c r="F2152" s="1"/>
      <c r="G2152" s="1"/>
      <c r="H2152" s="2"/>
      <c r="I2152" s="36"/>
      <c r="J2152" s="1" t="str">
        <f t="shared" si="458"/>
        <v>0</v>
      </c>
      <c r="K2152" s="3">
        <f t="shared" si="459"/>
        <v>-100</v>
      </c>
      <c r="L2152" s="3">
        <f t="shared" si="460"/>
        <v>1</v>
      </c>
      <c r="M2152" s="3">
        <f t="shared" si="461"/>
        <v>0</v>
      </c>
      <c r="N2152" s="3" t="str">
        <f t="shared" si="462"/>
        <v>01</v>
      </c>
      <c r="O2152" s="14" t="str">
        <f t="shared" si="463"/>
        <v>00</v>
      </c>
      <c r="P2152" s="4"/>
      <c r="Q2152" s="5"/>
      <c r="R2152" s="6">
        <v>511</v>
      </c>
      <c r="S2152" s="5">
        <f t="shared" si="466"/>
        <v>0</v>
      </c>
      <c r="T2152" s="5"/>
      <c r="U2152" s="3"/>
      <c r="V2152" s="3"/>
      <c r="W2152" s="3"/>
    </row>
    <row r="2153" spans="1:23" hidden="1">
      <c r="J2153" s="1" t="str">
        <f t="shared" si="458"/>
        <v>0</v>
      </c>
      <c r="K2153" s="3">
        <f t="shared" si="459"/>
        <v>-100</v>
      </c>
      <c r="L2153" s="3">
        <f t="shared" si="460"/>
        <v>1</v>
      </c>
      <c r="M2153" s="3">
        <f t="shared" si="461"/>
        <v>0</v>
      </c>
      <c r="N2153" s="3" t="str">
        <f t="shared" si="462"/>
        <v>01</v>
      </c>
      <c r="O2153" s="14" t="str">
        <f t="shared" si="463"/>
        <v>00</v>
      </c>
      <c r="R2153" s="6">
        <v>511</v>
      </c>
      <c r="S2153" s="5">
        <f t="shared" si="466"/>
        <v>0</v>
      </c>
    </row>
    <row r="2154" spans="1:23" hidden="1">
      <c r="J2154" s="1" t="str">
        <f t="shared" si="458"/>
        <v>0</v>
      </c>
      <c r="K2154" s="3">
        <f t="shared" si="459"/>
        <v>-100</v>
      </c>
      <c r="L2154" s="3">
        <f t="shared" si="460"/>
        <v>1</v>
      </c>
      <c r="M2154" s="3">
        <f t="shared" si="461"/>
        <v>0</v>
      </c>
      <c r="N2154" s="3" t="str">
        <f t="shared" si="462"/>
        <v>01</v>
      </c>
      <c r="O2154" s="14" t="str">
        <f t="shared" si="463"/>
        <v>00</v>
      </c>
      <c r="R2154" s="6">
        <v>511</v>
      </c>
      <c r="S2154" s="5">
        <f t="shared" si="466"/>
        <v>0</v>
      </c>
    </row>
    <row r="2155" spans="1:23" hidden="1">
      <c r="J2155" s="1" t="str">
        <f t="shared" si="458"/>
        <v>0</v>
      </c>
      <c r="K2155" s="3">
        <f t="shared" si="459"/>
        <v>-100</v>
      </c>
      <c r="L2155" s="3">
        <f t="shared" si="460"/>
        <v>1</v>
      </c>
      <c r="M2155" s="3">
        <f t="shared" si="461"/>
        <v>0</v>
      </c>
      <c r="N2155" s="3" t="str">
        <f t="shared" si="462"/>
        <v>01</v>
      </c>
      <c r="O2155" s="14" t="str">
        <f t="shared" si="463"/>
        <v>00</v>
      </c>
      <c r="R2155" s="6">
        <v>511</v>
      </c>
      <c r="S2155" s="5">
        <f t="shared" si="466"/>
        <v>0</v>
      </c>
    </row>
    <row r="2156" spans="1:23" hidden="1">
      <c r="J2156" s="1" t="str">
        <f t="shared" si="458"/>
        <v>0</v>
      </c>
      <c r="K2156" s="3">
        <f t="shared" si="459"/>
        <v>-100</v>
      </c>
      <c r="L2156" s="3">
        <f t="shared" si="460"/>
        <v>1</v>
      </c>
      <c r="M2156" s="3">
        <f t="shared" si="461"/>
        <v>0</v>
      </c>
      <c r="N2156" s="3" t="str">
        <f t="shared" si="462"/>
        <v>01</v>
      </c>
      <c r="O2156" s="14" t="str">
        <f t="shared" si="463"/>
        <v>00</v>
      </c>
      <c r="R2156" s="6">
        <v>511</v>
      </c>
      <c r="S2156" s="5">
        <f t="shared" si="466"/>
        <v>0</v>
      </c>
    </row>
    <row r="2157" spans="1:23" hidden="1">
      <c r="J2157" s="1" t="str">
        <f t="shared" si="458"/>
        <v>0</v>
      </c>
      <c r="K2157" s="3">
        <f t="shared" si="459"/>
        <v>-100</v>
      </c>
      <c r="L2157" s="3">
        <f t="shared" si="460"/>
        <v>1</v>
      </c>
      <c r="M2157" s="3">
        <f t="shared" si="461"/>
        <v>0</v>
      </c>
      <c r="N2157" s="3" t="str">
        <f t="shared" si="462"/>
        <v>01</v>
      </c>
      <c r="O2157" s="14" t="str">
        <f t="shared" si="463"/>
        <v>00</v>
      </c>
      <c r="R2157" s="6">
        <v>511</v>
      </c>
      <c r="S2157" s="5">
        <f t="shared" si="466"/>
        <v>0</v>
      </c>
    </row>
    <row r="2158" spans="1:23" hidden="1">
      <c r="J2158" s="1" t="str">
        <f t="shared" si="458"/>
        <v>0</v>
      </c>
      <c r="K2158" s="3">
        <f t="shared" si="459"/>
        <v>-100</v>
      </c>
      <c r="L2158" s="3">
        <f t="shared" si="460"/>
        <v>1</v>
      </c>
      <c r="M2158" s="3">
        <f t="shared" si="461"/>
        <v>0</v>
      </c>
      <c r="N2158" s="3" t="str">
        <f t="shared" si="462"/>
        <v>01</v>
      </c>
      <c r="O2158" s="14" t="str">
        <f t="shared" si="463"/>
        <v>00</v>
      </c>
      <c r="R2158" s="6">
        <v>511</v>
      </c>
      <c r="S2158" s="5">
        <f t="shared" si="466"/>
        <v>0</v>
      </c>
    </row>
    <row r="2159" spans="1:23" hidden="1">
      <c r="J2159" s="1" t="str">
        <f t="shared" si="458"/>
        <v>0</v>
      </c>
      <c r="K2159" s="3">
        <f t="shared" si="459"/>
        <v>-100</v>
      </c>
      <c r="L2159" s="3">
        <f t="shared" si="460"/>
        <v>1</v>
      </c>
      <c r="M2159" s="3">
        <f t="shared" si="461"/>
        <v>0</v>
      </c>
      <c r="N2159" s="3" t="str">
        <f t="shared" si="462"/>
        <v>01</v>
      </c>
      <c r="O2159" s="14" t="str">
        <f t="shared" si="463"/>
        <v>00</v>
      </c>
      <c r="R2159" s="6">
        <v>511</v>
      </c>
      <c r="S2159" s="5">
        <f t="shared" si="466"/>
        <v>0</v>
      </c>
    </row>
    <row r="2160" spans="1:23" hidden="1">
      <c r="J2160" s="1" t="str">
        <f t="shared" si="458"/>
        <v>0</v>
      </c>
      <c r="K2160" s="3">
        <f t="shared" si="459"/>
        <v>-100</v>
      </c>
      <c r="L2160" s="3">
        <f t="shared" si="460"/>
        <v>1</v>
      </c>
      <c r="M2160" s="3">
        <f t="shared" si="461"/>
        <v>0</v>
      </c>
      <c r="N2160" s="3" t="str">
        <f t="shared" si="462"/>
        <v>01</v>
      </c>
      <c r="O2160" s="14" t="str">
        <f t="shared" si="463"/>
        <v>00</v>
      </c>
      <c r="R2160" s="6">
        <v>511</v>
      </c>
      <c r="S2160" s="5">
        <f t="shared" si="466"/>
        <v>0</v>
      </c>
    </row>
    <row r="2161" spans="1:23" hidden="1">
      <c r="G2161" s="38"/>
      <c r="H2161" s="37"/>
      <c r="J2161" s="38" t="str">
        <f t="shared" si="458"/>
        <v>0</v>
      </c>
      <c r="K2161" s="42">
        <f t="shared" si="459"/>
        <v>-100</v>
      </c>
      <c r="L2161" s="42">
        <f t="shared" si="460"/>
        <v>1</v>
      </c>
      <c r="M2161" s="42">
        <f t="shared" si="461"/>
        <v>0</v>
      </c>
      <c r="N2161" s="42" t="str">
        <f t="shared" si="462"/>
        <v>01</v>
      </c>
      <c r="O2161" s="50" t="str">
        <f t="shared" si="463"/>
        <v>00</v>
      </c>
      <c r="P2161" s="39"/>
      <c r="Q2161" s="40"/>
      <c r="R2161" s="41">
        <v>511</v>
      </c>
      <c r="S2161" s="40">
        <f t="shared" si="466"/>
        <v>0</v>
      </c>
      <c r="T2161" s="40"/>
      <c r="U2161" s="42"/>
      <c r="V2161" s="42"/>
      <c r="W2161" s="42"/>
    </row>
    <row r="2162" spans="1:23" hidden="1">
      <c r="J2162" s="1" t="str">
        <f t="shared" ref="J2162:J2225" si="467">+IF(I2162&lt;10,_xlfn.CONCAT("0",I2162),I2162)</f>
        <v>0</v>
      </c>
      <c r="K2162" s="3">
        <f t="shared" ref="K2162:K2225" si="468">+YEAR(H2162)-2000</f>
        <v>-100</v>
      </c>
      <c r="L2162" s="3">
        <f t="shared" ref="L2162:L2225" si="469">+MONTH(H2162)</f>
        <v>1</v>
      </c>
      <c r="M2162" s="3">
        <f t="shared" ref="M2162:M2225" si="470">+DAY(H2162)</f>
        <v>0</v>
      </c>
      <c r="N2162" s="3" t="str">
        <f t="shared" ref="N2162:N2225" si="471">+IF(L2162&lt;10,_xlfn.CONCAT("0",L2162),L2162)</f>
        <v>01</v>
      </c>
      <c r="O2162" s="14" t="str">
        <f t="shared" ref="O2162:O2225" si="472">+IF(M2162&lt;10,_xlfn.CONCAT("0",M2162),M2162)</f>
        <v>00</v>
      </c>
      <c r="R2162" s="6">
        <v>511</v>
      </c>
      <c r="S2162" s="5">
        <f t="shared" si="466"/>
        <v>0</v>
      </c>
    </row>
    <row r="2163" spans="1:23" hidden="1">
      <c r="J2163" s="1" t="str">
        <f t="shared" si="467"/>
        <v>0</v>
      </c>
      <c r="K2163" s="3">
        <f t="shared" si="468"/>
        <v>-100</v>
      </c>
      <c r="L2163" s="3">
        <f t="shared" si="469"/>
        <v>1</v>
      </c>
      <c r="M2163" s="3">
        <f t="shared" si="470"/>
        <v>0</v>
      </c>
      <c r="N2163" s="3" t="str">
        <f t="shared" si="471"/>
        <v>01</v>
      </c>
      <c r="O2163" s="14" t="str">
        <f t="shared" si="472"/>
        <v>00</v>
      </c>
      <c r="S2163" s="5" t="str">
        <f t="shared" si="466"/>
        <v/>
      </c>
    </row>
    <row r="2164" spans="1:23" hidden="1">
      <c r="J2164" s="1" t="str">
        <f t="shared" si="467"/>
        <v>0</v>
      </c>
      <c r="K2164" s="3">
        <f t="shared" si="468"/>
        <v>-100</v>
      </c>
      <c r="L2164" s="3">
        <f t="shared" si="469"/>
        <v>1</v>
      </c>
      <c r="M2164" s="3">
        <f t="shared" si="470"/>
        <v>0</v>
      </c>
      <c r="N2164" s="3" t="str">
        <f t="shared" si="471"/>
        <v>01</v>
      </c>
      <c r="O2164" s="14" t="str">
        <f t="shared" si="472"/>
        <v>00</v>
      </c>
      <c r="S2164" s="5" t="str">
        <f t="shared" si="466"/>
        <v/>
      </c>
    </row>
    <row r="2165" spans="1:23" hidden="1">
      <c r="J2165" s="1" t="str">
        <f t="shared" si="467"/>
        <v>0</v>
      </c>
      <c r="K2165" s="3">
        <f t="shared" si="468"/>
        <v>-100</v>
      </c>
      <c r="L2165" s="3">
        <f t="shared" si="469"/>
        <v>1</v>
      </c>
      <c r="M2165" s="3">
        <f t="shared" si="470"/>
        <v>0</v>
      </c>
      <c r="N2165" s="3" t="str">
        <f t="shared" si="471"/>
        <v>01</v>
      </c>
      <c r="O2165" s="14" t="str">
        <f t="shared" si="472"/>
        <v>00</v>
      </c>
      <c r="S2165" s="5" t="str">
        <f t="shared" si="466"/>
        <v/>
      </c>
    </row>
    <row r="2166" spans="1:23" hidden="1">
      <c r="G2166" s="38"/>
      <c r="H2166" s="37"/>
      <c r="J2166" s="38" t="str">
        <f t="shared" si="467"/>
        <v>0</v>
      </c>
      <c r="K2166" s="42">
        <f t="shared" si="468"/>
        <v>-100</v>
      </c>
      <c r="L2166" s="42">
        <f t="shared" si="469"/>
        <v>1</v>
      </c>
      <c r="M2166" s="42">
        <f t="shared" si="470"/>
        <v>0</v>
      </c>
      <c r="N2166" s="42" t="str">
        <f t="shared" si="471"/>
        <v>01</v>
      </c>
      <c r="O2166" s="50" t="str">
        <f t="shared" si="472"/>
        <v>00</v>
      </c>
      <c r="P2166" s="39"/>
      <c r="Q2166" s="40"/>
      <c r="R2166" s="41">
        <v>511</v>
      </c>
      <c r="S2166" s="40">
        <f t="shared" si="466"/>
        <v>0</v>
      </c>
      <c r="T2166" s="40"/>
      <c r="U2166" s="42"/>
      <c r="V2166" s="42"/>
      <c r="W2166" s="42"/>
    </row>
    <row r="2167" spans="1:23">
      <c r="A2167" s="3">
        <v>2097</v>
      </c>
      <c r="B2167" s="1">
        <f>IF(G2167="-",0,IF(G2166=G2167,1,0))</f>
        <v>0</v>
      </c>
      <c r="C2167" s="1">
        <f>+IF(G2167="-",0,IF(I2167=I2166+1,0,(IF(I2167=1,0,1))))</f>
        <v>1</v>
      </c>
      <c r="D2167" s="1">
        <f>+IF(AND(P2167="",Q2167=""),1,0)</f>
        <v>0</v>
      </c>
      <c r="E2167" s="1">
        <f t="shared" ref="E2167:F2169" si="473">IF(U2167="",1,0)</f>
        <v>0</v>
      </c>
      <c r="F2167" s="1">
        <f t="shared" si="473"/>
        <v>0</v>
      </c>
      <c r="G2167" s="1" t="str">
        <f>IF(H2167=0,"-",_xlfn.CONCAT(K2167,N2167,O2167,J2167))</f>
        <v>24092818</v>
      </c>
      <c r="H2167" s="2">
        <v>45563</v>
      </c>
      <c r="I2167" s="36">
        <v>18</v>
      </c>
      <c r="J2167" s="1">
        <f t="shared" si="467"/>
        <v>18</v>
      </c>
      <c r="K2167" s="3">
        <f t="shared" si="468"/>
        <v>24</v>
      </c>
      <c r="L2167" s="3">
        <f t="shared" si="469"/>
        <v>9</v>
      </c>
      <c r="M2167" s="3">
        <f t="shared" si="470"/>
        <v>28</v>
      </c>
      <c r="N2167" s="3" t="str">
        <f t="shared" si="471"/>
        <v>09</v>
      </c>
      <c r="O2167" s="14">
        <f t="shared" si="472"/>
        <v>28</v>
      </c>
      <c r="P2167" s="11">
        <v>120000</v>
      </c>
      <c r="R2167" s="6">
        <v>514</v>
      </c>
      <c r="S2167" s="5">
        <f t="shared" si="466"/>
        <v>233.46303501945525</v>
      </c>
      <c r="T2167" s="23" t="s">
        <v>852</v>
      </c>
      <c r="U2167" s="3" t="s">
        <v>1</v>
      </c>
      <c r="V2167" s="3" t="s">
        <v>4</v>
      </c>
    </row>
    <row r="2168" spans="1:23">
      <c r="A2168" s="3">
        <v>2098</v>
      </c>
      <c r="B2168" s="1">
        <f>IF(G2168="-",0,IF(G2167=G2168,1,0))</f>
        <v>0</v>
      </c>
      <c r="C2168" s="1">
        <f>+IF(G2168="-",0,IF(I2168=I2167+1,0,(IF(I2168=1,0,1))))</f>
        <v>0</v>
      </c>
      <c r="D2168" s="1">
        <f>+IF(AND(P2168="",Q2168=""),1,0)</f>
        <v>0</v>
      </c>
      <c r="E2168" s="1">
        <f t="shared" si="473"/>
        <v>0</v>
      </c>
      <c r="F2168" s="1">
        <f t="shared" si="473"/>
        <v>0</v>
      </c>
      <c r="G2168" s="1" t="str">
        <f>IF(H2168=0,"-",_xlfn.CONCAT(K2168,N2168,O2168,J2168))</f>
        <v>24092819</v>
      </c>
      <c r="H2168" s="2">
        <v>45563</v>
      </c>
      <c r="I2168" s="36">
        <v>19</v>
      </c>
      <c r="J2168" s="1">
        <f t="shared" si="467"/>
        <v>19</v>
      </c>
      <c r="K2168" s="3">
        <f t="shared" si="468"/>
        <v>24</v>
      </c>
      <c r="L2168" s="3">
        <f t="shared" si="469"/>
        <v>9</v>
      </c>
      <c r="M2168" s="3">
        <f t="shared" si="470"/>
        <v>28</v>
      </c>
      <c r="N2168" s="3" t="str">
        <f t="shared" si="471"/>
        <v>09</v>
      </c>
      <c r="O2168" s="14">
        <f t="shared" si="472"/>
        <v>28</v>
      </c>
      <c r="P2168" s="11">
        <v>132000</v>
      </c>
      <c r="R2168" s="6">
        <v>514</v>
      </c>
      <c r="S2168" s="5">
        <f t="shared" si="466"/>
        <v>256.80933852140078</v>
      </c>
      <c r="T2168" s="23" t="s">
        <v>853</v>
      </c>
      <c r="U2168" s="3" t="s">
        <v>1</v>
      </c>
      <c r="V2168" s="3" t="s">
        <v>4</v>
      </c>
    </row>
    <row r="2169" spans="1:23">
      <c r="A2169" s="3">
        <v>2102</v>
      </c>
      <c r="B2169" s="1">
        <f>IF(G2169="-",0,IF(G2168=G2169,1,0))</f>
        <v>0</v>
      </c>
      <c r="C2169" s="1">
        <f>+IF(G2169="-",0,IF(I2169=I2168+1,0,(IF(I2169=1,0,1))))</f>
        <v>1</v>
      </c>
      <c r="D2169" s="1">
        <f>+IF(AND(P2169="",Q2169=""),1,0)</f>
        <v>0</v>
      </c>
      <c r="E2169" s="1">
        <f t="shared" si="473"/>
        <v>0</v>
      </c>
      <c r="F2169" s="1">
        <f t="shared" si="473"/>
        <v>0</v>
      </c>
      <c r="G2169" s="1" t="str">
        <f>IF(H2169=0,"-",_xlfn.CONCAT(K2169,N2169,O2169,J2169))</f>
        <v>24092823</v>
      </c>
      <c r="H2169" s="2">
        <v>45563</v>
      </c>
      <c r="I2169" s="36">
        <v>23</v>
      </c>
      <c r="J2169" s="1">
        <f t="shared" si="467"/>
        <v>23</v>
      </c>
      <c r="K2169" s="3">
        <f t="shared" si="468"/>
        <v>24</v>
      </c>
      <c r="L2169" s="3">
        <f t="shared" si="469"/>
        <v>9</v>
      </c>
      <c r="M2169" s="3">
        <f t="shared" si="470"/>
        <v>28</v>
      </c>
      <c r="N2169" s="3" t="str">
        <f t="shared" si="471"/>
        <v>09</v>
      </c>
      <c r="O2169" s="14">
        <f t="shared" si="472"/>
        <v>28</v>
      </c>
      <c r="P2169" s="11">
        <v>108000</v>
      </c>
      <c r="R2169" s="6">
        <v>514</v>
      </c>
      <c r="S2169" s="5">
        <f t="shared" si="466"/>
        <v>210.11673151750972</v>
      </c>
      <c r="T2169" s="25" t="s">
        <v>859</v>
      </c>
      <c r="U2169" s="3" t="s">
        <v>1</v>
      </c>
      <c r="V2169" s="3" t="s">
        <v>4</v>
      </c>
    </row>
    <row r="2170" spans="1:23" hidden="1">
      <c r="J2170" s="1" t="str">
        <f t="shared" si="467"/>
        <v>0</v>
      </c>
      <c r="K2170" s="3">
        <f t="shared" si="468"/>
        <v>-100</v>
      </c>
      <c r="L2170" s="3">
        <f t="shared" si="469"/>
        <v>1</v>
      </c>
      <c r="M2170" s="3">
        <f t="shared" si="470"/>
        <v>0</v>
      </c>
      <c r="N2170" s="3" t="str">
        <f t="shared" si="471"/>
        <v>01</v>
      </c>
      <c r="O2170" s="14" t="str">
        <f t="shared" si="472"/>
        <v>00</v>
      </c>
      <c r="R2170" s="6">
        <v>512</v>
      </c>
      <c r="S2170" s="5">
        <f t="shared" si="466"/>
        <v>0</v>
      </c>
    </row>
    <row r="2171" spans="1:23" hidden="1">
      <c r="J2171" s="1" t="str">
        <f t="shared" si="467"/>
        <v>0</v>
      </c>
      <c r="K2171" s="3">
        <f t="shared" si="468"/>
        <v>-100</v>
      </c>
      <c r="L2171" s="3">
        <f t="shared" si="469"/>
        <v>1</v>
      </c>
      <c r="M2171" s="3">
        <f t="shared" si="470"/>
        <v>0</v>
      </c>
      <c r="N2171" s="3" t="str">
        <f t="shared" si="471"/>
        <v>01</v>
      </c>
      <c r="O2171" s="14" t="str">
        <f t="shared" si="472"/>
        <v>00</v>
      </c>
    </row>
    <row r="2172" spans="1:23" hidden="1">
      <c r="J2172" s="1" t="str">
        <f t="shared" si="467"/>
        <v>0</v>
      </c>
      <c r="K2172" s="3">
        <f t="shared" si="468"/>
        <v>-100</v>
      </c>
      <c r="L2172" s="3">
        <f t="shared" si="469"/>
        <v>1</v>
      </c>
      <c r="M2172" s="3">
        <f t="shared" si="470"/>
        <v>0</v>
      </c>
      <c r="N2172" s="3" t="str">
        <f t="shared" si="471"/>
        <v>01</v>
      </c>
      <c r="O2172" s="14" t="str">
        <f t="shared" si="472"/>
        <v>00</v>
      </c>
      <c r="R2172" s="6">
        <v>513</v>
      </c>
      <c r="S2172" s="5">
        <f>IFERROR(P2172/R2172,"")</f>
        <v>0</v>
      </c>
    </row>
    <row r="2173" spans="1:23">
      <c r="A2173" s="3">
        <v>2103</v>
      </c>
      <c r="B2173" s="1">
        <f>IF(G2173="-",0,IF(G2172=G2173,1,0))</f>
        <v>0</v>
      </c>
      <c r="C2173" s="1">
        <f>+IF(G2173="-",0,IF(I2173=I2172+1,0,(IF(I2173=1,0,1))))</f>
        <v>1</v>
      </c>
      <c r="D2173" s="1">
        <f>+IF(AND(P2173="",Q2173=""),1,0)</f>
        <v>0</v>
      </c>
      <c r="E2173" s="1">
        <f>IF(U2173="",1,0)</f>
        <v>0</v>
      </c>
      <c r="F2173" s="1">
        <f>IF(V2173="",1,0)</f>
        <v>0</v>
      </c>
      <c r="G2173" s="1" t="str">
        <f>IF(H2173=0,"-",_xlfn.CONCAT(K2173,N2173,O2173,J2173))</f>
        <v>24092824</v>
      </c>
      <c r="H2173" s="2">
        <v>45563</v>
      </c>
      <c r="I2173" s="36">
        <v>24</v>
      </c>
      <c r="J2173" s="1">
        <f t="shared" si="467"/>
        <v>24</v>
      </c>
      <c r="K2173" s="3">
        <f t="shared" si="468"/>
        <v>24</v>
      </c>
      <c r="L2173" s="3">
        <f t="shared" si="469"/>
        <v>9</v>
      </c>
      <c r="M2173" s="3">
        <f t="shared" si="470"/>
        <v>28</v>
      </c>
      <c r="N2173" s="3" t="str">
        <f t="shared" si="471"/>
        <v>09</v>
      </c>
      <c r="O2173" s="14">
        <f t="shared" si="472"/>
        <v>28</v>
      </c>
      <c r="P2173" s="11">
        <v>150000</v>
      </c>
      <c r="R2173" s="6">
        <v>514</v>
      </c>
      <c r="S2173" s="5">
        <f>IFERROR(P2173/R2173,"")</f>
        <v>291.82879377431908</v>
      </c>
      <c r="T2173" s="25" t="s">
        <v>860</v>
      </c>
      <c r="U2173" s="3" t="s">
        <v>1</v>
      </c>
      <c r="V2173" s="3" t="s">
        <v>4</v>
      </c>
    </row>
    <row r="2174" spans="1:23" hidden="1">
      <c r="J2174" s="1" t="str">
        <f t="shared" si="467"/>
        <v>0</v>
      </c>
      <c r="K2174" s="3">
        <f t="shared" si="468"/>
        <v>-100</v>
      </c>
      <c r="L2174" s="3">
        <f t="shared" si="469"/>
        <v>1</v>
      </c>
      <c r="M2174" s="3">
        <f t="shared" si="470"/>
        <v>0</v>
      </c>
      <c r="N2174" s="3" t="str">
        <f t="shared" si="471"/>
        <v>01</v>
      </c>
      <c r="O2174" s="14" t="str">
        <f t="shared" si="472"/>
        <v>00</v>
      </c>
      <c r="R2174" s="6">
        <v>513</v>
      </c>
      <c r="S2174" s="5">
        <f>IFERROR(P2174/R2174,"")</f>
        <v>0</v>
      </c>
    </row>
    <row r="2175" spans="1:23" hidden="1">
      <c r="J2175" s="1" t="str">
        <f t="shared" si="467"/>
        <v>0</v>
      </c>
      <c r="K2175" s="3">
        <f t="shared" si="468"/>
        <v>-100</v>
      </c>
      <c r="L2175" s="3">
        <f t="shared" si="469"/>
        <v>1</v>
      </c>
      <c r="M2175" s="3">
        <f t="shared" si="470"/>
        <v>0</v>
      </c>
      <c r="N2175" s="3" t="str">
        <f t="shared" si="471"/>
        <v>01</v>
      </c>
      <c r="O2175" s="14" t="str">
        <f t="shared" si="472"/>
        <v>00</v>
      </c>
      <c r="R2175" s="6">
        <v>513</v>
      </c>
      <c r="S2175" s="5">
        <f>IFERROR(P2175/R2175,"")</f>
        <v>0</v>
      </c>
    </row>
    <row r="2176" spans="1:23" hidden="1">
      <c r="J2176" s="1" t="str">
        <f t="shared" si="467"/>
        <v>0</v>
      </c>
      <c r="K2176" s="3">
        <f t="shared" si="468"/>
        <v>-100</v>
      </c>
      <c r="L2176" s="3">
        <f t="shared" si="469"/>
        <v>1</v>
      </c>
      <c r="M2176" s="3">
        <f t="shared" si="470"/>
        <v>0</v>
      </c>
      <c r="N2176" s="3" t="str">
        <f t="shared" si="471"/>
        <v>01</v>
      </c>
      <c r="O2176" s="14" t="str">
        <f t="shared" si="472"/>
        <v>00</v>
      </c>
    </row>
    <row r="2177" spans="1:22" hidden="1">
      <c r="J2177" s="1" t="str">
        <f t="shared" si="467"/>
        <v>0</v>
      </c>
      <c r="K2177" s="3">
        <f t="shared" si="468"/>
        <v>-100</v>
      </c>
      <c r="L2177" s="3">
        <f t="shared" si="469"/>
        <v>1</v>
      </c>
      <c r="M2177" s="3">
        <f t="shared" si="470"/>
        <v>0</v>
      </c>
      <c r="N2177" s="3" t="str">
        <f t="shared" si="471"/>
        <v>01</v>
      </c>
      <c r="O2177" s="14" t="str">
        <f t="shared" si="472"/>
        <v>00</v>
      </c>
    </row>
    <row r="2178" spans="1:22" hidden="1">
      <c r="J2178" s="1" t="str">
        <f t="shared" si="467"/>
        <v>0</v>
      </c>
      <c r="K2178" s="3">
        <f t="shared" si="468"/>
        <v>-100</v>
      </c>
      <c r="L2178" s="3">
        <f t="shared" si="469"/>
        <v>1</v>
      </c>
      <c r="M2178" s="3">
        <f t="shared" si="470"/>
        <v>0</v>
      </c>
      <c r="N2178" s="3" t="str">
        <f t="shared" si="471"/>
        <v>01</v>
      </c>
      <c r="O2178" s="14" t="str">
        <f t="shared" si="472"/>
        <v>00</v>
      </c>
      <c r="R2178" s="6">
        <v>513</v>
      </c>
      <c r="S2178" s="5">
        <f>IFERROR(P2178/R2178,"")</f>
        <v>0</v>
      </c>
      <c r="T2178" s="18"/>
    </row>
    <row r="2179" spans="1:22" hidden="1">
      <c r="J2179" s="1" t="str">
        <f t="shared" si="467"/>
        <v>0</v>
      </c>
      <c r="K2179" s="3">
        <f t="shared" si="468"/>
        <v>-100</v>
      </c>
      <c r="L2179" s="3">
        <f t="shared" si="469"/>
        <v>1</v>
      </c>
      <c r="M2179" s="3">
        <f t="shared" si="470"/>
        <v>0</v>
      </c>
      <c r="N2179" s="3" t="str">
        <f t="shared" si="471"/>
        <v>01</v>
      </c>
      <c r="O2179" s="14" t="str">
        <f t="shared" si="472"/>
        <v>00</v>
      </c>
      <c r="R2179" s="6">
        <v>513</v>
      </c>
      <c r="S2179" s="5">
        <f>IFERROR(P2179/R2179,"")</f>
        <v>0</v>
      </c>
      <c r="T2179" s="20"/>
    </row>
    <row r="2180" spans="1:22" hidden="1">
      <c r="J2180" s="1" t="str">
        <f t="shared" si="467"/>
        <v>0</v>
      </c>
      <c r="K2180" s="3">
        <f t="shared" si="468"/>
        <v>-100</v>
      </c>
      <c r="L2180" s="3">
        <f t="shared" si="469"/>
        <v>1</v>
      </c>
      <c r="M2180" s="3">
        <f t="shared" si="470"/>
        <v>0</v>
      </c>
      <c r="N2180" s="3" t="str">
        <f t="shared" si="471"/>
        <v>01</v>
      </c>
      <c r="O2180" s="14" t="str">
        <f t="shared" si="472"/>
        <v>00</v>
      </c>
      <c r="R2180" s="6">
        <v>513</v>
      </c>
      <c r="S2180" s="5">
        <f>IFERROR(P2180/R2180,"")</f>
        <v>0</v>
      </c>
      <c r="T2180" s="29"/>
    </row>
    <row r="2181" spans="1:22" hidden="1">
      <c r="J2181" s="1" t="str">
        <f t="shared" si="467"/>
        <v>0</v>
      </c>
      <c r="K2181" s="3">
        <f t="shared" si="468"/>
        <v>-100</v>
      </c>
      <c r="L2181" s="3">
        <f t="shared" si="469"/>
        <v>1</v>
      </c>
      <c r="M2181" s="3">
        <f t="shared" si="470"/>
        <v>0</v>
      </c>
      <c r="N2181" s="3" t="str">
        <f t="shared" si="471"/>
        <v>01</v>
      </c>
      <c r="O2181" s="14" t="str">
        <f t="shared" si="472"/>
        <v>00</v>
      </c>
    </row>
    <row r="2182" spans="1:22" hidden="1">
      <c r="J2182" s="1" t="str">
        <f t="shared" si="467"/>
        <v>0</v>
      </c>
      <c r="K2182" s="3">
        <f t="shared" si="468"/>
        <v>-100</v>
      </c>
      <c r="L2182" s="3">
        <f t="shared" si="469"/>
        <v>1</v>
      </c>
      <c r="M2182" s="3">
        <f t="shared" si="470"/>
        <v>0</v>
      </c>
      <c r="N2182" s="3" t="str">
        <f t="shared" si="471"/>
        <v>01</v>
      </c>
      <c r="O2182" s="14" t="str">
        <f t="shared" si="472"/>
        <v>00</v>
      </c>
      <c r="R2182" s="6">
        <v>513</v>
      </c>
      <c r="S2182" s="5">
        <f>IFERROR(P2182/R2182,"")</f>
        <v>0</v>
      </c>
      <c r="T2182" s="29"/>
    </row>
    <row r="2183" spans="1:22" hidden="1">
      <c r="J2183" s="1" t="str">
        <f t="shared" si="467"/>
        <v>0</v>
      </c>
      <c r="K2183" s="3">
        <f t="shared" si="468"/>
        <v>-100</v>
      </c>
      <c r="L2183" s="3">
        <f t="shared" si="469"/>
        <v>1</v>
      </c>
      <c r="M2183" s="3">
        <f t="shared" si="470"/>
        <v>0</v>
      </c>
      <c r="N2183" s="3" t="str">
        <f t="shared" si="471"/>
        <v>01</v>
      </c>
      <c r="O2183" s="14" t="str">
        <f t="shared" si="472"/>
        <v>00</v>
      </c>
    </row>
    <row r="2184" spans="1:22">
      <c r="A2184" s="3">
        <v>2104</v>
      </c>
      <c r="B2184" s="1">
        <f>IF(G2184="-",0,IF(G2183=G2184,1,0))</f>
        <v>0</v>
      </c>
      <c r="C2184" s="1">
        <f>+IF(G2184="-",0,IF(I2184=I2183+1,0,(IF(I2184=1,0,1))))</f>
        <v>1</v>
      </c>
      <c r="D2184" s="1">
        <f>+IF(AND(P2184="",Q2184=""),1,0)</f>
        <v>0</v>
      </c>
      <c r="E2184" s="1">
        <f>IF(U2184="",1,0)</f>
        <v>0</v>
      </c>
      <c r="F2184" s="1">
        <f>IF(V2184="",1,0)</f>
        <v>0</v>
      </c>
      <c r="G2184" s="1" t="str">
        <f>IF(H2184=0,"-",_xlfn.CONCAT(K2184,N2184,O2184,J2184))</f>
        <v>24092825</v>
      </c>
      <c r="H2184" s="2">
        <v>45563</v>
      </c>
      <c r="I2184" s="36">
        <v>25</v>
      </c>
      <c r="J2184" s="1">
        <f t="shared" si="467"/>
        <v>25</v>
      </c>
      <c r="K2184" s="3">
        <f t="shared" si="468"/>
        <v>24</v>
      </c>
      <c r="L2184" s="3">
        <f t="shared" si="469"/>
        <v>9</v>
      </c>
      <c r="M2184" s="3">
        <f t="shared" si="470"/>
        <v>28</v>
      </c>
      <c r="N2184" s="3" t="str">
        <f t="shared" si="471"/>
        <v>09</v>
      </c>
      <c r="O2184" s="14">
        <f t="shared" si="472"/>
        <v>28</v>
      </c>
      <c r="P2184" s="11">
        <v>132000</v>
      </c>
      <c r="R2184" s="6">
        <v>514</v>
      </c>
      <c r="S2184" s="5">
        <f>IFERROR(P2184/R2184,"")</f>
        <v>256.80933852140078</v>
      </c>
      <c r="T2184" s="25" t="s">
        <v>861</v>
      </c>
      <c r="U2184" s="3" t="s">
        <v>1</v>
      </c>
      <c r="V2184" s="3" t="s">
        <v>4</v>
      </c>
    </row>
    <row r="2185" spans="1:22" hidden="1">
      <c r="J2185" s="1" t="str">
        <f t="shared" si="467"/>
        <v>0</v>
      </c>
      <c r="K2185" s="3">
        <f t="shared" si="468"/>
        <v>-100</v>
      </c>
      <c r="L2185" s="3">
        <f t="shared" si="469"/>
        <v>1</v>
      </c>
      <c r="M2185" s="3">
        <f t="shared" si="470"/>
        <v>0</v>
      </c>
      <c r="N2185" s="3" t="str">
        <f t="shared" si="471"/>
        <v>01</v>
      </c>
      <c r="O2185" s="14" t="str">
        <f t="shared" si="472"/>
        <v>00</v>
      </c>
    </row>
    <row r="2186" spans="1:22" hidden="1">
      <c r="J2186" s="1" t="str">
        <f t="shared" si="467"/>
        <v>0</v>
      </c>
      <c r="K2186" s="3">
        <f t="shared" si="468"/>
        <v>-100</v>
      </c>
      <c r="L2186" s="3">
        <f t="shared" si="469"/>
        <v>1</v>
      </c>
      <c r="M2186" s="3">
        <f t="shared" si="470"/>
        <v>0</v>
      </c>
      <c r="N2186" s="3" t="str">
        <f t="shared" si="471"/>
        <v>01</v>
      </c>
      <c r="O2186" s="14" t="str">
        <f t="shared" si="472"/>
        <v>00</v>
      </c>
      <c r="R2186" s="6">
        <v>513</v>
      </c>
      <c r="S2186" s="5">
        <f>IFERROR(P2186/R2186,"")</f>
        <v>0</v>
      </c>
      <c r="T2186" s="29"/>
    </row>
    <row r="2187" spans="1:22" hidden="1">
      <c r="J2187" s="1" t="str">
        <f t="shared" si="467"/>
        <v>0</v>
      </c>
      <c r="K2187" s="3">
        <f t="shared" si="468"/>
        <v>-100</v>
      </c>
      <c r="L2187" s="3">
        <f t="shared" si="469"/>
        <v>1</v>
      </c>
      <c r="M2187" s="3">
        <f t="shared" si="470"/>
        <v>0</v>
      </c>
      <c r="N2187" s="3" t="str">
        <f t="shared" si="471"/>
        <v>01</v>
      </c>
      <c r="O2187" s="14" t="str">
        <f t="shared" si="472"/>
        <v>00</v>
      </c>
    </row>
    <row r="2188" spans="1:22" hidden="1">
      <c r="J2188" s="1" t="str">
        <f t="shared" si="467"/>
        <v>0</v>
      </c>
      <c r="K2188" s="3">
        <f t="shared" si="468"/>
        <v>-100</v>
      </c>
      <c r="L2188" s="3">
        <f t="shared" si="469"/>
        <v>1</v>
      </c>
      <c r="M2188" s="3">
        <f t="shared" si="470"/>
        <v>0</v>
      </c>
      <c r="N2188" s="3" t="str">
        <f t="shared" si="471"/>
        <v>01</v>
      </c>
      <c r="O2188" s="14" t="str">
        <f t="shared" si="472"/>
        <v>00</v>
      </c>
      <c r="R2188" s="6">
        <v>513</v>
      </c>
      <c r="S2188" s="5">
        <f>IFERROR(P2188/R2188,"")</f>
        <v>0</v>
      </c>
      <c r="T2188" s="29"/>
    </row>
    <row r="2189" spans="1:22" hidden="1">
      <c r="J2189" s="1" t="str">
        <f t="shared" si="467"/>
        <v>0</v>
      </c>
      <c r="K2189" s="3">
        <f t="shared" si="468"/>
        <v>-100</v>
      </c>
      <c r="L2189" s="3">
        <f t="shared" si="469"/>
        <v>1</v>
      </c>
      <c r="M2189" s="3">
        <f t="shared" si="470"/>
        <v>0</v>
      </c>
      <c r="N2189" s="3" t="str">
        <f t="shared" si="471"/>
        <v>01</v>
      </c>
      <c r="O2189" s="14" t="str">
        <f t="shared" si="472"/>
        <v>00</v>
      </c>
    </row>
    <row r="2190" spans="1:22" hidden="1">
      <c r="J2190" s="1" t="str">
        <f t="shared" si="467"/>
        <v>0</v>
      </c>
      <c r="K2190" s="3">
        <f t="shared" si="468"/>
        <v>-100</v>
      </c>
      <c r="L2190" s="3">
        <f t="shared" si="469"/>
        <v>1</v>
      </c>
      <c r="M2190" s="3">
        <f t="shared" si="470"/>
        <v>0</v>
      </c>
      <c r="N2190" s="3" t="str">
        <f t="shared" si="471"/>
        <v>01</v>
      </c>
      <c r="O2190" s="14" t="str">
        <f t="shared" si="472"/>
        <v>00</v>
      </c>
      <c r="R2190" s="6">
        <v>513</v>
      </c>
      <c r="S2190" s="5">
        <f t="shared" ref="S2190:S2217" si="474">IFERROR(P2190/R2190,"")</f>
        <v>0</v>
      </c>
      <c r="T2190" s="26"/>
    </row>
    <row r="2191" spans="1:22" hidden="1">
      <c r="J2191" s="1" t="str">
        <f t="shared" si="467"/>
        <v>0</v>
      </c>
      <c r="K2191" s="3">
        <f t="shared" si="468"/>
        <v>-100</v>
      </c>
      <c r="L2191" s="3">
        <f t="shared" si="469"/>
        <v>1</v>
      </c>
      <c r="M2191" s="3">
        <f t="shared" si="470"/>
        <v>0</v>
      </c>
      <c r="N2191" s="3" t="str">
        <f t="shared" si="471"/>
        <v>01</v>
      </c>
      <c r="O2191" s="14" t="str">
        <f t="shared" si="472"/>
        <v>00</v>
      </c>
      <c r="R2191" s="6">
        <v>513</v>
      </c>
      <c r="S2191" s="5">
        <f t="shared" si="474"/>
        <v>0</v>
      </c>
      <c r="T2191" s="26"/>
    </row>
    <row r="2192" spans="1:22">
      <c r="A2192" s="3">
        <v>2105</v>
      </c>
      <c r="B2192" s="1">
        <f>IF(G2192="-",0,IF(G2191=G2192,1,0))</f>
        <v>0</v>
      </c>
      <c r="C2192" s="1">
        <f>+IF(G2192="-",0,IF(I2192=I2191+1,0,(IF(I2192=1,0,1))))</f>
        <v>1</v>
      </c>
      <c r="D2192" s="1">
        <f>+IF(AND(P2192="",Q2192=""),1,0)</f>
        <v>0</v>
      </c>
      <c r="E2192" s="1">
        <f t="shared" ref="E2192:F2195" si="475">IF(U2192="",1,0)</f>
        <v>0</v>
      </c>
      <c r="F2192" s="1">
        <f t="shared" si="475"/>
        <v>0</v>
      </c>
      <c r="G2192" s="1" t="str">
        <f>IF(H2192=0,"-",_xlfn.CONCAT(K2192,N2192,O2192,J2192))</f>
        <v>24092826</v>
      </c>
      <c r="H2192" s="2">
        <v>45563</v>
      </c>
      <c r="I2192" s="36">
        <v>26</v>
      </c>
      <c r="J2192" s="1">
        <f t="shared" si="467"/>
        <v>26</v>
      </c>
      <c r="K2192" s="3">
        <f t="shared" si="468"/>
        <v>24</v>
      </c>
      <c r="L2192" s="3">
        <f t="shared" si="469"/>
        <v>9</v>
      </c>
      <c r="M2192" s="3">
        <f t="shared" si="470"/>
        <v>28</v>
      </c>
      <c r="N2192" s="3" t="str">
        <f t="shared" si="471"/>
        <v>09</v>
      </c>
      <c r="O2192" s="14">
        <f t="shared" si="472"/>
        <v>28</v>
      </c>
      <c r="P2192" s="11">
        <v>108000</v>
      </c>
      <c r="R2192" s="6">
        <v>514</v>
      </c>
      <c r="S2192" s="5">
        <f t="shared" si="474"/>
        <v>210.11673151750972</v>
      </c>
      <c r="T2192" s="25" t="s">
        <v>862</v>
      </c>
      <c r="U2192" s="3" t="s">
        <v>1</v>
      </c>
      <c r="V2192" s="3" t="s">
        <v>4</v>
      </c>
    </row>
    <row r="2193" spans="1:22">
      <c r="A2193" s="3">
        <v>2106</v>
      </c>
      <c r="B2193" s="1">
        <f>IF(G2193="-",0,IF(G2192=G2193,1,0))</f>
        <v>0</v>
      </c>
      <c r="C2193" s="1">
        <f>+IF(G2193="-",0,IF(I2193=I2192+1,0,(IF(I2193=1,0,1))))</f>
        <v>0</v>
      </c>
      <c r="D2193" s="1">
        <f>+IF(AND(P2193="",Q2193=""),1,0)</f>
        <v>0</v>
      </c>
      <c r="E2193" s="1">
        <f t="shared" si="475"/>
        <v>0</v>
      </c>
      <c r="F2193" s="1">
        <f t="shared" si="475"/>
        <v>0</v>
      </c>
      <c r="G2193" s="1" t="str">
        <f>IF(H2193=0,"-",_xlfn.CONCAT(K2193,N2193,O2193,J2193))</f>
        <v>24092827</v>
      </c>
      <c r="H2193" s="2">
        <v>45563</v>
      </c>
      <c r="I2193" s="36">
        <v>27</v>
      </c>
      <c r="J2193" s="1">
        <f t="shared" si="467"/>
        <v>27</v>
      </c>
      <c r="K2193" s="3">
        <f t="shared" si="468"/>
        <v>24</v>
      </c>
      <c r="L2193" s="3">
        <f t="shared" si="469"/>
        <v>9</v>
      </c>
      <c r="M2193" s="3">
        <f t="shared" si="470"/>
        <v>28</v>
      </c>
      <c r="N2193" s="3" t="str">
        <f t="shared" si="471"/>
        <v>09</v>
      </c>
      <c r="O2193" s="14">
        <f t="shared" si="472"/>
        <v>28</v>
      </c>
      <c r="P2193" s="11">
        <v>108000</v>
      </c>
      <c r="R2193" s="6">
        <v>514</v>
      </c>
      <c r="S2193" s="5">
        <f t="shared" si="474"/>
        <v>210.11673151750972</v>
      </c>
      <c r="T2193" s="25" t="s">
        <v>863</v>
      </c>
      <c r="U2193" s="3" t="s">
        <v>1</v>
      </c>
      <c r="V2193" s="3" t="s">
        <v>4</v>
      </c>
    </row>
    <row r="2194" spans="1:22">
      <c r="A2194" s="3">
        <v>2148</v>
      </c>
      <c r="B2194" s="1">
        <f>IF(G2194="-",0,IF(G2193=G2194,1,0))</f>
        <v>0</v>
      </c>
      <c r="C2194" s="1">
        <f>+IF(G2194="-",0,IF(I2194=I2193+1,0,(IF(I2194=1,0,1))))</f>
        <v>0</v>
      </c>
      <c r="D2194" s="1">
        <f>+IF(AND(P2194="",Q2194=""),1,0)</f>
        <v>0</v>
      </c>
      <c r="E2194" s="1">
        <f t="shared" si="475"/>
        <v>0</v>
      </c>
      <c r="F2194" s="1">
        <f t="shared" si="475"/>
        <v>0</v>
      </c>
      <c r="G2194" s="1" t="str">
        <f>IF(H2194=0,"-",_xlfn.CONCAT(K2194,N2194,O2194,J2194))</f>
        <v>24100201</v>
      </c>
      <c r="H2194" s="2">
        <v>45567</v>
      </c>
      <c r="I2194" s="36">
        <v>1</v>
      </c>
      <c r="J2194" s="1" t="str">
        <f t="shared" si="467"/>
        <v>01</v>
      </c>
      <c r="K2194" s="3">
        <f t="shared" si="468"/>
        <v>24</v>
      </c>
      <c r="L2194" s="3">
        <f t="shared" si="469"/>
        <v>10</v>
      </c>
      <c r="M2194" s="3">
        <f t="shared" si="470"/>
        <v>2</v>
      </c>
      <c r="N2194" s="3">
        <f t="shared" si="471"/>
        <v>10</v>
      </c>
      <c r="O2194" s="14" t="str">
        <f t="shared" si="472"/>
        <v>02</v>
      </c>
      <c r="P2194" s="4">
        <v>15848.25</v>
      </c>
      <c r="R2194" s="6">
        <v>511</v>
      </c>
      <c r="S2194" s="5">
        <f t="shared" si="474"/>
        <v>31.014187866927593</v>
      </c>
      <c r="T2194" s="5" t="s">
        <v>1039</v>
      </c>
      <c r="U2194" s="3" t="s">
        <v>29</v>
      </c>
      <c r="V2194" s="3" t="s">
        <v>4</v>
      </c>
    </row>
    <row r="2195" spans="1:22">
      <c r="A2195" s="3">
        <v>2149</v>
      </c>
      <c r="B2195" s="1">
        <f>IF(G2195="-",0,IF(G2194=G2195,1,0))</f>
        <v>0</v>
      </c>
      <c r="C2195" s="1">
        <f>+IF(G2195="-",0,IF(I2195=I2194+1,0,(IF(I2195=1,0,1))))</f>
        <v>0</v>
      </c>
      <c r="D2195" s="1">
        <f>+IF(AND(P2195="",Q2195=""),1,0)</f>
        <v>0</v>
      </c>
      <c r="E2195" s="1">
        <f t="shared" si="475"/>
        <v>0</v>
      </c>
      <c r="F2195" s="1">
        <f t="shared" si="475"/>
        <v>0</v>
      </c>
      <c r="G2195" s="1" t="str">
        <f>IF(H2195=0,"-",_xlfn.CONCAT(K2195,N2195,O2195,J2195))</f>
        <v>24100301</v>
      </c>
      <c r="H2195" s="2">
        <v>45568</v>
      </c>
      <c r="I2195" s="36">
        <v>1</v>
      </c>
      <c r="J2195" s="1" t="str">
        <f t="shared" si="467"/>
        <v>01</v>
      </c>
      <c r="K2195" s="3">
        <f t="shared" si="468"/>
        <v>24</v>
      </c>
      <c r="L2195" s="3">
        <f t="shared" si="469"/>
        <v>10</v>
      </c>
      <c r="M2195" s="3">
        <f t="shared" si="470"/>
        <v>3</v>
      </c>
      <c r="N2195" s="3">
        <f t="shared" si="471"/>
        <v>10</v>
      </c>
      <c r="O2195" s="14" t="str">
        <f t="shared" si="472"/>
        <v>03</v>
      </c>
      <c r="P2195" s="4">
        <v>9681.84</v>
      </c>
      <c r="R2195" s="6">
        <v>512</v>
      </c>
      <c r="S2195" s="5">
        <f t="shared" si="474"/>
        <v>18.90984375</v>
      </c>
      <c r="T2195" s="5" t="s">
        <v>1040</v>
      </c>
      <c r="U2195" s="3" t="s">
        <v>29</v>
      </c>
      <c r="V2195" s="3" t="s">
        <v>4</v>
      </c>
    </row>
    <row r="2196" spans="1:22" hidden="1">
      <c r="J2196" s="1" t="str">
        <f t="shared" si="467"/>
        <v>0</v>
      </c>
      <c r="K2196" s="3">
        <f t="shared" si="468"/>
        <v>-100</v>
      </c>
      <c r="L2196" s="3">
        <f t="shared" si="469"/>
        <v>1</v>
      </c>
      <c r="M2196" s="3">
        <f t="shared" si="470"/>
        <v>0</v>
      </c>
      <c r="N2196" s="3" t="str">
        <f t="shared" si="471"/>
        <v>01</v>
      </c>
      <c r="O2196" s="14" t="str">
        <f t="shared" si="472"/>
        <v>00</v>
      </c>
      <c r="R2196" s="6">
        <v>513</v>
      </c>
      <c r="S2196" s="5">
        <f t="shared" si="474"/>
        <v>0</v>
      </c>
      <c r="T2196" s="26"/>
    </row>
    <row r="2197" spans="1:22" hidden="1">
      <c r="J2197" s="1" t="str">
        <f t="shared" si="467"/>
        <v>0</v>
      </c>
      <c r="K2197" s="3">
        <f t="shared" si="468"/>
        <v>-100</v>
      </c>
      <c r="L2197" s="3">
        <f t="shared" si="469"/>
        <v>1</v>
      </c>
      <c r="M2197" s="3">
        <f t="shared" si="470"/>
        <v>0</v>
      </c>
      <c r="N2197" s="3" t="str">
        <f t="shared" si="471"/>
        <v>01</v>
      </c>
      <c r="O2197" s="14" t="str">
        <f t="shared" si="472"/>
        <v>00</v>
      </c>
      <c r="R2197" s="6">
        <v>513</v>
      </c>
      <c r="S2197" s="5">
        <f t="shared" si="474"/>
        <v>0</v>
      </c>
      <c r="T2197" s="26"/>
    </row>
    <row r="2198" spans="1:22" hidden="1">
      <c r="J2198" s="1" t="str">
        <f t="shared" si="467"/>
        <v>0</v>
      </c>
      <c r="K2198" s="3">
        <f t="shared" si="468"/>
        <v>-100</v>
      </c>
      <c r="L2198" s="3">
        <f t="shared" si="469"/>
        <v>1</v>
      </c>
      <c r="M2198" s="3">
        <f t="shared" si="470"/>
        <v>0</v>
      </c>
      <c r="N2198" s="3" t="str">
        <f t="shared" si="471"/>
        <v>01</v>
      </c>
      <c r="O2198" s="14" t="str">
        <f t="shared" si="472"/>
        <v>00</v>
      </c>
      <c r="R2198" s="6">
        <v>513</v>
      </c>
      <c r="S2198" s="5">
        <f t="shared" si="474"/>
        <v>0</v>
      </c>
      <c r="T2198" s="26"/>
    </row>
    <row r="2199" spans="1:22" hidden="1">
      <c r="J2199" s="1" t="str">
        <f t="shared" si="467"/>
        <v>0</v>
      </c>
      <c r="K2199" s="3">
        <f t="shared" si="468"/>
        <v>-100</v>
      </c>
      <c r="L2199" s="3">
        <f t="shared" si="469"/>
        <v>1</v>
      </c>
      <c r="M2199" s="3">
        <f t="shared" si="470"/>
        <v>0</v>
      </c>
      <c r="N2199" s="3" t="str">
        <f t="shared" si="471"/>
        <v>01</v>
      </c>
      <c r="O2199" s="14" t="str">
        <f t="shared" si="472"/>
        <v>00</v>
      </c>
      <c r="R2199" s="6">
        <v>513</v>
      </c>
      <c r="S2199" s="5">
        <f t="shared" si="474"/>
        <v>0</v>
      </c>
      <c r="T2199" s="26"/>
    </row>
    <row r="2200" spans="1:22" hidden="1">
      <c r="J2200" s="1" t="str">
        <f t="shared" si="467"/>
        <v>0</v>
      </c>
      <c r="K2200" s="3">
        <f t="shared" si="468"/>
        <v>-100</v>
      </c>
      <c r="L2200" s="3">
        <f t="shared" si="469"/>
        <v>1</v>
      </c>
      <c r="M2200" s="3">
        <f t="shared" si="470"/>
        <v>0</v>
      </c>
      <c r="N2200" s="3" t="str">
        <f t="shared" si="471"/>
        <v>01</v>
      </c>
      <c r="O2200" s="14" t="str">
        <f t="shared" si="472"/>
        <v>00</v>
      </c>
      <c r="R2200" s="6">
        <v>513</v>
      </c>
      <c r="S2200" s="5">
        <f t="shared" si="474"/>
        <v>0</v>
      </c>
      <c r="T2200" s="26"/>
    </row>
    <row r="2201" spans="1:22" hidden="1">
      <c r="J2201" s="1" t="str">
        <f t="shared" si="467"/>
        <v>0</v>
      </c>
      <c r="K2201" s="3">
        <f t="shared" si="468"/>
        <v>-100</v>
      </c>
      <c r="L2201" s="3">
        <f t="shared" si="469"/>
        <v>1</v>
      </c>
      <c r="M2201" s="3">
        <f t="shared" si="470"/>
        <v>0</v>
      </c>
      <c r="N2201" s="3" t="str">
        <f t="shared" si="471"/>
        <v>01</v>
      </c>
      <c r="O2201" s="14" t="str">
        <f t="shared" si="472"/>
        <v>00</v>
      </c>
      <c r="R2201" s="6">
        <v>513</v>
      </c>
      <c r="S2201" s="5">
        <f t="shared" si="474"/>
        <v>0</v>
      </c>
      <c r="T2201" s="27"/>
    </row>
    <row r="2202" spans="1:22">
      <c r="A2202" s="3">
        <v>2150</v>
      </c>
      <c r="B2202" s="1">
        <f>IF(G2202="-",0,IF(G2201=G2202,1,0))</f>
        <v>0</v>
      </c>
      <c r="C2202" s="1">
        <f>+IF(G2202="-",0,IF(I2202=I2201+1,0,(IF(I2202=1,0,1))))</f>
        <v>1</v>
      </c>
      <c r="D2202" s="1">
        <f>+IF(AND(P2202="",Q2202=""),1,0)</f>
        <v>0</v>
      </c>
      <c r="E2202" s="1">
        <f>IF(U2202="",1,0)</f>
        <v>0</v>
      </c>
      <c r="F2202" s="1">
        <f>IF(V2202="",1,0)</f>
        <v>0</v>
      </c>
      <c r="G2202" s="1" t="str">
        <f>IF(H2202=0,"-",_xlfn.CONCAT(K2202,N2202,O2202,J2202))</f>
        <v>24100302</v>
      </c>
      <c r="H2202" s="2">
        <v>45568</v>
      </c>
      <c r="I2202" s="36">
        <v>2</v>
      </c>
      <c r="J2202" s="1" t="str">
        <f t="shared" si="467"/>
        <v>02</v>
      </c>
      <c r="K2202" s="3">
        <f t="shared" si="468"/>
        <v>24</v>
      </c>
      <c r="L2202" s="3">
        <f t="shared" si="469"/>
        <v>10</v>
      </c>
      <c r="M2202" s="3">
        <f t="shared" si="470"/>
        <v>3</v>
      </c>
      <c r="N2202" s="3">
        <f t="shared" si="471"/>
        <v>10</v>
      </c>
      <c r="O2202" s="14" t="str">
        <f t="shared" si="472"/>
        <v>03</v>
      </c>
      <c r="P2202" s="4">
        <v>20191</v>
      </c>
      <c r="R2202" s="6">
        <v>512</v>
      </c>
      <c r="S2202" s="5">
        <f t="shared" si="474"/>
        <v>39.435546875</v>
      </c>
      <c r="T2202" s="5" t="s">
        <v>1029</v>
      </c>
      <c r="U2202" s="3" t="s">
        <v>29</v>
      </c>
      <c r="V2202" s="3" t="s">
        <v>4</v>
      </c>
    </row>
    <row r="2203" spans="1:22" hidden="1">
      <c r="J2203" s="1" t="str">
        <f t="shared" si="467"/>
        <v>0</v>
      </c>
      <c r="K2203" s="3">
        <f t="shared" si="468"/>
        <v>-100</v>
      </c>
      <c r="L2203" s="3">
        <f t="shared" si="469"/>
        <v>1</v>
      </c>
      <c r="M2203" s="3">
        <f t="shared" si="470"/>
        <v>0</v>
      </c>
      <c r="N2203" s="3" t="str">
        <f t="shared" si="471"/>
        <v>01</v>
      </c>
      <c r="O2203" s="14" t="str">
        <f t="shared" si="472"/>
        <v>00</v>
      </c>
      <c r="R2203" s="6">
        <v>513</v>
      </c>
      <c r="S2203" s="5">
        <f t="shared" si="474"/>
        <v>0</v>
      </c>
    </row>
    <row r="2204" spans="1:22">
      <c r="A2204" s="3">
        <v>2154</v>
      </c>
      <c r="B2204" s="1">
        <f>IF(G2204="-",0,IF(G2203=G2204,1,0))</f>
        <v>0</v>
      </c>
      <c r="C2204" s="1">
        <f>+IF(G2204="-",0,IF(I2204=I2203+1,0,(IF(I2204=1,0,1))))</f>
        <v>1</v>
      </c>
      <c r="D2204" s="1">
        <f>+IF(AND(P2204="",Q2204=""),1,0)</f>
        <v>0</v>
      </c>
      <c r="E2204" s="1">
        <f>IF(U2204="",1,0)</f>
        <v>0</v>
      </c>
      <c r="F2204" s="1">
        <f>IF(V2204="",1,0)</f>
        <v>0</v>
      </c>
      <c r="G2204" s="1" t="str">
        <f>IF(H2204=0,"-",_xlfn.CONCAT(K2204,N2204,O2204,J2204))</f>
        <v>24100402</v>
      </c>
      <c r="H2204" s="2">
        <v>45569</v>
      </c>
      <c r="I2204" s="36">
        <v>2</v>
      </c>
      <c r="J2204" s="1" t="str">
        <f t="shared" si="467"/>
        <v>02</v>
      </c>
      <c r="K2204" s="3">
        <f t="shared" si="468"/>
        <v>24</v>
      </c>
      <c r="L2204" s="3">
        <f t="shared" si="469"/>
        <v>10</v>
      </c>
      <c r="M2204" s="3">
        <f t="shared" si="470"/>
        <v>4</v>
      </c>
      <c r="N2204" s="3">
        <f t="shared" si="471"/>
        <v>10</v>
      </c>
      <c r="O2204" s="14" t="str">
        <f t="shared" si="472"/>
        <v>04</v>
      </c>
      <c r="P2204" s="4">
        <v>18253.849999999999</v>
      </c>
      <c r="R2204" s="6">
        <v>513</v>
      </c>
      <c r="S2204" s="5">
        <f t="shared" si="474"/>
        <v>35.582553606237816</v>
      </c>
      <c r="T2204" s="5" t="s">
        <v>903</v>
      </c>
      <c r="U2204" s="3" t="s">
        <v>29</v>
      </c>
      <c r="V2204" s="3" t="s">
        <v>4</v>
      </c>
    </row>
    <row r="2205" spans="1:22">
      <c r="A2205" s="3">
        <v>2163</v>
      </c>
      <c r="B2205" s="1">
        <f>IF(G2205="-",0,IF(G2204=G2205,1,0))</f>
        <v>0</v>
      </c>
      <c r="C2205" s="1">
        <f>+IF(G2205="-",0,IF(I2205=I2204+1,0,(IF(I2205=1,0,1))))</f>
        <v>1</v>
      </c>
      <c r="D2205" s="1">
        <f>+IF(AND(P2205="",Q2205=""),1,0)</f>
        <v>0</v>
      </c>
      <c r="E2205" s="1">
        <f>IF(U2205="",1,0)</f>
        <v>0</v>
      </c>
      <c r="F2205" s="1">
        <f>IF(V2205="",1,0)</f>
        <v>0</v>
      </c>
      <c r="G2205" s="1" t="str">
        <f>IF(H2205=0,"-",_xlfn.CONCAT(K2205,N2205,O2205,J2205))</f>
        <v>24100505</v>
      </c>
      <c r="H2205" s="2">
        <v>45570</v>
      </c>
      <c r="I2205" s="36">
        <v>5</v>
      </c>
      <c r="J2205" s="1" t="str">
        <f t="shared" si="467"/>
        <v>05</v>
      </c>
      <c r="K2205" s="3">
        <f t="shared" si="468"/>
        <v>24</v>
      </c>
      <c r="L2205" s="3">
        <f t="shared" si="469"/>
        <v>10</v>
      </c>
      <c r="M2205" s="3">
        <f t="shared" si="470"/>
        <v>5</v>
      </c>
      <c r="N2205" s="3">
        <f t="shared" si="471"/>
        <v>10</v>
      </c>
      <c r="O2205" s="14" t="str">
        <f t="shared" si="472"/>
        <v>05</v>
      </c>
      <c r="P2205" s="4">
        <v>120000</v>
      </c>
      <c r="R2205" s="6">
        <v>513</v>
      </c>
      <c r="S2205" s="5">
        <f t="shared" si="474"/>
        <v>233.91812865497076</v>
      </c>
      <c r="T2205" s="29" t="s">
        <v>884</v>
      </c>
      <c r="U2205" s="3" t="s">
        <v>1</v>
      </c>
      <c r="V2205" s="3" t="s">
        <v>4</v>
      </c>
    </row>
    <row r="2206" spans="1:22" hidden="1">
      <c r="J2206" s="1" t="str">
        <f t="shared" si="467"/>
        <v>0</v>
      </c>
      <c r="K2206" s="3">
        <f t="shared" si="468"/>
        <v>-100</v>
      </c>
      <c r="L2206" s="3">
        <f t="shared" si="469"/>
        <v>1</v>
      </c>
      <c r="M2206" s="3">
        <f t="shared" si="470"/>
        <v>0</v>
      </c>
      <c r="N2206" s="3" t="str">
        <f t="shared" si="471"/>
        <v>01</v>
      </c>
      <c r="O2206" s="14" t="str">
        <f t="shared" si="472"/>
        <v>00</v>
      </c>
      <c r="R2206" s="6">
        <v>513</v>
      </c>
      <c r="S2206" s="5">
        <f t="shared" si="474"/>
        <v>0</v>
      </c>
    </row>
    <row r="2207" spans="1:22" hidden="1">
      <c r="J2207" s="1" t="str">
        <f t="shared" si="467"/>
        <v>0</v>
      </c>
      <c r="K2207" s="3">
        <f t="shared" si="468"/>
        <v>-100</v>
      </c>
      <c r="L2207" s="3">
        <f t="shared" si="469"/>
        <v>1</v>
      </c>
      <c r="M2207" s="3">
        <f t="shared" si="470"/>
        <v>0</v>
      </c>
      <c r="N2207" s="3" t="str">
        <f t="shared" si="471"/>
        <v>01</v>
      </c>
      <c r="O2207" s="14" t="str">
        <f t="shared" si="472"/>
        <v>00</v>
      </c>
      <c r="R2207" s="6">
        <v>513</v>
      </c>
      <c r="S2207" s="5">
        <f t="shared" si="474"/>
        <v>0</v>
      </c>
    </row>
    <row r="2208" spans="1:22">
      <c r="A2208" s="3">
        <v>2168</v>
      </c>
      <c r="B2208" s="1">
        <f>IF(G2208="-",0,IF(G2207=G2208,1,0))</f>
        <v>0</v>
      </c>
      <c r="C2208" s="1">
        <f>+IF(G2208="-",0,IF(I2208=I2207+1,0,(IF(I2208=1,0,1))))</f>
        <v>1</v>
      </c>
      <c r="D2208" s="1">
        <f>+IF(AND(P2208="",Q2208=""),1,0)</f>
        <v>0</v>
      </c>
      <c r="E2208" s="1">
        <f>IF(U2208="",1,0)</f>
        <v>0</v>
      </c>
      <c r="F2208" s="1">
        <f>IF(V2208="",1,0)</f>
        <v>0</v>
      </c>
      <c r="G2208" s="1" t="str">
        <f>IF(H2208=0,"-",_xlfn.CONCAT(K2208,N2208,O2208,J2208))</f>
        <v>24100510</v>
      </c>
      <c r="H2208" s="2">
        <v>45570</v>
      </c>
      <c r="I2208" s="36">
        <v>10</v>
      </c>
      <c r="J2208" s="1">
        <f t="shared" si="467"/>
        <v>10</v>
      </c>
      <c r="K2208" s="3">
        <f t="shared" si="468"/>
        <v>24</v>
      </c>
      <c r="L2208" s="3">
        <f t="shared" si="469"/>
        <v>10</v>
      </c>
      <c r="M2208" s="3">
        <f t="shared" si="470"/>
        <v>5</v>
      </c>
      <c r="N2208" s="3">
        <f t="shared" si="471"/>
        <v>10</v>
      </c>
      <c r="O2208" s="14" t="str">
        <f t="shared" si="472"/>
        <v>05</v>
      </c>
      <c r="P2208" s="4">
        <v>150000</v>
      </c>
      <c r="R2208" s="6">
        <v>513</v>
      </c>
      <c r="S2208" s="5">
        <f t="shared" si="474"/>
        <v>292.39766081871346</v>
      </c>
      <c r="T2208" s="26" t="s">
        <v>888</v>
      </c>
      <c r="U2208" s="3" t="s">
        <v>1</v>
      </c>
      <c r="V2208" s="3" t="s">
        <v>4</v>
      </c>
    </row>
    <row r="2209" spans="1:22">
      <c r="A2209" s="3">
        <v>2169</v>
      </c>
      <c r="B2209" s="1">
        <f>IF(G2209="-",0,IF(G2208=G2209,1,0))</f>
        <v>0</v>
      </c>
      <c r="C2209" s="1">
        <f>+IF(G2209="-",0,IF(I2209=I2208+1,0,(IF(I2209=1,0,1))))</f>
        <v>0</v>
      </c>
      <c r="D2209" s="1">
        <f>+IF(AND(P2209="",Q2209=""),1,0)</f>
        <v>0</v>
      </c>
      <c r="E2209" s="1">
        <f>IF(U2209="",1,0)</f>
        <v>0</v>
      </c>
      <c r="F2209" s="1">
        <f>IF(V2209="",1,0)</f>
        <v>0</v>
      </c>
      <c r="G2209" s="1" t="str">
        <f>IF(H2209=0,"-",_xlfn.CONCAT(K2209,N2209,O2209,J2209))</f>
        <v>24100511</v>
      </c>
      <c r="H2209" s="2">
        <v>45570</v>
      </c>
      <c r="I2209" s="36">
        <v>11</v>
      </c>
      <c r="J2209" s="1">
        <f t="shared" si="467"/>
        <v>11</v>
      </c>
      <c r="K2209" s="3">
        <f t="shared" si="468"/>
        <v>24</v>
      </c>
      <c r="L2209" s="3">
        <f t="shared" si="469"/>
        <v>10</v>
      </c>
      <c r="M2209" s="3">
        <f t="shared" si="470"/>
        <v>5</v>
      </c>
      <c r="N2209" s="3">
        <f t="shared" si="471"/>
        <v>10</v>
      </c>
      <c r="O2209" s="14" t="str">
        <f t="shared" si="472"/>
        <v>05</v>
      </c>
      <c r="P2209" s="4">
        <v>132000</v>
      </c>
      <c r="R2209" s="6">
        <v>513</v>
      </c>
      <c r="S2209" s="5">
        <f t="shared" si="474"/>
        <v>257.30994152046782</v>
      </c>
      <c r="T2209" s="26" t="s">
        <v>889</v>
      </c>
      <c r="U2209" s="3" t="s">
        <v>1</v>
      </c>
      <c r="V2209" s="3" t="s">
        <v>4</v>
      </c>
    </row>
    <row r="2210" spans="1:22" hidden="1">
      <c r="J2210" s="1" t="str">
        <f t="shared" si="467"/>
        <v>0</v>
      </c>
      <c r="K2210" s="3">
        <f t="shared" si="468"/>
        <v>-100</v>
      </c>
      <c r="L2210" s="3">
        <f t="shared" si="469"/>
        <v>1</v>
      </c>
      <c r="M2210" s="3">
        <f t="shared" si="470"/>
        <v>0</v>
      </c>
      <c r="N2210" s="3" t="str">
        <f t="shared" si="471"/>
        <v>01</v>
      </c>
      <c r="O2210" s="14" t="str">
        <f t="shared" si="472"/>
        <v>00</v>
      </c>
      <c r="R2210" s="6">
        <v>513</v>
      </c>
      <c r="S2210" s="5">
        <f t="shared" si="474"/>
        <v>0</v>
      </c>
    </row>
    <row r="2211" spans="1:22" hidden="1">
      <c r="J2211" s="1" t="str">
        <f t="shared" si="467"/>
        <v>0</v>
      </c>
      <c r="K2211" s="3">
        <f t="shared" si="468"/>
        <v>-100</v>
      </c>
      <c r="L2211" s="3">
        <f t="shared" si="469"/>
        <v>1</v>
      </c>
      <c r="M2211" s="3">
        <f t="shared" si="470"/>
        <v>0</v>
      </c>
      <c r="N2211" s="3" t="str">
        <f t="shared" si="471"/>
        <v>01</v>
      </c>
      <c r="O2211" s="14" t="str">
        <f t="shared" si="472"/>
        <v>00</v>
      </c>
      <c r="R2211" s="6">
        <v>513</v>
      </c>
      <c r="S2211" s="5">
        <f t="shared" si="474"/>
        <v>0</v>
      </c>
    </row>
    <row r="2212" spans="1:22" hidden="1">
      <c r="J2212" s="1" t="str">
        <f t="shared" si="467"/>
        <v>0</v>
      </c>
      <c r="K2212" s="3">
        <f t="shared" si="468"/>
        <v>-100</v>
      </c>
      <c r="L2212" s="3">
        <f t="shared" si="469"/>
        <v>1</v>
      </c>
      <c r="M2212" s="3">
        <f t="shared" si="470"/>
        <v>0</v>
      </c>
      <c r="N2212" s="3" t="str">
        <f t="shared" si="471"/>
        <v>01</v>
      </c>
      <c r="O2212" s="14" t="str">
        <f t="shared" si="472"/>
        <v>00</v>
      </c>
      <c r="R2212" s="6">
        <v>511</v>
      </c>
      <c r="S2212" s="5">
        <f t="shared" si="474"/>
        <v>0</v>
      </c>
    </row>
    <row r="2213" spans="1:22" hidden="1">
      <c r="J2213" s="1" t="str">
        <f t="shared" si="467"/>
        <v>0</v>
      </c>
      <c r="K2213" s="3">
        <f t="shared" si="468"/>
        <v>-100</v>
      </c>
      <c r="L2213" s="3">
        <f t="shared" si="469"/>
        <v>1</v>
      </c>
      <c r="M2213" s="3">
        <f t="shared" si="470"/>
        <v>0</v>
      </c>
      <c r="N2213" s="3" t="str">
        <f t="shared" si="471"/>
        <v>01</v>
      </c>
      <c r="O2213" s="14" t="str">
        <f t="shared" si="472"/>
        <v>00</v>
      </c>
      <c r="R2213" s="6">
        <v>511</v>
      </c>
      <c r="S2213" s="5">
        <f t="shared" si="474"/>
        <v>0</v>
      </c>
    </row>
    <row r="2214" spans="1:22" hidden="1">
      <c r="J2214" s="1" t="str">
        <f t="shared" si="467"/>
        <v>0</v>
      </c>
      <c r="K2214" s="3">
        <f t="shared" si="468"/>
        <v>-100</v>
      </c>
      <c r="L2214" s="3">
        <f t="shared" si="469"/>
        <v>1</v>
      </c>
      <c r="M2214" s="3">
        <f t="shared" si="470"/>
        <v>0</v>
      </c>
      <c r="N2214" s="3" t="str">
        <f t="shared" si="471"/>
        <v>01</v>
      </c>
      <c r="O2214" s="14" t="str">
        <f t="shared" si="472"/>
        <v>00</v>
      </c>
      <c r="R2214" s="6">
        <v>511</v>
      </c>
      <c r="S2214" s="5">
        <f t="shared" si="474"/>
        <v>0</v>
      </c>
    </row>
    <row r="2215" spans="1:22" hidden="1">
      <c r="J2215" s="1" t="str">
        <f t="shared" si="467"/>
        <v>0</v>
      </c>
      <c r="K2215" s="3">
        <f t="shared" si="468"/>
        <v>-100</v>
      </c>
      <c r="L2215" s="3">
        <f t="shared" si="469"/>
        <v>1</v>
      </c>
      <c r="M2215" s="3">
        <f t="shared" si="470"/>
        <v>0</v>
      </c>
      <c r="N2215" s="3" t="str">
        <f t="shared" si="471"/>
        <v>01</v>
      </c>
      <c r="O2215" s="14" t="str">
        <f t="shared" si="472"/>
        <v>00</v>
      </c>
      <c r="R2215" s="6">
        <v>511</v>
      </c>
      <c r="S2215" s="5">
        <f t="shared" si="474"/>
        <v>0</v>
      </c>
    </row>
    <row r="2216" spans="1:22" hidden="1">
      <c r="J2216" s="1" t="str">
        <f t="shared" si="467"/>
        <v>0</v>
      </c>
      <c r="K2216" s="3">
        <f t="shared" si="468"/>
        <v>-100</v>
      </c>
      <c r="L2216" s="3">
        <f t="shared" si="469"/>
        <v>1</v>
      </c>
      <c r="M2216" s="3">
        <f t="shared" si="470"/>
        <v>0</v>
      </c>
      <c r="N2216" s="3" t="str">
        <f t="shared" si="471"/>
        <v>01</v>
      </c>
      <c r="O2216" s="14" t="str">
        <f t="shared" si="472"/>
        <v>00</v>
      </c>
      <c r="R2216" s="6">
        <v>511</v>
      </c>
      <c r="S2216" s="5">
        <f t="shared" si="474"/>
        <v>0</v>
      </c>
    </row>
    <row r="2217" spans="1:22" hidden="1">
      <c r="J2217" s="1" t="str">
        <f t="shared" si="467"/>
        <v>0</v>
      </c>
      <c r="K2217" s="3">
        <f t="shared" si="468"/>
        <v>-100</v>
      </c>
      <c r="L2217" s="3">
        <f t="shared" si="469"/>
        <v>1</v>
      </c>
      <c r="M2217" s="3">
        <f t="shared" si="470"/>
        <v>0</v>
      </c>
      <c r="N2217" s="3" t="str">
        <f t="shared" si="471"/>
        <v>01</v>
      </c>
      <c r="O2217" s="14" t="str">
        <f t="shared" si="472"/>
        <v>00</v>
      </c>
      <c r="S2217" s="5" t="str">
        <f t="shared" si="474"/>
        <v/>
      </c>
    </row>
    <row r="2218" spans="1:22" hidden="1">
      <c r="J2218" s="1" t="str">
        <f t="shared" si="467"/>
        <v>0</v>
      </c>
      <c r="K2218" s="3">
        <f t="shared" si="468"/>
        <v>-100</v>
      </c>
      <c r="L2218" s="3">
        <f t="shared" si="469"/>
        <v>1</v>
      </c>
      <c r="M2218" s="3">
        <f t="shared" si="470"/>
        <v>0</v>
      </c>
      <c r="N2218" s="3" t="str">
        <f t="shared" si="471"/>
        <v>01</v>
      </c>
      <c r="O2218" s="14" t="str">
        <f t="shared" si="472"/>
        <v>00</v>
      </c>
    </row>
    <row r="2219" spans="1:22" hidden="1">
      <c r="J2219" s="1" t="str">
        <f t="shared" si="467"/>
        <v>0</v>
      </c>
      <c r="K2219" s="3">
        <f t="shared" si="468"/>
        <v>-100</v>
      </c>
      <c r="L2219" s="3">
        <f t="shared" si="469"/>
        <v>1</v>
      </c>
      <c r="M2219" s="3">
        <f t="shared" si="470"/>
        <v>0</v>
      </c>
      <c r="N2219" s="3" t="str">
        <f t="shared" si="471"/>
        <v>01</v>
      </c>
      <c r="O2219" s="14" t="str">
        <f t="shared" si="472"/>
        <v>00</v>
      </c>
    </row>
    <row r="2220" spans="1:22" hidden="1">
      <c r="J2220" s="1" t="str">
        <f t="shared" si="467"/>
        <v>0</v>
      </c>
      <c r="K2220" s="3">
        <f t="shared" si="468"/>
        <v>-100</v>
      </c>
      <c r="L2220" s="3">
        <f t="shared" si="469"/>
        <v>1</v>
      </c>
      <c r="M2220" s="3">
        <f t="shared" si="470"/>
        <v>0</v>
      </c>
      <c r="N2220" s="3" t="str">
        <f t="shared" si="471"/>
        <v>01</v>
      </c>
      <c r="O2220" s="14" t="str">
        <f t="shared" si="472"/>
        <v>00</v>
      </c>
      <c r="S2220" s="5" t="str">
        <f>IFERROR(P2220/R2220,"")</f>
        <v/>
      </c>
    </row>
    <row r="2221" spans="1:22" hidden="1">
      <c r="J2221" s="1" t="str">
        <f t="shared" si="467"/>
        <v>0</v>
      </c>
      <c r="K2221" s="3">
        <f t="shared" si="468"/>
        <v>-100</v>
      </c>
      <c r="L2221" s="3">
        <f t="shared" si="469"/>
        <v>1</v>
      </c>
      <c r="M2221" s="3">
        <f t="shared" si="470"/>
        <v>0</v>
      </c>
      <c r="N2221" s="3" t="str">
        <f t="shared" si="471"/>
        <v>01</v>
      </c>
      <c r="O2221" s="14" t="str">
        <f t="shared" si="472"/>
        <v>00</v>
      </c>
    </row>
    <row r="2222" spans="1:22" hidden="1">
      <c r="J2222" s="1" t="str">
        <f t="shared" si="467"/>
        <v>0</v>
      </c>
      <c r="K2222" s="3">
        <f t="shared" si="468"/>
        <v>-100</v>
      </c>
      <c r="L2222" s="3">
        <f t="shared" si="469"/>
        <v>1</v>
      </c>
      <c r="M2222" s="3">
        <f t="shared" si="470"/>
        <v>0</v>
      </c>
      <c r="N2222" s="3" t="str">
        <f t="shared" si="471"/>
        <v>01</v>
      </c>
      <c r="O2222" s="14" t="str">
        <f t="shared" si="472"/>
        <v>00</v>
      </c>
    </row>
    <row r="2223" spans="1:22" hidden="1">
      <c r="J2223" s="1" t="str">
        <f t="shared" si="467"/>
        <v>0</v>
      </c>
      <c r="K2223" s="3">
        <f t="shared" si="468"/>
        <v>-100</v>
      </c>
      <c r="L2223" s="3">
        <f t="shared" si="469"/>
        <v>1</v>
      </c>
      <c r="M2223" s="3">
        <f t="shared" si="470"/>
        <v>0</v>
      </c>
      <c r="N2223" s="3" t="str">
        <f t="shared" si="471"/>
        <v>01</v>
      </c>
      <c r="O2223" s="14" t="str">
        <f t="shared" si="472"/>
        <v>00</v>
      </c>
    </row>
    <row r="2224" spans="1:22" hidden="1">
      <c r="J2224" s="1" t="str">
        <f t="shared" si="467"/>
        <v>0</v>
      </c>
      <c r="K2224" s="3">
        <f t="shared" si="468"/>
        <v>-100</v>
      </c>
      <c r="L2224" s="3">
        <f t="shared" si="469"/>
        <v>1</v>
      </c>
      <c r="M2224" s="3">
        <f t="shared" si="470"/>
        <v>0</v>
      </c>
      <c r="N2224" s="3" t="str">
        <f t="shared" si="471"/>
        <v>01</v>
      </c>
      <c r="O2224" s="14" t="str">
        <f t="shared" si="472"/>
        <v>00</v>
      </c>
    </row>
    <row r="2225" spans="1:23" hidden="1">
      <c r="J2225" s="1" t="str">
        <f t="shared" si="467"/>
        <v>0</v>
      </c>
      <c r="K2225" s="3">
        <f t="shared" si="468"/>
        <v>-100</v>
      </c>
      <c r="L2225" s="3">
        <f t="shared" si="469"/>
        <v>1</v>
      </c>
      <c r="M2225" s="3">
        <f t="shared" si="470"/>
        <v>0</v>
      </c>
      <c r="N2225" s="3" t="str">
        <f t="shared" si="471"/>
        <v>01</v>
      </c>
      <c r="O2225" s="14" t="str">
        <f t="shared" si="472"/>
        <v>00</v>
      </c>
    </row>
    <row r="2226" spans="1:23" hidden="1">
      <c r="J2226" s="1" t="str">
        <f t="shared" ref="J2226:J2260" si="476">+IF(I2226&lt;10,_xlfn.CONCAT("0",I2226),I2226)</f>
        <v>0</v>
      </c>
      <c r="K2226" s="3">
        <f t="shared" ref="K2226:K2260" si="477">+YEAR(H2226)-2000</f>
        <v>-100</v>
      </c>
      <c r="L2226" s="3">
        <f t="shared" ref="L2226:L2260" si="478">+MONTH(H2226)</f>
        <v>1</v>
      </c>
      <c r="M2226" s="3">
        <f t="shared" ref="M2226:M2260" si="479">+DAY(H2226)</f>
        <v>0</v>
      </c>
      <c r="N2226" s="3" t="str">
        <f t="shared" ref="N2226:N2260" si="480">+IF(L2226&lt;10,_xlfn.CONCAT("0",L2226),L2226)</f>
        <v>01</v>
      </c>
      <c r="O2226" s="14" t="str">
        <f t="shared" ref="O2226:O2260" si="481">+IF(M2226&lt;10,_xlfn.CONCAT("0",M2226),M2226)</f>
        <v>00</v>
      </c>
    </row>
    <row r="2227" spans="1:23">
      <c r="A2227" s="3">
        <v>2170</v>
      </c>
      <c r="B2227" s="1">
        <f>IF(G2227="-",0,IF(G2226=G2227,1,0))</f>
        <v>0</v>
      </c>
      <c r="C2227" s="1">
        <f>+IF(G2227="-",0,IF(I2227=I2226+1,0,(IF(I2227=1,0,1))))</f>
        <v>1</v>
      </c>
      <c r="D2227" s="1">
        <f>+IF(AND(P2227="",Q2227=""),1,0)</f>
        <v>0</v>
      </c>
      <c r="E2227" s="1">
        <f>IF(U2227="",1,0)</f>
        <v>0</v>
      </c>
      <c r="F2227" s="1">
        <f>IF(V2227="",1,0)</f>
        <v>0</v>
      </c>
      <c r="G2227" s="1" t="str">
        <f>IF(H2227=0,"-",_xlfn.CONCAT(K2227,N2227,O2227,J2227))</f>
        <v>24100512</v>
      </c>
      <c r="H2227" s="2">
        <v>45570</v>
      </c>
      <c r="I2227" s="36">
        <v>12</v>
      </c>
      <c r="J2227" s="1">
        <f t="shared" si="476"/>
        <v>12</v>
      </c>
      <c r="K2227" s="3">
        <f t="shared" si="477"/>
        <v>24</v>
      </c>
      <c r="L2227" s="3">
        <f t="shared" si="478"/>
        <v>10</v>
      </c>
      <c r="M2227" s="3">
        <f t="shared" si="479"/>
        <v>5</v>
      </c>
      <c r="N2227" s="3">
        <f t="shared" si="480"/>
        <v>10</v>
      </c>
      <c r="O2227" s="14" t="str">
        <f t="shared" si="481"/>
        <v>05</v>
      </c>
      <c r="P2227" s="4">
        <v>108000</v>
      </c>
      <c r="R2227" s="6">
        <v>513</v>
      </c>
      <c r="S2227" s="5">
        <f>IFERROR(P2227/R2227,"")</f>
        <v>210.52631578947367</v>
      </c>
      <c r="T2227" s="26" t="s">
        <v>890</v>
      </c>
      <c r="U2227" s="3" t="s">
        <v>1</v>
      </c>
      <c r="V2227" s="3" t="s">
        <v>4</v>
      </c>
    </row>
    <row r="2228" spans="1:23">
      <c r="A2228" s="3">
        <v>2171</v>
      </c>
      <c r="B2228" s="1">
        <f>IF(G2228="-",0,IF(G2227=G2228,1,0))</f>
        <v>0</v>
      </c>
      <c r="C2228" s="1">
        <f>+IF(G2228="-",0,IF(I2228=I2227+1,0,(IF(I2228=1,0,1))))</f>
        <v>0</v>
      </c>
      <c r="D2228" s="1">
        <f>+IF(AND(P2228="",Q2228=""),1,0)</f>
        <v>0</v>
      </c>
      <c r="E2228" s="1">
        <f>IF(U2228="",1,0)</f>
        <v>0</v>
      </c>
      <c r="F2228" s="1">
        <f>IF(V2228="",1,0)</f>
        <v>0</v>
      </c>
      <c r="G2228" s="1" t="str">
        <f>IF(H2228=0,"-",_xlfn.CONCAT(K2228,N2228,O2228,J2228))</f>
        <v>24100513</v>
      </c>
      <c r="H2228" s="2">
        <v>45570</v>
      </c>
      <c r="I2228" s="36">
        <v>13</v>
      </c>
      <c r="J2228" s="1">
        <f t="shared" si="476"/>
        <v>13</v>
      </c>
      <c r="K2228" s="3">
        <f t="shared" si="477"/>
        <v>24</v>
      </c>
      <c r="L2228" s="3">
        <f t="shared" si="478"/>
        <v>10</v>
      </c>
      <c r="M2228" s="3">
        <f t="shared" si="479"/>
        <v>5</v>
      </c>
      <c r="N2228" s="3">
        <f t="shared" si="480"/>
        <v>10</v>
      </c>
      <c r="O2228" s="14" t="str">
        <f t="shared" si="481"/>
        <v>05</v>
      </c>
      <c r="P2228" s="4">
        <v>108000</v>
      </c>
      <c r="R2228" s="6">
        <v>513</v>
      </c>
      <c r="S2228" s="5">
        <f>IFERROR(P2228/R2228,"")</f>
        <v>210.52631578947367</v>
      </c>
      <c r="T2228" s="26" t="s">
        <v>891</v>
      </c>
      <c r="U2228" s="3" t="s">
        <v>1</v>
      </c>
      <c r="V2228" s="3" t="s">
        <v>4</v>
      </c>
    </row>
    <row r="2229" spans="1:23" hidden="1">
      <c r="J2229" s="1" t="str">
        <f t="shared" si="476"/>
        <v>0</v>
      </c>
      <c r="K2229" s="3">
        <f t="shared" si="477"/>
        <v>-100</v>
      </c>
      <c r="L2229" s="3">
        <f t="shared" si="478"/>
        <v>1</v>
      </c>
      <c r="M2229" s="3">
        <f t="shared" si="479"/>
        <v>0</v>
      </c>
      <c r="N2229" s="3" t="str">
        <f t="shared" si="480"/>
        <v>01</v>
      </c>
      <c r="O2229" s="14" t="str">
        <f t="shared" si="481"/>
        <v>00</v>
      </c>
    </row>
    <row r="2230" spans="1:23" hidden="1">
      <c r="J2230" s="1" t="str">
        <f t="shared" si="476"/>
        <v>0</v>
      </c>
      <c r="K2230" s="3">
        <f t="shared" si="477"/>
        <v>-100</v>
      </c>
      <c r="L2230" s="3">
        <f t="shared" si="478"/>
        <v>1</v>
      </c>
      <c r="M2230" s="3">
        <f t="shared" si="479"/>
        <v>0</v>
      </c>
      <c r="N2230" s="3" t="str">
        <f t="shared" si="480"/>
        <v>01</v>
      </c>
      <c r="O2230" s="14" t="str">
        <f t="shared" si="481"/>
        <v>00</v>
      </c>
    </row>
    <row r="2231" spans="1:23" hidden="1">
      <c r="J2231" s="1" t="str">
        <f t="shared" si="476"/>
        <v>0</v>
      </c>
      <c r="K2231" s="3">
        <f t="shared" si="477"/>
        <v>-100</v>
      </c>
      <c r="L2231" s="3">
        <f t="shared" si="478"/>
        <v>1</v>
      </c>
      <c r="M2231" s="3">
        <f t="shared" si="479"/>
        <v>0</v>
      </c>
      <c r="N2231" s="3" t="str">
        <f t="shared" si="480"/>
        <v>01</v>
      </c>
      <c r="O2231" s="14" t="str">
        <f t="shared" si="481"/>
        <v>00</v>
      </c>
    </row>
    <row r="2232" spans="1:23" hidden="1">
      <c r="J2232" s="1" t="str">
        <f t="shared" si="476"/>
        <v>0</v>
      </c>
      <c r="K2232" s="3">
        <f t="shared" si="477"/>
        <v>-100</v>
      </c>
      <c r="L2232" s="3">
        <f t="shared" si="478"/>
        <v>1</v>
      </c>
      <c r="M2232" s="3">
        <f t="shared" si="479"/>
        <v>0</v>
      </c>
      <c r="N2232" s="3" t="str">
        <f t="shared" si="480"/>
        <v>01</v>
      </c>
      <c r="O2232" s="14" t="str">
        <f t="shared" si="481"/>
        <v>00</v>
      </c>
    </row>
    <row r="2233" spans="1:23">
      <c r="A2233" s="3">
        <v>2178</v>
      </c>
      <c r="B2233" s="1">
        <f>IF(G2233="-",0,IF(G2232=G2233,1,0))</f>
        <v>0</v>
      </c>
      <c r="C2233" s="1">
        <f>+IF(G2233="-",0,IF(I2233=I2232+1,0,(IF(I2233=1,0,1))))</f>
        <v>1</v>
      </c>
      <c r="D2233" s="1">
        <f>+IF(AND(P2233="",Q2233=""),1,0)</f>
        <v>0</v>
      </c>
      <c r="E2233" s="1">
        <f>IF(U2233="",1,0)</f>
        <v>0</v>
      </c>
      <c r="F2233" s="1">
        <f>IF(V2233="",1,0)</f>
        <v>0</v>
      </c>
      <c r="G2233" s="1" t="str">
        <f>IF(H2233=0,"-",_xlfn.CONCAT(K2233,N2233,O2233,J2233))</f>
        <v>24100520</v>
      </c>
      <c r="H2233" s="2">
        <v>45570</v>
      </c>
      <c r="I2233" s="36">
        <v>20</v>
      </c>
      <c r="J2233" s="1">
        <f t="shared" si="476"/>
        <v>20</v>
      </c>
      <c r="K2233" s="3">
        <f t="shared" si="477"/>
        <v>24</v>
      </c>
      <c r="L2233" s="3">
        <f t="shared" si="478"/>
        <v>10</v>
      </c>
      <c r="M2233" s="3">
        <f t="shared" si="479"/>
        <v>5</v>
      </c>
      <c r="N2233" s="3">
        <f t="shared" si="480"/>
        <v>10</v>
      </c>
      <c r="O2233" s="14" t="str">
        <f t="shared" si="481"/>
        <v>05</v>
      </c>
      <c r="P2233" s="4">
        <v>70000</v>
      </c>
      <c r="R2233" s="6">
        <v>513</v>
      </c>
      <c r="S2233" s="5">
        <f>IFERROR(P2233/R2233,"")</f>
        <v>136.45224171539962</v>
      </c>
      <c r="T2233" s="27" t="s">
        <v>897</v>
      </c>
      <c r="U2233" s="3" t="s">
        <v>1</v>
      </c>
      <c r="V2233" s="3" t="s">
        <v>4</v>
      </c>
      <c r="W2233" s="3" t="s">
        <v>902</v>
      </c>
    </row>
    <row r="2234" spans="1:23" hidden="1">
      <c r="J2234" s="1" t="str">
        <f t="shared" si="476"/>
        <v>0</v>
      </c>
      <c r="K2234" s="3">
        <f t="shared" si="477"/>
        <v>-100</v>
      </c>
      <c r="L2234" s="3">
        <f t="shared" si="478"/>
        <v>1</v>
      </c>
      <c r="M2234" s="3">
        <f t="shared" si="479"/>
        <v>0</v>
      </c>
      <c r="N2234" s="3" t="str">
        <f t="shared" si="480"/>
        <v>01</v>
      </c>
      <c r="O2234" s="14" t="str">
        <f t="shared" si="481"/>
        <v>00</v>
      </c>
    </row>
    <row r="2235" spans="1:23" hidden="1">
      <c r="J2235" s="1" t="str">
        <f t="shared" si="476"/>
        <v>0</v>
      </c>
      <c r="K2235" s="3">
        <f t="shared" si="477"/>
        <v>-100</v>
      </c>
      <c r="L2235" s="3">
        <f t="shared" si="478"/>
        <v>1</v>
      </c>
      <c r="M2235" s="3">
        <f t="shared" si="479"/>
        <v>0</v>
      </c>
      <c r="N2235" s="3" t="str">
        <f t="shared" si="480"/>
        <v>01</v>
      </c>
      <c r="O2235" s="14" t="str">
        <f t="shared" si="481"/>
        <v>00</v>
      </c>
    </row>
    <row r="2236" spans="1:23" hidden="1">
      <c r="J2236" s="1" t="str">
        <f t="shared" si="476"/>
        <v>0</v>
      </c>
      <c r="K2236" s="3">
        <f t="shared" si="477"/>
        <v>-100</v>
      </c>
      <c r="L2236" s="3">
        <f t="shared" si="478"/>
        <v>1</v>
      </c>
      <c r="M2236" s="3">
        <f t="shared" si="479"/>
        <v>0</v>
      </c>
      <c r="N2236" s="3" t="str">
        <f t="shared" si="480"/>
        <v>01</v>
      </c>
      <c r="O2236" s="14" t="str">
        <f t="shared" si="481"/>
        <v>00</v>
      </c>
    </row>
    <row r="2237" spans="1:23" hidden="1">
      <c r="J2237" s="1" t="str">
        <f t="shared" si="476"/>
        <v>0</v>
      </c>
      <c r="K2237" s="3">
        <f t="shared" si="477"/>
        <v>-100</v>
      </c>
      <c r="L2237" s="3">
        <f t="shared" si="478"/>
        <v>1</v>
      </c>
      <c r="M2237" s="3">
        <f t="shared" si="479"/>
        <v>0</v>
      </c>
      <c r="N2237" s="3" t="str">
        <f t="shared" si="480"/>
        <v>01</v>
      </c>
      <c r="O2237" s="14" t="str">
        <f t="shared" si="481"/>
        <v>00</v>
      </c>
    </row>
    <row r="2238" spans="1:23" hidden="1">
      <c r="J2238" s="1" t="str">
        <f t="shared" si="476"/>
        <v>0</v>
      </c>
      <c r="K2238" s="3">
        <f t="shared" si="477"/>
        <v>-100</v>
      </c>
      <c r="L2238" s="3">
        <f t="shared" si="478"/>
        <v>1</v>
      </c>
      <c r="M2238" s="3">
        <f t="shared" si="479"/>
        <v>0</v>
      </c>
      <c r="N2238" s="3" t="str">
        <f t="shared" si="480"/>
        <v>01</v>
      </c>
      <c r="O2238" s="14" t="str">
        <f t="shared" si="481"/>
        <v>00</v>
      </c>
    </row>
    <row r="2239" spans="1:23" hidden="1">
      <c r="J2239" s="1" t="str">
        <f t="shared" si="476"/>
        <v>0</v>
      </c>
      <c r="K2239" s="3">
        <f t="shared" si="477"/>
        <v>-100</v>
      </c>
      <c r="L2239" s="3">
        <f t="shared" si="478"/>
        <v>1</v>
      </c>
      <c r="M2239" s="3">
        <f t="shared" si="479"/>
        <v>0</v>
      </c>
      <c r="N2239" s="3" t="str">
        <f t="shared" si="480"/>
        <v>01</v>
      </c>
      <c r="O2239" s="14" t="str">
        <f t="shared" si="481"/>
        <v>00</v>
      </c>
    </row>
    <row r="2240" spans="1:23" hidden="1">
      <c r="J2240" s="1" t="str">
        <f t="shared" si="476"/>
        <v>0</v>
      </c>
      <c r="K2240" s="3">
        <f t="shared" si="477"/>
        <v>-100</v>
      </c>
      <c r="L2240" s="3">
        <f t="shared" si="478"/>
        <v>1</v>
      </c>
      <c r="M2240" s="3">
        <f t="shared" si="479"/>
        <v>0</v>
      </c>
      <c r="N2240" s="3" t="str">
        <f t="shared" si="480"/>
        <v>01</v>
      </c>
      <c r="O2240" s="14" t="str">
        <f t="shared" si="481"/>
        <v>00</v>
      </c>
    </row>
    <row r="2241" spans="1:22">
      <c r="A2241" s="3">
        <v>2180</v>
      </c>
      <c r="B2241" s="1">
        <f>IF(G2241="-",0,IF(G2240=G2241,1,0))</f>
        <v>0</v>
      </c>
      <c r="C2241" s="1">
        <f>+IF(G2241="-",0,IF(I2241=I2240+1,0,(IF(I2241=1,0,1))))</f>
        <v>1</v>
      </c>
      <c r="D2241" s="1">
        <f>+IF(AND(P2241="",Q2241=""),1,0)</f>
        <v>0</v>
      </c>
      <c r="E2241" s="1">
        <f>IF(U2241="",1,0)</f>
        <v>0</v>
      </c>
      <c r="F2241" s="1">
        <f>IF(V2241="",1,0)</f>
        <v>0</v>
      </c>
      <c r="G2241" s="1" t="str">
        <f>IF(H2241=0,"-",_xlfn.CONCAT(K2241,N2241,O2241,J2241))</f>
        <v>24100522</v>
      </c>
      <c r="H2241" s="2">
        <v>45570</v>
      </c>
      <c r="I2241" s="36">
        <v>22</v>
      </c>
      <c r="J2241" s="1">
        <f t="shared" si="476"/>
        <v>22</v>
      </c>
      <c r="K2241" s="3">
        <f t="shared" si="477"/>
        <v>24</v>
      </c>
      <c r="L2241" s="3">
        <f t="shared" si="478"/>
        <v>10</v>
      </c>
      <c r="M2241" s="3">
        <f t="shared" si="479"/>
        <v>5</v>
      </c>
      <c r="N2241" s="3">
        <f t="shared" si="480"/>
        <v>10</v>
      </c>
      <c r="O2241" s="14" t="str">
        <f t="shared" si="481"/>
        <v>05</v>
      </c>
      <c r="P2241" s="4">
        <v>19363.68</v>
      </c>
      <c r="R2241" s="6">
        <v>513</v>
      </c>
      <c r="S2241" s="5">
        <f>IFERROR(P2241/R2241,"")</f>
        <v>37.745964912280705</v>
      </c>
      <c r="T2241" s="5" t="s">
        <v>936</v>
      </c>
      <c r="U2241" s="3" t="s">
        <v>29</v>
      </c>
      <c r="V2241" s="3" t="s">
        <v>4</v>
      </c>
    </row>
    <row r="2242" spans="1:22" hidden="1">
      <c r="J2242" s="1" t="str">
        <f t="shared" si="476"/>
        <v>0</v>
      </c>
      <c r="K2242" s="3">
        <f t="shared" si="477"/>
        <v>-100</v>
      </c>
      <c r="L2242" s="3">
        <f t="shared" si="478"/>
        <v>1</v>
      </c>
      <c r="M2242" s="3">
        <f t="shared" si="479"/>
        <v>0</v>
      </c>
      <c r="N2242" s="3" t="str">
        <f t="shared" si="480"/>
        <v>01</v>
      </c>
      <c r="O2242" s="14" t="str">
        <f t="shared" si="481"/>
        <v>00</v>
      </c>
    </row>
    <row r="2243" spans="1:22" hidden="1">
      <c r="J2243" s="1" t="str">
        <f t="shared" si="476"/>
        <v>0</v>
      </c>
      <c r="K2243" s="3">
        <f t="shared" si="477"/>
        <v>-100</v>
      </c>
      <c r="L2243" s="3">
        <f t="shared" si="478"/>
        <v>1</v>
      </c>
      <c r="M2243" s="3">
        <f t="shared" si="479"/>
        <v>0</v>
      </c>
      <c r="N2243" s="3" t="str">
        <f t="shared" si="480"/>
        <v>01</v>
      </c>
      <c r="O2243" s="14" t="str">
        <f t="shared" si="481"/>
        <v>00</v>
      </c>
    </row>
    <row r="2244" spans="1:22" hidden="1">
      <c r="J2244" s="1" t="str">
        <f t="shared" si="476"/>
        <v>0</v>
      </c>
      <c r="K2244" s="3">
        <f t="shared" si="477"/>
        <v>-100</v>
      </c>
      <c r="L2244" s="3">
        <f t="shared" si="478"/>
        <v>1</v>
      </c>
      <c r="M2244" s="3">
        <f t="shared" si="479"/>
        <v>0</v>
      </c>
      <c r="N2244" s="3" t="str">
        <f t="shared" si="480"/>
        <v>01</v>
      </c>
      <c r="O2244" s="14" t="str">
        <f t="shared" si="481"/>
        <v>00</v>
      </c>
    </row>
    <row r="2245" spans="1:22" hidden="1">
      <c r="J2245" s="1" t="str">
        <f t="shared" si="476"/>
        <v>0</v>
      </c>
      <c r="K2245" s="3">
        <f t="shared" si="477"/>
        <v>-100</v>
      </c>
      <c r="L2245" s="3">
        <f t="shared" si="478"/>
        <v>1</v>
      </c>
      <c r="M2245" s="3">
        <f t="shared" si="479"/>
        <v>0</v>
      </c>
      <c r="N2245" s="3" t="str">
        <f t="shared" si="480"/>
        <v>01</v>
      </c>
      <c r="O2245" s="14" t="str">
        <f t="shared" si="481"/>
        <v>00</v>
      </c>
    </row>
    <row r="2246" spans="1:22" hidden="1">
      <c r="J2246" s="1" t="str">
        <f t="shared" si="476"/>
        <v>0</v>
      </c>
      <c r="K2246" s="3">
        <f t="shared" si="477"/>
        <v>-100</v>
      </c>
      <c r="L2246" s="3">
        <f t="shared" si="478"/>
        <v>1</v>
      </c>
      <c r="M2246" s="3">
        <f t="shared" si="479"/>
        <v>0</v>
      </c>
      <c r="N2246" s="3" t="str">
        <f t="shared" si="480"/>
        <v>01</v>
      </c>
      <c r="O2246" s="14" t="str">
        <f t="shared" si="481"/>
        <v>00</v>
      </c>
    </row>
    <row r="2247" spans="1:22" hidden="1">
      <c r="J2247" s="1" t="str">
        <f t="shared" si="476"/>
        <v>0</v>
      </c>
      <c r="K2247" s="3">
        <f t="shared" si="477"/>
        <v>-100</v>
      </c>
      <c r="L2247" s="3">
        <f t="shared" si="478"/>
        <v>1</v>
      </c>
      <c r="M2247" s="3">
        <f t="shared" si="479"/>
        <v>0</v>
      </c>
      <c r="N2247" s="3" t="str">
        <f t="shared" si="480"/>
        <v>01</v>
      </c>
      <c r="O2247" s="14" t="str">
        <f t="shared" si="481"/>
        <v>00</v>
      </c>
    </row>
    <row r="2248" spans="1:22" hidden="1">
      <c r="J2248" s="1" t="str">
        <f t="shared" si="476"/>
        <v>0</v>
      </c>
      <c r="K2248" s="3">
        <f t="shared" si="477"/>
        <v>-100</v>
      </c>
      <c r="L2248" s="3">
        <f t="shared" si="478"/>
        <v>1</v>
      </c>
      <c r="M2248" s="3">
        <f t="shared" si="479"/>
        <v>0</v>
      </c>
      <c r="N2248" s="3" t="str">
        <f t="shared" si="480"/>
        <v>01</v>
      </c>
      <c r="O2248" s="14" t="str">
        <f t="shared" si="481"/>
        <v>00</v>
      </c>
    </row>
    <row r="2249" spans="1:22" hidden="1">
      <c r="J2249" s="1" t="str">
        <f t="shared" si="476"/>
        <v>0</v>
      </c>
      <c r="K2249" s="3">
        <f t="shared" si="477"/>
        <v>-100</v>
      </c>
      <c r="L2249" s="3">
        <f t="shared" si="478"/>
        <v>1</v>
      </c>
      <c r="M2249" s="3">
        <f t="shared" si="479"/>
        <v>0</v>
      </c>
      <c r="N2249" s="3" t="str">
        <f t="shared" si="480"/>
        <v>01</v>
      </c>
      <c r="O2249" s="14" t="str">
        <f t="shared" si="481"/>
        <v>00</v>
      </c>
    </row>
    <row r="2250" spans="1:22" hidden="1">
      <c r="J2250" s="1" t="str">
        <f t="shared" si="476"/>
        <v>0</v>
      </c>
      <c r="K2250" s="3">
        <f t="shared" si="477"/>
        <v>-100</v>
      </c>
      <c r="L2250" s="3">
        <f t="shared" si="478"/>
        <v>1</v>
      </c>
      <c r="M2250" s="3">
        <f t="shared" si="479"/>
        <v>0</v>
      </c>
      <c r="N2250" s="3" t="str">
        <f t="shared" si="480"/>
        <v>01</v>
      </c>
      <c r="O2250" s="14" t="str">
        <f t="shared" si="481"/>
        <v>00</v>
      </c>
    </row>
    <row r="2251" spans="1:22" hidden="1">
      <c r="J2251" s="1" t="str">
        <f t="shared" si="476"/>
        <v>0</v>
      </c>
      <c r="K2251" s="3">
        <f t="shared" si="477"/>
        <v>-100</v>
      </c>
      <c r="L2251" s="3">
        <f t="shared" si="478"/>
        <v>1</v>
      </c>
      <c r="M2251" s="3">
        <f t="shared" si="479"/>
        <v>0</v>
      </c>
      <c r="N2251" s="3" t="str">
        <f t="shared" si="480"/>
        <v>01</v>
      </c>
      <c r="O2251" s="14" t="str">
        <f t="shared" si="481"/>
        <v>00</v>
      </c>
    </row>
    <row r="2252" spans="1:22" hidden="1">
      <c r="J2252" s="1" t="str">
        <f t="shared" si="476"/>
        <v>0</v>
      </c>
      <c r="K2252" s="3">
        <f t="shared" si="477"/>
        <v>-100</v>
      </c>
      <c r="L2252" s="3">
        <f t="shared" si="478"/>
        <v>1</v>
      </c>
      <c r="M2252" s="3">
        <f t="shared" si="479"/>
        <v>0</v>
      </c>
      <c r="N2252" s="3" t="str">
        <f t="shared" si="480"/>
        <v>01</v>
      </c>
      <c r="O2252" s="14" t="str">
        <f t="shared" si="481"/>
        <v>00</v>
      </c>
    </row>
    <row r="2253" spans="1:22" hidden="1">
      <c r="J2253" s="1" t="str">
        <f t="shared" si="476"/>
        <v>0</v>
      </c>
      <c r="K2253" s="3">
        <f t="shared" si="477"/>
        <v>-100</v>
      </c>
      <c r="L2253" s="3">
        <f t="shared" si="478"/>
        <v>1</v>
      </c>
      <c r="M2253" s="3">
        <f t="shared" si="479"/>
        <v>0</v>
      </c>
      <c r="N2253" s="3" t="str">
        <f t="shared" si="480"/>
        <v>01</v>
      </c>
      <c r="O2253" s="14" t="str">
        <f t="shared" si="481"/>
        <v>00</v>
      </c>
    </row>
    <row r="2254" spans="1:22">
      <c r="A2254" s="3">
        <v>2181</v>
      </c>
      <c r="B2254" s="1">
        <f>IF(G2254="-",0,IF(G2253=G2254,1,0))</f>
        <v>0</v>
      </c>
      <c r="C2254" s="1">
        <f>+IF(G2254="-",0,IF(I2254=I2253+1,0,(IF(I2254=1,0,1))))</f>
        <v>1</v>
      </c>
      <c r="D2254" s="1">
        <f>+IF(AND(P2254="",Q2254=""),1,0)</f>
        <v>0</v>
      </c>
      <c r="E2254" s="1">
        <f>IF(U2254="",1,0)</f>
        <v>0</v>
      </c>
      <c r="F2254" s="1">
        <f>IF(V2254="",1,0)</f>
        <v>0</v>
      </c>
      <c r="G2254" s="1" t="str">
        <f>IF(H2254=0,"-",_xlfn.CONCAT(K2254,N2254,O2254,J2254))</f>
        <v>24100523</v>
      </c>
      <c r="H2254" s="2">
        <v>45570</v>
      </c>
      <c r="I2254" s="36">
        <v>23</v>
      </c>
      <c r="J2254" s="1">
        <f t="shared" si="476"/>
        <v>23</v>
      </c>
      <c r="K2254" s="3">
        <f t="shared" si="477"/>
        <v>24</v>
      </c>
      <c r="L2254" s="3">
        <f t="shared" si="478"/>
        <v>10</v>
      </c>
      <c r="M2254" s="3">
        <f t="shared" si="479"/>
        <v>5</v>
      </c>
      <c r="N2254" s="3">
        <f t="shared" si="480"/>
        <v>10</v>
      </c>
      <c r="O2254" s="14" t="str">
        <f t="shared" si="481"/>
        <v>05</v>
      </c>
      <c r="P2254" s="4">
        <v>15848.25</v>
      </c>
      <c r="R2254" s="6">
        <v>513</v>
      </c>
      <c r="S2254" s="5">
        <f>IFERROR(P2254/R2254,"")</f>
        <v>30.89327485380117</v>
      </c>
      <c r="T2254" s="5" t="s">
        <v>905</v>
      </c>
      <c r="U2254" s="3" t="s">
        <v>29</v>
      </c>
      <c r="V2254" s="3" t="s">
        <v>4</v>
      </c>
    </row>
    <row r="2255" spans="1:22" hidden="1">
      <c r="J2255" s="1" t="str">
        <f t="shared" si="476"/>
        <v>0</v>
      </c>
      <c r="K2255" s="3">
        <f t="shared" si="477"/>
        <v>-100</v>
      </c>
      <c r="L2255" s="3">
        <f t="shared" si="478"/>
        <v>1</v>
      </c>
      <c r="M2255" s="3">
        <f t="shared" si="479"/>
        <v>0</v>
      </c>
      <c r="N2255" s="3" t="str">
        <f t="shared" si="480"/>
        <v>01</v>
      </c>
      <c r="O2255" s="14" t="str">
        <f t="shared" si="481"/>
        <v>00</v>
      </c>
    </row>
    <row r="2256" spans="1:22" hidden="1">
      <c r="J2256" s="1" t="str">
        <f t="shared" si="476"/>
        <v>0</v>
      </c>
      <c r="K2256" s="3">
        <f t="shared" si="477"/>
        <v>-100</v>
      </c>
      <c r="L2256" s="3">
        <f t="shared" si="478"/>
        <v>1</v>
      </c>
      <c r="M2256" s="3">
        <f t="shared" si="479"/>
        <v>0</v>
      </c>
      <c r="N2256" s="3" t="str">
        <f t="shared" si="480"/>
        <v>01</v>
      </c>
      <c r="O2256" s="14" t="str">
        <f t="shared" si="481"/>
        <v>00</v>
      </c>
    </row>
    <row r="2257" spans="1:23" hidden="1">
      <c r="J2257" s="1" t="str">
        <f t="shared" si="476"/>
        <v>0</v>
      </c>
      <c r="K2257" s="3">
        <f t="shared" si="477"/>
        <v>-100</v>
      </c>
      <c r="L2257" s="3">
        <f t="shared" si="478"/>
        <v>1</v>
      </c>
      <c r="M2257" s="3">
        <f t="shared" si="479"/>
        <v>0</v>
      </c>
      <c r="N2257" s="3" t="str">
        <f t="shared" si="480"/>
        <v>01</v>
      </c>
      <c r="O2257" s="14" t="str">
        <f t="shared" si="481"/>
        <v>00</v>
      </c>
    </row>
    <row r="2258" spans="1:23" hidden="1">
      <c r="J2258" s="1" t="str">
        <f t="shared" si="476"/>
        <v>0</v>
      </c>
      <c r="K2258" s="3">
        <f t="shared" si="477"/>
        <v>-100</v>
      </c>
      <c r="L2258" s="3">
        <f t="shared" si="478"/>
        <v>1</v>
      </c>
      <c r="M2258" s="3">
        <f t="shared" si="479"/>
        <v>0</v>
      </c>
      <c r="N2258" s="3" t="str">
        <f t="shared" si="480"/>
        <v>01</v>
      </c>
      <c r="O2258" s="14" t="str">
        <f t="shared" si="481"/>
        <v>00</v>
      </c>
    </row>
    <row r="2259" spans="1:23">
      <c r="A2259" s="3">
        <v>2184</v>
      </c>
      <c r="B2259" s="1">
        <f>IF(G2259="-",0,IF(G2258=G2259,1,0))</f>
        <v>0</v>
      </c>
      <c r="C2259" s="1">
        <f>+IF(G2259="-",0,IF(I2259=I2258+1,0,(IF(I2259=1,0,1))))</f>
        <v>1</v>
      </c>
      <c r="D2259" s="1">
        <f>+IF(AND(P2259="",Q2259=""),1,0)</f>
        <v>0</v>
      </c>
      <c r="E2259" s="1">
        <f>IF(U2259="",1,0)</f>
        <v>0</v>
      </c>
      <c r="F2259" s="1">
        <f>IF(V2259="",1,0)</f>
        <v>0</v>
      </c>
      <c r="G2259" s="1" t="str">
        <f>IF(H2259=0,"-",_xlfn.CONCAT(K2259,N2259,O2259,J2259))</f>
        <v>24100526</v>
      </c>
      <c r="H2259" s="2">
        <v>45570</v>
      </c>
      <c r="I2259" s="36">
        <v>26</v>
      </c>
      <c r="J2259" s="1">
        <f t="shared" si="476"/>
        <v>26</v>
      </c>
      <c r="K2259" s="3">
        <f t="shared" si="477"/>
        <v>24</v>
      </c>
      <c r="L2259" s="3">
        <f t="shared" si="478"/>
        <v>10</v>
      </c>
      <c r="M2259" s="3">
        <f t="shared" si="479"/>
        <v>5</v>
      </c>
      <c r="N2259" s="3">
        <f t="shared" si="480"/>
        <v>10</v>
      </c>
      <c r="O2259" s="14" t="str">
        <f t="shared" si="481"/>
        <v>05</v>
      </c>
      <c r="P2259" s="4">
        <v>35342.49</v>
      </c>
      <c r="R2259" s="6">
        <v>513</v>
      </c>
      <c r="S2259" s="5">
        <f>IFERROR(P2259/R2259,"")</f>
        <v>68.893742690058474</v>
      </c>
      <c r="T2259" s="5" t="s">
        <v>906</v>
      </c>
      <c r="U2259" s="3" t="s">
        <v>1</v>
      </c>
      <c r="V2259" s="3" t="s">
        <v>4</v>
      </c>
    </row>
    <row r="2260" spans="1:23" hidden="1">
      <c r="J2260" s="1" t="str">
        <f t="shared" si="476"/>
        <v>0</v>
      </c>
      <c r="K2260" s="3">
        <f t="shared" si="477"/>
        <v>-100</v>
      </c>
      <c r="L2260" s="3">
        <f t="shared" si="478"/>
        <v>1</v>
      </c>
      <c r="M2260" s="3">
        <f t="shared" si="479"/>
        <v>0</v>
      </c>
      <c r="N2260" s="3" t="str">
        <f t="shared" si="480"/>
        <v>01</v>
      </c>
      <c r="O2260" s="14" t="str">
        <f t="shared" si="481"/>
        <v>00</v>
      </c>
    </row>
    <row r="2261" spans="1:23">
      <c r="D2261" s="1">
        <f>+IF(AND(P2261="",Q2261=""),1,0)</f>
        <v>0</v>
      </c>
      <c r="H2261" s="2">
        <v>45570</v>
      </c>
      <c r="P2261" s="4">
        <v>12648</v>
      </c>
      <c r="T2261" s="5" t="s">
        <v>1080</v>
      </c>
      <c r="U2261" s="3" t="s">
        <v>1</v>
      </c>
      <c r="V2261" s="3" t="s">
        <v>4</v>
      </c>
    </row>
    <row r="2262" spans="1:23">
      <c r="A2262" s="3">
        <v>2202</v>
      </c>
      <c r="B2262" s="1">
        <f>IF(G2262="-",0,IF(G2261=G2262,1,0))</f>
        <v>0</v>
      </c>
      <c r="C2262" s="1">
        <f>+IF(G2262="-",0,IF(I2262=I2261+1,0,(IF(I2262=1,0,1))))</f>
        <v>1</v>
      </c>
      <c r="D2262" s="1">
        <f>+IF(AND(P2262="",Q2262=""),1,0)</f>
        <v>0</v>
      </c>
      <c r="E2262" s="1">
        <f>IF(U2262="",1,0)</f>
        <v>0</v>
      </c>
      <c r="F2262" s="1">
        <f>IF(V2262="",1,0)</f>
        <v>0</v>
      </c>
      <c r="G2262" s="1" t="str">
        <f>IF(H2262=0,"-",_xlfn.CONCAT(K2262,N2262,O2262,J2262))</f>
        <v>24100808</v>
      </c>
      <c r="H2262" s="2">
        <v>45573</v>
      </c>
      <c r="I2262" s="36">
        <v>8</v>
      </c>
      <c r="J2262" s="1" t="str">
        <f t="shared" ref="J2262:J2293" si="482">+IF(I2262&lt;10,_xlfn.CONCAT("0",I2262),I2262)</f>
        <v>08</v>
      </c>
      <c r="K2262" s="3">
        <f t="shared" ref="K2262:K2293" si="483">+YEAR(H2262)-2000</f>
        <v>24</v>
      </c>
      <c r="L2262" s="3">
        <f t="shared" ref="L2262:L2293" si="484">+MONTH(H2262)</f>
        <v>10</v>
      </c>
      <c r="M2262" s="3">
        <f t="shared" ref="M2262:M2293" si="485">+DAY(H2262)</f>
        <v>8</v>
      </c>
      <c r="N2262" s="3">
        <f t="shared" ref="N2262:N2293" si="486">+IF(L2262&lt;10,_xlfn.CONCAT("0",L2262),L2262)</f>
        <v>10</v>
      </c>
      <c r="O2262" s="14" t="str">
        <f t="shared" ref="O2262:O2293" si="487">+IF(M2262&lt;10,_xlfn.CONCAT("0",M2262),M2262)</f>
        <v>08</v>
      </c>
      <c r="P2262" s="4">
        <v>285000</v>
      </c>
      <c r="T2262" s="5" t="s">
        <v>929</v>
      </c>
      <c r="U2262" s="3" t="s">
        <v>2</v>
      </c>
      <c r="V2262" s="3" t="s">
        <v>4</v>
      </c>
      <c r="W2262" s="3">
        <v>511</v>
      </c>
    </row>
    <row r="2263" spans="1:23">
      <c r="A2263" s="3">
        <v>2203</v>
      </c>
      <c r="B2263" s="1">
        <f>IF(G2263="-",0,IF(G2262=G2263,1,0))</f>
        <v>0</v>
      </c>
      <c r="C2263" s="1">
        <f>+IF(G2263="-",0,IF(I2263=I2262+1,0,(IF(I2263=1,0,1))))</f>
        <v>0</v>
      </c>
      <c r="D2263" s="1">
        <f>+IF(AND(P2263="",Q2263=""),1,0)</f>
        <v>0</v>
      </c>
      <c r="E2263" s="1">
        <f>IF(U2263="",1,0)</f>
        <v>0</v>
      </c>
      <c r="F2263" s="1">
        <f>IF(V2263="",1,0)</f>
        <v>0</v>
      </c>
      <c r="G2263" s="1" t="str">
        <f>IF(H2263=0,"-",_xlfn.CONCAT(K2263,N2263,O2263,J2263))</f>
        <v>24100809</v>
      </c>
      <c r="H2263" s="2">
        <v>45573</v>
      </c>
      <c r="I2263" s="36">
        <v>9</v>
      </c>
      <c r="J2263" s="1" t="str">
        <f t="shared" si="482"/>
        <v>09</v>
      </c>
      <c r="K2263" s="3">
        <f t="shared" si="483"/>
        <v>24</v>
      </c>
      <c r="L2263" s="3">
        <f t="shared" si="484"/>
        <v>10</v>
      </c>
      <c r="M2263" s="3">
        <f t="shared" si="485"/>
        <v>8</v>
      </c>
      <c r="N2263" s="3">
        <f t="shared" si="486"/>
        <v>10</v>
      </c>
      <c r="O2263" s="14" t="str">
        <f t="shared" si="487"/>
        <v>08</v>
      </c>
      <c r="P2263" s="4">
        <v>49128.33</v>
      </c>
      <c r="T2263" s="5" t="s">
        <v>930</v>
      </c>
      <c r="U2263" s="3" t="s">
        <v>1</v>
      </c>
      <c r="V2263" s="3" t="s">
        <v>4</v>
      </c>
    </row>
    <row r="2264" spans="1:23" hidden="1">
      <c r="J2264" s="1" t="str">
        <f t="shared" si="482"/>
        <v>0</v>
      </c>
      <c r="K2264" s="3">
        <f t="shared" si="483"/>
        <v>-100</v>
      </c>
      <c r="L2264" s="3">
        <f t="shared" si="484"/>
        <v>1</v>
      </c>
      <c r="M2264" s="3">
        <f t="shared" si="485"/>
        <v>0</v>
      </c>
      <c r="N2264" s="3" t="str">
        <f t="shared" si="486"/>
        <v>01</v>
      </c>
      <c r="O2264" s="14" t="str">
        <f t="shared" si="487"/>
        <v>00</v>
      </c>
    </row>
    <row r="2265" spans="1:23" hidden="1">
      <c r="J2265" s="1" t="str">
        <f t="shared" si="482"/>
        <v>0</v>
      </c>
      <c r="K2265" s="3">
        <f t="shared" si="483"/>
        <v>-100</v>
      </c>
      <c r="L2265" s="3">
        <f t="shared" si="484"/>
        <v>1</v>
      </c>
      <c r="M2265" s="3">
        <f t="shared" si="485"/>
        <v>0</v>
      </c>
      <c r="N2265" s="3" t="str">
        <f t="shared" si="486"/>
        <v>01</v>
      </c>
      <c r="O2265" s="14" t="str">
        <f t="shared" si="487"/>
        <v>00</v>
      </c>
    </row>
    <row r="2266" spans="1:23" hidden="1">
      <c r="J2266" s="1" t="str">
        <f t="shared" si="482"/>
        <v>0</v>
      </c>
      <c r="K2266" s="3">
        <f t="shared" si="483"/>
        <v>-100</v>
      </c>
      <c r="L2266" s="3">
        <f t="shared" si="484"/>
        <v>1</v>
      </c>
      <c r="M2266" s="3">
        <f t="shared" si="485"/>
        <v>0</v>
      </c>
      <c r="N2266" s="3" t="str">
        <f t="shared" si="486"/>
        <v>01</v>
      </c>
      <c r="O2266" s="14" t="str">
        <f t="shared" si="487"/>
        <v>00</v>
      </c>
    </row>
    <row r="2267" spans="1:23" hidden="1">
      <c r="J2267" s="1" t="str">
        <f t="shared" si="482"/>
        <v>0</v>
      </c>
      <c r="K2267" s="3">
        <f t="shared" si="483"/>
        <v>-100</v>
      </c>
      <c r="L2267" s="3">
        <f t="shared" si="484"/>
        <v>1</v>
      </c>
      <c r="M2267" s="3">
        <f t="shared" si="485"/>
        <v>0</v>
      </c>
      <c r="N2267" s="3" t="str">
        <f t="shared" si="486"/>
        <v>01</v>
      </c>
      <c r="O2267" s="14" t="str">
        <f t="shared" si="487"/>
        <v>00</v>
      </c>
    </row>
    <row r="2268" spans="1:23" hidden="1">
      <c r="J2268" s="1" t="str">
        <f t="shared" si="482"/>
        <v>0</v>
      </c>
      <c r="K2268" s="3">
        <f t="shared" si="483"/>
        <v>-100</v>
      </c>
      <c r="L2268" s="3">
        <f t="shared" si="484"/>
        <v>1</v>
      </c>
      <c r="M2268" s="3">
        <f t="shared" si="485"/>
        <v>0</v>
      </c>
      <c r="N2268" s="3" t="str">
        <f t="shared" si="486"/>
        <v>01</v>
      </c>
      <c r="O2268" s="14" t="str">
        <f t="shared" si="487"/>
        <v>00</v>
      </c>
    </row>
    <row r="2269" spans="1:23" hidden="1">
      <c r="J2269" s="1" t="str">
        <f t="shared" si="482"/>
        <v>0</v>
      </c>
      <c r="K2269" s="3">
        <f t="shared" si="483"/>
        <v>-100</v>
      </c>
      <c r="L2269" s="3">
        <f t="shared" si="484"/>
        <v>1</v>
      </c>
      <c r="M2269" s="3">
        <f t="shared" si="485"/>
        <v>0</v>
      </c>
      <c r="N2269" s="3" t="str">
        <f t="shared" si="486"/>
        <v>01</v>
      </c>
      <c r="O2269" s="14" t="str">
        <f t="shared" si="487"/>
        <v>00</v>
      </c>
    </row>
    <row r="2270" spans="1:23" hidden="1">
      <c r="J2270" s="1" t="str">
        <f t="shared" si="482"/>
        <v>0</v>
      </c>
      <c r="K2270" s="3">
        <f t="shared" si="483"/>
        <v>-100</v>
      </c>
      <c r="L2270" s="3">
        <f t="shared" si="484"/>
        <v>1</v>
      </c>
      <c r="M2270" s="3">
        <f t="shared" si="485"/>
        <v>0</v>
      </c>
      <c r="N2270" s="3" t="str">
        <f t="shared" si="486"/>
        <v>01</v>
      </c>
      <c r="O2270" s="14" t="str">
        <f t="shared" si="487"/>
        <v>00</v>
      </c>
    </row>
    <row r="2271" spans="1:23" hidden="1">
      <c r="J2271" s="1" t="str">
        <f t="shared" si="482"/>
        <v>0</v>
      </c>
      <c r="K2271" s="3">
        <f t="shared" si="483"/>
        <v>-100</v>
      </c>
      <c r="L2271" s="3">
        <f t="shared" si="484"/>
        <v>1</v>
      </c>
      <c r="M2271" s="3">
        <f t="shared" si="485"/>
        <v>0</v>
      </c>
      <c r="N2271" s="3" t="str">
        <f t="shared" si="486"/>
        <v>01</v>
      </c>
      <c r="O2271" s="14" t="str">
        <f t="shared" si="487"/>
        <v>00</v>
      </c>
    </row>
    <row r="2272" spans="1:23" hidden="1">
      <c r="J2272" s="1" t="str">
        <f t="shared" si="482"/>
        <v>0</v>
      </c>
      <c r="K2272" s="3">
        <f t="shared" si="483"/>
        <v>-100</v>
      </c>
      <c r="L2272" s="3">
        <f t="shared" si="484"/>
        <v>1</v>
      </c>
      <c r="M2272" s="3">
        <f t="shared" si="485"/>
        <v>0</v>
      </c>
      <c r="N2272" s="3" t="str">
        <f t="shared" si="486"/>
        <v>01</v>
      </c>
      <c r="O2272" s="14" t="str">
        <f t="shared" si="487"/>
        <v>00</v>
      </c>
    </row>
    <row r="2273" spans="10:15" hidden="1">
      <c r="J2273" s="1" t="str">
        <f t="shared" si="482"/>
        <v>0</v>
      </c>
      <c r="K2273" s="3">
        <f t="shared" si="483"/>
        <v>-100</v>
      </c>
      <c r="L2273" s="3">
        <f t="shared" si="484"/>
        <v>1</v>
      </c>
      <c r="M2273" s="3">
        <f t="shared" si="485"/>
        <v>0</v>
      </c>
      <c r="N2273" s="3" t="str">
        <f t="shared" si="486"/>
        <v>01</v>
      </c>
      <c r="O2273" s="14" t="str">
        <f t="shared" si="487"/>
        <v>00</v>
      </c>
    </row>
    <row r="2274" spans="10:15" hidden="1">
      <c r="J2274" s="1" t="str">
        <f t="shared" si="482"/>
        <v>0</v>
      </c>
      <c r="K2274" s="3">
        <f t="shared" si="483"/>
        <v>-100</v>
      </c>
      <c r="L2274" s="3">
        <f t="shared" si="484"/>
        <v>1</v>
      </c>
      <c r="M2274" s="3">
        <f t="shared" si="485"/>
        <v>0</v>
      </c>
      <c r="N2274" s="3" t="str">
        <f t="shared" si="486"/>
        <v>01</v>
      </c>
      <c r="O2274" s="14" t="str">
        <f t="shared" si="487"/>
        <v>00</v>
      </c>
    </row>
    <row r="2275" spans="10:15" hidden="1">
      <c r="J2275" s="1" t="str">
        <f t="shared" si="482"/>
        <v>0</v>
      </c>
      <c r="K2275" s="3">
        <f t="shared" si="483"/>
        <v>-100</v>
      </c>
      <c r="L2275" s="3">
        <f t="shared" si="484"/>
        <v>1</v>
      </c>
      <c r="M2275" s="3">
        <f t="shared" si="485"/>
        <v>0</v>
      </c>
      <c r="N2275" s="3" t="str">
        <f t="shared" si="486"/>
        <v>01</v>
      </c>
      <c r="O2275" s="14" t="str">
        <f t="shared" si="487"/>
        <v>00</v>
      </c>
    </row>
    <row r="2276" spans="10:15" hidden="1">
      <c r="J2276" s="1" t="str">
        <f t="shared" si="482"/>
        <v>0</v>
      </c>
      <c r="K2276" s="3">
        <f t="shared" si="483"/>
        <v>-100</v>
      </c>
      <c r="L2276" s="3">
        <f t="shared" si="484"/>
        <v>1</v>
      </c>
      <c r="M2276" s="3">
        <f t="shared" si="485"/>
        <v>0</v>
      </c>
      <c r="N2276" s="3" t="str">
        <f t="shared" si="486"/>
        <v>01</v>
      </c>
      <c r="O2276" s="14" t="str">
        <f t="shared" si="487"/>
        <v>00</v>
      </c>
    </row>
    <row r="2277" spans="10:15" hidden="1">
      <c r="J2277" s="1" t="str">
        <f t="shared" si="482"/>
        <v>0</v>
      </c>
      <c r="K2277" s="3">
        <f t="shared" si="483"/>
        <v>-100</v>
      </c>
      <c r="L2277" s="3">
        <f t="shared" si="484"/>
        <v>1</v>
      </c>
      <c r="M2277" s="3">
        <f t="shared" si="485"/>
        <v>0</v>
      </c>
      <c r="N2277" s="3" t="str">
        <f t="shared" si="486"/>
        <v>01</v>
      </c>
      <c r="O2277" s="14" t="str">
        <f t="shared" si="487"/>
        <v>00</v>
      </c>
    </row>
    <row r="2278" spans="10:15" hidden="1">
      <c r="J2278" s="1" t="str">
        <f t="shared" si="482"/>
        <v>0</v>
      </c>
      <c r="K2278" s="3">
        <f t="shared" si="483"/>
        <v>-100</v>
      </c>
      <c r="L2278" s="3">
        <f t="shared" si="484"/>
        <v>1</v>
      </c>
      <c r="M2278" s="3">
        <f t="shared" si="485"/>
        <v>0</v>
      </c>
      <c r="N2278" s="3" t="str">
        <f t="shared" si="486"/>
        <v>01</v>
      </c>
      <c r="O2278" s="14" t="str">
        <f t="shared" si="487"/>
        <v>00</v>
      </c>
    </row>
    <row r="2279" spans="10:15" hidden="1">
      <c r="J2279" s="1" t="str">
        <f t="shared" si="482"/>
        <v>0</v>
      </c>
      <c r="K2279" s="3">
        <f t="shared" si="483"/>
        <v>-100</v>
      </c>
      <c r="L2279" s="3">
        <f t="shared" si="484"/>
        <v>1</v>
      </c>
      <c r="M2279" s="3">
        <f t="shared" si="485"/>
        <v>0</v>
      </c>
      <c r="N2279" s="3" t="str">
        <f t="shared" si="486"/>
        <v>01</v>
      </c>
      <c r="O2279" s="14" t="str">
        <f t="shared" si="487"/>
        <v>00</v>
      </c>
    </row>
    <row r="2280" spans="10:15" hidden="1">
      <c r="J2280" s="1" t="str">
        <f t="shared" si="482"/>
        <v>0</v>
      </c>
      <c r="K2280" s="3">
        <f t="shared" si="483"/>
        <v>-100</v>
      </c>
      <c r="L2280" s="3">
        <f t="shared" si="484"/>
        <v>1</v>
      </c>
      <c r="M2280" s="3">
        <f t="shared" si="485"/>
        <v>0</v>
      </c>
      <c r="N2280" s="3" t="str">
        <f t="shared" si="486"/>
        <v>01</v>
      </c>
      <c r="O2280" s="14" t="str">
        <f t="shared" si="487"/>
        <v>00</v>
      </c>
    </row>
    <row r="2281" spans="10:15" hidden="1">
      <c r="J2281" s="1" t="str">
        <f t="shared" si="482"/>
        <v>0</v>
      </c>
      <c r="K2281" s="3">
        <f t="shared" si="483"/>
        <v>-100</v>
      </c>
      <c r="L2281" s="3">
        <f t="shared" si="484"/>
        <v>1</v>
      </c>
      <c r="M2281" s="3">
        <f t="shared" si="485"/>
        <v>0</v>
      </c>
      <c r="N2281" s="3" t="str">
        <f t="shared" si="486"/>
        <v>01</v>
      </c>
      <c r="O2281" s="14" t="str">
        <f t="shared" si="487"/>
        <v>00</v>
      </c>
    </row>
    <row r="2282" spans="10:15" hidden="1">
      <c r="J2282" s="1" t="str">
        <f t="shared" si="482"/>
        <v>0</v>
      </c>
      <c r="K2282" s="3">
        <f t="shared" si="483"/>
        <v>-100</v>
      </c>
      <c r="L2282" s="3">
        <f t="shared" si="484"/>
        <v>1</v>
      </c>
      <c r="M2282" s="3">
        <f t="shared" si="485"/>
        <v>0</v>
      </c>
      <c r="N2282" s="3" t="str">
        <f t="shared" si="486"/>
        <v>01</v>
      </c>
      <c r="O2282" s="14" t="str">
        <f t="shared" si="487"/>
        <v>00</v>
      </c>
    </row>
    <row r="2283" spans="10:15" hidden="1">
      <c r="J2283" s="1" t="str">
        <f t="shared" si="482"/>
        <v>0</v>
      </c>
      <c r="K2283" s="3">
        <f t="shared" si="483"/>
        <v>-100</v>
      </c>
      <c r="L2283" s="3">
        <f t="shared" si="484"/>
        <v>1</v>
      </c>
      <c r="M2283" s="3">
        <f t="shared" si="485"/>
        <v>0</v>
      </c>
      <c r="N2283" s="3" t="str">
        <f t="shared" si="486"/>
        <v>01</v>
      </c>
      <c r="O2283" s="14" t="str">
        <f t="shared" si="487"/>
        <v>00</v>
      </c>
    </row>
    <row r="2284" spans="10:15" hidden="1">
      <c r="J2284" s="1" t="str">
        <f t="shared" si="482"/>
        <v>0</v>
      </c>
      <c r="K2284" s="3">
        <f t="shared" si="483"/>
        <v>-100</v>
      </c>
      <c r="L2284" s="3">
        <f t="shared" si="484"/>
        <v>1</v>
      </c>
      <c r="M2284" s="3">
        <f t="shared" si="485"/>
        <v>0</v>
      </c>
      <c r="N2284" s="3" t="str">
        <f t="shared" si="486"/>
        <v>01</v>
      </c>
      <c r="O2284" s="14" t="str">
        <f t="shared" si="487"/>
        <v>00</v>
      </c>
    </row>
    <row r="2285" spans="10:15" hidden="1">
      <c r="J2285" s="1" t="str">
        <f t="shared" si="482"/>
        <v>0</v>
      </c>
      <c r="K2285" s="3">
        <f t="shared" si="483"/>
        <v>-100</v>
      </c>
      <c r="L2285" s="3">
        <f t="shared" si="484"/>
        <v>1</v>
      </c>
      <c r="M2285" s="3">
        <f t="shared" si="485"/>
        <v>0</v>
      </c>
      <c r="N2285" s="3" t="str">
        <f t="shared" si="486"/>
        <v>01</v>
      </c>
      <c r="O2285" s="14" t="str">
        <f t="shared" si="487"/>
        <v>00</v>
      </c>
    </row>
    <row r="2286" spans="10:15" hidden="1">
      <c r="J2286" s="1" t="str">
        <f t="shared" si="482"/>
        <v>0</v>
      </c>
      <c r="K2286" s="3">
        <f t="shared" si="483"/>
        <v>-100</v>
      </c>
      <c r="L2286" s="3">
        <f t="shared" si="484"/>
        <v>1</v>
      </c>
      <c r="M2286" s="3">
        <f t="shared" si="485"/>
        <v>0</v>
      </c>
      <c r="N2286" s="3" t="str">
        <f t="shared" si="486"/>
        <v>01</v>
      </c>
      <c r="O2286" s="14" t="str">
        <f t="shared" si="487"/>
        <v>00</v>
      </c>
    </row>
    <row r="2287" spans="10:15" hidden="1">
      <c r="J2287" s="1" t="str">
        <f t="shared" si="482"/>
        <v>0</v>
      </c>
      <c r="K2287" s="3">
        <f t="shared" si="483"/>
        <v>-100</v>
      </c>
      <c r="L2287" s="3">
        <f t="shared" si="484"/>
        <v>1</v>
      </c>
      <c r="M2287" s="3">
        <f t="shared" si="485"/>
        <v>0</v>
      </c>
      <c r="N2287" s="3" t="str">
        <f t="shared" si="486"/>
        <v>01</v>
      </c>
      <c r="O2287" s="14" t="str">
        <f t="shared" si="487"/>
        <v>00</v>
      </c>
    </row>
    <row r="2288" spans="10:15" hidden="1">
      <c r="J2288" s="1" t="str">
        <f t="shared" si="482"/>
        <v>0</v>
      </c>
      <c r="K2288" s="3">
        <f t="shared" si="483"/>
        <v>-100</v>
      </c>
      <c r="L2288" s="3">
        <f t="shared" si="484"/>
        <v>1</v>
      </c>
      <c r="M2288" s="3">
        <f t="shared" si="485"/>
        <v>0</v>
      </c>
      <c r="N2288" s="3" t="str">
        <f t="shared" si="486"/>
        <v>01</v>
      </c>
      <c r="O2288" s="14" t="str">
        <f t="shared" si="487"/>
        <v>00</v>
      </c>
    </row>
    <row r="2289" spans="10:20" hidden="1">
      <c r="J2289" s="1" t="str">
        <f t="shared" si="482"/>
        <v>0</v>
      </c>
      <c r="K2289" s="3">
        <f t="shared" si="483"/>
        <v>-100</v>
      </c>
      <c r="L2289" s="3">
        <f t="shared" si="484"/>
        <v>1</v>
      </c>
      <c r="M2289" s="3">
        <f t="shared" si="485"/>
        <v>0</v>
      </c>
      <c r="N2289" s="3" t="str">
        <f t="shared" si="486"/>
        <v>01</v>
      </c>
      <c r="O2289" s="14" t="str">
        <f t="shared" si="487"/>
        <v>00</v>
      </c>
    </row>
    <row r="2290" spans="10:20" hidden="1">
      <c r="J2290" s="1" t="str">
        <f t="shared" si="482"/>
        <v>0</v>
      </c>
      <c r="K2290" s="3">
        <f t="shared" si="483"/>
        <v>-100</v>
      </c>
      <c r="L2290" s="3">
        <f t="shared" si="484"/>
        <v>1</v>
      </c>
      <c r="M2290" s="3">
        <f t="shared" si="485"/>
        <v>0</v>
      </c>
      <c r="N2290" s="3" t="str">
        <f t="shared" si="486"/>
        <v>01</v>
      </c>
      <c r="O2290" s="14" t="str">
        <f t="shared" si="487"/>
        <v>00</v>
      </c>
    </row>
    <row r="2291" spans="10:20" hidden="1">
      <c r="J2291" s="1" t="str">
        <f t="shared" si="482"/>
        <v>0</v>
      </c>
      <c r="K2291" s="3">
        <f t="shared" si="483"/>
        <v>-100</v>
      </c>
      <c r="L2291" s="3">
        <f t="shared" si="484"/>
        <v>1</v>
      </c>
      <c r="M2291" s="3">
        <f t="shared" si="485"/>
        <v>0</v>
      </c>
      <c r="N2291" s="3" t="str">
        <f t="shared" si="486"/>
        <v>01</v>
      </c>
      <c r="O2291" s="14" t="str">
        <f t="shared" si="487"/>
        <v>00</v>
      </c>
    </row>
    <row r="2292" spans="10:20" hidden="1">
      <c r="J2292" s="1" t="str">
        <f t="shared" si="482"/>
        <v>0</v>
      </c>
      <c r="K2292" s="3">
        <f t="shared" si="483"/>
        <v>-100</v>
      </c>
      <c r="L2292" s="3">
        <f t="shared" si="484"/>
        <v>1</v>
      </c>
      <c r="M2292" s="3">
        <f t="shared" si="485"/>
        <v>0</v>
      </c>
      <c r="N2292" s="3" t="str">
        <f t="shared" si="486"/>
        <v>01</v>
      </c>
      <c r="O2292" s="14" t="str">
        <f t="shared" si="487"/>
        <v>00</v>
      </c>
    </row>
    <row r="2293" spans="10:20" hidden="1">
      <c r="J2293" s="1" t="str">
        <f t="shared" si="482"/>
        <v>0</v>
      </c>
      <c r="K2293" s="3">
        <f t="shared" si="483"/>
        <v>-100</v>
      </c>
      <c r="L2293" s="3">
        <f t="shared" si="484"/>
        <v>1</v>
      </c>
      <c r="M2293" s="3">
        <f t="shared" si="485"/>
        <v>0</v>
      </c>
      <c r="N2293" s="3" t="str">
        <f t="shared" si="486"/>
        <v>01</v>
      </c>
      <c r="O2293" s="14" t="str">
        <f t="shared" si="487"/>
        <v>00</v>
      </c>
    </row>
    <row r="2294" spans="10:20" hidden="1">
      <c r="J2294" s="1" t="str">
        <f t="shared" ref="J2294:J2325" si="488">+IF(I2294&lt;10,_xlfn.CONCAT("0",I2294),I2294)</f>
        <v>0</v>
      </c>
      <c r="K2294" s="3">
        <f t="shared" ref="K2294:K2325" si="489">+YEAR(H2294)-2000</f>
        <v>-100</v>
      </c>
      <c r="L2294" s="3">
        <f t="shared" ref="L2294:L2325" si="490">+MONTH(H2294)</f>
        <v>1</v>
      </c>
      <c r="M2294" s="3">
        <f t="shared" ref="M2294:M2325" si="491">+DAY(H2294)</f>
        <v>0</v>
      </c>
      <c r="N2294" s="3" t="str">
        <f t="shared" ref="N2294:N2325" si="492">+IF(L2294&lt;10,_xlfn.CONCAT("0",L2294),L2294)</f>
        <v>01</v>
      </c>
      <c r="O2294" s="14" t="str">
        <f t="shared" ref="O2294:O2325" si="493">+IF(M2294&lt;10,_xlfn.CONCAT("0",M2294),M2294)</f>
        <v>00</v>
      </c>
    </row>
    <row r="2295" spans="10:20" hidden="1">
      <c r="J2295" s="1" t="str">
        <f t="shared" si="488"/>
        <v>0</v>
      </c>
      <c r="K2295" s="3">
        <f t="shared" si="489"/>
        <v>-100</v>
      </c>
      <c r="L2295" s="3">
        <f t="shared" si="490"/>
        <v>1</v>
      </c>
      <c r="M2295" s="3">
        <f t="shared" si="491"/>
        <v>0</v>
      </c>
      <c r="N2295" s="3" t="str">
        <f t="shared" si="492"/>
        <v>01</v>
      </c>
      <c r="O2295" s="14" t="str">
        <f t="shared" si="493"/>
        <v>00</v>
      </c>
    </row>
    <row r="2296" spans="10:20" hidden="1">
      <c r="J2296" s="1" t="str">
        <f t="shared" si="488"/>
        <v>0</v>
      </c>
      <c r="K2296" s="3">
        <f t="shared" si="489"/>
        <v>-100</v>
      </c>
      <c r="L2296" s="3">
        <f t="shared" si="490"/>
        <v>1</v>
      </c>
      <c r="M2296" s="3">
        <f t="shared" si="491"/>
        <v>0</v>
      </c>
      <c r="N2296" s="3" t="str">
        <f t="shared" si="492"/>
        <v>01</v>
      </c>
      <c r="O2296" s="14" t="str">
        <f t="shared" si="493"/>
        <v>00</v>
      </c>
    </row>
    <row r="2297" spans="10:20" hidden="1">
      <c r="J2297" s="1" t="str">
        <f t="shared" si="488"/>
        <v>0</v>
      </c>
      <c r="K2297" s="3">
        <f t="shared" si="489"/>
        <v>-100</v>
      </c>
      <c r="L2297" s="3">
        <f t="shared" si="490"/>
        <v>1</v>
      </c>
      <c r="M2297" s="3">
        <f t="shared" si="491"/>
        <v>0</v>
      </c>
      <c r="N2297" s="3" t="str">
        <f t="shared" si="492"/>
        <v>01</v>
      </c>
      <c r="O2297" s="14" t="str">
        <f t="shared" si="493"/>
        <v>00</v>
      </c>
      <c r="T2297" s="3"/>
    </row>
    <row r="2298" spans="10:20" hidden="1">
      <c r="J2298" s="1" t="str">
        <f t="shared" si="488"/>
        <v>0</v>
      </c>
      <c r="K2298" s="3">
        <f t="shared" si="489"/>
        <v>-100</v>
      </c>
      <c r="L2298" s="3">
        <f t="shared" si="490"/>
        <v>1</v>
      </c>
      <c r="M2298" s="3">
        <f t="shared" si="491"/>
        <v>0</v>
      </c>
      <c r="N2298" s="3" t="str">
        <f t="shared" si="492"/>
        <v>01</v>
      </c>
      <c r="O2298" s="14" t="str">
        <f t="shared" si="493"/>
        <v>00</v>
      </c>
      <c r="T2298" s="3"/>
    </row>
    <row r="2299" spans="10:20" hidden="1">
      <c r="J2299" s="1" t="str">
        <f t="shared" si="488"/>
        <v>0</v>
      </c>
      <c r="K2299" s="3">
        <f t="shared" si="489"/>
        <v>-100</v>
      </c>
      <c r="L2299" s="3">
        <f t="shared" si="490"/>
        <v>1</v>
      </c>
      <c r="M2299" s="3">
        <f t="shared" si="491"/>
        <v>0</v>
      </c>
      <c r="N2299" s="3" t="str">
        <f t="shared" si="492"/>
        <v>01</v>
      </c>
      <c r="O2299" s="14" t="str">
        <f t="shared" si="493"/>
        <v>00</v>
      </c>
      <c r="T2299" s="3"/>
    </row>
    <row r="2300" spans="10:20" hidden="1">
      <c r="J2300" s="1" t="str">
        <f t="shared" si="488"/>
        <v>0</v>
      </c>
      <c r="K2300" s="3">
        <f t="shared" si="489"/>
        <v>-100</v>
      </c>
      <c r="L2300" s="3">
        <f t="shared" si="490"/>
        <v>1</v>
      </c>
      <c r="M2300" s="3">
        <f t="shared" si="491"/>
        <v>0</v>
      </c>
      <c r="N2300" s="3" t="str">
        <f t="shared" si="492"/>
        <v>01</v>
      </c>
      <c r="O2300" s="14" t="str">
        <f t="shared" si="493"/>
        <v>00</v>
      </c>
      <c r="T2300" s="3"/>
    </row>
    <row r="2301" spans="10:20" hidden="1">
      <c r="J2301" s="1" t="str">
        <f t="shared" si="488"/>
        <v>0</v>
      </c>
      <c r="K2301" s="3">
        <f t="shared" si="489"/>
        <v>-100</v>
      </c>
      <c r="L2301" s="3">
        <f t="shared" si="490"/>
        <v>1</v>
      </c>
      <c r="M2301" s="3">
        <f t="shared" si="491"/>
        <v>0</v>
      </c>
      <c r="N2301" s="3" t="str">
        <f t="shared" si="492"/>
        <v>01</v>
      </c>
      <c r="O2301" s="14" t="str">
        <f t="shared" si="493"/>
        <v>00</v>
      </c>
      <c r="T2301" s="3"/>
    </row>
    <row r="2302" spans="10:20" hidden="1">
      <c r="J2302" s="1" t="str">
        <f t="shared" si="488"/>
        <v>0</v>
      </c>
      <c r="K2302" s="3">
        <f t="shared" si="489"/>
        <v>-100</v>
      </c>
      <c r="L2302" s="3">
        <f t="shared" si="490"/>
        <v>1</v>
      </c>
      <c r="M2302" s="3">
        <f t="shared" si="491"/>
        <v>0</v>
      </c>
      <c r="N2302" s="3" t="str">
        <f t="shared" si="492"/>
        <v>01</v>
      </c>
      <c r="O2302" s="14" t="str">
        <f t="shared" si="493"/>
        <v>00</v>
      </c>
      <c r="T2302" s="3"/>
    </row>
    <row r="2303" spans="10:20" hidden="1">
      <c r="J2303" s="1" t="str">
        <f t="shared" si="488"/>
        <v>0</v>
      </c>
      <c r="K2303" s="3">
        <f t="shared" si="489"/>
        <v>-100</v>
      </c>
      <c r="L2303" s="3">
        <f t="shared" si="490"/>
        <v>1</v>
      </c>
      <c r="M2303" s="3">
        <f t="shared" si="491"/>
        <v>0</v>
      </c>
      <c r="N2303" s="3" t="str">
        <f t="shared" si="492"/>
        <v>01</v>
      </c>
      <c r="O2303" s="14" t="str">
        <f t="shared" si="493"/>
        <v>00</v>
      </c>
      <c r="T2303" s="3"/>
    </row>
    <row r="2304" spans="10:20" hidden="1">
      <c r="J2304" s="1" t="str">
        <f t="shared" si="488"/>
        <v>0</v>
      </c>
      <c r="K2304" s="3">
        <f t="shared" si="489"/>
        <v>-100</v>
      </c>
      <c r="L2304" s="3">
        <f t="shared" si="490"/>
        <v>1</v>
      </c>
      <c r="M2304" s="3">
        <f t="shared" si="491"/>
        <v>0</v>
      </c>
      <c r="N2304" s="3" t="str">
        <f t="shared" si="492"/>
        <v>01</v>
      </c>
      <c r="O2304" s="14" t="str">
        <f t="shared" si="493"/>
        <v>00</v>
      </c>
    </row>
    <row r="2305" spans="1:22" hidden="1">
      <c r="J2305" s="1" t="str">
        <f t="shared" si="488"/>
        <v>0</v>
      </c>
      <c r="K2305" s="3">
        <f t="shared" si="489"/>
        <v>-100</v>
      </c>
      <c r="L2305" s="3">
        <f t="shared" si="490"/>
        <v>1</v>
      </c>
      <c r="M2305" s="3">
        <f t="shared" si="491"/>
        <v>0</v>
      </c>
      <c r="N2305" s="3" t="str">
        <f t="shared" si="492"/>
        <v>01</v>
      </c>
      <c r="O2305" s="14" t="str">
        <f t="shared" si="493"/>
        <v>00</v>
      </c>
    </row>
    <row r="2306" spans="1:22" hidden="1">
      <c r="J2306" s="1" t="str">
        <f t="shared" si="488"/>
        <v>0</v>
      </c>
      <c r="K2306" s="3">
        <f t="shared" si="489"/>
        <v>-100</v>
      </c>
      <c r="L2306" s="3">
        <f t="shared" si="490"/>
        <v>1</v>
      </c>
      <c r="M2306" s="3">
        <f t="shared" si="491"/>
        <v>0</v>
      </c>
      <c r="N2306" s="3" t="str">
        <f t="shared" si="492"/>
        <v>01</v>
      </c>
      <c r="O2306" s="14" t="str">
        <f t="shared" si="493"/>
        <v>00</v>
      </c>
    </row>
    <row r="2307" spans="1:22">
      <c r="A2307" s="3">
        <v>2208</v>
      </c>
      <c r="B2307" s="1">
        <f>IF(G2307="-",0,IF(G2306=G2307,1,0))</f>
        <v>0</v>
      </c>
      <c r="C2307" s="1">
        <f>+IF(G2307="-",0,IF(I2307=I2306+1,0,(IF(I2307=1,0,1))))</f>
        <v>0</v>
      </c>
      <c r="D2307" s="1">
        <f>+IF(AND(P2307="",Q2307=""),1,0)</f>
        <v>0</v>
      </c>
      <c r="E2307" s="1">
        <f>IF(U2307="",1,0)</f>
        <v>0</v>
      </c>
      <c r="F2307" s="1">
        <f>IF(V2307="",1,0)</f>
        <v>0</v>
      </c>
      <c r="G2307" s="1" t="str">
        <f>IF(H2307=0,"-",_xlfn.CONCAT(K2307,N2307,O2307,J2307))</f>
        <v>24101001</v>
      </c>
      <c r="H2307" s="2">
        <v>45575</v>
      </c>
      <c r="I2307" s="36">
        <v>1</v>
      </c>
      <c r="J2307" s="1" t="str">
        <f t="shared" si="488"/>
        <v>01</v>
      </c>
      <c r="K2307" s="3">
        <f t="shared" si="489"/>
        <v>24</v>
      </c>
      <c r="L2307" s="3">
        <f t="shared" si="490"/>
        <v>10</v>
      </c>
      <c r="M2307" s="3">
        <f t="shared" si="491"/>
        <v>10</v>
      </c>
      <c r="N2307" s="3">
        <f t="shared" si="492"/>
        <v>10</v>
      </c>
      <c r="O2307" s="14">
        <f t="shared" si="493"/>
        <v>10</v>
      </c>
      <c r="P2307" s="4">
        <v>29045.52</v>
      </c>
      <c r="T2307" s="5" t="s">
        <v>1041</v>
      </c>
      <c r="U2307" s="3" t="s">
        <v>29</v>
      </c>
      <c r="V2307" s="3" t="s">
        <v>4</v>
      </c>
    </row>
    <row r="2308" spans="1:22" hidden="1">
      <c r="J2308" s="1" t="str">
        <f t="shared" si="488"/>
        <v>0</v>
      </c>
      <c r="K2308" s="3">
        <f t="shared" si="489"/>
        <v>-100</v>
      </c>
      <c r="L2308" s="3">
        <f t="shared" si="490"/>
        <v>1</v>
      </c>
      <c r="M2308" s="3">
        <f t="shared" si="491"/>
        <v>0</v>
      </c>
      <c r="N2308" s="3" t="str">
        <f t="shared" si="492"/>
        <v>01</v>
      </c>
      <c r="O2308" s="14" t="str">
        <f t="shared" si="493"/>
        <v>00</v>
      </c>
    </row>
    <row r="2309" spans="1:22" hidden="1">
      <c r="J2309" s="1" t="str">
        <f t="shared" si="488"/>
        <v>0</v>
      </c>
      <c r="K2309" s="3">
        <f t="shared" si="489"/>
        <v>-100</v>
      </c>
      <c r="L2309" s="3">
        <f t="shared" si="490"/>
        <v>1</v>
      </c>
      <c r="M2309" s="3">
        <f t="shared" si="491"/>
        <v>0</v>
      </c>
      <c r="N2309" s="3" t="str">
        <f t="shared" si="492"/>
        <v>01</v>
      </c>
      <c r="O2309" s="14" t="str">
        <f t="shared" si="493"/>
        <v>00</v>
      </c>
    </row>
    <row r="2310" spans="1:22" hidden="1">
      <c r="J2310" s="1" t="str">
        <f t="shared" si="488"/>
        <v>0</v>
      </c>
      <c r="K2310" s="3">
        <f t="shared" si="489"/>
        <v>-100</v>
      </c>
      <c r="L2310" s="3">
        <f t="shared" si="490"/>
        <v>1</v>
      </c>
      <c r="M2310" s="3">
        <f t="shared" si="491"/>
        <v>0</v>
      </c>
      <c r="N2310" s="3" t="str">
        <f t="shared" si="492"/>
        <v>01</v>
      </c>
      <c r="O2310" s="14" t="str">
        <f t="shared" si="493"/>
        <v>00</v>
      </c>
    </row>
    <row r="2311" spans="1:22" hidden="1">
      <c r="J2311" s="1" t="str">
        <f t="shared" si="488"/>
        <v>0</v>
      </c>
      <c r="K2311" s="3">
        <f t="shared" si="489"/>
        <v>-100</v>
      </c>
      <c r="L2311" s="3">
        <f t="shared" si="490"/>
        <v>1</v>
      </c>
      <c r="M2311" s="3">
        <f t="shared" si="491"/>
        <v>0</v>
      </c>
      <c r="N2311" s="3" t="str">
        <f t="shared" si="492"/>
        <v>01</v>
      </c>
      <c r="O2311" s="14" t="str">
        <f t="shared" si="493"/>
        <v>00</v>
      </c>
    </row>
    <row r="2312" spans="1:22" hidden="1">
      <c r="J2312" s="1" t="str">
        <f t="shared" si="488"/>
        <v>0</v>
      </c>
      <c r="K2312" s="3">
        <f t="shared" si="489"/>
        <v>-100</v>
      </c>
      <c r="L2312" s="3">
        <f t="shared" si="490"/>
        <v>1</v>
      </c>
      <c r="M2312" s="3">
        <f t="shared" si="491"/>
        <v>0</v>
      </c>
      <c r="N2312" s="3" t="str">
        <f t="shared" si="492"/>
        <v>01</v>
      </c>
      <c r="O2312" s="14" t="str">
        <f t="shared" si="493"/>
        <v>00</v>
      </c>
    </row>
    <row r="2313" spans="1:22" hidden="1">
      <c r="J2313" s="1" t="str">
        <f t="shared" si="488"/>
        <v>0</v>
      </c>
      <c r="K2313" s="3">
        <f t="shared" si="489"/>
        <v>-100</v>
      </c>
      <c r="L2313" s="3">
        <f t="shared" si="490"/>
        <v>1</v>
      </c>
      <c r="M2313" s="3">
        <f t="shared" si="491"/>
        <v>0</v>
      </c>
      <c r="N2313" s="3" t="str">
        <f t="shared" si="492"/>
        <v>01</v>
      </c>
      <c r="O2313" s="14" t="str">
        <f t="shared" si="493"/>
        <v>00</v>
      </c>
    </row>
    <row r="2314" spans="1:22" hidden="1">
      <c r="J2314" s="1" t="str">
        <f t="shared" si="488"/>
        <v>0</v>
      </c>
      <c r="K2314" s="3">
        <f t="shared" si="489"/>
        <v>-100</v>
      </c>
      <c r="L2314" s="3">
        <f t="shared" si="490"/>
        <v>1</v>
      </c>
      <c r="M2314" s="3">
        <f t="shared" si="491"/>
        <v>0</v>
      </c>
      <c r="N2314" s="3" t="str">
        <f t="shared" si="492"/>
        <v>01</v>
      </c>
      <c r="O2314" s="14" t="str">
        <f t="shared" si="493"/>
        <v>00</v>
      </c>
    </row>
    <row r="2315" spans="1:22" hidden="1">
      <c r="J2315" s="1" t="str">
        <f t="shared" si="488"/>
        <v>0</v>
      </c>
      <c r="K2315" s="3">
        <f t="shared" si="489"/>
        <v>-100</v>
      </c>
      <c r="L2315" s="3">
        <f t="shared" si="490"/>
        <v>1</v>
      </c>
      <c r="M2315" s="3">
        <f t="shared" si="491"/>
        <v>0</v>
      </c>
      <c r="N2315" s="3" t="str">
        <f t="shared" si="492"/>
        <v>01</v>
      </c>
      <c r="O2315" s="14" t="str">
        <f t="shared" si="493"/>
        <v>00</v>
      </c>
    </row>
    <row r="2316" spans="1:22" hidden="1">
      <c r="J2316" s="1" t="str">
        <f t="shared" si="488"/>
        <v>0</v>
      </c>
      <c r="K2316" s="3">
        <f t="shared" si="489"/>
        <v>-100</v>
      </c>
      <c r="L2316" s="3">
        <f t="shared" si="490"/>
        <v>1</v>
      </c>
      <c r="M2316" s="3">
        <f t="shared" si="491"/>
        <v>0</v>
      </c>
      <c r="N2316" s="3" t="str">
        <f t="shared" si="492"/>
        <v>01</v>
      </c>
      <c r="O2316" s="14" t="str">
        <f t="shared" si="493"/>
        <v>00</v>
      </c>
      <c r="P2316" s="11"/>
      <c r="R2316" s="6">
        <v>507</v>
      </c>
      <c r="T2316" s="19"/>
    </row>
    <row r="2317" spans="1:22" hidden="1">
      <c r="J2317" s="1" t="str">
        <f t="shared" si="488"/>
        <v>0</v>
      </c>
      <c r="K2317" s="3">
        <f t="shared" si="489"/>
        <v>-100</v>
      </c>
      <c r="L2317" s="3">
        <f t="shared" si="490"/>
        <v>1</v>
      </c>
      <c r="M2317" s="3">
        <f t="shared" si="491"/>
        <v>0</v>
      </c>
      <c r="N2317" s="3" t="str">
        <f t="shared" si="492"/>
        <v>01</v>
      </c>
      <c r="O2317" s="14" t="str">
        <f t="shared" si="493"/>
        <v>00</v>
      </c>
      <c r="P2317" s="11"/>
      <c r="T2317" s="35"/>
    </row>
    <row r="2318" spans="1:22" hidden="1">
      <c r="J2318" s="1" t="str">
        <f t="shared" si="488"/>
        <v>0</v>
      </c>
      <c r="K2318" s="3">
        <f t="shared" si="489"/>
        <v>-100</v>
      </c>
      <c r="L2318" s="3">
        <f t="shared" si="490"/>
        <v>1</v>
      </c>
      <c r="M2318" s="3">
        <f t="shared" si="491"/>
        <v>0</v>
      </c>
      <c r="N2318" s="3" t="str">
        <f t="shared" si="492"/>
        <v>01</v>
      </c>
      <c r="O2318" s="14" t="str">
        <f t="shared" si="493"/>
        <v>00</v>
      </c>
      <c r="P2318" s="11"/>
      <c r="T2318" s="29"/>
    </row>
    <row r="2319" spans="1:22" hidden="1">
      <c r="J2319" s="1" t="str">
        <f t="shared" si="488"/>
        <v>0</v>
      </c>
      <c r="K2319" s="3">
        <f t="shared" si="489"/>
        <v>-100</v>
      </c>
      <c r="L2319" s="3">
        <f t="shared" si="490"/>
        <v>1</v>
      </c>
      <c r="M2319" s="3">
        <f t="shared" si="491"/>
        <v>0</v>
      </c>
      <c r="N2319" s="3" t="str">
        <f t="shared" si="492"/>
        <v>01</v>
      </c>
      <c r="O2319" s="14" t="str">
        <f t="shared" si="493"/>
        <v>00</v>
      </c>
      <c r="P2319" s="11"/>
      <c r="T2319" s="29"/>
    </row>
    <row r="2320" spans="1:22">
      <c r="A2320" s="3">
        <v>2216</v>
      </c>
      <c r="B2320" s="1">
        <f>IF(G2320="-",0,IF(G2319=G2320,1,0))</f>
        <v>0</v>
      </c>
      <c r="C2320" s="1">
        <f>+IF(G2320="-",0,IF(I2320=I2319+1,0,(IF(I2320=1,0,1))))</f>
        <v>1</v>
      </c>
      <c r="D2320" s="1">
        <f>+IF(AND(P2320="",Q2320=""),1,0)</f>
        <v>0</v>
      </c>
      <c r="E2320" s="1">
        <f>IF(U2320="",1,0)</f>
        <v>0</v>
      </c>
      <c r="F2320" s="1">
        <f>IF(V2320="",1,0)</f>
        <v>0</v>
      </c>
      <c r="G2320" s="1" t="str">
        <f>IF(H2320=0,"-",_xlfn.CONCAT(K2320,N2320,O2320,J2320))</f>
        <v>24101103</v>
      </c>
      <c r="H2320" s="2">
        <v>45576</v>
      </c>
      <c r="I2320" s="36">
        <v>3</v>
      </c>
      <c r="J2320" s="1" t="str">
        <f t="shared" si="488"/>
        <v>03</v>
      </c>
      <c r="K2320" s="3">
        <f t="shared" si="489"/>
        <v>24</v>
      </c>
      <c r="L2320" s="3">
        <f t="shared" si="490"/>
        <v>10</v>
      </c>
      <c r="M2320" s="3">
        <f t="shared" si="491"/>
        <v>11</v>
      </c>
      <c r="N2320" s="3">
        <f t="shared" si="492"/>
        <v>10</v>
      </c>
      <c r="O2320" s="14">
        <f t="shared" si="493"/>
        <v>11</v>
      </c>
      <c r="P2320" s="4">
        <v>41147.82</v>
      </c>
      <c r="T2320" s="5" t="s">
        <v>926</v>
      </c>
      <c r="U2320" s="3" t="s">
        <v>29</v>
      </c>
      <c r="V2320" s="3" t="s">
        <v>4</v>
      </c>
    </row>
    <row r="2321" spans="1:23" hidden="1">
      <c r="J2321" s="1" t="str">
        <f t="shared" si="488"/>
        <v>0</v>
      </c>
      <c r="K2321" s="3">
        <f t="shared" si="489"/>
        <v>-100</v>
      </c>
      <c r="L2321" s="3">
        <f t="shared" si="490"/>
        <v>1</v>
      </c>
      <c r="M2321" s="3">
        <f t="shared" si="491"/>
        <v>0</v>
      </c>
      <c r="N2321" s="3" t="str">
        <f t="shared" si="492"/>
        <v>01</v>
      </c>
      <c r="O2321" s="14" t="str">
        <f t="shared" si="493"/>
        <v>00</v>
      </c>
      <c r="P2321" s="11"/>
      <c r="T2321" s="29"/>
    </row>
    <row r="2322" spans="1:23" hidden="1">
      <c r="J2322" s="1" t="str">
        <f t="shared" si="488"/>
        <v>0</v>
      </c>
      <c r="K2322" s="3">
        <f t="shared" si="489"/>
        <v>-100</v>
      </c>
      <c r="L2322" s="3">
        <f t="shared" si="490"/>
        <v>1</v>
      </c>
      <c r="M2322" s="3">
        <f t="shared" si="491"/>
        <v>0</v>
      </c>
      <c r="N2322" s="3" t="str">
        <f t="shared" si="492"/>
        <v>01</v>
      </c>
      <c r="O2322" s="14" t="str">
        <f t="shared" si="493"/>
        <v>00</v>
      </c>
      <c r="P2322" s="11"/>
      <c r="T2322" s="29"/>
    </row>
    <row r="2323" spans="1:23" hidden="1">
      <c r="J2323" s="1" t="str">
        <f t="shared" si="488"/>
        <v>0</v>
      </c>
      <c r="K2323" s="3">
        <f t="shared" si="489"/>
        <v>-100</v>
      </c>
      <c r="L2323" s="3">
        <f t="shared" si="490"/>
        <v>1</v>
      </c>
      <c r="M2323" s="3">
        <f t="shared" si="491"/>
        <v>0</v>
      </c>
      <c r="N2323" s="3" t="str">
        <f t="shared" si="492"/>
        <v>01</v>
      </c>
      <c r="O2323" s="14" t="str">
        <f t="shared" si="493"/>
        <v>00</v>
      </c>
      <c r="P2323" s="11"/>
      <c r="T2323" s="32"/>
    </row>
    <row r="2324" spans="1:23" hidden="1">
      <c r="J2324" s="1" t="str">
        <f t="shared" si="488"/>
        <v>0</v>
      </c>
      <c r="K2324" s="3">
        <f t="shared" si="489"/>
        <v>-100</v>
      </c>
      <c r="L2324" s="3">
        <f t="shared" si="490"/>
        <v>1</v>
      </c>
      <c r="M2324" s="3">
        <f t="shared" si="491"/>
        <v>0</v>
      </c>
      <c r="N2324" s="3" t="str">
        <f t="shared" si="492"/>
        <v>01</v>
      </c>
      <c r="O2324" s="14" t="str">
        <f t="shared" si="493"/>
        <v>00</v>
      </c>
      <c r="P2324" s="11"/>
      <c r="T2324" s="32"/>
    </row>
    <row r="2325" spans="1:23">
      <c r="A2325" s="3">
        <v>2229</v>
      </c>
      <c r="B2325" s="1">
        <f>IF(G2325="-",0,IF(G2324=G2325,1,0))</f>
        <v>0</v>
      </c>
      <c r="C2325" s="1">
        <f>+IF(G2325="-",0,IF(I2325=I2324+1,0,(IF(I2325=1,0,1))))</f>
        <v>1</v>
      </c>
      <c r="D2325" s="1">
        <f>+IF(AND(P2325="",Q2325=""),1,0)</f>
        <v>0</v>
      </c>
      <c r="E2325" s="1">
        <f t="shared" ref="E2325:F2327" si="494">IF(U2325="",1,0)</f>
        <v>0</v>
      </c>
      <c r="F2325" s="1">
        <f t="shared" si="494"/>
        <v>0</v>
      </c>
      <c r="G2325" s="1" t="str">
        <f>IF(H2325=0,"-",_xlfn.CONCAT(K2325,N2325,O2325,J2325))</f>
        <v>24101206</v>
      </c>
      <c r="H2325" s="2">
        <v>45577</v>
      </c>
      <c r="I2325" s="36">
        <v>6</v>
      </c>
      <c r="J2325" s="1" t="str">
        <f t="shared" si="488"/>
        <v>06</v>
      </c>
      <c r="K2325" s="3">
        <f t="shared" si="489"/>
        <v>24</v>
      </c>
      <c r="L2325" s="3">
        <f t="shared" si="490"/>
        <v>10</v>
      </c>
      <c r="M2325" s="3">
        <f t="shared" si="491"/>
        <v>12</v>
      </c>
      <c r="N2325" s="3">
        <f t="shared" si="492"/>
        <v>10</v>
      </c>
      <c r="O2325" s="14">
        <f t="shared" si="493"/>
        <v>12</v>
      </c>
      <c r="P2325" s="4">
        <v>120000</v>
      </c>
      <c r="T2325" s="5" t="s">
        <v>913</v>
      </c>
      <c r="U2325" s="3" t="s">
        <v>1</v>
      </c>
      <c r="V2325" s="3" t="s">
        <v>4</v>
      </c>
      <c r="W2325" s="3" t="s">
        <v>813</v>
      </c>
    </row>
    <row r="2326" spans="1:23">
      <c r="A2326" s="3">
        <v>2234</v>
      </c>
      <c r="B2326" s="1">
        <f>IF(G2326="-",0,IF(G2325=G2326,1,0))</f>
        <v>0</v>
      </c>
      <c r="C2326" s="1">
        <f>+IF(G2326="-",0,IF(I2326=I2325+1,0,(IF(I2326=1,0,1))))</f>
        <v>1</v>
      </c>
      <c r="D2326" s="1">
        <f>+IF(AND(P2326="",Q2326=""),1,0)</f>
        <v>0</v>
      </c>
      <c r="E2326" s="1">
        <f t="shared" si="494"/>
        <v>0</v>
      </c>
      <c r="F2326" s="1">
        <f t="shared" si="494"/>
        <v>0</v>
      </c>
      <c r="G2326" s="1" t="str">
        <f>IF(H2326=0,"-",_xlfn.CONCAT(K2326,N2326,O2326,J2326))</f>
        <v>24101211</v>
      </c>
      <c r="H2326" s="2">
        <v>45577</v>
      </c>
      <c r="I2326" s="36">
        <v>11</v>
      </c>
      <c r="J2326" s="1">
        <f t="shared" ref="J2326:J2336" si="495">+IF(I2326&lt;10,_xlfn.CONCAT("0",I2326),I2326)</f>
        <v>11</v>
      </c>
      <c r="K2326" s="3">
        <f t="shared" ref="K2326:K2336" si="496">+YEAR(H2326)-2000</f>
        <v>24</v>
      </c>
      <c r="L2326" s="3">
        <f t="shared" ref="L2326:L2336" si="497">+MONTH(H2326)</f>
        <v>10</v>
      </c>
      <c r="M2326" s="3">
        <f t="shared" ref="M2326:M2336" si="498">+DAY(H2326)</f>
        <v>12</v>
      </c>
      <c r="N2326" s="3">
        <f t="shared" ref="N2326:N2336" si="499">+IF(L2326&lt;10,_xlfn.CONCAT("0",L2326),L2326)</f>
        <v>10</v>
      </c>
      <c r="O2326" s="14">
        <f t="shared" ref="O2326:O2336" si="500">+IF(M2326&lt;10,_xlfn.CONCAT("0",M2326),M2326)</f>
        <v>12</v>
      </c>
      <c r="P2326" s="4">
        <v>150000</v>
      </c>
      <c r="T2326" s="5" t="s">
        <v>918</v>
      </c>
      <c r="U2326" s="3" t="s">
        <v>1</v>
      </c>
      <c r="V2326" s="3" t="s">
        <v>4</v>
      </c>
    </row>
    <row r="2327" spans="1:23">
      <c r="A2327" s="3">
        <v>2235</v>
      </c>
      <c r="B2327" s="1">
        <f>IF(G2327="-",0,IF(G2326=G2327,1,0))</f>
        <v>0</v>
      </c>
      <c r="C2327" s="1">
        <f>+IF(G2327="-",0,IF(I2327=I2326+1,0,(IF(I2327=1,0,1))))</f>
        <v>0</v>
      </c>
      <c r="D2327" s="1">
        <f>+IF(AND(P2327="",Q2327=""),1,0)</f>
        <v>0</v>
      </c>
      <c r="E2327" s="1">
        <f t="shared" si="494"/>
        <v>0</v>
      </c>
      <c r="F2327" s="1">
        <f t="shared" si="494"/>
        <v>0</v>
      </c>
      <c r="G2327" s="1" t="str">
        <f>IF(H2327=0,"-",_xlfn.CONCAT(K2327,N2327,O2327,J2327))</f>
        <v>24101212</v>
      </c>
      <c r="H2327" s="2">
        <v>45577</v>
      </c>
      <c r="I2327" s="36">
        <v>12</v>
      </c>
      <c r="J2327" s="1">
        <f t="shared" si="495"/>
        <v>12</v>
      </c>
      <c r="K2327" s="3">
        <f t="shared" si="496"/>
        <v>24</v>
      </c>
      <c r="L2327" s="3">
        <f t="shared" si="497"/>
        <v>10</v>
      </c>
      <c r="M2327" s="3">
        <f t="shared" si="498"/>
        <v>12</v>
      </c>
      <c r="N2327" s="3">
        <f t="shared" si="499"/>
        <v>10</v>
      </c>
      <c r="O2327" s="14">
        <f t="shared" si="500"/>
        <v>12</v>
      </c>
      <c r="P2327" s="4">
        <v>132000</v>
      </c>
      <c r="T2327" s="5" t="s">
        <v>919</v>
      </c>
      <c r="U2327" s="3" t="s">
        <v>1</v>
      </c>
      <c r="V2327" s="3" t="s">
        <v>4</v>
      </c>
    </row>
    <row r="2328" spans="1:23" hidden="1">
      <c r="J2328" s="1" t="str">
        <f t="shared" si="495"/>
        <v>0</v>
      </c>
      <c r="K2328" s="3">
        <f t="shared" si="496"/>
        <v>-100</v>
      </c>
      <c r="L2328" s="3">
        <f t="shared" si="497"/>
        <v>1</v>
      </c>
      <c r="M2328" s="3">
        <f t="shared" si="498"/>
        <v>0</v>
      </c>
      <c r="N2328" s="3" t="str">
        <f t="shared" si="499"/>
        <v>01</v>
      </c>
      <c r="O2328" s="14" t="str">
        <f t="shared" si="500"/>
        <v>00</v>
      </c>
      <c r="P2328" s="11"/>
      <c r="T2328" s="32"/>
    </row>
    <row r="2329" spans="1:23" hidden="1">
      <c r="J2329" s="1" t="str">
        <f t="shared" si="495"/>
        <v>0</v>
      </c>
      <c r="K2329" s="3">
        <f t="shared" si="496"/>
        <v>-100</v>
      </c>
      <c r="L2329" s="3">
        <f t="shared" si="497"/>
        <v>1</v>
      </c>
      <c r="M2329" s="3">
        <f t="shared" si="498"/>
        <v>0</v>
      </c>
      <c r="N2329" s="3" t="str">
        <f t="shared" si="499"/>
        <v>01</v>
      </c>
      <c r="O2329" s="14" t="str">
        <f t="shared" si="500"/>
        <v>00</v>
      </c>
      <c r="P2329" s="11"/>
      <c r="T2329" s="32"/>
    </row>
    <row r="2330" spans="1:23" hidden="1">
      <c r="J2330" s="1" t="str">
        <f t="shared" si="495"/>
        <v>0</v>
      </c>
      <c r="K2330" s="3">
        <f t="shared" si="496"/>
        <v>-100</v>
      </c>
      <c r="L2330" s="3">
        <f t="shared" si="497"/>
        <v>1</v>
      </c>
      <c r="M2330" s="3">
        <f t="shared" si="498"/>
        <v>0</v>
      </c>
      <c r="N2330" s="3" t="str">
        <f t="shared" si="499"/>
        <v>01</v>
      </c>
      <c r="O2330" s="14" t="str">
        <f t="shared" si="500"/>
        <v>00</v>
      </c>
      <c r="P2330" s="11"/>
      <c r="T2330" s="32"/>
    </row>
    <row r="2331" spans="1:23" hidden="1">
      <c r="J2331" s="1" t="str">
        <f t="shared" si="495"/>
        <v>0</v>
      </c>
      <c r="K2331" s="3">
        <f t="shared" si="496"/>
        <v>-100</v>
      </c>
      <c r="L2331" s="3">
        <f t="shared" si="497"/>
        <v>1</v>
      </c>
      <c r="M2331" s="3">
        <f t="shared" si="498"/>
        <v>0</v>
      </c>
      <c r="N2331" s="3" t="str">
        <f t="shared" si="499"/>
        <v>01</v>
      </c>
      <c r="O2331" s="14" t="str">
        <f t="shared" si="500"/>
        <v>00</v>
      </c>
      <c r="P2331" s="11"/>
      <c r="T2331" s="32"/>
    </row>
    <row r="2332" spans="1:23" hidden="1">
      <c r="J2332" s="1" t="str">
        <f t="shared" si="495"/>
        <v>0</v>
      </c>
      <c r="K2332" s="3">
        <f t="shared" si="496"/>
        <v>-100</v>
      </c>
      <c r="L2332" s="3">
        <f t="shared" si="497"/>
        <v>1</v>
      </c>
      <c r="M2332" s="3">
        <f t="shared" si="498"/>
        <v>0</v>
      </c>
      <c r="N2332" s="3" t="str">
        <f t="shared" si="499"/>
        <v>01</v>
      </c>
      <c r="O2332" s="14" t="str">
        <f t="shared" si="500"/>
        <v>00</v>
      </c>
      <c r="P2332" s="11"/>
      <c r="T2332" s="32"/>
    </row>
    <row r="2333" spans="1:23" hidden="1">
      <c r="J2333" s="1" t="str">
        <f t="shared" si="495"/>
        <v>0</v>
      </c>
      <c r="K2333" s="3">
        <f t="shared" si="496"/>
        <v>-100</v>
      </c>
      <c r="L2333" s="3">
        <f t="shared" si="497"/>
        <v>1</v>
      </c>
      <c r="M2333" s="3">
        <f t="shared" si="498"/>
        <v>0</v>
      </c>
      <c r="N2333" s="3" t="str">
        <f t="shared" si="499"/>
        <v>01</v>
      </c>
      <c r="O2333" s="14" t="str">
        <f t="shared" si="500"/>
        <v>00</v>
      </c>
      <c r="P2333" s="11"/>
      <c r="T2333" s="33"/>
    </row>
    <row r="2334" spans="1:23" hidden="1">
      <c r="J2334" s="1" t="str">
        <f t="shared" si="495"/>
        <v>0</v>
      </c>
      <c r="K2334" s="3">
        <f t="shared" si="496"/>
        <v>-100</v>
      </c>
      <c r="L2334" s="3">
        <f t="shared" si="497"/>
        <v>1</v>
      </c>
      <c r="M2334" s="3">
        <f t="shared" si="498"/>
        <v>0</v>
      </c>
      <c r="N2334" s="3" t="str">
        <f t="shared" si="499"/>
        <v>01</v>
      </c>
      <c r="O2334" s="14" t="str">
        <f t="shared" si="500"/>
        <v>00</v>
      </c>
    </row>
    <row r="2335" spans="1:23" hidden="1">
      <c r="J2335" s="1" t="str">
        <f t="shared" si="495"/>
        <v>0</v>
      </c>
      <c r="K2335" s="3">
        <f t="shared" si="496"/>
        <v>-100</v>
      </c>
      <c r="L2335" s="3">
        <f t="shared" si="497"/>
        <v>1</v>
      </c>
      <c r="M2335" s="3">
        <f t="shared" si="498"/>
        <v>0</v>
      </c>
      <c r="N2335" s="3" t="str">
        <f t="shared" si="499"/>
        <v>01</v>
      </c>
      <c r="O2335" s="14" t="str">
        <f t="shared" si="500"/>
        <v>00</v>
      </c>
    </row>
    <row r="2336" spans="1:23" hidden="1">
      <c r="J2336" s="1" t="str">
        <f t="shared" si="495"/>
        <v>0</v>
      </c>
      <c r="K2336" s="3">
        <f t="shared" si="496"/>
        <v>-100</v>
      </c>
      <c r="L2336" s="3">
        <f t="shared" si="497"/>
        <v>1</v>
      </c>
      <c r="M2336" s="3">
        <f t="shared" si="498"/>
        <v>0</v>
      </c>
      <c r="N2336" s="3" t="str">
        <f t="shared" si="499"/>
        <v>01</v>
      </c>
      <c r="O2336" s="14" t="str">
        <f t="shared" si="500"/>
        <v>00</v>
      </c>
    </row>
    <row r="2337" spans="1:23" hidden="1">
      <c r="P2337" s="11"/>
    </row>
    <row r="2338" spans="1:23" hidden="1">
      <c r="J2338" s="1" t="str">
        <f t="shared" ref="J2338:J2401" si="501">+IF(I2338&lt;10,_xlfn.CONCAT("0",I2338),I2338)</f>
        <v>0</v>
      </c>
      <c r="K2338" s="3">
        <f t="shared" ref="K2338:K2401" si="502">+YEAR(H2338)-2000</f>
        <v>-100</v>
      </c>
      <c r="L2338" s="3">
        <f t="shared" ref="L2338:L2401" si="503">+MONTH(H2338)</f>
        <v>1</v>
      </c>
      <c r="M2338" s="3">
        <f t="shared" ref="M2338:M2401" si="504">+DAY(H2338)</f>
        <v>0</v>
      </c>
      <c r="N2338" s="3" t="str">
        <f t="shared" ref="N2338:N2401" si="505">+IF(L2338&lt;10,_xlfn.CONCAT("0",L2338),L2338)</f>
        <v>01</v>
      </c>
      <c r="O2338" s="14" t="str">
        <f t="shared" ref="O2338:O2401" si="506">+IF(M2338&lt;10,_xlfn.CONCAT("0",M2338),M2338)</f>
        <v>00</v>
      </c>
    </row>
    <row r="2339" spans="1:23" hidden="1">
      <c r="J2339" s="1" t="str">
        <f t="shared" si="501"/>
        <v>0</v>
      </c>
      <c r="K2339" s="3">
        <f t="shared" si="502"/>
        <v>-100</v>
      </c>
      <c r="L2339" s="3">
        <f t="shared" si="503"/>
        <v>1</v>
      </c>
      <c r="M2339" s="3">
        <f t="shared" si="504"/>
        <v>0</v>
      </c>
      <c r="N2339" s="3" t="str">
        <f t="shared" si="505"/>
        <v>01</v>
      </c>
      <c r="O2339" s="14" t="str">
        <f t="shared" si="506"/>
        <v>00</v>
      </c>
    </row>
    <row r="2340" spans="1:23" s="97" customFormat="1" hidden="1">
      <c r="A2340" s="3"/>
      <c r="B2340" s="1"/>
      <c r="C2340" s="1"/>
      <c r="D2340" s="1"/>
      <c r="E2340" s="1"/>
      <c r="F2340" s="1"/>
      <c r="G2340" s="1"/>
      <c r="H2340" s="2"/>
      <c r="I2340" s="36"/>
      <c r="J2340" s="1" t="str">
        <f t="shared" si="501"/>
        <v>0</v>
      </c>
      <c r="K2340" s="3">
        <f t="shared" si="502"/>
        <v>-100</v>
      </c>
      <c r="L2340" s="3">
        <f t="shared" si="503"/>
        <v>1</v>
      </c>
      <c r="M2340" s="3">
        <f t="shared" si="504"/>
        <v>0</v>
      </c>
      <c r="N2340" s="3" t="str">
        <f t="shared" si="505"/>
        <v>01</v>
      </c>
      <c r="O2340" s="14" t="str">
        <f t="shared" si="506"/>
        <v>00</v>
      </c>
      <c r="P2340" s="4"/>
      <c r="Q2340" s="5"/>
      <c r="R2340" s="6"/>
      <c r="S2340" s="5"/>
      <c r="T2340" s="5"/>
      <c r="U2340" s="3"/>
      <c r="V2340" s="3"/>
      <c r="W2340" s="3"/>
    </row>
    <row r="2341" spans="1:23" hidden="1">
      <c r="J2341" s="1" t="str">
        <f t="shared" si="501"/>
        <v>0</v>
      </c>
      <c r="K2341" s="3">
        <f t="shared" si="502"/>
        <v>-100</v>
      </c>
      <c r="L2341" s="3">
        <f t="shared" si="503"/>
        <v>1</v>
      </c>
      <c r="M2341" s="3">
        <f t="shared" si="504"/>
        <v>0</v>
      </c>
      <c r="N2341" s="3" t="str">
        <f t="shared" si="505"/>
        <v>01</v>
      </c>
      <c r="O2341" s="14" t="str">
        <f t="shared" si="506"/>
        <v>00</v>
      </c>
    </row>
    <row r="2342" spans="1:23" hidden="1">
      <c r="J2342" s="1" t="str">
        <f t="shared" si="501"/>
        <v>0</v>
      </c>
      <c r="K2342" s="3">
        <f t="shared" si="502"/>
        <v>-100</v>
      </c>
      <c r="L2342" s="3">
        <f t="shared" si="503"/>
        <v>1</v>
      </c>
      <c r="M2342" s="3">
        <f t="shared" si="504"/>
        <v>0</v>
      </c>
      <c r="N2342" s="3" t="str">
        <f t="shared" si="505"/>
        <v>01</v>
      </c>
      <c r="O2342" s="14" t="str">
        <f t="shared" si="506"/>
        <v>00</v>
      </c>
    </row>
    <row r="2343" spans="1:23" hidden="1">
      <c r="J2343" s="1" t="str">
        <f t="shared" si="501"/>
        <v>0</v>
      </c>
      <c r="K2343" s="3">
        <f t="shared" si="502"/>
        <v>-100</v>
      </c>
      <c r="L2343" s="3">
        <f t="shared" si="503"/>
        <v>1</v>
      </c>
      <c r="M2343" s="3">
        <f t="shared" si="504"/>
        <v>0</v>
      </c>
      <c r="N2343" s="3" t="str">
        <f t="shared" si="505"/>
        <v>01</v>
      </c>
      <c r="O2343" s="14" t="str">
        <f t="shared" si="506"/>
        <v>00</v>
      </c>
    </row>
    <row r="2344" spans="1:23">
      <c r="A2344" s="3">
        <v>2236</v>
      </c>
      <c r="B2344" s="1">
        <f>IF(G2344="-",0,IF(G2343=G2344,1,0))</f>
        <v>0</v>
      </c>
      <c r="C2344" s="1">
        <f>+IF(G2344="-",0,IF(I2344=I2343+1,0,(IF(I2344=1,0,1))))</f>
        <v>1</v>
      </c>
      <c r="D2344" s="1">
        <f>+IF(AND(P2344="",Q2344=""),1,0)</f>
        <v>0</v>
      </c>
      <c r="E2344" s="1">
        <f>IF(U2344="",1,0)</f>
        <v>0</v>
      </c>
      <c r="F2344" s="1">
        <f>IF(V2344="",1,0)</f>
        <v>0</v>
      </c>
      <c r="G2344" s="1" t="str">
        <f>IF(H2344=0,"-",_xlfn.CONCAT(K2344,N2344,O2344,J2344))</f>
        <v>24101213</v>
      </c>
      <c r="H2344" s="2">
        <v>45577</v>
      </c>
      <c r="I2344" s="36">
        <v>13</v>
      </c>
      <c r="J2344" s="1">
        <f t="shared" si="501"/>
        <v>13</v>
      </c>
      <c r="K2344" s="3">
        <f t="shared" si="502"/>
        <v>24</v>
      </c>
      <c r="L2344" s="3">
        <f t="shared" si="503"/>
        <v>10</v>
      </c>
      <c r="M2344" s="3">
        <f t="shared" si="504"/>
        <v>12</v>
      </c>
      <c r="N2344" s="3">
        <f t="shared" si="505"/>
        <v>10</v>
      </c>
      <c r="O2344" s="14">
        <f t="shared" si="506"/>
        <v>12</v>
      </c>
      <c r="P2344" s="4">
        <v>108000</v>
      </c>
      <c r="T2344" s="5" t="s">
        <v>920</v>
      </c>
      <c r="U2344" s="3" t="s">
        <v>1</v>
      </c>
      <c r="V2344" s="3" t="s">
        <v>4</v>
      </c>
    </row>
    <row r="2345" spans="1:23" hidden="1">
      <c r="J2345" s="1" t="str">
        <f t="shared" si="501"/>
        <v>0</v>
      </c>
      <c r="K2345" s="3">
        <f t="shared" si="502"/>
        <v>-100</v>
      </c>
      <c r="L2345" s="3">
        <f t="shared" si="503"/>
        <v>1</v>
      </c>
      <c r="M2345" s="3">
        <f t="shared" si="504"/>
        <v>0</v>
      </c>
      <c r="N2345" s="3" t="str">
        <f t="shared" si="505"/>
        <v>01</v>
      </c>
      <c r="O2345" s="14" t="str">
        <f t="shared" si="506"/>
        <v>00</v>
      </c>
    </row>
    <row r="2346" spans="1:23" hidden="1">
      <c r="J2346" s="1" t="str">
        <f t="shared" si="501"/>
        <v>0</v>
      </c>
      <c r="K2346" s="3">
        <f t="shared" si="502"/>
        <v>-100</v>
      </c>
      <c r="L2346" s="3">
        <f t="shared" si="503"/>
        <v>1</v>
      </c>
      <c r="M2346" s="3">
        <f t="shared" si="504"/>
        <v>0</v>
      </c>
      <c r="N2346" s="3" t="str">
        <f t="shared" si="505"/>
        <v>01</v>
      </c>
      <c r="O2346" s="14" t="str">
        <f t="shared" si="506"/>
        <v>00</v>
      </c>
    </row>
    <row r="2347" spans="1:23" hidden="1">
      <c r="J2347" s="1" t="str">
        <f t="shared" si="501"/>
        <v>0</v>
      </c>
      <c r="K2347" s="3">
        <f t="shared" si="502"/>
        <v>-100</v>
      </c>
      <c r="L2347" s="3">
        <f t="shared" si="503"/>
        <v>1</v>
      </c>
      <c r="M2347" s="3">
        <f t="shared" si="504"/>
        <v>0</v>
      </c>
      <c r="N2347" s="3" t="str">
        <f t="shared" si="505"/>
        <v>01</v>
      </c>
      <c r="O2347" s="14" t="str">
        <f t="shared" si="506"/>
        <v>00</v>
      </c>
    </row>
    <row r="2348" spans="1:23" hidden="1">
      <c r="J2348" s="1" t="str">
        <f t="shared" si="501"/>
        <v>0</v>
      </c>
      <c r="K2348" s="3">
        <f t="shared" si="502"/>
        <v>-100</v>
      </c>
      <c r="L2348" s="3">
        <f t="shared" si="503"/>
        <v>1</v>
      </c>
      <c r="M2348" s="3">
        <f t="shared" si="504"/>
        <v>0</v>
      </c>
      <c r="N2348" s="3" t="str">
        <f t="shared" si="505"/>
        <v>01</v>
      </c>
      <c r="O2348" s="14" t="str">
        <f t="shared" si="506"/>
        <v>00</v>
      </c>
    </row>
    <row r="2349" spans="1:23" hidden="1">
      <c r="J2349" s="1" t="str">
        <f t="shared" si="501"/>
        <v>0</v>
      </c>
      <c r="K2349" s="3">
        <f t="shared" si="502"/>
        <v>-100</v>
      </c>
      <c r="L2349" s="3">
        <f t="shared" si="503"/>
        <v>1</v>
      </c>
      <c r="M2349" s="3">
        <f t="shared" si="504"/>
        <v>0</v>
      </c>
      <c r="N2349" s="3" t="str">
        <f t="shared" si="505"/>
        <v>01</v>
      </c>
      <c r="O2349" s="14" t="str">
        <f t="shared" si="506"/>
        <v>00</v>
      </c>
    </row>
    <row r="2350" spans="1:23" hidden="1">
      <c r="J2350" s="1" t="str">
        <f t="shared" si="501"/>
        <v>0</v>
      </c>
      <c r="K2350" s="3">
        <f t="shared" si="502"/>
        <v>-100</v>
      </c>
      <c r="L2350" s="3">
        <f t="shared" si="503"/>
        <v>1</v>
      </c>
      <c r="M2350" s="3">
        <f t="shared" si="504"/>
        <v>0</v>
      </c>
      <c r="N2350" s="3" t="str">
        <f t="shared" si="505"/>
        <v>01</v>
      </c>
      <c r="O2350" s="14" t="str">
        <f t="shared" si="506"/>
        <v>00</v>
      </c>
    </row>
    <row r="2351" spans="1:23" hidden="1">
      <c r="J2351" s="1" t="str">
        <f t="shared" si="501"/>
        <v>0</v>
      </c>
      <c r="K2351" s="3">
        <f t="shared" si="502"/>
        <v>-100</v>
      </c>
      <c r="L2351" s="3">
        <f t="shared" si="503"/>
        <v>1</v>
      </c>
      <c r="M2351" s="3">
        <f t="shared" si="504"/>
        <v>0</v>
      </c>
      <c r="N2351" s="3" t="str">
        <f t="shared" si="505"/>
        <v>01</v>
      </c>
      <c r="O2351" s="14" t="str">
        <f t="shared" si="506"/>
        <v>00</v>
      </c>
    </row>
    <row r="2352" spans="1:23" hidden="1">
      <c r="J2352" s="1" t="str">
        <f t="shared" si="501"/>
        <v>0</v>
      </c>
      <c r="K2352" s="3">
        <f t="shared" si="502"/>
        <v>-100</v>
      </c>
      <c r="L2352" s="3">
        <f t="shared" si="503"/>
        <v>1</v>
      </c>
      <c r="M2352" s="3">
        <f t="shared" si="504"/>
        <v>0</v>
      </c>
      <c r="N2352" s="3" t="str">
        <f t="shared" si="505"/>
        <v>01</v>
      </c>
      <c r="O2352" s="14" t="str">
        <f t="shared" si="506"/>
        <v>00</v>
      </c>
    </row>
    <row r="2353" spans="1:23">
      <c r="A2353" s="3">
        <v>2237</v>
      </c>
      <c r="B2353" s="1">
        <f>IF(G2353="-",0,IF(G2352=G2353,1,0))</f>
        <v>0</v>
      </c>
      <c r="C2353" s="1">
        <f>+IF(G2353="-",0,IF(I2353=I2352+1,0,(IF(I2353=1,0,1))))</f>
        <v>1</v>
      </c>
      <c r="D2353" s="1">
        <f>+IF(AND(P2353="",Q2353=""),1,0)</f>
        <v>0</v>
      </c>
      <c r="E2353" s="1">
        <f>IF(U2353="",1,0)</f>
        <v>0</v>
      </c>
      <c r="F2353" s="1">
        <f>IF(V2353="",1,0)</f>
        <v>0</v>
      </c>
      <c r="G2353" s="1" t="str">
        <f>IF(H2353=0,"-",_xlfn.CONCAT(K2353,N2353,O2353,J2353))</f>
        <v>24101214</v>
      </c>
      <c r="H2353" s="2">
        <v>45577</v>
      </c>
      <c r="I2353" s="36">
        <v>14</v>
      </c>
      <c r="J2353" s="1">
        <f t="shared" si="501"/>
        <v>14</v>
      </c>
      <c r="K2353" s="3">
        <f t="shared" si="502"/>
        <v>24</v>
      </c>
      <c r="L2353" s="3">
        <f t="shared" si="503"/>
        <v>10</v>
      </c>
      <c r="M2353" s="3">
        <f t="shared" si="504"/>
        <v>12</v>
      </c>
      <c r="N2353" s="3">
        <f t="shared" si="505"/>
        <v>10</v>
      </c>
      <c r="O2353" s="14">
        <f t="shared" si="506"/>
        <v>12</v>
      </c>
      <c r="P2353" s="4">
        <v>108000</v>
      </c>
      <c r="T2353" s="5" t="s">
        <v>922</v>
      </c>
      <c r="U2353" s="3" t="s">
        <v>1</v>
      </c>
      <c r="V2353" s="3" t="s">
        <v>4</v>
      </c>
    </row>
    <row r="2354" spans="1:23" hidden="1">
      <c r="J2354" s="1" t="str">
        <f t="shared" si="501"/>
        <v>0</v>
      </c>
      <c r="K2354" s="3">
        <f t="shared" si="502"/>
        <v>-100</v>
      </c>
      <c r="L2354" s="3">
        <f t="shared" si="503"/>
        <v>1</v>
      </c>
      <c r="M2354" s="3">
        <f t="shared" si="504"/>
        <v>0</v>
      </c>
      <c r="N2354" s="3" t="str">
        <f t="shared" si="505"/>
        <v>01</v>
      </c>
      <c r="O2354" s="14" t="str">
        <f t="shared" si="506"/>
        <v>00</v>
      </c>
    </row>
    <row r="2355" spans="1:23" hidden="1">
      <c r="J2355" s="1" t="str">
        <f t="shared" si="501"/>
        <v>0</v>
      </c>
      <c r="K2355" s="3">
        <f t="shared" si="502"/>
        <v>-100</v>
      </c>
      <c r="L2355" s="3">
        <f t="shared" si="503"/>
        <v>1</v>
      </c>
      <c r="M2355" s="3">
        <f t="shared" si="504"/>
        <v>0</v>
      </c>
      <c r="N2355" s="3" t="str">
        <f t="shared" si="505"/>
        <v>01</v>
      </c>
      <c r="O2355" s="14" t="str">
        <f t="shared" si="506"/>
        <v>00</v>
      </c>
    </row>
    <row r="2356" spans="1:23" hidden="1">
      <c r="G2356" s="98"/>
      <c r="H2356" s="99"/>
      <c r="I2356" s="98"/>
      <c r="J2356" s="98" t="str">
        <f t="shared" si="501"/>
        <v>0</v>
      </c>
      <c r="K2356" s="97">
        <f t="shared" si="502"/>
        <v>-100</v>
      </c>
      <c r="L2356" s="97">
        <f t="shared" si="503"/>
        <v>1</v>
      </c>
      <c r="M2356" s="97">
        <f t="shared" si="504"/>
        <v>0</v>
      </c>
      <c r="N2356" s="97" t="str">
        <f t="shared" si="505"/>
        <v>01</v>
      </c>
      <c r="O2356" s="100" t="str">
        <f t="shared" si="506"/>
        <v>00</v>
      </c>
      <c r="P2356" s="101"/>
      <c r="Q2356" s="102"/>
      <c r="R2356" s="103"/>
      <c r="S2356" s="102"/>
      <c r="T2356" s="102"/>
      <c r="U2356" s="97"/>
      <c r="V2356" s="97"/>
      <c r="W2356" s="97"/>
    </row>
    <row r="2357" spans="1:23" hidden="1">
      <c r="J2357" s="1" t="str">
        <f t="shared" si="501"/>
        <v>0</v>
      </c>
      <c r="K2357" s="3">
        <f t="shared" si="502"/>
        <v>-100</v>
      </c>
      <c r="L2357" s="3">
        <f t="shared" si="503"/>
        <v>1</v>
      </c>
      <c r="M2357" s="3">
        <f t="shared" si="504"/>
        <v>0</v>
      </c>
      <c r="N2357" s="3" t="str">
        <f t="shared" si="505"/>
        <v>01</v>
      </c>
      <c r="O2357" s="14" t="str">
        <f t="shared" si="506"/>
        <v>00</v>
      </c>
    </row>
    <row r="2358" spans="1:23">
      <c r="A2358" s="3">
        <v>2281</v>
      </c>
      <c r="B2358" s="1">
        <f>IF(G2358="-",0,IF(G2357=G2358,1,0))</f>
        <v>0</v>
      </c>
      <c r="C2358" s="1">
        <f>+IF(G2358="-",0,IF(I2358=I2357+1,0,(IF(I2358=1,0,1))))</f>
        <v>0</v>
      </c>
      <c r="D2358" s="1">
        <f>+IF(AND(P2358="",Q2358=""),1,0)</f>
        <v>0</v>
      </c>
      <c r="E2358" s="1">
        <f>IF(U2358="",1,0)</f>
        <v>0</v>
      </c>
      <c r="F2358" s="1">
        <f>IF(V2358="",1,0)</f>
        <v>0</v>
      </c>
      <c r="G2358" s="1" t="str">
        <f>IF(H2358=0,"-",_xlfn.CONCAT(K2358,N2358,O2358,J2358))</f>
        <v>24101801</v>
      </c>
      <c r="H2358" s="2">
        <v>45583</v>
      </c>
      <c r="I2358" s="36">
        <v>1</v>
      </c>
      <c r="J2358" s="1" t="str">
        <f t="shared" si="501"/>
        <v>01</v>
      </c>
      <c r="K2358" s="3">
        <f t="shared" si="502"/>
        <v>24</v>
      </c>
      <c r="L2358" s="3">
        <f t="shared" si="503"/>
        <v>10</v>
      </c>
      <c r="M2358" s="3">
        <f t="shared" si="504"/>
        <v>18</v>
      </c>
      <c r="N2358" s="3">
        <f t="shared" si="505"/>
        <v>10</v>
      </c>
      <c r="O2358" s="14">
        <f t="shared" si="506"/>
        <v>18</v>
      </c>
      <c r="P2358" s="4">
        <v>40321.230000000003</v>
      </c>
      <c r="T2358" s="3" t="s">
        <v>1036</v>
      </c>
      <c r="U2358" s="3" t="s">
        <v>29</v>
      </c>
      <c r="V2358" s="3" t="s">
        <v>4</v>
      </c>
    </row>
    <row r="2359" spans="1:23" hidden="1">
      <c r="J2359" s="1" t="str">
        <f t="shared" si="501"/>
        <v>0</v>
      </c>
      <c r="K2359" s="3">
        <f t="shared" si="502"/>
        <v>-100</v>
      </c>
      <c r="L2359" s="3">
        <f t="shared" si="503"/>
        <v>1</v>
      </c>
      <c r="M2359" s="3">
        <f t="shared" si="504"/>
        <v>0</v>
      </c>
      <c r="N2359" s="3" t="str">
        <f t="shared" si="505"/>
        <v>01</v>
      </c>
      <c r="O2359" s="14" t="str">
        <f t="shared" si="506"/>
        <v>00</v>
      </c>
    </row>
    <row r="2360" spans="1:23" hidden="1">
      <c r="J2360" s="1" t="str">
        <f t="shared" si="501"/>
        <v>0</v>
      </c>
      <c r="K2360" s="3">
        <f t="shared" si="502"/>
        <v>-100</v>
      </c>
      <c r="L2360" s="3">
        <f t="shared" si="503"/>
        <v>1</v>
      </c>
      <c r="M2360" s="3">
        <f t="shared" si="504"/>
        <v>0</v>
      </c>
      <c r="N2360" s="3" t="str">
        <f t="shared" si="505"/>
        <v>01</v>
      </c>
      <c r="O2360" s="14" t="str">
        <f t="shared" si="506"/>
        <v>00</v>
      </c>
    </row>
    <row r="2361" spans="1:23" hidden="1">
      <c r="J2361" s="1" t="str">
        <f t="shared" si="501"/>
        <v>0</v>
      </c>
      <c r="K2361" s="3">
        <f t="shared" si="502"/>
        <v>-100</v>
      </c>
      <c r="L2361" s="3">
        <f t="shared" si="503"/>
        <v>1</v>
      </c>
      <c r="M2361" s="3">
        <f t="shared" si="504"/>
        <v>0</v>
      </c>
      <c r="N2361" s="3" t="str">
        <f t="shared" si="505"/>
        <v>01</v>
      </c>
      <c r="O2361" s="14" t="str">
        <f t="shared" si="506"/>
        <v>00</v>
      </c>
    </row>
    <row r="2362" spans="1:23" hidden="1">
      <c r="J2362" s="1" t="str">
        <f t="shared" si="501"/>
        <v>0</v>
      </c>
      <c r="K2362" s="3">
        <f t="shared" si="502"/>
        <v>-100</v>
      </c>
      <c r="L2362" s="3">
        <f t="shared" si="503"/>
        <v>1</v>
      </c>
      <c r="M2362" s="3">
        <f t="shared" si="504"/>
        <v>0</v>
      </c>
      <c r="N2362" s="3" t="str">
        <f t="shared" si="505"/>
        <v>01</v>
      </c>
      <c r="O2362" s="14" t="str">
        <f t="shared" si="506"/>
        <v>00</v>
      </c>
    </row>
    <row r="2363" spans="1:23" hidden="1">
      <c r="J2363" s="1" t="str">
        <f t="shared" si="501"/>
        <v>0</v>
      </c>
      <c r="K2363" s="3">
        <f t="shared" si="502"/>
        <v>-100</v>
      </c>
      <c r="L2363" s="3">
        <f t="shared" si="503"/>
        <v>1</v>
      </c>
      <c r="M2363" s="3">
        <f t="shared" si="504"/>
        <v>0</v>
      </c>
      <c r="N2363" s="3" t="str">
        <f t="shared" si="505"/>
        <v>01</v>
      </c>
      <c r="O2363" s="14" t="str">
        <f t="shared" si="506"/>
        <v>00</v>
      </c>
    </row>
    <row r="2364" spans="1:23" hidden="1">
      <c r="J2364" s="1" t="str">
        <f t="shared" si="501"/>
        <v>0</v>
      </c>
      <c r="K2364" s="3">
        <f t="shared" si="502"/>
        <v>-100</v>
      </c>
      <c r="L2364" s="3">
        <f t="shared" si="503"/>
        <v>1</v>
      </c>
      <c r="M2364" s="3">
        <f t="shared" si="504"/>
        <v>0</v>
      </c>
      <c r="N2364" s="3" t="str">
        <f t="shared" si="505"/>
        <v>01</v>
      </c>
      <c r="O2364" s="14" t="str">
        <f t="shared" si="506"/>
        <v>00</v>
      </c>
    </row>
    <row r="2365" spans="1:23" hidden="1">
      <c r="J2365" s="1" t="str">
        <f t="shared" si="501"/>
        <v>0</v>
      </c>
      <c r="K2365" s="3">
        <f t="shared" si="502"/>
        <v>-100</v>
      </c>
      <c r="L2365" s="3">
        <f t="shared" si="503"/>
        <v>1</v>
      </c>
      <c r="M2365" s="3">
        <f t="shared" si="504"/>
        <v>0</v>
      </c>
      <c r="N2365" s="3" t="str">
        <f t="shared" si="505"/>
        <v>01</v>
      </c>
      <c r="O2365" s="14" t="str">
        <f t="shared" si="506"/>
        <v>00</v>
      </c>
    </row>
    <row r="2366" spans="1:23" hidden="1">
      <c r="J2366" s="1" t="str">
        <f t="shared" si="501"/>
        <v>0</v>
      </c>
      <c r="K2366" s="3">
        <f t="shared" si="502"/>
        <v>-100</v>
      </c>
      <c r="L2366" s="3">
        <f t="shared" si="503"/>
        <v>1</v>
      </c>
      <c r="M2366" s="3">
        <f t="shared" si="504"/>
        <v>0</v>
      </c>
      <c r="N2366" s="3" t="str">
        <f t="shared" si="505"/>
        <v>01</v>
      </c>
      <c r="O2366" s="14" t="str">
        <f t="shared" si="506"/>
        <v>00</v>
      </c>
    </row>
    <row r="2367" spans="1:23" hidden="1">
      <c r="J2367" s="1" t="str">
        <f t="shared" si="501"/>
        <v>0</v>
      </c>
      <c r="K2367" s="3">
        <f t="shared" si="502"/>
        <v>-100</v>
      </c>
      <c r="L2367" s="3">
        <f t="shared" si="503"/>
        <v>1</v>
      </c>
      <c r="M2367" s="3">
        <f t="shared" si="504"/>
        <v>0</v>
      </c>
      <c r="N2367" s="3" t="str">
        <f t="shared" si="505"/>
        <v>01</v>
      </c>
      <c r="O2367" s="14" t="str">
        <f t="shared" si="506"/>
        <v>00</v>
      </c>
    </row>
    <row r="2368" spans="1:23" hidden="1">
      <c r="J2368" s="1" t="str">
        <f t="shared" si="501"/>
        <v>0</v>
      </c>
      <c r="K2368" s="3">
        <f t="shared" si="502"/>
        <v>-100</v>
      </c>
      <c r="L2368" s="3">
        <f t="shared" si="503"/>
        <v>1</v>
      </c>
      <c r="M2368" s="3">
        <f t="shared" si="504"/>
        <v>0</v>
      </c>
      <c r="N2368" s="3" t="str">
        <f t="shared" si="505"/>
        <v>01</v>
      </c>
      <c r="O2368" s="14" t="str">
        <f t="shared" si="506"/>
        <v>00</v>
      </c>
    </row>
    <row r="2369" spans="1:23" hidden="1">
      <c r="J2369" s="1" t="str">
        <f t="shared" si="501"/>
        <v>0</v>
      </c>
      <c r="K2369" s="3">
        <f t="shared" si="502"/>
        <v>-100</v>
      </c>
      <c r="L2369" s="3">
        <f t="shared" si="503"/>
        <v>1</v>
      </c>
      <c r="M2369" s="3">
        <f t="shared" si="504"/>
        <v>0</v>
      </c>
      <c r="N2369" s="3" t="str">
        <f t="shared" si="505"/>
        <v>01</v>
      </c>
      <c r="O2369" s="14" t="str">
        <f t="shared" si="506"/>
        <v>00</v>
      </c>
    </row>
    <row r="2370" spans="1:23" hidden="1">
      <c r="J2370" s="1" t="str">
        <f t="shared" si="501"/>
        <v>0</v>
      </c>
      <c r="K2370" s="3">
        <f t="shared" si="502"/>
        <v>-100</v>
      </c>
      <c r="L2370" s="3">
        <f t="shared" si="503"/>
        <v>1</v>
      </c>
      <c r="M2370" s="3">
        <f t="shared" si="504"/>
        <v>0</v>
      </c>
      <c r="N2370" s="3" t="str">
        <f t="shared" si="505"/>
        <v>01</v>
      </c>
      <c r="O2370" s="14" t="str">
        <f t="shared" si="506"/>
        <v>00</v>
      </c>
    </row>
    <row r="2371" spans="1:23" hidden="1">
      <c r="J2371" s="1" t="str">
        <f t="shared" si="501"/>
        <v>0</v>
      </c>
      <c r="K2371" s="3">
        <f t="shared" si="502"/>
        <v>-100</v>
      </c>
      <c r="L2371" s="3">
        <f t="shared" si="503"/>
        <v>1</v>
      </c>
      <c r="M2371" s="3">
        <f t="shared" si="504"/>
        <v>0</v>
      </c>
      <c r="N2371" s="3" t="str">
        <f t="shared" si="505"/>
        <v>01</v>
      </c>
      <c r="O2371" s="14" t="str">
        <f t="shared" si="506"/>
        <v>00</v>
      </c>
    </row>
    <row r="2372" spans="1:23" hidden="1">
      <c r="J2372" s="1" t="str">
        <f t="shared" si="501"/>
        <v>0</v>
      </c>
      <c r="K2372" s="3">
        <f t="shared" si="502"/>
        <v>-100</v>
      </c>
      <c r="L2372" s="3">
        <f t="shared" si="503"/>
        <v>1</v>
      </c>
      <c r="M2372" s="3">
        <f t="shared" si="504"/>
        <v>0</v>
      </c>
      <c r="N2372" s="3" t="str">
        <f t="shared" si="505"/>
        <v>01</v>
      </c>
      <c r="O2372" s="14" t="str">
        <f t="shared" si="506"/>
        <v>00</v>
      </c>
    </row>
    <row r="2373" spans="1:23" hidden="1">
      <c r="J2373" s="1" t="str">
        <f t="shared" si="501"/>
        <v>0</v>
      </c>
      <c r="K2373" s="3">
        <f t="shared" si="502"/>
        <v>-100</v>
      </c>
      <c r="L2373" s="3">
        <f t="shared" si="503"/>
        <v>1</v>
      </c>
      <c r="M2373" s="3">
        <f t="shared" si="504"/>
        <v>0</v>
      </c>
      <c r="N2373" s="3" t="str">
        <f t="shared" si="505"/>
        <v>01</v>
      </c>
      <c r="O2373" s="14" t="str">
        <f t="shared" si="506"/>
        <v>00</v>
      </c>
    </row>
    <row r="2374" spans="1:23" hidden="1">
      <c r="J2374" s="1" t="str">
        <f t="shared" si="501"/>
        <v>0</v>
      </c>
      <c r="K2374" s="3">
        <f t="shared" si="502"/>
        <v>-100</v>
      </c>
      <c r="L2374" s="3">
        <f t="shared" si="503"/>
        <v>1</v>
      </c>
      <c r="M2374" s="3">
        <f t="shared" si="504"/>
        <v>0</v>
      </c>
      <c r="N2374" s="3" t="str">
        <f t="shared" si="505"/>
        <v>01</v>
      </c>
      <c r="O2374" s="14" t="str">
        <f t="shared" si="506"/>
        <v>00</v>
      </c>
    </row>
    <row r="2375" spans="1:23" hidden="1">
      <c r="J2375" s="1" t="str">
        <f t="shared" si="501"/>
        <v>0</v>
      </c>
      <c r="K2375" s="3">
        <f t="shared" si="502"/>
        <v>-100</v>
      </c>
      <c r="L2375" s="3">
        <f t="shared" si="503"/>
        <v>1</v>
      </c>
      <c r="M2375" s="3">
        <f t="shared" si="504"/>
        <v>0</v>
      </c>
      <c r="N2375" s="3" t="str">
        <f t="shared" si="505"/>
        <v>01</v>
      </c>
      <c r="O2375" s="14" t="str">
        <f t="shared" si="506"/>
        <v>00</v>
      </c>
    </row>
    <row r="2376" spans="1:23">
      <c r="A2376" s="3">
        <v>2294</v>
      </c>
      <c r="B2376" s="1">
        <f>IF(G2376="-",0,IF(G2375=G2376,1,0))</f>
        <v>0</v>
      </c>
      <c r="C2376" s="1">
        <f>+IF(G2376="-",0,IF(I2376=I2375+1,0,(IF(I2376=1,0,1))))</f>
        <v>1</v>
      </c>
      <c r="D2376" s="1">
        <f>+IF(AND(P2376="",Q2376=""),1,0)</f>
        <v>0</v>
      </c>
      <c r="E2376" s="1">
        <f>IF(U2376="",1,0)</f>
        <v>0</v>
      </c>
      <c r="F2376" s="1">
        <f>IF(V2376="",1,0)</f>
        <v>0</v>
      </c>
      <c r="G2376" s="1" t="str">
        <f>IF(H2376=0,"-",_xlfn.CONCAT(K2376,N2376,O2376,J2376))</f>
        <v>24101905</v>
      </c>
      <c r="H2376" s="2">
        <v>45584</v>
      </c>
      <c r="I2376" s="36">
        <v>5</v>
      </c>
      <c r="J2376" s="1" t="str">
        <f t="shared" si="501"/>
        <v>05</v>
      </c>
      <c r="K2376" s="3">
        <f t="shared" si="502"/>
        <v>24</v>
      </c>
      <c r="L2376" s="3">
        <f t="shared" si="503"/>
        <v>10</v>
      </c>
      <c r="M2376" s="3">
        <f t="shared" si="504"/>
        <v>19</v>
      </c>
      <c r="N2376" s="3">
        <f t="shared" si="505"/>
        <v>10</v>
      </c>
      <c r="O2376" s="14">
        <f t="shared" si="506"/>
        <v>19</v>
      </c>
      <c r="P2376" s="11">
        <v>120000</v>
      </c>
      <c r="T2376" s="29" t="s">
        <v>941</v>
      </c>
      <c r="U2376" s="3" t="s">
        <v>1</v>
      </c>
      <c r="V2376" s="3" t="s">
        <v>4</v>
      </c>
      <c r="W2376" s="3" t="s">
        <v>957</v>
      </c>
    </row>
    <row r="2377" spans="1:23" hidden="1">
      <c r="J2377" s="1" t="str">
        <f t="shared" si="501"/>
        <v>0</v>
      </c>
      <c r="K2377" s="3">
        <f t="shared" si="502"/>
        <v>-100</v>
      </c>
      <c r="L2377" s="3">
        <f t="shared" si="503"/>
        <v>1</v>
      </c>
      <c r="M2377" s="3">
        <f t="shared" si="504"/>
        <v>0</v>
      </c>
      <c r="N2377" s="3" t="str">
        <f t="shared" si="505"/>
        <v>01</v>
      </c>
      <c r="O2377" s="14" t="str">
        <f t="shared" si="506"/>
        <v>00</v>
      </c>
    </row>
    <row r="2378" spans="1:23" hidden="1">
      <c r="J2378" s="1" t="str">
        <f t="shared" si="501"/>
        <v>0</v>
      </c>
      <c r="K2378" s="3">
        <f t="shared" si="502"/>
        <v>-100</v>
      </c>
      <c r="L2378" s="3">
        <f t="shared" si="503"/>
        <v>1</v>
      </c>
      <c r="M2378" s="3">
        <f t="shared" si="504"/>
        <v>0</v>
      </c>
      <c r="N2378" s="3" t="str">
        <f t="shared" si="505"/>
        <v>01</v>
      </c>
      <c r="O2378" s="14" t="str">
        <f t="shared" si="506"/>
        <v>00</v>
      </c>
    </row>
    <row r="2379" spans="1:23" hidden="1">
      <c r="J2379" s="1" t="str">
        <f t="shared" si="501"/>
        <v>0</v>
      </c>
      <c r="K2379" s="3">
        <f t="shared" si="502"/>
        <v>-100</v>
      </c>
      <c r="L2379" s="3">
        <f t="shared" si="503"/>
        <v>1</v>
      </c>
      <c r="M2379" s="3">
        <f t="shared" si="504"/>
        <v>0</v>
      </c>
      <c r="N2379" s="3" t="str">
        <f t="shared" si="505"/>
        <v>01</v>
      </c>
      <c r="O2379" s="14" t="str">
        <f t="shared" si="506"/>
        <v>00</v>
      </c>
    </row>
    <row r="2380" spans="1:23">
      <c r="A2380" s="3">
        <v>2299</v>
      </c>
      <c r="B2380" s="1">
        <f>IF(G2380="-",0,IF(G2379=G2380,1,0))</f>
        <v>0</v>
      </c>
      <c r="C2380" s="1">
        <f>+IF(G2380="-",0,IF(I2380=I2379+1,0,(IF(I2380=1,0,1))))</f>
        <v>1</v>
      </c>
      <c r="D2380" s="1">
        <f>+IF(AND(P2380="",Q2380=""),1,0)</f>
        <v>0</v>
      </c>
      <c r="E2380" s="1">
        <f t="shared" ref="E2380:F2382" si="507">IF(U2380="",1,0)</f>
        <v>0</v>
      </c>
      <c r="F2380" s="1">
        <f t="shared" si="507"/>
        <v>0</v>
      </c>
      <c r="G2380" s="1" t="str">
        <f>IF(H2380=0,"-",_xlfn.CONCAT(K2380,N2380,O2380,J2380))</f>
        <v>24101910</v>
      </c>
      <c r="H2380" s="2">
        <v>45584</v>
      </c>
      <c r="I2380" s="36">
        <v>10</v>
      </c>
      <c r="J2380" s="1">
        <f t="shared" si="501"/>
        <v>10</v>
      </c>
      <c r="K2380" s="3">
        <f t="shared" si="502"/>
        <v>24</v>
      </c>
      <c r="L2380" s="3">
        <f t="shared" si="503"/>
        <v>10</v>
      </c>
      <c r="M2380" s="3">
        <f t="shared" si="504"/>
        <v>19</v>
      </c>
      <c r="N2380" s="3">
        <f t="shared" si="505"/>
        <v>10</v>
      </c>
      <c r="O2380" s="14">
        <f t="shared" si="506"/>
        <v>19</v>
      </c>
      <c r="P2380" s="11">
        <v>150000</v>
      </c>
      <c r="T2380" s="32" t="s">
        <v>946</v>
      </c>
      <c r="U2380" s="3" t="s">
        <v>1</v>
      </c>
      <c r="V2380" s="3" t="s">
        <v>4</v>
      </c>
    </row>
    <row r="2381" spans="1:23">
      <c r="A2381" s="3">
        <v>2300</v>
      </c>
      <c r="B2381" s="1">
        <f>IF(G2381="-",0,IF(G2380=G2381,1,0))</f>
        <v>0</v>
      </c>
      <c r="C2381" s="1">
        <f>+IF(G2381="-",0,IF(I2381=I2380+1,0,(IF(I2381=1,0,1))))</f>
        <v>0</v>
      </c>
      <c r="D2381" s="1">
        <f>+IF(AND(P2381="",Q2381=""),1,0)</f>
        <v>0</v>
      </c>
      <c r="E2381" s="1">
        <f t="shared" si="507"/>
        <v>0</v>
      </c>
      <c r="F2381" s="1">
        <f t="shared" si="507"/>
        <v>0</v>
      </c>
      <c r="G2381" s="1" t="str">
        <f>IF(H2381=0,"-",_xlfn.CONCAT(K2381,N2381,O2381,J2381))</f>
        <v>24101911</v>
      </c>
      <c r="H2381" s="2">
        <v>45584</v>
      </c>
      <c r="I2381" s="36">
        <v>11</v>
      </c>
      <c r="J2381" s="1">
        <f t="shared" si="501"/>
        <v>11</v>
      </c>
      <c r="K2381" s="3">
        <f t="shared" si="502"/>
        <v>24</v>
      </c>
      <c r="L2381" s="3">
        <f t="shared" si="503"/>
        <v>10</v>
      </c>
      <c r="M2381" s="3">
        <f t="shared" si="504"/>
        <v>19</v>
      </c>
      <c r="N2381" s="3">
        <f t="shared" si="505"/>
        <v>10</v>
      </c>
      <c r="O2381" s="14">
        <f t="shared" si="506"/>
        <v>19</v>
      </c>
      <c r="P2381" s="11">
        <v>132000</v>
      </c>
      <c r="T2381" s="32" t="s">
        <v>947</v>
      </c>
      <c r="U2381" s="3" t="s">
        <v>1</v>
      </c>
      <c r="V2381" s="3" t="s">
        <v>4</v>
      </c>
    </row>
    <row r="2382" spans="1:23">
      <c r="A2382" s="3">
        <v>2301</v>
      </c>
      <c r="B2382" s="1">
        <f>IF(G2382="-",0,IF(G2381=G2382,1,0))</f>
        <v>0</v>
      </c>
      <c r="C2382" s="1">
        <f>+IF(G2382="-",0,IF(I2382=I2381+1,0,(IF(I2382=1,0,1))))</f>
        <v>0</v>
      </c>
      <c r="D2382" s="1">
        <f>+IF(AND(P2382="",Q2382=""),1,0)</f>
        <v>0</v>
      </c>
      <c r="E2382" s="1">
        <f t="shared" si="507"/>
        <v>0</v>
      </c>
      <c r="F2382" s="1">
        <f t="shared" si="507"/>
        <v>0</v>
      </c>
      <c r="G2382" s="1" t="str">
        <f>IF(H2382=0,"-",_xlfn.CONCAT(K2382,N2382,O2382,J2382))</f>
        <v>24101912</v>
      </c>
      <c r="H2382" s="2">
        <v>45584</v>
      </c>
      <c r="I2382" s="36">
        <v>12</v>
      </c>
      <c r="J2382" s="1">
        <f t="shared" si="501"/>
        <v>12</v>
      </c>
      <c r="K2382" s="3">
        <f t="shared" si="502"/>
        <v>24</v>
      </c>
      <c r="L2382" s="3">
        <f t="shared" si="503"/>
        <v>10</v>
      </c>
      <c r="M2382" s="3">
        <f t="shared" si="504"/>
        <v>19</v>
      </c>
      <c r="N2382" s="3">
        <f t="shared" si="505"/>
        <v>10</v>
      </c>
      <c r="O2382" s="14">
        <f t="shared" si="506"/>
        <v>19</v>
      </c>
      <c r="P2382" s="11">
        <v>108000</v>
      </c>
      <c r="T2382" s="32" t="s">
        <v>948</v>
      </c>
      <c r="U2382" s="3" t="s">
        <v>1</v>
      </c>
      <c r="V2382" s="3" t="s">
        <v>4</v>
      </c>
    </row>
    <row r="2383" spans="1:23" hidden="1">
      <c r="J2383" s="1" t="str">
        <f t="shared" si="501"/>
        <v>0</v>
      </c>
      <c r="K2383" s="3">
        <f t="shared" si="502"/>
        <v>-100</v>
      </c>
      <c r="L2383" s="3">
        <f t="shared" si="503"/>
        <v>1</v>
      </c>
      <c r="M2383" s="3">
        <f t="shared" si="504"/>
        <v>0</v>
      </c>
      <c r="N2383" s="3" t="str">
        <f t="shared" si="505"/>
        <v>01</v>
      </c>
      <c r="O2383" s="14" t="str">
        <f t="shared" si="506"/>
        <v>00</v>
      </c>
    </row>
    <row r="2384" spans="1:23" hidden="1">
      <c r="J2384" s="1" t="str">
        <f t="shared" si="501"/>
        <v>0</v>
      </c>
      <c r="K2384" s="3">
        <f t="shared" si="502"/>
        <v>-100</v>
      </c>
      <c r="L2384" s="3">
        <f t="shared" si="503"/>
        <v>1</v>
      </c>
      <c r="M2384" s="3">
        <f t="shared" si="504"/>
        <v>0</v>
      </c>
      <c r="N2384" s="3" t="str">
        <f t="shared" si="505"/>
        <v>01</v>
      </c>
      <c r="O2384" s="14" t="str">
        <f t="shared" si="506"/>
        <v>00</v>
      </c>
    </row>
    <row r="2385" spans="1:23" hidden="1">
      <c r="J2385" s="1" t="str">
        <f t="shared" si="501"/>
        <v>0</v>
      </c>
      <c r="K2385" s="3">
        <f t="shared" si="502"/>
        <v>-100</v>
      </c>
      <c r="L2385" s="3">
        <f t="shared" si="503"/>
        <v>1</v>
      </c>
      <c r="M2385" s="3">
        <f t="shared" si="504"/>
        <v>0</v>
      </c>
      <c r="N2385" s="3" t="str">
        <f t="shared" si="505"/>
        <v>01</v>
      </c>
      <c r="O2385" s="14" t="str">
        <f t="shared" si="506"/>
        <v>00</v>
      </c>
    </row>
    <row r="2386" spans="1:23" hidden="1">
      <c r="J2386" s="1" t="str">
        <f t="shared" si="501"/>
        <v>0</v>
      </c>
      <c r="K2386" s="3">
        <f t="shared" si="502"/>
        <v>-100</v>
      </c>
      <c r="L2386" s="3">
        <f t="shared" si="503"/>
        <v>1</v>
      </c>
      <c r="M2386" s="3">
        <f t="shared" si="504"/>
        <v>0</v>
      </c>
      <c r="N2386" s="3" t="str">
        <f t="shared" si="505"/>
        <v>01</v>
      </c>
      <c r="O2386" s="14" t="str">
        <f t="shared" si="506"/>
        <v>00</v>
      </c>
    </row>
    <row r="2387" spans="1:23">
      <c r="A2387" s="3">
        <v>2317</v>
      </c>
      <c r="B2387" s="1">
        <f>IF(G2387="-",0,IF(G2386=G2387,1,0))</f>
        <v>0</v>
      </c>
      <c r="C2387" s="1">
        <f>+IF(G2387="-",0,IF(I2387=I2386+1,0,(IF(I2387=1,0,1))))</f>
        <v>1</v>
      </c>
      <c r="D2387" s="1">
        <f>+IF(AND(P2387="",Q2387=""),1,0)</f>
        <v>0</v>
      </c>
      <c r="E2387" s="1">
        <f>IF(U2387="",1,0)</f>
        <v>1</v>
      </c>
      <c r="F2387" s="1">
        <f>IF(V2387="",1,0)</f>
        <v>0</v>
      </c>
      <c r="G2387" s="1" t="str">
        <f>IF(H2387=0,"-",_xlfn.CONCAT(K2387,N2387,O2387,J2387))</f>
        <v>24102007</v>
      </c>
      <c r="H2387" s="2">
        <v>45585</v>
      </c>
      <c r="I2387" s="36">
        <v>7</v>
      </c>
      <c r="J2387" s="1" t="str">
        <f t="shared" si="501"/>
        <v>07</v>
      </c>
      <c r="K2387" s="3">
        <f t="shared" si="502"/>
        <v>24</v>
      </c>
      <c r="L2387" s="3">
        <f t="shared" si="503"/>
        <v>10</v>
      </c>
      <c r="M2387" s="3">
        <f t="shared" si="504"/>
        <v>20</v>
      </c>
      <c r="N2387" s="3">
        <f t="shared" si="505"/>
        <v>10</v>
      </c>
      <c r="O2387" s="14">
        <f t="shared" si="506"/>
        <v>20</v>
      </c>
      <c r="P2387" s="4">
        <v>333509.34999999998</v>
      </c>
      <c r="T2387" s="5" t="s">
        <v>1024</v>
      </c>
      <c r="V2387" s="3" t="s">
        <v>4</v>
      </c>
    </row>
    <row r="2388" spans="1:23" hidden="1">
      <c r="J2388" s="1" t="str">
        <f t="shared" si="501"/>
        <v>0</v>
      </c>
      <c r="K2388" s="3">
        <f t="shared" si="502"/>
        <v>-100</v>
      </c>
      <c r="L2388" s="3">
        <f t="shared" si="503"/>
        <v>1</v>
      </c>
      <c r="M2388" s="3">
        <f t="shared" si="504"/>
        <v>0</v>
      </c>
      <c r="N2388" s="3" t="str">
        <f t="shared" si="505"/>
        <v>01</v>
      </c>
      <c r="O2388" s="14" t="str">
        <f t="shared" si="506"/>
        <v>00</v>
      </c>
      <c r="T2388" s="34"/>
    </row>
    <row r="2389" spans="1:23" hidden="1">
      <c r="J2389" s="1" t="str">
        <f t="shared" si="501"/>
        <v>0</v>
      </c>
      <c r="K2389" s="3">
        <f t="shared" si="502"/>
        <v>-100</v>
      </c>
      <c r="L2389" s="3">
        <f t="shared" si="503"/>
        <v>1</v>
      </c>
      <c r="M2389" s="3">
        <f t="shared" si="504"/>
        <v>0</v>
      </c>
      <c r="N2389" s="3" t="str">
        <f t="shared" si="505"/>
        <v>01</v>
      </c>
      <c r="O2389" s="14" t="str">
        <f t="shared" si="506"/>
        <v>00</v>
      </c>
      <c r="T2389" s="29"/>
    </row>
    <row r="2390" spans="1:23" hidden="1">
      <c r="J2390" s="1" t="str">
        <f t="shared" si="501"/>
        <v>0</v>
      </c>
      <c r="K2390" s="3">
        <f t="shared" si="502"/>
        <v>-100</v>
      </c>
      <c r="L2390" s="3">
        <f t="shared" si="503"/>
        <v>1</v>
      </c>
      <c r="M2390" s="3">
        <f t="shared" si="504"/>
        <v>0</v>
      </c>
      <c r="N2390" s="3" t="str">
        <f t="shared" si="505"/>
        <v>01</v>
      </c>
      <c r="O2390" s="14" t="str">
        <f t="shared" si="506"/>
        <v>00</v>
      </c>
      <c r="T2390" s="29"/>
    </row>
    <row r="2391" spans="1:23">
      <c r="A2391" s="3">
        <v>2348</v>
      </c>
      <c r="B2391" s="1">
        <f>IF(G2391="-",0,IF(G2390=G2391,1,0))</f>
        <v>0</v>
      </c>
      <c r="C2391" s="1">
        <f>+IF(G2391="-",0,IF(I2391=I2390+1,0,(IF(I2391=1,0,1))))</f>
        <v>0</v>
      </c>
      <c r="D2391" s="1">
        <f>+IF(AND(P2391="",Q2391=""),1,0)</f>
        <v>0</v>
      </c>
      <c r="E2391" s="1">
        <f>IF(U2391="",1,0)</f>
        <v>1</v>
      </c>
      <c r="F2391" s="1">
        <f>IF(V2391="",1,0)</f>
        <v>0</v>
      </c>
      <c r="G2391" s="1" t="str">
        <f>IF(H2391=0,"-",_xlfn.CONCAT(K2391,N2391,O2391,J2391))</f>
        <v>24102501</v>
      </c>
      <c r="H2391" s="2">
        <v>45590</v>
      </c>
      <c r="I2391" s="36">
        <v>1</v>
      </c>
      <c r="J2391" s="1" t="str">
        <f t="shared" si="501"/>
        <v>01</v>
      </c>
      <c r="K2391" s="3">
        <f t="shared" si="502"/>
        <v>24</v>
      </c>
      <c r="L2391" s="3">
        <f t="shared" si="503"/>
        <v>10</v>
      </c>
      <c r="M2391" s="3">
        <f t="shared" si="504"/>
        <v>25</v>
      </c>
      <c r="N2391" s="3">
        <f t="shared" si="505"/>
        <v>10</v>
      </c>
      <c r="O2391" s="14">
        <f t="shared" si="506"/>
        <v>25</v>
      </c>
      <c r="P2391" s="4">
        <v>115795</v>
      </c>
      <c r="T2391" s="5" t="s">
        <v>996</v>
      </c>
      <c r="V2391" s="3" t="s">
        <v>4</v>
      </c>
      <c r="W2391" s="3" t="s">
        <v>72</v>
      </c>
    </row>
    <row r="2392" spans="1:23" hidden="1">
      <c r="J2392" s="1" t="str">
        <f t="shared" si="501"/>
        <v>0</v>
      </c>
      <c r="K2392" s="3">
        <f t="shared" si="502"/>
        <v>-100</v>
      </c>
      <c r="L2392" s="3">
        <f t="shared" si="503"/>
        <v>1</v>
      </c>
      <c r="M2392" s="3">
        <f t="shared" si="504"/>
        <v>0</v>
      </c>
      <c r="N2392" s="3" t="str">
        <f t="shared" si="505"/>
        <v>01</v>
      </c>
      <c r="O2392" s="14" t="str">
        <f t="shared" si="506"/>
        <v>00</v>
      </c>
      <c r="T2392" s="29"/>
    </row>
    <row r="2393" spans="1:23" hidden="1">
      <c r="J2393" s="1" t="str">
        <f t="shared" si="501"/>
        <v>0</v>
      </c>
      <c r="K2393" s="3">
        <f t="shared" si="502"/>
        <v>-100</v>
      </c>
      <c r="L2393" s="3">
        <f t="shared" si="503"/>
        <v>1</v>
      </c>
      <c r="M2393" s="3">
        <f t="shared" si="504"/>
        <v>0</v>
      </c>
      <c r="N2393" s="3" t="str">
        <f t="shared" si="505"/>
        <v>01</v>
      </c>
      <c r="O2393" s="14" t="str">
        <f t="shared" si="506"/>
        <v>00</v>
      </c>
      <c r="T2393" s="29"/>
    </row>
    <row r="2394" spans="1:23" hidden="1">
      <c r="J2394" s="1" t="str">
        <f t="shared" si="501"/>
        <v>0</v>
      </c>
      <c r="K2394" s="3">
        <f t="shared" si="502"/>
        <v>-100</v>
      </c>
      <c r="L2394" s="3">
        <f t="shared" si="503"/>
        <v>1</v>
      </c>
      <c r="M2394" s="3">
        <f t="shared" si="504"/>
        <v>0</v>
      </c>
      <c r="N2394" s="3" t="str">
        <f t="shared" si="505"/>
        <v>01</v>
      </c>
      <c r="O2394" s="14" t="str">
        <f t="shared" si="506"/>
        <v>00</v>
      </c>
      <c r="T2394" s="32"/>
    </row>
    <row r="2395" spans="1:23" hidden="1">
      <c r="J2395" s="1" t="str">
        <f t="shared" si="501"/>
        <v>0</v>
      </c>
      <c r="K2395" s="3">
        <f t="shared" si="502"/>
        <v>-100</v>
      </c>
      <c r="L2395" s="3">
        <f t="shared" si="503"/>
        <v>1</v>
      </c>
      <c r="M2395" s="3">
        <f t="shared" si="504"/>
        <v>0</v>
      </c>
      <c r="N2395" s="3" t="str">
        <f t="shared" si="505"/>
        <v>01</v>
      </c>
      <c r="O2395" s="14" t="str">
        <f t="shared" si="506"/>
        <v>00</v>
      </c>
      <c r="T2395" s="32"/>
    </row>
    <row r="2396" spans="1:23">
      <c r="A2396" s="3">
        <v>2353</v>
      </c>
      <c r="B2396" s="1">
        <f>IF(G2396="-",0,IF(G2395=G2396,1,0))</f>
        <v>0</v>
      </c>
      <c r="C2396" s="1">
        <f>+IF(G2396="-",0,IF(I2396=I2395+1,0,(IF(I2396=1,0,1))))</f>
        <v>1</v>
      </c>
      <c r="D2396" s="1">
        <f>+IF(AND(P2396="",Q2396=""),1,0)</f>
        <v>0</v>
      </c>
      <c r="E2396" s="1">
        <f>IF(U2396="",1,0)</f>
        <v>1</v>
      </c>
      <c r="F2396" s="1">
        <f>IF(V2396="",1,0)</f>
        <v>0</v>
      </c>
      <c r="G2396" s="1" t="str">
        <f>IF(H2396=0,"-",_xlfn.CONCAT(K2396,N2396,O2396,J2396))</f>
        <v>24102506</v>
      </c>
      <c r="H2396" s="2">
        <v>45590</v>
      </c>
      <c r="I2396" s="36">
        <v>6</v>
      </c>
      <c r="J2396" s="1" t="str">
        <f t="shared" si="501"/>
        <v>06</v>
      </c>
      <c r="K2396" s="3">
        <f t="shared" si="502"/>
        <v>24</v>
      </c>
      <c r="L2396" s="3">
        <f t="shared" si="503"/>
        <v>10</v>
      </c>
      <c r="M2396" s="3">
        <f t="shared" si="504"/>
        <v>25</v>
      </c>
      <c r="N2396" s="3">
        <f t="shared" si="505"/>
        <v>10</v>
      </c>
      <c r="O2396" s="14">
        <f t="shared" si="506"/>
        <v>25</v>
      </c>
      <c r="P2396" s="4">
        <v>16250</v>
      </c>
      <c r="T2396" s="5" t="s">
        <v>1051</v>
      </c>
      <c r="V2396" s="3" t="s">
        <v>4</v>
      </c>
      <c r="W2396" s="3" t="s">
        <v>72</v>
      </c>
    </row>
    <row r="2397" spans="1:23">
      <c r="A2397" s="3">
        <v>2354</v>
      </c>
      <c r="B2397" s="1">
        <f>IF(G2397="-",0,IF(G2396=G2397,1,0))</f>
        <v>0</v>
      </c>
      <c r="C2397" s="1">
        <f>+IF(G2397="-",0,IF(I2397=I2396+1,0,(IF(I2397=1,0,1))))</f>
        <v>0</v>
      </c>
      <c r="D2397" s="1">
        <f>+IF(AND(P2397="",Q2397=""),1,0)</f>
        <v>0</v>
      </c>
      <c r="E2397" s="1">
        <f>IF(U2397="",1,0)</f>
        <v>0</v>
      </c>
      <c r="F2397" s="1">
        <f>IF(V2397="",1,0)</f>
        <v>0</v>
      </c>
      <c r="G2397" s="1" t="str">
        <f>IF(H2397=0,"-",_xlfn.CONCAT(K2397,N2397,O2397,J2397))</f>
        <v>24102507</v>
      </c>
      <c r="H2397" s="2">
        <v>45590</v>
      </c>
      <c r="I2397" s="36">
        <v>7</v>
      </c>
      <c r="J2397" s="1" t="str">
        <f t="shared" si="501"/>
        <v>07</v>
      </c>
      <c r="K2397" s="3">
        <f t="shared" si="502"/>
        <v>24</v>
      </c>
      <c r="L2397" s="3">
        <f t="shared" si="503"/>
        <v>10</v>
      </c>
      <c r="M2397" s="3">
        <f t="shared" si="504"/>
        <v>25</v>
      </c>
      <c r="N2397" s="3">
        <f t="shared" si="505"/>
        <v>10</v>
      </c>
      <c r="O2397" s="14">
        <f t="shared" si="506"/>
        <v>25</v>
      </c>
      <c r="P2397" s="4">
        <v>204176.07</v>
      </c>
      <c r="T2397" s="5" t="s">
        <v>1048</v>
      </c>
      <c r="U2397" s="3" t="s">
        <v>1</v>
      </c>
      <c r="V2397" s="3" t="s">
        <v>4</v>
      </c>
    </row>
    <row r="2398" spans="1:23" hidden="1">
      <c r="J2398" s="1" t="str">
        <f t="shared" si="501"/>
        <v>0</v>
      </c>
      <c r="K2398" s="3">
        <f t="shared" si="502"/>
        <v>-100</v>
      </c>
      <c r="L2398" s="3">
        <f t="shared" si="503"/>
        <v>1</v>
      </c>
      <c r="M2398" s="3">
        <f t="shared" si="504"/>
        <v>0</v>
      </c>
      <c r="N2398" s="3" t="str">
        <f t="shared" si="505"/>
        <v>01</v>
      </c>
      <c r="O2398" s="14" t="str">
        <f t="shared" si="506"/>
        <v>00</v>
      </c>
      <c r="T2398" s="32"/>
    </row>
    <row r="2399" spans="1:23" hidden="1">
      <c r="J2399" s="1" t="str">
        <f t="shared" si="501"/>
        <v>0</v>
      </c>
      <c r="K2399" s="3">
        <f t="shared" si="502"/>
        <v>-100</v>
      </c>
      <c r="L2399" s="3">
        <f t="shared" si="503"/>
        <v>1</v>
      </c>
      <c r="M2399" s="3">
        <f t="shared" si="504"/>
        <v>0</v>
      </c>
      <c r="N2399" s="3" t="str">
        <f t="shared" si="505"/>
        <v>01</v>
      </c>
      <c r="O2399" s="14" t="str">
        <f t="shared" si="506"/>
        <v>00</v>
      </c>
      <c r="T2399" s="32"/>
    </row>
    <row r="2400" spans="1:23" hidden="1">
      <c r="J2400" s="1" t="str">
        <f t="shared" si="501"/>
        <v>0</v>
      </c>
      <c r="K2400" s="3">
        <f t="shared" si="502"/>
        <v>-100</v>
      </c>
      <c r="L2400" s="3">
        <f t="shared" si="503"/>
        <v>1</v>
      </c>
      <c r="M2400" s="3">
        <f t="shared" si="504"/>
        <v>0</v>
      </c>
      <c r="N2400" s="3" t="str">
        <f t="shared" si="505"/>
        <v>01</v>
      </c>
      <c r="O2400" s="14" t="str">
        <f t="shared" si="506"/>
        <v>00</v>
      </c>
      <c r="T2400" s="32"/>
    </row>
    <row r="2401" spans="1:23" hidden="1">
      <c r="J2401" s="1" t="str">
        <f t="shared" si="501"/>
        <v>0</v>
      </c>
      <c r="K2401" s="3">
        <f t="shared" si="502"/>
        <v>-100</v>
      </c>
      <c r="L2401" s="3">
        <f t="shared" si="503"/>
        <v>1</v>
      </c>
      <c r="M2401" s="3">
        <f t="shared" si="504"/>
        <v>0</v>
      </c>
      <c r="N2401" s="3" t="str">
        <f t="shared" si="505"/>
        <v>01</v>
      </c>
      <c r="O2401" s="14" t="str">
        <f t="shared" si="506"/>
        <v>00</v>
      </c>
      <c r="T2401" s="32"/>
    </row>
    <row r="2402" spans="1:23" hidden="1">
      <c r="J2402" s="1" t="str">
        <f t="shared" ref="J2402:J2465" si="508">+IF(I2402&lt;10,_xlfn.CONCAT("0",I2402),I2402)</f>
        <v>0</v>
      </c>
      <c r="K2402" s="3">
        <f t="shared" ref="K2402:K2465" si="509">+YEAR(H2402)-2000</f>
        <v>-100</v>
      </c>
      <c r="L2402" s="3">
        <f t="shared" ref="L2402:L2465" si="510">+MONTH(H2402)</f>
        <v>1</v>
      </c>
      <c r="M2402" s="3">
        <f t="shared" ref="M2402:M2465" si="511">+DAY(H2402)</f>
        <v>0</v>
      </c>
      <c r="N2402" s="3" t="str">
        <f t="shared" ref="N2402:N2465" si="512">+IF(L2402&lt;10,_xlfn.CONCAT("0",L2402),L2402)</f>
        <v>01</v>
      </c>
      <c r="O2402" s="14" t="str">
        <f t="shared" ref="O2402:O2465" si="513">+IF(M2402&lt;10,_xlfn.CONCAT("0",M2402),M2402)</f>
        <v>00</v>
      </c>
      <c r="T2402" s="32"/>
    </row>
    <row r="2403" spans="1:23" hidden="1">
      <c r="J2403" s="1" t="str">
        <f t="shared" si="508"/>
        <v>0</v>
      </c>
      <c r="K2403" s="3">
        <f t="shared" si="509"/>
        <v>-100</v>
      </c>
      <c r="L2403" s="3">
        <f t="shared" si="510"/>
        <v>1</v>
      </c>
      <c r="M2403" s="3">
        <f t="shared" si="511"/>
        <v>0</v>
      </c>
      <c r="N2403" s="3" t="str">
        <f t="shared" si="512"/>
        <v>01</v>
      </c>
      <c r="O2403" s="14" t="str">
        <f t="shared" si="513"/>
        <v>00</v>
      </c>
      <c r="T2403" s="32"/>
    </row>
    <row r="2404" spans="1:23" hidden="1">
      <c r="J2404" s="1" t="str">
        <f t="shared" si="508"/>
        <v>0</v>
      </c>
      <c r="K2404" s="3">
        <f t="shared" si="509"/>
        <v>-100</v>
      </c>
      <c r="L2404" s="3">
        <f t="shared" si="510"/>
        <v>1</v>
      </c>
      <c r="M2404" s="3">
        <f t="shared" si="511"/>
        <v>0</v>
      </c>
      <c r="N2404" s="3" t="str">
        <f t="shared" si="512"/>
        <v>01</v>
      </c>
      <c r="O2404" s="14" t="str">
        <f t="shared" si="513"/>
        <v>00</v>
      </c>
      <c r="T2404" s="32"/>
    </row>
    <row r="2405" spans="1:23">
      <c r="A2405" s="3">
        <v>2823</v>
      </c>
      <c r="B2405" s="1">
        <f>IF(G2405="-",0,IF(G2404=G2405,1,0))</f>
        <v>0</v>
      </c>
      <c r="C2405" s="1">
        <f>+IF(G2405="-",0,IF(I2405=I2404+1,0,(IF(I2405=1,0,1))))</f>
        <v>1</v>
      </c>
      <c r="D2405" s="1">
        <f>+IF(AND(P2405="",Q2405=""),1,0)</f>
        <v>0</v>
      </c>
      <c r="E2405" s="1">
        <f>IF(U2405="",1,0)</f>
        <v>0</v>
      </c>
      <c r="F2405" s="1">
        <f>IF(V2405="",1,0)</f>
        <v>0</v>
      </c>
      <c r="G2405" s="1" t="str">
        <f>IF(H2405=0,"-",_xlfn.CONCAT(K2405,N2405,O2405,J2405))</f>
        <v>24102512</v>
      </c>
      <c r="H2405" s="2">
        <v>45590</v>
      </c>
      <c r="I2405" s="36">
        <v>12</v>
      </c>
      <c r="J2405" s="1">
        <f t="shared" si="508"/>
        <v>12</v>
      </c>
      <c r="K2405" s="3">
        <f t="shared" si="509"/>
        <v>24</v>
      </c>
      <c r="L2405" s="3">
        <f t="shared" si="510"/>
        <v>10</v>
      </c>
      <c r="M2405" s="3">
        <f t="shared" si="511"/>
        <v>25</v>
      </c>
      <c r="N2405" s="3">
        <f t="shared" si="512"/>
        <v>10</v>
      </c>
      <c r="O2405" s="14">
        <f t="shared" si="513"/>
        <v>25</v>
      </c>
      <c r="P2405" s="4">
        <v>25000</v>
      </c>
      <c r="T2405" s="5" t="s">
        <v>1238</v>
      </c>
      <c r="U2405" s="3" t="s">
        <v>2</v>
      </c>
      <c r="V2405" s="3" t="s">
        <v>4</v>
      </c>
    </row>
    <row r="2406" spans="1:23">
      <c r="A2406" s="3">
        <v>2362</v>
      </c>
      <c r="B2406" s="1">
        <f>IF(G2406="-",0,IF(G2405=G2406,1,0))</f>
        <v>0</v>
      </c>
      <c r="C2406" s="1">
        <f>+IF(G2406="-",0,IF(I2406=I2405+1,0,(IF(I2406=1,0,1))))</f>
        <v>1</v>
      </c>
      <c r="D2406" s="1">
        <f>+IF(AND(P2406="",Q2406=""),1,0)</f>
        <v>0</v>
      </c>
      <c r="E2406" s="1">
        <f>IF(U2406="",1,0)</f>
        <v>0</v>
      </c>
      <c r="F2406" s="1">
        <f>IF(V2406="",1,0)</f>
        <v>0</v>
      </c>
      <c r="G2406" s="1" t="str">
        <f>IF(H2406=0,"-",_xlfn.CONCAT(K2406,N2406,O2406,J2406))</f>
        <v>24102604</v>
      </c>
      <c r="H2406" s="2">
        <v>45591</v>
      </c>
      <c r="I2406" s="36">
        <v>4</v>
      </c>
      <c r="J2406" s="1" t="str">
        <f t="shared" si="508"/>
        <v>04</v>
      </c>
      <c r="K2406" s="3">
        <f t="shared" si="509"/>
        <v>24</v>
      </c>
      <c r="L2406" s="3">
        <f t="shared" si="510"/>
        <v>10</v>
      </c>
      <c r="M2406" s="3">
        <f t="shared" si="511"/>
        <v>26</v>
      </c>
      <c r="N2406" s="3">
        <f t="shared" si="512"/>
        <v>10</v>
      </c>
      <c r="O2406" s="14">
        <f t="shared" si="513"/>
        <v>26</v>
      </c>
      <c r="P2406" s="4">
        <v>120000</v>
      </c>
      <c r="T2406" s="29" t="s">
        <v>984</v>
      </c>
      <c r="U2406" s="3" t="s">
        <v>1</v>
      </c>
      <c r="V2406" s="3" t="s">
        <v>4</v>
      </c>
      <c r="W2406" s="3" t="s">
        <v>976</v>
      </c>
    </row>
    <row r="2407" spans="1:23" hidden="1">
      <c r="J2407" s="1" t="str">
        <f t="shared" si="508"/>
        <v>0</v>
      </c>
      <c r="K2407" s="3">
        <f t="shared" si="509"/>
        <v>-100</v>
      </c>
      <c r="L2407" s="3">
        <f t="shared" si="510"/>
        <v>1</v>
      </c>
      <c r="M2407" s="3">
        <f t="shared" si="511"/>
        <v>0</v>
      </c>
      <c r="N2407" s="3" t="str">
        <f t="shared" si="512"/>
        <v>01</v>
      </c>
      <c r="O2407" s="14" t="str">
        <f t="shared" si="513"/>
        <v>00</v>
      </c>
      <c r="T2407" s="33"/>
    </row>
    <row r="2408" spans="1:23" hidden="1">
      <c r="J2408" s="1" t="str">
        <f t="shared" si="508"/>
        <v>0</v>
      </c>
      <c r="K2408" s="3">
        <f t="shared" si="509"/>
        <v>-100</v>
      </c>
      <c r="L2408" s="3">
        <f t="shared" si="510"/>
        <v>1</v>
      </c>
      <c r="M2408" s="3">
        <f t="shared" si="511"/>
        <v>0</v>
      </c>
      <c r="N2408" s="3" t="str">
        <f t="shared" si="512"/>
        <v>01</v>
      </c>
      <c r="O2408" s="14" t="str">
        <f t="shared" si="513"/>
        <v>00</v>
      </c>
      <c r="T2408" s="33"/>
    </row>
    <row r="2409" spans="1:23">
      <c r="A2409" s="3">
        <v>2367</v>
      </c>
      <c r="B2409" s="1">
        <f>IF(G2409="-",0,IF(G2408=G2409,1,0))</f>
        <v>0</v>
      </c>
      <c r="C2409" s="1">
        <f>+IF(G2409="-",0,IF(I2409=I2408+1,0,(IF(I2409=1,0,1))))</f>
        <v>1</v>
      </c>
      <c r="D2409" s="1">
        <f>+IF(AND(P2409="",Q2409=""),1,0)</f>
        <v>0</v>
      </c>
      <c r="E2409" s="1">
        <f>IF(U2409="",1,0)</f>
        <v>0</v>
      </c>
      <c r="F2409" s="1">
        <f>IF(V2409="",1,0)</f>
        <v>0</v>
      </c>
      <c r="G2409" s="1" t="str">
        <f>IF(H2409=0,"-",_xlfn.CONCAT(K2409,N2409,O2409,J2409))</f>
        <v>24102609</v>
      </c>
      <c r="H2409" s="2">
        <v>45591</v>
      </c>
      <c r="I2409" s="36">
        <v>9</v>
      </c>
      <c r="J2409" s="1" t="str">
        <f t="shared" si="508"/>
        <v>09</v>
      </c>
      <c r="K2409" s="3">
        <f t="shared" si="509"/>
        <v>24</v>
      </c>
      <c r="L2409" s="3">
        <f t="shared" si="510"/>
        <v>10</v>
      </c>
      <c r="M2409" s="3">
        <f t="shared" si="511"/>
        <v>26</v>
      </c>
      <c r="N2409" s="3">
        <f t="shared" si="512"/>
        <v>10</v>
      </c>
      <c r="O2409" s="14">
        <f t="shared" si="513"/>
        <v>26</v>
      </c>
      <c r="P2409" s="4">
        <v>150000</v>
      </c>
      <c r="T2409" s="32" t="s">
        <v>989</v>
      </c>
      <c r="U2409" s="3" t="s">
        <v>1</v>
      </c>
      <c r="V2409" s="3" t="s">
        <v>4</v>
      </c>
    </row>
    <row r="2410" spans="1:23" hidden="1">
      <c r="J2410" s="1" t="str">
        <f t="shared" si="508"/>
        <v>0</v>
      </c>
      <c r="K2410" s="3">
        <f t="shared" si="509"/>
        <v>-100</v>
      </c>
      <c r="L2410" s="3">
        <f t="shared" si="510"/>
        <v>1</v>
      </c>
      <c r="M2410" s="3">
        <f t="shared" si="511"/>
        <v>0</v>
      </c>
      <c r="N2410" s="3" t="str">
        <f t="shared" si="512"/>
        <v>01</v>
      </c>
      <c r="O2410" s="14" t="str">
        <f t="shared" si="513"/>
        <v>00</v>
      </c>
    </row>
    <row r="2411" spans="1:23" hidden="1">
      <c r="J2411" s="1" t="str">
        <f t="shared" si="508"/>
        <v>0</v>
      </c>
      <c r="K2411" s="3">
        <f t="shared" si="509"/>
        <v>-100</v>
      </c>
      <c r="L2411" s="3">
        <f t="shared" si="510"/>
        <v>1</v>
      </c>
      <c r="M2411" s="3">
        <f t="shared" si="511"/>
        <v>0</v>
      </c>
      <c r="N2411" s="3" t="str">
        <f t="shared" si="512"/>
        <v>01</v>
      </c>
      <c r="O2411" s="14" t="str">
        <f t="shared" si="513"/>
        <v>00</v>
      </c>
    </row>
    <row r="2412" spans="1:23" hidden="1">
      <c r="J2412" s="1" t="str">
        <f t="shared" si="508"/>
        <v>0</v>
      </c>
      <c r="K2412" s="3">
        <f t="shared" si="509"/>
        <v>-100</v>
      </c>
      <c r="L2412" s="3">
        <f t="shared" si="510"/>
        <v>1</v>
      </c>
      <c r="M2412" s="3">
        <f t="shared" si="511"/>
        <v>0</v>
      </c>
      <c r="N2412" s="3" t="str">
        <f t="shared" si="512"/>
        <v>01</v>
      </c>
      <c r="O2412" s="14" t="str">
        <f t="shared" si="513"/>
        <v>00</v>
      </c>
    </row>
    <row r="2413" spans="1:23" hidden="1">
      <c r="J2413" s="1" t="str">
        <f t="shared" si="508"/>
        <v>0</v>
      </c>
      <c r="K2413" s="3">
        <f t="shared" si="509"/>
        <v>-100</v>
      </c>
      <c r="L2413" s="3">
        <f t="shared" si="510"/>
        <v>1</v>
      </c>
      <c r="M2413" s="3">
        <f t="shared" si="511"/>
        <v>0</v>
      </c>
      <c r="N2413" s="3" t="str">
        <f t="shared" si="512"/>
        <v>01</v>
      </c>
      <c r="O2413" s="14" t="str">
        <f t="shared" si="513"/>
        <v>00</v>
      </c>
    </row>
    <row r="2414" spans="1:23" hidden="1">
      <c r="J2414" s="1" t="str">
        <f t="shared" si="508"/>
        <v>0</v>
      </c>
      <c r="K2414" s="3">
        <f t="shared" si="509"/>
        <v>-100</v>
      </c>
      <c r="L2414" s="3">
        <f t="shared" si="510"/>
        <v>1</v>
      </c>
      <c r="M2414" s="3">
        <f t="shared" si="511"/>
        <v>0</v>
      </c>
      <c r="N2414" s="3" t="str">
        <f t="shared" si="512"/>
        <v>01</v>
      </c>
      <c r="O2414" s="14" t="str">
        <f t="shared" si="513"/>
        <v>00</v>
      </c>
    </row>
    <row r="2415" spans="1:23" hidden="1">
      <c r="J2415" s="1" t="str">
        <f t="shared" si="508"/>
        <v>0</v>
      </c>
      <c r="K2415" s="3">
        <f t="shared" si="509"/>
        <v>-100</v>
      </c>
      <c r="L2415" s="3">
        <f t="shared" si="510"/>
        <v>1</v>
      </c>
      <c r="M2415" s="3">
        <f t="shared" si="511"/>
        <v>0</v>
      </c>
      <c r="N2415" s="3" t="str">
        <f t="shared" si="512"/>
        <v>01</v>
      </c>
      <c r="O2415" s="14" t="str">
        <f t="shared" si="513"/>
        <v>00</v>
      </c>
    </row>
    <row r="2416" spans="1:23" hidden="1">
      <c r="J2416" s="1" t="str">
        <f t="shared" si="508"/>
        <v>0</v>
      </c>
      <c r="K2416" s="3">
        <f t="shared" si="509"/>
        <v>-100</v>
      </c>
      <c r="L2416" s="3">
        <f t="shared" si="510"/>
        <v>1</v>
      </c>
      <c r="M2416" s="3">
        <f t="shared" si="511"/>
        <v>0</v>
      </c>
      <c r="N2416" s="3" t="str">
        <f t="shared" si="512"/>
        <v>01</v>
      </c>
      <c r="O2416" s="14" t="str">
        <f t="shared" si="513"/>
        <v>00</v>
      </c>
    </row>
    <row r="2417" spans="1:23" hidden="1">
      <c r="J2417" s="1" t="str">
        <f t="shared" si="508"/>
        <v>0</v>
      </c>
      <c r="K2417" s="3">
        <f t="shared" si="509"/>
        <v>-100</v>
      </c>
      <c r="L2417" s="3">
        <f t="shared" si="510"/>
        <v>1</v>
      </c>
      <c r="M2417" s="3">
        <f t="shared" si="511"/>
        <v>0</v>
      </c>
      <c r="N2417" s="3" t="str">
        <f t="shared" si="512"/>
        <v>01</v>
      </c>
      <c r="O2417" s="14" t="str">
        <f t="shared" si="513"/>
        <v>00</v>
      </c>
    </row>
    <row r="2418" spans="1:23" hidden="1">
      <c r="J2418" s="1" t="str">
        <f t="shared" si="508"/>
        <v>0</v>
      </c>
      <c r="K2418" s="3">
        <f t="shared" si="509"/>
        <v>-100</v>
      </c>
      <c r="L2418" s="3">
        <f t="shared" si="510"/>
        <v>1</v>
      </c>
      <c r="M2418" s="3">
        <f t="shared" si="511"/>
        <v>0</v>
      </c>
      <c r="N2418" s="3" t="str">
        <f t="shared" si="512"/>
        <v>01</v>
      </c>
      <c r="O2418" s="14" t="str">
        <f t="shared" si="513"/>
        <v>00</v>
      </c>
    </row>
    <row r="2419" spans="1:23" hidden="1">
      <c r="J2419" s="1" t="str">
        <f t="shared" si="508"/>
        <v>0</v>
      </c>
      <c r="K2419" s="3">
        <f t="shared" si="509"/>
        <v>-100</v>
      </c>
      <c r="L2419" s="3">
        <f t="shared" si="510"/>
        <v>1</v>
      </c>
      <c r="M2419" s="3">
        <f t="shared" si="511"/>
        <v>0</v>
      </c>
      <c r="N2419" s="3" t="str">
        <f t="shared" si="512"/>
        <v>01</v>
      </c>
      <c r="O2419" s="14" t="str">
        <f t="shared" si="513"/>
        <v>00</v>
      </c>
    </row>
    <row r="2420" spans="1:23" hidden="1">
      <c r="J2420" s="1" t="str">
        <f t="shared" si="508"/>
        <v>0</v>
      </c>
      <c r="K2420" s="3">
        <f t="shared" si="509"/>
        <v>-100</v>
      </c>
      <c r="L2420" s="3">
        <f t="shared" si="510"/>
        <v>1</v>
      </c>
      <c r="M2420" s="3">
        <f t="shared" si="511"/>
        <v>0</v>
      </c>
      <c r="N2420" s="3" t="str">
        <f t="shared" si="512"/>
        <v>01</v>
      </c>
      <c r="O2420" s="14" t="str">
        <f t="shared" si="513"/>
        <v>00</v>
      </c>
    </row>
    <row r="2421" spans="1:23" hidden="1">
      <c r="J2421" s="1" t="str">
        <f t="shared" si="508"/>
        <v>0</v>
      </c>
      <c r="K2421" s="3">
        <f t="shared" si="509"/>
        <v>-100</v>
      </c>
      <c r="L2421" s="3">
        <f t="shared" si="510"/>
        <v>1</v>
      </c>
      <c r="M2421" s="3">
        <f t="shared" si="511"/>
        <v>0</v>
      </c>
      <c r="N2421" s="3" t="str">
        <f t="shared" si="512"/>
        <v>01</v>
      </c>
      <c r="O2421" s="14" t="str">
        <f t="shared" si="513"/>
        <v>00</v>
      </c>
    </row>
    <row r="2422" spans="1:23" hidden="1">
      <c r="J2422" s="1" t="str">
        <f t="shared" si="508"/>
        <v>0</v>
      </c>
      <c r="K2422" s="3">
        <f t="shared" si="509"/>
        <v>-100</v>
      </c>
      <c r="L2422" s="3">
        <f t="shared" si="510"/>
        <v>1</v>
      </c>
      <c r="M2422" s="3">
        <f t="shared" si="511"/>
        <v>0</v>
      </c>
      <c r="N2422" s="3" t="str">
        <f t="shared" si="512"/>
        <v>01</v>
      </c>
      <c r="O2422" s="14" t="str">
        <f t="shared" si="513"/>
        <v>00</v>
      </c>
    </row>
    <row r="2423" spans="1:23" hidden="1">
      <c r="J2423" s="1" t="str">
        <f t="shared" si="508"/>
        <v>0</v>
      </c>
      <c r="K2423" s="3">
        <f t="shared" si="509"/>
        <v>-100</v>
      </c>
      <c r="L2423" s="3">
        <f t="shared" si="510"/>
        <v>1</v>
      </c>
      <c r="M2423" s="3">
        <f t="shared" si="511"/>
        <v>0</v>
      </c>
      <c r="N2423" s="3" t="str">
        <f t="shared" si="512"/>
        <v>01</v>
      </c>
      <c r="O2423" s="14" t="str">
        <f t="shared" si="513"/>
        <v>00</v>
      </c>
    </row>
    <row r="2424" spans="1:23" hidden="1">
      <c r="J2424" s="1" t="str">
        <f t="shared" si="508"/>
        <v>0</v>
      </c>
      <c r="K2424" s="3">
        <f t="shared" si="509"/>
        <v>-100</v>
      </c>
      <c r="L2424" s="3">
        <f t="shared" si="510"/>
        <v>1</v>
      </c>
      <c r="M2424" s="3">
        <f t="shared" si="511"/>
        <v>0</v>
      </c>
      <c r="N2424" s="3" t="str">
        <f t="shared" si="512"/>
        <v>01</v>
      </c>
      <c r="O2424" s="14" t="str">
        <f t="shared" si="513"/>
        <v>00</v>
      </c>
    </row>
    <row r="2425" spans="1:23" hidden="1">
      <c r="J2425" s="1" t="str">
        <f t="shared" si="508"/>
        <v>0</v>
      </c>
      <c r="K2425" s="3">
        <f t="shared" si="509"/>
        <v>-100</v>
      </c>
      <c r="L2425" s="3">
        <f t="shared" si="510"/>
        <v>1</v>
      </c>
      <c r="M2425" s="3">
        <f t="shared" si="511"/>
        <v>0</v>
      </c>
      <c r="N2425" s="3" t="str">
        <f t="shared" si="512"/>
        <v>01</v>
      </c>
      <c r="O2425" s="14" t="str">
        <f t="shared" si="513"/>
        <v>00</v>
      </c>
    </row>
    <row r="2426" spans="1:23" hidden="1">
      <c r="J2426" s="1" t="str">
        <f t="shared" si="508"/>
        <v>0</v>
      </c>
      <c r="K2426" s="3">
        <f t="shared" si="509"/>
        <v>-100</v>
      </c>
      <c r="L2426" s="3">
        <f t="shared" si="510"/>
        <v>1</v>
      </c>
      <c r="M2426" s="3">
        <f t="shared" si="511"/>
        <v>0</v>
      </c>
      <c r="N2426" s="3" t="str">
        <f t="shared" si="512"/>
        <v>01</v>
      </c>
      <c r="O2426" s="14" t="str">
        <f t="shared" si="513"/>
        <v>00</v>
      </c>
    </row>
    <row r="2427" spans="1:23" hidden="1">
      <c r="J2427" s="1" t="str">
        <f t="shared" si="508"/>
        <v>0</v>
      </c>
      <c r="K2427" s="3">
        <f t="shared" si="509"/>
        <v>-100</v>
      </c>
      <c r="L2427" s="3">
        <f t="shared" si="510"/>
        <v>1</v>
      </c>
      <c r="M2427" s="3">
        <f t="shared" si="511"/>
        <v>0</v>
      </c>
      <c r="N2427" s="3" t="str">
        <f t="shared" si="512"/>
        <v>01</v>
      </c>
      <c r="O2427" s="14" t="str">
        <f t="shared" si="513"/>
        <v>00</v>
      </c>
    </row>
    <row r="2428" spans="1:23">
      <c r="A2428" s="3">
        <v>2368</v>
      </c>
      <c r="B2428" s="1">
        <f>IF(G2428="-",0,IF(G2427=G2428,1,0))</f>
        <v>0</v>
      </c>
      <c r="C2428" s="1">
        <f>+IF(G2428="-",0,IF(I2428=I2427+1,0,(IF(I2428=1,0,1))))</f>
        <v>1</v>
      </c>
      <c r="D2428" s="1">
        <f>+IF(AND(P2428="",Q2428=""),1,0)</f>
        <v>0</v>
      </c>
      <c r="E2428" s="1">
        <f>IF(U2428="",1,0)</f>
        <v>0</v>
      </c>
      <c r="F2428" s="1">
        <f>IF(V2428="",1,0)</f>
        <v>0</v>
      </c>
      <c r="G2428" s="1" t="str">
        <f>IF(H2428=0,"-",_xlfn.CONCAT(K2428,N2428,O2428,J2428))</f>
        <v>24102610</v>
      </c>
      <c r="H2428" s="2">
        <v>45591</v>
      </c>
      <c r="I2428" s="36">
        <v>10</v>
      </c>
      <c r="J2428" s="1">
        <f t="shared" si="508"/>
        <v>10</v>
      </c>
      <c r="K2428" s="3">
        <f t="shared" si="509"/>
        <v>24</v>
      </c>
      <c r="L2428" s="3">
        <f t="shared" si="510"/>
        <v>10</v>
      </c>
      <c r="M2428" s="3">
        <f t="shared" si="511"/>
        <v>26</v>
      </c>
      <c r="N2428" s="3">
        <f t="shared" si="512"/>
        <v>10</v>
      </c>
      <c r="O2428" s="14">
        <f t="shared" si="513"/>
        <v>26</v>
      </c>
      <c r="P2428" s="4">
        <v>132000</v>
      </c>
      <c r="T2428" s="32" t="s">
        <v>990</v>
      </c>
      <c r="U2428" s="3" t="s">
        <v>1</v>
      </c>
      <c r="V2428" s="3" t="s">
        <v>4</v>
      </c>
    </row>
    <row r="2429" spans="1:23">
      <c r="A2429" s="3">
        <v>2376</v>
      </c>
      <c r="B2429" s="1">
        <f>IF(G2429="-",0,IF(G2428=G2429,1,0))</f>
        <v>0</v>
      </c>
      <c r="C2429" s="1">
        <f>+IF(G2429="-",0,IF(I2429=I2428+1,0,(IF(I2429=1,0,1))))</f>
        <v>1</v>
      </c>
      <c r="D2429" s="1">
        <f>+IF(AND(P2429="",Q2429=""),1,0)</f>
        <v>0</v>
      </c>
      <c r="E2429" s="1">
        <f>IF(U2429="",1,0)</f>
        <v>0</v>
      </c>
      <c r="F2429" s="1">
        <f>IF(V2429="",1,0)</f>
        <v>0</v>
      </c>
      <c r="G2429" s="1" t="str">
        <f>IF(H2429=0,"-",_xlfn.CONCAT(K2429,N2429,O2429,J2429))</f>
        <v>24102618</v>
      </c>
      <c r="H2429" s="2">
        <v>45591</v>
      </c>
      <c r="I2429" s="36">
        <v>18</v>
      </c>
      <c r="J2429" s="1">
        <f t="shared" si="508"/>
        <v>18</v>
      </c>
      <c r="K2429" s="3">
        <f t="shared" si="509"/>
        <v>24</v>
      </c>
      <c r="L2429" s="3">
        <f t="shared" si="510"/>
        <v>10</v>
      </c>
      <c r="M2429" s="3">
        <f t="shared" si="511"/>
        <v>26</v>
      </c>
      <c r="N2429" s="3">
        <f t="shared" si="512"/>
        <v>10</v>
      </c>
      <c r="O2429" s="14">
        <f t="shared" si="513"/>
        <v>26</v>
      </c>
      <c r="P2429" s="4">
        <v>98416.67</v>
      </c>
      <c r="T2429" s="32" t="s">
        <v>972</v>
      </c>
      <c r="U2429" s="3" t="s">
        <v>1</v>
      </c>
      <c r="V2429" s="3" t="s">
        <v>4</v>
      </c>
      <c r="W2429" s="3" t="s">
        <v>980</v>
      </c>
    </row>
    <row r="2430" spans="1:23" hidden="1">
      <c r="J2430" s="1" t="str">
        <f t="shared" si="508"/>
        <v>0</v>
      </c>
      <c r="K2430" s="3">
        <f t="shared" si="509"/>
        <v>-100</v>
      </c>
      <c r="L2430" s="3">
        <f t="shared" si="510"/>
        <v>1</v>
      </c>
      <c r="M2430" s="3">
        <f t="shared" si="511"/>
        <v>0</v>
      </c>
      <c r="N2430" s="3" t="str">
        <f t="shared" si="512"/>
        <v>01</v>
      </c>
      <c r="O2430" s="14" t="str">
        <f t="shared" si="513"/>
        <v>00</v>
      </c>
    </row>
    <row r="2431" spans="1:23" hidden="1">
      <c r="J2431" s="1" t="str">
        <f t="shared" si="508"/>
        <v>0</v>
      </c>
      <c r="K2431" s="3">
        <f t="shared" si="509"/>
        <v>-100</v>
      </c>
      <c r="L2431" s="3">
        <f t="shared" si="510"/>
        <v>1</v>
      </c>
      <c r="M2431" s="3">
        <f t="shared" si="511"/>
        <v>0</v>
      </c>
      <c r="N2431" s="3" t="str">
        <f t="shared" si="512"/>
        <v>01</v>
      </c>
      <c r="O2431" s="14" t="str">
        <f t="shared" si="513"/>
        <v>00</v>
      </c>
    </row>
    <row r="2432" spans="1:23">
      <c r="A2432" s="3">
        <v>2377</v>
      </c>
      <c r="B2432" s="1">
        <f>IF(G2432="-",0,IF(G2431=G2432,1,0))</f>
        <v>0</v>
      </c>
      <c r="C2432" s="1">
        <f>+IF(G2432="-",0,IF(I2432=I2431+1,0,(IF(I2432=1,0,1))))</f>
        <v>1</v>
      </c>
      <c r="D2432" s="1">
        <f>+IF(AND(P2432="",Q2432=""),1,0)</f>
        <v>0</v>
      </c>
      <c r="E2432" s="1">
        <f>IF(U2432="",1,0)</f>
        <v>0</v>
      </c>
      <c r="F2432" s="1">
        <f>IF(V2432="",1,0)</f>
        <v>0</v>
      </c>
      <c r="G2432" s="1" t="str">
        <f>IF(H2432=0,"-",_xlfn.CONCAT(K2432,N2432,O2432,J2432))</f>
        <v>24102619</v>
      </c>
      <c r="H2432" s="2">
        <v>45591</v>
      </c>
      <c r="I2432" s="36">
        <v>19</v>
      </c>
      <c r="J2432" s="1">
        <f t="shared" si="508"/>
        <v>19</v>
      </c>
      <c r="K2432" s="3">
        <f t="shared" si="509"/>
        <v>24</v>
      </c>
      <c r="L2432" s="3">
        <f t="shared" si="510"/>
        <v>10</v>
      </c>
      <c r="M2432" s="3">
        <f t="shared" si="511"/>
        <v>26</v>
      </c>
      <c r="N2432" s="3">
        <f t="shared" si="512"/>
        <v>10</v>
      </c>
      <c r="O2432" s="14">
        <f t="shared" si="513"/>
        <v>26</v>
      </c>
      <c r="P2432" s="4">
        <v>157416.67000000001</v>
      </c>
      <c r="T2432" s="28" t="s">
        <v>979</v>
      </c>
      <c r="U2432" s="3" t="s">
        <v>1</v>
      </c>
      <c r="V2432" s="3" t="s">
        <v>4</v>
      </c>
      <c r="W2432" s="3" t="s">
        <v>900</v>
      </c>
    </row>
    <row r="2433" spans="1:23" hidden="1">
      <c r="J2433" s="1" t="str">
        <f t="shared" si="508"/>
        <v>0</v>
      </c>
      <c r="K2433" s="3">
        <f t="shared" si="509"/>
        <v>-100</v>
      </c>
      <c r="L2433" s="3">
        <f t="shared" si="510"/>
        <v>1</v>
      </c>
      <c r="M2433" s="3">
        <f t="shared" si="511"/>
        <v>0</v>
      </c>
      <c r="N2433" s="3" t="str">
        <f t="shared" si="512"/>
        <v>01</v>
      </c>
      <c r="O2433" s="14" t="str">
        <f t="shared" si="513"/>
        <v>00</v>
      </c>
    </row>
    <row r="2434" spans="1:23" hidden="1">
      <c r="J2434" s="1" t="str">
        <f t="shared" si="508"/>
        <v>0</v>
      </c>
      <c r="K2434" s="3">
        <f t="shared" si="509"/>
        <v>-100</v>
      </c>
      <c r="L2434" s="3">
        <f t="shared" si="510"/>
        <v>1</v>
      </c>
      <c r="M2434" s="3">
        <f t="shared" si="511"/>
        <v>0</v>
      </c>
      <c r="N2434" s="3" t="str">
        <f t="shared" si="512"/>
        <v>01</v>
      </c>
      <c r="O2434" s="14" t="str">
        <f t="shared" si="513"/>
        <v>00</v>
      </c>
    </row>
    <row r="2435" spans="1:23" hidden="1">
      <c r="J2435" s="1" t="str">
        <f t="shared" si="508"/>
        <v>0</v>
      </c>
      <c r="K2435" s="3">
        <f t="shared" si="509"/>
        <v>-100</v>
      </c>
      <c r="L2435" s="3">
        <f t="shared" si="510"/>
        <v>1</v>
      </c>
      <c r="M2435" s="3">
        <f t="shared" si="511"/>
        <v>0</v>
      </c>
      <c r="N2435" s="3" t="str">
        <f t="shared" si="512"/>
        <v>01</v>
      </c>
      <c r="O2435" s="14" t="str">
        <f t="shared" si="513"/>
        <v>00</v>
      </c>
    </row>
    <row r="2436" spans="1:23" hidden="1">
      <c r="J2436" s="1" t="str">
        <f t="shared" si="508"/>
        <v>0</v>
      </c>
      <c r="K2436" s="3">
        <f t="shared" si="509"/>
        <v>-100</v>
      </c>
      <c r="L2436" s="3">
        <f t="shared" si="510"/>
        <v>1</v>
      </c>
      <c r="M2436" s="3">
        <f t="shared" si="511"/>
        <v>0</v>
      </c>
      <c r="N2436" s="3" t="str">
        <f t="shared" si="512"/>
        <v>01</v>
      </c>
      <c r="O2436" s="14" t="str">
        <f t="shared" si="513"/>
        <v>00</v>
      </c>
    </row>
    <row r="2437" spans="1:23" hidden="1">
      <c r="J2437" s="1" t="str">
        <f t="shared" si="508"/>
        <v>0</v>
      </c>
      <c r="K2437" s="3">
        <f t="shared" si="509"/>
        <v>-100</v>
      </c>
      <c r="L2437" s="3">
        <f t="shared" si="510"/>
        <v>1</v>
      </c>
      <c r="M2437" s="3">
        <f t="shared" si="511"/>
        <v>0</v>
      </c>
      <c r="N2437" s="3" t="str">
        <f t="shared" si="512"/>
        <v>01</v>
      </c>
      <c r="O2437" s="14" t="str">
        <f t="shared" si="513"/>
        <v>00</v>
      </c>
    </row>
    <row r="2438" spans="1:23" hidden="1">
      <c r="J2438" s="1" t="str">
        <f t="shared" si="508"/>
        <v>0</v>
      </c>
      <c r="K2438" s="3">
        <f t="shared" si="509"/>
        <v>-100</v>
      </c>
      <c r="L2438" s="3">
        <f t="shared" si="510"/>
        <v>1</v>
      </c>
      <c r="M2438" s="3">
        <f t="shared" si="511"/>
        <v>0</v>
      </c>
      <c r="N2438" s="3" t="str">
        <f t="shared" si="512"/>
        <v>01</v>
      </c>
      <c r="O2438" s="14" t="str">
        <f t="shared" si="513"/>
        <v>00</v>
      </c>
    </row>
    <row r="2439" spans="1:23" hidden="1">
      <c r="J2439" s="1" t="str">
        <f t="shared" si="508"/>
        <v>0</v>
      </c>
      <c r="K2439" s="3">
        <f t="shared" si="509"/>
        <v>-100</v>
      </c>
      <c r="L2439" s="3">
        <f t="shared" si="510"/>
        <v>1</v>
      </c>
      <c r="M2439" s="3">
        <f t="shared" si="511"/>
        <v>0</v>
      </c>
      <c r="N2439" s="3" t="str">
        <f t="shared" si="512"/>
        <v>01</v>
      </c>
      <c r="O2439" s="14" t="str">
        <f t="shared" si="513"/>
        <v>00</v>
      </c>
    </row>
    <row r="2440" spans="1:23" hidden="1">
      <c r="J2440" s="1" t="str">
        <f t="shared" si="508"/>
        <v>0</v>
      </c>
      <c r="K2440" s="3">
        <f t="shared" si="509"/>
        <v>-100</v>
      </c>
      <c r="L2440" s="3">
        <f t="shared" si="510"/>
        <v>1</v>
      </c>
      <c r="M2440" s="3">
        <f t="shared" si="511"/>
        <v>0</v>
      </c>
      <c r="N2440" s="3" t="str">
        <f t="shared" si="512"/>
        <v>01</v>
      </c>
      <c r="O2440" s="14" t="str">
        <f t="shared" si="513"/>
        <v>00</v>
      </c>
    </row>
    <row r="2441" spans="1:23" hidden="1">
      <c r="J2441" s="1" t="str">
        <f t="shared" si="508"/>
        <v>0</v>
      </c>
      <c r="K2441" s="3">
        <f t="shared" si="509"/>
        <v>-100</v>
      </c>
      <c r="L2441" s="3">
        <f t="shared" si="510"/>
        <v>1</v>
      </c>
      <c r="M2441" s="3">
        <f t="shared" si="511"/>
        <v>0</v>
      </c>
      <c r="N2441" s="3" t="str">
        <f t="shared" si="512"/>
        <v>01</v>
      </c>
      <c r="O2441" s="14" t="str">
        <f t="shared" si="513"/>
        <v>00</v>
      </c>
    </row>
    <row r="2442" spans="1:23" hidden="1">
      <c r="J2442" s="1" t="str">
        <f t="shared" si="508"/>
        <v>0</v>
      </c>
      <c r="K2442" s="3">
        <f t="shared" si="509"/>
        <v>-100</v>
      </c>
      <c r="L2442" s="3">
        <f t="shared" si="510"/>
        <v>1</v>
      </c>
      <c r="M2442" s="3">
        <f t="shared" si="511"/>
        <v>0</v>
      </c>
      <c r="N2442" s="3" t="str">
        <f t="shared" si="512"/>
        <v>01</v>
      </c>
      <c r="O2442" s="14" t="str">
        <f t="shared" si="513"/>
        <v>00</v>
      </c>
    </row>
    <row r="2443" spans="1:23" hidden="1">
      <c r="J2443" s="1" t="str">
        <f t="shared" si="508"/>
        <v>0</v>
      </c>
      <c r="K2443" s="3">
        <f t="shared" si="509"/>
        <v>-100</v>
      </c>
      <c r="L2443" s="3">
        <f t="shared" si="510"/>
        <v>1</v>
      </c>
      <c r="M2443" s="3">
        <f t="shared" si="511"/>
        <v>0</v>
      </c>
      <c r="N2443" s="3" t="str">
        <f t="shared" si="512"/>
        <v>01</v>
      </c>
      <c r="O2443" s="14" t="str">
        <f t="shared" si="513"/>
        <v>00</v>
      </c>
    </row>
    <row r="2444" spans="1:23" hidden="1">
      <c r="J2444" s="1" t="str">
        <f t="shared" si="508"/>
        <v>0</v>
      </c>
      <c r="K2444" s="3">
        <f t="shared" si="509"/>
        <v>-100</v>
      </c>
      <c r="L2444" s="3">
        <f t="shared" si="510"/>
        <v>1</v>
      </c>
      <c r="M2444" s="3">
        <f t="shared" si="511"/>
        <v>0</v>
      </c>
      <c r="N2444" s="3" t="str">
        <f t="shared" si="512"/>
        <v>01</v>
      </c>
      <c r="O2444" s="14" t="str">
        <f t="shared" si="513"/>
        <v>00</v>
      </c>
    </row>
    <row r="2445" spans="1:23" hidden="1">
      <c r="J2445" s="1" t="str">
        <f t="shared" si="508"/>
        <v>0</v>
      </c>
      <c r="K2445" s="3">
        <f t="shared" si="509"/>
        <v>-100</v>
      </c>
      <c r="L2445" s="3">
        <f t="shared" si="510"/>
        <v>1</v>
      </c>
      <c r="M2445" s="3">
        <f t="shared" si="511"/>
        <v>0</v>
      </c>
      <c r="N2445" s="3" t="str">
        <f t="shared" si="512"/>
        <v>01</v>
      </c>
      <c r="O2445" s="14" t="str">
        <f t="shared" si="513"/>
        <v>00</v>
      </c>
    </row>
    <row r="2446" spans="1:23" hidden="1">
      <c r="J2446" s="1" t="str">
        <f t="shared" si="508"/>
        <v>0</v>
      </c>
      <c r="K2446" s="3">
        <f t="shared" si="509"/>
        <v>-100</v>
      </c>
      <c r="L2446" s="3">
        <f t="shared" si="510"/>
        <v>1</v>
      </c>
      <c r="M2446" s="3">
        <f t="shared" si="511"/>
        <v>0</v>
      </c>
      <c r="N2446" s="3" t="str">
        <f t="shared" si="512"/>
        <v>01</v>
      </c>
      <c r="O2446" s="14" t="str">
        <f t="shared" si="513"/>
        <v>00</v>
      </c>
    </row>
    <row r="2447" spans="1:23" hidden="1">
      <c r="J2447" s="1" t="str">
        <f t="shared" si="508"/>
        <v>0</v>
      </c>
      <c r="K2447" s="3">
        <f t="shared" si="509"/>
        <v>-100</v>
      </c>
      <c r="L2447" s="3">
        <f t="shared" si="510"/>
        <v>1</v>
      </c>
      <c r="M2447" s="3">
        <f t="shared" si="511"/>
        <v>0</v>
      </c>
      <c r="N2447" s="3" t="str">
        <f t="shared" si="512"/>
        <v>01</v>
      </c>
      <c r="O2447" s="14" t="str">
        <f t="shared" si="513"/>
        <v>00</v>
      </c>
    </row>
    <row r="2448" spans="1:23">
      <c r="A2448" s="3">
        <v>2380</v>
      </c>
      <c r="B2448" s="1">
        <f>IF(G2448="-",0,IF(G2447=G2448,1,0))</f>
        <v>0</v>
      </c>
      <c r="C2448" s="1">
        <f>+IF(G2448="-",0,IF(I2448=I2447+1,0,(IF(I2448=1,0,1))))</f>
        <v>1</v>
      </c>
      <c r="D2448" s="1">
        <f>+IF(AND(P2448="",Q2448=""),1,0)</f>
        <v>0</v>
      </c>
      <c r="E2448" s="1">
        <f t="shared" ref="E2448:F2450" si="514">IF(U2448="",1,0)</f>
        <v>0</v>
      </c>
      <c r="F2448" s="1">
        <f t="shared" si="514"/>
        <v>0</v>
      </c>
      <c r="G2448" s="1" t="str">
        <f>IF(H2448=0,"-",_xlfn.CONCAT(K2448,N2448,O2448,J2448))</f>
        <v>24102622</v>
      </c>
      <c r="H2448" s="2">
        <v>45591</v>
      </c>
      <c r="I2448" s="36">
        <v>22</v>
      </c>
      <c r="J2448" s="1">
        <f t="shared" si="508"/>
        <v>22</v>
      </c>
      <c r="K2448" s="3">
        <f t="shared" si="509"/>
        <v>24</v>
      </c>
      <c r="L2448" s="3">
        <f t="shared" si="510"/>
        <v>10</v>
      </c>
      <c r="M2448" s="3">
        <f t="shared" si="511"/>
        <v>26</v>
      </c>
      <c r="N2448" s="3">
        <f t="shared" si="512"/>
        <v>10</v>
      </c>
      <c r="O2448" s="14">
        <f t="shared" si="513"/>
        <v>26</v>
      </c>
      <c r="P2448" s="4">
        <v>70000</v>
      </c>
      <c r="T2448" s="33" t="s">
        <v>970</v>
      </c>
      <c r="U2448" s="3" t="s">
        <v>1</v>
      </c>
      <c r="V2448" s="3" t="s">
        <v>4</v>
      </c>
      <c r="W2448" s="3" t="s">
        <v>901</v>
      </c>
    </row>
    <row r="2449" spans="1:22">
      <c r="A2449" s="3">
        <v>2397</v>
      </c>
      <c r="B2449" s="1">
        <f>IF(G2449="-",0,IF(G2448=G2449,1,0))</f>
        <v>0</v>
      </c>
      <c r="C2449" s="1">
        <f>+IF(G2449="-",0,IF(I2449=I2448+1,0,(IF(I2449=1,0,1))))</f>
        <v>0</v>
      </c>
      <c r="D2449" s="1">
        <f>+IF(AND(P2449="",Q2449=""),1,0)</f>
        <v>0</v>
      </c>
      <c r="E2449" s="1">
        <f t="shared" si="514"/>
        <v>1</v>
      </c>
      <c r="F2449" s="1">
        <f t="shared" si="514"/>
        <v>0</v>
      </c>
      <c r="G2449" s="1" t="str">
        <f>IF(H2449=0,"-",_xlfn.CONCAT(K2449,N2449,O2449,J2449))</f>
        <v>24102901</v>
      </c>
      <c r="H2449" s="2">
        <v>45594</v>
      </c>
      <c r="I2449" s="36">
        <v>1</v>
      </c>
      <c r="J2449" s="1" t="str">
        <f t="shared" si="508"/>
        <v>01</v>
      </c>
      <c r="K2449" s="3">
        <f t="shared" si="509"/>
        <v>24</v>
      </c>
      <c r="L2449" s="3">
        <f t="shared" si="510"/>
        <v>10</v>
      </c>
      <c r="M2449" s="3">
        <f t="shared" si="511"/>
        <v>29</v>
      </c>
      <c r="N2449" s="3">
        <f t="shared" si="512"/>
        <v>10</v>
      </c>
      <c r="O2449" s="14">
        <f t="shared" si="513"/>
        <v>29</v>
      </c>
      <c r="P2449" s="4">
        <v>73447.740000000005</v>
      </c>
      <c r="T2449" s="5" t="s">
        <v>1027</v>
      </c>
      <c r="V2449" s="3" t="s">
        <v>4</v>
      </c>
    </row>
    <row r="2450" spans="1:22">
      <c r="A2450" s="3">
        <v>2398</v>
      </c>
      <c r="B2450" s="1">
        <f>IF(G2450="-",0,IF(G2449=G2450,1,0))</f>
        <v>0</v>
      </c>
      <c r="C2450" s="1">
        <f>+IF(G2450="-",0,IF(I2450=I2449+1,0,(IF(I2450=1,0,1))))</f>
        <v>0</v>
      </c>
      <c r="D2450" s="1">
        <f>+IF(AND(P2450="",Q2450=""),1,0)</f>
        <v>0</v>
      </c>
      <c r="E2450" s="1">
        <f t="shared" si="514"/>
        <v>0</v>
      </c>
      <c r="F2450" s="1">
        <f t="shared" si="514"/>
        <v>0</v>
      </c>
      <c r="G2450" s="1" t="str">
        <f>IF(H2450=0,"-",_xlfn.CONCAT(K2450,N2450,O2450,J2450))</f>
        <v>24102902</v>
      </c>
      <c r="H2450" s="2">
        <v>45594</v>
      </c>
      <c r="I2450" s="36">
        <v>2</v>
      </c>
      <c r="J2450" s="1" t="str">
        <f t="shared" si="508"/>
        <v>02</v>
      </c>
      <c r="K2450" s="3">
        <f t="shared" si="509"/>
        <v>24</v>
      </c>
      <c r="L2450" s="3">
        <f t="shared" si="510"/>
        <v>10</v>
      </c>
      <c r="M2450" s="3">
        <f t="shared" si="511"/>
        <v>29</v>
      </c>
      <c r="N2450" s="3">
        <f t="shared" si="512"/>
        <v>10</v>
      </c>
      <c r="O2450" s="14">
        <f t="shared" si="513"/>
        <v>29</v>
      </c>
      <c r="P2450" s="4">
        <v>18950</v>
      </c>
      <c r="T2450" s="5" t="s">
        <v>1028</v>
      </c>
      <c r="U2450" s="3" t="s">
        <v>29</v>
      </c>
      <c r="V2450" s="3" t="s">
        <v>4</v>
      </c>
    </row>
    <row r="2451" spans="1:22" hidden="1">
      <c r="J2451" s="1" t="str">
        <f t="shared" si="508"/>
        <v>0</v>
      </c>
      <c r="K2451" s="3">
        <f t="shared" si="509"/>
        <v>-100</v>
      </c>
      <c r="L2451" s="3">
        <f t="shared" si="510"/>
        <v>1</v>
      </c>
      <c r="M2451" s="3">
        <f t="shared" si="511"/>
        <v>0</v>
      </c>
      <c r="N2451" s="3" t="str">
        <f t="shared" si="512"/>
        <v>01</v>
      </c>
      <c r="O2451" s="14" t="str">
        <f t="shared" si="513"/>
        <v>00</v>
      </c>
      <c r="T2451" s="128"/>
    </row>
    <row r="2452" spans="1:22" hidden="1">
      <c r="J2452" s="1" t="str">
        <f t="shared" si="508"/>
        <v>0</v>
      </c>
      <c r="K2452" s="3">
        <f t="shared" si="509"/>
        <v>-100</v>
      </c>
      <c r="L2452" s="3">
        <f t="shared" si="510"/>
        <v>1</v>
      </c>
      <c r="M2452" s="3">
        <f t="shared" si="511"/>
        <v>0</v>
      </c>
      <c r="N2452" s="3" t="str">
        <f t="shared" si="512"/>
        <v>01</v>
      </c>
      <c r="O2452" s="14" t="str">
        <f t="shared" si="513"/>
        <v>00</v>
      </c>
      <c r="T2452" s="128"/>
    </row>
    <row r="2453" spans="1:22" hidden="1">
      <c r="J2453" s="1" t="str">
        <f t="shared" si="508"/>
        <v>0</v>
      </c>
      <c r="K2453" s="3">
        <f t="shared" si="509"/>
        <v>-100</v>
      </c>
      <c r="L2453" s="3">
        <f t="shared" si="510"/>
        <v>1</v>
      </c>
      <c r="M2453" s="3">
        <f t="shared" si="511"/>
        <v>0</v>
      </c>
      <c r="N2453" s="3" t="str">
        <f t="shared" si="512"/>
        <v>01</v>
      </c>
      <c r="O2453" s="14" t="str">
        <f t="shared" si="513"/>
        <v>00</v>
      </c>
      <c r="T2453" s="128"/>
    </row>
    <row r="2454" spans="1:22" hidden="1">
      <c r="J2454" s="1" t="str">
        <f t="shared" si="508"/>
        <v>0</v>
      </c>
      <c r="K2454" s="3">
        <f t="shared" si="509"/>
        <v>-100</v>
      </c>
      <c r="L2454" s="3">
        <f t="shared" si="510"/>
        <v>1</v>
      </c>
      <c r="M2454" s="3">
        <f t="shared" si="511"/>
        <v>0</v>
      </c>
      <c r="N2454" s="3" t="str">
        <f t="shared" si="512"/>
        <v>01</v>
      </c>
      <c r="O2454" s="14" t="str">
        <f t="shared" si="513"/>
        <v>00</v>
      </c>
      <c r="T2454" s="128"/>
    </row>
    <row r="2455" spans="1:22" hidden="1">
      <c r="J2455" s="1" t="str">
        <f t="shared" si="508"/>
        <v>0</v>
      </c>
      <c r="K2455" s="3">
        <f t="shared" si="509"/>
        <v>-100</v>
      </c>
      <c r="L2455" s="3">
        <f t="shared" si="510"/>
        <v>1</v>
      </c>
      <c r="M2455" s="3">
        <f t="shared" si="511"/>
        <v>0</v>
      </c>
      <c r="N2455" s="3" t="str">
        <f t="shared" si="512"/>
        <v>01</v>
      </c>
      <c r="O2455" s="14" t="str">
        <f t="shared" si="513"/>
        <v>00</v>
      </c>
      <c r="T2455" s="3"/>
    </row>
    <row r="2456" spans="1:22" hidden="1">
      <c r="J2456" s="1" t="str">
        <f t="shared" si="508"/>
        <v>0</v>
      </c>
      <c r="K2456" s="3">
        <f t="shared" si="509"/>
        <v>-100</v>
      </c>
      <c r="L2456" s="3">
        <f t="shared" si="510"/>
        <v>1</v>
      </c>
      <c r="M2456" s="3">
        <f t="shared" si="511"/>
        <v>0</v>
      </c>
      <c r="N2456" s="3" t="str">
        <f t="shared" si="512"/>
        <v>01</v>
      </c>
      <c r="O2456" s="14" t="str">
        <f t="shared" si="513"/>
        <v>00</v>
      </c>
      <c r="T2456" s="3"/>
    </row>
    <row r="2457" spans="1:22" hidden="1">
      <c r="J2457" s="1" t="str">
        <f t="shared" si="508"/>
        <v>0</v>
      </c>
      <c r="K2457" s="3">
        <f t="shared" si="509"/>
        <v>-100</v>
      </c>
      <c r="L2457" s="3">
        <f t="shared" si="510"/>
        <v>1</v>
      </c>
      <c r="M2457" s="3">
        <f t="shared" si="511"/>
        <v>0</v>
      </c>
      <c r="N2457" s="3" t="str">
        <f t="shared" si="512"/>
        <v>01</v>
      </c>
      <c r="O2457" s="14" t="str">
        <f t="shared" si="513"/>
        <v>00</v>
      </c>
      <c r="T2457" s="3"/>
    </row>
    <row r="2458" spans="1:22" hidden="1">
      <c r="J2458" s="1" t="str">
        <f t="shared" si="508"/>
        <v>0</v>
      </c>
      <c r="K2458" s="3">
        <f t="shared" si="509"/>
        <v>-100</v>
      </c>
      <c r="L2458" s="3">
        <f t="shared" si="510"/>
        <v>1</v>
      </c>
      <c r="M2458" s="3">
        <f t="shared" si="511"/>
        <v>0</v>
      </c>
      <c r="N2458" s="3" t="str">
        <f t="shared" si="512"/>
        <v>01</v>
      </c>
      <c r="O2458" s="14" t="str">
        <f t="shared" si="513"/>
        <v>00</v>
      </c>
      <c r="T2458" s="3"/>
    </row>
    <row r="2459" spans="1:22" hidden="1">
      <c r="J2459" s="1" t="str">
        <f t="shared" si="508"/>
        <v>0</v>
      </c>
      <c r="K2459" s="3">
        <f t="shared" si="509"/>
        <v>-100</v>
      </c>
      <c r="L2459" s="3">
        <f t="shared" si="510"/>
        <v>1</v>
      </c>
      <c r="M2459" s="3">
        <f t="shared" si="511"/>
        <v>0</v>
      </c>
      <c r="N2459" s="3" t="str">
        <f t="shared" si="512"/>
        <v>01</v>
      </c>
      <c r="O2459" s="14" t="str">
        <f t="shared" si="513"/>
        <v>00</v>
      </c>
      <c r="T2459" s="3"/>
    </row>
    <row r="2460" spans="1:22" hidden="1">
      <c r="J2460" s="1" t="str">
        <f t="shared" si="508"/>
        <v>0</v>
      </c>
      <c r="K2460" s="3">
        <f t="shared" si="509"/>
        <v>-100</v>
      </c>
      <c r="L2460" s="3">
        <f t="shared" si="510"/>
        <v>1</v>
      </c>
      <c r="M2460" s="3">
        <f t="shared" si="511"/>
        <v>0</v>
      </c>
      <c r="N2460" s="3" t="str">
        <f t="shared" si="512"/>
        <v>01</v>
      </c>
      <c r="O2460" s="14" t="str">
        <f t="shared" si="513"/>
        <v>00</v>
      </c>
    </row>
    <row r="2461" spans="1:22" hidden="1">
      <c r="J2461" s="1" t="str">
        <f t="shared" si="508"/>
        <v>0</v>
      </c>
      <c r="K2461" s="3">
        <f t="shared" si="509"/>
        <v>-100</v>
      </c>
      <c r="L2461" s="3">
        <f t="shared" si="510"/>
        <v>1</v>
      </c>
      <c r="M2461" s="3">
        <f t="shared" si="511"/>
        <v>0</v>
      </c>
      <c r="N2461" s="3" t="str">
        <f t="shared" si="512"/>
        <v>01</v>
      </c>
      <c r="O2461" s="14" t="str">
        <f t="shared" si="513"/>
        <v>00</v>
      </c>
    </row>
    <row r="2462" spans="1:22" hidden="1">
      <c r="J2462" s="1" t="str">
        <f t="shared" si="508"/>
        <v>0</v>
      </c>
      <c r="K2462" s="3">
        <f t="shared" si="509"/>
        <v>-100</v>
      </c>
      <c r="L2462" s="3">
        <f t="shared" si="510"/>
        <v>1</v>
      </c>
      <c r="M2462" s="3">
        <f t="shared" si="511"/>
        <v>0</v>
      </c>
      <c r="N2462" s="3" t="str">
        <f t="shared" si="512"/>
        <v>01</v>
      </c>
      <c r="O2462" s="14" t="str">
        <f t="shared" si="513"/>
        <v>00</v>
      </c>
    </row>
    <row r="2463" spans="1:22" hidden="1">
      <c r="J2463" s="1" t="str">
        <f t="shared" si="508"/>
        <v>0</v>
      </c>
      <c r="K2463" s="3">
        <f t="shared" si="509"/>
        <v>-100</v>
      </c>
      <c r="L2463" s="3">
        <f t="shared" si="510"/>
        <v>1</v>
      </c>
      <c r="M2463" s="3">
        <f t="shared" si="511"/>
        <v>0</v>
      </c>
      <c r="N2463" s="3" t="str">
        <f t="shared" si="512"/>
        <v>01</v>
      </c>
      <c r="O2463" s="14" t="str">
        <f t="shared" si="513"/>
        <v>00</v>
      </c>
    </row>
    <row r="2464" spans="1:22" hidden="1">
      <c r="J2464" s="1" t="str">
        <f t="shared" si="508"/>
        <v>0</v>
      </c>
      <c r="K2464" s="3">
        <f t="shared" si="509"/>
        <v>-100</v>
      </c>
      <c r="L2464" s="3">
        <f t="shared" si="510"/>
        <v>1</v>
      </c>
      <c r="M2464" s="3">
        <f t="shared" si="511"/>
        <v>0</v>
      </c>
      <c r="N2464" s="3" t="str">
        <f t="shared" si="512"/>
        <v>01</v>
      </c>
      <c r="O2464" s="14" t="str">
        <f t="shared" si="513"/>
        <v>00</v>
      </c>
    </row>
    <row r="2465" spans="1:23" hidden="1">
      <c r="J2465" s="1" t="str">
        <f t="shared" si="508"/>
        <v>0</v>
      </c>
      <c r="K2465" s="3">
        <f t="shared" si="509"/>
        <v>-100</v>
      </c>
      <c r="L2465" s="3">
        <f t="shared" si="510"/>
        <v>1</v>
      </c>
      <c r="M2465" s="3">
        <f t="shared" si="511"/>
        <v>0</v>
      </c>
      <c r="N2465" s="3" t="str">
        <f t="shared" si="512"/>
        <v>01</v>
      </c>
      <c r="O2465" s="14" t="str">
        <f t="shared" si="513"/>
        <v>00</v>
      </c>
    </row>
    <row r="2466" spans="1:23" hidden="1">
      <c r="J2466" s="1" t="str">
        <f t="shared" ref="J2466:J2529" si="515">+IF(I2466&lt;10,_xlfn.CONCAT("0",I2466),I2466)</f>
        <v>0</v>
      </c>
      <c r="K2466" s="3">
        <f t="shared" ref="K2466:K2529" si="516">+YEAR(H2466)-2000</f>
        <v>-100</v>
      </c>
      <c r="L2466" s="3">
        <f t="shared" ref="L2466:L2529" si="517">+MONTH(H2466)</f>
        <v>1</v>
      </c>
      <c r="M2466" s="3">
        <f t="shared" ref="M2466:M2529" si="518">+DAY(H2466)</f>
        <v>0</v>
      </c>
      <c r="N2466" s="3" t="str">
        <f t="shared" ref="N2466:N2529" si="519">+IF(L2466&lt;10,_xlfn.CONCAT("0",L2466),L2466)</f>
        <v>01</v>
      </c>
      <c r="O2466" s="14" t="str">
        <f t="shared" ref="O2466:O2529" si="520">+IF(M2466&lt;10,_xlfn.CONCAT("0",M2466),M2466)</f>
        <v>00</v>
      </c>
    </row>
    <row r="2467" spans="1:23" hidden="1">
      <c r="J2467" s="1" t="str">
        <f t="shared" si="515"/>
        <v>0</v>
      </c>
      <c r="K2467" s="3">
        <f t="shared" si="516"/>
        <v>-100</v>
      </c>
      <c r="L2467" s="3">
        <f t="shared" si="517"/>
        <v>1</v>
      </c>
      <c r="M2467" s="3">
        <f t="shared" si="518"/>
        <v>0</v>
      </c>
      <c r="N2467" s="3" t="str">
        <f t="shared" si="519"/>
        <v>01</v>
      </c>
      <c r="O2467" s="14" t="str">
        <f t="shared" si="520"/>
        <v>00</v>
      </c>
    </row>
    <row r="2468" spans="1:23" hidden="1">
      <c r="J2468" s="1" t="str">
        <f t="shared" si="515"/>
        <v>0</v>
      </c>
      <c r="K2468" s="3">
        <f t="shared" si="516"/>
        <v>-100</v>
      </c>
      <c r="L2468" s="3">
        <f t="shared" si="517"/>
        <v>1</v>
      </c>
      <c r="M2468" s="3">
        <f t="shared" si="518"/>
        <v>0</v>
      </c>
      <c r="N2468" s="3" t="str">
        <f t="shared" si="519"/>
        <v>01</v>
      </c>
      <c r="O2468" s="14" t="str">
        <f t="shared" si="520"/>
        <v>00</v>
      </c>
    </row>
    <row r="2469" spans="1:23" hidden="1">
      <c r="J2469" s="1" t="str">
        <f t="shared" si="515"/>
        <v>0</v>
      </c>
      <c r="K2469" s="3">
        <f t="shared" si="516"/>
        <v>-100</v>
      </c>
      <c r="L2469" s="3">
        <f t="shared" si="517"/>
        <v>1</v>
      </c>
      <c r="M2469" s="3">
        <f t="shared" si="518"/>
        <v>0</v>
      </c>
      <c r="N2469" s="3" t="str">
        <f t="shared" si="519"/>
        <v>01</v>
      </c>
      <c r="O2469" s="14" t="str">
        <f t="shared" si="520"/>
        <v>00</v>
      </c>
    </row>
    <row r="2470" spans="1:23" hidden="1">
      <c r="J2470" s="1" t="str">
        <f t="shared" si="515"/>
        <v>0</v>
      </c>
      <c r="K2470" s="3">
        <f t="shared" si="516"/>
        <v>-100</v>
      </c>
      <c r="L2470" s="3">
        <f t="shared" si="517"/>
        <v>1</v>
      </c>
      <c r="M2470" s="3">
        <f t="shared" si="518"/>
        <v>0</v>
      </c>
      <c r="N2470" s="3" t="str">
        <f t="shared" si="519"/>
        <v>01</v>
      </c>
      <c r="O2470" s="14" t="str">
        <f t="shared" si="520"/>
        <v>00</v>
      </c>
      <c r="T2470" s="30"/>
    </row>
    <row r="2471" spans="1:23" hidden="1">
      <c r="J2471" s="1" t="str">
        <f t="shared" si="515"/>
        <v>0</v>
      </c>
      <c r="K2471" s="3">
        <f t="shared" si="516"/>
        <v>-100</v>
      </c>
      <c r="L2471" s="3">
        <f t="shared" si="517"/>
        <v>1</v>
      </c>
      <c r="M2471" s="3">
        <f t="shared" si="518"/>
        <v>0</v>
      </c>
      <c r="N2471" s="3" t="str">
        <f t="shared" si="519"/>
        <v>01</v>
      </c>
      <c r="O2471" s="14" t="str">
        <f t="shared" si="520"/>
        <v>00</v>
      </c>
      <c r="T2471" s="31"/>
    </row>
    <row r="2472" spans="1:23" s="42" customFormat="1" hidden="1">
      <c r="A2472" s="3"/>
      <c r="B2472" s="1"/>
      <c r="C2472" s="1"/>
      <c r="D2472" s="1"/>
      <c r="E2472" s="1"/>
      <c r="F2472" s="1"/>
      <c r="G2472" s="1"/>
      <c r="H2472" s="2"/>
      <c r="I2472" s="36"/>
      <c r="J2472" s="1" t="str">
        <f t="shared" si="515"/>
        <v>0</v>
      </c>
      <c r="K2472" s="3">
        <f t="shared" si="516"/>
        <v>-100</v>
      </c>
      <c r="L2472" s="3">
        <f t="shared" si="517"/>
        <v>1</v>
      </c>
      <c r="M2472" s="3">
        <f t="shared" si="518"/>
        <v>0</v>
      </c>
      <c r="N2472" s="3" t="str">
        <f t="shared" si="519"/>
        <v>01</v>
      </c>
      <c r="O2472" s="14" t="str">
        <f t="shared" si="520"/>
        <v>00</v>
      </c>
      <c r="P2472" s="4"/>
      <c r="Q2472" s="5"/>
      <c r="R2472" s="6"/>
      <c r="S2472" s="5"/>
      <c r="T2472" s="31"/>
      <c r="U2472" s="3"/>
      <c r="V2472" s="3"/>
      <c r="W2472" s="3"/>
    </row>
    <row r="2473" spans="1:23" s="42" customFormat="1">
      <c r="A2473" s="3">
        <v>2401</v>
      </c>
      <c r="B2473" s="1">
        <f>IF(G2473="-",0,IF(G2472=G2473,1,0))</f>
        <v>0</v>
      </c>
      <c r="C2473" s="1">
        <f>+IF(G2473="-",0,IF(I2473=I2472+1,0,(IF(I2473=1,0,1))))</f>
        <v>1</v>
      </c>
      <c r="D2473" s="1">
        <f>+IF(AND(P2473="",Q2473=""),1,0)</f>
        <v>0</v>
      </c>
      <c r="E2473" s="1">
        <f>IF(U2473="",1,0)</f>
        <v>0</v>
      </c>
      <c r="F2473" s="1">
        <f>IF(V2473="",1,0)</f>
        <v>0</v>
      </c>
      <c r="G2473" s="1" t="str">
        <f>IF(H2473=0,"-",_xlfn.CONCAT(K2473,N2473,O2473,J2473))</f>
        <v>24102905</v>
      </c>
      <c r="H2473" s="2">
        <v>45594</v>
      </c>
      <c r="I2473" s="36">
        <v>5</v>
      </c>
      <c r="J2473" s="1" t="str">
        <f t="shared" si="515"/>
        <v>05</v>
      </c>
      <c r="K2473" s="3">
        <f t="shared" si="516"/>
        <v>24</v>
      </c>
      <c r="L2473" s="3">
        <f t="shared" si="517"/>
        <v>10</v>
      </c>
      <c r="M2473" s="3">
        <f t="shared" si="518"/>
        <v>29</v>
      </c>
      <c r="N2473" s="3">
        <f t="shared" si="519"/>
        <v>10</v>
      </c>
      <c r="O2473" s="14">
        <f t="shared" si="520"/>
        <v>29</v>
      </c>
      <c r="P2473" s="4">
        <v>48450</v>
      </c>
      <c r="Q2473" s="5"/>
      <c r="R2473" s="6"/>
      <c r="S2473" s="5"/>
      <c r="T2473" s="5" t="s">
        <v>1049</v>
      </c>
      <c r="U2473" s="3" t="s">
        <v>2</v>
      </c>
      <c r="V2473" s="3" t="s">
        <v>4</v>
      </c>
      <c r="W2473" s="3"/>
    </row>
    <row r="2474" spans="1:23" hidden="1">
      <c r="J2474" s="1" t="str">
        <f t="shared" si="515"/>
        <v>0</v>
      </c>
      <c r="K2474" s="3">
        <f t="shared" si="516"/>
        <v>-100</v>
      </c>
      <c r="L2474" s="3">
        <f t="shared" si="517"/>
        <v>1</v>
      </c>
      <c r="M2474" s="3">
        <f t="shared" si="518"/>
        <v>0</v>
      </c>
      <c r="N2474" s="3" t="str">
        <f t="shared" si="519"/>
        <v>01</v>
      </c>
      <c r="O2474" s="14" t="str">
        <f t="shared" si="520"/>
        <v>00</v>
      </c>
      <c r="T2474" s="31"/>
    </row>
    <row r="2475" spans="1:23" hidden="1">
      <c r="J2475" s="1" t="str">
        <f t="shared" si="515"/>
        <v>0</v>
      </c>
      <c r="K2475" s="3">
        <f t="shared" si="516"/>
        <v>-100</v>
      </c>
      <c r="L2475" s="3">
        <f t="shared" si="517"/>
        <v>1</v>
      </c>
      <c r="M2475" s="3">
        <f t="shared" si="518"/>
        <v>0</v>
      </c>
      <c r="N2475" s="3" t="str">
        <f t="shared" si="519"/>
        <v>01</v>
      </c>
      <c r="O2475" s="14" t="str">
        <f t="shared" si="520"/>
        <v>00</v>
      </c>
      <c r="T2475" s="31"/>
    </row>
    <row r="2476" spans="1:23" hidden="1">
      <c r="J2476" s="1" t="str">
        <f t="shared" si="515"/>
        <v>0</v>
      </c>
      <c r="K2476" s="3">
        <f t="shared" si="516"/>
        <v>-100</v>
      </c>
      <c r="L2476" s="3">
        <f t="shared" si="517"/>
        <v>1</v>
      </c>
      <c r="M2476" s="3">
        <f t="shared" si="518"/>
        <v>0</v>
      </c>
      <c r="N2476" s="3" t="str">
        <f t="shared" si="519"/>
        <v>01</v>
      </c>
      <c r="O2476" s="14" t="str">
        <f t="shared" si="520"/>
        <v>00</v>
      </c>
      <c r="T2476" s="32"/>
    </row>
    <row r="2477" spans="1:23" hidden="1">
      <c r="J2477" s="1" t="str">
        <f t="shared" si="515"/>
        <v>0</v>
      </c>
      <c r="K2477" s="3">
        <f t="shared" si="516"/>
        <v>-100</v>
      </c>
      <c r="L2477" s="3">
        <f t="shared" si="517"/>
        <v>1</v>
      </c>
      <c r="M2477" s="3">
        <f t="shared" si="518"/>
        <v>0</v>
      </c>
      <c r="N2477" s="3" t="str">
        <f t="shared" si="519"/>
        <v>01</v>
      </c>
      <c r="O2477" s="14" t="str">
        <f t="shared" si="520"/>
        <v>00</v>
      </c>
      <c r="T2477" s="32"/>
    </row>
    <row r="2478" spans="1:23" hidden="1">
      <c r="J2478" s="1" t="str">
        <f t="shared" si="515"/>
        <v>0</v>
      </c>
      <c r="K2478" s="3">
        <f t="shared" si="516"/>
        <v>-100</v>
      </c>
      <c r="L2478" s="3">
        <f t="shared" si="517"/>
        <v>1</v>
      </c>
      <c r="M2478" s="3">
        <f t="shared" si="518"/>
        <v>0</v>
      </c>
      <c r="N2478" s="3" t="str">
        <f t="shared" si="519"/>
        <v>01</v>
      </c>
      <c r="O2478" s="14" t="str">
        <f t="shared" si="520"/>
        <v>00</v>
      </c>
      <c r="T2478" s="32"/>
    </row>
    <row r="2479" spans="1:23">
      <c r="A2479" s="3">
        <v>2416</v>
      </c>
      <c r="B2479" s="1">
        <f>IF(G2479="-",0,IF(G2478=G2479,1,0))</f>
        <v>0</v>
      </c>
      <c r="C2479" s="1">
        <f>+IF(G2479="-",0,IF(I2479=I2478+1,0,(IF(I2479=1,0,1))))</f>
        <v>0</v>
      </c>
      <c r="D2479" s="1">
        <f>+IF(AND(P2479="",Q2479=""),1,0)</f>
        <v>0</v>
      </c>
      <c r="E2479" s="1">
        <f>IF(U2479="",1,0)</f>
        <v>0</v>
      </c>
      <c r="F2479" s="1">
        <f>IF(V2479="",1,0)</f>
        <v>0</v>
      </c>
      <c r="G2479" s="1" t="str">
        <f>IF(H2479=0,"-",_xlfn.CONCAT(K2479,N2479,O2479,J2479))</f>
        <v>24103101</v>
      </c>
      <c r="H2479" s="2">
        <v>45596</v>
      </c>
      <c r="I2479" s="36">
        <v>1</v>
      </c>
      <c r="J2479" s="1" t="str">
        <f t="shared" si="515"/>
        <v>01</v>
      </c>
      <c r="K2479" s="3">
        <f t="shared" si="516"/>
        <v>24</v>
      </c>
      <c r="L2479" s="3">
        <f t="shared" si="517"/>
        <v>10</v>
      </c>
      <c r="M2479" s="3">
        <f t="shared" si="518"/>
        <v>31</v>
      </c>
      <c r="N2479" s="3">
        <f t="shared" si="519"/>
        <v>10</v>
      </c>
      <c r="O2479" s="14">
        <f t="shared" si="520"/>
        <v>31</v>
      </c>
      <c r="P2479" s="4">
        <v>92994.48</v>
      </c>
      <c r="T2479" s="5" t="s">
        <v>1043</v>
      </c>
      <c r="U2479" s="3" t="s">
        <v>1045</v>
      </c>
      <c r="V2479" s="3" t="s">
        <v>4</v>
      </c>
      <c r="W2479" s="3" t="s">
        <v>1044</v>
      </c>
    </row>
    <row r="2480" spans="1:23" hidden="1">
      <c r="J2480" s="1" t="str">
        <f t="shared" si="515"/>
        <v>0</v>
      </c>
      <c r="K2480" s="3">
        <f t="shared" si="516"/>
        <v>-100</v>
      </c>
      <c r="L2480" s="3">
        <f t="shared" si="517"/>
        <v>1</v>
      </c>
      <c r="M2480" s="3">
        <f t="shared" si="518"/>
        <v>0</v>
      </c>
      <c r="N2480" s="3" t="str">
        <f t="shared" si="519"/>
        <v>01</v>
      </c>
      <c r="O2480" s="14" t="str">
        <f t="shared" si="520"/>
        <v>00</v>
      </c>
      <c r="T2480" s="32"/>
    </row>
    <row r="2481" spans="1:23" hidden="1">
      <c r="J2481" s="1" t="str">
        <f t="shared" si="515"/>
        <v>0</v>
      </c>
      <c r="K2481" s="3">
        <f t="shared" si="516"/>
        <v>-100</v>
      </c>
      <c r="L2481" s="3">
        <f t="shared" si="517"/>
        <v>1</v>
      </c>
      <c r="M2481" s="3">
        <f t="shared" si="518"/>
        <v>0</v>
      </c>
      <c r="N2481" s="3" t="str">
        <f t="shared" si="519"/>
        <v>01</v>
      </c>
      <c r="O2481" s="14" t="str">
        <f t="shared" si="520"/>
        <v>00</v>
      </c>
      <c r="T2481" s="32"/>
    </row>
    <row r="2482" spans="1:23" hidden="1">
      <c r="J2482" s="1" t="str">
        <f t="shared" si="515"/>
        <v>0</v>
      </c>
      <c r="K2482" s="3">
        <f t="shared" si="516"/>
        <v>-100</v>
      </c>
      <c r="L2482" s="3">
        <f t="shared" si="517"/>
        <v>1</v>
      </c>
      <c r="M2482" s="3">
        <f t="shared" si="518"/>
        <v>0</v>
      </c>
      <c r="N2482" s="3" t="str">
        <f t="shared" si="519"/>
        <v>01</v>
      </c>
      <c r="O2482" s="14" t="str">
        <f t="shared" si="520"/>
        <v>00</v>
      </c>
      <c r="T2482" s="32"/>
    </row>
    <row r="2483" spans="1:23" hidden="1">
      <c r="J2483" s="1" t="str">
        <f t="shared" si="515"/>
        <v>0</v>
      </c>
      <c r="K2483" s="3">
        <f t="shared" si="516"/>
        <v>-100</v>
      </c>
      <c r="L2483" s="3">
        <f t="shared" si="517"/>
        <v>1</v>
      </c>
      <c r="M2483" s="3">
        <f t="shared" si="518"/>
        <v>0</v>
      </c>
      <c r="N2483" s="3" t="str">
        <f t="shared" si="519"/>
        <v>01</v>
      </c>
      <c r="O2483" s="14" t="str">
        <f t="shared" si="520"/>
        <v>00</v>
      </c>
      <c r="T2483" s="32"/>
    </row>
    <row r="2484" spans="1:23" hidden="1">
      <c r="J2484" s="1" t="str">
        <f t="shared" si="515"/>
        <v>0</v>
      </c>
      <c r="K2484" s="3">
        <f t="shared" si="516"/>
        <v>-100</v>
      </c>
      <c r="L2484" s="3">
        <f t="shared" si="517"/>
        <v>1</v>
      </c>
      <c r="M2484" s="3">
        <f t="shared" si="518"/>
        <v>0</v>
      </c>
      <c r="N2484" s="3" t="str">
        <f t="shared" si="519"/>
        <v>01</v>
      </c>
      <c r="O2484" s="14" t="str">
        <f t="shared" si="520"/>
        <v>00</v>
      </c>
      <c r="T2484" s="32"/>
    </row>
    <row r="2485" spans="1:23" hidden="1">
      <c r="J2485" s="1" t="str">
        <f t="shared" si="515"/>
        <v>0</v>
      </c>
      <c r="K2485" s="3">
        <f t="shared" si="516"/>
        <v>-100</v>
      </c>
      <c r="L2485" s="3">
        <f t="shared" si="517"/>
        <v>1</v>
      </c>
      <c r="M2485" s="3">
        <f t="shared" si="518"/>
        <v>0</v>
      </c>
      <c r="N2485" s="3" t="str">
        <f t="shared" si="519"/>
        <v>01</v>
      </c>
      <c r="O2485" s="14" t="str">
        <f t="shared" si="520"/>
        <v>00</v>
      </c>
      <c r="T2485" s="32"/>
    </row>
    <row r="2486" spans="1:23" hidden="1">
      <c r="J2486" s="1" t="str">
        <f t="shared" si="515"/>
        <v>0</v>
      </c>
      <c r="K2486" s="3">
        <f t="shared" si="516"/>
        <v>-100</v>
      </c>
      <c r="L2486" s="3">
        <f t="shared" si="517"/>
        <v>1</v>
      </c>
      <c r="M2486" s="3">
        <f t="shared" si="518"/>
        <v>0</v>
      </c>
      <c r="N2486" s="3" t="str">
        <f t="shared" si="519"/>
        <v>01</v>
      </c>
      <c r="O2486" s="14" t="str">
        <f t="shared" si="520"/>
        <v>00</v>
      </c>
      <c r="T2486" s="32"/>
    </row>
    <row r="2487" spans="1:23">
      <c r="A2487" s="3">
        <v>2417</v>
      </c>
      <c r="B2487" s="1">
        <f>IF(G2487="-",0,IF(G2486=G2487,1,0))</f>
        <v>0</v>
      </c>
      <c r="C2487" s="1">
        <f>+IF(G2487="-",0,IF(I2487=I2486+1,0,(IF(I2487=1,0,1))))</f>
        <v>1</v>
      </c>
      <c r="D2487" s="1">
        <f>+IF(AND(P2487="",Q2487=""),1,0)</f>
        <v>0</v>
      </c>
      <c r="E2487" s="1">
        <f>IF(U2487="",1,0)</f>
        <v>0</v>
      </c>
      <c r="F2487" s="1">
        <f>IF(V2487="",1,0)</f>
        <v>0</v>
      </c>
      <c r="G2487" s="1" t="str">
        <f>IF(H2487=0,"-",_xlfn.CONCAT(K2487,N2487,O2487,J2487))</f>
        <v>24103102</v>
      </c>
      <c r="H2487" s="2">
        <v>45596</v>
      </c>
      <c r="I2487" s="36">
        <v>2</v>
      </c>
      <c r="J2487" s="1" t="str">
        <f t="shared" si="515"/>
        <v>02</v>
      </c>
      <c r="K2487" s="3">
        <f t="shared" si="516"/>
        <v>24</v>
      </c>
      <c r="L2487" s="3">
        <f t="shared" si="517"/>
        <v>10</v>
      </c>
      <c r="M2487" s="3">
        <f t="shared" si="518"/>
        <v>31</v>
      </c>
      <c r="N2487" s="3">
        <f t="shared" si="519"/>
        <v>10</v>
      </c>
      <c r="O2487" s="14">
        <f t="shared" si="520"/>
        <v>31</v>
      </c>
      <c r="P2487" s="4">
        <v>48171.9</v>
      </c>
      <c r="T2487" s="5" t="s">
        <v>1046</v>
      </c>
      <c r="U2487" s="3" t="s">
        <v>29</v>
      </c>
      <c r="V2487" s="3" t="s">
        <v>4</v>
      </c>
    </row>
    <row r="2488" spans="1:23" hidden="1">
      <c r="J2488" s="1" t="str">
        <f t="shared" si="515"/>
        <v>0</v>
      </c>
      <c r="K2488" s="3">
        <f t="shared" si="516"/>
        <v>-100</v>
      </c>
      <c r="L2488" s="3">
        <f t="shared" si="517"/>
        <v>1</v>
      </c>
      <c r="M2488" s="3">
        <f t="shared" si="518"/>
        <v>0</v>
      </c>
      <c r="N2488" s="3" t="str">
        <f t="shared" si="519"/>
        <v>01</v>
      </c>
      <c r="O2488" s="14" t="str">
        <f t="shared" si="520"/>
        <v>00</v>
      </c>
    </row>
    <row r="2489" spans="1:23" hidden="1">
      <c r="J2489" s="1" t="str">
        <f t="shared" si="515"/>
        <v>0</v>
      </c>
      <c r="K2489" s="3">
        <f t="shared" si="516"/>
        <v>-100</v>
      </c>
      <c r="L2489" s="3">
        <f t="shared" si="517"/>
        <v>1</v>
      </c>
      <c r="M2489" s="3">
        <f t="shared" si="518"/>
        <v>0</v>
      </c>
      <c r="N2489" s="3" t="str">
        <f t="shared" si="519"/>
        <v>01</v>
      </c>
      <c r="O2489" s="14" t="str">
        <f t="shared" si="520"/>
        <v>00</v>
      </c>
    </row>
    <row r="2490" spans="1:23" hidden="1">
      <c r="J2490" s="1" t="str">
        <f t="shared" si="515"/>
        <v>0</v>
      </c>
      <c r="K2490" s="3">
        <f t="shared" si="516"/>
        <v>-100</v>
      </c>
      <c r="L2490" s="3">
        <f t="shared" si="517"/>
        <v>1</v>
      </c>
      <c r="M2490" s="3">
        <f t="shared" si="518"/>
        <v>0</v>
      </c>
      <c r="N2490" s="3" t="str">
        <f t="shared" si="519"/>
        <v>01</v>
      </c>
      <c r="O2490" s="14" t="str">
        <f t="shared" si="520"/>
        <v>00</v>
      </c>
    </row>
    <row r="2491" spans="1:23" hidden="1">
      <c r="J2491" s="1" t="str">
        <f t="shared" si="515"/>
        <v>0</v>
      </c>
      <c r="K2491" s="3">
        <f t="shared" si="516"/>
        <v>-100</v>
      </c>
      <c r="L2491" s="3">
        <f t="shared" si="517"/>
        <v>1</v>
      </c>
      <c r="M2491" s="3">
        <f t="shared" si="518"/>
        <v>0</v>
      </c>
      <c r="N2491" s="3" t="str">
        <f t="shared" si="519"/>
        <v>01</v>
      </c>
      <c r="O2491" s="14" t="str">
        <f t="shared" si="520"/>
        <v>00</v>
      </c>
    </row>
    <row r="2492" spans="1:23" hidden="1">
      <c r="J2492" s="1" t="str">
        <f t="shared" si="515"/>
        <v>0</v>
      </c>
      <c r="K2492" s="3">
        <f t="shared" si="516"/>
        <v>-100</v>
      </c>
      <c r="L2492" s="3">
        <f t="shared" si="517"/>
        <v>1</v>
      </c>
      <c r="M2492" s="3">
        <f t="shared" si="518"/>
        <v>0</v>
      </c>
      <c r="N2492" s="3" t="str">
        <f t="shared" si="519"/>
        <v>01</v>
      </c>
      <c r="O2492" s="14" t="str">
        <f t="shared" si="520"/>
        <v>00</v>
      </c>
    </row>
    <row r="2493" spans="1:23" hidden="1">
      <c r="J2493" s="1" t="str">
        <f t="shared" si="515"/>
        <v>0</v>
      </c>
      <c r="K2493" s="3">
        <f t="shared" si="516"/>
        <v>-100</v>
      </c>
      <c r="L2493" s="3">
        <f t="shared" si="517"/>
        <v>1</v>
      </c>
      <c r="M2493" s="3">
        <f t="shared" si="518"/>
        <v>0</v>
      </c>
      <c r="N2493" s="3" t="str">
        <f t="shared" si="519"/>
        <v>01</v>
      </c>
      <c r="O2493" s="14" t="str">
        <f t="shared" si="520"/>
        <v>00</v>
      </c>
    </row>
    <row r="2494" spans="1:23" hidden="1">
      <c r="J2494" s="1" t="str">
        <f t="shared" si="515"/>
        <v>0</v>
      </c>
      <c r="K2494" s="3">
        <f t="shared" si="516"/>
        <v>-100</v>
      </c>
      <c r="L2494" s="3">
        <f t="shared" si="517"/>
        <v>1</v>
      </c>
      <c r="M2494" s="3">
        <f t="shared" si="518"/>
        <v>0</v>
      </c>
      <c r="N2494" s="3" t="str">
        <f t="shared" si="519"/>
        <v>01</v>
      </c>
      <c r="O2494" s="14" t="str">
        <f t="shared" si="520"/>
        <v>00</v>
      </c>
    </row>
    <row r="2495" spans="1:23" hidden="1">
      <c r="G2495" s="38"/>
      <c r="H2495" s="37"/>
      <c r="I2495" s="38"/>
      <c r="J2495" s="38" t="str">
        <f t="shared" si="515"/>
        <v>0</v>
      </c>
      <c r="K2495" s="42">
        <f t="shared" si="516"/>
        <v>-100</v>
      </c>
      <c r="L2495" s="42">
        <f t="shared" si="517"/>
        <v>1</v>
      </c>
      <c r="M2495" s="42">
        <f t="shared" si="518"/>
        <v>0</v>
      </c>
      <c r="N2495" s="42" t="str">
        <f t="shared" si="519"/>
        <v>01</v>
      </c>
      <c r="O2495" s="50" t="str">
        <f t="shared" si="520"/>
        <v>00</v>
      </c>
      <c r="P2495" s="39"/>
      <c r="Q2495" s="40"/>
      <c r="R2495" s="41"/>
      <c r="S2495" s="40"/>
      <c r="T2495" s="40"/>
      <c r="U2495" s="42"/>
      <c r="V2495" s="42"/>
      <c r="W2495" s="42"/>
    </row>
    <row r="2496" spans="1:23" hidden="1">
      <c r="J2496" s="1" t="str">
        <f t="shared" si="515"/>
        <v>0</v>
      </c>
      <c r="K2496" s="3">
        <f t="shared" si="516"/>
        <v>-100</v>
      </c>
      <c r="L2496" s="3">
        <f t="shared" si="517"/>
        <v>1</v>
      </c>
      <c r="M2496" s="3">
        <f t="shared" si="518"/>
        <v>0</v>
      </c>
      <c r="N2496" s="3" t="str">
        <f t="shared" si="519"/>
        <v>01</v>
      </c>
      <c r="O2496" s="14" t="str">
        <f t="shared" si="520"/>
        <v>00</v>
      </c>
    </row>
    <row r="2497" spans="1:23" hidden="1">
      <c r="J2497" s="1" t="str">
        <f t="shared" si="515"/>
        <v>0</v>
      </c>
      <c r="K2497" s="3">
        <f t="shared" si="516"/>
        <v>-100</v>
      </c>
      <c r="L2497" s="3">
        <f t="shared" si="517"/>
        <v>1</v>
      </c>
      <c r="M2497" s="3">
        <f t="shared" si="518"/>
        <v>0</v>
      </c>
      <c r="N2497" s="3" t="str">
        <f t="shared" si="519"/>
        <v>01</v>
      </c>
      <c r="O2497" s="14" t="str">
        <f t="shared" si="520"/>
        <v>00</v>
      </c>
    </row>
    <row r="2498" spans="1:23">
      <c r="A2498" s="3">
        <v>2418</v>
      </c>
      <c r="B2498" s="1">
        <f>IF(G2498="-",0,IF(G2497=G2498,1,0))</f>
        <v>0</v>
      </c>
      <c r="C2498" s="1">
        <f>+IF(G2498="-",0,IF(I2498=I2497+1,0,(IF(I2498=1,0,1))))</f>
        <v>1</v>
      </c>
      <c r="D2498" s="1">
        <f>+IF(AND(P2498="",Q2498=""),1,0)</f>
        <v>0</v>
      </c>
      <c r="E2498" s="1">
        <f>IF(U2498="",1,0)</f>
        <v>0</v>
      </c>
      <c r="F2498" s="1">
        <f>IF(V2498="",1,0)</f>
        <v>0</v>
      </c>
      <c r="G2498" s="1" t="str">
        <f>IF(H2498=0,"-",_xlfn.CONCAT(K2498,N2498,O2498,J2498))</f>
        <v>24103103</v>
      </c>
      <c r="H2498" s="2">
        <v>45596</v>
      </c>
      <c r="I2498" s="36">
        <v>3</v>
      </c>
      <c r="J2498" s="1" t="str">
        <f t="shared" si="515"/>
        <v>03</v>
      </c>
      <c r="K2498" s="3">
        <f t="shared" si="516"/>
        <v>24</v>
      </c>
      <c r="L2498" s="3">
        <f t="shared" si="517"/>
        <v>10</v>
      </c>
      <c r="M2498" s="3">
        <f t="shared" si="518"/>
        <v>31</v>
      </c>
      <c r="N2498" s="3">
        <f t="shared" si="519"/>
        <v>10</v>
      </c>
      <c r="O2498" s="14">
        <f t="shared" si="520"/>
        <v>31</v>
      </c>
      <c r="P2498" s="4">
        <v>4508.7</v>
      </c>
      <c r="T2498" s="5" t="s">
        <v>1047</v>
      </c>
      <c r="U2498" s="3" t="s">
        <v>29</v>
      </c>
      <c r="V2498" s="3" t="s">
        <v>4</v>
      </c>
    </row>
    <row r="2499" spans="1:23" hidden="1">
      <c r="H2499" s="37"/>
      <c r="I2499" s="38"/>
      <c r="J2499" s="1" t="str">
        <f t="shared" si="515"/>
        <v>0</v>
      </c>
      <c r="K2499" s="3">
        <f t="shared" si="516"/>
        <v>-100</v>
      </c>
      <c r="L2499" s="3">
        <f t="shared" si="517"/>
        <v>1</v>
      </c>
      <c r="M2499" s="3">
        <f t="shared" si="518"/>
        <v>0</v>
      </c>
      <c r="N2499" s="3" t="str">
        <f t="shared" si="519"/>
        <v>01</v>
      </c>
      <c r="O2499" s="14" t="str">
        <f t="shared" si="520"/>
        <v>00</v>
      </c>
      <c r="P2499" s="39"/>
      <c r="Q2499" s="40"/>
      <c r="R2499" s="41"/>
      <c r="S2499" s="40"/>
      <c r="T2499" s="40"/>
      <c r="U2499" s="42"/>
      <c r="V2499" s="42"/>
      <c r="W2499" s="42"/>
    </row>
    <row r="2500" spans="1:23" hidden="1">
      <c r="J2500" s="1" t="str">
        <f t="shared" si="515"/>
        <v>0</v>
      </c>
      <c r="K2500" s="3">
        <f t="shared" si="516"/>
        <v>-100</v>
      </c>
      <c r="L2500" s="3">
        <f t="shared" si="517"/>
        <v>1</v>
      </c>
      <c r="M2500" s="3">
        <f t="shared" si="518"/>
        <v>0</v>
      </c>
      <c r="N2500" s="3" t="str">
        <f t="shared" si="519"/>
        <v>01</v>
      </c>
      <c r="O2500" s="14" t="str">
        <f t="shared" si="520"/>
        <v>00</v>
      </c>
    </row>
    <row r="2501" spans="1:23" hidden="1">
      <c r="J2501" s="1" t="str">
        <f t="shared" si="515"/>
        <v>0</v>
      </c>
      <c r="K2501" s="3">
        <f t="shared" si="516"/>
        <v>-100</v>
      </c>
      <c r="L2501" s="3">
        <f t="shared" si="517"/>
        <v>1</v>
      </c>
      <c r="M2501" s="3">
        <f t="shared" si="518"/>
        <v>0</v>
      </c>
      <c r="N2501" s="3" t="str">
        <f t="shared" si="519"/>
        <v>01</v>
      </c>
      <c r="O2501" s="14" t="str">
        <f t="shared" si="520"/>
        <v>00</v>
      </c>
    </row>
    <row r="2502" spans="1:23" hidden="1">
      <c r="J2502" s="1" t="str">
        <f t="shared" si="515"/>
        <v>0</v>
      </c>
      <c r="K2502" s="3">
        <f t="shared" si="516"/>
        <v>-100</v>
      </c>
      <c r="L2502" s="3">
        <f t="shared" si="517"/>
        <v>1</v>
      </c>
      <c r="M2502" s="3">
        <f t="shared" si="518"/>
        <v>0</v>
      </c>
      <c r="N2502" s="3" t="str">
        <f t="shared" si="519"/>
        <v>01</v>
      </c>
      <c r="O2502" s="14" t="str">
        <f t="shared" si="520"/>
        <v>00</v>
      </c>
    </row>
    <row r="2503" spans="1:23" hidden="1">
      <c r="J2503" s="1" t="str">
        <f t="shared" si="515"/>
        <v>0</v>
      </c>
      <c r="K2503" s="3">
        <f t="shared" si="516"/>
        <v>-100</v>
      </c>
      <c r="L2503" s="3">
        <f t="shared" si="517"/>
        <v>1</v>
      </c>
      <c r="M2503" s="3">
        <f t="shared" si="518"/>
        <v>0</v>
      </c>
      <c r="N2503" s="3" t="str">
        <f t="shared" si="519"/>
        <v>01</v>
      </c>
      <c r="O2503" s="14" t="str">
        <f t="shared" si="520"/>
        <v>00</v>
      </c>
    </row>
    <row r="2504" spans="1:23" hidden="1">
      <c r="J2504" s="1" t="str">
        <f t="shared" si="515"/>
        <v>0</v>
      </c>
      <c r="K2504" s="3">
        <f t="shared" si="516"/>
        <v>-100</v>
      </c>
      <c r="L2504" s="3">
        <f t="shared" si="517"/>
        <v>1</v>
      </c>
      <c r="M2504" s="3">
        <f t="shared" si="518"/>
        <v>0</v>
      </c>
      <c r="N2504" s="3" t="str">
        <f t="shared" si="519"/>
        <v>01</v>
      </c>
      <c r="O2504" s="14" t="str">
        <f t="shared" si="520"/>
        <v>00</v>
      </c>
    </row>
    <row r="2505" spans="1:23" hidden="1">
      <c r="J2505" s="1" t="str">
        <f t="shared" si="515"/>
        <v>0</v>
      </c>
      <c r="K2505" s="3">
        <f t="shared" si="516"/>
        <v>-100</v>
      </c>
      <c r="L2505" s="3">
        <f t="shared" si="517"/>
        <v>1</v>
      </c>
      <c r="M2505" s="3">
        <f t="shared" si="518"/>
        <v>0</v>
      </c>
      <c r="N2505" s="3" t="str">
        <f t="shared" si="519"/>
        <v>01</v>
      </c>
      <c r="O2505" s="14" t="str">
        <f t="shared" si="520"/>
        <v>00</v>
      </c>
    </row>
    <row r="2506" spans="1:23" hidden="1">
      <c r="J2506" s="1" t="str">
        <f t="shared" si="515"/>
        <v>0</v>
      </c>
      <c r="K2506" s="3">
        <f t="shared" si="516"/>
        <v>-100</v>
      </c>
      <c r="L2506" s="3">
        <f t="shared" si="517"/>
        <v>1</v>
      </c>
      <c r="M2506" s="3">
        <f t="shared" si="518"/>
        <v>0</v>
      </c>
      <c r="N2506" s="3" t="str">
        <f t="shared" si="519"/>
        <v>01</v>
      </c>
      <c r="O2506" s="14" t="str">
        <f t="shared" si="520"/>
        <v>00</v>
      </c>
    </row>
    <row r="2507" spans="1:23" hidden="1">
      <c r="J2507" s="1" t="str">
        <f t="shared" si="515"/>
        <v>0</v>
      </c>
      <c r="K2507" s="3">
        <f t="shared" si="516"/>
        <v>-100</v>
      </c>
      <c r="L2507" s="3">
        <f t="shared" si="517"/>
        <v>1</v>
      </c>
      <c r="M2507" s="3">
        <f t="shared" si="518"/>
        <v>0</v>
      </c>
      <c r="N2507" s="3" t="str">
        <f t="shared" si="519"/>
        <v>01</v>
      </c>
      <c r="O2507" s="14" t="str">
        <f t="shared" si="520"/>
        <v>00</v>
      </c>
    </row>
    <row r="2508" spans="1:23" hidden="1">
      <c r="J2508" s="1" t="str">
        <f t="shared" si="515"/>
        <v>0</v>
      </c>
      <c r="K2508" s="3">
        <f t="shared" si="516"/>
        <v>-100</v>
      </c>
      <c r="L2508" s="3">
        <f t="shared" si="517"/>
        <v>1</v>
      </c>
      <c r="M2508" s="3">
        <f t="shared" si="518"/>
        <v>0</v>
      </c>
      <c r="N2508" s="3" t="str">
        <f t="shared" si="519"/>
        <v>01</v>
      </c>
      <c r="O2508" s="14" t="str">
        <f t="shared" si="520"/>
        <v>00</v>
      </c>
    </row>
    <row r="2509" spans="1:23" hidden="1">
      <c r="J2509" s="1" t="str">
        <f t="shared" si="515"/>
        <v>0</v>
      </c>
      <c r="K2509" s="3">
        <f t="shared" si="516"/>
        <v>-100</v>
      </c>
      <c r="L2509" s="3">
        <f t="shared" si="517"/>
        <v>1</v>
      </c>
      <c r="M2509" s="3">
        <f t="shared" si="518"/>
        <v>0</v>
      </c>
      <c r="N2509" s="3" t="str">
        <f t="shared" si="519"/>
        <v>01</v>
      </c>
      <c r="O2509" s="14" t="str">
        <f t="shared" si="520"/>
        <v>00</v>
      </c>
    </row>
    <row r="2510" spans="1:23" hidden="1">
      <c r="J2510" s="1" t="str">
        <f t="shared" si="515"/>
        <v>0</v>
      </c>
      <c r="K2510" s="3">
        <f t="shared" si="516"/>
        <v>-100</v>
      </c>
      <c r="L2510" s="3">
        <f t="shared" si="517"/>
        <v>1</v>
      </c>
      <c r="M2510" s="3">
        <f t="shared" si="518"/>
        <v>0</v>
      </c>
      <c r="N2510" s="3" t="str">
        <f t="shared" si="519"/>
        <v>01</v>
      </c>
      <c r="O2510" s="14" t="str">
        <f t="shared" si="520"/>
        <v>00</v>
      </c>
    </row>
    <row r="2511" spans="1:23" hidden="1">
      <c r="J2511" s="1" t="str">
        <f t="shared" si="515"/>
        <v>0</v>
      </c>
      <c r="K2511" s="3">
        <f t="shared" si="516"/>
        <v>-100</v>
      </c>
      <c r="L2511" s="3">
        <f t="shared" si="517"/>
        <v>1</v>
      </c>
      <c r="M2511" s="3">
        <f t="shared" si="518"/>
        <v>0</v>
      </c>
      <c r="N2511" s="3" t="str">
        <f t="shared" si="519"/>
        <v>01</v>
      </c>
      <c r="O2511" s="14" t="str">
        <f t="shared" si="520"/>
        <v>00</v>
      </c>
    </row>
    <row r="2512" spans="1:23" hidden="1">
      <c r="J2512" s="1" t="str">
        <f t="shared" si="515"/>
        <v>0</v>
      </c>
      <c r="K2512" s="3">
        <f t="shared" si="516"/>
        <v>-100</v>
      </c>
      <c r="L2512" s="3">
        <f t="shared" si="517"/>
        <v>1</v>
      </c>
      <c r="M2512" s="3">
        <f t="shared" si="518"/>
        <v>0</v>
      </c>
      <c r="N2512" s="3" t="str">
        <f t="shared" si="519"/>
        <v>01</v>
      </c>
      <c r="O2512" s="14" t="str">
        <f t="shared" si="520"/>
        <v>00</v>
      </c>
    </row>
    <row r="2513" spans="1:23">
      <c r="A2513" s="3">
        <v>2439</v>
      </c>
      <c r="B2513" s="1">
        <f>IF(G2513="-",0,IF(G2512=G2513,1,0))</f>
        <v>0</v>
      </c>
      <c r="C2513" s="1">
        <f>+IF(G2513="-",0,IF(I2513=I2512+1,0,(IF(I2513=1,0,1))))</f>
        <v>1</v>
      </c>
      <c r="D2513" s="1">
        <f>+IF(AND(P2513="",Q2513=""),1,0)</f>
        <v>0</v>
      </c>
      <c r="E2513" s="1">
        <f>IF(U2513="",1,0)</f>
        <v>1</v>
      </c>
      <c r="F2513" s="1">
        <f>IF(V2513="",1,0)</f>
        <v>0</v>
      </c>
      <c r="G2513" s="1" t="str">
        <f>IF(H2513=0,"-",_xlfn.CONCAT(K2513,N2513,O2513,J2513))</f>
        <v>24110204</v>
      </c>
      <c r="H2513" s="2">
        <v>45598</v>
      </c>
      <c r="I2513" s="36">
        <v>4</v>
      </c>
      <c r="J2513" s="1" t="str">
        <f t="shared" si="515"/>
        <v>04</v>
      </c>
      <c r="K2513" s="3">
        <f t="shared" si="516"/>
        <v>24</v>
      </c>
      <c r="L2513" s="3">
        <f t="shared" si="517"/>
        <v>11</v>
      </c>
      <c r="M2513" s="3">
        <f t="shared" si="518"/>
        <v>2</v>
      </c>
      <c r="N2513" s="3">
        <f t="shared" si="519"/>
        <v>11</v>
      </c>
      <c r="O2513" s="14" t="str">
        <f t="shared" si="520"/>
        <v>02</v>
      </c>
      <c r="P2513" s="4">
        <v>120000</v>
      </c>
      <c r="T2513" s="31" t="s">
        <v>1001</v>
      </c>
      <c r="V2513" s="3" t="s">
        <v>4</v>
      </c>
      <c r="W2513" s="3" t="s">
        <v>1016</v>
      </c>
    </row>
    <row r="2514" spans="1:23" hidden="1">
      <c r="J2514" s="1" t="str">
        <f t="shared" si="515"/>
        <v>0</v>
      </c>
      <c r="K2514" s="3">
        <f t="shared" si="516"/>
        <v>-100</v>
      </c>
      <c r="L2514" s="3">
        <f t="shared" si="517"/>
        <v>1</v>
      </c>
      <c r="M2514" s="3">
        <f t="shared" si="518"/>
        <v>0</v>
      </c>
      <c r="N2514" s="3" t="str">
        <f t="shared" si="519"/>
        <v>01</v>
      </c>
      <c r="O2514" s="14" t="str">
        <f t="shared" si="520"/>
        <v>00</v>
      </c>
    </row>
    <row r="2515" spans="1:23" hidden="1">
      <c r="J2515" s="1" t="str">
        <f t="shared" si="515"/>
        <v>0</v>
      </c>
      <c r="K2515" s="3">
        <f t="shared" si="516"/>
        <v>-100</v>
      </c>
      <c r="L2515" s="3">
        <f t="shared" si="517"/>
        <v>1</v>
      </c>
      <c r="M2515" s="3">
        <f t="shared" si="518"/>
        <v>0</v>
      </c>
      <c r="N2515" s="3" t="str">
        <f t="shared" si="519"/>
        <v>01</v>
      </c>
      <c r="O2515" s="14" t="str">
        <f t="shared" si="520"/>
        <v>00</v>
      </c>
    </row>
    <row r="2516" spans="1:23" hidden="1">
      <c r="J2516" s="1" t="str">
        <f t="shared" si="515"/>
        <v>0</v>
      </c>
      <c r="K2516" s="3">
        <f t="shared" si="516"/>
        <v>-100</v>
      </c>
      <c r="L2516" s="3">
        <f t="shared" si="517"/>
        <v>1</v>
      </c>
      <c r="M2516" s="3">
        <f t="shared" si="518"/>
        <v>0</v>
      </c>
      <c r="N2516" s="3" t="str">
        <f t="shared" si="519"/>
        <v>01</v>
      </c>
      <c r="O2516" s="14" t="str">
        <f t="shared" si="520"/>
        <v>00</v>
      </c>
    </row>
    <row r="2517" spans="1:23" hidden="1">
      <c r="J2517" s="1" t="str">
        <f t="shared" si="515"/>
        <v>0</v>
      </c>
      <c r="K2517" s="3">
        <f t="shared" si="516"/>
        <v>-100</v>
      </c>
      <c r="L2517" s="3">
        <f t="shared" si="517"/>
        <v>1</v>
      </c>
      <c r="M2517" s="3">
        <f t="shared" si="518"/>
        <v>0</v>
      </c>
      <c r="N2517" s="3" t="str">
        <f t="shared" si="519"/>
        <v>01</v>
      </c>
      <c r="O2517" s="14" t="str">
        <f t="shared" si="520"/>
        <v>00</v>
      </c>
    </row>
    <row r="2518" spans="1:23" hidden="1">
      <c r="J2518" s="1" t="str">
        <f t="shared" si="515"/>
        <v>0</v>
      </c>
      <c r="K2518" s="3">
        <f t="shared" si="516"/>
        <v>-100</v>
      </c>
      <c r="L2518" s="3">
        <f t="shared" si="517"/>
        <v>1</v>
      </c>
      <c r="M2518" s="3">
        <f t="shared" si="518"/>
        <v>0</v>
      </c>
      <c r="N2518" s="3" t="str">
        <f t="shared" si="519"/>
        <v>01</v>
      </c>
      <c r="O2518" s="14" t="str">
        <f t="shared" si="520"/>
        <v>00</v>
      </c>
    </row>
    <row r="2519" spans="1:23" hidden="1">
      <c r="J2519" s="1" t="str">
        <f t="shared" si="515"/>
        <v>0</v>
      </c>
      <c r="K2519" s="3">
        <f t="shared" si="516"/>
        <v>-100</v>
      </c>
      <c r="L2519" s="3">
        <f t="shared" si="517"/>
        <v>1</v>
      </c>
      <c r="M2519" s="3">
        <f t="shared" si="518"/>
        <v>0</v>
      </c>
      <c r="N2519" s="3" t="str">
        <f t="shared" si="519"/>
        <v>01</v>
      </c>
      <c r="O2519" s="14" t="str">
        <f t="shared" si="520"/>
        <v>00</v>
      </c>
      <c r="T2519" s="23"/>
    </row>
    <row r="2520" spans="1:23" hidden="1">
      <c r="J2520" s="1" t="str">
        <f t="shared" si="515"/>
        <v>0</v>
      </c>
      <c r="K2520" s="3">
        <f t="shared" si="516"/>
        <v>-100</v>
      </c>
      <c r="L2520" s="3">
        <f t="shared" si="517"/>
        <v>1</v>
      </c>
      <c r="M2520" s="3">
        <f t="shared" si="518"/>
        <v>0</v>
      </c>
      <c r="N2520" s="3" t="str">
        <f t="shared" si="519"/>
        <v>01</v>
      </c>
      <c r="O2520" s="14" t="str">
        <f t="shared" si="520"/>
        <v>00</v>
      </c>
      <c r="T2520" s="23"/>
    </row>
    <row r="2521" spans="1:23" hidden="1">
      <c r="J2521" s="1" t="str">
        <f t="shared" si="515"/>
        <v>0</v>
      </c>
      <c r="K2521" s="3">
        <f t="shared" si="516"/>
        <v>-100</v>
      </c>
      <c r="L2521" s="3">
        <f t="shared" si="517"/>
        <v>1</v>
      </c>
      <c r="M2521" s="3">
        <f t="shared" si="518"/>
        <v>0</v>
      </c>
      <c r="N2521" s="3" t="str">
        <f t="shared" si="519"/>
        <v>01</v>
      </c>
      <c r="O2521" s="14" t="str">
        <f t="shared" si="520"/>
        <v>00</v>
      </c>
      <c r="T2521" s="23"/>
    </row>
    <row r="2522" spans="1:23" hidden="1">
      <c r="J2522" s="1" t="str">
        <f t="shared" si="515"/>
        <v>0</v>
      </c>
      <c r="K2522" s="3">
        <f t="shared" si="516"/>
        <v>-100</v>
      </c>
      <c r="L2522" s="3">
        <f t="shared" si="517"/>
        <v>1</v>
      </c>
      <c r="M2522" s="3">
        <f t="shared" si="518"/>
        <v>0</v>
      </c>
      <c r="N2522" s="3" t="str">
        <f t="shared" si="519"/>
        <v>01</v>
      </c>
      <c r="O2522" s="14" t="str">
        <f t="shared" si="520"/>
        <v>00</v>
      </c>
      <c r="T2522" s="23"/>
    </row>
    <row r="2523" spans="1:23" hidden="1">
      <c r="J2523" s="1" t="str">
        <f t="shared" si="515"/>
        <v>0</v>
      </c>
      <c r="K2523" s="3">
        <f t="shared" si="516"/>
        <v>-100</v>
      </c>
      <c r="L2523" s="3">
        <f t="shared" si="517"/>
        <v>1</v>
      </c>
      <c r="M2523" s="3">
        <f t="shared" si="518"/>
        <v>0</v>
      </c>
      <c r="N2523" s="3" t="str">
        <f t="shared" si="519"/>
        <v>01</v>
      </c>
      <c r="O2523" s="14" t="str">
        <f t="shared" si="520"/>
        <v>00</v>
      </c>
      <c r="T2523" s="23"/>
    </row>
    <row r="2524" spans="1:23" hidden="1">
      <c r="J2524" s="1" t="str">
        <f t="shared" si="515"/>
        <v>0</v>
      </c>
      <c r="K2524" s="3">
        <f t="shared" si="516"/>
        <v>-100</v>
      </c>
      <c r="L2524" s="3">
        <f t="shared" si="517"/>
        <v>1</v>
      </c>
      <c r="M2524" s="3">
        <f t="shared" si="518"/>
        <v>0</v>
      </c>
      <c r="N2524" s="3" t="str">
        <f t="shared" si="519"/>
        <v>01</v>
      </c>
      <c r="O2524" s="14" t="str">
        <f t="shared" si="520"/>
        <v>00</v>
      </c>
      <c r="T2524" s="23"/>
    </row>
    <row r="2525" spans="1:23" hidden="1">
      <c r="J2525" s="1" t="str">
        <f t="shared" si="515"/>
        <v>0</v>
      </c>
      <c r="K2525" s="3">
        <f t="shared" si="516"/>
        <v>-100</v>
      </c>
      <c r="L2525" s="3">
        <f t="shared" si="517"/>
        <v>1</v>
      </c>
      <c r="M2525" s="3">
        <f t="shared" si="518"/>
        <v>0</v>
      </c>
      <c r="N2525" s="3" t="str">
        <f t="shared" si="519"/>
        <v>01</v>
      </c>
      <c r="O2525" s="14" t="str">
        <f t="shared" si="520"/>
        <v>00</v>
      </c>
      <c r="T2525" s="25"/>
    </row>
    <row r="2526" spans="1:23" hidden="1">
      <c r="J2526" s="1" t="str">
        <f t="shared" si="515"/>
        <v>0</v>
      </c>
      <c r="K2526" s="3">
        <f t="shared" si="516"/>
        <v>-100</v>
      </c>
      <c r="L2526" s="3">
        <f t="shared" si="517"/>
        <v>1</v>
      </c>
      <c r="M2526" s="3">
        <f t="shared" si="518"/>
        <v>0</v>
      </c>
      <c r="N2526" s="3" t="str">
        <f t="shared" si="519"/>
        <v>01</v>
      </c>
      <c r="O2526" s="14" t="str">
        <f t="shared" si="520"/>
        <v>00</v>
      </c>
      <c r="T2526" s="25"/>
    </row>
    <row r="2527" spans="1:23" hidden="1">
      <c r="J2527" s="1" t="str">
        <f t="shared" si="515"/>
        <v>0</v>
      </c>
      <c r="K2527" s="3">
        <f t="shared" si="516"/>
        <v>-100</v>
      </c>
      <c r="L2527" s="3">
        <f t="shared" si="517"/>
        <v>1</v>
      </c>
      <c r="M2527" s="3">
        <f t="shared" si="518"/>
        <v>0</v>
      </c>
      <c r="N2527" s="3" t="str">
        <f t="shared" si="519"/>
        <v>01</v>
      </c>
      <c r="O2527" s="14" t="str">
        <f t="shared" si="520"/>
        <v>00</v>
      </c>
      <c r="T2527" s="25"/>
    </row>
    <row r="2528" spans="1:23" hidden="1">
      <c r="J2528" s="1" t="str">
        <f t="shared" si="515"/>
        <v>0</v>
      </c>
      <c r="K2528" s="3">
        <f t="shared" si="516"/>
        <v>-100</v>
      </c>
      <c r="L2528" s="3">
        <f t="shared" si="517"/>
        <v>1</v>
      </c>
      <c r="M2528" s="3">
        <f t="shared" si="518"/>
        <v>0</v>
      </c>
      <c r="N2528" s="3" t="str">
        <f t="shared" si="519"/>
        <v>01</v>
      </c>
      <c r="O2528" s="14" t="str">
        <f t="shared" si="520"/>
        <v>00</v>
      </c>
      <c r="T2528" s="25"/>
    </row>
    <row r="2529" spans="1:22" hidden="1">
      <c r="J2529" s="1" t="str">
        <f t="shared" si="515"/>
        <v>0</v>
      </c>
      <c r="K2529" s="3">
        <f t="shared" si="516"/>
        <v>-100</v>
      </c>
      <c r="L2529" s="3">
        <f t="shared" si="517"/>
        <v>1</v>
      </c>
      <c r="M2529" s="3">
        <f t="shared" si="518"/>
        <v>0</v>
      </c>
      <c r="N2529" s="3" t="str">
        <f t="shared" si="519"/>
        <v>01</v>
      </c>
      <c r="O2529" s="14" t="str">
        <f t="shared" si="520"/>
        <v>00</v>
      </c>
      <c r="T2529" s="25"/>
    </row>
    <row r="2530" spans="1:22" hidden="1">
      <c r="J2530" s="1" t="str">
        <f t="shared" ref="J2530:J2593" si="521">+IF(I2530&lt;10,_xlfn.CONCAT("0",I2530),I2530)</f>
        <v>0</v>
      </c>
      <c r="K2530" s="3">
        <f t="shared" ref="K2530:K2593" si="522">+YEAR(H2530)-2000</f>
        <v>-100</v>
      </c>
      <c r="L2530" s="3">
        <f t="shared" ref="L2530:L2593" si="523">+MONTH(H2530)</f>
        <v>1</v>
      </c>
      <c r="M2530" s="3">
        <f t="shared" ref="M2530:M2593" si="524">+DAY(H2530)</f>
        <v>0</v>
      </c>
      <c r="N2530" s="3" t="str">
        <f t="shared" ref="N2530:N2593" si="525">+IF(L2530&lt;10,_xlfn.CONCAT("0",L2530),L2530)</f>
        <v>01</v>
      </c>
      <c r="O2530" s="14" t="str">
        <f t="shared" ref="O2530:O2593" si="526">+IF(M2530&lt;10,_xlfn.CONCAT("0",M2530),M2530)</f>
        <v>00</v>
      </c>
      <c r="T2530" s="25"/>
    </row>
    <row r="2531" spans="1:22" hidden="1">
      <c r="J2531" s="1" t="str">
        <f t="shared" si="521"/>
        <v>0</v>
      </c>
      <c r="K2531" s="3">
        <f t="shared" si="522"/>
        <v>-100</v>
      </c>
      <c r="L2531" s="3">
        <f t="shared" si="523"/>
        <v>1</v>
      </c>
      <c r="M2531" s="3">
        <f t="shared" si="524"/>
        <v>0</v>
      </c>
      <c r="N2531" s="3" t="str">
        <f t="shared" si="525"/>
        <v>01</v>
      </c>
      <c r="O2531" s="14" t="str">
        <f t="shared" si="526"/>
        <v>00</v>
      </c>
      <c r="T2531" s="25"/>
    </row>
    <row r="2532" spans="1:22" hidden="1">
      <c r="J2532" s="1" t="str">
        <f t="shared" si="521"/>
        <v>0</v>
      </c>
      <c r="K2532" s="3">
        <f t="shared" si="522"/>
        <v>-100</v>
      </c>
      <c r="L2532" s="3">
        <f t="shared" si="523"/>
        <v>1</v>
      </c>
      <c r="M2532" s="3">
        <f t="shared" si="524"/>
        <v>0</v>
      </c>
      <c r="N2532" s="3" t="str">
        <f t="shared" si="525"/>
        <v>01</v>
      </c>
      <c r="O2532" s="14" t="str">
        <f t="shared" si="526"/>
        <v>00</v>
      </c>
      <c r="T2532" s="25"/>
    </row>
    <row r="2533" spans="1:22" hidden="1">
      <c r="J2533" s="1" t="str">
        <f t="shared" si="521"/>
        <v>0</v>
      </c>
      <c r="K2533" s="3">
        <f t="shared" si="522"/>
        <v>-100</v>
      </c>
      <c r="L2533" s="3">
        <f t="shared" si="523"/>
        <v>1</v>
      </c>
      <c r="M2533" s="3">
        <f t="shared" si="524"/>
        <v>0</v>
      </c>
      <c r="N2533" s="3" t="str">
        <f t="shared" si="525"/>
        <v>01</v>
      </c>
      <c r="O2533" s="14" t="str">
        <f t="shared" si="526"/>
        <v>00</v>
      </c>
      <c r="T2533" s="25"/>
    </row>
    <row r="2534" spans="1:22" hidden="1">
      <c r="J2534" s="1" t="str">
        <f t="shared" si="521"/>
        <v>0</v>
      </c>
      <c r="K2534" s="3">
        <f t="shared" si="522"/>
        <v>-100</v>
      </c>
      <c r="L2534" s="3">
        <f t="shared" si="523"/>
        <v>1</v>
      </c>
      <c r="M2534" s="3">
        <f t="shared" si="524"/>
        <v>0</v>
      </c>
      <c r="N2534" s="3" t="str">
        <f t="shared" si="525"/>
        <v>01</v>
      </c>
      <c r="O2534" s="14" t="str">
        <f t="shared" si="526"/>
        <v>00</v>
      </c>
      <c r="T2534" s="25"/>
    </row>
    <row r="2535" spans="1:22" hidden="1">
      <c r="J2535" s="1" t="str">
        <f t="shared" si="521"/>
        <v>0</v>
      </c>
      <c r="K2535" s="3">
        <f t="shared" si="522"/>
        <v>-100</v>
      </c>
      <c r="L2535" s="3">
        <f t="shared" si="523"/>
        <v>1</v>
      </c>
      <c r="M2535" s="3">
        <f t="shared" si="524"/>
        <v>0</v>
      </c>
      <c r="N2535" s="3" t="str">
        <f t="shared" si="525"/>
        <v>01</v>
      </c>
      <c r="O2535" s="14" t="str">
        <f t="shared" si="526"/>
        <v>00</v>
      </c>
      <c r="T2535" s="25"/>
    </row>
    <row r="2536" spans="1:22" hidden="1">
      <c r="J2536" s="1" t="str">
        <f t="shared" si="521"/>
        <v>0</v>
      </c>
      <c r="K2536" s="3">
        <f t="shared" si="522"/>
        <v>-100</v>
      </c>
      <c r="L2536" s="3">
        <f t="shared" si="523"/>
        <v>1</v>
      </c>
      <c r="M2536" s="3">
        <f t="shared" si="524"/>
        <v>0</v>
      </c>
      <c r="N2536" s="3" t="str">
        <f t="shared" si="525"/>
        <v>01</v>
      </c>
      <c r="O2536" s="14" t="str">
        <f t="shared" si="526"/>
        <v>00</v>
      </c>
      <c r="T2536" s="27"/>
    </row>
    <row r="2537" spans="1:22" hidden="1">
      <c r="J2537" s="1" t="str">
        <f t="shared" si="521"/>
        <v>0</v>
      </c>
      <c r="K2537" s="3">
        <f t="shared" si="522"/>
        <v>-100</v>
      </c>
      <c r="L2537" s="3">
        <f t="shared" si="523"/>
        <v>1</v>
      </c>
      <c r="M2537" s="3">
        <f t="shared" si="524"/>
        <v>0</v>
      </c>
      <c r="N2537" s="3" t="str">
        <f t="shared" si="525"/>
        <v>01</v>
      </c>
      <c r="O2537" s="14" t="str">
        <f t="shared" si="526"/>
        <v>00</v>
      </c>
    </row>
    <row r="2538" spans="1:22" hidden="1">
      <c r="J2538" s="1" t="str">
        <f t="shared" si="521"/>
        <v>0</v>
      </c>
      <c r="K2538" s="3">
        <f t="shared" si="522"/>
        <v>-100</v>
      </c>
      <c r="L2538" s="3">
        <f t="shared" si="523"/>
        <v>1</v>
      </c>
      <c r="M2538" s="3">
        <f t="shared" si="524"/>
        <v>0</v>
      </c>
      <c r="N2538" s="3" t="str">
        <f t="shared" si="525"/>
        <v>01</v>
      </c>
      <c r="O2538" s="14" t="str">
        <f t="shared" si="526"/>
        <v>00</v>
      </c>
    </row>
    <row r="2539" spans="1:22" hidden="1">
      <c r="J2539" s="1" t="str">
        <f t="shared" si="521"/>
        <v>0</v>
      </c>
      <c r="K2539" s="3">
        <f t="shared" si="522"/>
        <v>-100</v>
      </c>
      <c r="L2539" s="3">
        <f t="shared" si="523"/>
        <v>1</v>
      </c>
      <c r="M2539" s="3">
        <f t="shared" si="524"/>
        <v>0</v>
      </c>
      <c r="N2539" s="3" t="str">
        <f t="shared" si="525"/>
        <v>01</v>
      </c>
      <c r="O2539" s="14" t="str">
        <f t="shared" si="526"/>
        <v>00</v>
      </c>
    </row>
    <row r="2540" spans="1:22" hidden="1">
      <c r="J2540" s="1" t="str">
        <f t="shared" si="521"/>
        <v>0</v>
      </c>
      <c r="K2540" s="3">
        <f t="shared" si="522"/>
        <v>-100</v>
      </c>
      <c r="L2540" s="3">
        <f t="shared" si="523"/>
        <v>1</v>
      </c>
      <c r="M2540" s="3">
        <f t="shared" si="524"/>
        <v>0</v>
      </c>
      <c r="N2540" s="3" t="str">
        <f t="shared" si="525"/>
        <v>01</v>
      </c>
      <c r="O2540" s="14" t="str">
        <f t="shared" si="526"/>
        <v>00</v>
      </c>
    </row>
    <row r="2541" spans="1:22">
      <c r="A2541" s="3">
        <v>2445</v>
      </c>
      <c r="B2541" s="1">
        <f>IF(G2541="-",0,IF(G2540=G2541,1,0))</f>
        <v>0</v>
      </c>
      <c r="C2541" s="1">
        <f>+IF(G2541="-",0,IF(I2541=I2540+1,0,(IF(I2541=1,0,1))))</f>
        <v>1</v>
      </c>
      <c r="D2541" s="1">
        <f>+IF(AND(P2541="",Q2541=""),1,0)</f>
        <v>0</v>
      </c>
      <c r="E2541" s="1">
        <f>IF(U2541="",1,0)</f>
        <v>1</v>
      </c>
      <c r="F2541" s="1">
        <f>IF(V2541="",1,0)</f>
        <v>0</v>
      </c>
      <c r="G2541" s="1" t="str">
        <f>IF(H2541=0,"-",_xlfn.CONCAT(K2541,N2541,O2541,J2541))</f>
        <v>24110210</v>
      </c>
      <c r="H2541" s="2">
        <v>45598</v>
      </c>
      <c r="I2541" s="36">
        <v>10</v>
      </c>
      <c r="J2541" s="1">
        <f t="shared" si="521"/>
        <v>10</v>
      </c>
      <c r="K2541" s="3">
        <f t="shared" si="522"/>
        <v>24</v>
      </c>
      <c r="L2541" s="3">
        <f t="shared" si="523"/>
        <v>11</v>
      </c>
      <c r="M2541" s="3">
        <f t="shared" si="524"/>
        <v>2</v>
      </c>
      <c r="N2541" s="3">
        <f t="shared" si="525"/>
        <v>11</v>
      </c>
      <c r="O2541" s="14" t="str">
        <f t="shared" si="526"/>
        <v>02</v>
      </c>
      <c r="P2541" s="4">
        <v>132000</v>
      </c>
      <c r="T2541" s="32" t="s">
        <v>1007</v>
      </c>
      <c r="V2541" s="3" t="s">
        <v>4</v>
      </c>
    </row>
    <row r="2542" spans="1:22" hidden="1">
      <c r="J2542" s="1" t="str">
        <f t="shared" si="521"/>
        <v>0</v>
      </c>
      <c r="K2542" s="3">
        <f t="shared" si="522"/>
        <v>-100</v>
      </c>
      <c r="L2542" s="3">
        <f t="shared" si="523"/>
        <v>1</v>
      </c>
      <c r="M2542" s="3">
        <f t="shared" si="524"/>
        <v>0</v>
      </c>
      <c r="N2542" s="3" t="str">
        <f t="shared" si="525"/>
        <v>01</v>
      </c>
      <c r="O2542" s="14" t="str">
        <f t="shared" si="526"/>
        <v>00</v>
      </c>
    </row>
    <row r="2543" spans="1:22" hidden="1">
      <c r="J2543" s="1" t="str">
        <f t="shared" si="521"/>
        <v>0</v>
      </c>
      <c r="K2543" s="3">
        <f t="shared" si="522"/>
        <v>-100</v>
      </c>
      <c r="L2543" s="3">
        <f t="shared" si="523"/>
        <v>1</v>
      </c>
      <c r="M2543" s="3">
        <f t="shared" si="524"/>
        <v>0</v>
      </c>
      <c r="N2543" s="3" t="str">
        <f t="shared" si="525"/>
        <v>01</v>
      </c>
      <c r="O2543" s="14" t="str">
        <f t="shared" si="526"/>
        <v>00</v>
      </c>
    </row>
    <row r="2544" spans="1:22" hidden="1">
      <c r="J2544" s="1" t="str">
        <f t="shared" si="521"/>
        <v>0</v>
      </c>
      <c r="K2544" s="3">
        <f t="shared" si="522"/>
        <v>-100</v>
      </c>
      <c r="L2544" s="3">
        <f t="shared" si="523"/>
        <v>1</v>
      </c>
      <c r="M2544" s="3">
        <f t="shared" si="524"/>
        <v>0</v>
      </c>
      <c r="N2544" s="3" t="str">
        <f t="shared" si="525"/>
        <v>01</v>
      </c>
      <c r="O2544" s="14" t="str">
        <f t="shared" si="526"/>
        <v>00</v>
      </c>
    </row>
    <row r="2545" spans="10:15" hidden="1">
      <c r="J2545" s="1" t="str">
        <f t="shared" si="521"/>
        <v>0</v>
      </c>
      <c r="K2545" s="3">
        <f t="shared" si="522"/>
        <v>-100</v>
      </c>
      <c r="L2545" s="3">
        <f t="shared" si="523"/>
        <v>1</v>
      </c>
      <c r="M2545" s="3">
        <f t="shared" si="524"/>
        <v>0</v>
      </c>
      <c r="N2545" s="3" t="str">
        <f t="shared" si="525"/>
        <v>01</v>
      </c>
      <c r="O2545" s="14" t="str">
        <f t="shared" si="526"/>
        <v>00</v>
      </c>
    </row>
    <row r="2546" spans="10:15" hidden="1">
      <c r="J2546" s="1" t="str">
        <f t="shared" si="521"/>
        <v>0</v>
      </c>
      <c r="K2546" s="3">
        <f t="shared" si="522"/>
        <v>-100</v>
      </c>
      <c r="L2546" s="3">
        <f t="shared" si="523"/>
        <v>1</v>
      </c>
      <c r="M2546" s="3">
        <f t="shared" si="524"/>
        <v>0</v>
      </c>
      <c r="N2546" s="3" t="str">
        <f t="shared" si="525"/>
        <v>01</v>
      </c>
      <c r="O2546" s="14" t="str">
        <f t="shared" si="526"/>
        <v>00</v>
      </c>
    </row>
    <row r="2547" spans="10:15" hidden="1">
      <c r="J2547" s="1" t="str">
        <f t="shared" si="521"/>
        <v>0</v>
      </c>
      <c r="K2547" s="3">
        <f t="shared" si="522"/>
        <v>-100</v>
      </c>
      <c r="L2547" s="3">
        <f t="shared" si="523"/>
        <v>1</v>
      </c>
      <c r="M2547" s="3">
        <f t="shared" si="524"/>
        <v>0</v>
      </c>
      <c r="N2547" s="3" t="str">
        <f t="shared" si="525"/>
        <v>01</v>
      </c>
      <c r="O2547" s="14" t="str">
        <f t="shared" si="526"/>
        <v>00</v>
      </c>
    </row>
    <row r="2548" spans="10:15" hidden="1">
      <c r="J2548" s="1" t="str">
        <f t="shared" si="521"/>
        <v>0</v>
      </c>
      <c r="K2548" s="3">
        <f t="shared" si="522"/>
        <v>-100</v>
      </c>
      <c r="L2548" s="3">
        <f t="shared" si="523"/>
        <v>1</v>
      </c>
      <c r="M2548" s="3">
        <f t="shared" si="524"/>
        <v>0</v>
      </c>
      <c r="N2548" s="3" t="str">
        <f t="shared" si="525"/>
        <v>01</v>
      </c>
      <c r="O2548" s="14" t="str">
        <f t="shared" si="526"/>
        <v>00</v>
      </c>
    </row>
    <row r="2549" spans="10:15" hidden="1">
      <c r="J2549" s="1" t="str">
        <f t="shared" si="521"/>
        <v>0</v>
      </c>
      <c r="K2549" s="3">
        <f t="shared" si="522"/>
        <v>-100</v>
      </c>
      <c r="L2549" s="3">
        <f t="shared" si="523"/>
        <v>1</v>
      </c>
      <c r="M2549" s="3">
        <f t="shared" si="524"/>
        <v>0</v>
      </c>
      <c r="N2549" s="3" t="str">
        <f t="shared" si="525"/>
        <v>01</v>
      </c>
      <c r="O2549" s="14" t="str">
        <f t="shared" si="526"/>
        <v>00</v>
      </c>
    </row>
    <row r="2550" spans="10:15" hidden="1">
      <c r="J2550" s="1" t="str">
        <f t="shared" si="521"/>
        <v>0</v>
      </c>
      <c r="K2550" s="3">
        <f t="shared" si="522"/>
        <v>-100</v>
      </c>
      <c r="L2550" s="3">
        <f t="shared" si="523"/>
        <v>1</v>
      </c>
      <c r="M2550" s="3">
        <f t="shared" si="524"/>
        <v>0</v>
      </c>
      <c r="N2550" s="3" t="str">
        <f t="shared" si="525"/>
        <v>01</v>
      </c>
      <c r="O2550" s="14" t="str">
        <f t="shared" si="526"/>
        <v>00</v>
      </c>
    </row>
    <row r="2551" spans="10:15" hidden="1">
      <c r="J2551" s="1" t="str">
        <f t="shared" si="521"/>
        <v>0</v>
      </c>
      <c r="K2551" s="3">
        <f t="shared" si="522"/>
        <v>-100</v>
      </c>
      <c r="L2551" s="3">
        <f t="shared" si="523"/>
        <v>1</v>
      </c>
      <c r="M2551" s="3">
        <f t="shared" si="524"/>
        <v>0</v>
      </c>
      <c r="N2551" s="3" t="str">
        <f t="shared" si="525"/>
        <v>01</v>
      </c>
      <c r="O2551" s="14" t="str">
        <f t="shared" si="526"/>
        <v>00</v>
      </c>
    </row>
    <row r="2552" spans="10:15" hidden="1">
      <c r="J2552" s="1" t="str">
        <f t="shared" si="521"/>
        <v>0</v>
      </c>
      <c r="K2552" s="3">
        <f t="shared" si="522"/>
        <v>-100</v>
      </c>
      <c r="L2552" s="3">
        <f t="shared" si="523"/>
        <v>1</v>
      </c>
      <c r="M2552" s="3">
        <f t="shared" si="524"/>
        <v>0</v>
      </c>
      <c r="N2552" s="3" t="str">
        <f t="shared" si="525"/>
        <v>01</v>
      </c>
      <c r="O2552" s="14" t="str">
        <f t="shared" si="526"/>
        <v>00</v>
      </c>
    </row>
    <row r="2553" spans="10:15" hidden="1">
      <c r="J2553" s="1" t="str">
        <f t="shared" si="521"/>
        <v>0</v>
      </c>
      <c r="K2553" s="3">
        <f t="shared" si="522"/>
        <v>-100</v>
      </c>
      <c r="L2553" s="3">
        <f t="shared" si="523"/>
        <v>1</v>
      </c>
      <c r="M2553" s="3">
        <f t="shared" si="524"/>
        <v>0</v>
      </c>
      <c r="N2553" s="3" t="str">
        <f t="shared" si="525"/>
        <v>01</v>
      </c>
      <c r="O2553" s="14" t="str">
        <f t="shared" si="526"/>
        <v>00</v>
      </c>
    </row>
    <row r="2554" spans="10:15" hidden="1">
      <c r="J2554" s="1" t="str">
        <f t="shared" si="521"/>
        <v>0</v>
      </c>
      <c r="K2554" s="3">
        <f t="shared" si="522"/>
        <v>-100</v>
      </c>
      <c r="L2554" s="3">
        <f t="shared" si="523"/>
        <v>1</v>
      </c>
      <c r="M2554" s="3">
        <f t="shared" si="524"/>
        <v>0</v>
      </c>
      <c r="N2554" s="3" t="str">
        <f t="shared" si="525"/>
        <v>01</v>
      </c>
      <c r="O2554" s="14" t="str">
        <f t="shared" si="526"/>
        <v>00</v>
      </c>
    </row>
    <row r="2555" spans="10:15" hidden="1">
      <c r="J2555" s="1" t="str">
        <f t="shared" si="521"/>
        <v>0</v>
      </c>
      <c r="K2555" s="3">
        <f t="shared" si="522"/>
        <v>-100</v>
      </c>
      <c r="L2555" s="3">
        <f t="shared" si="523"/>
        <v>1</v>
      </c>
      <c r="M2555" s="3">
        <f t="shared" si="524"/>
        <v>0</v>
      </c>
      <c r="N2555" s="3" t="str">
        <f t="shared" si="525"/>
        <v>01</v>
      </c>
      <c r="O2555" s="14" t="str">
        <f t="shared" si="526"/>
        <v>00</v>
      </c>
    </row>
    <row r="2556" spans="10:15" hidden="1">
      <c r="J2556" s="1" t="str">
        <f t="shared" si="521"/>
        <v>0</v>
      </c>
      <c r="K2556" s="3">
        <f t="shared" si="522"/>
        <v>-100</v>
      </c>
      <c r="L2556" s="3">
        <f t="shared" si="523"/>
        <v>1</v>
      </c>
      <c r="M2556" s="3">
        <f t="shared" si="524"/>
        <v>0</v>
      </c>
      <c r="N2556" s="3" t="str">
        <f t="shared" si="525"/>
        <v>01</v>
      </c>
      <c r="O2556" s="14" t="str">
        <f t="shared" si="526"/>
        <v>00</v>
      </c>
    </row>
    <row r="2557" spans="10:15" hidden="1">
      <c r="J2557" s="1" t="str">
        <f t="shared" si="521"/>
        <v>0</v>
      </c>
      <c r="K2557" s="3">
        <f t="shared" si="522"/>
        <v>-100</v>
      </c>
      <c r="L2557" s="3">
        <f t="shared" si="523"/>
        <v>1</v>
      </c>
      <c r="M2557" s="3">
        <f t="shared" si="524"/>
        <v>0</v>
      </c>
      <c r="N2557" s="3" t="str">
        <f t="shared" si="525"/>
        <v>01</v>
      </c>
      <c r="O2557" s="14" t="str">
        <f t="shared" si="526"/>
        <v>00</v>
      </c>
    </row>
    <row r="2558" spans="10:15" hidden="1">
      <c r="J2558" s="1" t="str">
        <f t="shared" si="521"/>
        <v>0</v>
      </c>
      <c r="K2558" s="3">
        <f t="shared" si="522"/>
        <v>-100</v>
      </c>
      <c r="L2558" s="3">
        <f t="shared" si="523"/>
        <v>1</v>
      </c>
      <c r="M2558" s="3">
        <f t="shared" si="524"/>
        <v>0</v>
      </c>
      <c r="N2558" s="3" t="str">
        <f t="shared" si="525"/>
        <v>01</v>
      </c>
      <c r="O2558" s="14" t="str">
        <f t="shared" si="526"/>
        <v>00</v>
      </c>
    </row>
    <row r="2559" spans="10:15" hidden="1">
      <c r="J2559" s="1" t="str">
        <f t="shared" si="521"/>
        <v>0</v>
      </c>
      <c r="K2559" s="3">
        <f t="shared" si="522"/>
        <v>-100</v>
      </c>
      <c r="L2559" s="3">
        <f t="shared" si="523"/>
        <v>1</v>
      </c>
      <c r="M2559" s="3">
        <f t="shared" si="524"/>
        <v>0</v>
      </c>
      <c r="N2559" s="3" t="str">
        <f t="shared" si="525"/>
        <v>01</v>
      </c>
      <c r="O2559" s="14" t="str">
        <f t="shared" si="526"/>
        <v>00</v>
      </c>
    </row>
    <row r="2560" spans="10:15" hidden="1">
      <c r="J2560" s="1" t="str">
        <f t="shared" si="521"/>
        <v>0</v>
      </c>
      <c r="K2560" s="3">
        <f t="shared" si="522"/>
        <v>-100</v>
      </c>
      <c r="L2560" s="3">
        <f t="shared" si="523"/>
        <v>1</v>
      </c>
      <c r="M2560" s="3">
        <f t="shared" si="524"/>
        <v>0</v>
      </c>
      <c r="N2560" s="3" t="str">
        <f t="shared" si="525"/>
        <v>01</v>
      </c>
      <c r="O2560" s="14" t="str">
        <f t="shared" si="526"/>
        <v>00</v>
      </c>
    </row>
    <row r="2561" spans="10:20" hidden="1">
      <c r="J2561" s="1" t="str">
        <f t="shared" si="521"/>
        <v>0</v>
      </c>
      <c r="K2561" s="3">
        <f t="shared" si="522"/>
        <v>-100</v>
      </c>
      <c r="L2561" s="3">
        <f t="shared" si="523"/>
        <v>1</v>
      </c>
      <c r="M2561" s="3">
        <f t="shared" si="524"/>
        <v>0</v>
      </c>
      <c r="N2561" s="3" t="str">
        <f t="shared" si="525"/>
        <v>01</v>
      </c>
      <c r="O2561" s="14" t="str">
        <f t="shared" si="526"/>
        <v>00</v>
      </c>
      <c r="T2561" s="135"/>
    </row>
    <row r="2562" spans="10:20" hidden="1">
      <c r="J2562" s="1" t="str">
        <f t="shared" si="521"/>
        <v>0</v>
      </c>
      <c r="K2562" s="3">
        <f t="shared" si="522"/>
        <v>-100</v>
      </c>
      <c r="L2562" s="3">
        <f t="shared" si="523"/>
        <v>1</v>
      </c>
      <c r="M2562" s="3">
        <f t="shared" si="524"/>
        <v>0</v>
      </c>
      <c r="N2562" s="3" t="str">
        <f t="shared" si="525"/>
        <v>01</v>
      </c>
      <c r="O2562" s="14" t="str">
        <f t="shared" si="526"/>
        <v>00</v>
      </c>
      <c r="T2562" s="135"/>
    </row>
    <row r="2563" spans="10:20" hidden="1">
      <c r="J2563" s="1" t="str">
        <f t="shared" si="521"/>
        <v>0</v>
      </c>
      <c r="K2563" s="3">
        <f t="shared" si="522"/>
        <v>-100</v>
      </c>
      <c r="L2563" s="3">
        <f t="shared" si="523"/>
        <v>1</v>
      </c>
      <c r="M2563" s="3">
        <f t="shared" si="524"/>
        <v>0</v>
      </c>
      <c r="N2563" s="3" t="str">
        <f t="shared" si="525"/>
        <v>01</v>
      </c>
      <c r="O2563" s="14" t="str">
        <f t="shared" si="526"/>
        <v>00</v>
      </c>
      <c r="T2563" s="135"/>
    </row>
    <row r="2564" spans="10:20" hidden="1">
      <c r="J2564" s="1" t="str">
        <f t="shared" si="521"/>
        <v>0</v>
      </c>
      <c r="K2564" s="3">
        <f t="shared" si="522"/>
        <v>-100</v>
      </c>
      <c r="L2564" s="3">
        <f t="shared" si="523"/>
        <v>1</v>
      </c>
      <c r="M2564" s="3">
        <f t="shared" si="524"/>
        <v>0</v>
      </c>
      <c r="N2564" s="3" t="str">
        <f t="shared" si="525"/>
        <v>01</v>
      </c>
      <c r="O2564" s="14" t="str">
        <f t="shared" si="526"/>
        <v>00</v>
      </c>
      <c r="T2564" s="135"/>
    </row>
    <row r="2565" spans="10:20" hidden="1">
      <c r="J2565" s="1" t="str">
        <f t="shared" si="521"/>
        <v>0</v>
      </c>
      <c r="K2565" s="3">
        <f t="shared" si="522"/>
        <v>-100</v>
      </c>
      <c r="L2565" s="3">
        <f t="shared" si="523"/>
        <v>1</v>
      </c>
      <c r="M2565" s="3">
        <f t="shared" si="524"/>
        <v>0</v>
      </c>
      <c r="N2565" s="3" t="str">
        <f t="shared" si="525"/>
        <v>01</v>
      </c>
      <c r="O2565" s="14" t="str">
        <f t="shared" si="526"/>
        <v>00</v>
      </c>
      <c r="T2565" s="135"/>
    </row>
    <row r="2566" spans="10:20" hidden="1">
      <c r="J2566" s="1" t="str">
        <f t="shared" si="521"/>
        <v>0</v>
      </c>
      <c r="K2566" s="3">
        <f t="shared" si="522"/>
        <v>-100</v>
      </c>
      <c r="L2566" s="3">
        <f t="shared" si="523"/>
        <v>1</v>
      </c>
      <c r="M2566" s="3">
        <f t="shared" si="524"/>
        <v>0</v>
      </c>
      <c r="N2566" s="3" t="str">
        <f t="shared" si="525"/>
        <v>01</v>
      </c>
      <c r="O2566" s="14" t="str">
        <f t="shared" si="526"/>
        <v>00</v>
      </c>
      <c r="T2566" s="135"/>
    </row>
    <row r="2567" spans="10:20" hidden="1">
      <c r="J2567" s="1" t="str">
        <f t="shared" si="521"/>
        <v>0</v>
      </c>
      <c r="K2567" s="3">
        <f t="shared" si="522"/>
        <v>-100</v>
      </c>
      <c r="L2567" s="3">
        <f t="shared" si="523"/>
        <v>1</v>
      </c>
      <c r="M2567" s="3">
        <f t="shared" si="524"/>
        <v>0</v>
      </c>
      <c r="N2567" s="3" t="str">
        <f t="shared" si="525"/>
        <v>01</v>
      </c>
      <c r="O2567" s="14" t="str">
        <f t="shared" si="526"/>
        <v>00</v>
      </c>
      <c r="T2567" s="135"/>
    </row>
    <row r="2568" spans="10:20" hidden="1">
      <c r="J2568" s="1" t="str">
        <f t="shared" si="521"/>
        <v>0</v>
      </c>
      <c r="K2568" s="3">
        <f t="shared" si="522"/>
        <v>-100</v>
      </c>
      <c r="L2568" s="3">
        <f t="shared" si="523"/>
        <v>1</v>
      </c>
      <c r="M2568" s="3">
        <f t="shared" si="524"/>
        <v>0</v>
      </c>
      <c r="N2568" s="3" t="str">
        <f t="shared" si="525"/>
        <v>01</v>
      </c>
      <c r="O2568" s="14" t="str">
        <f t="shared" si="526"/>
        <v>00</v>
      </c>
      <c r="T2568" s="135"/>
    </row>
    <row r="2569" spans="10:20" hidden="1">
      <c r="J2569" s="1" t="str">
        <f t="shared" si="521"/>
        <v>0</v>
      </c>
      <c r="K2569" s="3">
        <f t="shared" si="522"/>
        <v>-100</v>
      </c>
      <c r="L2569" s="3">
        <f t="shared" si="523"/>
        <v>1</v>
      </c>
      <c r="M2569" s="3">
        <f t="shared" si="524"/>
        <v>0</v>
      </c>
      <c r="N2569" s="3" t="str">
        <f t="shared" si="525"/>
        <v>01</v>
      </c>
      <c r="O2569" s="14" t="str">
        <f t="shared" si="526"/>
        <v>00</v>
      </c>
    </row>
    <row r="2570" spans="10:20" hidden="1">
      <c r="J2570" s="1" t="str">
        <f t="shared" si="521"/>
        <v>0</v>
      </c>
      <c r="K2570" s="3">
        <f t="shared" si="522"/>
        <v>-100</v>
      </c>
      <c r="L2570" s="3">
        <f t="shared" si="523"/>
        <v>1</v>
      </c>
      <c r="M2570" s="3">
        <f t="shared" si="524"/>
        <v>0</v>
      </c>
      <c r="N2570" s="3" t="str">
        <f t="shared" si="525"/>
        <v>01</v>
      </c>
      <c r="O2570" s="14" t="str">
        <f t="shared" si="526"/>
        <v>00</v>
      </c>
    </row>
    <row r="2571" spans="10:20" hidden="1">
      <c r="J2571" s="1" t="str">
        <f t="shared" si="521"/>
        <v>0</v>
      </c>
      <c r="K2571" s="3">
        <f t="shared" si="522"/>
        <v>-100</v>
      </c>
      <c r="L2571" s="3">
        <f t="shared" si="523"/>
        <v>1</v>
      </c>
      <c r="M2571" s="3">
        <f t="shared" si="524"/>
        <v>0</v>
      </c>
      <c r="N2571" s="3" t="str">
        <f t="shared" si="525"/>
        <v>01</v>
      </c>
      <c r="O2571" s="14" t="str">
        <f t="shared" si="526"/>
        <v>00</v>
      </c>
    </row>
    <row r="2572" spans="10:20" hidden="1">
      <c r="J2572" s="1" t="str">
        <f t="shared" si="521"/>
        <v>0</v>
      </c>
      <c r="K2572" s="3">
        <f t="shared" si="522"/>
        <v>-100</v>
      </c>
      <c r="L2572" s="3">
        <f t="shared" si="523"/>
        <v>1</v>
      </c>
      <c r="M2572" s="3">
        <f t="shared" si="524"/>
        <v>0</v>
      </c>
      <c r="N2572" s="3" t="str">
        <f t="shared" si="525"/>
        <v>01</v>
      </c>
      <c r="O2572" s="14" t="str">
        <f t="shared" si="526"/>
        <v>00</v>
      </c>
    </row>
    <row r="2573" spans="10:20" hidden="1">
      <c r="J2573" s="1" t="str">
        <f t="shared" si="521"/>
        <v>0</v>
      </c>
      <c r="K2573" s="3">
        <f t="shared" si="522"/>
        <v>-100</v>
      </c>
      <c r="L2573" s="3">
        <f t="shared" si="523"/>
        <v>1</v>
      </c>
      <c r="M2573" s="3">
        <f t="shared" si="524"/>
        <v>0</v>
      </c>
      <c r="N2573" s="3" t="str">
        <f t="shared" si="525"/>
        <v>01</v>
      </c>
      <c r="O2573" s="14" t="str">
        <f t="shared" si="526"/>
        <v>00</v>
      </c>
    </row>
    <row r="2574" spans="10:20" hidden="1">
      <c r="J2574" s="1" t="str">
        <f t="shared" si="521"/>
        <v>0</v>
      </c>
      <c r="K2574" s="3">
        <f t="shared" si="522"/>
        <v>-100</v>
      </c>
      <c r="L2574" s="3">
        <f t="shared" si="523"/>
        <v>1</v>
      </c>
      <c r="M2574" s="3">
        <f t="shared" si="524"/>
        <v>0</v>
      </c>
      <c r="N2574" s="3" t="str">
        <f t="shared" si="525"/>
        <v>01</v>
      </c>
      <c r="O2574" s="14" t="str">
        <f t="shared" si="526"/>
        <v>00</v>
      </c>
    </row>
    <row r="2575" spans="10:20" hidden="1">
      <c r="J2575" s="1" t="str">
        <f t="shared" si="521"/>
        <v>0</v>
      </c>
      <c r="K2575" s="3">
        <f t="shared" si="522"/>
        <v>-100</v>
      </c>
      <c r="L2575" s="3">
        <f t="shared" si="523"/>
        <v>1</v>
      </c>
      <c r="M2575" s="3">
        <f t="shared" si="524"/>
        <v>0</v>
      </c>
      <c r="N2575" s="3" t="str">
        <f t="shared" si="525"/>
        <v>01</v>
      </c>
      <c r="O2575" s="14" t="str">
        <f t="shared" si="526"/>
        <v>00</v>
      </c>
    </row>
    <row r="2576" spans="10:20" hidden="1">
      <c r="J2576" s="1" t="str">
        <f t="shared" si="521"/>
        <v>0</v>
      </c>
      <c r="K2576" s="3">
        <f t="shared" si="522"/>
        <v>-100</v>
      </c>
      <c r="L2576" s="3">
        <f t="shared" si="523"/>
        <v>1</v>
      </c>
      <c r="M2576" s="3">
        <f t="shared" si="524"/>
        <v>0</v>
      </c>
      <c r="N2576" s="3" t="str">
        <f t="shared" si="525"/>
        <v>01</v>
      </c>
      <c r="O2576" s="14" t="str">
        <f t="shared" si="526"/>
        <v>00</v>
      </c>
    </row>
    <row r="2577" spans="10:20" hidden="1">
      <c r="J2577" s="1" t="str">
        <f t="shared" si="521"/>
        <v>0</v>
      </c>
      <c r="K2577" s="3">
        <f t="shared" si="522"/>
        <v>-100</v>
      </c>
      <c r="L2577" s="3">
        <f t="shared" si="523"/>
        <v>1</v>
      </c>
      <c r="M2577" s="3">
        <f t="shared" si="524"/>
        <v>0</v>
      </c>
      <c r="N2577" s="3" t="str">
        <f t="shared" si="525"/>
        <v>01</v>
      </c>
      <c r="O2577" s="14" t="str">
        <f t="shared" si="526"/>
        <v>00</v>
      </c>
    </row>
    <row r="2578" spans="10:20" hidden="1">
      <c r="J2578" s="1" t="str">
        <f t="shared" si="521"/>
        <v>0</v>
      </c>
      <c r="K2578" s="3">
        <f t="shared" si="522"/>
        <v>-100</v>
      </c>
      <c r="L2578" s="3">
        <f t="shared" si="523"/>
        <v>1</v>
      </c>
      <c r="M2578" s="3">
        <f t="shared" si="524"/>
        <v>0</v>
      </c>
      <c r="N2578" s="3" t="str">
        <f t="shared" si="525"/>
        <v>01</v>
      </c>
      <c r="O2578" s="14" t="str">
        <f t="shared" si="526"/>
        <v>00</v>
      </c>
    </row>
    <row r="2579" spans="10:20" hidden="1">
      <c r="J2579" s="1" t="str">
        <f t="shared" si="521"/>
        <v>0</v>
      </c>
      <c r="K2579" s="3">
        <f t="shared" si="522"/>
        <v>-100</v>
      </c>
      <c r="L2579" s="3">
        <f t="shared" si="523"/>
        <v>1</v>
      </c>
      <c r="M2579" s="3">
        <f t="shared" si="524"/>
        <v>0</v>
      </c>
      <c r="N2579" s="3" t="str">
        <f t="shared" si="525"/>
        <v>01</v>
      </c>
      <c r="O2579" s="14" t="str">
        <f t="shared" si="526"/>
        <v>00</v>
      </c>
    </row>
    <row r="2580" spans="10:20" hidden="1">
      <c r="J2580" s="1" t="str">
        <f t="shared" si="521"/>
        <v>0</v>
      </c>
      <c r="K2580" s="3">
        <f t="shared" si="522"/>
        <v>-100</v>
      </c>
      <c r="L2580" s="3">
        <f t="shared" si="523"/>
        <v>1</v>
      </c>
      <c r="M2580" s="3">
        <f t="shared" si="524"/>
        <v>0</v>
      </c>
      <c r="N2580" s="3" t="str">
        <f t="shared" si="525"/>
        <v>01</v>
      </c>
      <c r="O2580" s="14" t="str">
        <f t="shared" si="526"/>
        <v>00</v>
      </c>
    </row>
    <row r="2581" spans="10:20" hidden="1">
      <c r="J2581" s="1" t="str">
        <f t="shared" si="521"/>
        <v>0</v>
      </c>
      <c r="K2581" s="3">
        <f t="shared" si="522"/>
        <v>-100</v>
      </c>
      <c r="L2581" s="3">
        <f t="shared" si="523"/>
        <v>1</v>
      </c>
      <c r="M2581" s="3">
        <f t="shared" si="524"/>
        <v>0</v>
      </c>
      <c r="N2581" s="3" t="str">
        <f t="shared" si="525"/>
        <v>01</v>
      </c>
      <c r="O2581" s="14" t="str">
        <f t="shared" si="526"/>
        <v>00</v>
      </c>
    </row>
    <row r="2582" spans="10:20" hidden="1">
      <c r="J2582" s="1" t="str">
        <f t="shared" si="521"/>
        <v>0</v>
      </c>
      <c r="K2582" s="3">
        <f t="shared" si="522"/>
        <v>-100</v>
      </c>
      <c r="L2582" s="3">
        <f t="shared" si="523"/>
        <v>1</v>
      </c>
      <c r="M2582" s="3">
        <f t="shared" si="524"/>
        <v>0</v>
      </c>
      <c r="N2582" s="3" t="str">
        <f t="shared" si="525"/>
        <v>01</v>
      </c>
      <c r="O2582" s="14" t="str">
        <f t="shared" si="526"/>
        <v>00</v>
      </c>
    </row>
    <row r="2583" spans="10:20" hidden="1">
      <c r="J2583" s="1" t="str">
        <f t="shared" si="521"/>
        <v>0</v>
      </c>
      <c r="K2583" s="3">
        <f t="shared" si="522"/>
        <v>-100</v>
      </c>
      <c r="L2583" s="3">
        <f t="shared" si="523"/>
        <v>1</v>
      </c>
      <c r="M2583" s="3">
        <f t="shared" si="524"/>
        <v>0</v>
      </c>
      <c r="N2583" s="3" t="str">
        <f t="shared" si="525"/>
        <v>01</v>
      </c>
      <c r="O2583" s="14" t="str">
        <f t="shared" si="526"/>
        <v>00</v>
      </c>
      <c r="T2583" s="120"/>
    </row>
    <row r="2584" spans="10:20" hidden="1">
      <c r="J2584" s="1" t="str">
        <f t="shared" si="521"/>
        <v>0</v>
      </c>
      <c r="K2584" s="3">
        <f t="shared" si="522"/>
        <v>-100</v>
      </c>
      <c r="L2584" s="3">
        <f t="shared" si="523"/>
        <v>1</v>
      </c>
      <c r="M2584" s="3">
        <f t="shared" si="524"/>
        <v>0</v>
      </c>
      <c r="N2584" s="3" t="str">
        <f t="shared" si="525"/>
        <v>01</v>
      </c>
      <c r="O2584" s="14" t="str">
        <f t="shared" si="526"/>
        <v>00</v>
      </c>
      <c r="T2584" s="120"/>
    </row>
    <row r="2585" spans="10:20" hidden="1">
      <c r="J2585" s="1" t="str">
        <f t="shared" si="521"/>
        <v>0</v>
      </c>
      <c r="K2585" s="3">
        <f t="shared" si="522"/>
        <v>-100</v>
      </c>
      <c r="L2585" s="3">
        <f t="shared" si="523"/>
        <v>1</v>
      </c>
      <c r="M2585" s="3">
        <f t="shared" si="524"/>
        <v>0</v>
      </c>
      <c r="N2585" s="3" t="str">
        <f t="shared" si="525"/>
        <v>01</v>
      </c>
      <c r="O2585" s="14" t="str">
        <f t="shared" si="526"/>
        <v>00</v>
      </c>
      <c r="T2585" s="120"/>
    </row>
    <row r="2586" spans="10:20" hidden="1">
      <c r="J2586" s="1" t="str">
        <f t="shared" si="521"/>
        <v>0</v>
      </c>
      <c r="K2586" s="3">
        <f t="shared" si="522"/>
        <v>-100</v>
      </c>
      <c r="L2586" s="3">
        <f t="shared" si="523"/>
        <v>1</v>
      </c>
      <c r="M2586" s="3">
        <f t="shared" si="524"/>
        <v>0</v>
      </c>
      <c r="N2586" s="3" t="str">
        <f t="shared" si="525"/>
        <v>01</v>
      </c>
      <c r="O2586" s="14" t="str">
        <f t="shared" si="526"/>
        <v>00</v>
      </c>
      <c r="T2586" s="120"/>
    </row>
    <row r="2587" spans="10:20" hidden="1">
      <c r="J2587" s="1" t="str">
        <f t="shared" si="521"/>
        <v>0</v>
      </c>
      <c r="K2587" s="3">
        <f t="shared" si="522"/>
        <v>-100</v>
      </c>
      <c r="L2587" s="3">
        <f t="shared" si="523"/>
        <v>1</v>
      </c>
      <c r="M2587" s="3">
        <f t="shared" si="524"/>
        <v>0</v>
      </c>
      <c r="N2587" s="3" t="str">
        <f t="shared" si="525"/>
        <v>01</v>
      </c>
      <c r="O2587" s="14" t="str">
        <f t="shared" si="526"/>
        <v>00</v>
      </c>
      <c r="T2587" s="120"/>
    </row>
    <row r="2588" spans="10:20" hidden="1">
      <c r="J2588" s="1" t="str">
        <f t="shared" si="521"/>
        <v>0</v>
      </c>
      <c r="K2588" s="3">
        <f t="shared" si="522"/>
        <v>-100</v>
      </c>
      <c r="L2588" s="3">
        <f t="shared" si="523"/>
        <v>1</v>
      </c>
      <c r="M2588" s="3">
        <f t="shared" si="524"/>
        <v>0</v>
      </c>
      <c r="N2588" s="3" t="str">
        <f t="shared" si="525"/>
        <v>01</v>
      </c>
      <c r="O2588" s="14" t="str">
        <f t="shared" si="526"/>
        <v>00</v>
      </c>
      <c r="T2588" s="120"/>
    </row>
    <row r="2589" spans="10:20" hidden="1">
      <c r="J2589" s="1" t="str">
        <f t="shared" si="521"/>
        <v>0</v>
      </c>
      <c r="K2589" s="3">
        <f t="shared" si="522"/>
        <v>-100</v>
      </c>
      <c r="L2589" s="3">
        <f t="shared" si="523"/>
        <v>1</v>
      </c>
      <c r="M2589" s="3">
        <f t="shared" si="524"/>
        <v>0</v>
      </c>
      <c r="N2589" s="3" t="str">
        <f t="shared" si="525"/>
        <v>01</v>
      </c>
      <c r="O2589" s="14" t="str">
        <f t="shared" si="526"/>
        <v>00</v>
      </c>
      <c r="T2589" s="19"/>
    </row>
    <row r="2590" spans="10:20" hidden="1">
      <c r="J2590" s="1" t="str">
        <f t="shared" si="521"/>
        <v>0</v>
      </c>
      <c r="K2590" s="3">
        <f t="shared" si="522"/>
        <v>-100</v>
      </c>
      <c r="L2590" s="3">
        <f t="shared" si="523"/>
        <v>1</v>
      </c>
      <c r="M2590" s="3">
        <f t="shared" si="524"/>
        <v>0</v>
      </c>
      <c r="N2590" s="3" t="str">
        <f t="shared" si="525"/>
        <v>01</v>
      </c>
      <c r="O2590" s="14" t="str">
        <f t="shared" si="526"/>
        <v>00</v>
      </c>
      <c r="T2590" s="19"/>
    </row>
    <row r="2591" spans="10:20" hidden="1">
      <c r="J2591" s="1" t="str">
        <f t="shared" si="521"/>
        <v>0</v>
      </c>
      <c r="K2591" s="3">
        <f t="shared" si="522"/>
        <v>-100</v>
      </c>
      <c r="L2591" s="3">
        <f t="shared" si="523"/>
        <v>1</v>
      </c>
      <c r="M2591" s="3">
        <f t="shared" si="524"/>
        <v>0</v>
      </c>
      <c r="N2591" s="3" t="str">
        <f t="shared" si="525"/>
        <v>01</v>
      </c>
      <c r="O2591" s="14" t="str">
        <f t="shared" si="526"/>
        <v>00</v>
      </c>
      <c r="T2591" s="19"/>
    </row>
    <row r="2592" spans="10:20" hidden="1">
      <c r="J2592" s="1" t="str">
        <f t="shared" si="521"/>
        <v>0</v>
      </c>
      <c r="K2592" s="3">
        <f t="shared" si="522"/>
        <v>-100</v>
      </c>
      <c r="L2592" s="3">
        <f t="shared" si="523"/>
        <v>1</v>
      </c>
      <c r="M2592" s="3">
        <f t="shared" si="524"/>
        <v>0</v>
      </c>
      <c r="N2592" s="3" t="str">
        <f t="shared" si="525"/>
        <v>01</v>
      </c>
      <c r="O2592" s="14" t="str">
        <f t="shared" si="526"/>
        <v>00</v>
      </c>
      <c r="T2592" s="19"/>
    </row>
    <row r="2593" spans="10:20" hidden="1">
      <c r="J2593" s="1" t="str">
        <f t="shared" si="521"/>
        <v>0</v>
      </c>
      <c r="K2593" s="3">
        <f t="shared" si="522"/>
        <v>-100</v>
      </c>
      <c r="L2593" s="3">
        <f t="shared" si="523"/>
        <v>1</v>
      </c>
      <c r="M2593" s="3">
        <f t="shared" si="524"/>
        <v>0</v>
      </c>
      <c r="N2593" s="3" t="str">
        <f t="shared" si="525"/>
        <v>01</v>
      </c>
      <c r="O2593" s="14" t="str">
        <f t="shared" si="526"/>
        <v>00</v>
      </c>
      <c r="T2593" s="19"/>
    </row>
    <row r="2594" spans="10:20" hidden="1">
      <c r="J2594" s="1" t="str">
        <f t="shared" ref="J2594:J2657" si="527">+IF(I2594&lt;10,_xlfn.CONCAT("0",I2594),I2594)</f>
        <v>0</v>
      </c>
      <c r="K2594" s="3">
        <f t="shared" ref="K2594:K2657" si="528">+YEAR(H2594)-2000</f>
        <v>-100</v>
      </c>
      <c r="L2594" s="3">
        <f t="shared" ref="L2594:L2657" si="529">+MONTH(H2594)</f>
        <v>1</v>
      </c>
      <c r="M2594" s="3">
        <f t="shared" ref="M2594:M2657" si="530">+DAY(H2594)</f>
        <v>0</v>
      </c>
      <c r="N2594" s="3" t="str">
        <f t="shared" ref="N2594:N2657" si="531">+IF(L2594&lt;10,_xlfn.CONCAT("0",L2594),L2594)</f>
        <v>01</v>
      </c>
      <c r="O2594" s="14" t="str">
        <f t="shared" ref="O2594:O2657" si="532">+IF(M2594&lt;10,_xlfn.CONCAT("0",M2594),M2594)</f>
        <v>00</v>
      </c>
      <c r="T2594" s="19"/>
    </row>
    <row r="2595" spans="10:20" hidden="1">
      <c r="J2595" s="1" t="str">
        <f t="shared" si="527"/>
        <v>0</v>
      </c>
      <c r="K2595" s="3">
        <f t="shared" si="528"/>
        <v>-100</v>
      </c>
      <c r="L2595" s="3">
        <f t="shared" si="529"/>
        <v>1</v>
      </c>
      <c r="M2595" s="3">
        <f t="shared" si="530"/>
        <v>0</v>
      </c>
      <c r="N2595" s="3" t="str">
        <f t="shared" si="531"/>
        <v>01</v>
      </c>
      <c r="O2595" s="14" t="str">
        <f t="shared" si="532"/>
        <v>00</v>
      </c>
      <c r="T2595" s="19"/>
    </row>
    <row r="2596" spans="10:20" hidden="1">
      <c r="J2596" s="1" t="str">
        <f t="shared" si="527"/>
        <v>0</v>
      </c>
      <c r="K2596" s="3">
        <f t="shared" si="528"/>
        <v>-100</v>
      </c>
      <c r="L2596" s="3">
        <f t="shared" si="529"/>
        <v>1</v>
      </c>
      <c r="M2596" s="3">
        <f t="shared" si="530"/>
        <v>0</v>
      </c>
      <c r="N2596" s="3" t="str">
        <f t="shared" si="531"/>
        <v>01</v>
      </c>
      <c r="O2596" s="14" t="str">
        <f t="shared" si="532"/>
        <v>00</v>
      </c>
      <c r="T2596" s="19"/>
    </row>
    <row r="2597" spans="10:20" hidden="1">
      <c r="J2597" s="1" t="str">
        <f t="shared" si="527"/>
        <v>0</v>
      </c>
      <c r="K2597" s="3">
        <f t="shared" si="528"/>
        <v>-100</v>
      </c>
      <c r="L2597" s="3">
        <f t="shared" si="529"/>
        <v>1</v>
      </c>
      <c r="M2597" s="3">
        <f t="shared" si="530"/>
        <v>0</v>
      </c>
      <c r="N2597" s="3" t="str">
        <f t="shared" si="531"/>
        <v>01</v>
      </c>
      <c r="O2597" s="14" t="str">
        <f t="shared" si="532"/>
        <v>00</v>
      </c>
      <c r="T2597" s="19"/>
    </row>
    <row r="2598" spans="10:20" hidden="1">
      <c r="J2598" s="1" t="str">
        <f t="shared" si="527"/>
        <v>0</v>
      </c>
      <c r="K2598" s="3">
        <f t="shared" si="528"/>
        <v>-100</v>
      </c>
      <c r="L2598" s="3">
        <f t="shared" si="529"/>
        <v>1</v>
      </c>
      <c r="M2598" s="3">
        <f t="shared" si="530"/>
        <v>0</v>
      </c>
      <c r="N2598" s="3" t="str">
        <f t="shared" si="531"/>
        <v>01</v>
      </c>
      <c r="O2598" s="14" t="str">
        <f t="shared" si="532"/>
        <v>00</v>
      </c>
      <c r="T2598" s="19"/>
    </row>
    <row r="2599" spans="10:20" hidden="1">
      <c r="J2599" s="1" t="str">
        <f t="shared" si="527"/>
        <v>0</v>
      </c>
      <c r="K2599" s="3">
        <f t="shared" si="528"/>
        <v>-100</v>
      </c>
      <c r="L2599" s="3">
        <f t="shared" si="529"/>
        <v>1</v>
      </c>
      <c r="M2599" s="3">
        <f t="shared" si="530"/>
        <v>0</v>
      </c>
      <c r="N2599" s="3" t="str">
        <f t="shared" si="531"/>
        <v>01</v>
      </c>
      <c r="O2599" s="14" t="str">
        <f t="shared" si="532"/>
        <v>00</v>
      </c>
      <c r="T2599" s="19"/>
    </row>
    <row r="2600" spans="10:20" hidden="1">
      <c r="J2600" s="1" t="str">
        <f t="shared" si="527"/>
        <v>0</v>
      </c>
      <c r="K2600" s="3">
        <f t="shared" si="528"/>
        <v>-100</v>
      </c>
      <c r="L2600" s="3">
        <f t="shared" si="529"/>
        <v>1</v>
      </c>
      <c r="M2600" s="3">
        <f t="shared" si="530"/>
        <v>0</v>
      </c>
      <c r="N2600" s="3" t="str">
        <f t="shared" si="531"/>
        <v>01</v>
      </c>
      <c r="O2600" s="14" t="str">
        <f t="shared" si="532"/>
        <v>00</v>
      </c>
    </row>
    <row r="2601" spans="10:20" hidden="1">
      <c r="J2601" s="1" t="str">
        <f t="shared" si="527"/>
        <v>0</v>
      </c>
      <c r="K2601" s="3">
        <f t="shared" si="528"/>
        <v>-100</v>
      </c>
      <c r="L2601" s="3">
        <f t="shared" si="529"/>
        <v>1</v>
      </c>
      <c r="M2601" s="3">
        <f t="shared" si="530"/>
        <v>0</v>
      </c>
      <c r="N2601" s="3" t="str">
        <f t="shared" si="531"/>
        <v>01</v>
      </c>
      <c r="O2601" s="14" t="str">
        <f t="shared" si="532"/>
        <v>00</v>
      </c>
    </row>
    <row r="2602" spans="10:20" hidden="1">
      <c r="J2602" s="1" t="str">
        <f t="shared" si="527"/>
        <v>0</v>
      </c>
      <c r="K2602" s="3">
        <f t="shared" si="528"/>
        <v>-100</v>
      </c>
      <c r="L2602" s="3">
        <f t="shared" si="529"/>
        <v>1</v>
      </c>
      <c r="M2602" s="3">
        <f t="shared" si="530"/>
        <v>0</v>
      </c>
      <c r="N2602" s="3" t="str">
        <f t="shared" si="531"/>
        <v>01</v>
      </c>
      <c r="O2602" s="14" t="str">
        <f t="shared" si="532"/>
        <v>00</v>
      </c>
    </row>
    <row r="2603" spans="10:20" hidden="1">
      <c r="J2603" s="1" t="str">
        <f t="shared" si="527"/>
        <v>0</v>
      </c>
      <c r="K2603" s="3">
        <f t="shared" si="528"/>
        <v>-100</v>
      </c>
      <c r="L2603" s="3">
        <f t="shared" si="529"/>
        <v>1</v>
      </c>
      <c r="M2603" s="3">
        <f t="shared" si="530"/>
        <v>0</v>
      </c>
      <c r="N2603" s="3" t="str">
        <f t="shared" si="531"/>
        <v>01</v>
      </c>
      <c r="O2603" s="14" t="str">
        <f t="shared" si="532"/>
        <v>00</v>
      </c>
    </row>
    <row r="2604" spans="10:20" hidden="1">
      <c r="J2604" s="1" t="str">
        <f t="shared" si="527"/>
        <v>0</v>
      </c>
      <c r="K2604" s="3">
        <f t="shared" si="528"/>
        <v>-100</v>
      </c>
      <c r="L2604" s="3">
        <f t="shared" si="529"/>
        <v>1</v>
      </c>
      <c r="M2604" s="3">
        <f t="shared" si="530"/>
        <v>0</v>
      </c>
      <c r="N2604" s="3" t="str">
        <f t="shared" si="531"/>
        <v>01</v>
      </c>
      <c r="O2604" s="14" t="str">
        <f t="shared" si="532"/>
        <v>00</v>
      </c>
    </row>
    <row r="2605" spans="10:20" hidden="1">
      <c r="J2605" s="1" t="str">
        <f t="shared" si="527"/>
        <v>0</v>
      </c>
      <c r="K2605" s="3">
        <f t="shared" si="528"/>
        <v>-100</v>
      </c>
      <c r="L2605" s="3">
        <f t="shared" si="529"/>
        <v>1</v>
      </c>
      <c r="M2605" s="3">
        <f t="shared" si="530"/>
        <v>0</v>
      </c>
      <c r="N2605" s="3" t="str">
        <f t="shared" si="531"/>
        <v>01</v>
      </c>
      <c r="O2605" s="14" t="str">
        <f t="shared" si="532"/>
        <v>00</v>
      </c>
    </row>
    <row r="2606" spans="10:20" hidden="1">
      <c r="J2606" s="1" t="str">
        <f t="shared" si="527"/>
        <v>0</v>
      </c>
      <c r="K2606" s="3">
        <f t="shared" si="528"/>
        <v>-100</v>
      </c>
      <c r="L2606" s="3">
        <f t="shared" si="529"/>
        <v>1</v>
      </c>
      <c r="M2606" s="3">
        <f t="shared" si="530"/>
        <v>0</v>
      </c>
      <c r="N2606" s="3" t="str">
        <f t="shared" si="531"/>
        <v>01</v>
      </c>
      <c r="O2606" s="14" t="str">
        <f t="shared" si="532"/>
        <v>00</v>
      </c>
    </row>
    <row r="2607" spans="10:20" hidden="1">
      <c r="J2607" s="1" t="str">
        <f t="shared" si="527"/>
        <v>0</v>
      </c>
      <c r="K2607" s="3">
        <f t="shared" si="528"/>
        <v>-100</v>
      </c>
      <c r="L2607" s="3">
        <f t="shared" si="529"/>
        <v>1</v>
      </c>
      <c r="M2607" s="3">
        <f t="shared" si="530"/>
        <v>0</v>
      </c>
      <c r="N2607" s="3" t="str">
        <f t="shared" si="531"/>
        <v>01</v>
      </c>
      <c r="O2607" s="14" t="str">
        <f t="shared" si="532"/>
        <v>00</v>
      </c>
    </row>
    <row r="2608" spans="10:20" hidden="1">
      <c r="J2608" s="1" t="str">
        <f t="shared" si="527"/>
        <v>0</v>
      </c>
      <c r="K2608" s="3">
        <f t="shared" si="528"/>
        <v>-100</v>
      </c>
      <c r="L2608" s="3">
        <f t="shared" si="529"/>
        <v>1</v>
      </c>
      <c r="M2608" s="3">
        <f t="shared" si="530"/>
        <v>0</v>
      </c>
      <c r="N2608" s="3" t="str">
        <f t="shared" si="531"/>
        <v>01</v>
      </c>
      <c r="O2608" s="14" t="str">
        <f t="shared" si="532"/>
        <v>00</v>
      </c>
    </row>
    <row r="2609" spans="1:23" hidden="1">
      <c r="J2609" s="1" t="str">
        <f t="shared" si="527"/>
        <v>0</v>
      </c>
      <c r="K2609" s="3">
        <f t="shared" si="528"/>
        <v>-100</v>
      </c>
      <c r="L2609" s="3">
        <f t="shared" si="529"/>
        <v>1</v>
      </c>
      <c r="M2609" s="3">
        <f t="shared" si="530"/>
        <v>0</v>
      </c>
      <c r="N2609" s="3" t="str">
        <f t="shared" si="531"/>
        <v>01</v>
      </c>
      <c r="O2609" s="14" t="str">
        <f t="shared" si="532"/>
        <v>00</v>
      </c>
    </row>
    <row r="2610" spans="1:23" hidden="1">
      <c r="J2610" s="1" t="str">
        <f t="shared" si="527"/>
        <v>0</v>
      </c>
      <c r="K2610" s="3">
        <f t="shared" si="528"/>
        <v>-100</v>
      </c>
      <c r="L2610" s="3">
        <f t="shared" si="529"/>
        <v>1</v>
      </c>
      <c r="M2610" s="3">
        <f t="shared" si="530"/>
        <v>0</v>
      </c>
      <c r="N2610" s="3" t="str">
        <f t="shared" si="531"/>
        <v>01</v>
      </c>
      <c r="O2610" s="14" t="str">
        <f t="shared" si="532"/>
        <v>00</v>
      </c>
    </row>
    <row r="2611" spans="1:23" hidden="1">
      <c r="J2611" s="1" t="str">
        <f t="shared" si="527"/>
        <v>0</v>
      </c>
      <c r="K2611" s="3">
        <f t="shared" si="528"/>
        <v>-100</v>
      </c>
      <c r="L2611" s="3">
        <f t="shared" si="529"/>
        <v>1</v>
      </c>
      <c r="M2611" s="3">
        <f t="shared" si="530"/>
        <v>0</v>
      </c>
      <c r="N2611" s="3" t="str">
        <f t="shared" si="531"/>
        <v>01</v>
      </c>
      <c r="O2611" s="14" t="str">
        <f t="shared" si="532"/>
        <v>00</v>
      </c>
    </row>
    <row r="2612" spans="1:23" hidden="1">
      <c r="J2612" s="1" t="str">
        <f t="shared" si="527"/>
        <v>0</v>
      </c>
      <c r="K2612" s="3">
        <f t="shared" si="528"/>
        <v>-100</v>
      </c>
      <c r="L2612" s="3">
        <f t="shared" si="529"/>
        <v>1</v>
      </c>
      <c r="M2612" s="3">
        <f t="shared" si="530"/>
        <v>0</v>
      </c>
      <c r="N2612" s="3" t="str">
        <f t="shared" si="531"/>
        <v>01</v>
      </c>
      <c r="O2612" s="14" t="str">
        <f t="shared" si="532"/>
        <v>00</v>
      </c>
    </row>
    <row r="2613" spans="1:23" hidden="1">
      <c r="J2613" s="1" t="str">
        <f t="shared" si="527"/>
        <v>0</v>
      </c>
      <c r="K2613" s="3">
        <f t="shared" si="528"/>
        <v>-100</v>
      </c>
      <c r="L2613" s="3">
        <f t="shared" si="529"/>
        <v>1</v>
      </c>
      <c r="M2613" s="3">
        <f t="shared" si="530"/>
        <v>0</v>
      </c>
      <c r="N2613" s="3" t="str">
        <f t="shared" si="531"/>
        <v>01</v>
      </c>
      <c r="O2613" s="14" t="str">
        <f t="shared" si="532"/>
        <v>00</v>
      </c>
    </row>
    <row r="2614" spans="1:23" hidden="1">
      <c r="J2614" s="1" t="str">
        <f t="shared" si="527"/>
        <v>0</v>
      </c>
      <c r="K2614" s="3">
        <f t="shared" si="528"/>
        <v>-100</v>
      </c>
      <c r="L2614" s="3">
        <f t="shared" si="529"/>
        <v>1</v>
      </c>
      <c r="M2614" s="3">
        <f t="shared" si="530"/>
        <v>0</v>
      </c>
      <c r="N2614" s="3" t="str">
        <f t="shared" si="531"/>
        <v>01</v>
      </c>
      <c r="O2614" s="14" t="str">
        <f t="shared" si="532"/>
        <v>00</v>
      </c>
    </row>
    <row r="2615" spans="1:23" hidden="1">
      <c r="J2615" s="1" t="str">
        <f t="shared" si="527"/>
        <v>0</v>
      </c>
      <c r="K2615" s="3">
        <f t="shared" si="528"/>
        <v>-100</v>
      </c>
      <c r="L2615" s="3">
        <f t="shared" si="529"/>
        <v>1</v>
      </c>
      <c r="M2615" s="3">
        <f t="shared" si="530"/>
        <v>0</v>
      </c>
      <c r="N2615" s="3" t="str">
        <f t="shared" si="531"/>
        <v>01</v>
      </c>
      <c r="O2615" s="14" t="str">
        <f t="shared" si="532"/>
        <v>00</v>
      </c>
    </row>
    <row r="2616" spans="1:23" hidden="1">
      <c r="J2616" s="1" t="str">
        <f t="shared" si="527"/>
        <v>0</v>
      </c>
      <c r="K2616" s="3">
        <f t="shared" si="528"/>
        <v>-100</v>
      </c>
      <c r="L2616" s="3">
        <f t="shared" si="529"/>
        <v>1</v>
      </c>
      <c r="M2616" s="3">
        <f t="shared" si="530"/>
        <v>0</v>
      </c>
      <c r="N2616" s="3" t="str">
        <f t="shared" si="531"/>
        <v>01</v>
      </c>
      <c r="O2616" s="14" t="str">
        <f t="shared" si="532"/>
        <v>00</v>
      </c>
    </row>
    <row r="2617" spans="1:23" hidden="1">
      <c r="J2617" s="1" t="str">
        <f t="shared" si="527"/>
        <v>0</v>
      </c>
      <c r="K2617" s="3">
        <f t="shared" si="528"/>
        <v>-100</v>
      </c>
      <c r="L2617" s="3">
        <f t="shared" si="529"/>
        <v>1</v>
      </c>
      <c r="M2617" s="3">
        <f t="shared" si="530"/>
        <v>0</v>
      </c>
      <c r="N2617" s="3" t="str">
        <f t="shared" si="531"/>
        <v>01</v>
      </c>
      <c r="O2617" s="14" t="str">
        <f t="shared" si="532"/>
        <v>00</v>
      </c>
    </row>
    <row r="2618" spans="1:23" hidden="1">
      <c r="J2618" s="1" t="str">
        <f t="shared" si="527"/>
        <v>0</v>
      </c>
      <c r="K2618" s="3">
        <f t="shared" si="528"/>
        <v>-100</v>
      </c>
      <c r="L2618" s="3">
        <f t="shared" si="529"/>
        <v>1</v>
      </c>
      <c r="M2618" s="3">
        <f t="shared" si="530"/>
        <v>0</v>
      </c>
      <c r="N2618" s="3" t="str">
        <f t="shared" si="531"/>
        <v>01</v>
      </c>
      <c r="O2618" s="14" t="str">
        <f t="shared" si="532"/>
        <v>00</v>
      </c>
    </row>
    <row r="2619" spans="1:23" hidden="1">
      <c r="J2619" s="1" t="str">
        <f t="shared" si="527"/>
        <v>0</v>
      </c>
      <c r="K2619" s="3">
        <f t="shared" si="528"/>
        <v>-100</v>
      </c>
      <c r="L2619" s="3">
        <f t="shared" si="529"/>
        <v>1</v>
      </c>
      <c r="M2619" s="3">
        <f t="shared" si="530"/>
        <v>0</v>
      </c>
      <c r="N2619" s="3" t="str">
        <f t="shared" si="531"/>
        <v>01</v>
      </c>
      <c r="O2619" s="14" t="str">
        <f t="shared" si="532"/>
        <v>00</v>
      </c>
    </row>
    <row r="2620" spans="1:23">
      <c r="A2620" s="3">
        <v>2453</v>
      </c>
      <c r="B2620" s="1">
        <f>IF(G2620="-",0,IF(G2619=G2620,1,0))</f>
        <v>0</v>
      </c>
      <c r="C2620" s="1">
        <f>+IF(G2620="-",0,IF(I2620=I2619+1,0,(IF(I2620=1,0,1))))</f>
        <v>1</v>
      </c>
      <c r="D2620" s="1">
        <f>+IF(AND(P2620="",Q2620=""),1,0)</f>
        <v>0</v>
      </c>
      <c r="E2620" s="1">
        <f>IF(U2620="",1,0)</f>
        <v>1</v>
      </c>
      <c r="F2620" s="1">
        <f>IF(V2620="",1,0)</f>
        <v>0</v>
      </c>
      <c r="G2620" s="1" t="str">
        <f>IF(H2620=0,"-",_xlfn.CONCAT(K2620,N2620,O2620,J2620))</f>
        <v>24110218</v>
      </c>
      <c r="H2620" s="2">
        <v>45598</v>
      </c>
      <c r="I2620" s="36">
        <v>18</v>
      </c>
      <c r="J2620" s="1">
        <f t="shared" si="527"/>
        <v>18</v>
      </c>
      <c r="K2620" s="3">
        <f t="shared" si="528"/>
        <v>24</v>
      </c>
      <c r="L2620" s="3">
        <f t="shared" si="529"/>
        <v>11</v>
      </c>
      <c r="M2620" s="3">
        <f t="shared" si="530"/>
        <v>2</v>
      </c>
      <c r="N2620" s="3">
        <f t="shared" si="531"/>
        <v>11</v>
      </c>
      <c r="O2620" s="14" t="str">
        <f t="shared" si="532"/>
        <v>02</v>
      </c>
      <c r="P2620" s="4">
        <v>30000</v>
      </c>
      <c r="T2620" s="33" t="s">
        <v>997</v>
      </c>
      <c r="V2620" s="3" t="s">
        <v>4</v>
      </c>
      <c r="W2620" s="3" t="s">
        <v>1020</v>
      </c>
    </row>
    <row r="2621" spans="1:23" hidden="1">
      <c r="J2621" s="1" t="str">
        <f t="shared" si="527"/>
        <v>0</v>
      </c>
      <c r="K2621" s="3">
        <f t="shared" si="528"/>
        <v>-100</v>
      </c>
      <c r="L2621" s="3">
        <f t="shared" si="529"/>
        <v>1</v>
      </c>
      <c r="M2621" s="3">
        <f t="shared" si="530"/>
        <v>0</v>
      </c>
      <c r="N2621" s="3" t="str">
        <f t="shared" si="531"/>
        <v>01</v>
      </c>
      <c r="O2621" s="14" t="str">
        <f t="shared" si="532"/>
        <v>00</v>
      </c>
    </row>
    <row r="2622" spans="1:23" hidden="1">
      <c r="J2622" s="1" t="str">
        <f t="shared" si="527"/>
        <v>0</v>
      </c>
      <c r="K2622" s="3">
        <f t="shared" si="528"/>
        <v>-100</v>
      </c>
      <c r="L2622" s="3">
        <f t="shared" si="529"/>
        <v>1</v>
      </c>
      <c r="M2622" s="3">
        <f t="shared" si="530"/>
        <v>0</v>
      </c>
      <c r="N2622" s="3" t="str">
        <f t="shared" si="531"/>
        <v>01</v>
      </c>
      <c r="O2622" s="14" t="str">
        <f t="shared" si="532"/>
        <v>00</v>
      </c>
    </row>
    <row r="2623" spans="1:23" hidden="1">
      <c r="J2623" s="1" t="str">
        <f t="shared" si="527"/>
        <v>0</v>
      </c>
      <c r="K2623" s="3">
        <f t="shared" si="528"/>
        <v>-100</v>
      </c>
      <c r="L2623" s="3">
        <f t="shared" si="529"/>
        <v>1</v>
      </c>
      <c r="M2623" s="3">
        <f t="shared" si="530"/>
        <v>0</v>
      </c>
      <c r="N2623" s="3" t="str">
        <f t="shared" si="531"/>
        <v>01</v>
      </c>
      <c r="O2623" s="14" t="str">
        <f t="shared" si="532"/>
        <v>00</v>
      </c>
    </row>
    <row r="2624" spans="1:23" hidden="1">
      <c r="J2624" s="1" t="str">
        <f t="shared" si="527"/>
        <v>0</v>
      </c>
      <c r="K2624" s="3">
        <f t="shared" si="528"/>
        <v>-100</v>
      </c>
      <c r="L2624" s="3">
        <f t="shared" si="529"/>
        <v>1</v>
      </c>
      <c r="M2624" s="3">
        <f t="shared" si="530"/>
        <v>0</v>
      </c>
      <c r="N2624" s="3" t="str">
        <f t="shared" si="531"/>
        <v>01</v>
      </c>
      <c r="O2624" s="14" t="str">
        <f t="shared" si="532"/>
        <v>00</v>
      </c>
    </row>
    <row r="2625" spans="10:20" hidden="1">
      <c r="J2625" s="1" t="str">
        <f t="shared" si="527"/>
        <v>0</v>
      </c>
      <c r="K2625" s="3">
        <f t="shared" si="528"/>
        <v>-100</v>
      </c>
      <c r="L2625" s="3">
        <f t="shared" si="529"/>
        <v>1</v>
      </c>
      <c r="M2625" s="3">
        <f t="shared" si="530"/>
        <v>0</v>
      </c>
      <c r="N2625" s="3" t="str">
        <f t="shared" si="531"/>
        <v>01</v>
      </c>
      <c r="O2625" s="14" t="str">
        <f t="shared" si="532"/>
        <v>00</v>
      </c>
    </row>
    <row r="2626" spans="10:20" hidden="1">
      <c r="J2626" s="1" t="str">
        <f t="shared" si="527"/>
        <v>0</v>
      </c>
      <c r="K2626" s="3">
        <f t="shared" si="528"/>
        <v>-100</v>
      </c>
      <c r="L2626" s="3">
        <f t="shared" si="529"/>
        <v>1</v>
      </c>
      <c r="M2626" s="3">
        <f t="shared" si="530"/>
        <v>0</v>
      </c>
      <c r="N2626" s="3" t="str">
        <f t="shared" si="531"/>
        <v>01</v>
      </c>
      <c r="O2626" s="14" t="str">
        <f t="shared" si="532"/>
        <v>00</v>
      </c>
    </row>
    <row r="2627" spans="10:20" hidden="1">
      <c r="J2627" s="1" t="str">
        <f t="shared" si="527"/>
        <v>0</v>
      </c>
      <c r="K2627" s="3">
        <f t="shared" si="528"/>
        <v>-100</v>
      </c>
      <c r="L2627" s="3">
        <f t="shared" si="529"/>
        <v>1</v>
      </c>
      <c r="M2627" s="3">
        <f t="shared" si="530"/>
        <v>0</v>
      </c>
      <c r="N2627" s="3" t="str">
        <f t="shared" si="531"/>
        <v>01</v>
      </c>
      <c r="O2627" s="14" t="str">
        <f t="shared" si="532"/>
        <v>00</v>
      </c>
    </row>
    <row r="2628" spans="10:20" hidden="1">
      <c r="J2628" s="1" t="str">
        <f t="shared" si="527"/>
        <v>0</v>
      </c>
      <c r="K2628" s="3">
        <f t="shared" si="528"/>
        <v>-100</v>
      </c>
      <c r="L2628" s="3">
        <f t="shared" si="529"/>
        <v>1</v>
      </c>
      <c r="M2628" s="3">
        <f t="shared" si="530"/>
        <v>0</v>
      </c>
      <c r="N2628" s="3" t="str">
        <f t="shared" si="531"/>
        <v>01</v>
      </c>
      <c r="O2628" s="14" t="str">
        <f t="shared" si="532"/>
        <v>00</v>
      </c>
    </row>
    <row r="2629" spans="10:20" hidden="1">
      <c r="J2629" s="1" t="str">
        <f t="shared" si="527"/>
        <v>0</v>
      </c>
      <c r="K2629" s="3">
        <f t="shared" si="528"/>
        <v>-100</v>
      </c>
      <c r="L2629" s="3">
        <f t="shared" si="529"/>
        <v>1</v>
      </c>
      <c r="M2629" s="3">
        <f t="shared" si="530"/>
        <v>0</v>
      </c>
      <c r="N2629" s="3" t="str">
        <f t="shared" si="531"/>
        <v>01</v>
      </c>
      <c r="O2629" s="14" t="str">
        <f t="shared" si="532"/>
        <v>00</v>
      </c>
    </row>
    <row r="2630" spans="10:20" hidden="1">
      <c r="J2630" s="1" t="str">
        <f t="shared" si="527"/>
        <v>0</v>
      </c>
      <c r="K2630" s="3">
        <f t="shared" si="528"/>
        <v>-100</v>
      </c>
      <c r="L2630" s="3">
        <f t="shared" si="529"/>
        <v>1</v>
      </c>
      <c r="M2630" s="3">
        <f t="shared" si="530"/>
        <v>0</v>
      </c>
      <c r="N2630" s="3" t="str">
        <f t="shared" si="531"/>
        <v>01</v>
      </c>
      <c r="O2630" s="14" t="str">
        <f t="shared" si="532"/>
        <v>00</v>
      </c>
    </row>
    <row r="2631" spans="10:20" hidden="1">
      <c r="J2631" s="1" t="str">
        <f t="shared" si="527"/>
        <v>0</v>
      </c>
      <c r="K2631" s="3">
        <f t="shared" si="528"/>
        <v>-100</v>
      </c>
      <c r="L2631" s="3">
        <f t="shared" si="529"/>
        <v>1</v>
      </c>
      <c r="M2631" s="3">
        <f t="shared" si="530"/>
        <v>0</v>
      </c>
      <c r="N2631" s="3" t="str">
        <f t="shared" si="531"/>
        <v>01</v>
      </c>
      <c r="O2631" s="14" t="str">
        <f t="shared" si="532"/>
        <v>00</v>
      </c>
    </row>
    <row r="2632" spans="10:20" hidden="1">
      <c r="J2632" s="1" t="str">
        <f t="shared" si="527"/>
        <v>0</v>
      </c>
      <c r="K2632" s="3">
        <f t="shared" si="528"/>
        <v>-100</v>
      </c>
      <c r="L2632" s="3">
        <f t="shared" si="529"/>
        <v>1</v>
      </c>
      <c r="M2632" s="3">
        <f t="shared" si="530"/>
        <v>0</v>
      </c>
      <c r="N2632" s="3" t="str">
        <f t="shared" si="531"/>
        <v>01</v>
      </c>
      <c r="O2632" s="14" t="str">
        <f t="shared" si="532"/>
        <v>00</v>
      </c>
    </row>
    <row r="2633" spans="10:20" hidden="1">
      <c r="J2633" s="1" t="str">
        <f t="shared" si="527"/>
        <v>0</v>
      </c>
      <c r="K2633" s="3">
        <f t="shared" si="528"/>
        <v>-100</v>
      </c>
      <c r="L2633" s="3">
        <f t="shared" si="529"/>
        <v>1</v>
      </c>
      <c r="M2633" s="3">
        <f t="shared" si="530"/>
        <v>0</v>
      </c>
      <c r="N2633" s="3" t="str">
        <f t="shared" si="531"/>
        <v>01</v>
      </c>
      <c r="O2633" s="14" t="str">
        <f t="shared" si="532"/>
        <v>00</v>
      </c>
    </row>
    <row r="2634" spans="10:20" hidden="1">
      <c r="J2634" s="1" t="str">
        <f t="shared" si="527"/>
        <v>0</v>
      </c>
      <c r="K2634" s="3">
        <f t="shared" si="528"/>
        <v>-100</v>
      </c>
      <c r="L2634" s="3">
        <f t="shared" si="529"/>
        <v>1</v>
      </c>
      <c r="M2634" s="3">
        <f t="shared" si="530"/>
        <v>0</v>
      </c>
      <c r="N2634" s="3" t="str">
        <f t="shared" si="531"/>
        <v>01</v>
      </c>
      <c r="O2634" s="14" t="str">
        <f t="shared" si="532"/>
        <v>00</v>
      </c>
    </row>
    <row r="2635" spans="10:20" hidden="1">
      <c r="J2635" s="1" t="str">
        <f t="shared" si="527"/>
        <v>0</v>
      </c>
      <c r="K2635" s="3">
        <f t="shared" si="528"/>
        <v>-100</v>
      </c>
      <c r="L2635" s="3">
        <f t="shared" si="529"/>
        <v>1</v>
      </c>
      <c r="M2635" s="3">
        <f t="shared" si="530"/>
        <v>0</v>
      </c>
      <c r="N2635" s="3" t="str">
        <f t="shared" si="531"/>
        <v>01</v>
      </c>
      <c r="O2635" s="14" t="str">
        <f t="shared" si="532"/>
        <v>00</v>
      </c>
    </row>
    <row r="2636" spans="10:20" hidden="1">
      <c r="J2636" s="1" t="str">
        <f t="shared" si="527"/>
        <v>0</v>
      </c>
      <c r="K2636" s="3">
        <f t="shared" si="528"/>
        <v>-100</v>
      </c>
      <c r="L2636" s="3">
        <f t="shared" si="529"/>
        <v>1</v>
      </c>
      <c r="M2636" s="3">
        <f t="shared" si="530"/>
        <v>0</v>
      </c>
      <c r="N2636" s="3" t="str">
        <f t="shared" si="531"/>
        <v>01</v>
      </c>
      <c r="O2636" s="14" t="str">
        <f t="shared" si="532"/>
        <v>00</v>
      </c>
    </row>
    <row r="2637" spans="10:20" hidden="1">
      <c r="J2637" s="1" t="str">
        <f t="shared" si="527"/>
        <v>0</v>
      </c>
      <c r="K2637" s="3">
        <f t="shared" si="528"/>
        <v>-100</v>
      </c>
      <c r="L2637" s="3">
        <f t="shared" si="529"/>
        <v>1</v>
      </c>
      <c r="M2637" s="3">
        <f t="shared" si="530"/>
        <v>0</v>
      </c>
      <c r="N2637" s="3" t="str">
        <f t="shared" si="531"/>
        <v>01</v>
      </c>
      <c r="O2637" s="14" t="str">
        <f t="shared" si="532"/>
        <v>00</v>
      </c>
    </row>
    <row r="2638" spans="10:20" hidden="1">
      <c r="J2638" s="1" t="str">
        <f t="shared" si="527"/>
        <v>0</v>
      </c>
      <c r="K2638" s="3">
        <f t="shared" si="528"/>
        <v>-100</v>
      </c>
      <c r="L2638" s="3">
        <f t="shared" si="529"/>
        <v>1</v>
      </c>
      <c r="M2638" s="3">
        <f t="shared" si="530"/>
        <v>0</v>
      </c>
      <c r="N2638" s="3" t="str">
        <f t="shared" si="531"/>
        <v>01</v>
      </c>
      <c r="O2638" s="14" t="str">
        <f t="shared" si="532"/>
        <v>00</v>
      </c>
    </row>
    <row r="2639" spans="10:20" hidden="1">
      <c r="J2639" s="1" t="str">
        <f t="shared" si="527"/>
        <v>0</v>
      </c>
      <c r="K2639" s="3">
        <f t="shared" si="528"/>
        <v>-100</v>
      </c>
      <c r="L2639" s="3">
        <f t="shared" si="529"/>
        <v>1</v>
      </c>
      <c r="M2639" s="3">
        <f t="shared" si="530"/>
        <v>0</v>
      </c>
      <c r="N2639" s="3" t="str">
        <f t="shared" si="531"/>
        <v>01</v>
      </c>
      <c r="O2639" s="14" t="str">
        <f t="shared" si="532"/>
        <v>00</v>
      </c>
      <c r="T2639" s="29"/>
    </row>
    <row r="2640" spans="10:20" hidden="1">
      <c r="J2640" s="1" t="str">
        <f t="shared" si="527"/>
        <v>0</v>
      </c>
      <c r="K2640" s="3">
        <f t="shared" si="528"/>
        <v>-100</v>
      </c>
      <c r="L2640" s="3">
        <f t="shared" si="529"/>
        <v>1</v>
      </c>
      <c r="M2640" s="3">
        <f t="shared" si="530"/>
        <v>0</v>
      </c>
      <c r="N2640" s="3" t="str">
        <f t="shared" si="531"/>
        <v>01</v>
      </c>
      <c r="O2640" s="14" t="str">
        <f t="shared" si="532"/>
        <v>00</v>
      </c>
      <c r="T2640" s="29"/>
    </row>
    <row r="2641" spans="10:20" hidden="1">
      <c r="J2641" s="1" t="str">
        <f t="shared" si="527"/>
        <v>0</v>
      </c>
      <c r="K2641" s="3">
        <f t="shared" si="528"/>
        <v>-100</v>
      </c>
      <c r="L2641" s="3">
        <f t="shared" si="529"/>
        <v>1</v>
      </c>
      <c r="M2641" s="3">
        <f t="shared" si="530"/>
        <v>0</v>
      </c>
      <c r="N2641" s="3" t="str">
        <f t="shared" si="531"/>
        <v>01</v>
      </c>
      <c r="O2641" s="14" t="str">
        <f t="shared" si="532"/>
        <v>00</v>
      </c>
      <c r="T2641" s="29"/>
    </row>
    <row r="2642" spans="10:20" hidden="1">
      <c r="J2642" s="1" t="str">
        <f t="shared" si="527"/>
        <v>0</v>
      </c>
      <c r="K2642" s="3">
        <f t="shared" si="528"/>
        <v>-100</v>
      </c>
      <c r="L2642" s="3">
        <f t="shared" si="529"/>
        <v>1</v>
      </c>
      <c r="M2642" s="3">
        <f t="shared" si="530"/>
        <v>0</v>
      </c>
      <c r="N2642" s="3" t="str">
        <f t="shared" si="531"/>
        <v>01</v>
      </c>
      <c r="O2642" s="14" t="str">
        <f t="shared" si="532"/>
        <v>00</v>
      </c>
      <c r="T2642" s="29"/>
    </row>
    <row r="2643" spans="10:20" hidden="1">
      <c r="J2643" s="1" t="str">
        <f t="shared" si="527"/>
        <v>0</v>
      </c>
      <c r="K2643" s="3">
        <f t="shared" si="528"/>
        <v>-100</v>
      </c>
      <c r="L2643" s="3">
        <f t="shared" si="529"/>
        <v>1</v>
      </c>
      <c r="M2643" s="3">
        <f t="shared" si="530"/>
        <v>0</v>
      </c>
      <c r="N2643" s="3" t="str">
        <f t="shared" si="531"/>
        <v>01</v>
      </c>
      <c r="O2643" s="14" t="str">
        <f t="shared" si="532"/>
        <v>00</v>
      </c>
      <c r="T2643" s="29"/>
    </row>
    <row r="2644" spans="10:20" hidden="1">
      <c r="J2644" s="1" t="str">
        <f t="shared" si="527"/>
        <v>0</v>
      </c>
      <c r="K2644" s="3">
        <f t="shared" si="528"/>
        <v>-100</v>
      </c>
      <c r="L2644" s="3">
        <f t="shared" si="529"/>
        <v>1</v>
      </c>
      <c r="M2644" s="3">
        <f t="shared" si="530"/>
        <v>0</v>
      </c>
      <c r="N2644" s="3" t="str">
        <f t="shared" si="531"/>
        <v>01</v>
      </c>
      <c r="O2644" s="14" t="str">
        <f t="shared" si="532"/>
        <v>00</v>
      </c>
      <c r="T2644" s="29"/>
    </row>
    <row r="2645" spans="10:20" hidden="1">
      <c r="J2645" s="1" t="str">
        <f t="shared" si="527"/>
        <v>0</v>
      </c>
      <c r="K2645" s="3">
        <f t="shared" si="528"/>
        <v>-100</v>
      </c>
      <c r="L2645" s="3">
        <f t="shared" si="529"/>
        <v>1</v>
      </c>
      <c r="M2645" s="3">
        <f t="shared" si="530"/>
        <v>0</v>
      </c>
      <c r="N2645" s="3" t="str">
        <f t="shared" si="531"/>
        <v>01</v>
      </c>
      <c r="O2645" s="14" t="str">
        <f t="shared" si="532"/>
        <v>00</v>
      </c>
      <c r="T2645" s="18"/>
    </row>
    <row r="2646" spans="10:20" hidden="1">
      <c r="J2646" s="1" t="str">
        <f t="shared" si="527"/>
        <v>0</v>
      </c>
      <c r="K2646" s="3">
        <f t="shared" si="528"/>
        <v>-100</v>
      </c>
      <c r="L2646" s="3">
        <f t="shared" si="529"/>
        <v>1</v>
      </c>
      <c r="M2646" s="3">
        <f t="shared" si="530"/>
        <v>0</v>
      </c>
      <c r="N2646" s="3" t="str">
        <f t="shared" si="531"/>
        <v>01</v>
      </c>
      <c r="O2646" s="14" t="str">
        <f t="shared" si="532"/>
        <v>00</v>
      </c>
      <c r="T2646" s="18"/>
    </row>
    <row r="2647" spans="10:20" hidden="1">
      <c r="J2647" s="1" t="str">
        <f t="shared" si="527"/>
        <v>0</v>
      </c>
      <c r="K2647" s="3">
        <f t="shared" si="528"/>
        <v>-100</v>
      </c>
      <c r="L2647" s="3">
        <f t="shared" si="529"/>
        <v>1</v>
      </c>
      <c r="M2647" s="3">
        <f t="shared" si="530"/>
        <v>0</v>
      </c>
      <c r="N2647" s="3" t="str">
        <f t="shared" si="531"/>
        <v>01</v>
      </c>
      <c r="O2647" s="14" t="str">
        <f t="shared" si="532"/>
        <v>00</v>
      </c>
      <c r="T2647" s="18"/>
    </row>
    <row r="2648" spans="10:20" hidden="1">
      <c r="J2648" s="1" t="str">
        <f t="shared" si="527"/>
        <v>0</v>
      </c>
      <c r="K2648" s="3">
        <f t="shared" si="528"/>
        <v>-100</v>
      </c>
      <c r="L2648" s="3">
        <f t="shared" si="529"/>
        <v>1</v>
      </c>
      <c r="M2648" s="3">
        <f t="shared" si="530"/>
        <v>0</v>
      </c>
      <c r="N2648" s="3" t="str">
        <f t="shared" si="531"/>
        <v>01</v>
      </c>
      <c r="O2648" s="14" t="str">
        <f t="shared" si="532"/>
        <v>00</v>
      </c>
      <c r="T2648" s="18"/>
    </row>
    <row r="2649" spans="10:20" hidden="1">
      <c r="J2649" s="1" t="str">
        <f t="shared" si="527"/>
        <v>0</v>
      </c>
      <c r="K2649" s="3">
        <f t="shared" si="528"/>
        <v>-100</v>
      </c>
      <c r="L2649" s="3">
        <f t="shared" si="529"/>
        <v>1</v>
      </c>
      <c r="M2649" s="3">
        <f t="shared" si="530"/>
        <v>0</v>
      </c>
      <c r="N2649" s="3" t="str">
        <f t="shared" si="531"/>
        <v>01</v>
      </c>
      <c r="O2649" s="14" t="str">
        <f t="shared" si="532"/>
        <v>00</v>
      </c>
      <c r="T2649" s="18"/>
    </row>
    <row r="2650" spans="10:20" hidden="1">
      <c r="J2650" s="1" t="str">
        <f t="shared" si="527"/>
        <v>0</v>
      </c>
      <c r="K2650" s="3">
        <f t="shared" si="528"/>
        <v>-100</v>
      </c>
      <c r="L2650" s="3">
        <f t="shared" si="529"/>
        <v>1</v>
      </c>
      <c r="M2650" s="3">
        <f t="shared" si="530"/>
        <v>0</v>
      </c>
      <c r="N2650" s="3" t="str">
        <f t="shared" si="531"/>
        <v>01</v>
      </c>
      <c r="O2650" s="14" t="str">
        <f t="shared" si="532"/>
        <v>00</v>
      </c>
      <c r="T2650" s="18"/>
    </row>
    <row r="2651" spans="10:20" hidden="1">
      <c r="J2651" s="1" t="str">
        <f t="shared" si="527"/>
        <v>0</v>
      </c>
      <c r="K2651" s="3">
        <f t="shared" si="528"/>
        <v>-100</v>
      </c>
      <c r="L2651" s="3">
        <f t="shared" si="529"/>
        <v>1</v>
      </c>
      <c r="M2651" s="3">
        <f t="shared" si="530"/>
        <v>0</v>
      </c>
      <c r="N2651" s="3" t="str">
        <f t="shared" si="531"/>
        <v>01</v>
      </c>
      <c r="O2651" s="14" t="str">
        <f t="shared" si="532"/>
        <v>00</v>
      </c>
      <c r="T2651" s="18"/>
    </row>
    <row r="2652" spans="10:20" hidden="1">
      <c r="J2652" s="1" t="str">
        <f t="shared" si="527"/>
        <v>0</v>
      </c>
      <c r="K2652" s="3">
        <f t="shared" si="528"/>
        <v>-100</v>
      </c>
      <c r="L2652" s="3">
        <f t="shared" si="529"/>
        <v>1</v>
      </c>
      <c r="M2652" s="3">
        <f t="shared" si="530"/>
        <v>0</v>
      </c>
      <c r="N2652" s="3" t="str">
        <f t="shared" si="531"/>
        <v>01</v>
      </c>
      <c r="O2652" s="14" t="str">
        <f t="shared" si="532"/>
        <v>00</v>
      </c>
      <c r="T2652" s="18"/>
    </row>
    <row r="2653" spans="10:20" hidden="1">
      <c r="J2653" s="1" t="str">
        <f t="shared" si="527"/>
        <v>0</v>
      </c>
      <c r="K2653" s="3">
        <f t="shared" si="528"/>
        <v>-100</v>
      </c>
      <c r="L2653" s="3">
        <f t="shared" si="529"/>
        <v>1</v>
      </c>
      <c r="M2653" s="3">
        <f t="shared" si="530"/>
        <v>0</v>
      </c>
      <c r="N2653" s="3" t="str">
        <f t="shared" si="531"/>
        <v>01</v>
      </c>
      <c r="O2653" s="14" t="str">
        <f t="shared" si="532"/>
        <v>00</v>
      </c>
      <c r="T2653" s="18"/>
    </row>
    <row r="2654" spans="10:20" hidden="1">
      <c r="J2654" s="1" t="str">
        <f t="shared" si="527"/>
        <v>0</v>
      </c>
      <c r="K2654" s="3">
        <f t="shared" si="528"/>
        <v>-100</v>
      </c>
      <c r="L2654" s="3">
        <f t="shared" si="529"/>
        <v>1</v>
      </c>
      <c r="M2654" s="3">
        <f t="shared" si="530"/>
        <v>0</v>
      </c>
      <c r="N2654" s="3" t="str">
        <f t="shared" si="531"/>
        <v>01</v>
      </c>
      <c r="O2654" s="14" t="str">
        <f t="shared" si="532"/>
        <v>00</v>
      </c>
      <c r="T2654" s="18"/>
    </row>
    <row r="2655" spans="10:20" hidden="1">
      <c r="J2655" s="1" t="str">
        <f t="shared" si="527"/>
        <v>0</v>
      </c>
      <c r="K2655" s="3">
        <f t="shared" si="528"/>
        <v>-100</v>
      </c>
      <c r="L2655" s="3">
        <f t="shared" si="529"/>
        <v>1</v>
      </c>
      <c r="M2655" s="3">
        <f t="shared" si="530"/>
        <v>0</v>
      </c>
      <c r="N2655" s="3" t="str">
        <f t="shared" si="531"/>
        <v>01</v>
      </c>
      <c r="O2655" s="14" t="str">
        <f t="shared" si="532"/>
        <v>00</v>
      </c>
      <c r="T2655" s="19"/>
    </row>
    <row r="2656" spans="10:20" hidden="1">
      <c r="J2656" s="1" t="str">
        <f t="shared" si="527"/>
        <v>0</v>
      </c>
      <c r="K2656" s="3">
        <f t="shared" si="528"/>
        <v>-100</v>
      </c>
      <c r="L2656" s="3">
        <f t="shared" si="529"/>
        <v>1</v>
      </c>
      <c r="M2656" s="3">
        <f t="shared" si="530"/>
        <v>0</v>
      </c>
      <c r="N2656" s="3" t="str">
        <f t="shared" si="531"/>
        <v>01</v>
      </c>
      <c r="O2656" s="14" t="str">
        <f t="shared" si="532"/>
        <v>00</v>
      </c>
      <c r="T2656" s="19"/>
    </row>
    <row r="2657" spans="10:20" hidden="1">
      <c r="J2657" s="1" t="str">
        <f t="shared" si="527"/>
        <v>0</v>
      </c>
      <c r="K2657" s="3">
        <f t="shared" si="528"/>
        <v>-100</v>
      </c>
      <c r="L2657" s="3">
        <f t="shared" si="529"/>
        <v>1</v>
      </c>
      <c r="M2657" s="3">
        <f t="shared" si="530"/>
        <v>0</v>
      </c>
      <c r="N2657" s="3" t="str">
        <f t="shared" si="531"/>
        <v>01</v>
      </c>
      <c r="O2657" s="14" t="str">
        <f t="shared" si="532"/>
        <v>00</v>
      </c>
      <c r="T2657" s="19"/>
    </row>
    <row r="2658" spans="10:20" hidden="1">
      <c r="J2658" s="1" t="str">
        <f t="shared" ref="J2658:J2721" si="533">+IF(I2658&lt;10,_xlfn.CONCAT("0",I2658),I2658)</f>
        <v>0</v>
      </c>
      <c r="K2658" s="3">
        <f t="shared" ref="K2658:K2721" si="534">+YEAR(H2658)-2000</f>
        <v>-100</v>
      </c>
      <c r="L2658" s="3">
        <f t="shared" ref="L2658:L2721" si="535">+MONTH(H2658)</f>
        <v>1</v>
      </c>
      <c r="M2658" s="3">
        <f t="shared" ref="M2658:M2721" si="536">+DAY(H2658)</f>
        <v>0</v>
      </c>
      <c r="N2658" s="3" t="str">
        <f t="shared" ref="N2658:N2721" si="537">+IF(L2658&lt;10,_xlfn.CONCAT("0",L2658),L2658)</f>
        <v>01</v>
      </c>
      <c r="O2658" s="14" t="str">
        <f t="shared" ref="O2658:O2721" si="538">+IF(M2658&lt;10,_xlfn.CONCAT("0",M2658),M2658)</f>
        <v>00</v>
      </c>
      <c r="P2658" s="134"/>
      <c r="T2658" s="19"/>
    </row>
    <row r="2659" spans="10:20" hidden="1">
      <c r="J2659" s="1" t="str">
        <f t="shared" si="533"/>
        <v>0</v>
      </c>
      <c r="K2659" s="3">
        <f t="shared" si="534"/>
        <v>-100</v>
      </c>
      <c r="L2659" s="3">
        <f t="shared" si="535"/>
        <v>1</v>
      </c>
      <c r="M2659" s="3">
        <f t="shared" si="536"/>
        <v>0</v>
      </c>
      <c r="N2659" s="3" t="str">
        <f t="shared" si="537"/>
        <v>01</v>
      </c>
      <c r="O2659" s="14" t="str">
        <f t="shared" si="538"/>
        <v>00</v>
      </c>
    </row>
    <row r="2660" spans="10:20" hidden="1">
      <c r="J2660" s="1" t="str">
        <f t="shared" si="533"/>
        <v>0</v>
      </c>
      <c r="K2660" s="3">
        <f t="shared" si="534"/>
        <v>-100</v>
      </c>
      <c r="L2660" s="3">
        <f t="shared" si="535"/>
        <v>1</v>
      </c>
      <c r="M2660" s="3">
        <f t="shared" si="536"/>
        <v>0</v>
      </c>
      <c r="N2660" s="3" t="str">
        <f t="shared" si="537"/>
        <v>01</v>
      </c>
      <c r="O2660" s="14" t="str">
        <f t="shared" si="538"/>
        <v>00</v>
      </c>
    </row>
    <row r="2661" spans="10:20" hidden="1">
      <c r="J2661" s="1" t="str">
        <f t="shared" si="533"/>
        <v>0</v>
      </c>
      <c r="K2661" s="3">
        <f t="shared" si="534"/>
        <v>-100</v>
      </c>
      <c r="L2661" s="3">
        <f t="shared" si="535"/>
        <v>1</v>
      </c>
      <c r="M2661" s="3">
        <f t="shared" si="536"/>
        <v>0</v>
      </c>
      <c r="N2661" s="3" t="str">
        <f t="shared" si="537"/>
        <v>01</v>
      </c>
      <c r="O2661" s="14" t="str">
        <f t="shared" si="538"/>
        <v>00</v>
      </c>
    </row>
    <row r="2662" spans="10:20" hidden="1">
      <c r="J2662" s="1" t="str">
        <f t="shared" si="533"/>
        <v>0</v>
      </c>
      <c r="K2662" s="3">
        <f t="shared" si="534"/>
        <v>-100</v>
      </c>
      <c r="L2662" s="3">
        <f t="shared" si="535"/>
        <v>1</v>
      </c>
      <c r="M2662" s="3">
        <f t="shared" si="536"/>
        <v>0</v>
      </c>
      <c r="N2662" s="3" t="str">
        <f t="shared" si="537"/>
        <v>01</v>
      </c>
      <c r="O2662" s="14" t="str">
        <f t="shared" si="538"/>
        <v>00</v>
      </c>
    </row>
    <row r="2663" spans="10:20" hidden="1">
      <c r="J2663" s="1" t="str">
        <f t="shared" si="533"/>
        <v>0</v>
      </c>
      <c r="K2663" s="3">
        <f t="shared" si="534"/>
        <v>-100</v>
      </c>
      <c r="L2663" s="3">
        <f t="shared" si="535"/>
        <v>1</v>
      </c>
      <c r="M2663" s="3">
        <f t="shared" si="536"/>
        <v>0</v>
      </c>
      <c r="N2663" s="3" t="str">
        <f t="shared" si="537"/>
        <v>01</v>
      </c>
      <c r="O2663" s="14" t="str">
        <f t="shared" si="538"/>
        <v>00</v>
      </c>
    </row>
    <row r="2664" spans="10:20" hidden="1">
      <c r="J2664" s="1" t="str">
        <f t="shared" si="533"/>
        <v>0</v>
      </c>
      <c r="K2664" s="3">
        <f t="shared" si="534"/>
        <v>-100</v>
      </c>
      <c r="L2664" s="3">
        <f t="shared" si="535"/>
        <v>1</v>
      </c>
      <c r="M2664" s="3">
        <f t="shared" si="536"/>
        <v>0</v>
      </c>
      <c r="N2664" s="3" t="str">
        <f t="shared" si="537"/>
        <v>01</v>
      </c>
      <c r="O2664" s="14" t="str">
        <f t="shared" si="538"/>
        <v>00</v>
      </c>
    </row>
    <row r="2665" spans="10:20" hidden="1">
      <c r="J2665" s="1" t="str">
        <f t="shared" si="533"/>
        <v>0</v>
      </c>
      <c r="K2665" s="3">
        <f t="shared" si="534"/>
        <v>-100</v>
      </c>
      <c r="L2665" s="3">
        <f t="shared" si="535"/>
        <v>1</v>
      </c>
      <c r="M2665" s="3">
        <f t="shared" si="536"/>
        <v>0</v>
      </c>
      <c r="N2665" s="3" t="str">
        <f t="shared" si="537"/>
        <v>01</v>
      </c>
      <c r="O2665" s="14" t="str">
        <f t="shared" si="538"/>
        <v>00</v>
      </c>
    </row>
    <row r="2666" spans="10:20" hidden="1">
      <c r="J2666" s="1" t="str">
        <f t="shared" si="533"/>
        <v>0</v>
      </c>
      <c r="K2666" s="3">
        <f t="shared" si="534"/>
        <v>-100</v>
      </c>
      <c r="L2666" s="3">
        <f t="shared" si="535"/>
        <v>1</v>
      </c>
      <c r="M2666" s="3">
        <f t="shared" si="536"/>
        <v>0</v>
      </c>
      <c r="N2666" s="3" t="str">
        <f t="shared" si="537"/>
        <v>01</v>
      </c>
      <c r="O2666" s="14" t="str">
        <f t="shared" si="538"/>
        <v>00</v>
      </c>
    </row>
    <row r="2667" spans="10:20" hidden="1">
      <c r="J2667" s="1" t="str">
        <f t="shared" si="533"/>
        <v>0</v>
      </c>
      <c r="K2667" s="3">
        <f t="shared" si="534"/>
        <v>-100</v>
      </c>
      <c r="L2667" s="3">
        <f t="shared" si="535"/>
        <v>1</v>
      </c>
      <c r="M2667" s="3">
        <f t="shared" si="536"/>
        <v>0</v>
      </c>
      <c r="N2667" s="3" t="str">
        <f t="shared" si="537"/>
        <v>01</v>
      </c>
      <c r="O2667" s="14" t="str">
        <f t="shared" si="538"/>
        <v>00</v>
      </c>
    </row>
    <row r="2668" spans="10:20" hidden="1">
      <c r="J2668" s="1" t="str">
        <f t="shared" si="533"/>
        <v>0</v>
      </c>
      <c r="K2668" s="3">
        <f t="shared" si="534"/>
        <v>-100</v>
      </c>
      <c r="L2668" s="3">
        <f t="shared" si="535"/>
        <v>1</v>
      </c>
      <c r="M2668" s="3">
        <f t="shared" si="536"/>
        <v>0</v>
      </c>
      <c r="N2668" s="3" t="str">
        <f t="shared" si="537"/>
        <v>01</v>
      </c>
      <c r="O2668" s="14" t="str">
        <f t="shared" si="538"/>
        <v>00</v>
      </c>
    </row>
    <row r="2669" spans="10:20" hidden="1">
      <c r="J2669" s="1" t="str">
        <f t="shared" si="533"/>
        <v>0</v>
      </c>
      <c r="K2669" s="3">
        <f t="shared" si="534"/>
        <v>-100</v>
      </c>
      <c r="L2669" s="3">
        <f t="shared" si="535"/>
        <v>1</v>
      </c>
      <c r="M2669" s="3">
        <f t="shared" si="536"/>
        <v>0</v>
      </c>
      <c r="N2669" s="3" t="str">
        <f t="shared" si="537"/>
        <v>01</v>
      </c>
      <c r="O2669" s="14" t="str">
        <f t="shared" si="538"/>
        <v>00</v>
      </c>
    </row>
    <row r="2670" spans="10:20" hidden="1">
      <c r="J2670" s="1" t="str">
        <f t="shared" si="533"/>
        <v>0</v>
      </c>
      <c r="K2670" s="3">
        <f t="shared" si="534"/>
        <v>-100</v>
      </c>
      <c r="L2670" s="3">
        <f t="shared" si="535"/>
        <v>1</v>
      </c>
      <c r="M2670" s="3">
        <f t="shared" si="536"/>
        <v>0</v>
      </c>
      <c r="N2670" s="3" t="str">
        <f t="shared" si="537"/>
        <v>01</v>
      </c>
      <c r="O2670" s="14" t="str">
        <f t="shared" si="538"/>
        <v>00</v>
      </c>
    </row>
    <row r="2671" spans="10:20" hidden="1">
      <c r="J2671" s="1" t="str">
        <f t="shared" si="533"/>
        <v>0</v>
      </c>
      <c r="K2671" s="3">
        <f t="shared" si="534"/>
        <v>-100</v>
      </c>
      <c r="L2671" s="3">
        <f t="shared" si="535"/>
        <v>1</v>
      </c>
      <c r="M2671" s="3">
        <f t="shared" si="536"/>
        <v>0</v>
      </c>
      <c r="N2671" s="3" t="str">
        <f t="shared" si="537"/>
        <v>01</v>
      </c>
      <c r="O2671" s="14" t="str">
        <f t="shared" si="538"/>
        <v>00</v>
      </c>
    </row>
    <row r="2672" spans="10:20" hidden="1">
      <c r="J2672" s="1" t="str">
        <f t="shared" si="533"/>
        <v>0</v>
      </c>
      <c r="K2672" s="3">
        <f t="shared" si="534"/>
        <v>-100</v>
      </c>
      <c r="L2672" s="3">
        <f t="shared" si="535"/>
        <v>1</v>
      </c>
      <c r="M2672" s="3">
        <f t="shared" si="536"/>
        <v>0</v>
      </c>
      <c r="N2672" s="3" t="str">
        <f t="shared" si="537"/>
        <v>01</v>
      </c>
      <c r="O2672" s="14" t="str">
        <f t="shared" si="538"/>
        <v>00</v>
      </c>
    </row>
    <row r="2673" spans="1:22" hidden="1">
      <c r="J2673" s="1" t="str">
        <f t="shared" si="533"/>
        <v>0</v>
      </c>
      <c r="K2673" s="3">
        <f t="shared" si="534"/>
        <v>-100</v>
      </c>
      <c r="L2673" s="3">
        <f t="shared" si="535"/>
        <v>1</v>
      </c>
      <c r="M2673" s="3">
        <f t="shared" si="536"/>
        <v>0</v>
      </c>
      <c r="N2673" s="3" t="str">
        <f t="shared" si="537"/>
        <v>01</v>
      </c>
      <c r="O2673" s="14" t="str">
        <f t="shared" si="538"/>
        <v>00</v>
      </c>
    </row>
    <row r="2674" spans="1:22" hidden="1">
      <c r="J2674" s="1" t="str">
        <f t="shared" si="533"/>
        <v>0</v>
      </c>
      <c r="K2674" s="3">
        <f t="shared" si="534"/>
        <v>-100</v>
      </c>
      <c r="L2674" s="3">
        <f t="shared" si="535"/>
        <v>1</v>
      </c>
      <c r="M2674" s="3">
        <f t="shared" si="536"/>
        <v>0</v>
      </c>
      <c r="N2674" s="3" t="str">
        <f t="shared" si="537"/>
        <v>01</v>
      </c>
      <c r="O2674" s="14" t="str">
        <f t="shared" si="538"/>
        <v>00</v>
      </c>
    </row>
    <row r="2675" spans="1:22" hidden="1">
      <c r="J2675" s="1" t="str">
        <f t="shared" si="533"/>
        <v>0</v>
      </c>
      <c r="K2675" s="3">
        <f t="shared" si="534"/>
        <v>-100</v>
      </c>
      <c r="L2675" s="3">
        <f t="shared" si="535"/>
        <v>1</v>
      </c>
      <c r="M2675" s="3">
        <f t="shared" si="536"/>
        <v>0</v>
      </c>
      <c r="N2675" s="3" t="str">
        <f t="shared" si="537"/>
        <v>01</v>
      </c>
      <c r="O2675" s="14" t="str">
        <f t="shared" si="538"/>
        <v>00</v>
      </c>
    </row>
    <row r="2676" spans="1:22" hidden="1">
      <c r="J2676" s="1" t="str">
        <f t="shared" si="533"/>
        <v>0</v>
      </c>
      <c r="K2676" s="3">
        <f t="shared" si="534"/>
        <v>-100</v>
      </c>
      <c r="L2676" s="3">
        <f t="shared" si="535"/>
        <v>1</v>
      </c>
      <c r="M2676" s="3">
        <f t="shared" si="536"/>
        <v>0</v>
      </c>
      <c r="N2676" s="3" t="str">
        <f t="shared" si="537"/>
        <v>01</v>
      </c>
      <c r="O2676" s="14" t="str">
        <f t="shared" si="538"/>
        <v>00</v>
      </c>
    </row>
    <row r="2677" spans="1:22" hidden="1">
      <c r="J2677" s="1" t="str">
        <f t="shared" si="533"/>
        <v>0</v>
      </c>
      <c r="K2677" s="3">
        <f t="shared" si="534"/>
        <v>-100</v>
      </c>
      <c r="L2677" s="3">
        <f t="shared" si="535"/>
        <v>1</v>
      </c>
      <c r="M2677" s="3">
        <f t="shared" si="536"/>
        <v>0</v>
      </c>
      <c r="N2677" s="3" t="str">
        <f t="shared" si="537"/>
        <v>01</v>
      </c>
      <c r="O2677" s="14" t="str">
        <f t="shared" si="538"/>
        <v>00</v>
      </c>
    </row>
    <row r="2678" spans="1:22" hidden="1">
      <c r="J2678" s="1" t="str">
        <f t="shared" si="533"/>
        <v>0</v>
      </c>
      <c r="K2678" s="3">
        <f t="shared" si="534"/>
        <v>-100</v>
      </c>
      <c r="L2678" s="3">
        <f t="shared" si="535"/>
        <v>1</v>
      </c>
      <c r="M2678" s="3">
        <f t="shared" si="536"/>
        <v>0</v>
      </c>
      <c r="N2678" s="3" t="str">
        <f t="shared" si="537"/>
        <v>01</v>
      </c>
      <c r="O2678" s="14" t="str">
        <f t="shared" si="538"/>
        <v>00</v>
      </c>
    </row>
    <row r="2679" spans="1:22" hidden="1">
      <c r="J2679" s="1" t="str">
        <f t="shared" si="533"/>
        <v>0</v>
      </c>
      <c r="K2679" s="3">
        <f t="shared" si="534"/>
        <v>-100</v>
      </c>
      <c r="L2679" s="3">
        <f t="shared" si="535"/>
        <v>1</v>
      </c>
      <c r="M2679" s="3">
        <f t="shared" si="536"/>
        <v>0</v>
      </c>
      <c r="N2679" s="3" t="str">
        <f t="shared" si="537"/>
        <v>01</v>
      </c>
      <c r="O2679" s="14" t="str">
        <f t="shared" si="538"/>
        <v>00</v>
      </c>
    </row>
    <row r="2680" spans="1:22" hidden="1">
      <c r="J2680" s="1" t="str">
        <f t="shared" si="533"/>
        <v>0</v>
      </c>
      <c r="K2680" s="3">
        <f t="shared" si="534"/>
        <v>-100</v>
      </c>
      <c r="L2680" s="3">
        <f t="shared" si="535"/>
        <v>1</v>
      </c>
      <c r="M2680" s="3">
        <f t="shared" si="536"/>
        <v>0</v>
      </c>
      <c r="N2680" s="3" t="str">
        <f t="shared" si="537"/>
        <v>01</v>
      </c>
      <c r="O2680" s="14" t="str">
        <f t="shared" si="538"/>
        <v>00</v>
      </c>
    </row>
    <row r="2681" spans="1:22">
      <c r="A2681" s="3">
        <v>2463</v>
      </c>
      <c r="B2681" s="1">
        <f>IF(G2681="-",0,IF(G2680=G2681,1,0))</f>
        <v>0</v>
      </c>
      <c r="C2681" s="1">
        <f>+IF(G2681="-",0,IF(I2681=I2680+1,0,(IF(I2681=1,0,1))))</f>
        <v>1</v>
      </c>
      <c r="D2681" s="1">
        <f>+IF(AND(P2681="",Q2681=""),1,0)</f>
        <v>0</v>
      </c>
      <c r="E2681" s="1">
        <f>IF(U2681="",1,0)</f>
        <v>0</v>
      </c>
      <c r="F2681" s="1">
        <f>IF(V2681="",1,0)</f>
        <v>0</v>
      </c>
      <c r="G2681" s="1" t="str">
        <f>IF(H2681=0,"-",_xlfn.CONCAT(K2681,N2681,O2681,J2681))</f>
        <v>24110505</v>
      </c>
      <c r="H2681" s="2">
        <v>45601</v>
      </c>
      <c r="I2681" s="36">
        <v>5</v>
      </c>
      <c r="J2681" s="1" t="str">
        <f t="shared" si="533"/>
        <v>05</v>
      </c>
      <c r="K2681" s="3">
        <f t="shared" si="534"/>
        <v>24</v>
      </c>
      <c r="L2681" s="3">
        <f t="shared" si="535"/>
        <v>11</v>
      </c>
      <c r="M2681" s="3">
        <f t="shared" si="536"/>
        <v>5</v>
      </c>
      <c r="N2681" s="3">
        <f t="shared" si="537"/>
        <v>11</v>
      </c>
      <c r="O2681" s="14" t="str">
        <f t="shared" si="538"/>
        <v>05</v>
      </c>
      <c r="P2681" s="4">
        <v>20000</v>
      </c>
      <c r="T2681" s="5" t="s">
        <v>1056</v>
      </c>
      <c r="U2681" s="3" t="s">
        <v>29</v>
      </c>
      <c r="V2681" s="3" t="s">
        <v>4</v>
      </c>
    </row>
    <row r="2682" spans="1:22" hidden="1">
      <c r="J2682" s="1" t="str">
        <f t="shared" si="533"/>
        <v>0</v>
      </c>
      <c r="K2682" s="3">
        <f t="shared" si="534"/>
        <v>-100</v>
      </c>
      <c r="L2682" s="3">
        <f t="shared" si="535"/>
        <v>1</v>
      </c>
      <c r="M2682" s="3">
        <f t="shared" si="536"/>
        <v>0</v>
      </c>
      <c r="N2682" s="3" t="str">
        <f t="shared" si="537"/>
        <v>01</v>
      </c>
      <c r="O2682" s="14" t="str">
        <f t="shared" si="538"/>
        <v>00</v>
      </c>
    </row>
    <row r="2683" spans="1:22" hidden="1">
      <c r="J2683" s="1" t="str">
        <f t="shared" si="533"/>
        <v>0</v>
      </c>
      <c r="K2683" s="3">
        <f t="shared" si="534"/>
        <v>-100</v>
      </c>
      <c r="L2683" s="3">
        <f t="shared" si="535"/>
        <v>1</v>
      </c>
      <c r="M2683" s="3">
        <f t="shared" si="536"/>
        <v>0</v>
      </c>
      <c r="N2683" s="3" t="str">
        <f t="shared" si="537"/>
        <v>01</v>
      </c>
      <c r="O2683" s="14" t="str">
        <f t="shared" si="538"/>
        <v>00</v>
      </c>
    </row>
    <row r="2684" spans="1:22" hidden="1">
      <c r="J2684" s="1" t="str">
        <f t="shared" si="533"/>
        <v>0</v>
      </c>
      <c r="K2684" s="3">
        <f t="shared" si="534"/>
        <v>-100</v>
      </c>
      <c r="L2684" s="3">
        <f t="shared" si="535"/>
        <v>1</v>
      </c>
      <c r="M2684" s="3">
        <f t="shared" si="536"/>
        <v>0</v>
      </c>
      <c r="N2684" s="3" t="str">
        <f t="shared" si="537"/>
        <v>01</v>
      </c>
      <c r="O2684" s="14" t="str">
        <f t="shared" si="538"/>
        <v>00</v>
      </c>
    </row>
    <row r="2685" spans="1:22" hidden="1">
      <c r="J2685" s="1" t="str">
        <f t="shared" si="533"/>
        <v>0</v>
      </c>
      <c r="K2685" s="3">
        <f t="shared" si="534"/>
        <v>-100</v>
      </c>
      <c r="L2685" s="3">
        <f t="shared" si="535"/>
        <v>1</v>
      </c>
      <c r="M2685" s="3">
        <f t="shared" si="536"/>
        <v>0</v>
      </c>
      <c r="N2685" s="3" t="str">
        <f t="shared" si="537"/>
        <v>01</v>
      </c>
      <c r="O2685" s="14" t="str">
        <f t="shared" si="538"/>
        <v>00</v>
      </c>
    </row>
    <row r="2686" spans="1:22" hidden="1">
      <c r="J2686" s="1" t="str">
        <f t="shared" si="533"/>
        <v>0</v>
      </c>
      <c r="K2686" s="3">
        <f t="shared" si="534"/>
        <v>-100</v>
      </c>
      <c r="L2686" s="3">
        <f t="shared" si="535"/>
        <v>1</v>
      </c>
      <c r="M2686" s="3">
        <f t="shared" si="536"/>
        <v>0</v>
      </c>
      <c r="N2686" s="3" t="str">
        <f t="shared" si="537"/>
        <v>01</v>
      </c>
      <c r="O2686" s="14" t="str">
        <f t="shared" si="538"/>
        <v>00</v>
      </c>
    </row>
    <row r="2687" spans="1:22" hidden="1">
      <c r="J2687" s="1" t="str">
        <f t="shared" si="533"/>
        <v>0</v>
      </c>
      <c r="K2687" s="3">
        <f t="shared" si="534"/>
        <v>-100</v>
      </c>
      <c r="L2687" s="3">
        <f t="shared" si="535"/>
        <v>1</v>
      </c>
      <c r="M2687" s="3">
        <f t="shared" si="536"/>
        <v>0</v>
      </c>
      <c r="N2687" s="3" t="str">
        <f t="shared" si="537"/>
        <v>01</v>
      </c>
      <c r="O2687" s="14" t="str">
        <f t="shared" si="538"/>
        <v>00</v>
      </c>
    </row>
    <row r="2688" spans="1:22" hidden="1">
      <c r="J2688" s="1" t="str">
        <f t="shared" si="533"/>
        <v>0</v>
      </c>
      <c r="K2688" s="3">
        <f t="shared" si="534"/>
        <v>-100</v>
      </c>
      <c r="L2688" s="3">
        <f t="shared" si="535"/>
        <v>1</v>
      </c>
      <c r="M2688" s="3">
        <f t="shared" si="536"/>
        <v>0</v>
      </c>
      <c r="N2688" s="3" t="str">
        <f t="shared" si="537"/>
        <v>01</v>
      </c>
      <c r="O2688" s="14" t="str">
        <f t="shared" si="538"/>
        <v>00</v>
      </c>
    </row>
    <row r="2689" spans="1:23" hidden="1">
      <c r="J2689" s="1" t="str">
        <f t="shared" si="533"/>
        <v>0</v>
      </c>
      <c r="K2689" s="3">
        <f t="shared" si="534"/>
        <v>-100</v>
      </c>
      <c r="L2689" s="3">
        <f t="shared" si="535"/>
        <v>1</v>
      </c>
      <c r="M2689" s="3">
        <f t="shared" si="536"/>
        <v>0</v>
      </c>
      <c r="N2689" s="3" t="str">
        <f t="shared" si="537"/>
        <v>01</v>
      </c>
      <c r="O2689" s="14" t="str">
        <f t="shared" si="538"/>
        <v>00</v>
      </c>
    </row>
    <row r="2690" spans="1:23" hidden="1">
      <c r="J2690" s="1" t="str">
        <f t="shared" si="533"/>
        <v>0</v>
      </c>
      <c r="K2690" s="3">
        <f t="shared" si="534"/>
        <v>-100</v>
      </c>
      <c r="L2690" s="3">
        <f t="shared" si="535"/>
        <v>1</v>
      </c>
      <c r="M2690" s="3">
        <f t="shared" si="536"/>
        <v>0</v>
      </c>
      <c r="N2690" s="3" t="str">
        <f t="shared" si="537"/>
        <v>01</v>
      </c>
      <c r="O2690" s="14" t="str">
        <f t="shared" si="538"/>
        <v>00</v>
      </c>
    </row>
    <row r="2691" spans="1:23" hidden="1">
      <c r="J2691" s="1" t="str">
        <f t="shared" si="533"/>
        <v>0</v>
      </c>
      <c r="K2691" s="3">
        <f t="shared" si="534"/>
        <v>-100</v>
      </c>
      <c r="L2691" s="3">
        <f t="shared" si="535"/>
        <v>1</v>
      </c>
      <c r="M2691" s="3">
        <f t="shared" si="536"/>
        <v>0</v>
      </c>
      <c r="N2691" s="3" t="str">
        <f t="shared" si="537"/>
        <v>01</v>
      </c>
      <c r="O2691" s="14" t="str">
        <f t="shared" si="538"/>
        <v>00</v>
      </c>
    </row>
    <row r="2692" spans="1:23">
      <c r="A2692" s="3">
        <v>2475</v>
      </c>
      <c r="B2692" s="1">
        <f>IF(G2692="-",0,IF(G2691=G2692,1,0))</f>
        <v>0</v>
      </c>
      <c r="C2692" s="1">
        <f>+IF(G2692="-",0,IF(I2692=I2691+1,0,(IF(I2692=1,0,1))))</f>
        <v>1</v>
      </c>
      <c r="D2692" s="1">
        <f>+IF(AND(P2692="",Q2692=""),1,0)</f>
        <v>0</v>
      </c>
      <c r="E2692" s="1">
        <f>IF(U2692="",1,0)</f>
        <v>0</v>
      </c>
      <c r="F2692" s="1">
        <f>IF(V2692="",1,0)</f>
        <v>0</v>
      </c>
      <c r="G2692" s="1" t="str">
        <f>IF(H2692=0,"-",_xlfn.CONCAT(K2692,N2692,O2692,J2692))</f>
        <v>24110802</v>
      </c>
      <c r="H2692" s="2">
        <v>45604</v>
      </c>
      <c r="I2692" s="36">
        <v>2</v>
      </c>
      <c r="J2692" s="1" t="str">
        <f t="shared" si="533"/>
        <v>02</v>
      </c>
      <c r="K2692" s="3">
        <f t="shared" si="534"/>
        <v>24</v>
      </c>
      <c r="L2692" s="3">
        <f t="shared" si="535"/>
        <v>11</v>
      </c>
      <c r="M2692" s="3">
        <f t="shared" si="536"/>
        <v>8</v>
      </c>
      <c r="N2692" s="3">
        <f t="shared" si="537"/>
        <v>11</v>
      </c>
      <c r="O2692" s="14" t="str">
        <f t="shared" si="538"/>
        <v>08</v>
      </c>
      <c r="P2692" s="4">
        <v>528000</v>
      </c>
      <c r="T2692" s="5" t="s">
        <v>1087</v>
      </c>
      <c r="U2692" s="3" t="s">
        <v>2</v>
      </c>
      <c r="V2692" s="3" t="s">
        <v>4</v>
      </c>
    </row>
    <row r="2693" spans="1:23" hidden="1">
      <c r="J2693" s="1" t="str">
        <f t="shared" si="533"/>
        <v>0</v>
      </c>
      <c r="K2693" s="3">
        <f t="shared" si="534"/>
        <v>-100</v>
      </c>
      <c r="L2693" s="3">
        <f t="shared" si="535"/>
        <v>1</v>
      </c>
      <c r="M2693" s="3">
        <f t="shared" si="536"/>
        <v>0</v>
      </c>
      <c r="N2693" s="3" t="str">
        <f t="shared" si="537"/>
        <v>01</v>
      </c>
      <c r="O2693" s="14" t="str">
        <f t="shared" si="538"/>
        <v>00</v>
      </c>
    </row>
    <row r="2694" spans="1:23" hidden="1">
      <c r="J2694" s="1" t="str">
        <f t="shared" si="533"/>
        <v>0</v>
      </c>
      <c r="K2694" s="3">
        <f t="shared" si="534"/>
        <v>-100</v>
      </c>
      <c r="L2694" s="3">
        <f t="shared" si="535"/>
        <v>1</v>
      </c>
      <c r="M2694" s="3">
        <f t="shared" si="536"/>
        <v>0</v>
      </c>
      <c r="N2694" s="3" t="str">
        <f t="shared" si="537"/>
        <v>01</v>
      </c>
      <c r="O2694" s="14" t="str">
        <f t="shared" si="538"/>
        <v>00</v>
      </c>
    </row>
    <row r="2695" spans="1:23" hidden="1">
      <c r="J2695" s="1" t="str">
        <f t="shared" si="533"/>
        <v>0</v>
      </c>
      <c r="K2695" s="3">
        <f t="shared" si="534"/>
        <v>-100</v>
      </c>
      <c r="L2695" s="3">
        <f t="shared" si="535"/>
        <v>1</v>
      </c>
      <c r="M2695" s="3">
        <f t="shared" si="536"/>
        <v>0</v>
      </c>
      <c r="N2695" s="3" t="str">
        <f t="shared" si="537"/>
        <v>01</v>
      </c>
      <c r="O2695" s="14" t="str">
        <f t="shared" si="538"/>
        <v>00</v>
      </c>
    </row>
    <row r="2696" spans="1:23" hidden="1">
      <c r="J2696" s="1" t="str">
        <f t="shared" si="533"/>
        <v>0</v>
      </c>
      <c r="K2696" s="3">
        <f t="shared" si="534"/>
        <v>-100</v>
      </c>
      <c r="L2696" s="3">
        <f t="shared" si="535"/>
        <v>1</v>
      </c>
      <c r="M2696" s="3">
        <f t="shared" si="536"/>
        <v>0</v>
      </c>
      <c r="N2696" s="3" t="str">
        <f t="shared" si="537"/>
        <v>01</v>
      </c>
      <c r="O2696" s="14" t="str">
        <f t="shared" si="538"/>
        <v>00</v>
      </c>
    </row>
    <row r="2697" spans="1:23" hidden="1">
      <c r="J2697" s="1" t="str">
        <f t="shared" si="533"/>
        <v>0</v>
      </c>
      <c r="K2697" s="3">
        <f t="shared" si="534"/>
        <v>-100</v>
      </c>
      <c r="L2697" s="3">
        <f t="shared" si="535"/>
        <v>1</v>
      </c>
      <c r="M2697" s="3">
        <f t="shared" si="536"/>
        <v>0</v>
      </c>
      <c r="N2697" s="3" t="str">
        <f t="shared" si="537"/>
        <v>01</v>
      </c>
      <c r="O2697" s="14" t="str">
        <f t="shared" si="538"/>
        <v>00</v>
      </c>
    </row>
    <row r="2698" spans="1:23" hidden="1">
      <c r="J2698" s="1" t="str">
        <f t="shared" si="533"/>
        <v>0</v>
      </c>
      <c r="K2698" s="3">
        <f t="shared" si="534"/>
        <v>-100</v>
      </c>
      <c r="L2698" s="3">
        <f t="shared" si="535"/>
        <v>1</v>
      </c>
      <c r="M2698" s="3">
        <f t="shared" si="536"/>
        <v>0</v>
      </c>
      <c r="N2698" s="3" t="str">
        <f t="shared" si="537"/>
        <v>01</v>
      </c>
      <c r="O2698" s="14" t="str">
        <f t="shared" si="538"/>
        <v>00</v>
      </c>
    </row>
    <row r="2699" spans="1:23" hidden="1">
      <c r="J2699" s="1" t="str">
        <f t="shared" si="533"/>
        <v>0</v>
      </c>
      <c r="K2699" s="3">
        <f t="shared" si="534"/>
        <v>-100</v>
      </c>
      <c r="L2699" s="3">
        <f t="shared" si="535"/>
        <v>1</v>
      </c>
      <c r="M2699" s="3">
        <f t="shared" si="536"/>
        <v>0</v>
      </c>
      <c r="N2699" s="3" t="str">
        <f t="shared" si="537"/>
        <v>01</v>
      </c>
      <c r="O2699" s="14" t="str">
        <f t="shared" si="538"/>
        <v>00</v>
      </c>
    </row>
    <row r="2700" spans="1:23" hidden="1">
      <c r="J2700" s="1" t="str">
        <f t="shared" si="533"/>
        <v>0</v>
      </c>
      <c r="K2700" s="3">
        <f t="shared" si="534"/>
        <v>-100</v>
      </c>
      <c r="L2700" s="3">
        <f t="shared" si="535"/>
        <v>1</v>
      </c>
      <c r="M2700" s="3">
        <f t="shared" si="536"/>
        <v>0</v>
      </c>
      <c r="N2700" s="3" t="str">
        <f t="shared" si="537"/>
        <v>01</v>
      </c>
      <c r="O2700" s="14" t="str">
        <f t="shared" si="538"/>
        <v>00</v>
      </c>
    </row>
    <row r="2701" spans="1:23">
      <c r="A2701" s="3">
        <v>2501</v>
      </c>
      <c r="B2701" s="1">
        <f>IF(G2701="-",0,IF(G2700=G2701,1,0))</f>
        <v>0</v>
      </c>
      <c r="C2701" s="1">
        <f>+IF(G2701="-",0,IF(I2701=I2700+1,0,(IF(I2701=1,0,1))))</f>
        <v>1</v>
      </c>
      <c r="D2701" s="1">
        <f>+IF(AND(P2701="",Q2701=""),1,0)</f>
        <v>0</v>
      </c>
      <c r="E2701" s="1">
        <f>IF(U2701="",1,0)</f>
        <v>1</v>
      </c>
      <c r="F2701" s="1">
        <f>IF(V2701="",1,0)</f>
        <v>0</v>
      </c>
      <c r="G2701" s="1" t="str">
        <f>IF(H2701=0,"-",_xlfn.CONCAT(K2701,N2701,O2701,J2701))</f>
        <v>24111002</v>
      </c>
      <c r="H2701" s="2">
        <v>45606</v>
      </c>
      <c r="I2701" s="36">
        <v>2</v>
      </c>
      <c r="J2701" s="1" t="str">
        <f t="shared" si="533"/>
        <v>02</v>
      </c>
      <c r="K2701" s="3">
        <f t="shared" si="534"/>
        <v>24</v>
      </c>
      <c r="L2701" s="3">
        <f t="shared" si="535"/>
        <v>11</v>
      </c>
      <c r="M2701" s="3">
        <f t="shared" si="536"/>
        <v>10</v>
      </c>
      <c r="N2701" s="3">
        <f t="shared" si="537"/>
        <v>11</v>
      </c>
      <c r="O2701" s="14">
        <f t="shared" si="538"/>
        <v>10</v>
      </c>
      <c r="P2701" s="4">
        <v>35342.49</v>
      </c>
      <c r="T2701" s="5" t="s">
        <v>1088</v>
      </c>
      <c r="V2701" s="3" t="s">
        <v>4</v>
      </c>
    </row>
    <row r="2702" spans="1:23" hidden="1">
      <c r="J2702" s="1" t="str">
        <f t="shared" si="533"/>
        <v>0</v>
      </c>
      <c r="K2702" s="3">
        <f t="shared" si="534"/>
        <v>-100</v>
      </c>
      <c r="L2702" s="3">
        <f t="shared" si="535"/>
        <v>1</v>
      </c>
      <c r="M2702" s="3">
        <f t="shared" si="536"/>
        <v>0</v>
      </c>
      <c r="N2702" s="3" t="str">
        <f t="shared" si="537"/>
        <v>01</v>
      </c>
      <c r="O2702" s="14" t="str">
        <f t="shared" si="538"/>
        <v>00</v>
      </c>
      <c r="T2702" s="29"/>
      <c r="W2702"/>
    </row>
    <row r="2703" spans="1:23" hidden="1">
      <c r="J2703" s="1" t="str">
        <f t="shared" si="533"/>
        <v>0</v>
      </c>
      <c r="K2703" s="3">
        <f t="shared" si="534"/>
        <v>-100</v>
      </c>
      <c r="L2703" s="3">
        <f t="shared" si="535"/>
        <v>1</v>
      </c>
      <c r="M2703" s="3">
        <f t="shared" si="536"/>
        <v>0</v>
      </c>
      <c r="N2703" s="3" t="str">
        <f t="shared" si="537"/>
        <v>01</v>
      </c>
      <c r="O2703" s="14" t="str">
        <f t="shared" si="538"/>
        <v>00</v>
      </c>
      <c r="T2703" s="29"/>
      <c r="W2703"/>
    </row>
    <row r="2704" spans="1:23" hidden="1">
      <c r="J2704" s="1" t="str">
        <f t="shared" si="533"/>
        <v>0</v>
      </c>
      <c r="K2704" s="3">
        <f t="shared" si="534"/>
        <v>-100</v>
      </c>
      <c r="L2704" s="3">
        <f t="shared" si="535"/>
        <v>1</v>
      </c>
      <c r="M2704" s="3">
        <f t="shared" si="536"/>
        <v>0</v>
      </c>
      <c r="N2704" s="3" t="str">
        <f t="shared" si="537"/>
        <v>01</v>
      </c>
      <c r="O2704" s="14" t="str">
        <f t="shared" si="538"/>
        <v>00</v>
      </c>
      <c r="T2704" s="29"/>
      <c r="W2704"/>
    </row>
    <row r="2705" spans="9:23" hidden="1">
      <c r="J2705" s="1" t="str">
        <f t="shared" si="533"/>
        <v>0</v>
      </c>
      <c r="K2705" s="3">
        <f t="shared" si="534"/>
        <v>-100</v>
      </c>
      <c r="L2705" s="3">
        <f t="shared" si="535"/>
        <v>1</v>
      </c>
      <c r="M2705" s="3">
        <f t="shared" si="536"/>
        <v>0</v>
      </c>
      <c r="N2705" s="3" t="str">
        <f t="shared" si="537"/>
        <v>01</v>
      </c>
      <c r="O2705" s="14" t="str">
        <f t="shared" si="538"/>
        <v>00</v>
      </c>
      <c r="T2705" s="29"/>
      <c r="W2705"/>
    </row>
    <row r="2706" spans="9:23" hidden="1">
      <c r="J2706" s="1" t="str">
        <f t="shared" si="533"/>
        <v>0</v>
      </c>
      <c r="K2706" s="3">
        <f t="shared" si="534"/>
        <v>-100</v>
      </c>
      <c r="L2706" s="3">
        <f t="shared" si="535"/>
        <v>1</v>
      </c>
      <c r="M2706" s="3">
        <f t="shared" si="536"/>
        <v>0</v>
      </c>
      <c r="N2706" s="3" t="str">
        <f t="shared" si="537"/>
        <v>01</v>
      </c>
      <c r="O2706" s="14" t="str">
        <f t="shared" si="538"/>
        <v>00</v>
      </c>
      <c r="T2706" s="29"/>
      <c r="W2706"/>
    </row>
    <row r="2707" spans="9:23" hidden="1">
      <c r="J2707" s="1" t="str">
        <f t="shared" si="533"/>
        <v>0</v>
      </c>
      <c r="K2707" s="3">
        <f t="shared" si="534"/>
        <v>-100</v>
      </c>
      <c r="L2707" s="3">
        <f t="shared" si="535"/>
        <v>1</v>
      </c>
      <c r="M2707" s="3">
        <f t="shared" si="536"/>
        <v>0</v>
      </c>
      <c r="N2707" s="3" t="str">
        <f t="shared" si="537"/>
        <v>01</v>
      </c>
      <c r="O2707" s="14" t="str">
        <f t="shared" si="538"/>
        <v>00</v>
      </c>
      <c r="T2707" s="29"/>
      <c r="W2707"/>
    </row>
    <row r="2708" spans="9:23" hidden="1">
      <c r="J2708" s="1" t="str">
        <f t="shared" si="533"/>
        <v>0</v>
      </c>
      <c r="K2708" s="3">
        <f t="shared" si="534"/>
        <v>-100</v>
      </c>
      <c r="L2708" s="3">
        <f t="shared" si="535"/>
        <v>1</v>
      </c>
      <c r="M2708" s="3">
        <f t="shared" si="536"/>
        <v>0</v>
      </c>
      <c r="N2708" s="3" t="str">
        <f t="shared" si="537"/>
        <v>01</v>
      </c>
      <c r="O2708" s="14" t="str">
        <f t="shared" si="538"/>
        <v>00</v>
      </c>
      <c r="T2708" s="136"/>
      <c r="W2708"/>
    </row>
    <row r="2709" spans="9:23" hidden="1">
      <c r="J2709" s="1" t="str">
        <f t="shared" si="533"/>
        <v>0</v>
      </c>
      <c r="K2709" s="3">
        <f t="shared" si="534"/>
        <v>-100</v>
      </c>
      <c r="L2709" s="3">
        <f t="shared" si="535"/>
        <v>1</v>
      </c>
      <c r="M2709" s="3">
        <f t="shared" si="536"/>
        <v>0</v>
      </c>
      <c r="N2709" s="3" t="str">
        <f t="shared" si="537"/>
        <v>01</v>
      </c>
      <c r="O2709" s="14" t="str">
        <f t="shared" si="538"/>
        <v>00</v>
      </c>
      <c r="T2709" s="136"/>
      <c r="W2709"/>
    </row>
    <row r="2710" spans="9:23" hidden="1">
      <c r="I2710" s="140"/>
      <c r="J2710" s="1" t="str">
        <f t="shared" si="533"/>
        <v>0</v>
      </c>
      <c r="K2710" s="3">
        <f t="shared" si="534"/>
        <v>-100</v>
      </c>
      <c r="L2710" s="3">
        <f t="shared" si="535"/>
        <v>1</v>
      </c>
      <c r="M2710" s="3">
        <f t="shared" si="536"/>
        <v>0</v>
      </c>
      <c r="N2710" s="3" t="str">
        <f t="shared" si="537"/>
        <v>01</v>
      </c>
      <c r="O2710" s="14" t="str">
        <f t="shared" si="538"/>
        <v>00</v>
      </c>
      <c r="T2710" s="136"/>
      <c r="W2710"/>
    </row>
    <row r="2711" spans="9:23" hidden="1">
      <c r="J2711" s="1" t="str">
        <f t="shared" si="533"/>
        <v>0</v>
      </c>
      <c r="K2711" s="3">
        <f t="shared" si="534"/>
        <v>-100</v>
      </c>
      <c r="L2711" s="3">
        <f t="shared" si="535"/>
        <v>1</v>
      </c>
      <c r="M2711" s="3">
        <f t="shared" si="536"/>
        <v>0</v>
      </c>
      <c r="N2711" s="3" t="str">
        <f t="shared" si="537"/>
        <v>01</v>
      </c>
      <c r="O2711" s="14" t="str">
        <f t="shared" si="538"/>
        <v>00</v>
      </c>
      <c r="T2711" s="136"/>
      <c r="W2711"/>
    </row>
    <row r="2712" spans="9:23" hidden="1">
      <c r="J2712" s="1" t="str">
        <f t="shared" si="533"/>
        <v>0</v>
      </c>
      <c r="K2712" s="3">
        <f t="shared" si="534"/>
        <v>-100</v>
      </c>
      <c r="L2712" s="3">
        <f t="shared" si="535"/>
        <v>1</v>
      </c>
      <c r="M2712" s="3">
        <f t="shared" si="536"/>
        <v>0</v>
      </c>
      <c r="N2712" s="3" t="str">
        <f t="shared" si="537"/>
        <v>01</v>
      </c>
      <c r="O2712" s="14" t="str">
        <f t="shared" si="538"/>
        <v>00</v>
      </c>
      <c r="T2712" s="136"/>
      <c r="W2712"/>
    </row>
    <row r="2713" spans="9:23" hidden="1">
      <c r="J2713" s="1" t="str">
        <f t="shared" si="533"/>
        <v>0</v>
      </c>
      <c r="K2713" s="3">
        <f t="shared" si="534"/>
        <v>-100</v>
      </c>
      <c r="L2713" s="3">
        <f t="shared" si="535"/>
        <v>1</v>
      </c>
      <c r="M2713" s="3">
        <f t="shared" si="536"/>
        <v>0</v>
      </c>
      <c r="N2713" s="3" t="str">
        <f t="shared" si="537"/>
        <v>01</v>
      </c>
      <c r="O2713" s="14" t="str">
        <f t="shared" si="538"/>
        <v>00</v>
      </c>
      <c r="T2713" s="136"/>
      <c r="W2713"/>
    </row>
    <row r="2714" spans="9:23" hidden="1">
      <c r="J2714" s="1" t="str">
        <f t="shared" si="533"/>
        <v>0</v>
      </c>
      <c r="K2714" s="3">
        <f t="shared" si="534"/>
        <v>-100</v>
      </c>
      <c r="L2714" s="3">
        <f t="shared" si="535"/>
        <v>1</v>
      </c>
      <c r="M2714" s="3">
        <f t="shared" si="536"/>
        <v>0</v>
      </c>
      <c r="N2714" s="3" t="str">
        <f t="shared" si="537"/>
        <v>01</v>
      </c>
      <c r="O2714" s="14" t="str">
        <f t="shared" si="538"/>
        <v>00</v>
      </c>
      <c r="T2714" s="136"/>
      <c r="W2714"/>
    </row>
    <row r="2715" spans="9:23" hidden="1">
      <c r="J2715" s="1" t="str">
        <f t="shared" si="533"/>
        <v>0</v>
      </c>
      <c r="K2715" s="3">
        <f t="shared" si="534"/>
        <v>-100</v>
      </c>
      <c r="L2715" s="3">
        <f t="shared" si="535"/>
        <v>1</v>
      </c>
      <c r="M2715" s="3">
        <f t="shared" si="536"/>
        <v>0</v>
      </c>
      <c r="N2715" s="3" t="str">
        <f t="shared" si="537"/>
        <v>01</v>
      </c>
      <c r="O2715" s="14" t="str">
        <f t="shared" si="538"/>
        <v>00</v>
      </c>
      <c r="T2715" s="136"/>
      <c r="W2715"/>
    </row>
    <row r="2716" spans="9:23" hidden="1">
      <c r="J2716" s="1" t="str">
        <f t="shared" si="533"/>
        <v>0</v>
      </c>
      <c r="K2716" s="3">
        <f t="shared" si="534"/>
        <v>-100</v>
      </c>
      <c r="L2716" s="3">
        <f t="shared" si="535"/>
        <v>1</v>
      </c>
      <c r="M2716" s="3">
        <f t="shared" si="536"/>
        <v>0</v>
      </c>
      <c r="N2716" s="3" t="str">
        <f t="shared" si="537"/>
        <v>01</v>
      </c>
      <c r="O2716" s="14" t="str">
        <f t="shared" si="538"/>
        <v>00</v>
      </c>
      <c r="T2716" s="136"/>
      <c r="W2716"/>
    </row>
    <row r="2717" spans="9:23" hidden="1">
      <c r="J2717" s="1" t="str">
        <f t="shared" si="533"/>
        <v>0</v>
      </c>
      <c r="K2717" s="3">
        <f t="shared" si="534"/>
        <v>-100</v>
      </c>
      <c r="L2717" s="3">
        <f t="shared" si="535"/>
        <v>1</v>
      </c>
      <c r="M2717" s="3">
        <f t="shared" si="536"/>
        <v>0</v>
      </c>
      <c r="N2717" s="3" t="str">
        <f t="shared" si="537"/>
        <v>01</v>
      </c>
      <c r="O2717" s="14" t="str">
        <f t="shared" si="538"/>
        <v>00</v>
      </c>
      <c r="T2717" s="136"/>
      <c r="W2717"/>
    </row>
    <row r="2718" spans="9:23" hidden="1">
      <c r="J2718" s="1" t="str">
        <f t="shared" si="533"/>
        <v>0</v>
      </c>
      <c r="K2718" s="3">
        <f t="shared" si="534"/>
        <v>-100</v>
      </c>
      <c r="L2718" s="3">
        <f t="shared" si="535"/>
        <v>1</v>
      </c>
      <c r="M2718" s="3">
        <f t="shared" si="536"/>
        <v>0</v>
      </c>
      <c r="N2718" s="3" t="str">
        <f t="shared" si="537"/>
        <v>01</v>
      </c>
      <c r="O2718" s="14" t="str">
        <f t="shared" si="538"/>
        <v>00</v>
      </c>
      <c r="T2718" s="33"/>
      <c r="W2718"/>
    </row>
    <row r="2719" spans="9:23" hidden="1">
      <c r="J2719" s="1" t="str">
        <f t="shared" si="533"/>
        <v>0</v>
      </c>
      <c r="K2719" s="3">
        <f t="shared" si="534"/>
        <v>-100</v>
      </c>
      <c r="L2719" s="3">
        <f t="shared" si="535"/>
        <v>1</v>
      </c>
      <c r="M2719" s="3">
        <f t="shared" si="536"/>
        <v>0</v>
      </c>
      <c r="N2719" s="3" t="str">
        <f t="shared" si="537"/>
        <v>01</v>
      </c>
      <c r="O2719" s="14" t="str">
        <f t="shared" si="538"/>
        <v>00</v>
      </c>
      <c r="T2719" s="33"/>
      <c r="W2719"/>
    </row>
    <row r="2720" spans="9:23" hidden="1">
      <c r="J2720" s="1" t="str">
        <f t="shared" si="533"/>
        <v>0</v>
      </c>
      <c r="K2720" s="3">
        <f t="shared" si="534"/>
        <v>-100</v>
      </c>
      <c r="L2720" s="3">
        <f t="shared" si="535"/>
        <v>1</v>
      </c>
      <c r="M2720" s="3">
        <f t="shared" si="536"/>
        <v>0</v>
      </c>
      <c r="N2720" s="3" t="str">
        <f t="shared" si="537"/>
        <v>01</v>
      </c>
      <c r="O2720" s="14" t="str">
        <f t="shared" si="538"/>
        <v>00</v>
      </c>
      <c r="T2720" s="33"/>
      <c r="W2720"/>
    </row>
    <row r="2721" spans="9:15" hidden="1">
      <c r="J2721" s="1" t="str">
        <f t="shared" si="533"/>
        <v>0</v>
      </c>
      <c r="K2721" s="3">
        <f t="shared" si="534"/>
        <v>-100</v>
      </c>
      <c r="L2721" s="3">
        <f t="shared" si="535"/>
        <v>1</v>
      </c>
      <c r="M2721" s="3">
        <f t="shared" si="536"/>
        <v>0</v>
      </c>
      <c r="N2721" s="3" t="str">
        <f t="shared" si="537"/>
        <v>01</v>
      </c>
      <c r="O2721" s="14" t="str">
        <f t="shared" si="538"/>
        <v>00</v>
      </c>
    </row>
    <row r="2722" spans="9:15" hidden="1">
      <c r="J2722" s="1" t="str">
        <f t="shared" ref="J2722:J2785" si="539">+IF(I2722&lt;10,_xlfn.CONCAT("0",I2722),I2722)</f>
        <v>0</v>
      </c>
      <c r="K2722" s="3">
        <f t="shared" ref="K2722:K2785" si="540">+YEAR(H2722)-2000</f>
        <v>-100</v>
      </c>
      <c r="L2722" s="3">
        <f t="shared" ref="L2722:L2785" si="541">+MONTH(H2722)</f>
        <v>1</v>
      </c>
      <c r="M2722" s="3">
        <f t="shared" ref="M2722:M2785" si="542">+DAY(H2722)</f>
        <v>0</v>
      </c>
      <c r="N2722" s="3" t="str">
        <f t="shared" ref="N2722:N2785" si="543">+IF(L2722&lt;10,_xlfn.CONCAT("0",L2722),L2722)</f>
        <v>01</v>
      </c>
      <c r="O2722" s="14" t="str">
        <f t="shared" ref="O2722:O2785" si="544">+IF(M2722&lt;10,_xlfn.CONCAT("0",M2722),M2722)</f>
        <v>00</v>
      </c>
    </row>
    <row r="2723" spans="9:15" hidden="1">
      <c r="J2723" s="1" t="str">
        <f t="shared" si="539"/>
        <v>0</v>
      </c>
      <c r="K2723" s="3">
        <f t="shared" si="540"/>
        <v>-100</v>
      </c>
      <c r="L2723" s="3">
        <f t="shared" si="541"/>
        <v>1</v>
      </c>
      <c r="M2723" s="3">
        <f t="shared" si="542"/>
        <v>0</v>
      </c>
      <c r="N2723" s="3" t="str">
        <f t="shared" si="543"/>
        <v>01</v>
      </c>
      <c r="O2723" s="14" t="str">
        <f t="shared" si="544"/>
        <v>00</v>
      </c>
    </row>
    <row r="2724" spans="9:15" hidden="1">
      <c r="J2724" s="1" t="str">
        <f t="shared" si="539"/>
        <v>0</v>
      </c>
      <c r="K2724" s="3">
        <f t="shared" si="540"/>
        <v>-100</v>
      </c>
      <c r="L2724" s="3">
        <f t="shared" si="541"/>
        <v>1</v>
      </c>
      <c r="M2724" s="3">
        <f t="shared" si="542"/>
        <v>0</v>
      </c>
      <c r="N2724" s="3" t="str">
        <f t="shared" si="543"/>
        <v>01</v>
      </c>
      <c r="O2724" s="14" t="str">
        <f t="shared" si="544"/>
        <v>00</v>
      </c>
    </row>
    <row r="2725" spans="9:15" hidden="1">
      <c r="J2725" s="1" t="str">
        <f t="shared" si="539"/>
        <v>0</v>
      </c>
      <c r="K2725" s="3">
        <f t="shared" si="540"/>
        <v>-100</v>
      </c>
      <c r="L2725" s="3">
        <f t="shared" si="541"/>
        <v>1</v>
      </c>
      <c r="M2725" s="3">
        <f t="shared" si="542"/>
        <v>0</v>
      </c>
      <c r="N2725" s="3" t="str">
        <f t="shared" si="543"/>
        <v>01</v>
      </c>
      <c r="O2725" s="14" t="str">
        <f t="shared" si="544"/>
        <v>00</v>
      </c>
    </row>
    <row r="2726" spans="9:15" hidden="1">
      <c r="J2726" s="1" t="str">
        <f t="shared" si="539"/>
        <v>0</v>
      </c>
      <c r="K2726" s="3">
        <f t="shared" si="540"/>
        <v>-100</v>
      </c>
      <c r="L2726" s="3">
        <f t="shared" si="541"/>
        <v>1</v>
      </c>
      <c r="M2726" s="3">
        <f t="shared" si="542"/>
        <v>0</v>
      </c>
      <c r="N2726" s="3" t="str">
        <f t="shared" si="543"/>
        <v>01</v>
      </c>
      <c r="O2726" s="14" t="str">
        <f t="shared" si="544"/>
        <v>00</v>
      </c>
    </row>
    <row r="2727" spans="9:15" hidden="1">
      <c r="J2727" s="1" t="str">
        <f t="shared" si="539"/>
        <v>0</v>
      </c>
      <c r="K2727" s="3">
        <f t="shared" si="540"/>
        <v>-100</v>
      </c>
      <c r="L2727" s="3">
        <f t="shared" si="541"/>
        <v>1</v>
      </c>
      <c r="M2727" s="3">
        <f t="shared" si="542"/>
        <v>0</v>
      </c>
      <c r="N2727" s="3" t="str">
        <f t="shared" si="543"/>
        <v>01</v>
      </c>
      <c r="O2727" s="14" t="str">
        <f t="shared" si="544"/>
        <v>00</v>
      </c>
    </row>
    <row r="2728" spans="9:15" hidden="1">
      <c r="J2728" s="1" t="str">
        <f t="shared" si="539"/>
        <v>0</v>
      </c>
      <c r="K2728" s="3">
        <f t="shared" si="540"/>
        <v>-100</v>
      </c>
      <c r="L2728" s="3">
        <f t="shared" si="541"/>
        <v>1</v>
      </c>
      <c r="M2728" s="3">
        <f t="shared" si="542"/>
        <v>0</v>
      </c>
      <c r="N2728" s="3" t="str">
        <f t="shared" si="543"/>
        <v>01</v>
      </c>
      <c r="O2728" s="14" t="str">
        <f t="shared" si="544"/>
        <v>00</v>
      </c>
    </row>
    <row r="2729" spans="9:15" hidden="1">
      <c r="I2729" s="1"/>
      <c r="J2729" s="1" t="str">
        <f t="shared" si="539"/>
        <v>0</v>
      </c>
      <c r="K2729" s="3">
        <f t="shared" si="540"/>
        <v>-100</v>
      </c>
      <c r="L2729" s="3">
        <f t="shared" si="541"/>
        <v>1</v>
      </c>
      <c r="M2729" s="3">
        <f t="shared" si="542"/>
        <v>0</v>
      </c>
      <c r="N2729" s="3" t="str">
        <f t="shared" si="543"/>
        <v>01</v>
      </c>
      <c r="O2729" s="14" t="str">
        <f t="shared" si="544"/>
        <v>00</v>
      </c>
    </row>
    <row r="2730" spans="9:15" hidden="1">
      <c r="J2730" s="1" t="str">
        <f t="shared" si="539"/>
        <v>0</v>
      </c>
      <c r="K2730" s="3">
        <f t="shared" si="540"/>
        <v>-100</v>
      </c>
      <c r="L2730" s="3">
        <f t="shared" si="541"/>
        <v>1</v>
      </c>
      <c r="M2730" s="3">
        <f t="shared" si="542"/>
        <v>0</v>
      </c>
      <c r="N2730" s="3" t="str">
        <f t="shared" si="543"/>
        <v>01</v>
      </c>
      <c r="O2730" s="14" t="str">
        <f t="shared" si="544"/>
        <v>00</v>
      </c>
    </row>
    <row r="2731" spans="9:15" hidden="1">
      <c r="J2731" s="1" t="str">
        <f t="shared" si="539"/>
        <v>0</v>
      </c>
      <c r="K2731" s="3">
        <f t="shared" si="540"/>
        <v>-100</v>
      </c>
      <c r="L2731" s="3">
        <f t="shared" si="541"/>
        <v>1</v>
      </c>
      <c r="M2731" s="3">
        <f t="shared" si="542"/>
        <v>0</v>
      </c>
      <c r="N2731" s="3" t="str">
        <f t="shared" si="543"/>
        <v>01</v>
      </c>
      <c r="O2731" s="14" t="str">
        <f t="shared" si="544"/>
        <v>00</v>
      </c>
    </row>
    <row r="2732" spans="9:15" hidden="1">
      <c r="J2732" s="1" t="str">
        <f t="shared" si="539"/>
        <v>0</v>
      </c>
      <c r="K2732" s="3">
        <f t="shared" si="540"/>
        <v>-100</v>
      </c>
      <c r="L2732" s="3">
        <f t="shared" si="541"/>
        <v>1</v>
      </c>
      <c r="M2732" s="3">
        <f t="shared" si="542"/>
        <v>0</v>
      </c>
      <c r="N2732" s="3" t="str">
        <f t="shared" si="543"/>
        <v>01</v>
      </c>
      <c r="O2732" s="14" t="str">
        <f t="shared" si="544"/>
        <v>00</v>
      </c>
    </row>
    <row r="2733" spans="9:15" hidden="1">
      <c r="J2733" s="1" t="str">
        <f t="shared" si="539"/>
        <v>0</v>
      </c>
      <c r="K2733" s="3">
        <f t="shared" si="540"/>
        <v>-100</v>
      </c>
      <c r="L2733" s="3">
        <f t="shared" si="541"/>
        <v>1</v>
      </c>
      <c r="M2733" s="3">
        <f t="shared" si="542"/>
        <v>0</v>
      </c>
      <c r="N2733" s="3" t="str">
        <f t="shared" si="543"/>
        <v>01</v>
      </c>
      <c r="O2733" s="14" t="str">
        <f t="shared" si="544"/>
        <v>00</v>
      </c>
    </row>
    <row r="2734" spans="9:15" hidden="1">
      <c r="J2734" s="1" t="str">
        <f t="shared" si="539"/>
        <v>0</v>
      </c>
      <c r="K2734" s="3">
        <f t="shared" si="540"/>
        <v>-100</v>
      </c>
      <c r="L2734" s="3">
        <f t="shared" si="541"/>
        <v>1</v>
      </c>
      <c r="M2734" s="3">
        <f t="shared" si="542"/>
        <v>0</v>
      </c>
      <c r="N2734" s="3" t="str">
        <f t="shared" si="543"/>
        <v>01</v>
      </c>
      <c r="O2734" s="14" t="str">
        <f t="shared" si="544"/>
        <v>00</v>
      </c>
    </row>
    <row r="2735" spans="9:15" hidden="1">
      <c r="J2735" s="1" t="str">
        <f t="shared" si="539"/>
        <v>0</v>
      </c>
      <c r="K2735" s="3">
        <f t="shared" si="540"/>
        <v>-100</v>
      </c>
      <c r="L2735" s="3">
        <f t="shared" si="541"/>
        <v>1</v>
      </c>
      <c r="M2735" s="3">
        <f t="shared" si="542"/>
        <v>0</v>
      </c>
      <c r="N2735" s="3" t="str">
        <f t="shared" si="543"/>
        <v>01</v>
      </c>
      <c r="O2735" s="14" t="str">
        <f t="shared" si="544"/>
        <v>00</v>
      </c>
    </row>
    <row r="2736" spans="9:15" hidden="1">
      <c r="J2736" s="1" t="str">
        <f t="shared" si="539"/>
        <v>0</v>
      </c>
      <c r="K2736" s="3">
        <f t="shared" si="540"/>
        <v>-100</v>
      </c>
      <c r="L2736" s="3">
        <f t="shared" si="541"/>
        <v>1</v>
      </c>
      <c r="M2736" s="3">
        <f t="shared" si="542"/>
        <v>0</v>
      </c>
      <c r="N2736" s="3" t="str">
        <f t="shared" si="543"/>
        <v>01</v>
      </c>
      <c r="O2736" s="14" t="str">
        <f t="shared" si="544"/>
        <v>00</v>
      </c>
    </row>
    <row r="2737" spans="10:15" hidden="1">
      <c r="J2737" s="1" t="str">
        <f t="shared" si="539"/>
        <v>0</v>
      </c>
      <c r="K2737" s="3">
        <f t="shared" si="540"/>
        <v>-100</v>
      </c>
      <c r="L2737" s="3">
        <f t="shared" si="541"/>
        <v>1</v>
      </c>
      <c r="M2737" s="3">
        <f t="shared" si="542"/>
        <v>0</v>
      </c>
      <c r="N2737" s="3" t="str">
        <f t="shared" si="543"/>
        <v>01</v>
      </c>
      <c r="O2737" s="14" t="str">
        <f t="shared" si="544"/>
        <v>00</v>
      </c>
    </row>
    <row r="2738" spans="10:15" hidden="1">
      <c r="J2738" s="1" t="str">
        <f t="shared" si="539"/>
        <v>0</v>
      </c>
      <c r="K2738" s="3">
        <f t="shared" si="540"/>
        <v>-100</v>
      </c>
      <c r="L2738" s="3">
        <f t="shared" si="541"/>
        <v>1</v>
      </c>
      <c r="M2738" s="3">
        <f t="shared" si="542"/>
        <v>0</v>
      </c>
      <c r="N2738" s="3" t="str">
        <f t="shared" si="543"/>
        <v>01</v>
      </c>
      <c r="O2738" s="14" t="str">
        <f t="shared" si="544"/>
        <v>00</v>
      </c>
    </row>
    <row r="2739" spans="10:15" hidden="1">
      <c r="J2739" s="1" t="str">
        <f t="shared" si="539"/>
        <v>0</v>
      </c>
      <c r="K2739" s="3">
        <f t="shared" si="540"/>
        <v>-100</v>
      </c>
      <c r="L2739" s="3">
        <f t="shared" si="541"/>
        <v>1</v>
      </c>
      <c r="M2739" s="3">
        <f t="shared" si="542"/>
        <v>0</v>
      </c>
      <c r="N2739" s="3" t="str">
        <f t="shared" si="543"/>
        <v>01</v>
      </c>
      <c r="O2739" s="14" t="str">
        <f t="shared" si="544"/>
        <v>00</v>
      </c>
    </row>
    <row r="2740" spans="10:15" hidden="1">
      <c r="J2740" s="1" t="str">
        <f t="shared" si="539"/>
        <v>0</v>
      </c>
      <c r="K2740" s="3">
        <f t="shared" si="540"/>
        <v>-100</v>
      </c>
      <c r="L2740" s="3">
        <f t="shared" si="541"/>
        <v>1</v>
      </c>
      <c r="M2740" s="3">
        <f t="shared" si="542"/>
        <v>0</v>
      </c>
      <c r="N2740" s="3" t="str">
        <f t="shared" si="543"/>
        <v>01</v>
      </c>
      <c r="O2740" s="14" t="str">
        <f t="shared" si="544"/>
        <v>00</v>
      </c>
    </row>
    <row r="2741" spans="10:15" hidden="1">
      <c r="J2741" s="1" t="str">
        <f t="shared" si="539"/>
        <v>0</v>
      </c>
      <c r="K2741" s="3">
        <f t="shared" si="540"/>
        <v>-100</v>
      </c>
      <c r="L2741" s="3">
        <f t="shared" si="541"/>
        <v>1</v>
      </c>
      <c r="M2741" s="3">
        <f t="shared" si="542"/>
        <v>0</v>
      </c>
      <c r="N2741" s="3" t="str">
        <f t="shared" si="543"/>
        <v>01</v>
      </c>
      <c r="O2741" s="14" t="str">
        <f t="shared" si="544"/>
        <v>00</v>
      </c>
    </row>
    <row r="2742" spans="10:15" hidden="1">
      <c r="J2742" s="1" t="str">
        <f t="shared" si="539"/>
        <v>0</v>
      </c>
      <c r="K2742" s="3">
        <f t="shared" si="540"/>
        <v>-100</v>
      </c>
      <c r="L2742" s="3">
        <f t="shared" si="541"/>
        <v>1</v>
      </c>
      <c r="M2742" s="3">
        <f t="shared" si="542"/>
        <v>0</v>
      </c>
      <c r="N2742" s="3" t="str">
        <f t="shared" si="543"/>
        <v>01</v>
      </c>
      <c r="O2742" s="14" t="str">
        <f t="shared" si="544"/>
        <v>00</v>
      </c>
    </row>
    <row r="2743" spans="10:15" hidden="1">
      <c r="J2743" s="1" t="str">
        <f t="shared" si="539"/>
        <v>0</v>
      </c>
      <c r="K2743" s="3">
        <f t="shared" si="540"/>
        <v>-100</v>
      </c>
      <c r="L2743" s="3">
        <f t="shared" si="541"/>
        <v>1</v>
      </c>
      <c r="M2743" s="3">
        <f t="shared" si="542"/>
        <v>0</v>
      </c>
      <c r="N2743" s="3" t="str">
        <f t="shared" si="543"/>
        <v>01</v>
      </c>
      <c r="O2743" s="14" t="str">
        <f t="shared" si="544"/>
        <v>00</v>
      </c>
    </row>
    <row r="2744" spans="10:15" hidden="1">
      <c r="J2744" s="1" t="str">
        <f t="shared" si="539"/>
        <v>0</v>
      </c>
      <c r="K2744" s="3">
        <f t="shared" si="540"/>
        <v>-100</v>
      </c>
      <c r="L2744" s="3">
        <f t="shared" si="541"/>
        <v>1</v>
      </c>
      <c r="M2744" s="3">
        <f t="shared" si="542"/>
        <v>0</v>
      </c>
      <c r="N2744" s="3" t="str">
        <f t="shared" si="543"/>
        <v>01</v>
      </c>
      <c r="O2744" s="14" t="str">
        <f t="shared" si="544"/>
        <v>00</v>
      </c>
    </row>
    <row r="2745" spans="10:15" hidden="1">
      <c r="J2745" s="1" t="str">
        <f t="shared" si="539"/>
        <v>0</v>
      </c>
      <c r="K2745" s="3">
        <f t="shared" si="540"/>
        <v>-100</v>
      </c>
      <c r="L2745" s="3">
        <f t="shared" si="541"/>
        <v>1</v>
      </c>
      <c r="M2745" s="3">
        <f t="shared" si="542"/>
        <v>0</v>
      </c>
      <c r="N2745" s="3" t="str">
        <f t="shared" si="543"/>
        <v>01</v>
      </c>
      <c r="O2745" s="14" t="str">
        <f t="shared" si="544"/>
        <v>00</v>
      </c>
    </row>
    <row r="2746" spans="10:15" hidden="1">
      <c r="J2746" s="1" t="str">
        <f t="shared" si="539"/>
        <v>0</v>
      </c>
      <c r="K2746" s="3">
        <f t="shared" si="540"/>
        <v>-100</v>
      </c>
      <c r="L2746" s="3">
        <f t="shared" si="541"/>
        <v>1</v>
      </c>
      <c r="M2746" s="3">
        <f t="shared" si="542"/>
        <v>0</v>
      </c>
      <c r="N2746" s="3" t="str">
        <f t="shared" si="543"/>
        <v>01</v>
      </c>
      <c r="O2746" s="14" t="str">
        <f t="shared" si="544"/>
        <v>00</v>
      </c>
    </row>
    <row r="2747" spans="10:15" hidden="1">
      <c r="J2747" s="1" t="str">
        <f t="shared" si="539"/>
        <v>0</v>
      </c>
      <c r="K2747" s="3">
        <f t="shared" si="540"/>
        <v>-100</v>
      </c>
      <c r="L2747" s="3">
        <f t="shared" si="541"/>
        <v>1</v>
      </c>
      <c r="M2747" s="3">
        <f t="shared" si="542"/>
        <v>0</v>
      </c>
      <c r="N2747" s="3" t="str">
        <f t="shared" si="543"/>
        <v>01</v>
      </c>
      <c r="O2747" s="14" t="str">
        <f t="shared" si="544"/>
        <v>00</v>
      </c>
    </row>
    <row r="2748" spans="10:15" hidden="1">
      <c r="J2748" s="1" t="str">
        <f t="shared" si="539"/>
        <v>0</v>
      </c>
      <c r="K2748" s="3">
        <f t="shared" si="540"/>
        <v>-100</v>
      </c>
      <c r="L2748" s="3">
        <f t="shared" si="541"/>
        <v>1</v>
      </c>
      <c r="M2748" s="3">
        <f t="shared" si="542"/>
        <v>0</v>
      </c>
      <c r="N2748" s="3" t="str">
        <f t="shared" si="543"/>
        <v>01</v>
      </c>
      <c r="O2748" s="14" t="str">
        <f t="shared" si="544"/>
        <v>00</v>
      </c>
    </row>
    <row r="2749" spans="10:15" hidden="1">
      <c r="J2749" s="1" t="str">
        <f t="shared" si="539"/>
        <v>0</v>
      </c>
      <c r="K2749" s="3">
        <f t="shared" si="540"/>
        <v>-100</v>
      </c>
      <c r="L2749" s="3">
        <f t="shared" si="541"/>
        <v>1</v>
      </c>
      <c r="M2749" s="3">
        <f t="shared" si="542"/>
        <v>0</v>
      </c>
      <c r="N2749" s="3" t="str">
        <f t="shared" si="543"/>
        <v>01</v>
      </c>
      <c r="O2749" s="14" t="str">
        <f t="shared" si="544"/>
        <v>00</v>
      </c>
    </row>
    <row r="2750" spans="10:15" hidden="1">
      <c r="J2750" s="1" t="str">
        <f t="shared" si="539"/>
        <v>0</v>
      </c>
      <c r="K2750" s="3">
        <f t="shared" si="540"/>
        <v>-100</v>
      </c>
      <c r="L2750" s="3">
        <f t="shared" si="541"/>
        <v>1</v>
      </c>
      <c r="M2750" s="3">
        <f t="shared" si="542"/>
        <v>0</v>
      </c>
      <c r="N2750" s="3" t="str">
        <f t="shared" si="543"/>
        <v>01</v>
      </c>
      <c r="O2750" s="14" t="str">
        <f t="shared" si="544"/>
        <v>00</v>
      </c>
    </row>
    <row r="2751" spans="10:15" hidden="1">
      <c r="J2751" s="1" t="str">
        <f t="shared" si="539"/>
        <v>0</v>
      </c>
      <c r="K2751" s="3">
        <f t="shared" si="540"/>
        <v>-100</v>
      </c>
      <c r="L2751" s="3">
        <f t="shared" si="541"/>
        <v>1</v>
      </c>
      <c r="M2751" s="3">
        <f t="shared" si="542"/>
        <v>0</v>
      </c>
      <c r="N2751" s="3" t="str">
        <f t="shared" si="543"/>
        <v>01</v>
      </c>
      <c r="O2751" s="14" t="str">
        <f t="shared" si="544"/>
        <v>00</v>
      </c>
    </row>
    <row r="2752" spans="10:15" hidden="1">
      <c r="J2752" s="1" t="str">
        <f t="shared" si="539"/>
        <v>0</v>
      </c>
      <c r="K2752" s="3">
        <f t="shared" si="540"/>
        <v>-100</v>
      </c>
      <c r="L2752" s="3">
        <f t="shared" si="541"/>
        <v>1</v>
      </c>
      <c r="M2752" s="3">
        <f t="shared" si="542"/>
        <v>0</v>
      </c>
      <c r="N2752" s="3" t="str">
        <f t="shared" si="543"/>
        <v>01</v>
      </c>
      <c r="O2752" s="14" t="str">
        <f t="shared" si="544"/>
        <v>00</v>
      </c>
    </row>
    <row r="2753" spans="1:22" hidden="1">
      <c r="J2753" s="1" t="str">
        <f t="shared" si="539"/>
        <v>0</v>
      </c>
      <c r="K2753" s="3">
        <f t="shared" si="540"/>
        <v>-100</v>
      </c>
      <c r="L2753" s="3">
        <f t="shared" si="541"/>
        <v>1</v>
      </c>
      <c r="M2753" s="3">
        <f t="shared" si="542"/>
        <v>0</v>
      </c>
      <c r="N2753" s="3" t="str">
        <f t="shared" si="543"/>
        <v>01</v>
      </c>
      <c r="O2753" s="14" t="str">
        <f t="shared" si="544"/>
        <v>00</v>
      </c>
    </row>
    <row r="2754" spans="1:22" hidden="1">
      <c r="J2754" s="1" t="str">
        <f t="shared" si="539"/>
        <v>0</v>
      </c>
      <c r="K2754" s="3">
        <f t="shared" si="540"/>
        <v>-100</v>
      </c>
      <c r="L2754" s="3">
        <f t="shared" si="541"/>
        <v>1</v>
      </c>
      <c r="M2754" s="3">
        <f t="shared" si="542"/>
        <v>0</v>
      </c>
      <c r="N2754" s="3" t="str">
        <f t="shared" si="543"/>
        <v>01</v>
      </c>
      <c r="O2754" s="14" t="str">
        <f t="shared" si="544"/>
        <v>00</v>
      </c>
    </row>
    <row r="2755" spans="1:22" hidden="1">
      <c r="J2755" s="1" t="str">
        <f t="shared" si="539"/>
        <v>0</v>
      </c>
      <c r="K2755" s="3">
        <f t="shared" si="540"/>
        <v>-100</v>
      </c>
      <c r="L2755" s="3">
        <f t="shared" si="541"/>
        <v>1</v>
      </c>
      <c r="M2755" s="3">
        <f t="shared" si="542"/>
        <v>0</v>
      </c>
      <c r="N2755" s="3" t="str">
        <f t="shared" si="543"/>
        <v>01</v>
      </c>
      <c r="O2755" s="14" t="str">
        <f t="shared" si="544"/>
        <v>00</v>
      </c>
    </row>
    <row r="2756" spans="1:22" hidden="1">
      <c r="J2756" s="1" t="str">
        <f t="shared" si="539"/>
        <v>0</v>
      </c>
      <c r="K2756" s="3">
        <f t="shared" si="540"/>
        <v>-100</v>
      </c>
      <c r="L2756" s="3">
        <f t="shared" si="541"/>
        <v>1</v>
      </c>
      <c r="M2756" s="3">
        <f t="shared" si="542"/>
        <v>0</v>
      </c>
      <c r="N2756" s="3" t="str">
        <f t="shared" si="543"/>
        <v>01</v>
      </c>
      <c r="O2756" s="14" t="str">
        <f t="shared" si="544"/>
        <v>00</v>
      </c>
      <c r="P2756" s="139"/>
      <c r="T2756" s="137"/>
    </row>
    <row r="2757" spans="1:22">
      <c r="A2757" s="3">
        <v>2578</v>
      </c>
      <c r="B2757" s="1">
        <f>IF(G2757="-",0,IF(G2756=G2757,1,0))</f>
        <v>0</v>
      </c>
      <c r="C2757" s="1">
        <f>+IF(G2757="-",0,IF(I2757=I2756+1,0,(IF(I2757=1,0,1))))</f>
        <v>1</v>
      </c>
      <c r="D2757" s="1">
        <f>+IF(AND(P2757="",Q2757=""),1,0)</f>
        <v>0</v>
      </c>
      <c r="E2757" s="1">
        <f>IF(U2757="",1,0)</f>
        <v>0</v>
      </c>
      <c r="F2757" s="1">
        <f>IF(V2757="",1,0)</f>
        <v>0</v>
      </c>
      <c r="G2757" s="1" t="str">
        <f>IF(H2757=0,"-",_xlfn.CONCAT(K2757,N2757,O2757,J2757))</f>
        <v>24112008</v>
      </c>
      <c r="H2757" s="2">
        <v>45616</v>
      </c>
      <c r="I2757" s="36">
        <v>8</v>
      </c>
      <c r="J2757" s="1" t="str">
        <f t="shared" si="539"/>
        <v>08</v>
      </c>
      <c r="K2757" s="3">
        <f t="shared" si="540"/>
        <v>24</v>
      </c>
      <c r="L2757" s="3">
        <f t="shared" si="541"/>
        <v>11</v>
      </c>
      <c r="M2757" s="3">
        <f t="shared" si="542"/>
        <v>20</v>
      </c>
      <c r="N2757" s="3">
        <f t="shared" si="543"/>
        <v>11</v>
      </c>
      <c r="O2757" s="14">
        <f t="shared" si="544"/>
        <v>20</v>
      </c>
      <c r="P2757" s="4">
        <v>3581.87</v>
      </c>
      <c r="T2757" s="5" t="s">
        <v>1091</v>
      </c>
      <c r="U2757" s="3" t="s">
        <v>29</v>
      </c>
      <c r="V2757" s="3" t="s">
        <v>4</v>
      </c>
    </row>
    <row r="2758" spans="1:22" hidden="1">
      <c r="J2758" s="1" t="str">
        <f t="shared" si="539"/>
        <v>0</v>
      </c>
      <c r="K2758" s="3">
        <f t="shared" si="540"/>
        <v>-100</v>
      </c>
      <c r="L2758" s="3">
        <f t="shared" si="541"/>
        <v>1</v>
      </c>
      <c r="M2758" s="3">
        <f t="shared" si="542"/>
        <v>0</v>
      </c>
      <c r="N2758" s="3" t="str">
        <f t="shared" si="543"/>
        <v>01</v>
      </c>
      <c r="O2758" s="14" t="str">
        <f t="shared" si="544"/>
        <v>00</v>
      </c>
      <c r="P2758" s="139"/>
      <c r="T2758" s="137"/>
    </row>
    <row r="2759" spans="1:22" hidden="1">
      <c r="J2759" s="1" t="str">
        <f t="shared" si="539"/>
        <v>0</v>
      </c>
      <c r="K2759" s="3">
        <f t="shared" si="540"/>
        <v>-100</v>
      </c>
      <c r="L2759" s="3">
        <f t="shared" si="541"/>
        <v>1</v>
      </c>
      <c r="M2759" s="3">
        <f t="shared" si="542"/>
        <v>0</v>
      </c>
      <c r="N2759" s="3" t="str">
        <f t="shared" si="543"/>
        <v>01</v>
      </c>
      <c r="O2759" s="14" t="str">
        <f t="shared" si="544"/>
        <v>00</v>
      </c>
      <c r="P2759" s="139"/>
      <c r="T2759" s="137"/>
    </row>
    <row r="2760" spans="1:22" hidden="1">
      <c r="J2760" s="1" t="str">
        <f t="shared" si="539"/>
        <v>0</v>
      </c>
      <c r="K2760" s="3">
        <f t="shared" si="540"/>
        <v>-100</v>
      </c>
      <c r="L2760" s="3">
        <f t="shared" si="541"/>
        <v>1</v>
      </c>
      <c r="M2760" s="3">
        <f t="shared" si="542"/>
        <v>0</v>
      </c>
      <c r="N2760" s="3" t="str">
        <f t="shared" si="543"/>
        <v>01</v>
      </c>
      <c r="O2760" s="14" t="str">
        <f t="shared" si="544"/>
        <v>00</v>
      </c>
      <c r="P2760" s="139"/>
      <c r="T2760" s="137"/>
    </row>
    <row r="2761" spans="1:22" hidden="1">
      <c r="J2761" s="1" t="str">
        <f t="shared" si="539"/>
        <v>0</v>
      </c>
      <c r="K2761" s="3">
        <f t="shared" si="540"/>
        <v>-100</v>
      </c>
      <c r="L2761" s="3">
        <f t="shared" si="541"/>
        <v>1</v>
      </c>
      <c r="M2761" s="3">
        <f t="shared" si="542"/>
        <v>0</v>
      </c>
      <c r="N2761" s="3" t="str">
        <f t="shared" si="543"/>
        <v>01</v>
      </c>
      <c r="O2761" s="14" t="str">
        <f t="shared" si="544"/>
        <v>00</v>
      </c>
      <c r="P2761" s="139"/>
      <c r="T2761" s="137"/>
    </row>
    <row r="2762" spans="1:22" hidden="1">
      <c r="J2762" s="1" t="str">
        <f t="shared" si="539"/>
        <v>0</v>
      </c>
      <c r="K2762" s="3">
        <f t="shared" si="540"/>
        <v>-100</v>
      </c>
      <c r="L2762" s="3">
        <f t="shared" si="541"/>
        <v>1</v>
      </c>
      <c r="M2762" s="3">
        <f t="shared" si="542"/>
        <v>0</v>
      </c>
      <c r="N2762" s="3" t="str">
        <f t="shared" si="543"/>
        <v>01</v>
      </c>
      <c r="O2762" s="14" t="str">
        <f t="shared" si="544"/>
        <v>00</v>
      </c>
    </row>
    <row r="2763" spans="1:22" hidden="1">
      <c r="J2763" s="1" t="str">
        <f t="shared" si="539"/>
        <v>0</v>
      </c>
      <c r="K2763" s="3">
        <f t="shared" si="540"/>
        <v>-100</v>
      </c>
      <c r="L2763" s="3">
        <f t="shared" si="541"/>
        <v>1</v>
      </c>
      <c r="M2763" s="3">
        <f t="shared" si="542"/>
        <v>0</v>
      </c>
      <c r="N2763" s="3" t="str">
        <f t="shared" si="543"/>
        <v>01</v>
      </c>
      <c r="O2763" s="14" t="str">
        <f t="shared" si="544"/>
        <v>00</v>
      </c>
    </row>
    <row r="2764" spans="1:22" hidden="1">
      <c r="J2764" s="1" t="str">
        <f t="shared" si="539"/>
        <v>0</v>
      </c>
      <c r="K2764" s="3">
        <f t="shared" si="540"/>
        <v>-100</v>
      </c>
      <c r="L2764" s="3">
        <f t="shared" si="541"/>
        <v>1</v>
      </c>
      <c r="M2764" s="3">
        <f t="shared" si="542"/>
        <v>0</v>
      </c>
      <c r="N2764" s="3" t="str">
        <f t="shared" si="543"/>
        <v>01</v>
      </c>
      <c r="O2764" s="14" t="str">
        <f t="shared" si="544"/>
        <v>00</v>
      </c>
      <c r="P2764" s="11"/>
      <c r="T2764" s="138"/>
    </row>
    <row r="2765" spans="1:22" hidden="1">
      <c r="J2765" s="1" t="str">
        <f t="shared" si="539"/>
        <v>0</v>
      </c>
      <c r="K2765" s="3">
        <f t="shared" si="540"/>
        <v>-100</v>
      </c>
      <c r="L2765" s="3">
        <f t="shared" si="541"/>
        <v>1</v>
      </c>
      <c r="M2765" s="3">
        <f t="shared" si="542"/>
        <v>0</v>
      </c>
      <c r="N2765" s="3" t="str">
        <f t="shared" si="543"/>
        <v>01</v>
      </c>
      <c r="O2765" s="14" t="str">
        <f t="shared" si="544"/>
        <v>00</v>
      </c>
      <c r="P2765" s="11"/>
      <c r="T2765" s="138"/>
    </row>
    <row r="2766" spans="1:22" hidden="1">
      <c r="J2766" s="1" t="str">
        <f t="shared" si="539"/>
        <v>0</v>
      </c>
      <c r="K2766" s="3">
        <f t="shared" si="540"/>
        <v>-100</v>
      </c>
      <c r="L2766" s="3">
        <f t="shared" si="541"/>
        <v>1</v>
      </c>
      <c r="M2766" s="3">
        <f t="shared" si="542"/>
        <v>0</v>
      </c>
      <c r="N2766" s="3" t="str">
        <f t="shared" si="543"/>
        <v>01</v>
      </c>
      <c r="O2766" s="14" t="str">
        <f t="shared" si="544"/>
        <v>00</v>
      </c>
    </row>
    <row r="2767" spans="1:22" hidden="1">
      <c r="J2767" s="1" t="str">
        <f t="shared" si="539"/>
        <v>0</v>
      </c>
      <c r="K2767" s="3">
        <f t="shared" si="540"/>
        <v>-100</v>
      </c>
      <c r="L2767" s="3">
        <f t="shared" si="541"/>
        <v>1</v>
      </c>
      <c r="M2767" s="3">
        <f t="shared" si="542"/>
        <v>0</v>
      </c>
      <c r="N2767" s="3" t="str">
        <f t="shared" si="543"/>
        <v>01</v>
      </c>
      <c r="O2767" s="14" t="str">
        <f t="shared" si="544"/>
        <v>00</v>
      </c>
    </row>
    <row r="2768" spans="1:22" hidden="1">
      <c r="J2768" s="1" t="str">
        <f t="shared" si="539"/>
        <v>0</v>
      </c>
      <c r="K2768" s="3">
        <f t="shared" si="540"/>
        <v>-100</v>
      </c>
      <c r="L2768" s="3">
        <f t="shared" si="541"/>
        <v>1</v>
      </c>
      <c r="M2768" s="3">
        <f t="shared" si="542"/>
        <v>0</v>
      </c>
      <c r="N2768" s="3" t="str">
        <f t="shared" si="543"/>
        <v>01</v>
      </c>
      <c r="O2768" s="14" t="str">
        <f t="shared" si="544"/>
        <v>00</v>
      </c>
    </row>
    <row r="2769" spans="10:15" hidden="1">
      <c r="J2769" s="1" t="str">
        <f t="shared" si="539"/>
        <v>0</v>
      </c>
      <c r="K2769" s="3">
        <f t="shared" si="540"/>
        <v>-100</v>
      </c>
      <c r="L2769" s="3">
        <f t="shared" si="541"/>
        <v>1</v>
      </c>
      <c r="M2769" s="3">
        <f t="shared" si="542"/>
        <v>0</v>
      </c>
      <c r="N2769" s="3" t="str">
        <f t="shared" si="543"/>
        <v>01</v>
      </c>
      <c r="O2769" s="14" t="str">
        <f t="shared" si="544"/>
        <v>00</v>
      </c>
    </row>
    <row r="2770" spans="10:15" hidden="1">
      <c r="J2770" s="1" t="str">
        <f t="shared" si="539"/>
        <v>0</v>
      </c>
      <c r="K2770" s="3">
        <f t="shared" si="540"/>
        <v>-100</v>
      </c>
      <c r="L2770" s="3">
        <f t="shared" si="541"/>
        <v>1</v>
      </c>
      <c r="M2770" s="3">
        <f t="shared" si="542"/>
        <v>0</v>
      </c>
      <c r="N2770" s="3" t="str">
        <f t="shared" si="543"/>
        <v>01</v>
      </c>
      <c r="O2770" s="14" t="str">
        <f t="shared" si="544"/>
        <v>00</v>
      </c>
    </row>
    <row r="2771" spans="10:15" hidden="1">
      <c r="J2771" s="1" t="str">
        <f t="shared" si="539"/>
        <v>0</v>
      </c>
      <c r="K2771" s="3">
        <f t="shared" si="540"/>
        <v>-100</v>
      </c>
      <c r="L2771" s="3">
        <f t="shared" si="541"/>
        <v>1</v>
      </c>
      <c r="M2771" s="3">
        <f t="shared" si="542"/>
        <v>0</v>
      </c>
      <c r="N2771" s="3" t="str">
        <f t="shared" si="543"/>
        <v>01</v>
      </c>
      <c r="O2771" s="14" t="str">
        <f t="shared" si="544"/>
        <v>00</v>
      </c>
    </row>
    <row r="2772" spans="10:15" hidden="1">
      <c r="J2772" s="1" t="str">
        <f t="shared" si="539"/>
        <v>0</v>
      </c>
      <c r="K2772" s="3">
        <f t="shared" si="540"/>
        <v>-100</v>
      </c>
      <c r="L2772" s="3">
        <f t="shared" si="541"/>
        <v>1</v>
      </c>
      <c r="M2772" s="3">
        <f t="shared" si="542"/>
        <v>0</v>
      </c>
      <c r="N2772" s="3" t="str">
        <f t="shared" si="543"/>
        <v>01</v>
      </c>
      <c r="O2772" s="14" t="str">
        <f t="shared" si="544"/>
        <v>00</v>
      </c>
    </row>
    <row r="2773" spans="10:15" hidden="1">
      <c r="J2773" s="1" t="str">
        <f t="shared" si="539"/>
        <v>0</v>
      </c>
      <c r="K2773" s="3">
        <f t="shared" si="540"/>
        <v>-100</v>
      </c>
      <c r="L2773" s="3">
        <f t="shared" si="541"/>
        <v>1</v>
      </c>
      <c r="M2773" s="3">
        <f t="shared" si="542"/>
        <v>0</v>
      </c>
      <c r="N2773" s="3" t="str">
        <f t="shared" si="543"/>
        <v>01</v>
      </c>
      <c r="O2773" s="14" t="str">
        <f t="shared" si="544"/>
        <v>00</v>
      </c>
    </row>
    <row r="2774" spans="10:15" hidden="1">
      <c r="J2774" s="1" t="str">
        <f t="shared" si="539"/>
        <v>0</v>
      </c>
      <c r="K2774" s="3">
        <f t="shared" si="540"/>
        <v>-100</v>
      </c>
      <c r="L2774" s="3">
        <f t="shared" si="541"/>
        <v>1</v>
      </c>
      <c r="M2774" s="3">
        <f t="shared" si="542"/>
        <v>0</v>
      </c>
      <c r="N2774" s="3" t="str">
        <f t="shared" si="543"/>
        <v>01</v>
      </c>
      <c r="O2774" s="14" t="str">
        <f t="shared" si="544"/>
        <v>00</v>
      </c>
    </row>
    <row r="2775" spans="10:15" hidden="1">
      <c r="J2775" s="1" t="str">
        <f t="shared" si="539"/>
        <v>0</v>
      </c>
      <c r="K2775" s="3">
        <f t="shared" si="540"/>
        <v>-100</v>
      </c>
      <c r="L2775" s="3">
        <f t="shared" si="541"/>
        <v>1</v>
      </c>
      <c r="M2775" s="3">
        <f t="shared" si="542"/>
        <v>0</v>
      </c>
      <c r="N2775" s="3" t="str">
        <f t="shared" si="543"/>
        <v>01</v>
      </c>
      <c r="O2775" s="14" t="str">
        <f t="shared" si="544"/>
        <v>00</v>
      </c>
    </row>
    <row r="2776" spans="10:15" hidden="1">
      <c r="J2776" s="1" t="str">
        <f t="shared" si="539"/>
        <v>0</v>
      </c>
      <c r="K2776" s="3">
        <f t="shared" si="540"/>
        <v>-100</v>
      </c>
      <c r="L2776" s="3">
        <f t="shared" si="541"/>
        <v>1</v>
      </c>
      <c r="M2776" s="3">
        <f t="shared" si="542"/>
        <v>0</v>
      </c>
      <c r="N2776" s="3" t="str">
        <f t="shared" si="543"/>
        <v>01</v>
      </c>
      <c r="O2776" s="14" t="str">
        <f t="shared" si="544"/>
        <v>00</v>
      </c>
    </row>
    <row r="2777" spans="10:15" hidden="1">
      <c r="J2777" s="1" t="str">
        <f t="shared" si="539"/>
        <v>0</v>
      </c>
      <c r="K2777" s="3">
        <f t="shared" si="540"/>
        <v>-100</v>
      </c>
      <c r="L2777" s="3">
        <f t="shared" si="541"/>
        <v>1</v>
      </c>
      <c r="M2777" s="3">
        <f t="shared" si="542"/>
        <v>0</v>
      </c>
      <c r="N2777" s="3" t="str">
        <f t="shared" si="543"/>
        <v>01</v>
      </c>
      <c r="O2777" s="14" t="str">
        <f t="shared" si="544"/>
        <v>00</v>
      </c>
    </row>
    <row r="2778" spans="10:15" hidden="1">
      <c r="J2778" s="1" t="str">
        <f t="shared" si="539"/>
        <v>0</v>
      </c>
      <c r="K2778" s="3">
        <f t="shared" si="540"/>
        <v>-100</v>
      </c>
      <c r="L2778" s="3">
        <f t="shared" si="541"/>
        <v>1</v>
      </c>
      <c r="M2778" s="3">
        <f t="shared" si="542"/>
        <v>0</v>
      </c>
      <c r="N2778" s="3" t="str">
        <f t="shared" si="543"/>
        <v>01</v>
      </c>
      <c r="O2778" s="14" t="str">
        <f t="shared" si="544"/>
        <v>00</v>
      </c>
    </row>
    <row r="2779" spans="10:15" hidden="1">
      <c r="J2779" s="1" t="str">
        <f t="shared" si="539"/>
        <v>0</v>
      </c>
      <c r="K2779" s="3">
        <f t="shared" si="540"/>
        <v>-100</v>
      </c>
      <c r="L2779" s="3">
        <f t="shared" si="541"/>
        <v>1</v>
      </c>
      <c r="M2779" s="3">
        <f t="shared" si="542"/>
        <v>0</v>
      </c>
      <c r="N2779" s="3" t="str">
        <f t="shared" si="543"/>
        <v>01</v>
      </c>
      <c r="O2779" s="14" t="str">
        <f t="shared" si="544"/>
        <v>00</v>
      </c>
    </row>
    <row r="2780" spans="10:15" hidden="1">
      <c r="J2780" s="1" t="str">
        <f t="shared" si="539"/>
        <v>0</v>
      </c>
      <c r="K2780" s="3">
        <f t="shared" si="540"/>
        <v>-100</v>
      </c>
      <c r="L2780" s="3">
        <f t="shared" si="541"/>
        <v>1</v>
      </c>
      <c r="M2780" s="3">
        <f t="shared" si="542"/>
        <v>0</v>
      </c>
      <c r="N2780" s="3" t="str">
        <f t="shared" si="543"/>
        <v>01</v>
      </c>
      <c r="O2780" s="14" t="str">
        <f t="shared" si="544"/>
        <v>00</v>
      </c>
    </row>
    <row r="2781" spans="10:15" hidden="1">
      <c r="J2781" s="1" t="str">
        <f t="shared" si="539"/>
        <v>0</v>
      </c>
      <c r="K2781" s="3">
        <f t="shared" si="540"/>
        <v>-100</v>
      </c>
      <c r="L2781" s="3">
        <f t="shared" si="541"/>
        <v>1</v>
      </c>
      <c r="M2781" s="3">
        <f t="shared" si="542"/>
        <v>0</v>
      </c>
      <c r="N2781" s="3" t="str">
        <f t="shared" si="543"/>
        <v>01</v>
      </c>
      <c r="O2781" s="14" t="str">
        <f t="shared" si="544"/>
        <v>00</v>
      </c>
    </row>
    <row r="2782" spans="10:15" hidden="1">
      <c r="J2782" s="1" t="str">
        <f t="shared" si="539"/>
        <v>0</v>
      </c>
      <c r="K2782" s="3">
        <f t="shared" si="540"/>
        <v>-100</v>
      </c>
      <c r="L2782" s="3">
        <f t="shared" si="541"/>
        <v>1</v>
      </c>
      <c r="M2782" s="3">
        <f t="shared" si="542"/>
        <v>0</v>
      </c>
      <c r="N2782" s="3" t="str">
        <f t="shared" si="543"/>
        <v>01</v>
      </c>
      <c r="O2782" s="14" t="str">
        <f t="shared" si="544"/>
        <v>00</v>
      </c>
    </row>
    <row r="2783" spans="10:15" hidden="1">
      <c r="J2783" s="1" t="str">
        <f t="shared" si="539"/>
        <v>0</v>
      </c>
      <c r="K2783" s="3">
        <f t="shared" si="540"/>
        <v>-100</v>
      </c>
      <c r="L2783" s="3">
        <f t="shared" si="541"/>
        <v>1</v>
      </c>
      <c r="M2783" s="3">
        <f t="shared" si="542"/>
        <v>0</v>
      </c>
      <c r="N2783" s="3" t="str">
        <f t="shared" si="543"/>
        <v>01</v>
      </c>
      <c r="O2783" s="14" t="str">
        <f t="shared" si="544"/>
        <v>00</v>
      </c>
    </row>
    <row r="2784" spans="10:15" hidden="1">
      <c r="J2784" s="1" t="str">
        <f t="shared" si="539"/>
        <v>0</v>
      </c>
      <c r="K2784" s="3">
        <f t="shared" si="540"/>
        <v>-100</v>
      </c>
      <c r="L2784" s="3">
        <f t="shared" si="541"/>
        <v>1</v>
      </c>
      <c r="M2784" s="3">
        <f t="shared" si="542"/>
        <v>0</v>
      </c>
      <c r="N2784" s="3" t="str">
        <f t="shared" si="543"/>
        <v>01</v>
      </c>
      <c r="O2784" s="14" t="str">
        <f t="shared" si="544"/>
        <v>00</v>
      </c>
    </row>
    <row r="2785" spans="10:15" hidden="1">
      <c r="J2785" s="1" t="str">
        <f t="shared" si="539"/>
        <v>0</v>
      </c>
      <c r="K2785" s="3">
        <f t="shared" si="540"/>
        <v>-100</v>
      </c>
      <c r="L2785" s="3">
        <f t="shared" si="541"/>
        <v>1</v>
      </c>
      <c r="M2785" s="3">
        <f t="shared" si="542"/>
        <v>0</v>
      </c>
      <c r="N2785" s="3" t="str">
        <f t="shared" si="543"/>
        <v>01</v>
      </c>
      <c r="O2785" s="14" t="str">
        <f t="shared" si="544"/>
        <v>00</v>
      </c>
    </row>
    <row r="2786" spans="10:15" hidden="1">
      <c r="J2786" s="1" t="str">
        <f t="shared" ref="J2786:J2849" si="545">+IF(I2786&lt;10,_xlfn.CONCAT("0",I2786),I2786)</f>
        <v>0</v>
      </c>
      <c r="K2786" s="3">
        <f t="shared" ref="K2786:K2849" si="546">+YEAR(H2786)-2000</f>
        <v>-100</v>
      </c>
      <c r="L2786" s="3">
        <f t="shared" ref="L2786:L2849" si="547">+MONTH(H2786)</f>
        <v>1</v>
      </c>
      <c r="M2786" s="3">
        <f t="shared" ref="M2786:M2849" si="548">+DAY(H2786)</f>
        <v>0</v>
      </c>
      <c r="N2786" s="3" t="str">
        <f t="shared" ref="N2786:N2849" si="549">+IF(L2786&lt;10,_xlfn.CONCAT("0",L2786),L2786)</f>
        <v>01</v>
      </c>
      <c r="O2786" s="14" t="str">
        <f t="shared" ref="O2786:O2849" si="550">+IF(M2786&lt;10,_xlfn.CONCAT("0",M2786),M2786)</f>
        <v>00</v>
      </c>
    </row>
    <row r="2787" spans="10:15" hidden="1">
      <c r="J2787" s="1" t="str">
        <f t="shared" si="545"/>
        <v>0</v>
      </c>
      <c r="K2787" s="3">
        <f t="shared" si="546"/>
        <v>-100</v>
      </c>
      <c r="L2787" s="3">
        <f t="shared" si="547"/>
        <v>1</v>
      </c>
      <c r="M2787" s="3">
        <f t="shared" si="548"/>
        <v>0</v>
      </c>
      <c r="N2787" s="3" t="str">
        <f t="shared" si="549"/>
        <v>01</v>
      </c>
      <c r="O2787" s="14" t="str">
        <f t="shared" si="550"/>
        <v>00</v>
      </c>
    </row>
    <row r="2788" spans="10:15" hidden="1">
      <c r="J2788" s="1" t="str">
        <f t="shared" si="545"/>
        <v>0</v>
      </c>
      <c r="K2788" s="3">
        <f t="shared" si="546"/>
        <v>-100</v>
      </c>
      <c r="L2788" s="3">
        <f t="shared" si="547"/>
        <v>1</v>
      </c>
      <c r="M2788" s="3">
        <f t="shared" si="548"/>
        <v>0</v>
      </c>
      <c r="N2788" s="3" t="str">
        <f t="shared" si="549"/>
        <v>01</v>
      </c>
      <c r="O2788" s="14" t="str">
        <f t="shared" si="550"/>
        <v>00</v>
      </c>
    </row>
    <row r="2789" spans="10:15" hidden="1">
      <c r="J2789" s="1" t="str">
        <f t="shared" si="545"/>
        <v>0</v>
      </c>
      <c r="K2789" s="3">
        <f t="shared" si="546"/>
        <v>-100</v>
      </c>
      <c r="L2789" s="3">
        <f t="shared" si="547"/>
        <v>1</v>
      </c>
      <c r="M2789" s="3">
        <f t="shared" si="548"/>
        <v>0</v>
      </c>
      <c r="N2789" s="3" t="str">
        <f t="shared" si="549"/>
        <v>01</v>
      </c>
      <c r="O2789" s="14" t="str">
        <f t="shared" si="550"/>
        <v>00</v>
      </c>
    </row>
    <row r="2790" spans="10:15" hidden="1">
      <c r="J2790" s="1" t="str">
        <f t="shared" si="545"/>
        <v>0</v>
      </c>
      <c r="K2790" s="3">
        <f t="shared" si="546"/>
        <v>-100</v>
      </c>
      <c r="L2790" s="3">
        <f t="shared" si="547"/>
        <v>1</v>
      </c>
      <c r="M2790" s="3">
        <f t="shared" si="548"/>
        <v>0</v>
      </c>
      <c r="N2790" s="3" t="str">
        <f t="shared" si="549"/>
        <v>01</v>
      </c>
      <c r="O2790" s="14" t="str">
        <f t="shared" si="550"/>
        <v>00</v>
      </c>
    </row>
    <row r="2791" spans="10:15" hidden="1">
      <c r="J2791" s="1" t="str">
        <f t="shared" si="545"/>
        <v>0</v>
      </c>
      <c r="K2791" s="3">
        <f t="shared" si="546"/>
        <v>-100</v>
      </c>
      <c r="L2791" s="3">
        <f t="shared" si="547"/>
        <v>1</v>
      </c>
      <c r="M2791" s="3">
        <f t="shared" si="548"/>
        <v>0</v>
      </c>
      <c r="N2791" s="3" t="str">
        <f t="shared" si="549"/>
        <v>01</v>
      </c>
      <c r="O2791" s="14" t="str">
        <f t="shared" si="550"/>
        <v>00</v>
      </c>
    </row>
    <row r="2792" spans="10:15" hidden="1">
      <c r="J2792" s="1" t="str">
        <f t="shared" si="545"/>
        <v>0</v>
      </c>
      <c r="K2792" s="3">
        <f t="shared" si="546"/>
        <v>-100</v>
      </c>
      <c r="L2792" s="3">
        <f t="shared" si="547"/>
        <v>1</v>
      </c>
      <c r="M2792" s="3">
        <f t="shared" si="548"/>
        <v>0</v>
      </c>
      <c r="N2792" s="3" t="str">
        <f t="shared" si="549"/>
        <v>01</v>
      </c>
      <c r="O2792" s="14" t="str">
        <f t="shared" si="550"/>
        <v>00</v>
      </c>
    </row>
    <row r="2793" spans="10:15" hidden="1">
      <c r="J2793" s="1" t="str">
        <f t="shared" si="545"/>
        <v>0</v>
      </c>
      <c r="K2793" s="3">
        <f t="shared" si="546"/>
        <v>-100</v>
      </c>
      <c r="L2793" s="3">
        <f t="shared" si="547"/>
        <v>1</v>
      </c>
      <c r="M2793" s="3">
        <f t="shared" si="548"/>
        <v>0</v>
      </c>
      <c r="N2793" s="3" t="str">
        <f t="shared" si="549"/>
        <v>01</v>
      </c>
      <c r="O2793" s="14" t="str">
        <f t="shared" si="550"/>
        <v>00</v>
      </c>
    </row>
    <row r="2794" spans="10:15" hidden="1">
      <c r="J2794" s="1" t="str">
        <f t="shared" si="545"/>
        <v>0</v>
      </c>
      <c r="K2794" s="3">
        <f t="shared" si="546"/>
        <v>-100</v>
      </c>
      <c r="L2794" s="3">
        <f t="shared" si="547"/>
        <v>1</v>
      </c>
      <c r="M2794" s="3">
        <f t="shared" si="548"/>
        <v>0</v>
      </c>
      <c r="N2794" s="3" t="str">
        <f t="shared" si="549"/>
        <v>01</v>
      </c>
      <c r="O2794" s="14" t="str">
        <f t="shared" si="550"/>
        <v>00</v>
      </c>
    </row>
    <row r="2795" spans="10:15" hidden="1">
      <c r="J2795" s="1" t="str">
        <f t="shared" si="545"/>
        <v>0</v>
      </c>
      <c r="K2795" s="3">
        <f t="shared" si="546"/>
        <v>-100</v>
      </c>
      <c r="L2795" s="3">
        <f t="shared" si="547"/>
        <v>1</v>
      </c>
      <c r="M2795" s="3">
        <f t="shared" si="548"/>
        <v>0</v>
      </c>
      <c r="N2795" s="3" t="str">
        <f t="shared" si="549"/>
        <v>01</v>
      </c>
      <c r="O2795" s="14" t="str">
        <f t="shared" si="550"/>
        <v>00</v>
      </c>
    </row>
    <row r="2796" spans="10:15" hidden="1">
      <c r="J2796" s="1" t="str">
        <f t="shared" si="545"/>
        <v>0</v>
      </c>
      <c r="K2796" s="3">
        <f t="shared" si="546"/>
        <v>-100</v>
      </c>
      <c r="L2796" s="3">
        <f t="shared" si="547"/>
        <v>1</v>
      </c>
      <c r="M2796" s="3">
        <f t="shared" si="548"/>
        <v>0</v>
      </c>
      <c r="N2796" s="3" t="str">
        <f t="shared" si="549"/>
        <v>01</v>
      </c>
      <c r="O2796" s="14" t="str">
        <f t="shared" si="550"/>
        <v>00</v>
      </c>
    </row>
    <row r="2797" spans="10:15" hidden="1">
      <c r="J2797" s="1" t="str">
        <f t="shared" si="545"/>
        <v>0</v>
      </c>
      <c r="K2797" s="3">
        <f t="shared" si="546"/>
        <v>-100</v>
      </c>
      <c r="L2797" s="3">
        <f t="shared" si="547"/>
        <v>1</v>
      </c>
      <c r="M2797" s="3">
        <f t="shared" si="548"/>
        <v>0</v>
      </c>
      <c r="N2797" s="3" t="str">
        <f t="shared" si="549"/>
        <v>01</v>
      </c>
      <c r="O2797" s="14" t="str">
        <f t="shared" si="550"/>
        <v>00</v>
      </c>
    </row>
    <row r="2798" spans="10:15" hidden="1">
      <c r="J2798" s="1" t="str">
        <f t="shared" si="545"/>
        <v>0</v>
      </c>
      <c r="K2798" s="3">
        <f t="shared" si="546"/>
        <v>-100</v>
      </c>
      <c r="L2798" s="3">
        <f t="shared" si="547"/>
        <v>1</v>
      </c>
      <c r="M2798" s="3">
        <f t="shared" si="548"/>
        <v>0</v>
      </c>
      <c r="N2798" s="3" t="str">
        <f t="shared" si="549"/>
        <v>01</v>
      </c>
      <c r="O2798" s="14" t="str">
        <f t="shared" si="550"/>
        <v>00</v>
      </c>
    </row>
    <row r="2799" spans="10:15" hidden="1">
      <c r="J2799" s="1" t="str">
        <f t="shared" si="545"/>
        <v>0</v>
      </c>
      <c r="K2799" s="3">
        <f t="shared" si="546"/>
        <v>-100</v>
      </c>
      <c r="L2799" s="3">
        <f t="shared" si="547"/>
        <v>1</v>
      </c>
      <c r="M2799" s="3">
        <f t="shared" si="548"/>
        <v>0</v>
      </c>
      <c r="N2799" s="3" t="str">
        <f t="shared" si="549"/>
        <v>01</v>
      </c>
      <c r="O2799" s="14" t="str">
        <f t="shared" si="550"/>
        <v>00</v>
      </c>
    </row>
    <row r="2800" spans="10:15" hidden="1">
      <c r="J2800" s="1" t="str">
        <f t="shared" si="545"/>
        <v>0</v>
      </c>
      <c r="K2800" s="3">
        <f t="shared" si="546"/>
        <v>-100</v>
      </c>
      <c r="L2800" s="3">
        <f t="shared" si="547"/>
        <v>1</v>
      </c>
      <c r="M2800" s="3">
        <f t="shared" si="548"/>
        <v>0</v>
      </c>
      <c r="N2800" s="3" t="str">
        <f t="shared" si="549"/>
        <v>01</v>
      </c>
      <c r="O2800" s="14" t="str">
        <f t="shared" si="550"/>
        <v>00</v>
      </c>
    </row>
    <row r="2801" spans="10:15" hidden="1">
      <c r="J2801" s="1" t="str">
        <f t="shared" si="545"/>
        <v>0</v>
      </c>
      <c r="K2801" s="3">
        <f t="shared" si="546"/>
        <v>-100</v>
      </c>
      <c r="L2801" s="3">
        <f t="shared" si="547"/>
        <v>1</v>
      </c>
      <c r="M2801" s="3">
        <f t="shared" si="548"/>
        <v>0</v>
      </c>
      <c r="N2801" s="3" t="str">
        <f t="shared" si="549"/>
        <v>01</v>
      </c>
      <c r="O2801" s="14" t="str">
        <f t="shared" si="550"/>
        <v>00</v>
      </c>
    </row>
    <row r="2802" spans="10:15" hidden="1">
      <c r="J2802" s="1" t="str">
        <f t="shared" si="545"/>
        <v>0</v>
      </c>
      <c r="K2802" s="3">
        <f t="shared" si="546"/>
        <v>-100</v>
      </c>
      <c r="L2802" s="3">
        <f t="shared" si="547"/>
        <v>1</v>
      </c>
      <c r="M2802" s="3">
        <f t="shared" si="548"/>
        <v>0</v>
      </c>
      <c r="N2802" s="3" t="str">
        <f t="shared" si="549"/>
        <v>01</v>
      </c>
      <c r="O2802" s="14" t="str">
        <f t="shared" si="550"/>
        <v>00</v>
      </c>
    </row>
    <row r="2803" spans="10:15" hidden="1">
      <c r="J2803" s="1" t="str">
        <f t="shared" si="545"/>
        <v>0</v>
      </c>
      <c r="K2803" s="3">
        <f t="shared" si="546"/>
        <v>-100</v>
      </c>
      <c r="L2803" s="3">
        <f t="shared" si="547"/>
        <v>1</v>
      </c>
      <c r="M2803" s="3">
        <f t="shared" si="548"/>
        <v>0</v>
      </c>
      <c r="N2803" s="3" t="str">
        <f t="shared" si="549"/>
        <v>01</v>
      </c>
      <c r="O2803" s="14" t="str">
        <f t="shared" si="550"/>
        <v>00</v>
      </c>
    </row>
    <row r="2804" spans="10:15" hidden="1">
      <c r="J2804" s="1" t="str">
        <f t="shared" si="545"/>
        <v>0</v>
      </c>
      <c r="K2804" s="3">
        <f t="shared" si="546"/>
        <v>-100</v>
      </c>
      <c r="L2804" s="3">
        <f t="shared" si="547"/>
        <v>1</v>
      </c>
      <c r="M2804" s="3">
        <f t="shared" si="548"/>
        <v>0</v>
      </c>
      <c r="N2804" s="3" t="str">
        <f t="shared" si="549"/>
        <v>01</v>
      </c>
      <c r="O2804" s="14" t="str">
        <f t="shared" si="550"/>
        <v>00</v>
      </c>
    </row>
    <row r="2805" spans="10:15" hidden="1">
      <c r="J2805" s="1" t="str">
        <f t="shared" si="545"/>
        <v>0</v>
      </c>
      <c r="K2805" s="3">
        <f t="shared" si="546"/>
        <v>-100</v>
      </c>
      <c r="L2805" s="3">
        <f t="shared" si="547"/>
        <v>1</v>
      </c>
      <c r="M2805" s="3">
        <f t="shared" si="548"/>
        <v>0</v>
      </c>
      <c r="N2805" s="3" t="str">
        <f t="shared" si="549"/>
        <v>01</v>
      </c>
      <c r="O2805" s="14" t="str">
        <f t="shared" si="550"/>
        <v>00</v>
      </c>
    </row>
    <row r="2806" spans="10:15" hidden="1">
      <c r="J2806" s="1" t="str">
        <f t="shared" si="545"/>
        <v>0</v>
      </c>
      <c r="K2806" s="3">
        <f t="shared" si="546"/>
        <v>-100</v>
      </c>
      <c r="L2806" s="3">
        <f t="shared" si="547"/>
        <v>1</v>
      </c>
      <c r="M2806" s="3">
        <f t="shared" si="548"/>
        <v>0</v>
      </c>
      <c r="N2806" s="3" t="str">
        <f t="shared" si="549"/>
        <v>01</v>
      </c>
      <c r="O2806" s="14" t="str">
        <f t="shared" si="550"/>
        <v>00</v>
      </c>
    </row>
    <row r="2807" spans="10:15" hidden="1">
      <c r="J2807" s="1" t="str">
        <f t="shared" si="545"/>
        <v>0</v>
      </c>
      <c r="K2807" s="3">
        <f t="shared" si="546"/>
        <v>-100</v>
      </c>
      <c r="L2807" s="3">
        <f t="shared" si="547"/>
        <v>1</v>
      </c>
      <c r="M2807" s="3">
        <f t="shared" si="548"/>
        <v>0</v>
      </c>
      <c r="N2807" s="3" t="str">
        <f t="shared" si="549"/>
        <v>01</v>
      </c>
      <c r="O2807" s="14" t="str">
        <f t="shared" si="550"/>
        <v>00</v>
      </c>
    </row>
    <row r="2808" spans="10:15" hidden="1">
      <c r="J2808" s="1" t="str">
        <f t="shared" si="545"/>
        <v>0</v>
      </c>
      <c r="K2808" s="3">
        <f t="shared" si="546"/>
        <v>-100</v>
      </c>
      <c r="L2808" s="3">
        <f t="shared" si="547"/>
        <v>1</v>
      </c>
      <c r="M2808" s="3">
        <f t="shared" si="548"/>
        <v>0</v>
      </c>
      <c r="N2808" s="3" t="str">
        <f t="shared" si="549"/>
        <v>01</v>
      </c>
      <c r="O2808" s="14" t="str">
        <f t="shared" si="550"/>
        <v>00</v>
      </c>
    </row>
    <row r="2809" spans="10:15" hidden="1">
      <c r="J2809" s="1" t="str">
        <f t="shared" si="545"/>
        <v>0</v>
      </c>
      <c r="K2809" s="3">
        <f t="shared" si="546"/>
        <v>-100</v>
      </c>
      <c r="L2809" s="3">
        <f t="shared" si="547"/>
        <v>1</v>
      </c>
      <c r="M2809" s="3">
        <f t="shared" si="548"/>
        <v>0</v>
      </c>
      <c r="N2809" s="3" t="str">
        <f t="shared" si="549"/>
        <v>01</v>
      </c>
      <c r="O2809" s="14" t="str">
        <f t="shared" si="550"/>
        <v>00</v>
      </c>
    </row>
    <row r="2810" spans="10:15" hidden="1">
      <c r="J2810" s="1" t="str">
        <f t="shared" si="545"/>
        <v>0</v>
      </c>
      <c r="K2810" s="3">
        <f t="shared" si="546"/>
        <v>-100</v>
      </c>
      <c r="L2810" s="3">
        <f t="shared" si="547"/>
        <v>1</v>
      </c>
      <c r="M2810" s="3">
        <f t="shared" si="548"/>
        <v>0</v>
      </c>
      <c r="N2810" s="3" t="str">
        <f t="shared" si="549"/>
        <v>01</v>
      </c>
      <c r="O2810" s="14" t="str">
        <f t="shared" si="550"/>
        <v>00</v>
      </c>
    </row>
    <row r="2811" spans="10:15" hidden="1">
      <c r="J2811" s="1" t="str">
        <f t="shared" si="545"/>
        <v>0</v>
      </c>
      <c r="K2811" s="3">
        <f t="shared" si="546"/>
        <v>-100</v>
      </c>
      <c r="L2811" s="3">
        <f t="shared" si="547"/>
        <v>1</v>
      </c>
      <c r="M2811" s="3">
        <f t="shared" si="548"/>
        <v>0</v>
      </c>
      <c r="N2811" s="3" t="str">
        <f t="shared" si="549"/>
        <v>01</v>
      </c>
      <c r="O2811" s="14" t="str">
        <f t="shared" si="550"/>
        <v>00</v>
      </c>
    </row>
    <row r="2812" spans="10:15" hidden="1">
      <c r="J2812" s="1" t="str">
        <f t="shared" si="545"/>
        <v>0</v>
      </c>
      <c r="K2812" s="3">
        <f t="shared" si="546"/>
        <v>-100</v>
      </c>
      <c r="L2812" s="3">
        <f t="shared" si="547"/>
        <v>1</v>
      </c>
      <c r="M2812" s="3">
        <f t="shared" si="548"/>
        <v>0</v>
      </c>
      <c r="N2812" s="3" t="str">
        <f t="shared" si="549"/>
        <v>01</v>
      </c>
      <c r="O2812" s="14" t="str">
        <f t="shared" si="550"/>
        <v>00</v>
      </c>
    </row>
    <row r="2813" spans="10:15" hidden="1">
      <c r="J2813" s="1" t="str">
        <f t="shared" si="545"/>
        <v>0</v>
      </c>
      <c r="K2813" s="3">
        <f t="shared" si="546"/>
        <v>-100</v>
      </c>
      <c r="L2813" s="3">
        <f t="shared" si="547"/>
        <v>1</v>
      </c>
      <c r="M2813" s="3">
        <f t="shared" si="548"/>
        <v>0</v>
      </c>
      <c r="N2813" s="3" t="str">
        <f t="shared" si="549"/>
        <v>01</v>
      </c>
      <c r="O2813" s="14" t="str">
        <f t="shared" si="550"/>
        <v>00</v>
      </c>
    </row>
    <row r="2814" spans="10:15" hidden="1">
      <c r="J2814" s="1" t="str">
        <f t="shared" si="545"/>
        <v>0</v>
      </c>
      <c r="K2814" s="3">
        <f t="shared" si="546"/>
        <v>-100</v>
      </c>
      <c r="L2814" s="3">
        <f t="shared" si="547"/>
        <v>1</v>
      </c>
      <c r="M2814" s="3">
        <f t="shared" si="548"/>
        <v>0</v>
      </c>
      <c r="N2814" s="3" t="str">
        <f t="shared" si="549"/>
        <v>01</v>
      </c>
      <c r="O2814" s="14" t="str">
        <f t="shared" si="550"/>
        <v>00</v>
      </c>
    </row>
    <row r="2815" spans="10:15" hidden="1">
      <c r="J2815" s="1" t="str">
        <f t="shared" si="545"/>
        <v>0</v>
      </c>
      <c r="K2815" s="3">
        <f t="shared" si="546"/>
        <v>-100</v>
      </c>
      <c r="L2815" s="3">
        <f t="shared" si="547"/>
        <v>1</v>
      </c>
      <c r="M2815" s="3">
        <f t="shared" si="548"/>
        <v>0</v>
      </c>
      <c r="N2815" s="3" t="str">
        <f t="shared" si="549"/>
        <v>01</v>
      </c>
      <c r="O2815" s="14" t="str">
        <f t="shared" si="550"/>
        <v>00</v>
      </c>
    </row>
    <row r="2816" spans="10:15" hidden="1">
      <c r="J2816" s="1" t="str">
        <f t="shared" si="545"/>
        <v>0</v>
      </c>
      <c r="K2816" s="3">
        <f t="shared" si="546"/>
        <v>-100</v>
      </c>
      <c r="L2816" s="3">
        <f t="shared" si="547"/>
        <v>1</v>
      </c>
      <c r="M2816" s="3">
        <f t="shared" si="548"/>
        <v>0</v>
      </c>
      <c r="N2816" s="3" t="str">
        <f t="shared" si="549"/>
        <v>01</v>
      </c>
      <c r="O2816" s="14" t="str">
        <f t="shared" si="550"/>
        <v>00</v>
      </c>
    </row>
    <row r="2817" spans="10:15" hidden="1">
      <c r="J2817" s="1" t="str">
        <f t="shared" si="545"/>
        <v>0</v>
      </c>
      <c r="K2817" s="3">
        <f t="shared" si="546"/>
        <v>-100</v>
      </c>
      <c r="L2817" s="3">
        <f t="shared" si="547"/>
        <v>1</v>
      </c>
      <c r="M2817" s="3">
        <f t="shared" si="548"/>
        <v>0</v>
      </c>
      <c r="N2817" s="3" t="str">
        <f t="shared" si="549"/>
        <v>01</v>
      </c>
      <c r="O2817" s="14" t="str">
        <f t="shared" si="550"/>
        <v>00</v>
      </c>
    </row>
    <row r="2818" spans="10:15" hidden="1">
      <c r="J2818" s="1" t="str">
        <f t="shared" si="545"/>
        <v>0</v>
      </c>
      <c r="K2818" s="3">
        <f t="shared" si="546"/>
        <v>-100</v>
      </c>
      <c r="L2818" s="3">
        <f t="shared" si="547"/>
        <v>1</v>
      </c>
      <c r="M2818" s="3">
        <f t="shared" si="548"/>
        <v>0</v>
      </c>
      <c r="N2818" s="3" t="str">
        <f t="shared" si="549"/>
        <v>01</v>
      </c>
      <c r="O2818" s="14" t="str">
        <f t="shared" si="550"/>
        <v>00</v>
      </c>
    </row>
    <row r="2819" spans="10:15" hidden="1">
      <c r="J2819" s="1" t="str">
        <f t="shared" si="545"/>
        <v>0</v>
      </c>
      <c r="K2819" s="3">
        <f t="shared" si="546"/>
        <v>-100</v>
      </c>
      <c r="L2819" s="3">
        <f t="shared" si="547"/>
        <v>1</v>
      </c>
      <c r="M2819" s="3">
        <f t="shared" si="548"/>
        <v>0</v>
      </c>
      <c r="N2819" s="3" t="str">
        <f t="shared" si="549"/>
        <v>01</v>
      </c>
      <c r="O2819" s="14" t="str">
        <f t="shared" si="550"/>
        <v>00</v>
      </c>
    </row>
    <row r="2820" spans="10:15" hidden="1">
      <c r="J2820" s="1" t="str">
        <f t="shared" si="545"/>
        <v>0</v>
      </c>
      <c r="K2820" s="3">
        <f t="shared" si="546"/>
        <v>-100</v>
      </c>
      <c r="L2820" s="3">
        <f t="shared" si="547"/>
        <v>1</v>
      </c>
      <c r="M2820" s="3">
        <f t="shared" si="548"/>
        <v>0</v>
      </c>
      <c r="N2820" s="3" t="str">
        <f t="shared" si="549"/>
        <v>01</v>
      </c>
      <c r="O2820" s="14" t="str">
        <f t="shared" si="550"/>
        <v>00</v>
      </c>
    </row>
    <row r="2821" spans="10:15" hidden="1">
      <c r="J2821" s="1" t="str">
        <f t="shared" si="545"/>
        <v>0</v>
      </c>
      <c r="K2821" s="3">
        <f t="shared" si="546"/>
        <v>-100</v>
      </c>
      <c r="L2821" s="3">
        <f t="shared" si="547"/>
        <v>1</v>
      </c>
      <c r="M2821" s="3">
        <f t="shared" si="548"/>
        <v>0</v>
      </c>
      <c r="N2821" s="3" t="str">
        <f t="shared" si="549"/>
        <v>01</v>
      </c>
      <c r="O2821" s="14" t="str">
        <f t="shared" si="550"/>
        <v>00</v>
      </c>
    </row>
    <row r="2822" spans="10:15" hidden="1">
      <c r="J2822" s="1" t="str">
        <f t="shared" si="545"/>
        <v>0</v>
      </c>
      <c r="K2822" s="3">
        <f t="shared" si="546"/>
        <v>-100</v>
      </c>
      <c r="L2822" s="3">
        <f t="shared" si="547"/>
        <v>1</v>
      </c>
      <c r="M2822" s="3">
        <f t="shared" si="548"/>
        <v>0</v>
      </c>
      <c r="N2822" s="3" t="str">
        <f t="shared" si="549"/>
        <v>01</v>
      </c>
      <c r="O2822" s="14" t="str">
        <f t="shared" si="550"/>
        <v>00</v>
      </c>
    </row>
    <row r="2823" spans="10:15" hidden="1">
      <c r="J2823" s="1" t="str">
        <f t="shared" si="545"/>
        <v>0</v>
      </c>
      <c r="K2823" s="3">
        <f t="shared" si="546"/>
        <v>-100</v>
      </c>
      <c r="L2823" s="3">
        <f t="shared" si="547"/>
        <v>1</v>
      </c>
      <c r="M2823" s="3">
        <f t="shared" si="548"/>
        <v>0</v>
      </c>
      <c r="N2823" s="3" t="str">
        <f t="shared" si="549"/>
        <v>01</v>
      </c>
      <c r="O2823" s="14" t="str">
        <f t="shared" si="550"/>
        <v>00</v>
      </c>
    </row>
    <row r="2824" spans="10:15" hidden="1">
      <c r="J2824" s="1" t="str">
        <f t="shared" si="545"/>
        <v>0</v>
      </c>
      <c r="K2824" s="3">
        <f t="shared" si="546"/>
        <v>-100</v>
      </c>
      <c r="L2824" s="3">
        <f t="shared" si="547"/>
        <v>1</v>
      </c>
      <c r="M2824" s="3">
        <f t="shared" si="548"/>
        <v>0</v>
      </c>
      <c r="N2824" s="3" t="str">
        <f t="shared" si="549"/>
        <v>01</v>
      </c>
      <c r="O2824" s="14" t="str">
        <f t="shared" si="550"/>
        <v>00</v>
      </c>
    </row>
    <row r="2825" spans="10:15" hidden="1">
      <c r="J2825" s="1" t="str">
        <f t="shared" si="545"/>
        <v>0</v>
      </c>
      <c r="K2825" s="3">
        <f t="shared" si="546"/>
        <v>-100</v>
      </c>
      <c r="L2825" s="3">
        <f t="shared" si="547"/>
        <v>1</v>
      </c>
      <c r="M2825" s="3">
        <f t="shared" si="548"/>
        <v>0</v>
      </c>
      <c r="N2825" s="3" t="str">
        <f t="shared" si="549"/>
        <v>01</v>
      </c>
      <c r="O2825" s="14" t="str">
        <f t="shared" si="550"/>
        <v>00</v>
      </c>
    </row>
    <row r="2826" spans="10:15" hidden="1">
      <c r="J2826" s="1" t="str">
        <f t="shared" si="545"/>
        <v>0</v>
      </c>
      <c r="K2826" s="3">
        <f t="shared" si="546"/>
        <v>-100</v>
      </c>
      <c r="L2826" s="3">
        <f t="shared" si="547"/>
        <v>1</v>
      </c>
      <c r="M2826" s="3">
        <f t="shared" si="548"/>
        <v>0</v>
      </c>
      <c r="N2826" s="3" t="str">
        <f t="shared" si="549"/>
        <v>01</v>
      </c>
      <c r="O2826" s="14" t="str">
        <f t="shared" si="550"/>
        <v>00</v>
      </c>
    </row>
    <row r="2827" spans="10:15" hidden="1">
      <c r="J2827" s="1" t="str">
        <f t="shared" si="545"/>
        <v>0</v>
      </c>
      <c r="K2827" s="3">
        <f t="shared" si="546"/>
        <v>-100</v>
      </c>
      <c r="L2827" s="3">
        <f t="shared" si="547"/>
        <v>1</v>
      </c>
      <c r="M2827" s="3">
        <f t="shared" si="548"/>
        <v>0</v>
      </c>
      <c r="N2827" s="3" t="str">
        <f t="shared" si="549"/>
        <v>01</v>
      </c>
      <c r="O2827" s="14" t="str">
        <f t="shared" si="550"/>
        <v>00</v>
      </c>
    </row>
    <row r="2828" spans="10:15" hidden="1">
      <c r="J2828" s="1" t="str">
        <f t="shared" si="545"/>
        <v>0</v>
      </c>
      <c r="K2828" s="3">
        <f t="shared" si="546"/>
        <v>-100</v>
      </c>
      <c r="L2828" s="3">
        <f t="shared" si="547"/>
        <v>1</v>
      </c>
      <c r="M2828" s="3">
        <f t="shared" si="548"/>
        <v>0</v>
      </c>
      <c r="N2828" s="3" t="str">
        <f t="shared" si="549"/>
        <v>01</v>
      </c>
      <c r="O2828" s="14" t="str">
        <f t="shared" si="550"/>
        <v>00</v>
      </c>
    </row>
    <row r="2829" spans="10:15" hidden="1">
      <c r="J2829" s="1" t="str">
        <f t="shared" si="545"/>
        <v>0</v>
      </c>
      <c r="K2829" s="3">
        <f t="shared" si="546"/>
        <v>-100</v>
      </c>
      <c r="L2829" s="3">
        <f t="shared" si="547"/>
        <v>1</v>
      </c>
      <c r="M2829" s="3">
        <f t="shared" si="548"/>
        <v>0</v>
      </c>
      <c r="N2829" s="3" t="str">
        <f t="shared" si="549"/>
        <v>01</v>
      </c>
      <c r="O2829" s="14" t="str">
        <f t="shared" si="550"/>
        <v>00</v>
      </c>
    </row>
    <row r="2830" spans="10:15" hidden="1">
      <c r="J2830" s="1" t="str">
        <f t="shared" si="545"/>
        <v>0</v>
      </c>
      <c r="K2830" s="3">
        <f t="shared" si="546"/>
        <v>-100</v>
      </c>
      <c r="L2830" s="3">
        <f t="shared" si="547"/>
        <v>1</v>
      </c>
      <c r="M2830" s="3">
        <f t="shared" si="548"/>
        <v>0</v>
      </c>
      <c r="N2830" s="3" t="str">
        <f t="shared" si="549"/>
        <v>01</v>
      </c>
      <c r="O2830" s="14" t="str">
        <f t="shared" si="550"/>
        <v>00</v>
      </c>
    </row>
    <row r="2831" spans="10:15" hidden="1">
      <c r="J2831" s="1" t="str">
        <f t="shared" si="545"/>
        <v>0</v>
      </c>
      <c r="K2831" s="3">
        <f t="shared" si="546"/>
        <v>-100</v>
      </c>
      <c r="L2831" s="3">
        <f t="shared" si="547"/>
        <v>1</v>
      </c>
      <c r="M2831" s="3">
        <f t="shared" si="548"/>
        <v>0</v>
      </c>
      <c r="N2831" s="3" t="str">
        <f t="shared" si="549"/>
        <v>01</v>
      </c>
      <c r="O2831" s="14" t="str">
        <f t="shared" si="550"/>
        <v>00</v>
      </c>
    </row>
    <row r="2832" spans="10:15" hidden="1">
      <c r="J2832" s="1" t="str">
        <f t="shared" si="545"/>
        <v>0</v>
      </c>
      <c r="K2832" s="3">
        <f t="shared" si="546"/>
        <v>-100</v>
      </c>
      <c r="L2832" s="3">
        <f t="shared" si="547"/>
        <v>1</v>
      </c>
      <c r="M2832" s="3">
        <f t="shared" si="548"/>
        <v>0</v>
      </c>
      <c r="N2832" s="3" t="str">
        <f t="shared" si="549"/>
        <v>01</v>
      </c>
      <c r="O2832" s="14" t="str">
        <f t="shared" si="550"/>
        <v>00</v>
      </c>
    </row>
    <row r="2833" spans="10:15" hidden="1">
      <c r="J2833" s="1" t="str">
        <f t="shared" si="545"/>
        <v>0</v>
      </c>
      <c r="K2833" s="3">
        <f t="shared" si="546"/>
        <v>-100</v>
      </c>
      <c r="L2833" s="3">
        <f t="shared" si="547"/>
        <v>1</v>
      </c>
      <c r="M2833" s="3">
        <f t="shared" si="548"/>
        <v>0</v>
      </c>
      <c r="N2833" s="3" t="str">
        <f t="shared" si="549"/>
        <v>01</v>
      </c>
      <c r="O2833" s="14" t="str">
        <f t="shared" si="550"/>
        <v>00</v>
      </c>
    </row>
    <row r="2834" spans="10:15" hidden="1">
      <c r="J2834" s="1" t="str">
        <f t="shared" si="545"/>
        <v>0</v>
      </c>
      <c r="K2834" s="3">
        <f t="shared" si="546"/>
        <v>-100</v>
      </c>
      <c r="L2834" s="3">
        <f t="shared" si="547"/>
        <v>1</v>
      </c>
      <c r="M2834" s="3">
        <f t="shared" si="548"/>
        <v>0</v>
      </c>
      <c r="N2834" s="3" t="str">
        <f t="shared" si="549"/>
        <v>01</v>
      </c>
      <c r="O2834" s="14" t="str">
        <f t="shared" si="550"/>
        <v>00</v>
      </c>
    </row>
    <row r="2835" spans="10:15" hidden="1">
      <c r="J2835" s="1" t="str">
        <f t="shared" si="545"/>
        <v>0</v>
      </c>
      <c r="K2835" s="3">
        <f t="shared" si="546"/>
        <v>-100</v>
      </c>
      <c r="L2835" s="3">
        <f t="shared" si="547"/>
        <v>1</v>
      </c>
      <c r="M2835" s="3">
        <f t="shared" si="548"/>
        <v>0</v>
      </c>
      <c r="N2835" s="3" t="str">
        <f t="shared" si="549"/>
        <v>01</v>
      </c>
      <c r="O2835" s="14" t="str">
        <f t="shared" si="550"/>
        <v>00</v>
      </c>
    </row>
    <row r="2836" spans="10:15" hidden="1">
      <c r="J2836" s="1" t="str">
        <f t="shared" si="545"/>
        <v>0</v>
      </c>
      <c r="K2836" s="3">
        <f t="shared" si="546"/>
        <v>-100</v>
      </c>
      <c r="L2836" s="3">
        <f t="shared" si="547"/>
        <v>1</v>
      </c>
      <c r="M2836" s="3">
        <f t="shared" si="548"/>
        <v>0</v>
      </c>
      <c r="N2836" s="3" t="str">
        <f t="shared" si="549"/>
        <v>01</v>
      </c>
      <c r="O2836" s="14" t="str">
        <f t="shared" si="550"/>
        <v>00</v>
      </c>
    </row>
    <row r="2837" spans="10:15" hidden="1">
      <c r="J2837" s="1" t="str">
        <f t="shared" si="545"/>
        <v>0</v>
      </c>
      <c r="K2837" s="3">
        <f t="shared" si="546"/>
        <v>-100</v>
      </c>
      <c r="L2837" s="3">
        <f t="shared" si="547"/>
        <v>1</v>
      </c>
      <c r="M2837" s="3">
        <f t="shared" si="548"/>
        <v>0</v>
      </c>
      <c r="N2837" s="3" t="str">
        <f t="shared" si="549"/>
        <v>01</v>
      </c>
      <c r="O2837" s="14" t="str">
        <f t="shared" si="550"/>
        <v>00</v>
      </c>
    </row>
    <row r="2838" spans="10:15" hidden="1">
      <c r="J2838" s="1" t="str">
        <f t="shared" si="545"/>
        <v>0</v>
      </c>
      <c r="K2838" s="3">
        <f t="shared" si="546"/>
        <v>-100</v>
      </c>
      <c r="L2838" s="3">
        <f t="shared" si="547"/>
        <v>1</v>
      </c>
      <c r="M2838" s="3">
        <f t="shared" si="548"/>
        <v>0</v>
      </c>
      <c r="N2838" s="3" t="str">
        <f t="shared" si="549"/>
        <v>01</v>
      </c>
      <c r="O2838" s="14" t="str">
        <f t="shared" si="550"/>
        <v>00</v>
      </c>
    </row>
    <row r="2839" spans="10:15" hidden="1">
      <c r="J2839" s="1" t="str">
        <f t="shared" si="545"/>
        <v>0</v>
      </c>
      <c r="K2839" s="3">
        <f t="shared" si="546"/>
        <v>-100</v>
      </c>
      <c r="L2839" s="3">
        <f t="shared" si="547"/>
        <v>1</v>
      </c>
      <c r="M2839" s="3">
        <f t="shared" si="548"/>
        <v>0</v>
      </c>
      <c r="N2839" s="3" t="str">
        <f t="shared" si="549"/>
        <v>01</v>
      </c>
      <c r="O2839" s="14" t="str">
        <f t="shared" si="550"/>
        <v>00</v>
      </c>
    </row>
    <row r="2840" spans="10:15" hidden="1">
      <c r="J2840" s="1" t="str">
        <f t="shared" si="545"/>
        <v>0</v>
      </c>
      <c r="K2840" s="3">
        <f t="shared" si="546"/>
        <v>-100</v>
      </c>
      <c r="L2840" s="3">
        <f t="shared" si="547"/>
        <v>1</v>
      </c>
      <c r="M2840" s="3">
        <f t="shared" si="548"/>
        <v>0</v>
      </c>
      <c r="N2840" s="3" t="str">
        <f t="shared" si="549"/>
        <v>01</v>
      </c>
      <c r="O2840" s="14" t="str">
        <f t="shared" si="550"/>
        <v>00</v>
      </c>
    </row>
    <row r="2841" spans="10:15" hidden="1">
      <c r="J2841" s="1" t="str">
        <f t="shared" si="545"/>
        <v>0</v>
      </c>
      <c r="K2841" s="3">
        <f t="shared" si="546"/>
        <v>-100</v>
      </c>
      <c r="L2841" s="3">
        <f t="shared" si="547"/>
        <v>1</v>
      </c>
      <c r="M2841" s="3">
        <f t="shared" si="548"/>
        <v>0</v>
      </c>
      <c r="N2841" s="3" t="str">
        <f t="shared" si="549"/>
        <v>01</v>
      </c>
      <c r="O2841" s="14" t="str">
        <f t="shared" si="550"/>
        <v>00</v>
      </c>
    </row>
    <row r="2842" spans="10:15" hidden="1">
      <c r="J2842" s="1" t="str">
        <f t="shared" si="545"/>
        <v>0</v>
      </c>
      <c r="K2842" s="3">
        <f t="shared" si="546"/>
        <v>-100</v>
      </c>
      <c r="L2842" s="3">
        <f t="shared" si="547"/>
        <v>1</v>
      </c>
      <c r="M2842" s="3">
        <f t="shared" si="548"/>
        <v>0</v>
      </c>
      <c r="N2842" s="3" t="str">
        <f t="shared" si="549"/>
        <v>01</v>
      </c>
      <c r="O2842" s="14" t="str">
        <f t="shared" si="550"/>
        <v>00</v>
      </c>
    </row>
    <row r="2843" spans="10:15" hidden="1">
      <c r="J2843" s="1" t="str">
        <f t="shared" si="545"/>
        <v>0</v>
      </c>
      <c r="K2843" s="3">
        <f t="shared" si="546"/>
        <v>-100</v>
      </c>
      <c r="L2843" s="3">
        <f t="shared" si="547"/>
        <v>1</v>
      </c>
      <c r="M2843" s="3">
        <f t="shared" si="548"/>
        <v>0</v>
      </c>
      <c r="N2843" s="3" t="str">
        <f t="shared" si="549"/>
        <v>01</v>
      </c>
      <c r="O2843" s="14" t="str">
        <f t="shared" si="550"/>
        <v>00</v>
      </c>
    </row>
    <row r="2844" spans="10:15" hidden="1">
      <c r="J2844" s="1" t="str">
        <f t="shared" si="545"/>
        <v>0</v>
      </c>
      <c r="K2844" s="3">
        <f t="shared" si="546"/>
        <v>-100</v>
      </c>
      <c r="L2844" s="3">
        <f t="shared" si="547"/>
        <v>1</v>
      </c>
      <c r="M2844" s="3">
        <f t="shared" si="548"/>
        <v>0</v>
      </c>
      <c r="N2844" s="3" t="str">
        <f t="shared" si="549"/>
        <v>01</v>
      </c>
      <c r="O2844" s="14" t="str">
        <f t="shared" si="550"/>
        <v>00</v>
      </c>
    </row>
    <row r="2845" spans="10:15" hidden="1">
      <c r="J2845" s="1" t="str">
        <f t="shared" si="545"/>
        <v>0</v>
      </c>
      <c r="K2845" s="3">
        <f t="shared" si="546"/>
        <v>-100</v>
      </c>
      <c r="L2845" s="3">
        <f t="shared" si="547"/>
        <v>1</v>
      </c>
      <c r="M2845" s="3">
        <f t="shared" si="548"/>
        <v>0</v>
      </c>
      <c r="N2845" s="3" t="str">
        <f t="shared" si="549"/>
        <v>01</v>
      </c>
      <c r="O2845" s="14" t="str">
        <f t="shared" si="550"/>
        <v>00</v>
      </c>
    </row>
    <row r="2846" spans="10:15" hidden="1">
      <c r="J2846" s="1" t="str">
        <f t="shared" si="545"/>
        <v>0</v>
      </c>
      <c r="K2846" s="3">
        <f t="shared" si="546"/>
        <v>-100</v>
      </c>
      <c r="L2846" s="3">
        <f t="shared" si="547"/>
        <v>1</v>
      </c>
      <c r="M2846" s="3">
        <f t="shared" si="548"/>
        <v>0</v>
      </c>
      <c r="N2846" s="3" t="str">
        <f t="shared" si="549"/>
        <v>01</v>
      </c>
      <c r="O2846" s="14" t="str">
        <f t="shared" si="550"/>
        <v>00</v>
      </c>
    </row>
    <row r="2847" spans="10:15" hidden="1">
      <c r="J2847" s="1" t="str">
        <f t="shared" si="545"/>
        <v>0</v>
      </c>
      <c r="K2847" s="3">
        <f t="shared" si="546"/>
        <v>-100</v>
      </c>
      <c r="L2847" s="3">
        <f t="shared" si="547"/>
        <v>1</v>
      </c>
      <c r="M2847" s="3">
        <f t="shared" si="548"/>
        <v>0</v>
      </c>
      <c r="N2847" s="3" t="str">
        <f t="shared" si="549"/>
        <v>01</v>
      </c>
      <c r="O2847" s="14" t="str">
        <f t="shared" si="550"/>
        <v>00</v>
      </c>
    </row>
    <row r="2848" spans="10:15" hidden="1">
      <c r="J2848" s="1" t="str">
        <f t="shared" si="545"/>
        <v>0</v>
      </c>
      <c r="K2848" s="3">
        <f t="shared" si="546"/>
        <v>-100</v>
      </c>
      <c r="L2848" s="3">
        <f t="shared" si="547"/>
        <v>1</v>
      </c>
      <c r="M2848" s="3">
        <f t="shared" si="548"/>
        <v>0</v>
      </c>
      <c r="N2848" s="3" t="str">
        <f t="shared" si="549"/>
        <v>01</v>
      </c>
      <c r="O2848" s="14" t="str">
        <f t="shared" si="550"/>
        <v>00</v>
      </c>
    </row>
    <row r="2849" spans="10:15" hidden="1">
      <c r="J2849" s="1" t="str">
        <f t="shared" si="545"/>
        <v>0</v>
      </c>
      <c r="K2849" s="3">
        <f t="shared" si="546"/>
        <v>-100</v>
      </c>
      <c r="L2849" s="3">
        <f t="shared" si="547"/>
        <v>1</v>
      </c>
      <c r="M2849" s="3">
        <f t="shared" si="548"/>
        <v>0</v>
      </c>
      <c r="N2849" s="3" t="str">
        <f t="shared" si="549"/>
        <v>01</v>
      </c>
      <c r="O2849" s="14" t="str">
        <f t="shared" si="550"/>
        <v>00</v>
      </c>
    </row>
    <row r="2850" spans="10:15" hidden="1">
      <c r="J2850" s="1" t="str">
        <f t="shared" ref="J2850:J2913" si="551">+IF(I2850&lt;10,_xlfn.CONCAT("0",I2850),I2850)</f>
        <v>0</v>
      </c>
      <c r="K2850" s="3">
        <f t="shared" ref="K2850:K2913" si="552">+YEAR(H2850)-2000</f>
        <v>-100</v>
      </c>
      <c r="L2850" s="3">
        <f t="shared" ref="L2850:L2913" si="553">+MONTH(H2850)</f>
        <v>1</v>
      </c>
      <c r="M2850" s="3">
        <f t="shared" ref="M2850:M2913" si="554">+DAY(H2850)</f>
        <v>0</v>
      </c>
      <c r="N2850" s="3" t="str">
        <f t="shared" ref="N2850:N2913" si="555">+IF(L2850&lt;10,_xlfn.CONCAT("0",L2850),L2850)</f>
        <v>01</v>
      </c>
      <c r="O2850" s="14" t="str">
        <f t="shared" ref="O2850:O2913" si="556">+IF(M2850&lt;10,_xlfn.CONCAT("0",M2850),M2850)</f>
        <v>00</v>
      </c>
    </row>
    <row r="2851" spans="10:15" hidden="1">
      <c r="J2851" s="1" t="str">
        <f t="shared" si="551"/>
        <v>0</v>
      </c>
      <c r="K2851" s="3">
        <f t="shared" si="552"/>
        <v>-100</v>
      </c>
      <c r="L2851" s="3">
        <f t="shared" si="553"/>
        <v>1</v>
      </c>
      <c r="M2851" s="3">
        <f t="shared" si="554"/>
        <v>0</v>
      </c>
      <c r="N2851" s="3" t="str">
        <f t="shared" si="555"/>
        <v>01</v>
      </c>
      <c r="O2851" s="14" t="str">
        <f t="shared" si="556"/>
        <v>00</v>
      </c>
    </row>
    <row r="2852" spans="10:15" hidden="1">
      <c r="J2852" s="1" t="str">
        <f t="shared" si="551"/>
        <v>0</v>
      </c>
      <c r="K2852" s="3">
        <f t="shared" si="552"/>
        <v>-100</v>
      </c>
      <c r="L2852" s="3">
        <f t="shared" si="553"/>
        <v>1</v>
      </c>
      <c r="M2852" s="3">
        <f t="shared" si="554"/>
        <v>0</v>
      </c>
      <c r="N2852" s="3" t="str">
        <f t="shared" si="555"/>
        <v>01</v>
      </c>
      <c r="O2852" s="14" t="str">
        <f t="shared" si="556"/>
        <v>00</v>
      </c>
    </row>
    <row r="2853" spans="10:15" hidden="1">
      <c r="J2853" s="1" t="str">
        <f t="shared" si="551"/>
        <v>0</v>
      </c>
      <c r="K2853" s="3">
        <f t="shared" si="552"/>
        <v>-100</v>
      </c>
      <c r="L2853" s="3">
        <f t="shared" si="553"/>
        <v>1</v>
      </c>
      <c r="M2853" s="3">
        <f t="shared" si="554"/>
        <v>0</v>
      </c>
      <c r="N2853" s="3" t="str">
        <f t="shared" si="555"/>
        <v>01</v>
      </c>
      <c r="O2853" s="14" t="str">
        <f t="shared" si="556"/>
        <v>00</v>
      </c>
    </row>
    <row r="2854" spans="10:15" hidden="1">
      <c r="J2854" s="1" t="str">
        <f t="shared" si="551"/>
        <v>0</v>
      </c>
      <c r="K2854" s="3">
        <f t="shared" si="552"/>
        <v>-100</v>
      </c>
      <c r="L2854" s="3">
        <f t="shared" si="553"/>
        <v>1</v>
      </c>
      <c r="M2854" s="3">
        <f t="shared" si="554"/>
        <v>0</v>
      </c>
      <c r="N2854" s="3" t="str">
        <f t="shared" si="555"/>
        <v>01</v>
      </c>
      <c r="O2854" s="14" t="str">
        <f t="shared" si="556"/>
        <v>00</v>
      </c>
    </row>
    <row r="2855" spans="10:15" hidden="1">
      <c r="J2855" s="1" t="str">
        <f t="shared" si="551"/>
        <v>0</v>
      </c>
      <c r="K2855" s="3">
        <f t="shared" si="552"/>
        <v>-100</v>
      </c>
      <c r="L2855" s="3">
        <f t="shared" si="553"/>
        <v>1</v>
      </c>
      <c r="M2855" s="3">
        <f t="shared" si="554"/>
        <v>0</v>
      </c>
      <c r="N2855" s="3" t="str">
        <f t="shared" si="555"/>
        <v>01</v>
      </c>
      <c r="O2855" s="14" t="str">
        <f t="shared" si="556"/>
        <v>00</v>
      </c>
    </row>
    <row r="2856" spans="10:15" hidden="1">
      <c r="J2856" s="1" t="str">
        <f t="shared" si="551"/>
        <v>0</v>
      </c>
      <c r="K2856" s="3">
        <f t="shared" si="552"/>
        <v>-100</v>
      </c>
      <c r="L2856" s="3">
        <f t="shared" si="553"/>
        <v>1</v>
      </c>
      <c r="M2856" s="3">
        <f t="shared" si="554"/>
        <v>0</v>
      </c>
      <c r="N2856" s="3" t="str">
        <f t="shared" si="555"/>
        <v>01</v>
      </c>
      <c r="O2856" s="14" t="str">
        <f t="shared" si="556"/>
        <v>00</v>
      </c>
    </row>
    <row r="2857" spans="10:15" hidden="1">
      <c r="J2857" s="1" t="str">
        <f t="shared" si="551"/>
        <v>0</v>
      </c>
      <c r="K2857" s="3">
        <f t="shared" si="552"/>
        <v>-100</v>
      </c>
      <c r="L2857" s="3">
        <f t="shared" si="553"/>
        <v>1</v>
      </c>
      <c r="M2857" s="3">
        <f t="shared" si="554"/>
        <v>0</v>
      </c>
      <c r="N2857" s="3" t="str">
        <f t="shared" si="555"/>
        <v>01</v>
      </c>
      <c r="O2857" s="14" t="str">
        <f t="shared" si="556"/>
        <v>00</v>
      </c>
    </row>
    <row r="2858" spans="10:15" hidden="1">
      <c r="J2858" s="1" t="str">
        <f t="shared" si="551"/>
        <v>0</v>
      </c>
      <c r="K2858" s="3">
        <f t="shared" si="552"/>
        <v>-100</v>
      </c>
      <c r="L2858" s="3">
        <f t="shared" si="553"/>
        <v>1</v>
      </c>
      <c r="M2858" s="3">
        <f t="shared" si="554"/>
        <v>0</v>
      </c>
      <c r="N2858" s="3" t="str">
        <f t="shared" si="555"/>
        <v>01</v>
      </c>
      <c r="O2858" s="14" t="str">
        <f t="shared" si="556"/>
        <v>00</v>
      </c>
    </row>
    <row r="2859" spans="10:15" hidden="1">
      <c r="J2859" s="1" t="str">
        <f t="shared" si="551"/>
        <v>0</v>
      </c>
      <c r="K2859" s="3">
        <f t="shared" si="552"/>
        <v>-100</v>
      </c>
      <c r="L2859" s="3">
        <f t="shared" si="553"/>
        <v>1</v>
      </c>
      <c r="M2859" s="3">
        <f t="shared" si="554"/>
        <v>0</v>
      </c>
      <c r="N2859" s="3" t="str">
        <f t="shared" si="555"/>
        <v>01</v>
      </c>
      <c r="O2859" s="14" t="str">
        <f t="shared" si="556"/>
        <v>00</v>
      </c>
    </row>
    <row r="2860" spans="10:15" hidden="1">
      <c r="J2860" s="1" t="str">
        <f t="shared" si="551"/>
        <v>0</v>
      </c>
      <c r="K2860" s="3">
        <f t="shared" si="552"/>
        <v>-100</v>
      </c>
      <c r="L2860" s="3">
        <f t="shared" si="553"/>
        <v>1</v>
      </c>
      <c r="M2860" s="3">
        <f t="shared" si="554"/>
        <v>0</v>
      </c>
      <c r="N2860" s="3" t="str">
        <f t="shared" si="555"/>
        <v>01</v>
      </c>
      <c r="O2860" s="14" t="str">
        <f t="shared" si="556"/>
        <v>00</v>
      </c>
    </row>
    <row r="2861" spans="10:15" hidden="1">
      <c r="J2861" s="1" t="str">
        <f t="shared" si="551"/>
        <v>0</v>
      </c>
      <c r="K2861" s="3">
        <f t="shared" si="552"/>
        <v>-100</v>
      </c>
      <c r="L2861" s="3">
        <f t="shared" si="553"/>
        <v>1</v>
      </c>
      <c r="M2861" s="3">
        <f t="shared" si="554"/>
        <v>0</v>
      </c>
      <c r="N2861" s="3" t="str">
        <f t="shared" si="555"/>
        <v>01</v>
      </c>
      <c r="O2861" s="14" t="str">
        <f t="shared" si="556"/>
        <v>00</v>
      </c>
    </row>
    <row r="2862" spans="10:15" hidden="1">
      <c r="J2862" s="1" t="str">
        <f t="shared" si="551"/>
        <v>0</v>
      </c>
      <c r="K2862" s="3">
        <f t="shared" si="552"/>
        <v>-100</v>
      </c>
      <c r="L2862" s="3">
        <f t="shared" si="553"/>
        <v>1</v>
      </c>
      <c r="M2862" s="3">
        <f t="shared" si="554"/>
        <v>0</v>
      </c>
      <c r="N2862" s="3" t="str">
        <f t="shared" si="555"/>
        <v>01</v>
      </c>
      <c r="O2862" s="14" t="str">
        <f t="shared" si="556"/>
        <v>00</v>
      </c>
    </row>
    <row r="2863" spans="10:15" hidden="1">
      <c r="J2863" s="1" t="str">
        <f t="shared" si="551"/>
        <v>0</v>
      </c>
      <c r="K2863" s="3">
        <f t="shared" si="552"/>
        <v>-100</v>
      </c>
      <c r="L2863" s="3">
        <f t="shared" si="553"/>
        <v>1</v>
      </c>
      <c r="M2863" s="3">
        <f t="shared" si="554"/>
        <v>0</v>
      </c>
      <c r="N2863" s="3" t="str">
        <f t="shared" si="555"/>
        <v>01</v>
      </c>
      <c r="O2863" s="14" t="str">
        <f t="shared" si="556"/>
        <v>00</v>
      </c>
    </row>
    <row r="2864" spans="10:15" hidden="1">
      <c r="J2864" s="1" t="str">
        <f t="shared" si="551"/>
        <v>0</v>
      </c>
      <c r="K2864" s="3">
        <f t="shared" si="552"/>
        <v>-100</v>
      </c>
      <c r="L2864" s="3">
        <f t="shared" si="553"/>
        <v>1</v>
      </c>
      <c r="M2864" s="3">
        <f t="shared" si="554"/>
        <v>0</v>
      </c>
      <c r="N2864" s="3" t="str">
        <f t="shared" si="555"/>
        <v>01</v>
      </c>
      <c r="O2864" s="14" t="str">
        <f t="shared" si="556"/>
        <v>00</v>
      </c>
    </row>
    <row r="2865" spans="10:15" hidden="1">
      <c r="J2865" s="1" t="str">
        <f t="shared" si="551"/>
        <v>0</v>
      </c>
      <c r="K2865" s="3">
        <f t="shared" si="552"/>
        <v>-100</v>
      </c>
      <c r="L2865" s="3">
        <f t="shared" si="553"/>
        <v>1</v>
      </c>
      <c r="M2865" s="3">
        <f t="shared" si="554"/>
        <v>0</v>
      </c>
      <c r="N2865" s="3" t="str">
        <f t="shared" si="555"/>
        <v>01</v>
      </c>
      <c r="O2865" s="14" t="str">
        <f t="shared" si="556"/>
        <v>00</v>
      </c>
    </row>
    <row r="2866" spans="10:15" hidden="1">
      <c r="J2866" s="1" t="str">
        <f t="shared" si="551"/>
        <v>0</v>
      </c>
      <c r="K2866" s="3">
        <f t="shared" si="552"/>
        <v>-100</v>
      </c>
      <c r="L2866" s="3">
        <f t="shared" si="553"/>
        <v>1</v>
      </c>
      <c r="M2866" s="3">
        <f t="shared" si="554"/>
        <v>0</v>
      </c>
      <c r="N2866" s="3" t="str">
        <f t="shared" si="555"/>
        <v>01</v>
      </c>
      <c r="O2866" s="14" t="str">
        <f t="shared" si="556"/>
        <v>00</v>
      </c>
    </row>
    <row r="2867" spans="10:15" hidden="1">
      <c r="J2867" s="1" t="str">
        <f t="shared" si="551"/>
        <v>0</v>
      </c>
      <c r="K2867" s="3">
        <f t="shared" si="552"/>
        <v>-100</v>
      </c>
      <c r="L2867" s="3">
        <f t="shared" si="553"/>
        <v>1</v>
      </c>
      <c r="M2867" s="3">
        <f t="shared" si="554"/>
        <v>0</v>
      </c>
      <c r="N2867" s="3" t="str">
        <f t="shared" si="555"/>
        <v>01</v>
      </c>
      <c r="O2867" s="14" t="str">
        <f t="shared" si="556"/>
        <v>00</v>
      </c>
    </row>
    <row r="2868" spans="10:15" hidden="1">
      <c r="J2868" s="1" t="str">
        <f t="shared" si="551"/>
        <v>0</v>
      </c>
      <c r="K2868" s="3">
        <f t="shared" si="552"/>
        <v>-100</v>
      </c>
      <c r="L2868" s="3">
        <f t="shared" si="553"/>
        <v>1</v>
      </c>
      <c r="M2868" s="3">
        <f t="shared" si="554"/>
        <v>0</v>
      </c>
      <c r="N2868" s="3" t="str">
        <f t="shared" si="555"/>
        <v>01</v>
      </c>
      <c r="O2868" s="14" t="str">
        <f t="shared" si="556"/>
        <v>00</v>
      </c>
    </row>
    <row r="2869" spans="10:15" hidden="1">
      <c r="J2869" s="1" t="str">
        <f t="shared" si="551"/>
        <v>0</v>
      </c>
      <c r="K2869" s="3">
        <f t="shared" si="552"/>
        <v>-100</v>
      </c>
      <c r="L2869" s="3">
        <f t="shared" si="553"/>
        <v>1</v>
      </c>
      <c r="M2869" s="3">
        <f t="shared" si="554"/>
        <v>0</v>
      </c>
      <c r="N2869" s="3" t="str">
        <f t="shared" si="555"/>
        <v>01</v>
      </c>
      <c r="O2869" s="14" t="str">
        <f t="shared" si="556"/>
        <v>00</v>
      </c>
    </row>
    <row r="2870" spans="10:15" hidden="1">
      <c r="J2870" s="1" t="str">
        <f t="shared" si="551"/>
        <v>0</v>
      </c>
      <c r="K2870" s="3">
        <f t="shared" si="552"/>
        <v>-100</v>
      </c>
      <c r="L2870" s="3">
        <f t="shared" si="553"/>
        <v>1</v>
      </c>
      <c r="M2870" s="3">
        <f t="shared" si="554"/>
        <v>0</v>
      </c>
      <c r="N2870" s="3" t="str">
        <f t="shared" si="555"/>
        <v>01</v>
      </c>
      <c r="O2870" s="14" t="str">
        <f t="shared" si="556"/>
        <v>00</v>
      </c>
    </row>
    <row r="2871" spans="10:15" hidden="1">
      <c r="J2871" s="1" t="str">
        <f t="shared" si="551"/>
        <v>0</v>
      </c>
      <c r="K2871" s="3">
        <f t="shared" si="552"/>
        <v>-100</v>
      </c>
      <c r="L2871" s="3">
        <f t="shared" si="553"/>
        <v>1</v>
      </c>
      <c r="M2871" s="3">
        <f t="shared" si="554"/>
        <v>0</v>
      </c>
      <c r="N2871" s="3" t="str">
        <f t="shared" si="555"/>
        <v>01</v>
      </c>
      <c r="O2871" s="14" t="str">
        <f t="shared" si="556"/>
        <v>00</v>
      </c>
    </row>
    <row r="2872" spans="10:15" hidden="1">
      <c r="J2872" s="1" t="str">
        <f t="shared" si="551"/>
        <v>0</v>
      </c>
      <c r="K2872" s="3">
        <f t="shared" si="552"/>
        <v>-100</v>
      </c>
      <c r="L2872" s="3">
        <f t="shared" si="553"/>
        <v>1</v>
      </c>
      <c r="M2872" s="3">
        <f t="shared" si="554"/>
        <v>0</v>
      </c>
      <c r="N2872" s="3" t="str">
        <f t="shared" si="555"/>
        <v>01</v>
      </c>
      <c r="O2872" s="14" t="str">
        <f t="shared" si="556"/>
        <v>00</v>
      </c>
    </row>
    <row r="2873" spans="10:15" hidden="1">
      <c r="J2873" s="1" t="str">
        <f t="shared" si="551"/>
        <v>0</v>
      </c>
      <c r="K2873" s="3">
        <f t="shared" si="552"/>
        <v>-100</v>
      </c>
      <c r="L2873" s="3">
        <f t="shared" si="553"/>
        <v>1</v>
      </c>
      <c r="M2873" s="3">
        <f t="shared" si="554"/>
        <v>0</v>
      </c>
      <c r="N2873" s="3" t="str">
        <f t="shared" si="555"/>
        <v>01</v>
      </c>
      <c r="O2873" s="14" t="str">
        <f t="shared" si="556"/>
        <v>00</v>
      </c>
    </row>
    <row r="2874" spans="10:15" hidden="1">
      <c r="J2874" s="1" t="str">
        <f t="shared" si="551"/>
        <v>0</v>
      </c>
      <c r="K2874" s="3">
        <f t="shared" si="552"/>
        <v>-100</v>
      </c>
      <c r="L2874" s="3">
        <f t="shared" si="553"/>
        <v>1</v>
      </c>
      <c r="M2874" s="3">
        <f t="shared" si="554"/>
        <v>0</v>
      </c>
      <c r="N2874" s="3" t="str">
        <f t="shared" si="555"/>
        <v>01</v>
      </c>
      <c r="O2874" s="14" t="str">
        <f t="shared" si="556"/>
        <v>00</v>
      </c>
    </row>
    <row r="2875" spans="10:15" hidden="1">
      <c r="J2875" s="1" t="str">
        <f t="shared" si="551"/>
        <v>0</v>
      </c>
      <c r="K2875" s="3">
        <f t="shared" si="552"/>
        <v>-100</v>
      </c>
      <c r="L2875" s="3">
        <f t="shared" si="553"/>
        <v>1</v>
      </c>
      <c r="M2875" s="3">
        <f t="shared" si="554"/>
        <v>0</v>
      </c>
      <c r="N2875" s="3" t="str">
        <f t="shared" si="555"/>
        <v>01</v>
      </c>
      <c r="O2875" s="14" t="str">
        <f t="shared" si="556"/>
        <v>00</v>
      </c>
    </row>
    <row r="2876" spans="10:15" hidden="1">
      <c r="J2876" s="1" t="str">
        <f t="shared" si="551"/>
        <v>0</v>
      </c>
      <c r="K2876" s="3">
        <f t="shared" si="552"/>
        <v>-100</v>
      </c>
      <c r="L2876" s="3">
        <f t="shared" si="553"/>
        <v>1</v>
      </c>
      <c r="M2876" s="3">
        <f t="shared" si="554"/>
        <v>0</v>
      </c>
      <c r="N2876" s="3" t="str">
        <f t="shared" si="555"/>
        <v>01</v>
      </c>
      <c r="O2876" s="14" t="str">
        <f t="shared" si="556"/>
        <v>00</v>
      </c>
    </row>
    <row r="2877" spans="10:15" hidden="1">
      <c r="J2877" s="1" t="str">
        <f t="shared" si="551"/>
        <v>0</v>
      </c>
      <c r="K2877" s="3">
        <f t="shared" si="552"/>
        <v>-100</v>
      </c>
      <c r="L2877" s="3">
        <f t="shared" si="553"/>
        <v>1</v>
      </c>
      <c r="M2877" s="3">
        <f t="shared" si="554"/>
        <v>0</v>
      </c>
      <c r="N2877" s="3" t="str">
        <f t="shared" si="555"/>
        <v>01</v>
      </c>
      <c r="O2877" s="14" t="str">
        <f t="shared" si="556"/>
        <v>00</v>
      </c>
    </row>
    <row r="2878" spans="10:15" hidden="1">
      <c r="J2878" s="1" t="str">
        <f t="shared" si="551"/>
        <v>0</v>
      </c>
      <c r="K2878" s="3">
        <f t="shared" si="552"/>
        <v>-100</v>
      </c>
      <c r="L2878" s="3">
        <f t="shared" si="553"/>
        <v>1</v>
      </c>
      <c r="M2878" s="3">
        <f t="shared" si="554"/>
        <v>0</v>
      </c>
      <c r="N2878" s="3" t="str">
        <f t="shared" si="555"/>
        <v>01</v>
      </c>
      <c r="O2878" s="14" t="str">
        <f t="shared" si="556"/>
        <v>00</v>
      </c>
    </row>
    <row r="2879" spans="10:15" hidden="1">
      <c r="J2879" s="1" t="str">
        <f t="shared" si="551"/>
        <v>0</v>
      </c>
      <c r="K2879" s="3">
        <f t="shared" si="552"/>
        <v>-100</v>
      </c>
      <c r="L2879" s="3">
        <f t="shared" si="553"/>
        <v>1</v>
      </c>
      <c r="M2879" s="3">
        <f t="shared" si="554"/>
        <v>0</v>
      </c>
      <c r="N2879" s="3" t="str">
        <f t="shared" si="555"/>
        <v>01</v>
      </c>
      <c r="O2879" s="14" t="str">
        <f t="shared" si="556"/>
        <v>00</v>
      </c>
    </row>
    <row r="2880" spans="10:15" hidden="1">
      <c r="J2880" s="1" t="str">
        <f t="shared" si="551"/>
        <v>0</v>
      </c>
      <c r="K2880" s="3">
        <f t="shared" si="552"/>
        <v>-100</v>
      </c>
      <c r="L2880" s="3">
        <f t="shared" si="553"/>
        <v>1</v>
      </c>
      <c r="M2880" s="3">
        <f t="shared" si="554"/>
        <v>0</v>
      </c>
      <c r="N2880" s="3" t="str">
        <f t="shared" si="555"/>
        <v>01</v>
      </c>
      <c r="O2880" s="14" t="str">
        <f t="shared" si="556"/>
        <v>00</v>
      </c>
    </row>
    <row r="2881" spans="1:22" hidden="1">
      <c r="J2881" s="1" t="str">
        <f t="shared" si="551"/>
        <v>0</v>
      </c>
      <c r="K2881" s="3">
        <f t="shared" si="552"/>
        <v>-100</v>
      </c>
      <c r="L2881" s="3">
        <f t="shared" si="553"/>
        <v>1</v>
      </c>
      <c r="M2881" s="3">
        <f t="shared" si="554"/>
        <v>0</v>
      </c>
      <c r="N2881" s="3" t="str">
        <f t="shared" si="555"/>
        <v>01</v>
      </c>
      <c r="O2881" s="14" t="str">
        <f t="shared" si="556"/>
        <v>00</v>
      </c>
    </row>
    <row r="2882" spans="1:22" hidden="1">
      <c r="J2882" s="1" t="str">
        <f t="shared" si="551"/>
        <v>0</v>
      </c>
      <c r="K2882" s="3">
        <f t="shared" si="552"/>
        <v>-100</v>
      </c>
      <c r="L2882" s="3">
        <f t="shared" si="553"/>
        <v>1</v>
      </c>
      <c r="M2882" s="3">
        <f t="shared" si="554"/>
        <v>0</v>
      </c>
      <c r="N2882" s="3" t="str">
        <f t="shared" si="555"/>
        <v>01</v>
      </c>
      <c r="O2882" s="14" t="str">
        <f t="shared" si="556"/>
        <v>00</v>
      </c>
    </row>
    <row r="2883" spans="1:22" hidden="1">
      <c r="J2883" s="1" t="str">
        <f t="shared" si="551"/>
        <v>0</v>
      </c>
      <c r="K2883" s="3">
        <f t="shared" si="552"/>
        <v>-100</v>
      </c>
      <c r="L2883" s="3">
        <f t="shared" si="553"/>
        <v>1</v>
      </c>
      <c r="M2883" s="3">
        <f t="shared" si="554"/>
        <v>0</v>
      </c>
      <c r="N2883" s="3" t="str">
        <f t="shared" si="555"/>
        <v>01</v>
      </c>
      <c r="O2883" s="14" t="str">
        <f t="shared" si="556"/>
        <v>00</v>
      </c>
    </row>
    <row r="2884" spans="1:22" hidden="1">
      <c r="J2884" s="1" t="str">
        <f t="shared" si="551"/>
        <v>0</v>
      </c>
      <c r="K2884" s="3">
        <f t="shared" si="552"/>
        <v>-100</v>
      </c>
      <c r="L2884" s="3">
        <f t="shared" si="553"/>
        <v>1</v>
      </c>
      <c r="M2884" s="3">
        <f t="shared" si="554"/>
        <v>0</v>
      </c>
      <c r="N2884" s="3" t="str">
        <f t="shared" si="555"/>
        <v>01</v>
      </c>
      <c r="O2884" s="14" t="str">
        <f t="shared" si="556"/>
        <v>00</v>
      </c>
    </row>
    <row r="2885" spans="1:22" hidden="1">
      <c r="J2885" s="1" t="str">
        <f t="shared" si="551"/>
        <v>0</v>
      </c>
      <c r="K2885" s="3">
        <f t="shared" si="552"/>
        <v>-100</v>
      </c>
      <c r="L2885" s="3">
        <f t="shared" si="553"/>
        <v>1</v>
      </c>
      <c r="M2885" s="3">
        <f t="shared" si="554"/>
        <v>0</v>
      </c>
      <c r="N2885" s="3" t="str">
        <f t="shared" si="555"/>
        <v>01</v>
      </c>
      <c r="O2885" s="14" t="str">
        <f t="shared" si="556"/>
        <v>00</v>
      </c>
    </row>
    <row r="2886" spans="1:22" hidden="1">
      <c r="J2886" s="1" t="str">
        <f t="shared" si="551"/>
        <v>0</v>
      </c>
      <c r="K2886" s="3">
        <f t="shared" si="552"/>
        <v>-100</v>
      </c>
      <c r="L2886" s="3">
        <f t="shared" si="553"/>
        <v>1</v>
      </c>
      <c r="M2886" s="3">
        <f t="shared" si="554"/>
        <v>0</v>
      </c>
      <c r="N2886" s="3" t="str">
        <f t="shared" si="555"/>
        <v>01</v>
      </c>
      <c r="O2886" s="14" t="str">
        <f t="shared" si="556"/>
        <v>00</v>
      </c>
    </row>
    <row r="2887" spans="1:22" hidden="1">
      <c r="J2887" s="1" t="str">
        <f t="shared" si="551"/>
        <v>0</v>
      </c>
      <c r="K2887" s="3">
        <f t="shared" si="552"/>
        <v>-100</v>
      </c>
      <c r="L2887" s="3">
        <f t="shared" si="553"/>
        <v>1</v>
      </c>
      <c r="M2887" s="3">
        <f t="shared" si="554"/>
        <v>0</v>
      </c>
      <c r="N2887" s="3" t="str">
        <f t="shared" si="555"/>
        <v>01</v>
      </c>
      <c r="O2887" s="14" t="str">
        <f t="shared" si="556"/>
        <v>00</v>
      </c>
    </row>
    <row r="2888" spans="1:22" hidden="1">
      <c r="J2888" s="1" t="str">
        <f t="shared" si="551"/>
        <v>0</v>
      </c>
      <c r="K2888" s="3">
        <f t="shared" si="552"/>
        <v>-100</v>
      </c>
      <c r="L2888" s="3">
        <f t="shared" si="553"/>
        <v>1</v>
      </c>
      <c r="M2888" s="3">
        <f t="shared" si="554"/>
        <v>0</v>
      </c>
      <c r="N2888" s="3" t="str">
        <f t="shared" si="555"/>
        <v>01</v>
      </c>
      <c r="O2888" s="14" t="str">
        <f t="shared" si="556"/>
        <v>00</v>
      </c>
    </row>
    <row r="2889" spans="1:22" hidden="1">
      <c r="J2889" s="1" t="str">
        <f t="shared" si="551"/>
        <v>0</v>
      </c>
      <c r="K2889" s="3">
        <f t="shared" si="552"/>
        <v>-100</v>
      </c>
      <c r="L2889" s="3">
        <f t="shared" si="553"/>
        <v>1</v>
      </c>
      <c r="M2889" s="3">
        <f t="shared" si="554"/>
        <v>0</v>
      </c>
      <c r="N2889" s="3" t="str">
        <f t="shared" si="555"/>
        <v>01</v>
      </c>
      <c r="O2889" s="14" t="str">
        <f t="shared" si="556"/>
        <v>00</v>
      </c>
    </row>
    <row r="2890" spans="1:22" hidden="1">
      <c r="J2890" s="1" t="str">
        <f t="shared" si="551"/>
        <v>0</v>
      </c>
      <c r="K2890" s="3">
        <f t="shared" si="552"/>
        <v>-100</v>
      </c>
      <c r="L2890" s="3">
        <f t="shared" si="553"/>
        <v>1</v>
      </c>
      <c r="M2890" s="3">
        <f t="shared" si="554"/>
        <v>0</v>
      </c>
      <c r="N2890" s="3" t="str">
        <f t="shared" si="555"/>
        <v>01</v>
      </c>
      <c r="O2890" s="14" t="str">
        <f t="shared" si="556"/>
        <v>00</v>
      </c>
    </row>
    <row r="2891" spans="1:22" hidden="1">
      <c r="J2891" s="1" t="str">
        <f t="shared" si="551"/>
        <v>0</v>
      </c>
      <c r="K2891" s="3">
        <f t="shared" si="552"/>
        <v>-100</v>
      </c>
      <c r="L2891" s="3">
        <f t="shared" si="553"/>
        <v>1</v>
      </c>
      <c r="M2891" s="3">
        <f t="shared" si="554"/>
        <v>0</v>
      </c>
      <c r="N2891" s="3" t="str">
        <f t="shared" si="555"/>
        <v>01</v>
      </c>
      <c r="O2891" s="14" t="str">
        <f t="shared" si="556"/>
        <v>00</v>
      </c>
    </row>
    <row r="2892" spans="1:22">
      <c r="A2892" s="3">
        <v>2951</v>
      </c>
      <c r="B2892" s="1">
        <f>IF(G2892="-",0,IF(G2891=G2892,1,0))</f>
        <v>0</v>
      </c>
      <c r="C2892" s="1">
        <f>+IF(G2892="-",0,IF(I2892=I2891+1,0,(IF(I2892=1,0,1))))</f>
        <v>1</v>
      </c>
      <c r="D2892" s="1">
        <f>+IF(AND(P2892="",Q2892=""),1,0)</f>
        <v>0</v>
      </c>
      <c r="E2892" s="1">
        <f>IF(U2892="",1,0)</f>
        <v>0</v>
      </c>
      <c r="F2892" s="1">
        <f>IF(V2892="",1,0)</f>
        <v>0</v>
      </c>
      <c r="G2892" s="1" t="str">
        <f>IF(H2892=0,"-",_xlfn.CONCAT(K2892,N2892,O2892,J2892))</f>
        <v>24112610</v>
      </c>
      <c r="H2892" s="2">
        <v>45622</v>
      </c>
      <c r="I2892" s="36">
        <v>10</v>
      </c>
      <c r="J2892" s="1">
        <f t="shared" si="551"/>
        <v>10</v>
      </c>
      <c r="K2892" s="3">
        <f t="shared" si="552"/>
        <v>24</v>
      </c>
      <c r="L2892" s="3">
        <f t="shared" si="553"/>
        <v>11</v>
      </c>
      <c r="M2892" s="3">
        <f t="shared" si="554"/>
        <v>26</v>
      </c>
      <c r="N2892" s="3">
        <f t="shared" si="555"/>
        <v>11</v>
      </c>
      <c r="O2892" s="14">
        <f t="shared" si="556"/>
        <v>26</v>
      </c>
      <c r="P2892" s="4">
        <v>415000</v>
      </c>
      <c r="T2892" s="5" t="s">
        <v>1286</v>
      </c>
      <c r="U2892" s="3" t="s">
        <v>50</v>
      </c>
      <c r="V2892" s="3" t="s">
        <v>4</v>
      </c>
    </row>
    <row r="2893" spans="1:22" hidden="1">
      <c r="J2893" s="1" t="str">
        <f t="shared" si="551"/>
        <v>0</v>
      </c>
      <c r="K2893" s="3">
        <f t="shared" si="552"/>
        <v>-100</v>
      </c>
      <c r="L2893" s="3">
        <f t="shared" si="553"/>
        <v>1</v>
      </c>
      <c r="M2893" s="3">
        <f t="shared" si="554"/>
        <v>0</v>
      </c>
      <c r="N2893" s="3" t="str">
        <f t="shared" si="555"/>
        <v>01</v>
      </c>
      <c r="O2893" s="14" t="str">
        <f t="shared" si="556"/>
        <v>00</v>
      </c>
    </row>
    <row r="2894" spans="1:22" hidden="1">
      <c r="J2894" s="1" t="str">
        <f t="shared" si="551"/>
        <v>0</v>
      </c>
      <c r="K2894" s="3">
        <f t="shared" si="552"/>
        <v>-100</v>
      </c>
      <c r="L2894" s="3">
        <f t="shared" si="553"/>
        <v>1</v>
      </c>
      <c r="M2894" s="3">
        <f t="shared" si="554"/>
        <v>0</v>
      </c>
      <c r="N2894" s="3" t="str">
        <f t="shared" si="555"/>
        <v>01</v>
      </c>
      <c r="O2894" s="14" t="str">
        <f t="shared" si="556"/>
        <v>00</v>
      </c>
    </row>
    <row r="2895" spans="1:22" hidden="1">
      <c r="J2895" s="1" t="str">
        <f t="shared" si="551"/>
        <v>0</v>
      </c>
      <c r="K2895" s="3">
        <f t="shared" si="552"/>
        <v>-100</v>
      </c>
      <c r="L2895" s="3">
        <f t="shared" si="553"/>
        <v>1</v>
      </c>
      <c r="M2895" s="3">
        <f t="shared" si="554"/>
        <v>0</v>
      </c>
      <c r="N2895" s="3" t="str">
        <f t="shared" si="555"/>
        <v>01</v>
      </c>
      <c r="O2895" s="14" t="str">
        <f t="shared" si="556"/>
        <v>00</v>
      </c>
    </row>
    <row r="2896" spans="1:22" hidden="1">
      <c r="J2896" s="1" t="str">
        <f t="shared" si="551"/>
        <v>0</v>
      </c>
      <c r="K2896" s="3">
        <f t="shared" si="552"/>
        <v>-100</v>
      </c>
      <c r="L2896" s="3">
        <f t="shared" si="553"/>
        <v>1</v>
      </c>
      <c r="M2896" s="3">
        <f t="shared" si="554"/>
        <v>0</v>
      </c>
      <c r="N2896" s="3" t="str">
        <f t="shared" si="555"/>
        <v>01</v>
      </c>
      <c r="O2896" s="14" t="str">
        <f t="shared" si="556"/>
        <v>00</v>
      </c>
    </row>
    <row r="2897" spans="1:22" hidden="1">
      <c r="J2897" s="1" t="str">
        <f t="shared" si="551"/>
        <v>0</v>
      </c>
      <c r="K2897" s="3">
        <f t="shared" si="552"/>
        <v>-100</v>
      </c>
      <c r="L2897" s="3">
        <f t="shared" si="553"/>
        <v>1</v>
      </c>
      <c r="M2897" s="3">
        <f t="shared" si="554"/>
        <v>0</v>
      </c>
      <c r="N2897" s="3" t="str">
        <f t="shared" si="555"/>
        <v>01</v>
      </c>
      <c r="O2897" s="14" t="str">
        <f t="shared" si="556"/>
        <v>00</v>
      </c>
    </row>
    <row r="2898" spans="1:22" hidden="1">
      <c r="J2898" s="1" t="str">
        <f t="shared" si="551"/>
        <v>0</v>
      </c>
      <c r="K2898" s="3">
        <f t="shared" si="552"/>
        <v>-100</v>
      </c>
      <c r="L2898" s="3">
        <f t="shared" si="553"/>
        <v>1</v>
      </c>
      <c r="M2898" s="3">
        <f t="shared" si="554"/>
        <v>0</v>
      </c>
      <c r="N2898" s="3" t="str">
        <f t="shared" si="555"/>
        <v>01</v>
      </c>
      <c r="O2898" s="14" t="str">
        <f t="shared" si="556"/>
        <v>00</v>
      </c>
    </row>
    <row r="2899" spans="1:22" hidden="1">
      <c r="J2899" s="1" t="str">
        <f t="shared" si="551"/>
        <v>0</v>
      </c>
      <c r="K2899" s="3">
        <f t="shared" si="552"/>
        <v>-100</v>
      </c>
      <c r="L2899" s="3">
        <f t="shared" si="553"/>
        <v>1</v>
      </c>
      <c r="M2899" s="3">
        <f t="shared" si="554"/>
        <v>0</v>
      </c>
      <c r="N2899" s="3" t="str">
        <f t="shared" si="555"/>
        <v>01</v>
      </c>
      <c r="O2899" s="14" t="str">
        <f t="shared" si="556"/>
        <v>00</v>
      </c>
    </row>
    <row r="2900" spans="1:22" hidden="1">
      <c r="J2900" s="1" t="str">
        <f t="shared" si="551"/>
        <v>0</v>
      </c>
      <c r="K2900" s="3">
        <f t="shared" si="552"/>
        <v>-100</v>
      </c>
      <c r="L2900" s="3">
        <f t="shared" si="553"/>
        <v>1</v>
      </c>
      <c r="M2900" s="3">
        <f t="shared" si="554"/>
        <v>0</v>
      </c>
      <c r="N2900" s="3" t="str">
        <f t="shared" si="555"/>
        <v>01</v>
      </c>
      <c r="O2900" s="14" t="str">
        <f t="shared" si="556"/>
        <v>00</v>
      </c>
    </row>
    <row r="2901" spans="1:22" hidden="1">
      <c r="J2901" s="1" t="str">
        <f t="shared" si="551"/>
        <v>0</v>
      </c>
      <c r="K2901" s="3">
        <f t="shared" si="552"/>
        <v>-100</v>
      </c>
      <c r="L2901" s="3">
        <f t="shared" si="553"/>
        <v>1</v>
      </c>
      <c r="M2901" s="3">
        <f t="shared" si="554"/>
        <v>0</v>
      </c>
      <c r="N2901" s="3" t="str">
        <f t="shared" si="555"/>
        <v>01</v>
      </c>
      <c r="O2901" s="14" t="str">
        <f t="shared" si="556"/>
        <v>00</v>
      </c>
    </row>
    <row r="2902" spans="1:22" hidden="1">
      <c r="J2902" s="1" t="str">
        <f t="shared" si="551"/>
        <v>0</v>
      </c>
      <c r="K2902" s="3">
        <f t="shared" si="552"/>
        <v>-100</v>
      </c>
      <c r="L2902" s="3">
        <f t="shared" si="553"/>
        <v>1</v>
      </c>
      <c r="M2902" s="3">
        <f t="shared" si="554"/>
        <v>0</v>
      </c>
      <c r="N2902" s="3" t="str">
        <f t="shared" si="555"/>
        <v>01</v>
      </c>
      <c r="O2902" s="14" t="str">
        <f t="shared" si="556"/>
        <v>00</v>
      </c>
    </row>
    <row r="2903" spans="1:22" hidden="1">
      <c r="J2903" s="1" t="str">
        <f t="shared" si="551"/>
        <v>0</v>
      </c>
      <c r="K2903" s="3">
        <f t="shared" si="552"/>
        <v>-100</v>
      </c>
      <c r="L2903" s="3">
        <f t="shared" si="553"/>
        <v>1</v>
      </c>
      <c r="M2903" s="3">
        <f t="shared" si="554"/>
        <v>0</v>
      </c>
      <c r="N2903" s="3" t="str">
        <f t="shared" si="555"/>
        <v>01</v>
      </c>
      <c r="O2903" s="14" t="str">
        <f t="shared" si="556"/>
        <v>00</v>
      </c>
    </row>
    <row r="2904" spans="1:22" hidden="1">
      <c r="J2904" s="1" t="str">
        <f t="shared" si="551"/>
        <v>0</v>
      </c>
      <c r="K2904" s="3">
        <f t="shared" si="552"/>
        <v>-100</v>
      </c>
      <c r="L2904" s="3">
        <f t="shared" si="553"/>
        <v>1</v>
      </c>
      <c r="M2904" s="3">
        <f t="shared" si="554"/>
        <v>0</v>
      </c>
      <c r="N2904" s="3" t="str">
        <f t="shared" si="555"/>
        <v>01</v>
      </c>
      <c r="O2904" s="14" t="str">
        <f t="shared" si="556"/>
        <v>00</v>
      </c>
    </row>
    <row r="2905" spans="1:22" hidden="1">
      <c r="J2905" s="1" t="str">
        <f t="shared" si="551"/>
        <v>0</v>
      </c>
      <c r="K2905" s="3">
        <f t="shared" si="552"/>
        <v>-100</v>
      </c>
      <c r="L2905" s="3">
        <f t="shared" si="553"/>
        <v>1</v>
      </c>
      <c r="M2905" s="3">
        <f t="shared" si="554"/>
        <v>0</v>
      </c>
      <c r="N2905" s="3" t="str">
        <f t="shared" si="555"/>
        <v>01</v>
      </c>
      <c r="O2905" s="14" t="str">
        <f t="shared" si="556"/>
        <v>00</v>
      </c>
    </row>
    <row r="2906" spans="1:22" hidden="1">
      <c r="J2906" s="1" t="str">
        <f t="shared" si="551"/>
        <v>0</v>
      </c>
      <c r="K2906" s="3">
        <f t="shared" si="552"/>
        <v>-100</v>
      </c>
      <c r="L2906" s="3">
        <f t="shared" si="553"/>
        <v>1</v>
      </c>
      <c r="M2906" s="3">
        <f t="shared" si="554"/>
        <v>0</v>
      </c>
      <c r="N2906" s="3" t="str">
        <f t="shared" si="555"/>
        <v>01</v>
      </c>
      <c r="O2906" s="14" t="str">
        <f t="shared" si="556"/>
        <v>00</v>
      </c>
    </row>
    <row r="2907" spans="1:22">
      <c r="A2907" s="3">
        <v>2747</v>
      </c>
      <c r="B2907" s="1">
        <f>IF(G2907="-",0,IF(G2906=G2907,1,0))</f>
        <v>0</v>
      </c>
      <c r="C2907" s="1">
        <f>+IF(G2907="-",0,IF(I2907=I2906+1,0,(IF(I2907=1,0,1))))</f>
        <v>0</v>
      </c>
      <c r="D2907" s="1">
        <f>+IF(AND(P2907="",Q2907=""),1,0)</f>
        <v>0</v>
      </c>
      <c r="E2907" s="1">
        <f>IF(U2907="",1,0)</f>
        <v>0</v>
      </c>
      <c r="F2907" s="1">
        <f>IF(V2907="",1,0)</f>
        <v>0</v>
      </c>
      <c r="G2907" s="90" t="str">
        <f>IF(H2907=0,"-",_xlfn.CONCAT(K2907,N2907,O2907,J2907))</f>
        <v>24120601</v>
      </c>
      <c r="H2907" s="91">
        <v>45632</v>
      </c>
      <c r="I2907" s="90">
        <v>1</v>
      </c>
      <c r="J2907" s="90" t="str">
        <f t="shared" si="551"/>
        <v>01</v>
      </c>
      <c r="K2907" s="92">
        <f t="shared" si="552"/>
        <v>24</v>
      </c>
      <c r="L2907" s="92">
        <f t="shared" si="553"/>
        <v>12</v>
      </c>
      <c r="M2907" s="92">
        <f t="shared" si="554"/>
        <v>6</v>
      </c>
      <c r="N2907" s="92">
        <f t="shared" si="555"/>
        <v>12</v>
      </c>
      <c r="O2907" s="93" t="str">
        <f t="shared" si="556"/>
        <v>06</v>
      </c>
      <c r="P2907" s="94">
        <v>352000</v>
      </c>
      <c r="Q2907" s="95"/>
      <c r="R2907" s="96"/>
      <c r="S2907" s="95"/>
      <c r="T2907" s="95" t="s">
        <v>1208</v>
      </c>
      <c r="U2907" s="92" t="s">
        <v>1</v>
      </c>
      <c r="V2907" s="92" t="s">
        <v>4</v>
      </c>
    </row>
    <row r="2908" spans="1:22" hidden="1">
      <c r="J2908" s="1" t="str">
        <f t="shared" si="551"/>
        <v>0</v>
      </c>
      <c r="K2908" s="3">
        <f t="shared" si="552"/>
        <v>-100</v>
      </c>
      <c r="L2908" s="3">
        <f t="shared" si="553"/>
        <v>1</v>
      </c>
      <c r="M2908" s="3">
        <f t="shared" si="554"/>
        <v>0</v>
      </c>
      <c r="N2908" s="3" t="str">
        <f t="shared" si="555"/>
        <v>01</v>
      </c>
      <c r="O2908" s="14" t="str">
        <f t="shared" si="556"/>
        <v>00</v>
      </c>
    </row>
    <row r="2909" spans="1:22">
      <c r="A2909" s="3">
        <v>2918</v>
      </c>
      <c r="B2909" s="1">
        <f>IF(G2909="-",0,IF(G2908=G2909,1,0))</f>
        <v>0</v>
      </c>
      <c r="C2909" s="1">
        <f>+IF(G2909="-",0,IF(I2909=I2908+1,0,(IF(I2909=1,0,1))))</f>
        <v>1</v>
      </c>
      <c r="D2909" s="1">
        <f>+IF(AND(P2909="",Q2909=""),1,0)</f>
        <v>0</v>
      </c>
      <c r="E2909" s="1">
        <f>IF(U2909="",1,0)</f>
        <v>0</v>
      </c>
      <c r="F2909" s="1">
        <f>IF(V2909="",1,0)</f>
        <v>0</v>
      </c>
      <c r="G2909" s="1" t="str">
        <f>IF(H2909=0,"-",_xlfn.CONCAT(K2909,N2909,O2909,J2909))</f>
        <v>24122005</v>
      </c>
      <c r="H2909" s="2">
        <v>45646</v>
      </c>
      <c r="I2909" s="36">
        <v>5</v>
      </c>
      <c r="J2909" s="1" t="str">
        <f t="shared" si="551"/>
        <v>05</v>
      </c>
      <c r="K2909" s="3">
        <f t="shared" si="552"/>
        <v>24</v>
      </c>
      <c r="L2909" s="3">
        <f t="shared" si="553"/>
        <v>12</v>
      </c>
      <c r="M2909" s="3">
        <f t="shared" si="554"/>
        <v>20</v>
      </c>
      <c r="N2909" s="3">
        <f t="shared" si="555"/>
        <v>12</v>
      </c>
      <c r="O2909" s="14">
        <f t="shared" si="556"/>
        <v>20</v>
      </c>
      <c r="P2909" s="4">
        <v>9574.86</v>
      </c>
      <c r="T2909" s="5" t="s">
        <v>1284</v>
      </c>
      <c r="U2909" s="3" t="s">
        <v>29</v>
      </c>
      <c r="V2909" s="3" t="s">
        <v>4</v>
      </c>
    </row>
    <row r="2910" spans="1:22" hidden="1">
      <c r="J2910" s="1" t="str">
        <f t="shared" si="551"/>
        <v>0</v>
      </c>
      <c r="K2910" s="3">
        <f t="shared" si="552"/>
        <v>-100</v>
      </c>
      <c r="L2910" s="3">
        <f t="shared" si="553"/>
        <v>1</v>
      </c>
      <c r="M2910" s="3">
        <f t="shared" si="554"/>
        <v>0</v>
      </c>
      <c r="N2910" s="3" t="str">
        <f t="shared" si="555"/>
        <v>01</v>
      </c>
      <c r="O2910" s="14" t="str">
        <f t="shared" si="556"/>
        <v>00</v>
      </c>
    </row>
    <row r="2911" spans="1:22" hidden="1">
      <c r="J2911" s="1" t="str">
        <f t="shared" si="551"/>
        <v>0</v>
      </c>
      <c r="K2911" s="3">
        <f t="shared" si="552"/>
        <v>-100</v>
      </c>
      <c r="L2911" s="3">
        <f t="shared" si="553"/>
        <v>1</v>
      </c>
      <c r="M2911" s="3">
        <f t="shared" si="554"/>
        <v>0</v>
      </c>
      <c r="N2911" s="3" t="str">
        <f t="shared" si="555"/>
        <v>01</v>
      </c>
      <c r="O2911" s="14" t="str">
        <f t="shared" si="556"/>
        <v>00</v>
      </c>
    </row>
    <row r="2912" spans="1:22" hidden="1">
      <c r="J2912" s="1" t="str">
        <f t="shared" si="551"/>
        <v>0</v>
      </c>
      <c r="K2912" s="3">
        <f t="shared" si="552"/>
        <v>-100</v>
      </c>
      <c r="L2912" s="3">
        <f t="shared" si="553"/>
        <v>1</v>
      </c>
      <c r="M2912" s="3">
        <f t="shared" si="554"/>
        <v>0</v>
      </c>
      <c r="N2912" s="3" t="str">
        <f t="shared" si="555"/>
        <v>01</v>
      </c>
      <c r="O2912" s="14" t="str">
        <f t="shared" si="556"/>
        <v>00</v>
      </c>
    </row>
    <row r="2913" spans="10:17" hidden="1">
      <c r="J2913" s="1" t="str">
        <f t="shared" si="551"/>
        <v>0</v>
      </c>
      <c r="K2913" s="3">
        <f t="shared" si="552"/>
        <v>-100</v>
      </c>
      <c r="L2913" s="3">
        <f t="shared" si="553"/>
        <v>1</v>
      </c>
      <c r="M2913" s="3">
        <f t="shared" si="554"/>
        <v>0</v>
      </c>
      <c r="N2913" s="3" t="str">
        <f t="shared" si="555"/>
        <v>01</v>
      </c>
      <c r="O2913" s="14" t="str">
        <f t="shared" si="556"/>
        <v>00</v>
      </c>
      <c r="Q2913" s="4"/>
    </row>
    <row r="2914" spans="10:17" hidden="1">
      <c r="J2914" s="1" t="str">
        <f t="shared" ref="J2914:J2977" si="557">+IF(I2914&lt;10,_xlfn.CONCAT("0",I2914),I2914)</f>
        <v>0</v>
      </c>
      <c r="K2914" s="3">
        <f t="shared" ref="K2914:K2977" si="558">+YEAR(H2914)-2000</f>
        <v>-100</v>
      </c>
      <c r="L2914" s="3">
        <f t="shared" ref="L2914:L2977" si="559">+MONTH(H2914)</f>
        <v>1</v>
      </c>
      <c r="M2914" s="3">
        <f t="shared" ref="M2914:M2977" si="560">+DAY(H2914)</f>
        <v>0</v>
      </c>
      <c r="N2914" s="3" t="str">
        <f t="shared" ref="N2914:N2977" si="561">+IF(L2914&lt;10,_xlfn.CONCAT("0",L2914),L2914)</f>
        <v>01</v>
      </c>
      <c r="O2914" s="14" t="str">
        <f t="shared" ref="O2914:O2977" si="562">+IF(M2914&lt;10,_xlfn.CONCAT("0",M2914),M2914)</f>
        <v>00</v>
      </c>
    </row>
    <row r="2915" spans="10:17" hidden="1">
      <c r="J2915" s="1" t="str">
        <f t="shared" si="557"/>
        <v>0</v>
      </c>
      <c r="K2915" s="3">
        <f t="shared" si="558"/>
        <v>-100</v>
      </c>
      <c r="L2915" s="3">
        <f t="shared" si="559"/>
        <v>1</v>
      </c>
      <c r="M2915" s="3">
        <f t="shared" si="560"/>
        <v>0</v>
      </c>
      <c r="N2915" s="3" t="str">
        <f t="shared" si="561"/>
        <v>01</v>
      </c>
      <c r="O2915" s="14" t="str">
        <f t="shared" si="562"/>
        <v>00</v>
      </c>
    </row>
    <row r="2916" spans="10:17" hidden="1">
      <c r="J2916" s="1" t="str">
        <f t="shared" si="557"/>
        <v>0</v>
      </c>
      <c r="K2916" s="3">
        <f t="shared" si="558"/>
        <v>-100</v>
      </c>
      <c r="L2916" s="3">
        <f t="shared" si="559"/>
        <v>1</v>
      </c>
      <c r="M2916" s="3">
        <f t="shared" si="560"/>
        <v>0</v>
      </c>
      <c r="N2916" s="3" t="str">
        <f t="shared" si="561"/>
        <v>01</v>
      </c>
      <c r="O2916" s="14" t="str">
        <f t="shared" si="562"/>
        <v>00</v>
      </c>
    </row>
    <row r="2917" spans="10:17" hidden="1">
      <c r="J2917" s="1" t="str">
        <f t="shared" si="557"/>
        <v>0</v>
      </c>
      <c r="K2917" s="3">
        <f t="shared" si="558"/>
        <v>-100</v>
      </c>
      <c r="L2917" s="3">
        <f t="shared" si="559"/>
        <v>1</v>
      </c>
      <c r="M2917" s="3">
        <f t="shared" si="560"/>
        <v>0</v>
      </c>
      <c r="N2917" s="3" t="str">
        <f t="shared" si="561"/>
        <v>01</v>
      </c>
      <c r="O2917" s="14" t="str">
        <f t="shared" si="562"/>
        <v>00</v>
      </c>
    </row>
    <row r="2918" spans="10:17" hidden="1">
      <c r="J2918" s="1" t="str">
        <f t="shared" si="557"/>
        <v>0</v>
      </c>
      <c r="K2918" s="3">
        <f t="shared" si="558"/>
        <v>-100</v>
      </c>
      <c r="L2918" s="3">
        <f t="shared" si="559"/>
        <v>1</v>
      </c>
      <c r="M2918" s="3">
        <f t="shared" si="560"/>
        <v>0</v>
      </c>
      <c r="N2918" s="3" t="str">
        <f t="shared" si="561"/>
        <v>01</v>
      </c>
      <c r="O2918" s="14" t="str">
        <f t="shared" si="562"/>
        <v>00</v>
      </c>
    </row>
    <row r="2919" spans="10:17" hidden="1">
      <c r="J2919" s="1" t="str">
        <f t="shared" si="557"/>
        <v>0</v>
      </c>
      <c r="K2919" s="3">
        <f t="shared" si="558"/>
        <v>-100</v>
      </c>
      <c r="L2919" s="3">
        <f t="shared" si="559"/>
        <v>1</v>
      </c>
      <c r="M2919" s="3">
        <f t="shared" si="560"/>
        <v>0</v>
      </c>
      <c r="N2919" s="3" t="str">
        <f t="shared" si="561"/>
        <v>01</v>
      </c>
      <c r="O2919" s="14" t="str">
        <f t="shared" si="562"/>
        <v>00</v>
      </c>
    </row>
    <row r="2920" spans="10:17" hidden="1">
      <c r="J2920" s="1" t="str">
        <f t="shared" si="557"/>
        <v>0</v>
      </c>
      <c r="K2920" s="3">
        <f t="shared" si="558"/>
        <v>-100</v>
      </c>
      <c r="L2920" s="3">
        <f t="shared" si="559"/>
        <v>1</v>
      </c>
      <c r="M2920" s="3">
        <f t="shared" si="560"/>
        <v>0</v>
      </c>
      <c r="N2920" s="3" t="str">
        <f t="shared" si="561"/>
        <v>01</v>
      </c>
      <c r="O2920" s="14" t="str">
        <f t="shared" si="562"/>
        <v>00</v>
      </c>
    </row>
    <row r="2921" spans="10:17" hidden="1">
      <c r="J2921" s="1" t="str">
        <f t="shared" si="557"/>
        <v>0</v>
      </c>
      <c r="K2921" s="3">
        <f t="shared" si="558"/>
        <v>-100</v>
      </c>
      <c r="L2921" s="3">
        <f t="shared" si="559"/>
        <v>1</v>
      </c>
      <c r="M2921" s="3">
        <f t="shared" si="560"/>
        <v>0</v>
      </c>
      <c r="N2921" s="3" t="str">
        <f t="shared" si="561"/>
        <v>01</v>
      </c>
      <c r="O2921" s="14" t="str">
        <f t="shared" si="562"/>
        <v>00</v>
      </c>
    </row>
    <row r="2922" spans="10:17" hidden="1">
      <c r="J2922" s="1" t="str">
        <f t="shared" si="557"/>
        <v>0</v>
      </c>
      <c r="K2922" s="3">
        <f t="shared" si="558"/>
        <v>-100</v>
      </c>
      <c r="L2922" s="3">
        <f t="shared" si="559"/>
        <v>1</v>
      </c>
      <c r="M2922" s="3">
        <f t="shared" si="560"/>
        <v>0</v>
      </c>
      <c r="N2922" s="3" t="str">
        <f t="shared" si="561"/>
        <v>01</v>
      </c>
      <c r="O2922" s="14" t="str">
        <f t="shared" si="562"/>
        <v>00</v>
      </c>
    </row>
    <row r="2923" spans="10:17" hidden="1">
      <c r="J2923" s="1" t="str">
        <f t="shared" si="557"/>
        <v>0</v>
      </c>
      <c r="K2923" s="3">
        <f t="shared" si="558"/>
        <v>-100</v>
      </c>
      <c r="L2923" s="3">
        <f t="shared" si="559"/>
        <v>1</v>
      </c>
      <c r="M2923" s="3">
        <f t="shared" si="560"/>
        <v>0</v>
      </c>
      <c r="N2923" s="3" t="str">
        <f t="shared" si="561"/>
        <v>01</v>
      </c>
      <c r="O2923" s="14" t="str">
        <f t="shared" si="562"/>
        <v>00</v>
      </c>
    </row>
    <row r="2924" spans="10:17" hidden="1">
      <c r="J2924" s="1" t="str">
        <f t="shared" si="557"/>
        <v>0</v>
      </c>
      <c r="K2924" s="3">
        <f t="shared" si="558"/>
        <v>-100</v>
      </c>
      <c r="L2924" s="3">
        <f t="shared" si="559"/>
        <v>1</v>
      </c>
      <c r="M2924" s="3">
        <f t="shared" si="560"/>
        <v>0</v>
      </c>
      <c r="N2924" s="3" t="str">
        <f t="shared" si="561"/>
        <v>01</v>
      </c>
      <c r="O2924" s="14" t="str">
        <f t="shared" si="562"/>
        <v>00</v>
      </c>
    </row>
    <row r="2925" spans="10:17" hidden="1">
      <c r="J2925" s="1" t="str">
        <f t="shared" si="557"/>
        <v>0</v>
      </c>
      <c r="K2925" s="3">
        <f t="shared" si="558"/>
        <v>-100</v>
      </c>
      <c r="L2925" s="3">
        <f t="shared" si="559"/>
        <v>1</v>
      </c>
      <c r="M2925" s="3">
        <f t="shared" si="560"/>
        <v>0</v>
      </c>
      <c r="N2925" s="3" t="str">
        <f t="shared" si="561"/>
        <v>01</v>
      </c>
      <c r="O2925" s="14" t="str">
        <f t="shared" si="562"/>
        <v>00</v>
      </c>
    </row>
    <row r="2926" spans="10:17" hidden="1">
      <c r="J2926" s="1" t="str">
        <f t="shared" si="557"/>
        <v>0</v>
      </c>
      <c r="K2926" s="3">
        <f t="shared" si="558"/>
        <v>-100</v>
      </c>
      <c r="L2926" s="3">
        <f t="shared" si="559"/>
        <v>1</v>
      </c>
      <c r="M2926" s="3">
        <f t="shared" si="560"/>
        <v>0</v>
      </c>
      <c r="N2926" s="3" t="str">
        <f t="shared" si="561"/>
        <v>01</v>
      </c>
      <c r="O2926" s="14" t="str">
        <f t="shared" si="562"/>
        <v>00</v>
      </c>
    </row>
    <row r="2927" spans="10:17" hidden="1">
      <c r="J2927" s="1" t="str">
        <f t="shared" si="557"/>
        <v>0</v>
      </c>
      <c r="K2927" s="3">
        <f t="shared" si="558"/>
        <v>-100</v>
      </c>
      <c r="L2927" s="3">
        <f t="shared" si="559"/>
        <v>1</v>
      </c>
      <c r="M2927" s="3">
        <f t="shared" si="560"/>
        <v>0</v>
      </c>
      <c r="N2927" s="3" t="str">
        <f t="shared" si="561"/>
        <v>01</v>
      </c>
      <c r="O2927" s="14" t="str">
        <f t="shared" si="562"/>
        <v>00</v>
      </c>
    </row>
    <row r="2928" spans="10:17" hidden="1">
      <c r="J2928" s="1" t="str">
        <f t="shared" si="557"/>
        <v>0</v>
      </c>
      <c r="K2928" s="3">
        <f t="shared" si="558"/>
        <v>-100</v>
      </c>
      <c r="L2928" s="3">
        <f t="shared" si="559"/>
        <v>1</v>
      </c>
      <c r="M2928" s="3">
        <f t="shared" si="560"/>
        <v>0</v>
      </c>
      <c r="N2928" s="3" t="str">
        <f t="shared" si="561"/>
        <v>01</v>
      </c>
      <c r="O2928" s="14" t="str">
        <f t="shared" si="562"/>
        <v>00</v>
      </c>
    </row>
    <row r="2929" spans="10:15" hidden="1">
      <c r="J2929" s="1" t="str">
        <f t="shared" si="557"/>
        <v>0</v>
      </c>
      <c r="K2929" s="3">
        <f t="shared" si="558"/>
        <v>-100</v>
      </c>
      <c r="L2929" s="3">
        <f t="shared" si="559"/>
        <v>1</v>
      </c>
      <c r="M2929" s="3">
        <f t="shared" si="560"/>
        <v>0</v>
      </c>
      <c r="N2929" s="3" t="str">
        <f t="shared" si="561"/>
        <v>01</v>
      </c>
      <c r="O2929" s="14" t="str">
        <f t="shared" si="562"/>
        <v>00</v>
      </c>
    </row>
    <row r="2930" spans="10:15" hidden="1">
      <c r="J2930" s="1" t="str">
        <f t="shared" si="557"/>
        <v>0</v>
      </c>
      <c r="K2930" s="3">
        <f t="shared" si="558"/>
        <v>-100</v>
      </c>
      <c r="L2930" s="3">
        <f t="shared" si="559"/>
        <v>1</v>
      </c>
      <c r="M2930" s="3">
        <f t="shared" si="560"/>
        <v>0</v>
      </c>
      <c r="N2930" s="3" t="str">
        <f t="shared" si="561"/>
        <v>01</v>
      </c>
      <c r="O2930" s="14" t="str">
        <f t="shared" si="562"/>
        <v>00</v>
      </c>
    </row>
    <row r="2931" spans="10:15" hidden="1">
      <c r="J2931" s="1" t="str">
        <f t="shared" si="557"/>
        <v>0</v>
      </c>
      <c r="K2931" s="3">
        <f t="shared" si="558"/>
        <v>-100</v>
      </c>
      <c r="L2931" s="3">
        <f t="shared" si="559"/>
        <v>1</v>
      </c>
      <c r="M2931" s="3">
        <f t="shared" si="560"/>
        <v>0</v>
      </c>
      <c r="N2931" s="3" t="str">
        <f t="shared" si="561"/>
        <v>01</v>
      </c>
      <c r="O2931" s="14" t="str">
        <f t="shared" si="562"/>
        <v>00</v>
      </c>
    </row>
    <row r="2932" spans="10:15" hidden="1">
      <c r="J2932" s="1" t="str">
        <f t="shared" si="557"/>
        <v>0</v>
      </c>
      <c r="K2932" s="3">
        <f t="shared" si="558"/>
        <v>-100</v>
      </c>
      <c r="L2932" s="3">
        <f t="shared" si="559"/>
        <v>1</v>
      </c>
      <c r="M2932" s="3">
        <f t="shared" si="560"/>
        <v>0</v>
      </c>
      <c r="N2932" s="3" t="str">
        <f t="shared" si="561"/>
        <v>01</v>
      </c>
      <c r="O2932" s="14" t="str">
        <f t="shared" si="562"/>
        <v>00</v>
      </c>
    </row>
    <row r="2933" spans="10:15" hidden="1">
      <c r="J2933" s="1" t="str">
        <f t="shared" si="557"/>
        <v>0</v>
      </c>
      <c r="K2933" s="3">
        <f t="shared" si="558"/>
        <v>-100</v>
      </c>
      <c r="L2933" s="3">
        <f t="shared" si="559"/>
        <v>1</v>
      </c>
      <c r="M2933" s="3">
        <f t="shared" si="560"/>
        <v>0</v>
      </c>
      <c r="N2933" s="3" t="str">
        <f t="shared" si="561"/>
        <v>01</v>
      </c>
      <c r="O2933" s="14" t="str">
        <f t="shared" si="562"/>
        <v>00</v>
      </c>
    </row>
    <row r="2934" spans="10:15" hidden="1">
      <c r="J2934" s="1" t="str">
        <f t="shared" si="557"/>
        <v>0</v>
      </c>
      <c r="K2934" s="3">
        <f t="shared" si="558"/>
        <v>-100</v>
      </c>
      <c r="L2934" s="3">
        <f t="shared" si="559"/>
        <v>1</v>
      </c>
      <c r="M2934" s="3">
        <f t="shared" si="560"/>
        <v>0</v>
      </c>
      <c r="N2934" s="3" t="str">
        <f t="shared" si="561"/>
        <v>01</v>
      </c>
      <c r="O2934" s="14" t="str">
        <f t="shared" si="562"/>
        <v>00</v>
      </c>
    </row>
    <row r="2935" spans="10:15" hidden="1">
      <c r="J2935" s="1" t="str">
        <f t="shared" si="557"/>
        <v>0</v>
      </c>
      <c r="K2935" s="3">
        <f t="shared" si="558"/>
        <v>-100</v>
      </c>
      <c r="L2935" s="3">
        <f t="shared" si="559"/>
        <v>1</v>
      </c>
      <c r="M2935" s="3">
        <f t="shared" si="560"/>
        <v>0</v>
      </c>
      <c r="N2935" s="3" t="str">
        <f t="shared" si="561"/>
        <v>01</v>
      </c>
      <c r="O2935" s="14" t="str">
        <f t="shared" si="562"/>
        <v>00</v>
      </c>
    </row>
    <row r="2936" spans="10:15" hidden="1">
      <c r="J2936" s="1" t="str">
        <f t="shared" si="557"/>
        <v>0</v>
      </c>
      <c r="K2936" s="3">
        <f t="shared" si="558"/>
        <v>-100</v>
      </c>
      <c r="L2936" s="3">
        <f t="shared" si="559"/>
        <v>1</v>
      </c>
      <c r="M2936" s="3">
        <f t="shared" si="560"/>
        <v>0</v>
      </c>
      <c r="N2936" s="3" t="str">
        <f t="shared" si="561"/>
        <v>01</v>
      </c>
      <c r="O2936" s="14" t="str">
        <f t="shared" si="562"/>
        <v>00</v>
      </c>
    </row>
    <row r="2937" spans="10:15" hidden="1">
      <c r="J2937" s="1" t="str">
        <f t="shared" si="557"/>
        <v>0</v>
      </c>
      <c r="K2937" s="3">
        <f t="shared" si="558"/>
        <v>-100</v>
      </c>
      <c r="L2937" s="3">
        <f t="shared" si="559"/>
        <v>1</v>
      </c>
      <c r="M2937" s="3">
        <f t="shared" si="560"/>
        <v>0</v>
      </c>
      <c r="N2937" s="3" t="str">
        <f t="shared" si="561"/>
        <v>01</v>
      </c>
      <c r="O2937" s="14" t="str">
        <f t="shared" si="562"/>
        <v>00</v>
      </c>
    </row>
    <row r="2938" spans="10:15" hidden="1">
      <c r="J2938" s="1" t="str">
        <f t="shared" si="557"/>
        <v>0</v>
      </c>
      <c r="K2938" s="3">
        <f t="shared" si="558"/>
        <v>-100</v>
      </c>
      <c r="L2938" s="3">
        <f t="shared" si="559"/>
        <v>1</v>
      </c>
      <c r="M2938" s="3">
        <f t="shared" si="560"/>
        <v>0</v>
      </c>
      <c r="N2938" s="3" t="str">
        <f t="shared" si="561"/>
        <v>01</v>
      </c>
      <c r="O2938" s="14" t="str">
        <f t="shared" si="562"/>
        <v>00</v>
      </c>
    </row>
    <row r="2939" spans="10:15" hidden="1">
      <c r="J2939" s="1" t="str">
        <f t="shared" si="557"/>
        <v>0</v>
      </c>
      <c r="K2939" s="3">
        <f t="shared" si="558"/>
        <v>-100</v>
      </c>
      <c r="L2939" s="3">
        <f t="shared" si="559"/>
        <v>1</v>
      </c>
      <c r="M2939" s="3">
        <f t="shared" si="560"/>
        <v>0</v>
      </c>
      <c r="N2939" s="3" t="str">
        <f t="shared" si="561"/>
        <v>01</v>
      </c>
      <c r="O2939" s="14" t="str">
        <f t="shared" si="562"/>
        <v>00</v>
      </c>
    </row>
    <row r="2940" spans="10:15" hidden="1">
      <c r="J2940" s="1" t="str">
        <f t="shared" si="557"/>
        <v>0</v>
      </c>
      <c r="K2940" s="3">
        <f t="shared" si="558"/>
        <v>-100</v>
      </c>
      <c r="L2940" s="3">
        <f t="shared" si="559"/>
        <v>1</v>
      </c>
      <c r="M2940" s="3">
        <f t="shared" si="560"/>
        <v>0</v>
      </c>
      <c r="N2940" s="3" t="str">
        <f t="shared" si="561"/>
        <v>01</v>
      </c>
      <c r="O2940" s="14" t="str">
        <f t="shared" si="562"/>
        <v>00</v>
      </c>
    </row>
    <row r="2941" spans="10:15" hidden="1">
      <c r="J2941" s="1" t="str">
        <f t="shared" si="557"/>
        <v>0</v>
      </c>
      <c r="K2941" s="3">
        <f t="shared" si="558"/>
        <v>-100</v>
      </c>
      <c r="L2941" s="3">
        <f t="shared" si="559"/>
        <v>1</v>
      </c>
      <c r="M2941" s="3">
        <f t="shared" si="560"/>
        <v>0</v>
      </c>
      <c r="N2941" s="3" t="str">
        <f t="shared" si="561"/>
        <v>01</v>
      </c>
      <c r="O2941" s="14" t="str">
        <f t="shared" si="562"/>
        <v>00</v>
      </c>
    </row>
    <row r="2942" spans="10:15" hidden="1">
      <c r="J2942" s="1" t="str">
        <f t="shared" si="557"/>
        <v>0</v>
      </c>
      <c r="K2942" s="3">
        <f t="shared" si="558"/>
        <v>-100</v>
      </c>
      <c r="L2942" s="3">
        <f t="shared" si="559"/>
        <v>1</v>
      </c>
      <c r="M2942" s="3">
        <f t="shared" si="560"/>
        <v>0</v>
      </c>
      <c r="N2942" s="3" t="str">
        <f t="shared" si="561"/>
        <v>01</v>
      </c>
      <c r="O2942" s="14" t="str">
        <f t="shared" si="562"/>
        <v>00</v>
      </c>
    </row>
    <row r="2943" spans="10:15" hidden="1">
      <c r="J2943" s="1" t="str">
        <f t="shared" si="557"/>
        <v>0</v>
      </c>
      <c r="K2943" s="3">
        <f t="shared" si="558"/>
        <v>-100</v>
      </c>
      <c r="L2943" s="3">
        <f t="shared" si="559"/>
        <v>1</v>
      </c>
      <c r="M2943" s="3">
        <f t="shared" si="560"/>
        <v>0</v>
      </c>
      <c r="N2943" s="3" t="str">
        <f t="shared" si="561"/>
        <v>01</v>
      </c>
      <c r="O2943" s="14" t="str">
        <f t="shared" si="562"/>
        <v>00</v>
      </c>
    </row>
    <row r="2944" spans="10:15" hidden="1">
      <c r="J2944" s="1" t="str">
        <f t="shared" si="557"/>
        <v>0</v>
      </c>
      <c r="K2944" s="3">
        <f t="shared" si="558"/>
        <v>-100</v>
      </c>
      <c r="L2944" s="3">
        <f t="shared" si="559"/>
        <v>1</v>
      </c>
      <c r="M2944" s="3">
        <f t="shared" si="560"/>
        <v>0</v>
      </c>
      <c r="N2944" s="3" t="str">
        <f t="shared" si="561"/>
        <v>01</v>
      </c>
      <c r="O2944" s="14" t="str">
        <f t="shared" si="562"/>
        <v>00</v>
      </c>
    </row>
    <row r="2945" spans="1:22">
      <c r="A2945" s="3">
        <v>2816</v>
      </c>
      <c r="B2945" s="1">
        <f>IF(G2945="-",0,IF(G2944=G2945,1,0))</f>
        <v>0</v>
      </c>
      <c r="C2945" s="1">
        <f>+IF(G2945="-",0,IF(I2945=I2944+1,0,(IF(I2945=1,0,1))))</f>
        <v>1</v>
      </c>
      <c r="D2945" s="1">
        <f>+IF(AND(P2945="",Q2945=""),1,0)</f>
        <v>0</v>
      </c>
      <c r="E2945" s="1">
        <f>IF(U2945="",1,0)</f>
        <v>0</v>
      </c>
      <c r="F2945" s="1">
        <f>IF(V2945="",1,0)</f>
        <v>0</v>
      </c>
      <c r="G2945" s="1" t="str">
        <f>IF(H2945=0,"-",_xlfn.CONCAT(K2945,N2945,O2945,J2945))</f>
        <v>24122102</v>
      </c>
      <c r="H2945" s="2">
        <v>45647</v>
      </c>
      <c r="I2945" s="36">
        <v>2</v>
      </c>
      <c r="J2945" s="1" t="str">
        <f t="shared" si="557"/>
        <v>02</v>
      </c>
      <c r="K2945" s="3">
        <f t="shared" si="558"/>
        <v>24</v>
      </c>
      <c r="L2945" s="3">
        <f t="shared" si="559"/>
        <v>12</v>
      </c>
      <c r="M2945" s="3">
        <f t="shared" si="560"/>
        <v>21</v>
      </c>
      <c r="N2945" s="3">
        <f t="shared" si="561"/>
        <v>12</v>
      </c>
      <c r="O2945" s="14">
        <f t="shared" si="562"/>
        <v>21</v>
      </c>
      <c r="P2945" s="4">
        <v>424150</v>
      </c>
      <c r="T2945" s="5" t="s">
        <v>1236</v>
      </c>
      <c r="U2945" s="3" t="s">
        <v>2</v>
      </c>
      <c r="V2945" s="3" t="s">
        <v>4</v>
      </c>
    </row>
    <row r="2946" spans="1:22" hidden="1">
      <c r="J2946" s="1" t="str">
        <f t="shared" si="557"/>
        <v>0</v>
      </c>
      <c r="K2946" s="3">
        <f t="shared" si="558"/>
        <v>-100</v>
      </c>
      <c r="L2946" s="3">
        <f t="shared" si="559"/>
        <v>1</v>
      </c>
      <c r="M2946" s="3">
        <f t="shared" si="560"/>
        <v>0</v>
      </c>
      <c r="N2946" s="3" t="str">
        <f t="shared" si="561"/>
        <v>01</v>
      </c>
      <c r="O2946" s="14" t="str">
        <f t="shared" si="562"/>
        <v>00</v>
      </c>
    </row>
    <row r="2947" spans="1:22" hidden="1">
      <c r="J2947" s="1" t="str">
        <f t="shared" si="557"/>
        <v>0</v>
      </c>
      <c r="K2947" s="3">
        <f t="shared" si="558"/>
        <v>-100</v>
      </c>
      <c r="L2947" s="3">
        <f t="shared" si="559"/>
        <v>1</v>
      </c>
      <c r="M2947" s="3">
        <f t="shared" si="560"/>
        <v>0</v>
      </c>
      <c r="N2947" s="3" t="str">
        <f t="shared" si="561"/>
        <v>01</v>
      </c>
      <c r="O2947" s="14" t="str">
        <f t="shared" si="562"/>
        <v>00</v>
      </c>
    </row>
    <row r="2948" spans="1:22">
      <c r="A2948" s="3">
        <v>2870</v>
      </c>
      <c r="B2948" s="1">
        <f>IF(G2948="-",0,IF(G2947=G2948,1,0))</f>
        <v>0</v>
      </c>
      <c r="C2948" s="1">
        <f>+IF(G2948="-",0,IF(I2948=I2947+1,0,(IF(I2948=1,0,1))))</f>
        <v>1</v>
      </c>
      <c r="D2948" s="1">
        <f>+IF(AND(P2948="",Q2948=""),1,0)</f>
        <v>0</v>
      </c>
      <c r="E2948" s="1">
        <f>IF(U2948="",1,0)</f>
        <v>0</v>
      </c>
      <c r="F2948" s="1">
        <f>IF(V2948="",1,0)</f>
        <v>0</v>
      </c>
      <c r="G2948" s="1" t="str">
        <f>IF(H2948=0,"-",_xlfn.CONCAT(K2948,N2948,O2948,J2948))</f>
        <v>24122305</v>
      </c>
      <c r="H2948" s="2">
        <v>45649</v>
      </c>
      <c r="I2948" s="36">
        <v>5</v>
      </c>
      <c r="J2948" s="1" t="str">
        <f t="shared" si="557"/>
        <v>05</v>
      </c>
      <c r="K2948" s="3">
        <f t="shared" si="558"/>
        <v>24</v>
      </c>
      <c r="L2948" s="3">
        <f t="shared" si="559"/>
        <v>12</v>
      </c>
      <c r="M2948" s="3">
        <f t="shared" si="560"/>
        <v>23</v>
      </c>
      <c r="N2948" s="3">
        <f t="shared" si="561"/>
        <v>12</v>
      </c>
      <c r="O2948" s="14">
        <f t="shared" si="562"/>
        <v>23</v>
      </c>
      <c r="P2948" s="4">
        <v>32321.119999999999</v>
      </c>
      <c r="T2948" s="5" t="s">
        <v>1270</v>
      </c>
      <c r="U2948" s="3" t="s">
        <v>2</v>
      </c>
      <c r="V2948" s="3" t="s">
        <v>4</v>
      </c>
    </row>
    <row r="2949" spans="1:22">
      <c r="A2949" s="3">
        <v>2871</v>
      </c>
      <c r="B2949" s="1">
        <f>IF(G2949="-",0,IF(G2948=G2949,1,0))</f>
        <v>0</v>
      </c>
      <c r="C2949" s="1">
        <f>+IF(G2949="-",0,IF(I2949=I2948+1,0,(IF(I2949=1,0,1))))</f>
        <v>0</v>
      </c>
      <c r="D2949" s="1">
        <f>+IF(AND(P2949="",Q2949=""),1,0)</f>
        <v>0</v>
      </c>
      <c r="E2949" s="1">
        <f>IF(U2949="",1,0)</f>
        <v>0</v>
      </c>
      <c r="F2949" s="1">
        <f>IF(V2949="",1,0)</f>
        <v>0</v>
      </c>
      <c r="G2949" s="1" t="str">
        <f>IF(H2949=0,"-",_xlfn.CONCAT(K2949,N2949,O2949,J2949))</f>
        <v>24122401</v>
      </c>
      <c r="H2949" s="2">
        <v>45650</v>
      </c>
      <c r="I2949" s="36">
        <v>1</v>
      </c>
      <c r="J2949" s="1" t="str">
        <f t="shared" si="557"/>
        <v>01</v>
      </c>
      <c r="K2949" s="3">
        <f t="shared" si="558"/>
        <v>24</v>
      </c>
      <c r="L2949" s="3">
        <f t="shared" si="559"/>
        <v>12</v>
      </c>
      <c r="M2949" s="3">
        <f t="shared" si="560"/>
        <v>24</v>
      </c>
      <c r="N2949" s="3">
        <f t="shared" si="561"/>
        <v>12</v>
      </c>
      <c r="O2949" s="14">
        <f t="shared" si="562"/>
        <v>24</v>
      </c>
      <c r="P2949" s="4">
        <v>200400</v>
      </c>
      <c r="T2949" s="5" t="s">
        <v>1271</v>
      </c>
      <c r="U2949" s="3" t="s">
        <v>2</v>
      </c>
      <c r="V2949" s="3" t="s">
        <v>4</v>
      </c>
    </row>
    <row r="2950" spans="1:22" hidden="1">
      <c r="J2950" s="1" t="str">
        <f t="shared" si="557"/>
        <v>0</v>
      </c>
      <c r="K2950" s="3">
        <f t="shared" si="558"/>
        <v>-100</v>
      </c>
      <c r="L2950" s="3">
        <f t="shared" si="559"/>
        <v>1</v>
      </c>
      <c r="M2950" s="3">
        <f t="shared" si="560"/>
        <v>0</v>
      </c>
      <c r="N2950" s="3" t="str">
        <f t="shared" si="561"/>
        <v>01</v>
      </c>
      <c r="O2950" s="14" t="str">
        <f t="shared" si="562"/>
        <v>00</v>
      </c>
    </row>
    <row r="2951" spans="1:22" hidden="1">
      <c r="J2951" s="1" t="str">
        <f t="shared" si="557"/>
        <v>0</v>
      </c>
      <c r="K2951" s="3">
        <f t="shared" si="558"/>
        <v>-100</v>
      </c>
      <c r="L2951" s="3">
        <f t="shared" si="559"/>
        <v>1</v>
      </c>
      <c r="M2951" s="3">
        <f t="shared" si="560"/>
        <v>0</v>
      </c>
      <c r="N2951" s="3" t="str">
        <f t="shared" si="561"/>
        <v>01</v>
      </c>
      <c r="O2951" s="14" t="str">
        <f t="shared" si="562"/>
        <v>00</v>
      </c>
    </row>
    <row r="2952" spans="1:22" hidden="1">
      <c r="J2952" s="1" t="str">
        <f t="shared" si="557"/>
        <v>0</v>
      </c>
      <c r="K2952" s="3">
        <f t="shared" si="558"/>
        <v>-100</v>
      </c>
      <c r="L2952" s="3">
        <f t="shared" si="559"/>
        <v>1</v>
      </c>
      <c r="M2952" s="3">
        <f t="shared" si="560"/>
        <v>0</v>
      </c>
      <c r="N2952" s="3" t="str">
        <f t="shared" si="561"/>
        <v>01</v>
      </c>
      <c r="O2952" s="14" t="str">
        <f t="shared" si="562"/>
        <v>00</v>
      </c>
    </row>
    <row r="2953" spans="1:22" hidden="1">
      <c r="J2953" s="1" t="str">
        <f t="shared" si="557"/>
        <v>0</v>
      </c>
      <c r="K2953" s="3">
        <f t="shared" si="558"/>
        <v>-100</v>
      </c>
      <c r="L2953" s="3">
        <f t="shared" si="559"/>
        <v>1</v>
      </c>
      <c r="M2953" s="3">
        <f t="shared" si="560"/>
        <v>0</v>
      </c>
      <c r="N2953" s="3" t="str">
        <f t="shared" si="561"/>
        <v>01</v>
      </c>
      <c r="O2953" s="14" t="str">
        <f t="shared" si="562"/>
        <v>00</v>
      </c>
    </row>
    <row r="2954" spans="1:22" hidden="1">
      <c r="J2954" s="1" t="str">
        <f t="shared" si="557"/>
        <v>0</v>
      </c>
      <c r="K2954" s="3">
        <f t="shared" si="558"/>
        <v>-100</v>
      </c>
      <c r="L2954" s="3">
        <f t="shared" si="559"/>
        <v>1</v>
      </c>
      <c r="M2954" s="3">
        <f t="shared" si="560"/>
        <v>0</v>
      </c>
      <c r="N2954" s="3" t="str">
        <f t="shared" si="561"/>
        <v>01</v>
      </c>
      <c r="O2954" s="14" t="str">
        <f t="shared" si="562"/>
        <v>00</v>
      </c>
    </row>
    <row r="2955" spans="1:22" hidden="1">
      <c r="J2955" s="1" t="str">
        <f t="shared" si="557"/>
        <v>0</v>
      </c>
      <c r="K2955" s="3">
        <f t="shared" si="558"/>
        <v>-100</v>
      </c>
      <c r="L2955" s="3">
        <f t="shared" si="559"/>
        <v>1</v>
      </c>
      <c r="M2955" s="3">
        <f t="shared" si="560"/>
        <v>0</v>
      </c>
      <c r="N2955" s="3" t="str">
        <f t="shared" si="561"/>
        <v>01</v>
      </c>
      <c r="O2955" s="14" t="str">
        <f t="shared" si="562"/>
        <v>00</v>
      </c>
    </row>
    <row r="2956" spans="1:22" hidden="1">
      <c r="J2956" s="1" t="str">
        <f t="shared" si="557"/>
        <v>0</v>
      </c>
      <c r="K2956" s="3">
        <f t="shared" si="558"/>
        <v>-100</v>
      </c>
      <c r="L2956" s="3">
        <f t="shared" si="559"/>
        <v>1</v>
      </c>
      <c r="M2956" s="3">
        <f t="shared" si="560"/>
        <v>0</v>
      </c>
      <c r="N2956" s="3" t="str">
        <f t="shared" si="561"/>
        <v>01</v>
      </c>
      <c r="O2956" s="14" t="str">
        <f t="shared" si="562"/>
        <v>00</v>
      </c>
    </row>
    <row r="2957" spans="1:22" hidden="1">
      <c r="J2957" s="1" t="str">
        <f t="shared" si="557"/>
        <v>0</v>
      </c>
      <c r="K2957" s="3">
        <f t="shared" si="558"/>
        <v>-100</v>
      </c>
      <c r="L2957" s="3">
        <f t="shared" si="559"/>
        <v>1</v>
      </c>
      <c r="M2957" s="3">
        <f t="shared" si="560"/>
        <v>0</v>
      </c>
      <c r="N2957" s="3" t="str">
        <f t="shared" si="561"/>
        <v>01</v>
      </c>
      <c r="O2957" s="14" t="str">
        <f t="shared" si="562"/>
        <v>00</v>
      </c>
    </row>
    <row r="2958" spans="1:22" hidden="1">
      <c r="J2958" s="1" t="str">
        <f t="shared" si="557"/>
        <v>0</v>
      </c>
      <c r="K2958" s="3">
        <f t="shared" si="558"/>
        <v>-100</v>
      </c>
      <c r="L2958" s="3">
        <f t="shared" si="559"/>
        <v>1</v>
      </c>
      <c r="M2958" s="3">
        <f t="shared" si="560"/>
        <v>0</v>
      </c>
      <c r="N2958" s="3" t="str">
        <f t="shared" si="561"/>
        <v>01</v>
      </c>
      <c r="O2958" s="14" t="str">
        <f t="shared" si="562"/>
        <v>00</v>
      </c>
    </row>
    <row r="2959" spans="1:22" hidden="1">
      <c r="J2959" s="1" t="str">
        <f t="shared" si="557"/>
        <v>0</v>
      </c>
      <c r="K2959" s="3">
        <f t="shared" si="558"/>
        <v>-100</v>
      </c>
      <c r="L2959" s="3">
        <f t="shared" si="559"/>
        <v>1</v>
      </c>
      <c r="M2959" s="3">
        <f t="shared" si="560"/>
        <v>0</v>
      </c>
      <c r="N2959" s="3" t="str">
        <f t="shared" si="561"/>
        <v>01</v>
      </c>
      <c r="O2959" s="14" t="str">
        <f t="shared" si="562"/>
        <v>00</v>
      </c>
    </row>
    <row r="2960" spans="1:22">
      <c r="A2960" s="3">
        <v>2872</v>
      </c>
      <c r="B2960" s="1">
        <f>IF(G2960="-",0,IF(G2959=G2960,1,0))</f>
        <v>0</v>
      </c>
      <c r="C2960" s="1">
        <f>+IF(G2960="-",0,IF(I2960=I2959+1,0,(IF(I2960=1,0,1))))</f>
        <v>1</v>
      </c>
      <c r="D2960" s="1">
        <f>+IF(AND(P2960="",Q2960=""),1,0)</f>
        <v>0</v>
      </c>
      <c r="E2960" s="1">
        <f>IF(U2960="",1,0)</f>
        <v>0</v>
      </c>
      <c r="F2960" s="1">
        <f>IF(V2960="",1,0)</f>
        <v>0</v>
      </c>
      <c r="G2960" s="1" t="str">
        <f>IF(H2960=0,"-",_xlfn.CONCAT(K2960,N2960,O2960,J2960))</f>
        <v>24122402</v>
      </c>
      <c r="H2960" s="2">
        <v>45650</v>
      </c>
      <c r="I2960" s="36">
        <v>2</v>
      </c>
      <c r="J2960" s="1" t="str">
        <f t="shared" si="557"/>
        <v>02</v>
      </c>
      <c r="K2960" s="3">
        <f t="shared" si="558"/>
        <v>24</v>
      </c>
      <c r="L2960" s="3">
        <f t="shared" si="559"/>
        <v>12</v>
      </c>
      <c r="M2960" s="3">
        <f t="shared" si="560"/>
        <v>24</v>
      </c>
      <c r="N2960" s="3">
        <f t="shared" si="561"/>
        <v>12</v>
      </c>
      <c r="O2960" s="14">
        <f t="shared" si="562"/>
        <v>24</v>
      </c>
      <c r="P2960" s="4">
        <v>306862.5</v>
      </c>
      <c r="T2960" s="5" t="s">
        <v>1272</v>
      </c>
      <c r="U2960" s="3" t="s">
        <v>2</v>
      </c>
      <c r="V2960" s="3" t="s">
        <v>4</v>
      </c>
    </row>
    <row r="2961" spans="1:22">
      <c r="A2961" s="3">
        <v>2970</v>
      </c>
      <c r="B2961" s="1">
        <f>IF(G2961="-",0,IF(G2960=G2961,1,0))</f>
        <v>0</v>
      </c>
      <c r="C2961" s="1">
        <f>+IF(G2961="-",0,IF(I2961=I2960+1,0,(IF(I2961=1,0,1))))</f>
        <v>1</v>
      </c>
      <c r="D2961" s="1">
        <f>+IF(AND(P2961="",Q2961=""),1,0)</f>
        <v>0</v>
      </c>
      <c r="E2961" s="1">
        <f>IF(U2961="",1,0)</f>
        <v>0</v>
      </c>
      <c r="F2961" s="1">
        <f>IF(V2961="",1,0)</f>
        <v>0</v>
      </c>
      <c r="G2961" s="1" t="str">
        <f>IF(H2961=0,"-",_xlfn.CONCAT(K2961,N2961,O2961,J2961))</f>
        <v>24122607</v>
      </c>
      <c r="H2961" s="2">
        <v>45652</v>
      </c>
      <c r="I2961" s="36">
        <v>7</v>
      </c>
      <c r="J2961" s="1" t="str">
        <f t="shared" si="557"/>
        <v>07</v>
      </c>
      <c r="K2961" s="3">
        <f t="shared" si="558"/>
        <v>24</v>
      </c>
      <c r="L2961" s="3">
        <f t="shared" si="559"/>
        <v>12</v>
      </c>
      <c r="M2961" s="3">
        <f t="shared" si="560"/>
        <v>26</v>
      </c>
      <c r="N2961" s="3">
        <f t="shared" si="561"/>
        <v>12</v>
      </c>
      <c r="O2961" s="14">
        <f t="shared" si="562"/>
        <v>26</v>
      </c>
      <c r="P2961" s="4">
        <v>6500</v>
      </c>
      <c r="T2961" s="5" t="s">
        <v>1301</v>
      </c>
      <c r="U2961" s="3" t="s">
        <v>29</v>
      </c>
      <c r="V2961" s="3" t="s">
        <v>4</v>
      </c>
    </row>
    <row r="2962" spans="1:22" hidden="1">
      <c r="J2962" s="1" t="str">
        <f t="shared" si="557"/>
        <v>0</v>
      </c>
      <c r="K2962" s="3">
        <f t="shared" si="558"/>
        <v>-100</v>
      </c>
      <c r="L2962" s="3">
        <f t="shared" si="559"/>
        <v>1</v>
      </c>
      <c r="M2962" s="3">
        <f t="shared" si="560"/>
        <v>0</v>
      </c>
      <c r="N2962" s="3" t="str">
        <f t="shared" si="561"/>
        <v>01</v>
      </c>
      <c r="O2962" s="14" t="str">
        <f t="shared" si="562"/>
        <v>00</v>
      </c>
    </row>
    <row r="2963" spans="1:22">
      <c r="A2963" s="3">
        <v>2971</v>
      </c>
      <c r="B2963" s="1">
        <f>IF(G2963="-",0,IF(G2962=G2963,1,0))</f>
        <v>0</v>
      </c>
      <c r="C2963" s="1">
        <f>+IF(G2963="-",0,IF(I2963=I2962+1,0,(IF(I2963=1,0,1))))</f>
        <v>1</v>
      </c>
      <c r="D2963" s="1">
        <f>+IF(AND(P2963="",Q2963=""),1,0)</f>
        <v>0</v>
      </c>
      <c r="E2963" s="1">
        <f>IF(U2963="",1,0)</f>
        <v>0</v>
      </c>
      <c r="F2963" s="1">
        <f>IF(V2963="",1,0)</f>
        <v>0</v>
      </c>
      <c r="G2963" s="1" t="str">
        <f>IF(H2963=0,"-",_xlfn.CONCAT(K2963,N2963,O2963,J2963))</f>
        <v>24122608</v>
      </c>
      <c r="H2963" s="2">
        <v>45652</v>
      </c>
      <c r="I2963" s="36">
        <v>8</v>
      </c>
      <c r="J2963" s="1" t="str">
        <f t="shared" si="557"/>
        <v>08</v>
      </c>
      <c r="K2963" s="3">
        <f t="shared" si="558"/>
        <v>24</v>
      </c>
      <c r="L2963" s="3">
        <f t="shared" si="559"/>
        <v>12</v>
      </c>
      <c r="M2963" s="3">
        <f t="shared" si="560"/>
        <v>26</v>
      </c>
      <c r="N2963" s="3">
        <f t="shared" si="561"/>
        <v>12</v>
      </c>
      <c r="O2963" s="14">
        <f t="shared" si="562"/>
        <v>26</v>
      </c>
      <c r="P2963" s="4">
        <v>21505.74</v>
      </c>
      <c r="T2963" s="5" t="s">
        <v>1301</v>
      </c>
      <c r="U2963" s="3" t="s">
        <v>29</v>
      </c>
      <c r="V2963" s="3" t="s">
        <v>4</v>
      </c>
    </row>
    <row r="2964" spans="1:22">
      <c r="A2964" s="3">
        <v>2934</v>
      </c>
      <c r="B2964" s="1">
        <f>IF(G2964="-",0,IF(G2963=G2964,1,0))</f>
        <v>0</v>
      </c>
      <c r="C2964" s="1">
        <f>+IF(G2964="-",0,IF(I2964=I2963+1,0,(IF(I2964=1,0,1))))</f>
        <v>1</v>
      </c>
      <c r="D2964" s="1">
        <f>+IF(AND(P2964="",Q2964=""),1,0)</f>
        <v>0</v>
      </c>
      <c r="E2964" s="1">
        <f>IF(U2964="",1,0)</f>
        <v>0</v>
      </c>
      <c r="F2964" s="1">
        <f>IF(V2964="",1,0)</f>
        <v>0</v>
      </c>
      <c r="G2964" s="1" t="str">
        <f>IF(H2964=0,"-",_xlfn.CONCAT(K2964,N2964,O2964,J2964))</f>
        <v>24122702</v>
      </c>
      <c r="H2964" s="2">
        <v>45653</v>
      </c>
      <c r="I2964" s="36">
        <v>2</v>
      </c>
      <c r="J2964" s="1" t="str">
        <f t="shared" si="557"/>
        <v>02</v>
      </c>
      <c r="K2964" s="3">
        <f t="shared" si="558"/>
        <v>24</v>
      </c>
      <c r="L2964" s="3">
        <f t="shared" si="559"/>
        <v>12</v>
      </c>
      <c r="M2964" s="3">
        <f t="shared" si="560"/>
        <v>27</v>
      </c>
      <c r="N2964" s="3">
        <f t="shared" si="561"/>
        <v>12</v>
      </c>
      <c r="O2964" s="14">
        <f t="shared" si="562"/>
        <v>27</v>
      </c>
      <c r="P2964" s="4">
        <v>23886.49</v>
      </c>
      <c r="T2964" s="5" t="s">
        <v>1284</v>
      </c>
      <c r="U2964" s="3" t="s">
        <v>29</v>
      </c>
      <c r="V2964" s="3" t="s">
        <v>4</v>
      </c>
    </row>
    <row r="2965" spans="1:22" hidden="1">
      <c r="J2965" s="1" t="str">
        <f t="shared" si="557"/>
        <v>0</v>
      </c>
      <c r="K2965" s="3">
        <f t="shared" si="558"/>
        <v>-100</v>
      </c>
      <c r="L2965" s="3">
        <f t="shared" si="559"/>
        <v>1</v>
      </c>
      <c r="M2965" s="3">
        <f t="shared" si="560"/>
        <v>0</v>
      </c>
      <c r="N2965" s="3" t="str">
        <f t="shared" si="561"/>
        <v>01</v>
      </c>
      <c r="O2965" s="14" t="str">
        <f t="shared" si="562"/>
        <v>00</v>
      </c>
    </row>
    <row r="2966" spans="1:22" hidden="1">
      <c r="J2966" s="1" t="str">
        <f t="shared" si="557"/>
        <v>0</v>
      </c>
      <c r="K2966" s="3">
        <f t="shared" si="558"/>
        <v>-100</v>
      </c>
      <c r="L2966" s="3">
        <f t="shared" si="559"/>
        <v>1</v>
      </c>
      <c r="M2966" s="3">
        <f t="shared" si="560"/>
        <v>0</v>
      </c>
      <c r="N2966" s="3" t="str">
        <f t="shared" si="561"/>
        <v>01</v>
      </c>
      <c r="O2966" s="14" t="str">
        <f t="shared" si="562"/>
        <v>00</v>
      </c>
    </row>
    <row r="2967" spans="1:22" hidden="1">
      <c r="J2967" s="1" t="str">
        <f t="shared" si="557"/>
        <v>0</v>
      </c>
      <c r="K2967" s="3">
        <f t="shared" si="558"/>
        <v>-100</v>
      </c>
      <c r="L2967" s="3">
        <f t="shared" si="559"/>
        <v>1</v>
      </c>
      <c r="M2967" s="3">
        <f t="shared" si="560"/>
        <v>0</v>
      </c>
      <c r="N2967" s="3" t="str">
        <f t="shared" si="561"/>
        <v>01</v>
      </c>
      <c r="O2967" s="14" t="str">
        <f t="shared" si="562"/>
        <v>00</v>
      </c>
    </row>
    <row r="2968" spans="1:22" hidden="1">
      <c r="J2968" s="1" t="str">
        <f t="shared" si="557"/>
        <v>0</v>
      </c>
      <c r="K2968" s="3">
        <f t="shared" si="558"/>
        <v>-100</v>
      </c>
      <c r="L2968" s="3">
        <f t="shared" si="559"/>
        <v>1</v>
      </c>
      <c r="M2968" s="3">
        <f t="shared" si="560"/>
        <v>0</v>
      </c>
      <c r="N2968" s="3" t="str">
        <f t="shared" si="561"/>
        <v>01</v>
      </c>
      <c r="O2968" s="14" t="str">
        <f t="shared" si="562"/>
        <v>00</v>
      </c>
    </row>
    <row r="2969" spans="1:22">
      <c r="A2969" s="3">
        <v>2935</v>
      </c>
      <c r="B2969" s="1">
        <f>IF(G2969="-",0,IF(G2968=G2969,1,0))</f>
        <v>0</v>
      </c>
      <c r="C2969" s="1">
        <f>+IF(G2969="-",0,IF(I2969=I2968+1,0,(IF(I2969=1,0,1))))</f>
        <v>1</v>
      </c>
      <c r="D2969" s="1">
        <f>+IF(AND(P2969="",Q2969=""),1,0)</f>
        <v>0</v>
      </c>
      <c r="E2969" s="1">
        <f>IF(U2969="",1,0)</f>
        <v>0</v>
      </c>
      <c r="F2969" s="1">
        <f>IF(V2969="",1,0)</f>
        <v>0</v>
      </c>
      <c r="G2969" s="1" t="str">
        <f>IF(H2969=0,"-",_xlfn.CONCAT(K2969,N2969,O2969,J2969))</f>
        <v>24122703</v>
      </c>
      <c r="H2969" s="2">
        <v>45653</v>
      </c>
      <c r="I2969" s="36">
        <v>3</v>
      </c>
      <c r="J2969" s="1" t="str">
        <f t="shared" si="557"/>
        <v>03</v>
      </c>
      <c r="K2969" s="3">
        <f t="shared" si="558"/>
        <v>24</v>
      </c>
      <c r="L2969" s="3">
        <f t="shared" si="559"/>
        <v>12</v>
      </c>
      <c r="M2969" s="3">
        <f t="shared" si="560"/>
        <v>27</v>
      </c>
      <c r="N2969" s="3">
        <f t="shared" si="561"/>
        <v>12</v>
      </c>
      <c r="O2969" s="14">
        <f t="shared" si="562"/>
        <v>27</v>
      </c>
      <c r="P2969" s="4">
        <v>80691.820000000007</v>
      </c>
      <c r="T2969" s="5" t="s">
        <v>352</v>
      </c>
      <c r="U2969" s="3" t="s">
        <v>30</v>
      </c>
      <c r="V2969" s="3" t="s">
        <v>4</v>
      </c>
    </row>
    <row r="2970" spans="1:22" hidden="1">
      <c r="J2970" s="1" t="str">
        <f t="shared" si="557"/>
        <v>0</v>
      </c>
      <c r="K2970" s="3">
        <f t="shared" si="558"/>
        <v>-100</v>
      </c>
      <c r="L2970" s="3">
        <f t="shared" si="559"/>
        <v>1</v>
      </c>
      <c r="M2970" s="3">
        <f t="shared" si="560"/>
        <v>0</v>
      </c>
      <c r="N2970" s="3" t="str">
        <f t="shared" si="561"/>
        <v>01</v>
      </c>
      <c r="O2970" s="14" t="str">
        <f t="shared" si="562"/>
        <v>00</v>
      </c>
    </row>
    <row r="2971" spans="1:22" hidden="1">
      <c r="J2971" s="1" t="str">
        <f t="shared" si="557"/>
        <v>0</v>
      </c>
      <c r="K2971" s="3">
        <f t="shared" si="558"/>
        <v>-100</v>
      </c>
      <c r="L2971" s="3">
        <f t="shared" si="559"/>
        <v>1</v>
      </c>
      <c r="M2971" s="3">
        <f t="shared" si="560"/>
        <v>0</v>
      </c>
      <c r="N2971" s="3" t="str">
        <f t="shared" si="561"/>
        <v>01</v>
      </c>
      <c r="O2971" s="14" t="str">
        <f t="shared" si="562"/>
        <v>00</v>
      </c>
    </row>
    <row r="2972" spans="1:22" hidden="1">
      <c r="J2972" s="1" t="str">
        <f t="shared" si="557"/>
        <v>0</v>
      </c>
      <c r="K2972" s="3">
        <f t="shared" si="558"/>
        <v>-100</v>
      </c>
      <c r="L2972" s="3">
        <f t="shared" si="559"/>
        <v>1</v>
      </c>
      <c r="M2972" s="3">
        <f t="shared" si="560"/>
        <v>0</v>
      </c>
      <c r="N2972" s="3" t="str">
        <f t="shared" si="561"/>
        <v>01</v>
      </c>
      <c r="O2972" s="14" t="str">
        <f t="shared" si="562"/>
        <v>00</v>
      </c>
    </row>
    <row r="2973" spans="1:22" hidden="1">
      <c r="J2973" s="1" t="str">
        <f t="shared" si="557"/>
        <v>0</v>
      </c>
      <c r="K2973" s="3">
        <f t="shared" si="558"/>
        <v>-100</v>
      </c>
      <c r="L2973" s="3">
        <f t="shared" si="559"/>
        <v>1</v>
      </c>
      <c r="M2973" s="3">
        <f t="shared" si="560"/>
        <v>0</v>
      </c>
      <c r="N2973" s="3" t="str">
        <f t="shared" si="561"/>
        <v>01</v>
      </c>
      <c r="O2973" s="14" t="str">
        <f t="shared" si="562"/>
        <v>00</v>
      </c>
    </row>
    <row r="2974" spans="1:22" hidden="1">
      <c r="J2974" s="1" t="str">
        <f t="shared" si="557"/>
        <v>0</v>
      </c>
      <c r="K2974" s="3">
        <f t="shared" si="558"/>
        <v>-100</v>
      </c>
      <c r="L2974" s="3">
        <f t="shared" si="559"/>
        <v>1</v>
      </c>
      <c r="M2974" s="3">
        <f t="shared" si="560"/>
        <v>0</v>
      </c>
      <c r="N2974" s="3" t="str">
        <f t="shared" si="561"/>
        <v>01</v>
      </c>
      <c r="O2974" s="14" t="str">
        <f t="shared" si="562"/>
        <v>00</v>
      </c>
    </row>
    <row r="2975" spans="1:22" hidden="1">
      <c r="J2975" s="1" t="str">
        <f t="shared" si="557"/>
        <v>0</v>
      </c>
      <c r="K2975" s="3">
        <f t="shared" si="558"/>
        <v>-100</v>
      </c>
      <c r="L2975" s="3">
        <f t="shared" si="559"/>
        <v>1</v>
      </c>
      <c r="M2975" s="3">
        <f t="shared" si="560"/>
        <v>0</v>
      </c>
      <c r="N2975" s="3" t="str">
        <f t="shared" si="561"/>
        <v>01</v>
      </c>
      <c r="O2975" s="14" t="str">
        <f t="shared" si="562"/>
        <v>00</v>
      </c>
    </row>
    <row r="2976" spans="1:22" hidden="1">
      <c r="J2976" s="1" t="str">
        <f t="shared" si="557"/>
        <v>0</v>
      </c>
      <c r="K2976" s="3">
        <f t="shared" si="558"/>
        <v>-100</v>
      </c>
      <c r="L2976" s="3">
        <f t="shared" si="559"/>
        <v>1</v>
      </c>
      <c r="M2976" s="3">
        <f t="shared" si="560"/>
        <v>0</v>
      </c>
      <c r="N2976" s="3" t="str">
        <f t="shared" si="561"/>
        <v>01</v>
      </c>
      <c r="O2976" s="14" t="str">
        <f t="shared" si="562"/>
        <v>00</v>
      </c>
    </row>
    <row r="2977" spans="1:22" hidden="1">
      <c r="J2977" s="1" t="str">
        <f t="shared" si="557"/>
        <v>0</v>
      </c>
      <c r="K2977" s="3">
        <f t="shared" si="558"/>
        <v>-100</v>
      </c>
      <c r="L2977" s="3">
        <f t="shared" si="559"/>
        <v>1</v>
      </c>
      <c r="M2977" s="3">
        <f t="shared" si="560"/>
        <v>0</v>
      </c>
      <c r="N2977" s="3" t="str">
        <f t="shared" si="561"/>
        <v>01</v>
      </c>
      <c r="O2977" s="14" t="str">
        <f t="shared" si="562"/>
        <v>00</v>
      </c>
    </row>
    <row r="2978" spans="1:22" hidden="1">
      <c r="J2978" s="1" t="str">
        <f t="shared" ref="J2978:J2992" si="563">+IF(I2978&lt;10,_xlfn.CONCAT("0",I2978),I2978)</f>
        <v>0</v>
      </c>
      <c r="K2978" s="3">
        <f t="shared" ref="K2978:K2992" si="564">+YEAR(H2978)-2000</f>
        <v>-100</v>
      </c>
      <c r="L2978" s="3">
        <f t="shared" ref="L2978:L2992" si="565">+MONTH(H2978)</f>
        <v>1</v>
      </c>
      <c r="M2978" s="3">
        <f t="shared" ref="M2978:M2992" si="566">+DAY(H2978)</f>
        <v>0</v>
      </c>
      <c r="N2978" s="3" t="str">
        <f t="shared" ref="N2978:N2992" si="567">+IF(L2978&lt;10,_xlfn.CONCAT("0",L2978),L2978)</f>
        <v>01</v>
      </c>
      <c r="O2978" s="14" t="str">
        <f t="shared" ref="O2978:O2992" si="568">+IF(M2978&lt;10,_xlfn.CONCAT("0",M2978),M2978)</f>
        <v>00</v>
      </c>
    </row>
    <row r="2979" spans="1:22" hidden="1">
      <c r="J2979" s="1" t="str">
        <f t="shared" si="563"/>
        <v>0</v>
      </c>
      <c r="K2979" s="3">
        <f t="shared" si="564"/>
        <v>-100</v>
      </c>
      <c r="L2979" s="3">
        <f t="shared" si="565"/>
        <v>1</v>
      </c>
      <c r="M2979" s="3">
        <f t="shared" si="566"/>
        <v>0</v>
      </c>
      <c r="N2979" s="3" t="str">
        <f t="shared" si="567"/>
        <v>01</v>
      </c>
      <c r="O2979" s="14" t="str">
        <f t="shared" si="568"/>
        <v>00</v>
      </c>
    </row>
    <row r="2980" spans="1:22" hidden="1">
      <c r="J2980" s="1" t="str">
        <f t="shared" si="563"/>
        <v>0</v>
      </c>
      <c r="K2980" s="3">
        <f t="shared" si="564"/>
        <v>-100</v>
      </c>
      <c r="L2980" s="3">
        <f t="shared" si="565"/>
        <v>1</v>
      </c>
      <c r="M2980" s="3">
        <f t="shared" si="566"/>
        <v>0</v>
      </c>
      <c r="N2980" s="3" t="str">
        <f t="shared" si="567"/>
        <v>01</v>
      </c>
      <c r="O2980" s="14" t="str">
        <f t="shared" si="568"/>
        <v>00</v>
      </c>
    </row>
    <row r="2981" spans="1:22" hidden="1">
      <c r="J2981" s="1" t="str">
        <f t="shared" si="563"/>
        <v>0</v>
      </c>
      <c r="K2981" s="3">
        <f t="shared" si="564"/>
        <v>-100</v>
      </c>
      <c r="L2981" s="3">
        <f t="shared" si="565"/>
        <v>1</v>
      </c>
      <c r="M2981" s="3">
        <f t="shared" si="566"/>
        <v>0</v>
      </c>
      <c r="N2981" s="3" t="str">
        <f t="shared" si="567"/>
        <v>01</v>
      </c>
      <c r="O2981" s="14" t="str">
        <f t="shared" si="568"/>
        <v>00</v>
      </c>
    </row>
    <row r="2982" spans="1:22" hidden="1">
      <c r="J2982" s="1" t="str">
        <f t="shared" si="563"/>
        <v>0</v>
      </c>
      <c r="K2982" s="3">
        <f t="shared" si="564"/>
        <v>-100</v>
      </c>
      <c r="L2982" s="3">
        <f t="shared" si="565"/>
        <v>1</v>
      </c>
      <c r="M2982" s="3">
        <f t="shared" si="566"/>
        <v>0</v>
      </c>
      <c r="N2982" s="3" t="str">
        <f t="shared" si="567"/>
        <v>01</v>
      </c>
      <c r="O2982" s="14" t="str">
        <f t="shared" si="568"/>
        <v>00</v>
      </c>
    </row>
    <row r="2983" spans="1:22" hidden="1">
      <c r="J2983" s="1" t="str">
        <f t="shared" si="563"/>
        <v>0</v>
      </c>
      <c r="K2983" s="3">
        <f t="shared" si="564"/>
        <v>-100</v>
      </c>
      <c r="L2983" s="3">
        <f t="shared" si="565"/>
        <v>1</v>
      </c>
      <c r="M2983" s="3">
        <f t="shared" si="566"/>
        <v>0</v>
      </c>
      <c r="N2983" s="3" t="str">
        <f t="shared" si="567"/>
        <v>01</v>
      </c>
      <c r="O2983" s="14" t="str">
        <f t="shared" si="568"/>
        <v>00</v>
      </c>
    </row>
    <row r="2984" spans="1:22" hidden="1">
      <c r="J2984" s="1" t="str">
        <f t="shared" si="563"/>
        <v>0</v>
      </c>
      <c r="K2984" s="3">
        <f t="shared" si="564"/>
        <v>-100</v>
      </c>
      <c r="L2984" s="3">
        <f t="shared" si="565"/>
        <v>1</v>
      </c>
      <c r="M2984" s="3">
        <f t="shared" si="566"/>
        <v>0</v>
      </c>
      <c r="N2984" s="3" t="str">
        <f t="shared" si="567"/>
        <v>01</v>
      </c>
      <c r="O2984" s="14" t="str">
        <f t="shared" si="568"/>
        <v>00</v>
      </c>
    </row>
    <row r="2985" spans="1:22" hidden="1">
      <c r="J2985" s="1" t="str">
        <f t="shared" si="563"/>
        <v>0</v>
      </c>
      <c r="K2985" s="3">
        <f t="shared" si="564"/>
        <v>-100</v>
      </c>
      <c r="L2985" s="3">
        <f t="shared" si="565"/>
        <v>1</v>
      </c>
      <c r="M2985" s="3">
        <f t="shared" si="566"/>
        <v>0</v>
      </c>
      <c r="N2985" s="3" t="str">
        <f t="shared" si="567"/>
        <v>01</v>
      </c>
      <c r="O2985" s="14" t="str">
        <f t="shared" si="568"/>
        <v>00</v>
      </c>
    </row>
    <row r="2986" spans="1:22" hidden="1">
      <c r="J2986" s="1" t="str">
        <f t="shared" si="563"/>
        <v>0</v>
      </c>
      <c r="K2986" s="3">
        <f t="shared" si="564"/>
        <v>-100</v>
      </c>
      <c r="L2986" s="3">
        <f t="shared" si="565"/>
        <v>1</v>
      </c>
      <c r="M2986" s="3">
        <f t="shared" si="566"/>
        <v>0</v>
      </c>
      <c r="N2986" s="3" t="str">
        <f t="shared" si="567"/>
        <v>01</v>
      </c>
      <c r="O2986" s="14" t="str">
        <f t="shared" si="568"/>
        <v>00</v>
      </c>
    </row>
    <row r="2987" spans="1:22" hidden="1">
      <c r="J2987" s="1" t="str">
        <f t="shared" si="563"/>
        <v>0</v>
      </c>
      <c r="K2987" s="3">
        <f t="shared" si="564"/>
        <v>-100</v>
      </c>
      <c r="L2987" s="3">
        <f t="shared" si="565"/>
        <v>1</v>
      </c>
      <c r="M2987" s="3">
        <f t="shared" si="566"/>
        <v>0</v>
      </c>
      <c r="N2987" s="3" t="str">
        <f t="shared" si="567"/>
        <v>01</v>
      </c>
      <c r="O2987" s="14" t="str">
        <f t="shared" si="568"/>
        <v>00</v>
      </c>
    </row>
    <row r="2988" spans="1:22" hidden="1">
      <c r="J2988" s="1" t="str">
        <f t="shared" si="563"/>
        <v>0</v>
      </c>
      <c r="K2988" s="3">
        <f t="shared" si="564"/>
        <v>-100</v>
      </c>
      <c r="L2988" s="3">
        <f t="shared" si="565"/>
        <v>1</v>
      </c>
      <c r="M2988" s="3">
        <f t="shared" si="566"/>
        <v>0</v>
      </c>
      <c r="N2988" s="3" t="str">
        <f t="shared" si="567"/>
        <v>01</v>
      </c>
      <c r="O2988" s="14" t="str">
        <f t="shared" si="568"/>
        <v>00</v>
      </c>
    </row>
    <row r="2989" spans="1:22">
      <c r="A2989" s="3">
        <v>2941</v>
      </c>
      <c r="B2989" s="1">
        <f>IF(G2989="-",0,IF(G2988=G2989,1,0))</f>
        <v>0</v>
      </c>
      <c r="C2989" s="1">
        <f>+IF(G2989="-",0,IF(I2989=I2988+1,0,(IF(I2989=1,0,1))))</f>
        <v>1</v>
      </c>
      <c r="D2989" s="1">
        <f>+IF(AND(P2989="",Q2989=""),1,0)</f>
        <v>0</v>
      </c>
      <c r="E2989" s="1">
        <f>IF(U2989="",1,0)</f>
        <v>0</v>
      </c>
      <c r="F2989" s="1">
        <f>IF(V2989="",1,0)</f>
        <v>0</v>
      </c>
      <c r="G2989" s="1" t="str">
        <f>IF(H2989=0,"-",_xlfn.CONCAT(K2989,N2989,O2989,J2989))</f>
        <v>24122803</v>
      </c>
      <c r="H2989" s="2">
        <v>45654</v>
      </c>
      <c r="I2989" s="36">
        <v>3</v>
      </c>
      <c r="J2989" s="1" t="str">
        <f t="shared" si="563"/>
        <v>03</v>
      </c>
      <c r="K2989" s="3">
        <f t="shared" si="564"/>
        <v>24</v>
      </c>
      <c r="L2989" s="3">
        <f t="shared" si="565"/>
        <v>12</v>
      </c>
      <c r="M2989" s="3">
        <f t="shared" si="566"/>
        <v>28</v>
      </c>
      <c r="N2989" s="3">
        <f t="shared" si="567"/>
        <v>12</v>
      </c>
      <c r="O2989" s="14">
        <f t="shared" si="568"/>
        <v>28</v>
      </c>
      <c r="P2989" s="4">
        <v>17171.080000000002</v>
      </c>
      <c r="T2989" s="5" t="s">
        <v>1284</v>
      </c>
      <c r="U2989" s="3" t="s">
        <v>29</v>
      </c>
      <c r="V2989" s="3" t="s">
        <v>4</v>
      </c>
    </row>
    <row r="2990" spans="1:22" hidden="1">
      <c r="J2990" s="1" t="str">
        <f t="shared" si="563"/>
        <v>0</v>
      </c>
      <c r="K2990" s="3">
        <f t="shared" si="564"/>
        <v>-100</v>
      </c>
      <c r="L2990" s="3">
        <f t="shared" si="565"/>
        <v>1</v>
      </c>
      <c r="M2990" s="3">
        <f t="shared" si="566"/>
        <v>0</v>
      </c>
      <c r="N2990" s="3" t="str">
        <f t="shared" si="567"/>
        <v>01</v>
      </c>
      <c r="O2990" s="14" t="str">
        <f t="shared" si="568"/>
        <v>00</v>
      </c>
    </row>
    <row r="2991" spans="1:22">
      <c r="A2991" s="3">
        <v>2947</v>
      </c>
      <c r="B2991" s="1">
        <f>IF(G2991="-",0,IF(G2990=G2991,1,0))</f>
        <v>0</v>
      </c>
      <c r="C2991" s="1">
        <f>+IF(G2991="-",0,IF(I2991=I2990+1,0,(IF(I2991=1,0,1))))</f>
        <v>1</v>
      </c>
      <c r="D2991" s="1">
        <f>+IF(AND(P2991="",Q2991=""),1,0)</f>
        <v>0</v>
      </c>
      <c r="E2991" s="1">
        <f>IF(U2991="",1,0)</f>
        <v>0</v>
      </c>
      <c r="F2991" s="1">
        <f>IF(V2991="",1,0)</f>
        <v>0</v>
      </c>
      <c r="G2991" s="1" t="str">
        <f>IF(H2991=0,"-",_xlfn.CONCAT(K2991,N2991,O2991,J2991))</f>
        <v>24123003</v>
      </c>
      <c r="H2991" s="2">
        <v>45656</v>
      </c>
      <c r="I2991" s="36">
        <v>3</v>
      </c>
      <c r="J2991" s="1" t="str">
        <f t="shared" si="563"/>
        <v>03</v>
      </c>
      <c r="K2991" s="3">
        <f t="shared" si="564"/>
        <v>24</v>
      </c>
      <c r="L2991" s="3">
        <f t="shared" si="565"/>
        <v>12</v>
      </c>
      <c r="M2991" s="3">
        <f t="shared" si="566"/>
        <v>30</v>
      </c>
      <c r="N2991" s="3">
        <f t="shared" si="567"/>
        <v>12</v>
      </c>
      <c r="O2991" s="14">
        <f t="shared" si="568"/>
        <v>30</v>
      </c>
      <c r="P2991" s="4">
        <v>4427.3500000000004</v>
      </c>
      <c r="T2991" s="5" t="s">
        <v>1284</v>
      </c>
      <c r="U2991" s="3" t="s">
        <v>29</v>
      </c>
      <c r="V2991" s="3" t="s">
        <v>4</v>
      </c>
    </row>
    <row r="2992" spans="1:22">
      <c r="A2992" s="3">
        <v>2949</v>
      </c>
      <c r="B2992" s="1">
        <f>IF(G2992="-",0,IF(G2991=G2992,1,0))</f>
        <v>0</v>
      </c>
      <c r="C2992" s="1">
        <f>+IF(G2992="-",0,IF(I2992=I2991+1,0,(IF(I2992=1,0,1))))</f>
        <v>0</v>
      </c>
      <c r="D2992" s="1">
        <f>+IF(AND(P2992="",Q2992=""),1,0)</f>
        <v>0</v>
      </c>
      <c r="E2992" s="1">
        <f>IF(U2992="",1,0)</f>
        <v>0</v>
      </c>
      <c r="F2992" s="1">
        <f>IF(V2992="",1,0)</f>
        <v>0</v>
      </c>
      <c r="G2992" s="1" t="str">
        <f>IF(H2992=0,"-",_xlfn.CONCAT(K2992,N2992,O2992,J2992))</f>
        <v>24123101</v>
      </c>
      <c r="H2992" s="2">
        <v>45657</v>
      </c>
      <c r="I2992" s="36">
        <v>1</v>
      </c>
      <c r="J2992" s="1" t="str">
        <f t="shared" si="563"/>
        <v>01</v>
      </c>
      <c r="K2992" s="3">
        <f t="shared" si="564"/>
        <v>24</v>
      </c>
      <c r="L2992" s="3">
        <f t="shared" si="565"/>
        <v>12</v>
      </c>
      <c r="M2992" s="3">
        <f t="shared" si="566"/>
        <v>31</v>
      </c>
      <c r="N2992" s="3">
        <f t="shared" si="567"/>
        <v>12</v>
      </c>
      <c r="O2992" s="14">
        <f t="shared" si="568"/>
        <v>31</v>
      </c>
      <c r="P2992" s="4">
        <v>702.68</v>
      </c>
      <c r="T2992" s="5" t="s">
        <v>1284</v>
      </c>
      <c r="U2992" s="3" t="s">
        <v>29</v>
      </c>
      <c r="V2992" s="3" t="s">
        <v>4</v>
      </c>
    </row>
  </sheetData>
  <autoFilter ref="A7:W2992" xr:uid="{97B3A003-09DF-4653-B37E-381CC44B72B6}">
    <filterColumn colId="21">
      <customFilters>
        <customFilter operator="notEqual" val=" "/>
      </customFilters>
    </filterColumn>
    <sortState xmlns:xlrd2="http://schemas.microsoft.com/office/spreadsheetml/2017/richdata2" ref="A10:W2992">
      <sortCondition descending="1" ref="Q7:Q2992"/>
    </sortState>
  </autoFilter>
  <sortState xmlns:xlrd2="http://schemas.microsoft.com/office/spreadsheetml/2017/richdata2" ref="B8:W2476">
    <sortCondition ref="H8:H2476"/>
    <sortCondition ref="I8:I2476"/>
  </sortState>
  <phoneticPr fontId="2" type="noConversion"/>
  <conditionalFormatting sqref="D1:E2 G1:G5 B3:F1048576">
    <cfRule type="cellIs" dxfId="2" priority="3" operator="greaterThan">
      <formula>0</formula>
    </cfRule>
  </conditionalFormatting>
  <dataValidations disablePrompts="1" count="1">
    <dataValidation type="list" allowBlank="1" showInputMessage="1" showErrorMessage="1" sqref="V7:V1303 V2223:V2439 V1306:V1775 V2441:V1048576 U7:U1575 U1777:V1808 U1578:U1775 U1818:V2221 U2223:U1048576" xr:uid="{6E9E688E-0D15-4110-A9A5-B0DD85A0B097}">
      <formula1>#REF!</formula1>
    </dataValidation>
  </dataValidations>
  <pageMargins left="0.7" right="0.7" top="0.75" bottom="0.75" header="0.3" footer="0.3"/>
  <pageSetup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4454-AAE0-435B-AF29-A6FFC8C48466}">
  <sheetPr filterMode="1"/>
  <dimension ref="A1:W2987"/>
  <sheetViews>
    <sheetView zoomScaleNormal="100" workbookViewId="0">
      <pane ySplit="7" topLeftCell="A8" activePane="bottomLeft" state="frozen"/>
      <selection pane="bottomLeft" activeCell="W4" sqref="W4"/>
    </sheetView>
  </sheetViews>
  <sheetFormatPr defaultColWidth="7.140625" defaultRowHeight="15" outlineLevelCol="1"/>
  <cols>
    <col min="1" max="1" width="7.140625" style="3"/>
    <col min="2" max="6" width="2.140625" style="1" customWidth="1"/>
    <col min="7" max="7" width="14.140625" style="1" customWidth="1"/>
    <col min="8" max="8" width="11.5703125" style="2" bestFit="1" customWidth="1"/>
    <col min="9" max="9" width="9.42578125" style="36" customWidth="1"/>
    <col min="10" max="10" width="3" style="1" hidden="1" customWidth="1" outlineLevel="1"/>
    <col min="11" max="11" width="4.7109375" style="3" hidden="1" customWidth="1" outlineLevel="1"/>
    <col min="12" max="12" width="2" style="3" hidden="1" customWidth="1" outlineLevel="1"/>
    <col min="13" max="14" width="3" style="3" hidden="1" customWidth="1" outlineLevel="1"/>
    <col min="15" max="15" width="3" style="14" hidden="1" customWidth="1" outlineLevel="1"/>
    <col min="16" max="16" width="20" style="4" customWidth="1" collapsed="1"/>
    <col min="17" max="17" width="12.85546875" style="5" bestFit="1" customWidth="1"/>
    <col min="18" max="18" width="8.140625" style="6" hidden="1" customWidth="1" outlineLevel="1"/>
    <col min="19" max="19" width="12" style="5" hidden="1" customWidth="1" outlineLevel="1"/>
    <col min="20" max="20" width="67" style="5" customWidth="1" collapsed="1"/>
    <col min="21" max="22" width="11.85546875" style="3" customWidth="1"/>
    <col min="23" max="23" width="42.85546875" style="3" customWidth="1"/>
    <col min="24" max="16384" width="7.140625" style="3"/>
  </cols>
  <sheetData>
    <row r="1" spans="1:23">
      <c r="G1" s="14" t="s">
        <v>1060</v>
      </c>
      <c r="H1" s="1">
        <f>SUM(B:B)</f>
        <v>0</v>
      </c>
    </row>
    <row r="2" spans="1:23">
      <c r="G2" s="14" t="s">
        <v>1061</v>
      </c>
      <c r="H2" s="1">
        <f>SUM(C:C)</f>
        <v>219</v>
      </c>
    </row>
    <row r="3" spans="1:23">
      <c r="F3" s="14"/>
      <c r="G3" s="14" t="s">
        <v>1062</v>
      </c>
      <c r="H3" s="1" t="e">
        <f>SUM(D:D)</f>
        <v>#REF!</v>
      </c>
    </row>
    <row r="4" spans="1:23">
      <c r="F4" s="14"/>
      <c r="G4" s="14" t="s">
        <v>1063</v>
      </c>
      <c r="H4" s="1">
        <f>SUM(E:E)</f>
        <v>93</v>
      </c>
    </row>
    <row r="5" spans="1:23">
      <c r="G5" s="14" t="s">
        <v>1064</v>
      </c>
      <c r="H5" s="1">
        <f>SUM(F:F)</f>
        <v>0</v>
      </c>
    </row>
    <row r="7" spans="1:23" s="43" customFormat="1">
      <c r="B7" s="1" t="s">
        <v>1060</v>
      </c>
      <c r="C7" s="1" t="s">
        <v>1061</v>
      </c>
      <c r="D7" s="1" t="s">
        <v>1062</v>
      </c>
      <c r="E7" s="1" t="s">
        <v>1063</v>
      </c>
      <c r="F7" s="1" t="s">
        <v>1064</v>
      </c>
      <c r="G7" s="44" t="s">
        <v>10</v>
      </c>
      <c r="H7" s="45" t="s">
        <v>9</v>
      </c>
      <c r="I7" s="46" t="s">
        <v>11</v>
      </c>
      <c r="J7" s="47"/>
      <c r="K7" s="45"/>
      <c r="L7" s="45"/>
      <c r="M7" s="45"/>
      <c r="N7" s="45"/>
      <c r="O7" s="48"/>
      <c r="P7" s="45" t="s">
        <v>6</v>
      </c>
      <c r="Q7" s="45" t="s">
        <v>7</v>
      </c>
      <c r="R7" s="49" t="s">
        <v>232</v>
      </c>
      <c r="S7" s="131" t="s">
        <v>233</v>
      </c>
      <c r="T7" s="45" t="s">
        <v>8</v>
      </c>
      <c r="U7" s="43" t="s">
        <v>0</v>
      </c>
      <c r="W7" s="45" t="s">
        <v>19</v>
      </c>
    </row>
    <row r="8" spans="1:23" hidden="1">
      <c r="J8" s="1" t="str">
        <f>+IF(I8&lt;10,_xlfn.CONCAT("0",I8),I8)</f>
        <v>0</v>
      </c>
      <c r="K8" s="3">
        <f>+YEAR(H8)-2000</f>
        <v>-100</v>
      </c>
      <c r="L8" s="3">
        <f>+MONTH(H8)</f>
        <v>1</v>
      </c>
      <c r="M8" s="3">
        <f>+DAY(H8)</f>
        <v>0</v>
      </c>
      <c r="N8" s="3" t="str">
        <f t="shared" ref="N8:O11" si="0">+IF(L8&lt;10,_xlfn.CONCAT("0",L8),L8)</f>
        <v>01</v>
      </c>
      <c r="O8" s="14" t="str">
        <f t="shared" si="0"/>
        <v>00</v>
      </c>
    </row>
    <row r="9" spans="1:23" hidden="1">
      <c r="J9" s="1" t="str">
        <f>+IF(I9&lt;10,_xlfn.CONCAT("0",I9),I9)</f>
        <v>0</v>
      </c>
      <c r="K9" s="3">
        <f>+YEAR(H9)-2000</f>
        <v>-100</v>
      </c>
      <c r="L9" s="3">
        <f>+MONTH(H9)</f>
        <v>1</v>
      </c>
      <c r="M9" s="3">
        <f>+DAY(H9)</f>
        <v>0</v>
      </c>
      <c r="N9" s="3" t="str">
        <f t="shared" si="0"/>
        <v>01</v>
      </c>
      <c r="O9" s="14" t="str">
        <f t="shared" si="0"/>
        <v>00</v>
      </c>
    </row>
    <row r="10" spans="1:23" hidden="1">
      <c r="J10" s="1" t="str">
        <f>+IF(I10&lt;10,_xlfn.CONCAT("0",I10),I10)</f>
        <v>0</v>
      </c>
      <c r="K10" s="3">
        <f>+YEAR(H10)-2000</f>
        <v>-100</v>
      </c>
      <c r="L10" s="3">
        <f>+MONTH(H10)</f>
        <v>1</v>
      </c>
      <c r="M10" s="3">
        <f>+DAY(H10)</f>
        <v>0</v>
      </c>
      <c r="N10" s="3" t="str">
        <f t="shared" si="0"/>
        <v>01</v>
      </c>
      <c r="O10" s="14" t="str">
        <f t="shared" si="0"/>
        <v>00</v>
      </c>
    </row>
    <row r="11" spans="1:23" hidden="1">
      <c r="J11" s="1" t="str">
        <f>+IF(I11&lt;10,_xlfn.CONCAT("0",I11),I11)</f>
        <v>0</v>
      </c>
      <c r="K11" s="3">
        <f>+YEAR(H11)-2000</f>
        <v>-100</v>
      </c>
      <c r="L11" s="3">
        <f>+MONTH(H11)</f>
        <v>1</v>
      </c>
      <c r="M11" s="3">
        <f>+DAY(H11)</f>
        <v>0</v>
      </c>
      <c r="N11" s="3" t="str">
        <f t="shared" si="0"/>
        <v>01</v>
      </c>
      <c r="O11" s="14" t="str">
        <f t="shared" si="0"/>
        <v>00</v>
      </c>
    </row>
    <row r="12" spans="1:23">
      <c r="A12" s="3">
        <v>6</v>
      </c>
      <c r="H12" s="2">
        <v>45377</v>
      </c>
      <c r="Q12" s="5">
        <v>3</v>
      </c>
      <c r="T12" s="5" t="s">
        <v>725</v>
      </c>
      <c r="U12" s="3" t="s">
        <v>3</v>
      </c>
      <c r="V12" s="3" t="s">
        <v>5</v>
      </c>
    </row>
    <row r="13" spans="1:23">
      <c r="A13" s="3">
        <v>5</v>
      </c>
      <c r="H13" s="2">
        <v>45377</v>
      </c>
      <c r="Q13" s="5">
        <v>239.15</v>
      </c>
      <c r="T13" s="5" t="s">
        <v>1065</v>
      </c>
      <c r="U13" s="3" t="s">
        <v>3</v>
      </c>
      <c r="V13" s="3" t="s">
        <v>5</v>
      </c>
    </row>
    <row r="14" spans="1:23" hidden="1">
      <c r="J14" s="1" t="str">
        <f t="shared" ref="J14:J25" si="1">+IF(I14&lt;10,_xlfn.CONCAT("0",I14),I14)</f>
        <v>0</v>
      </c>
      <c r="K14" s="3">
        <f t="shared" ref="K14:K25" si="2">+YEAR(H14)-2000</f>
        <v>-100</v>
      </c>
      <c r="L14" s="3">
        <f t="shared" ref="L14:L25" si="3">+MONTH(H14)</f>
        <v>1</v>
      </c>
      <c r="M14" s="3">
        <f t="shared" ref="M14:M25" si="4">+DAY(H14)</f>
        <v>0</v>
      </c>
      <c r="N14" s="3" t="str">
        <f t="shared" ref="N14:O25" si="5">+IF(L14&lt;10,_xlfn.CONCAT("0",L14),L14)</f>
        <v>01</v>
      </c>
      <c r="O14" s="14" t="str">
        <f t="shared" si="5"/>
        <v>00</v>
      </c>
    </row>
    <row r="15" spans="1:23" hidden="1">
      <c r="J15" s="1" t="str">
        <f t="shared" si="1"/>
        <v>0</v>
      </c>
      <c r="K15" s="3">
        <f t="shared" si="2"/>
        <v>-100</v>
      </c>
      <c r="L15" s="3">
        <f t="shared" si="3"/>
        <v>1</v>
      </c>
      <c r="M15" s="3">
        <f t="shared" si="4"/>
        <v>0</v>
      </c>
      <c r="N15" s="3" t="str">
        <f t="shared" si="5"/>
        <v>01</v>
      </c>
      <c r="O15" s="14" t="str">
        <f t="shared" si="5"/>
        <v>00</v>
      </c>
    </row>
    <row r="16" spans="1:23" hidden="1">
      <c r="J16" s="1" t="str">
        <f t="shared" si="1"/>
        <v>0</v>
      </c>
      <c r="K16" s="3">
        <f t="shared" si="2"/>
        <v>-100</v>
      </c>
      <c r="L16" s="3">
        <f t="shared" si="3"/>
        <v>1</v>
      </c>
      <c r="M16" s="3">
        <f t="shared" si="4"/>
        <v>0</v>
      </c>
      <c r="N16" s="3" t="str">
        <f t="shared" si="5"/>
        <v>01</v>
      </c>
      <c r="O16" s="14" t="str">
        <f t="shared" si="5"/>
        <v>00</v>
      </c>
    </row>
    <row r="17" spans="10:15" hidden="1">
      <c r="J17" s="1" t="str">
        <f t="shared" si="1"/>
        <v>0</v>
      </c>
      <c r="K17" s="3">
        <f t="shared" si="2"/>
        <v>-100</v>
      </c>
      <c r="L17" s="3">
        <f t="shared" si="3"/>
        <v>1</v>
      </c>
      <c r="M17" s="3">
        <f t="shared" si="4"/>
        <v>0</v>
      </c>
      <c r="N17" s="3" t="str">
        <f t="shared" si="5"/>
        <v>01</v>
      </c>
      <c r="O17" s="14" t="str">
        <f t="shared" si="5"/>
        <v>00</v>
      </c>
    </row>
    <row r="18" spans="10:15" hidden="1">
      <c r="J18" s="1" t="str">
        <f t="shared" si="1"/>
        <v>0</v>
      </c>
      <c r="K18" s="3">
        <f t="shared" si="2"/>
        <v>-100</v>
      </c>
      <c r="L18" s="3">
        <f t="shared" si="3"/>
        <v>1</v>
      </c>
      <c r="M18" s="3">
        <f t="shared" si="4"/>
        <v>0</v>
      </c>
      <c r="N18" s="3" t="str">
        <f t="shared" si="5"/>
        <v>01</v>
      </c>
      <c r="O18" s="14" t="str">
        <f t="shared" si="5"/>
        <v>00</v>
      </c>
    </row>
    <row r="19" spans="10:15" hidden="1">
      <c r="J19" s="1" t="str">
        <f t="shared" si="1"/>
        <v>0</v>
      </c>
      <c r="K19" s="3">
        <f t="shared" si="2"/>
        <v>-100</v>
      </c>
      <c r="L19" s="3">
        <f t="shared" si="3"/>
        <v>1</v>
      </c>
      <c r="M19" s="3">
        <f t="shared" si="4"/>
        <v>0</v>
      </c>
      <c r="N19" s="3" t="str">
        <f t="shared" si="5"/>
        <v>01</v>
      </c>
      <c r="O19" s="14" t="str">
        <f t="shared" si="5"/>
        <v>00</v>
      </c>
    </row>
    <row r="20" spans="10:15" hidden="1">
      <c r="J20" s="1" t="str">
        <f t="shared" si="1"/>
        <v>0</v>
      </c>
      <c r="K20" s="3">
        <f t="shared" si="2"/>
        <v>-100</v>
      </c>
      <c r="L20" s="3">
        <f t="shared" si="3"/>
        <v>1</v>
      </c>
      <c r="M20" s="3">
        <f t="shared" si="4"/>
        <v>0</v>
      </c>
      <c r="N20" s="3" t="str">
        <f t="shared" si="5"/>
        <v>01</v>
      </c>
      <c r="O20" s="14" t="str">
        <f t="shared" si="5"/>
        <v>00</v>
      </c>
    </row>
    <row r="21" spans="10:15" hidden="1">
      <c r="J21" s="1" t="str">
        <f t="shared" si="1"/>
        <v>0</v>
      </c>
      <c r="K21" s="3">
        <f t="shared" si="2"/>
        <v>-100</v>
      </c>
      <c r="L21" s="3">
        <f t="shared" si="3"/>
        <v>1</v>
      </c>
      <c r="M21" s="3">
        <f t="shared" si="4"/>
        <v>0</v>
      </c>
      <c r="N21" s="3" t="str">
        <f t="shared" si="5"/>
        <v>01</v>
      </c>
      <c r="O21" s="14" t="str">
        <f t="shared" si="5"/>
        <v>00</v>
      </c>
    </row>
    <row r="22" spans="10:15" hidden="1">
      <c r="J22" s="1" t="str">
        <f t="shared" si="1"/>
        <v>0</v>
      </c>
      <c r="K22" s="3">
        <f t="shared" si="2"/>
        <v>-100</v>
      </c>
      <c r="L22" s="3">
        <f t="shared" si="3"/>
        <v>1</v>
      </c>
      <c r="M22" s="3">
        <f t="shared" si="4"/>
        <v>0</v>
      </c>
      <c r="N22" s="3" t="str">
        <f t="shared" si="5"/>
        <v>01</v>
      </c>
      <c r="O22" s="14" t="str">
        <f t="shared" si="5"/>
        <v>00</v>
      </c>
    </row>
    <row r="23" spans="10:15" hidden="1">
      <c r="J23" s="1" t="str">
        <f t="shared" si="1"/>
        <v>0</v>
      </c>
      <c r="K23" s="3">
        <f t="shared" si="2"/>
        <v>-100</v>
      </c>
      <c r="L23" s="3">
        <f t="shared" si="3"/>
        <v>1</v>
      </c>
      <c r="M23" s="3">
        <f t="shared" si="4"/>
        <v>0</v>
      </c>
      <c r="N23" s="3" t="str">
        <f t="shared" si="5"/>
        <v>01</v>
      </c>
      <c r="O23" s="14" t="str">
        <f t="shared" si="5"/>
        <v>00</v>
      </c>
    </row>
    <row r="24" spans="10:15" hidden="1">
      <c r="J24" s="1" t="str">
        <f t="shared" si="1"/>
        <v>0</v>
      </c>
      <c r="K24" s="3">
        <f t="shared" si="2"/>
        <v>-100</v>
      </c>
      <c r="L24" s="3">
        <f t="shared" si="3"/>
        <v>1</v>
      </c>
      <c r="M24" s="3">
        <f t="shared" si="4"/>
        <v>0</v>
      </c>
      <c r="N24" s="3" t="str">
        <f t="shared" si="5"/>
        <v>01</v>
      </c>
      <c r="O24" s="14" t="str">
        <f t="shared" si="5"/>
        <v>00</v>
      </c>
    </row>
    <row r="25" spans="10:15" hidden="1">
      <c r="J25" s="1" t="str">
        <f t="shared" si="1"/>
        <v>0</v>
      </c>
      <c r="K25" s="3">
        <f t="shared" si="2"/>
        <v>-100</v>
      </c>
      <c r="L25" s="3">
        <f t="shared" si="3"/>
        <v>1</v>
      </c>
      <c r="M25" s="3">
        <f t="shared" si="4"/>
        <v>0</v>
      </c>
      <c r="N25" s="3" t="str">
        <f t="shared" si="5"/>
        <v>01</v>
      </c>
      <c r="O25" s="14" t="str">
        <f t="shared" si="5"/>
        <v>00</v>
      </c>
    </row>
    <row r="26" spans="10:15" hidden="1"/>
    <row r="27" spans="10:15" hidden="1">
      <c r="J27" s="1" t="str">
        <f t="shared" ref="J27:J90" si="6">+IF(I27&lt;10,_xlfn.CONCAT("0",I27),I27)</f>
        <v>0</v>
      </c>
      <c r="K27" s="3">
        <f t="shared" ref="K27:K90" si="7">+YEAR(H27)-2000</f>
        <v>-100</v>
      </c>
      <c r="L27" s="3">
        <f t="shared" ref="L27:L90" si="8">+MONTH(H27)</f>
        <v>1</v>
      </c>
      <c r="M27" s="3">
        <f t="shared" ref="M27:M90" si="9">+DAY(H27)</f>
        <v>0</v>
      </c>
      <c r="N27" s="3" t="str">
        <f t="shared" ref="N27:O58" si="10">+IF(L27&lt;10,_xlfn.CONCAT("0",L27),L27)</f>
        <v>01</v>
      </c>
      <c r="O27" s="14" t="str">
        <f t="shared" si="10"/>
        <v>00</v>
      </c>
    </row>
    <row r="28" spans="10:15" hidden="1">
      <c r="J28" s="1" t="str">
        <f t="shared" si="6"/>
        <v>0</v>
      </c>
      <c r="K28" s="3">
        <f t="shared" si="7"/>
        <v>-100</v>
      </c>
      <c r="L28" s="3">
        <f t="shared" si="8"/>
        <v>1</v>
      </c>
      <c r="M28" s="3">
        <f t="shared" si="9"/>
        <v>0</v>
      </c>
      <c r="N28" s="3" t="str">
        <f t="shared" si="10"/>
        <v>01</v>
      </c>
      <c r="O28" s="14" t="str">
        <f t="shared" si="10"/>
        <v>00</v>
      </c>
    </row>
    <row r="29" spans="10:15" hidden="1">
      <c r="J29" s="1" t="str">
        <f t="shared" si="6"/>
        <v>0</v>
      </c>
      <c r="K29" s="3">
        <f t="shared" si="7"/>
        <v>-100</v>
      </c>
      <c r="L29" s="3">
        <f t="shared" si="8"/>
        <v>1</v>
      </c>
      <c r="M29" s="3">
        <f t="shared" si="9"/>
        <v>0</v>
      </c>
      <c r="N29" s="3" t="str">
        <f t="shared" si="10"/>
        <v>01</v>
      </c>
      <c r="O29" s="14" t="str">
        <f t="shared" si="10"/>
        <v>00</v>
      </c>
    </row>
    <row r="30" spans="10:15" hidden="1">
      <c r="J30" s="1" t="str">
        <f t="shared" si="6"/>
        <v>0</v>
      </c>
      <c r="K30" s="3">
        <f t="shared" si="7"/>
        <v>-100</v>
      </c>
      <c r="L30" s="3">
        <f t="shared" si="8"/>
        <v>1</v>
      </c>
      <c r="M30" s="3">
        <f t="shared" si="9"/>
        <v>0</v>
      </c>
      <c r="N30" s="3" t="str">
        <f t="shared" si="10"/>
        <v>01</v>
      </c>
      <c r="O30" s="14" t="str">
        <f t="shared" si="10"/>
        <v>00</v>
      </c>
    </row>
    <row r="31" spans="10:15" hidden="1">
      <c r="J31" s="1" t="str">
        <f t="shared" si="6"/>
        <v>0</v>
      </c>
      <c r="K31" s="3">
        <f t="shared" si="7"/>
        <v>-100</v>
      </c>
      <c r="L31" s="3">
        <f t="shared" si="8"/>
        <v>1</v>
      </c>
      <c r="M31" s="3">
        <f t="shared" si="9"/>
        <v>0</v>
      </c>
      <c r="N31" s="3" t="str">
        <f t="shared" si="10"/>
        <v>01</v>
      </c>
      <c r="O31" s="14" t="str">
        <f t="shared" si="10"/>
        <v>00</v>
      </c>
    </row>
    <row r="32" spans="10:15" hidden="1">
      <c r="J32" s="1" t="str">
        <f t="shared" si="6"/>
        <v>0</v>
      </c>
      <c r="K32" s="3">
        <f t="shared" si="7"/>
        <v>-100</v>
      </c>
      <c r="L32" s="3">
        <f t="shared" si="8"/>
        <v>1</v>
      </c>
      <c r="M32" s="3">
        <f t="shared" si="9"/>
        <v>0</v>
      </c>
      <c r="N32" s="3" t="str">
        <f t="shared" si="10"/>
        <v>01</v>
      </c>
      <c r="O32" s="14" t="str">
        <f t="shared" si="10"/>
        <v>00</v>
      </c>
    </row>
    <row r="33" spans="8:23" hidden="1">
      <c r="J33" s="1" t="str">
        <f t="shared" si="6"/>
        <v>0</v>
      </c>
      <c r="K33" s="3">
        <f t="shared" si="7"/>
        <v>-100</v>
      </c>
      <c r="L33" s="3">
        <f t="shared" si="8"/>
        <v>1</v>
      </c>
      <c r="M33" s="3">
        <f t="shared" si="9"/>
        <v>0</v>
      </c>
      <c r="N33" s="3" t="str">
        <f t="shared" si="10"/>
        <v>01</v>
      </c>
      <c r="O33" s="14" t="str">
        <f t="shared" si="10"/>
        <v>00</v>
      </c>
    </row>
    <row r="34" spans="8:23" hidden="1">
      <c r="J34" s="1" t="str">
        <f t="shared" si="6"/>
        <v>0</v>
      </c>
      <c r="K34" s="3">
        <f t="shared" si="7"/>
        <v>-100</v>
      </c>
      <c r="L34" s="3">
        <f t="shared" si="8"/>
        <v>1</v>
      </c>
      <c r="M34" s="3">
        <f t="shared" si="9"/>
        <v>0</v>
      </c>
      <c r="N34" s="3" t="str">
        <f t="shared" si="10"/>
        <v>01</v>
      </c>
      <c r="O34" s="14" t="str">
        <f t="shared" si="10"/>
        <v>00</v>
      </c>
    </row>
    <row r="35" spans="8:23" hidden="1">
      <c r="J35" s="1" t="str">
        <f t="shared" si="6"/>
        <v>0</v>
      </c>
      <c r="K35" s="3">
        <f t="shared" si="7"/>
        <v>-100</v>
      </c>
      <c r="L35" s="3">
        <f t="shared" si="8"/>
        <v>1</v>
      </c>
      <c r="M35" s="3">
        <f t="shared" si="9"/>
        <v>0</v>
      </c>
      <c r="N35" s="3" t="str">
        <f t="shared" si="10"/>
        <v>01</v>
      </c>
      <c r="O35" s="14" t="str">
        <f t="shared" si="10"/>
        <v>00</v>
      </c>
    </row>
    <row r="36" spans="8:23" hidden="1">
      <c r="J36" s="1" t="str">
        <f t="shared" si="6"/>
        <v>0</v>
      </c>
      <c r="K36" s="3">
        <f t="shared" si="7"/>
        <v>-100</v>
      </c>
      <c r="L36" s="3">
        <f t="shared" si="8"/>
        <v>1</v>
      </c>
      <c r="M36" s="3">
        <f t="shared" si="9"/>
        <v>0</v>
      </c>
      <c r="N36" s="3" t="str">
        <f t="shared" si="10"/>
        <v>01</v>
      </c>
      <c r="O36" s="14" t="str">
        <f t="shared" si="10"/>
        <v>00</v>
      </c>
    </row>
    <row r="37" spans="8:23" hidden="1">
      <c r="J37" s="1" t="str">
        <f t="shared" si="6"/>
        <v>0</v>
      </c>
      <c r="K37" s="3">
        <f t="shared" si="7"/>
        <v>-100</v>
      </c>
      <c r="L37" s="3">
        <f t="shared" si="8"/>
        <v>1</v>
      </c>
      <c r="M37" s="3">
        <f t="shared" si="9"/>
        <v>0</v>
      </c>
      <c r="N37" s="3" t="str">
        <f t="shared" si="10"/>
        <v>01</v>
      </c>
      <c r="O37" s="14" t="str">
        <f t="shared" si="10"/>
        <v>00</v>
      </c>
    </row>
    <row r="38" spans="8:23" hidden="1">
      <c r="J38" s="1" t="str">
        <f t="shared" si="6"/>
        <v>0</v>
      </c>
      <c r="K38" s="3">
        <f t="shared" si="7"/>
        <v>-100</v>
      </c>
      <c r="L38" s="3">
        <f t="shared" si="8"/>
        <v>1</v>
      </c>
      <c r="M38" s="3">
        <f t="shared" si="9"/>
        <v>0</v>
      </c>
      <c r="N38" s="3" t="str">
        <f t="shared" si="10"/>
        <v>01</v>
      </c>
      <c r="O38" s="14" t="str">
        <f t="shared" si="10"/>
        <v>00</v>
      </c>
    </row>
    <row r="39" spans="8:23" hidden="1">
      <c r="J39" s="1" t="str">
        <f t="shared" si="6"/>
        <v>0</v>
      </c>
      <c r="K39" s="3">
        <f t="shared" si="7"/>
        <v>-100</v>
      </c>
      <c r="L39" s="3">
        <f t="shared" si="8"/>
        <v>1</v>
      </c>
      <c r="M39" s="3">
        <f t="shared" si="9"/>
        <v>0</v>
      </c>
      <c r="N39" s="3" t="str">
        <f t="shared" si="10"/>
        <v>01</v>
      </c>
      <c r="O39" s="14" t="str">
        <f t="shared" si="10"/>
        <v>00</v>
      </c>
    </row>
    <row r="40" spans="8:23" hidden="1">
      <c r="J40" s="1" t="str">
        <f t="shared" si="6"/>
        <v>0</v>
      </c>
      <c r="K40" s="3">
        <f t="shared" si="7"/>
        <v>-100</v>
      </c>
      <c r="L40" s="3">
        <f t="shared" si="8"/>
        <v>1</v>
      </c>
      <c r="M40" s="3">
        <f t="shared" si="9"/>
        <v>0</v>
      </c>
      <c r="N40" s="3" t="str">
        <f t="shared" si="10"/>
        <v>01</v>
      </c>
      <c r="O40" s="14" t="str">
        <f t="shared" si="10"/>
        <v>00</v>
      </c>
    </row>
    <row r="41" spans="8:23" hidden="1">
      <c r="H41" s="37"/>
      <c r="I41" s="38"/>
      <c r="J41" s="38" t="str">
        <f t="shared" si="6"/>
        <v>0</v>
      </c>
      <c r="K41" s="42">
        <f t="shared" si="7"/>
        <v>-100</v>
      </c>
      <c r="L41" s="42">
        <f t="shared" si="8"/>
        <v>1</v>
      </c>
      <c r="M41" s="42">
        <f t="shared" si="9"/>
        <v>0</v>
      </c>
      <c r="N41" s="42" t="str">
        <f t="shared" si="10"/>
        <v>01</v>
      </c>
      <c r="O41" s="50" t="str">
        <f t="shared" si="10"/>
        <v>00</v>
      </c>
      <c r="P41" s="39"/>
      <c r="Q41" s="40"/>
      <c r="R41" s="41"/>
      <c r="S41" s="40"/>
      <c r="T41" s="40"/>
      <c r="U41" s="42"/>
      <c r="V41" s="42"/>
      <c r="W41" s="42"/>
    </row>
    <row r="42" spans="8:23" hidden="1">
      <c r="H42" s="9"/>
      <c r="I42" s="52"/>
      <c r="J42" s="52" t="str">
        <f t="shared" si="6"/>
        <v>0</v>
      </c>
      <c r="K42" s="10">
        <f t="shared" si="7"/>
        <v>-100</v>
      </c>
      <c r="L42" s="10">
        <f t="shared" si="8"/>
        <v>1</v>
      </c>
      <c r="M42" s="10">
        <f t="shared" si="9"/>
        <v>0</v>
      </c>
      <c r="N42" s="10" t="str">
        <f t="shared" si="10"/>
        <v>01</v>
      </c>
      <c r="O42" s="70" t="str">
        <f t="shared" si="10"/>
        <v>00</v>
      </c>
      <c r="P42" s="11"/>
    </row>
    <row r="43" spans="8:23" hidden="1">
      <c r="H43" s="9"/>
      <c r="I43" s="52"/>
      <c r="J43" s="52" t="str">
        <f t="shared" si="6"/>
        <v>0</v>
      </c>
      <c r="K43" s="10">
        <f t="shared" si="7"/>
        <v>-100</v>
      </c>
      <c r="L43" s="10">
        <f t="shared" si="8"/>
        <v>1</v>
      </c>
      <c r="M43" s="10">
        <f t="shared" si="9"/>
        <v>0</v>
      </c>
      <c r="N43" s="10" t="str">
        <f t="shared" si="10"/>
        <v>01</v>
      </c>
      <c r="O43" s="70" t="str">
        <f t="shared" si="10"/>
        <v>00</v>
      </c>
      <c r="P43" s="11"/>
    </row>
    <row r="44" spans="8:23" hidden="1">
      <c r="H44" s="9"/>
      <c r="I44" s="52"/>
      <c r="J44" s="52" t="str">
        <f t="shared" si="6"/>
        <v>0</v>
      </c>
      <c r="K44" s="10">
        <f t="shared" si="7"/>
        <v>-100</v>
      </c>
      <c r="L44" s="10">
        <f t="shared" si="8"/>
        <v>1</v>
      </c>
      <c r="M44" s="10">
        <f t="shared" si="9"/>
        <v>0</v>
      </c>
      <c r="N44" s="10" t="str">
        <f t="shared" si="10"/>
        <v>01</v>
      </c>
      <c r="O44" s="70" t="str">
        <f t="shared" si="10"/>
        <v>00</v>
      </c>
      <c r="P44" s="11"/>
    </row>
    <row r="45" spans="8:23" hidden="1">
      <c r="H45" s="9"/>
      <c r="I45" s="52"/>
      <c r="J45" s="52" t="str">
        <f t="shared" si="6"/>
        <v>0</v>
      </c>
      <c r="K45" s="10">
        <f t="shared" si="7"/>
        <v>-100</v>
      </c>
      <c r="L45" s="10">
        <f t="shared" si="8"/>
        <v>1</v>
      </c>
      <c r="M45" s="10">
        <f t="shared" si="9"/>
        <v>0</v>
      </c>
      <c r="N45" s="10" t="str">
        <f t="shared" si="10"/>
        <v>01</v>
      </c>
      <c r="O45" s="70" t="str">
        <f t="shared" si="10"/>
        <v>00</v>
      </c>
      <c r="P45" s="11"/>
    </row>
    <row r="46" spans="8:23" hidden="1">
      <c r="H46" s="9"/>
      <c r="I46" s="52"/>
      <c r="J46" s="52" t="str">
        <f t="shared" si="6"/>
        <v>0</v>
      </c>
      <c r="K46" s="10">
        <f t="shared" si="7"/>
        <v>-100</v>
      </c>
      <c r="L46" s="10">
        <f t="shared" si="8"/>
        <v>1</v>
      </c>
      <c r="M46" s="10">
        <f t="shared" si="9"/>
        <v>0</v>
      </c>
      <c r="N46" s="10" t="str">
        <f t="shared" si="10"/>
        <v>01</v>
      </c>
      <c r="O46" s="70" t="str">
        <f t="shared" si="10"/>
        <v>00</v>
      </c>
      <c r="P46" s="11"/>
    </row>
    <row r="47" spans="8:23" hidden="1">
      <c r="H47" s="9"/>
      <c r="I47" s="52"/>
      <c r="J47" s="52" t="str">
        <f t="shared" si="6"/>
        <v>0</v>
      </c>
      <c r="K47" s="10">
        <f t="shared" si="7"/>
        <v>-100</v>
      </c>
      <c r="L47" s="10">
        <f t="shared" si="8"/>
        <v>1</v>
      </c>
      <c r="M47" s="10">
        <f t="shared" si="9"/>
        <v>0</v>
      </c>
      <c r="N47" s="10" t="str">
        <f t="shared" si="10"/>
        <v>01</v>
      </c>
      <c r="O47" s="70" t="str">
        <f t="shared" si="10"/>
        <v>00</v>
      </c>
      <c r="P47" s="11"/>
    </row>
    <row r="48" spans="8:23" hidden="1">
      <c r="H48" s="9"/>
      <c r="I48" s="52"/>
      <c r="J48" s="52" t="str">
        <f t="shared" si="6"/>
        <v>0</v>
      </c>
      <c r="K48" s="10">
        <f t="shared" si="7"/>
        <v>-100</v>
      </c>
      <c r="L48" s="10">
        <f t="shared" si="8"/>
        <v>1</v>
      </c>
      <c r="M48" s="10">
        <f t="shared" si="9"/>
        <v>0</v>
      </c>
      <c r="N48" s="10" t="str">
        <f t="shared" si="10"/>
        <v>01</v>
      </c>
      <c r="O48" s="70" t="str">
        <f t="shared" si="10"/>
        <v>00</v>
      </c>
      <c r="P48" s="11"/>
    </row>
    <row r="49" spans="8:16" hidden="1">
      <c r="H49" s="9"/>
      <c r="I49" s="52"/>
      <c r="J49" s="52" t="str">
        <f t="shared" si="6"/>
        <v>0</v>
      </c>
      <c r="K49" s="10">
        <f t="shared" si="7"/>
        <v>-100</v>
      </c>
      <c r="L49" s="10">
        <f t="shared" si="8"/>
        <v>1</v>
      </c>
      <c r="M49" s="10">
        <f t="shared" si="9"/>
        <v>0</v>
      </c>
      <c r="N49" s="10" t="str">
        <f t="shared" si="10"/>
        <v>01</v>
      </c>
      <c r="O49" s="70" t="str">
        <f t="shared" si="10"/>
        <v>00</v>
      </c>
      <c r="P49" s="11"/>
    </row>
    <row r="50" spans="8:16" hidden="1">
      <c r="H50" s="9"/>
      <c r="I50" s="52"/>
      <c r="J50" s="52" t="str">
        <f t="shared" si="6"/>
        <v>0</v>
      </c>
      <c r="K50" s="10">
        <f t="shared" si="7"/>
        <v>-100</v>
      </c>
      <c r="L50" s="10">
        <f t="shared" si="8"/>
        <v>1</v>
      </c>
      <c r="M50" s="10">
        <f t="shared" si="9"/>
        <v>0</v>
      </c>
      <c r="N50" s="10" t="str">
        <f t="shared" si="10"/>
        <v>01</v>
      </c>
      <c r="O50" s="70" t="str">
        <f t="shared" si="10"/>
        <v>00</v>
      </c>
      <c r="P50" s="11"/>
    </row>
    <row r="51" spans="8:16" hidden="1">
      <c r="H51" s="9"/>
      <c r="I51" s="52"/>
      <c r="J51" s="52" t="str">
        <f t="shared" si="6"/>
        <v>0</v>
      </c>
      <c r="K51" s="10">
        <f t="shared" si="7"/>
        <v>-100</v>
      </c>
      <c r="L51" s="10">
        <f t="shared" si="8"/>
        <v>1</v>
      </c>
      <c r="M51" s="10">
        <f t="shared" si="9"/>
        <v>0</v>
      </c>
      <c r="N51" s="10" t="str">
        <f t="shared" si="10"/>
        <v>01</v>
      </c>
      <c r="O51" s="70" t="str">
        <f t="shared" si="10"/>
        <v>00</v>
      </c>
      <c r="P51" s="11"/>
    </row>
    <row r="52" spans="8:16" hidden="1">
      <c r="J52" s="1" t="str">
        <f t="shared" si="6"/>
        <v>0</v>
      </c>
      <c r="K52" s="3">
        <f t="shared" si="7"/>
        <v>-100</v>
      </c>
      <c r="L52" s="3">
        <f t="shared" si="8"/>
        <v>1</v>
      </c>
      <c r="M52" s="3">
        <f t="shared" si="9"/>
        <v>0</v>
      </c>
      <c r="N52" s="3" t="str">
        <f t="shared" si="10"/>
        <v>01</v>
      </c>
      <c r="O52" s="14" t="str">
        <f t="shared" si="10"/>
        <v>00</v>
      </c>
    </row>
    <row r="53" spans="8:16" hidden="1">
      <c r="J53" s="1" t="str">
        <f t="shared" si="6"/>
        <v>0</v>
      </c>
      <c r="K53" s="3">
        <f t="shared" si="7"/>
        <v>-100</v>
      </c>
      <c r="L53" s="3">
        <f t="shared" si="8"/>
        <v>1</v>
      </c>
      <c r="M53" s="3">
        <f t="shared" si="9"/>
        <v>0</v>
      </c>
      <c r="N53" s="3" t="str">
        <f t="shared" si="10"/>
        <v>01</v>
      </c>
      <c r="O53" s="14" t="str">
        <f t="shared" si="10"/>
        <v>00</v>
      </c>
    </row>
    <row r="54" spans="8:16" hidden="1">
      <c r="J54" s="1" t="str">
        <f t="shared" si="6"/>
        <v>0</v>
      </c>
      <c r="K54" s="3">
        <f t="shared" si="7"/>
        <v>-100</v>
      </c>
      <c r="L54" s="3">
        <f t="shared" si="8"/>
        <v>1</v>
      </c>
      <c r="M54" s="3">
        <f t="shared" si="9"/>
        <v>0</v>
      </c>
      <c r="N54" s="3" t="str">
        <f t="shared" si="10"/>
        <v>01</v>
      </c>
      <c r="O54" s="14" t="str">
        <f t="shared" si="10"/>
        <v>00</v>
      </c>
    </row>
    <row r="55" spans="8:16" hidden="1">
      <c r="J55" s="1" t="str">
        <f t="shared" si="6"/>
        <v>0</v>
      </c>
      <c r="K55" s="3">
        <f t="shared" si="7"/>
        <v>-100</v>
      </c>
      <c r="L55" s="3">
        <f t="shared" si="8"/>
        <v>1</v>
      </c>
      <c r="M55" s="3">
        <f t="shared" si="9"/>
        <v>0</v>
      </c>
      <c r="N55" s="3" t="str">
        <f t="shared" si="10"/>
        <v>01</v>
      </c>
      <c r="O55" s="14" t="str">
        <f t="shared" si="10"/>
        <v>00</v>
      </c>
    </row>
    <row r="56" spans="8:16" hidden="1">
      <c r="J56" s="1" t="str">
        <f t="shared" si="6"/>
        <v>0</v>
      </c>
      <c r="K56" s="3">
        <f t="shared" si="7"/>
        <v>-100</v>
      </c>
      <c r="L56" s="3">
        <f t="shared" si="8"/>
        <v>1</v>
      </c>
      <c r="M56" s="3">
        <f t="shared" si="9"/>
        <v>0</v>
      </c>
      <c r="N56" s="3" t="str">
        <f t="shared" si="10"/>
        <v>01</v>
      </c>
      <c r="O56" s="14" t="str">
        <f t="shared" si="10"/>
        <v>00</v>
      </c>
    </row>
    <row r="57" spans="8:16" hidden="1">
      <c r="J57" s="1" t="str">
        <f t="shared" si="6"/>
        <v>0</v>
      </c>
      <c r="K57" s="3">
        <f t="shared" si="7"/>
        <v>-100</v>
      </c>
      <c r="L57" s="3">
        <f t="shared" si="8"/>
        <v>1</v>
      </c>
      <c r="M57" s="3">
        <f t="shared" si="9"/>
        <v>0</v>
      </c>
      <c r="N57" s="3" t="str">
        <f t="shared" si="10"/>
        <v>01</v>
      </c>
      <c r="O57" s="14" t="str">
        <f t="shared" si="10"/>
        <v>00</v>
      </c>
    </row>
    <row r="58" spans="8:16" hidden="1">
      <c r="J58" s="1" t="str">
        <f t="shared" si="6"/>
        <v>0</v>
      </c>
      <c r="K58" s="3">
        <f t="shared" si="7"/>
        <v>-100</v>
      </c>
      <c r="L58" s="3">
        <f t="shared" si="8"/>
        <v>1</v>
      </c>
      <c r="M58" s="3">
        <f t="shared" si="9"/>
        <v>0</v>
      </c>
      <c r="N58" s="3" t="str">
        <f t="shared" si="10"/>
        <v>01</v>
      </c>
      <c r="O58" s="14" t="str">
        <f t="shared" si="10"/>
        <v>00</v>
      </c>
    </row>
    <row r="59" spans="8:16" hidden="1">
      <c r="J59" s="1" t="str">
        <f t="shared" si="6"/>
        <v>0</v>
      </c>
      <c r="K59" s="3">
        <f t="shared" si="7"/>
        <v>-100</v>
      </c>
      <c r="L59" s="3">
        <f t="shared" si="8"/>
        <v>1</v>
      </c>
      <c r="M59" s="3">
        <f t="shared" si="9"/>
        <v>0</v>
      </c>
      <c r="N59" s="3" t="str">
        <f t="shared" ref="N59:O90" si="11">+IF(L59&lt;10,_xlfn.CONCAT("0",L59),L59)</f>
        <v>01</v>
      </c>
      <c r="O59" s="14" t="str">
        <f t="shared" si="11"/>
        <v>00</v>
      </c>
    </row>
    <row r="60" spans="8:16" hidden="1">
      <c r="J60" s="1" t="str">
        <f t="shared" si="6"/>
        <v>0</v>
      </c>
      <c r="K60" s="3">
        <f t="shared" si="7"/>
        <v>-100</v>
      </c>
      <c r="L60" s="3">
        <f t="shared" si="8"/>
        <v>1</v>
      </c>
      <c r="M60" s="3">
        <f t="shared" si="9"/>
        <v>0</v>
      </c>
      <c r="N60" s="3" t="str">
        <f t="shared" si="11"/>
        <v>01</v>
      </c>
      <c r="O60" s="14" t="str">
        <f t="shared" si="11"/>
        <v>00</v>
      </c>
    </row>
    <row r="61" spans="8:16" hidden="1">
      <c r="J61" s="1" t="str">
        <f t="shared" si="6"/>
        <v>0</v>
      </c>
      <c r="K61" s="3">
        <f t="shared" si="7"/>
        <v>-100</v>
      </c>
      <c r="L61" s="3">
        <f t="shared" si="8"/>
        <v>1</v>
      </c>
      <c r="M61" s="3">
        <f t="shared" si="9"/>
        <v>0</v>
      </c>
      <c r="N61" s="3" t="str">
        <f t="shared" si="11"/>
        <v>01</v>
      </c>
      <c r="O61" s="14" t="str">
        <f t="shared" si="11"/>
        <v>00</v>
      </c>
    </row>
    <row r="62" spans="8:16" hidden="1">
      <c r="J62" s="1" t="str">
        <f t="shared" si="6"/>
        <v>0</v>
      </c>
      <c r="K62" s="3">
        <f t="shared" si="7"/>
        <v>-100</v>
      </c>
      <c r="L62" s="3">
        <f t="shared" si="8"/>
        <v>1</v>
      </c>
      <c r="M62" s="3">
        <f t="shared" si="9"/>
        <v>0</v>
      </c>
      <c r="N62" s="3" t="str">
        <f t="shared" si="11"/>
        <v>01</v>
      </c>
      <c r="O62" s="14" t="str">
        <f t="shared" si="11"/>
        <v>00</v>
      </c>
    </row>
    <row r="63" spans="8:16" hidden="1">
      <c r="J63" s="1" t="str">
        <f t="shared" si="6"/>
        <v>0</v>
      </c>
      <c r="K63" s="3">
        <f t="shared" si="7"/>
        <v>-100</v>
      </c>
      <c r="L63" s="3">
        <f t="shared" si="8"/>
        <v>1</v>
      </c>
      <c r="M63" s="3">
        <f t="shared" si="9"/>
        <v>0</v>
      </c>
      <c r="N63" s="3" t="str">
        <f t="shared" si="11"/>
        <v>01</v>
      </c>
      <c r="O63" s="14" t="str">
        <f t="shared" si="11"/>
        <v>00</v>
      </c>
    </row>
    <row r="64" spans="8:16" hidden="1">
      <c r="J64" s="1" t="str">
        <f t="shared" si="6"/>
        <v>0</v>
      </c>
      <c r="K64" s="3">
        <f t="shared" si="7"/>
        <v>-100</v>
      </c>
      <c r="L64" s="3">
        <f t="shared" si="8"/>
        <v>1</v>
      </c>
      <c r="M64" s="3">
        <f t="shared" si="9"/>
        <v>0</v>
      </c>
      <c r="N64" s="3" t="str">
        <f t="shared" si="11"/>
        <v>01</v>
      </c>
      <c r="O64" s="14" t="str">
        <f t="shared" si="11"/>
        <v>00</v>
      </c>
    </row>
    <row r="65" spans="1:22" hidden="1">
      <c r="J65" s="1" t="str">
        <f t="shared" si="6"/>
        <v>0</v>
      </c>
      <c r="K65" s="3">
        <f t="shared" si="7"/>
        <v>-100</v>
      </c>
      <c r="L65" s="3">
        <f t="shared" si="8"/>
        <v>1</v>
      </c>
      <c r="M65" s="3">
        <f t="shared" si="9"/>
        <v>0</v>
      </c>
      <c r="N65" s="3" t="str">
        <f t="shared" si="11"/>
        <v>01</v>
      </c>
      <c r="O65" s="14" t="str">
        <f t="shared" si="11"/>
        <v>00</v>
      </c>
    </row>
    <row r="66" spans="1:22" hidden="1">
      <c r="J66" s="1" t="str">
        <f t="shared" si="6"/>
        <v>0</v>
      </c>
      <c r="K66" s="3">
        <f t="shared" si="7"/>
        <v>-100</v>
      </c>
      <c r="L66" s="3">
        <f t="shared" si="8"/>
        <v>1</v>
      </c>
      <c r="M66" s="3">
        <f t="shared" si="9"/>
        <v>0</v>
      </c>
      <c r="N66" s="3" t="str">
        <f t="shared" si="11"/>
        <v>01</v>
      </c>
      <c r="O66" s="14" t="str">
        <f t="shared" si="11"/>
        <v>00</v>
      </c>
    </row>
    <row r="67" spans="1:22" hidden="1">
      <c r="J67" s="1" t="str">
        <f t="shared" si="6"/>
        <v>0</v>
      </c>
      <c r="K67" s="3">
        <f t="shared" si="7"/>
        <v>-100</v>
      </c>
      <c r="L67" s="3">
        <f t="shared" si="8"/>
        <v>1</v>
      </c>
      <c r="M67" s="3">
        <f t="shared" si="9"/>
        <v>0</v>
      </c>
      <c r="N67" s="3" t="str">
        <f t="shared" si="11"/>
        <v>01</v>
      </c>
      <c r="O67" s="14" t="str">
        <f t="shared" si="11"/>
        <v>00</v>
      </c>
    </row>
    <row r="68" spans="1:22" hidden="1">
      <c r="J68" s="1" t="str">
        <f t="shared" si="6"/>
        <v>0</v>
      </c>
      <c r="K68" s="3">
        <f t="shared" si="7"/>
        <v>-100</v>
      </c>
      <c r="L68" s="3">
        <f t="shared" si="8"/>
        <v>1</v>
      </c>
      <c r="M68" s="3">
        <f t="shared" si="9"/>
        <v>0</v>
      </c>
      <c r="N68" s="3" t="str">
        <f t="shared" si="11"/>
        <v>01</v>
      </c>
      <c r="O68" s="14" t="str">
        <f t="shared" si="11"/>
        <v>00</v>
      </c>
    </row>
    <row r="69" spans="1:22">
      <c r="A69" s="3">
        <v>62</v>
      </c>
      <c r="B69" s="1">
        <f t="shared" ref="B69:B70" si="12">IF(G69="-",0,IF(G68=G69,1,0))</f>
        <v>0</v>
      </c>
      <c r="C69" s="1">
        <f t="shared" ref="C69:C70" si="13">+IF(G69="-",0,IF(I69=I68+1,0,(IF(I69=1,0,1))))</f>
        <v>0</v>
      </c>
      <c r="D69" s="1">
        <f t="shared" ref="D69:D70" si="14">+IF(AND(P69="",Q69=""),1,0)</f>
        <v>0</v>
      </c>
      <c r="E69" s="1">
        <f t="shared" ref="E69:F70" si="15">IF(U69="",1,0)</f>
        <v>0</v>
      </c>
      <c r="F69" s="1">
        <f t="shared" si="15"/>
        <v>0</v>
      </c>
      <c r="G69" s="1" t="str">
        <f t="shared" ref="G69:G70" si="16">IF(H69=0,"-",_xlfn.CONCAT(K69,N69,O69,J69))</f>
        <v>24040101</v>
      </c>
      <c r="H69" s="2">
        <v>45383</v>
      </c>
      <c r="I69" s="36">
        <v>1</v>
      </c>
      <c r="J69" s="1" t="str">
        <f t="shared" si="6"/>
        <v>01</v>
      </c>
      <c r="K69" s="3">
        <f t="shared" si="7"/>
        <v>24</v>
      </c>
      <c r="L69" s="3">
        <f t="shared" si="8"/>
        <v>4</v>
      </c>
      <c r="M69" s="3">
        <f t="shared" si="9"/>
        <v>1</v>
      </c>
      <c r="N69" s="3" t="str">
        <f t="shared" si="11"/>
        <v>04</v>
      </c>
      <c r="O69" s="14" t="str">
        <f t="shared" si="11"/>
        <v>01</v>
      </c>
      <c r="P69" s="4">
        <v>550000</v>
      </c>
      <c r="R69" s="6">
        <v>495</v>
      </c>
      <c r="S69" s="5">
        <f>+P69/R69</f>
        <v>1111.1111111111111</v>
      </c>
      <c r="T69" s="5" t="s">
        <v>295</v>
      </c>
      <c r="U69" s="3" t="s">
        <v>3</v>
      </c>
      <c r="V69" s="3" t="s">
        <v>5</v>
      </c>
    </row>
    <row r="70" spans="1:22">
      <c r="A70" s="3">
        <v>63</v>
      </c>
      <c r="B70" s="1">
        <f t="shared" si="12"/>
        <v>0</v>
      </c>
      <c r="C70" s="1">
        <f t="shared" si="13"/>
        <v>0</v>
      </c>
      <c r="D70" s="1">
        <f t="shared" si="14"/>
        <v>0</v>
      </c>
      <c r="E70" s="1">
        <f t="shared" si="15"/>
        <v>0</v>
      </c>
      <c r="F70" s="1">
        <f t="shared" si="15"/>
        <v>0</v>
      </c>
      <c r="G70" s="1" t="str">
        <f t="shared" si="16"/>
        <v>24040102</v>
      </c>
      <c r="H70" s="2">
        <v>45383</v>
      </c>
      <c r="I70" s="36">
        <v>2</v>
      </c>
      <c r="J70" s="1" t="str">
        <f t="shared" si="6"/>
        <v>02</v>
      </c>
      <c r="K70" s="3">
        <f t="shared" si="7"/>
        <v>24</v>
      </c>
      <c r="L70" s="3">
        <f t="shared" si="8"/>
        <v>4</v>
      </c>
      <c r="M70" s="3">
        <f t="shared" si="9"/>
        <v>1</v>
      </c>
      <c r="N70" s="3" t="str">
        <f t="shared" si="11"/>
        <v>04</v>
      </c>
      <c r="O70" s="14" t="str">
        <f t="shared" si="11"/>
        <v>01</v>
      </c>
      <c r="Q70" s="5">
        <v>3</v>
      </c>
      <c r="T70" s="5" t="s">
        <v>725</v>
      </c>
      <c r="U70" s="3" t="s">
        <v>3</v>
      </c>
      <c r="V70" s="3" t="s">
        <v>5</v>
      </c>
    </row>
    <row r="71" spans="1:22" hidden="1">
      <c r="J71" s="1" t="str">
        <f t="shared" si="6"/>
        <v>0</v>
      </c>
      <c r="K71" s="3">
        <f t="shared" si="7"/>
        <v>-100</v>
      </c>
      <c r="L71" s="3">
        <f t="shared" si="8"/>
        <v>1</v>
      </c>
      <c r="M71" s="3">
        <f t="shared" si="9"/>
        <v>0</v>
      </c>
      <c r="N71" s="3" t="str">
        <f t="shared" si="11"/>
        <v>01</v>
      </c>
      <c r="O71" s="14" t="str">
        <f t="shared" si="11"/>
        <v>00</v>
      </c>
    </row>
    <row r="72" spans="1:22" hidden="1">
      <c r="J72" s="1" t="str">
        <f t="shared" si="6"/>
        <v>0</v>
      </c>
      <c r="K72" s="3">
        <f t="shared" si="7"/>
        <v>-100</v>
      </c>
      <c r="L72" s="3">
        <f t="shared" si="8"/>
        <v>1</v>
      </c>
      <c r="M72" s="3">
        <f t="shared" si="9"/>
        <v>0</v>
      </c>
      <c r="N72" s="3" t="str">
        <f t="shared" si="11"/>
        <v>01</v>
      </c>
      <c r="O72" s="14" t="str">
        <f t="shared" si="11"/>
        <v>00</v>
      </c>
    </row>
    <row r="73" spans="1:22" hidden="1">
      <c r="J73" s="1" t="str">
        <f t="shared" si="6"/>
        <v>0</v>
      </c>
      <c r="K73" s="3">
        <f t="shared" si="7"/>
        <v>-100</v>
      </c>
      <c r="L73" s="3">
        <f t="shared" si="8"/>
        <v>1</v>
      </c>
      <c r="M73" s="3">
        <f t="shared" si="9"/>
        <v>0</v>
      </c>
      <c r="N73" s="3" t="str">
        <f t="shared" si="11"/>
        <v>01</v>
      </c>
      <c r="O73" s="14" t="str">
        <f t="shared" si="11"/>
        <v>00</v>
      </c>
    </row>
    <row r="74" spans="1:22" hidden="1">
      <c r="J74" s="1" t="str">
        <f t="shared" si="6"/>
        <v>0</v>
      </c>
      <c r="K74" s="3">
        <f t="shared" si="7"/>
        <v>-100</v>
      </c>
      <c r="L74" s="3">
        <f t="shared" si="8"/>
        <v>1</v>
      </c>
      <c r="M74" s="3">
        <f t="shared" si="9"/>
        <v>0</v>
      </c>
      <c r="N74" s="3" t="str">
        <f t="shared" si="11"/>
        <v>01</v>
      </c>
      <c r="O74" s="14" t="str">
        <f t="shared" si="11"/>
        <v>00</v>
      </c>
    </row>
    <row r="75" spans="1:22" hidden="1">
      <c r="J75" s="1" t="str">
        <f t="shared" si="6"/>
        <v>0</v>
      </c>
      <c r="K75" s="3">
        <f t="shared" si="7"/>
        <v>-100</v>
      </c>
      <c r="L75" s="3">
        <f t="shared" si="8"/>
        <v>1</v>
      </c>
      <c r="M75" s="3">
        <f t="shared" si="9"/>
        <v>0</v>
      </c>
      <c r="N75" s="3" t="str">
        <f t="shared" si="11"/>
        <v>01</v>
      </c>
      <c r="O75" s="14" t="str">
        <f t="shared" si="11"/>
        <v>00</v>
      </c>
    </row>
    <row r="76" spans="1:22" hidden="1">
      <c r="J76" s="1" t="str">
        <f t="shared" si="6"/>
        <v>0</v>
      </c>
      <c r="K76" s="3">
        <f t="shared" si="7"/>
        <v>-100</v>
      </c>
      <c r="L76" s="3">
        <f t="shared" si="8"/>
        <v>1</v>
      </c>
      <c r="M76" s="3">
        <f t="shared" si="9"/>
        <v>0</v>
      </c>
      <c r="N76" s="3" t="str">
        <f t="shared" si="11"/>
        <v>01</v>
      </c>
      <c r="O76" s="14" t="str">
        <f t="shared" si="11"/>
        <v>00</v>
      </c>
    </row>
    <row r="77" spans="1:22" hidden="1">
      <c r="J77" s="1" t="str">
        <f t="shared" si="6"/>
        <v>0</v>
      </c>
      <c r="K77" s="3">
        <f t="shared" si="7"/>
        <v>-100</v>
      </c>
      <c r="L77" s="3">
        <f t="shared" si="8"/>
        <v>1</v>
      </c>
      <c r="M77" s="3">
        <f t="shared" si="9"/>
        <v>0</v>
      </c>
      <c r="N77" s="3" t="str">
        <f t="shared" si="11"/>
        <v>01</v>
      </c>
      <c r="O77" s="14" t="str">
        <f t="shared" si="11"/>
        <v>00</v>
      </c>
      <c r="T77" s="16"/>
    </row>
    <row r="78" spans="1:22" hidden="1">
      <c r="J78" s="1" t="str">
        <f t="shared" si="6"/>
        <v>0</v>
      </c>
      <c r="K78" s="3">
        <f t="shared" si="7"/>
        <v>-100</v>
      </c>
      <c r="L78" s="3">
        <f t="shared" si="8"/>
        <v>1</v>
      </c>
      <c r="M78" s="3">
        <f t="shared" si="9"/>
        <v>0</v>
      </c>
      <c r="N78" s="3" t="str">
        <f t="shared" si="11"/>
        <v>01</v>
      </c>
      <c r="O78" s="14" t="str">
        <f t="shared" si="11"/>
        <v>00</v>
      </c>
    </row>
    <row r="79" spans="1:22" hidden="1">
      <c r="J79" s="1" t="str">
        <f t="shared" si="6"/>
        <v>0</v>
      </c>
      <c r="K79" s="3">
        <f t="shared" si="7"/>
        <v>-100</v>
      </c>
      <c r="L79" s="3">
        <f t="shared" si="8"/>
        <v>1</v>
      </c>
      <c r="M79" s="3">
        <f t="shared" si="9"/>
        <v>0</v>
      </c>
      <c r="N79" s="3" t="str">
        <f t="shared" si="11"/>
        <v>01</v>
      </c>
      <c r="O79" s="14" t="str">
        <f t="shared" si="11"/>
        <v>00</v>
      </c>
    </row>
    <row r="80" spans="1:22" hidden="1">
      <c r="J80" s="1" t="str">
        <f t="shared" si="6"/>
        <v>0</v>
      </c>
      <c r="K80" s="3">
        <f t="shared" si="7"/>
        <v>-100</v>
      </c>
      <c r="L80" s="3">
        <f t="shared" si="8"/>
        <v>1</v>
      </c>
      <c r="M80" s="3">
        <f t="shared" si="9"/>
        <v>0</v>
      </c>
      <c r="N80" s="3" t="str">
        <f t="shared" si="11"/>
        <v>01</v>
      </c>
      <c r="O80" s="14" t="str">
        <f t="shared" si="11"/>
        <v>00</v>
      </c>
    </row>
    <row r="81" spans="10:15" hidden="1">
      <c r="J81" s="1" t="str">
        <f t="shared" si="6"/>
        <v>0</v>
      </c>
      <c r="K81" s="3">
        <f t="shared" si="7"/>
        <v>-100</v>
      </c>
      <c r="L81" s="3">
        <f t="shared" si="8"/>
        <v>1</v>
      </c>
      <c r="M81" s="3">
        <f t="shared" si="9"/>
        <v>0</v>
      </c>
      <c r="N81" s="3" t="str">
        <f t="shared" si="11"/>
        <v>01</v>
      </c>
      <c r="O81" s="14" t="str">
        <f t="shared" si="11"/>
        <v>00</v>
      </c>
    </row>
    <row r="82" spans="10:15" hidden="1">
      <c r="J82" s="1" t="str">
        <f t="shared" si="6"/>
        <v>0</v>
      </c>
      <c r="K82" s="3">
        <f t="shared" si="7"/>
        <v>-100</v>
      </c>
      <c r="L82" s="3">
        <f t="shared" si="8"/>
        <v>1</v>
      </c>
      <c r="M82" s="3">
        <f t="shared" si="9"/>
        <v>0</v>
      </c>
      <c r="N82" s="3" t="str">
        <f t="shared" si="11"/>
        <v>01</v>
      </c>
      <c r="O82" s="14" t="str">
        <f t="shared" si="11"/>
        <v>00</v>
      </c>
    </row>
    <row r="83" spans="10:15" hidden="1">
      <c r="J83" s="1" t="str">
        <f t="shared" si="6"/>
        <v>0</v>
      </c>
      <c r="K83" s="3">
        <f t="shared" si="7"/>
        <v>-100</v>
      </c>
      <c r="L83" s="3">
        <f t="shared" si="8"/>
        <v>1</v>
      </c>
      <c r="M83" s="3">
        <f t="shared" si="9"/>
        <v>0</v>
      </c>
      <c r="N83" s="3" t="str">
        <f t="shared" si="11"/>
        <v>01</v>
      </c>
      <c r="O83" s="14" t="str">
        <f t="shared" si="11"/>
        <v>00</v>
      </c>
    </row>
    <row r="84" spans="10:15" hidden="1">
      <c r="J84" s="1" t="str">
        <f t="shared" si="6"/>
        <v>0</v>
      </c>
      <c r="K84" s="3">
        <f t="shared" si="7"/>
        <v>-100</v>
      </c>
      <c r="L84" s="3">
        <f t="shared" si="8"/>
        <v>1</v>
      </c>
      <c r="M84" s="3">
        <f t="shared" si="9"/>
        <v>0</v>
      </c>
      <c r="N84" s="3" t="str">
        <f t="shared" si="11"/>
        <v>01</v>
      </c>
      <c r="O84" s="14" t="str">
        <f t="shared" si="11"/>
        <v>00</v>
      </c>
    </row>
    <row r="85" spans="10:15" hidden="1">
      <c r="J85" s="1" t="str">
        <f t="shared" si="6"/>
        <v>0</v>
      </c>
      <c r="K85" s="3">
        <f t="shared" si="7"/>
        <v>-100</v>
      </c>
      <c r="L85" s="3">
        <f t="shared" si="8"/>
        <v>1</v>
      </c>
      <c r="M85" s="3">
        <f t="shared" si="9"/>
        <v>0</v>
      </c>
      <c r="N85" s="3" t="str">
        <f t="shared" si="11"/>
        <v>01</v>
      </c>
      <c r="O85" s="14" t="str">
        <f t="shared" si="11"/>
        <v>00</v>
      </c>
    </row>
    <row r="86" spans="10:15" hidden="1">
      <c r="J86" s="1" t="str">
        <f t="shared" si="6"/>
        <v>0</v>
      </c>
      <c r="K86" s="3">
        <f t="shared" si="7"/>
        <v>-100</v>
      </c>
      <c r="L86" s="3">
        <f t="shared" si="8"/>
        <v>1</v>
      </c>
      <c r="M86" s="3">
        <f t="shared" si="9"/>
        <v>0</v>
      </c>
      <c r="N86" s="3" t="str">
        <f t="shared" si="11"/>
        <v>01</v>
      </c>
      <c r="O86" s="14" t="str">
        <f t="shared" si="11"/>
        <v>00</v>
      </c>
    </row>
    <row r="87" spans="10:15" hidden="1">
      <c r="J87" s="1" t="str">
        <f t="shared" si="6"/>
        <v>0</v>
      </c>
      <c r="K87" s="3">
        <f t="shared" si="7"/>
        <v>-100</v>
      </c>
      <c r="L87" s="3">
        <f t="shared" si="8"/>
        <v>1</v>
      </c>
      <c r="M87" s="3">
        <f t="shared" si="9"/>
        <v>0</v>
      </c>
      <c r="N87" s="3" t="str">
        <f t="shared" si="11"/>
        <v>01</v>
      </c>
      <c r="O87" s="14" t="str">
        <f t="shared" si="11"/>
        <v>00</v>
      </c>
    </row>
    <row r="88" spans="10:15" hidden="1">
      <c r="J88" s="1" t="str">
        <f t="shared" si="6"/>
        <v>0</v>
      </c>
      <c r="K88" s="3">
        <f t="shared" si="7"/>
        <v>-100</v>
      </c>
      <c r="L88" s="3">
        <f t="shared" si="8"/>
        <v>1</v>
      </c>
      <c r="M88" s="3">
        <f t="shared" si="9"/>
        <v>0</v>
      </c>
      <c r="N88" s="3" t="str">
        <f t="shared" si="11"/>
        <v>01</v>
      </c>
      <c r="O88" s="14" t="str">
        <f t="shared" si="11"/>
        <v>00</v>
      </c>
    </row>
    <row r="89" spans="10:15" hidden="1">
      <c r="J89" s="1" t="str">
        <f t="shared" si="6"/>
        <v>0</v>
      </c>
      <c r="K89" s="3">
        <f t="shared" si="7"/>
        <v>-100</v>
      </c>
      <c r="L89" s="3">
        <f t="shared" si="8"/>
        <v>1</v>
      </c>
      <c r="M89" s="3">
        <f t="shared" si="9"/>
        <v>0</v>
      </c>
      <c r="N89" s="3" t="str">
        <f t="shared" si="11"/>
        <v>01</v>
      </c>
      <c r="O89" s="14" t="str">
        <f t="shared" si="11"/>
        <v>00</v>
      </c>
    </row>
    <row r="90" spans="10:15" hidden="1">
      <c r="J90" s="1" t="str">
        <f t="shared" si="6"/>
        <v>0</v>
      </c>
      <c r="K90" s="3">
        <f t="shared" si="7"/>
        <v>-100</v>
      </c>
      <c r="L90" s="3">
        <f t="shared" si="8"/>
        <v>1</v>
      </c>
      <c r="M90" s="3">
        <f t="shared" si="9"/>
        <v>0</v>
      </c>
      <c r="N90" s="3" t="str">
        <f t="shared" si="11"/>
        <v>01</v>
      </c>
      <c r="O90" s="14" t="str">
        <f t="shared" si="11"/>
        <v>00</v>
      </c>
    </row>
    <row r="91" spans="10:15" hidden="1">
      <c r="J91" s="1" t="str">
        <f t="shared" ref="J91:J154" si="17">+IF(I91&lt;10,_xlfn.CONCAT("0",I91),I91)</f>
        <v>0</v>
      </c>
      <c r="K91" s="3">
        <f t="shared" ref="K91:K154" si="18">+YEAR(H91)-2000</f>
        <v>-100</v>
      </c>
      <c r="L91" s="3">
        <f t="shared" ref="L91:L154" si="19">+MONTH(H91)</f>
        <v>1</v>
      </c>
      <c r="M91" s="3">
        <f t="shared" ref="M91:M154" si="20">+DAY(H91)</f>
        <v>0</v>
      </c>
      <c r="N91" s="3" t="str">
        <f t="shared" ref="N91:O122" si="21">+IF(L91&lt;10,_xlfn.CONCAT("0",L91),L91)</f>
        <v>01</v>
      </c>
      <c r="O91" s="14" t="str">
        <f t="shared" si="21"/>
        <v>00</v>
      </c>
    </row>
    <row r="92" spans="10:15" hidden="1">
      <c r="J92" s="1" t="str">
        <f t="shared" si="17"/>
        <v>0</v>
      </c>
      <c r="K92" s="3">
        <f t="shared" si="18"/>
        <v>-100</v>
      </c>
      <c r="L92" s="3">
        <f t="shared" si="19"/>
        <v>1</v>
      </c>
      <c r="M92" s="3">
        <f t="shared" si="20"/>
        <v>0</v>
      </c>
      <c r="N92" s="3" t="str">
        <f t="shared" si="21"/>
        <v>01</v>
      </c>
      <c r="O92" s="14" t="str">
        <f t="shared" si="21"/>
        <v>00</v>
      </c>
    </row>
    <row r="93" spans="10:15" hidden="1">
      <c r="J93" s="1" t="str">
        <f t="shared" si="17"/>
        <v>0</v>
      </c>
      <c r="K93" s="3">
        <f t="shared" si="18"/>
        <v>-100</v>
      </c>
      <c r="L93" s="3">
        <f t="shared" si="19"/>
        <v>1</v>
      </c>
      <c r="M93" s="3">
        <f t="shared" si="20"/>
        <v>0</v>
      </c>
      <c r="N93" s="3" t="str">
        <f t="shared" si="21"/>
        <v>01</v>
      </c>
      <c r="O93" s="14" t="str">
        <f t="shared" si="21"/>
        <v>00</v>
      </c>
    </row>
    <row r="94" spans="10:15" hidden="1">
      <c r="J94" s="1" t="str">
        <f t="shared" si="17"/>
        <v>0</v>
      </c>
      <c r="K94" s="3">
        <f t="shared" si="18"/>
        <v>-100</v>
      </c>
      <c r="L94" s="3">
        <f t="shared" si="19"/>
        <v>1</v>
      </c>
      <c r="M94" s="3">
        <f t="shared" si="20"/>
        <v>0</v>
      </c>
      <c r="N94" s="3" t="str">
        <f t="shared" si="21"/>
        <v>01</v>
      </c>
      <c r="O94" s="14" t="str">
        <f t="shared" si="21"/>
        <v>00</v>
      </c>
    </row>
    <row r="95" spans="10:15" hidden="1">
      <c r="J95" s="1" t="str">
        <f t="shared" si="17"/>
        <v>0</v>
      </c>
      <c r="K95" s="3">
        <f t="shared" si="18"/>
        <v>-100</v>
      </c>
      <c r="L95" s="3">
        <f t="shared" si="19"/>
        <v>1</v>
      </c>
      <c r="M95" s="3">
        <f t="shared" si="20"/>
        <v>0</v>
      </c>
      <c r="N95" s="3" t="str">
        <f t="shared" si="21"/>
        <v>01</v>
      </c>
      <c r="O95" s="14" t="str">
        <f t="shared" si="21"/>
        <v>00</v>
      </c>
    </row>
    <row r="96" spans="10:15" hidden="1">
      <c r="J96" s="1" t="str">
        <f t="shared" si="17"/>
        <v>0</v>
      </c>
      <c r="K96" s="3">
        <f t="shared" si="18"/>
        <v>-100</v>
      </c>
      <c r="L96" s="3">
        <f t="shared" si="19"/>
        <v>1</v>
      </c>
      <c r="M96" s="3">
        <f t="shared" si="20"/>
        <v>0</v>
      </c>
      <c r="N96" s="3" t="str">
        <f t="shared" si="21"/>
        <v>01</v>
      </c>
      <c r="O96" s="14" t="str">
        <f t="shared" si="21"/>
        <v>00</v>
      </c>
    </row>
    <row r="97" spans="10:16" hidden="1">
      <c r="J97" s="1" t="str">
        <f t="shared" si="17"/>
        <v>0</v>
      </c>
      <c r="K97" s="3">
        <f t="shared" si="18"/>
        <v>-100</v>
      </c>
      <c r="L97" s="3">
        <f t="shared" si="19"/>
        <v>1</v>
      </c>
      <c r="M97" s="3">
        <f t="shared" si="20"/>
        <v>0</v>
      </c>
      <c r="N97" s="3" t="str">
        <f t="shared" si="21"/>
        <v>01</v>
      </c>
      <c r="O97" s="14" t="str">
        <f t="shared" si="21"/>
        <v>00</v>
      </c>
    </row>
    <row r="98" spans="10:16" hidden="1">
      <c r="J98" s="1" t="str">
        <f t="shared" si="17"/>
        <v>0</v>
      </c>
      <c r="K98" s="3">
        <f t="shared" si="18"/>
        <v>-100</v>
      </c>
      <c r="L98" s="3">
        <f t="shared" si="19"/>
        <v>1</v>
      </c>
      <c r="M98" s="3">
        <f t="shared" si="20"/>
        <v>0</v>
      </c>
      <c r="N98" s="3" t="str">
        <f t="shared" si="21"/>
        <v>01</v>
      </c>
      <c r="O98" s="14" t="str">
        <f t="shared" si="21"/>
        <v>00</v>
      </c>
    </row>
    <row r="99" spans="10:16" hidden="1">
      <c r="J99" s="1" t="str">
        <f t="shared" si="17"/>
        <v>0</v>
      </c>
      <c r="K99" s="3">
        <f t="shared" si="18"/>
        <v>-100</v>
      </c>
      <c r="L99" s="3">
        <f t="shared" si="19"/>
        <v>1</v>
      </c>
      <c r="M99" s="3">
        <f t="shared" si="20"/>
        <v>0</v>
      </c>
      <c r="N99" s="3" t="str">
        <f t="shared" si="21"/>
        <v>01</v>
      </c>
      <c r="O99" s="14" t="str">
        <f t="shared" si="21"/>
        <v>00</v>
      </c>
    </row>
    <row r="100" spans="10:16" hidden="1">
      <c r="J100" s="1" t="str">
        <f t="shared" si="17"/>
        <v>0</v>
      </c>
      <c r="K100" s="3">
        <f t="shared" si="18"/>
        <v>-100</v>
      </c>
      <c r="L100" s="3">
        <f t="shared" si="19"/>
        <v>1</v>
      </c>
      <c r="M100" s="3">
        <f t="shared" si="20"/>
        <v>0</v>
      </c>
      <c r="N100" s="3" t="str">
        <f t="shared" si="21"/>
        <v>01</v>
      </c>
      <c r="O100" s="14" t="str">
        <f t="shared" si="21"/>
        <v>00</v>
      </c>
    </row>
    <row r="101" spans="10:16" hidden="1">
      <c r="J101" s="1" t="str">
        <f t="shared" si="17"/>
        <v>0</v>
      </c>
      <c r="K101" s="3">
        <f t="shared" si="18"/>
        <v>-100</v>
      </c>
      <c r="L101" s="3">
        <f t="shared" si="19"/>
        <v>1</v>
      </c>
      <c r="M101" s="3">
        <f t="shared" si="20"/>
        <v>0</v>
      </c>
      <c r="N101" s="3" t="str">
        <f t="shared" si="21"/>
        <v>01</v>
      </c>
      <c r="O101" s="14" t="str">
        <f t="shared" si="21"/>
        <v>00</v>
      </c>
    </row>
    <row r="102" spans="10:16" hidden="1">
      <c r="J102" s="1" t="str">
        <f t="shared" si="17"/>
        <v>0</v>
      </c>
      <c r="K102" s="3">
        <f t="shared" si="18"/>
        <v>-100</v>
      </c>
      <c r="L102" s="3">
        <f t="shared" si="19"/>
        <v>1</v>
      </c>
      <c r="M102" s="3">
        <f t="shared" si="20"/>
        <v>0</v>
      </c>
      <c r="N102" s="3" t="str">
        <f t="shared" si="21"/>
        <v>01</v>
      </c>
      <c r="O102" s="14" t="str">
        <f t="shared" si="21"/>
        <v>00</v>
      </c>
    </row>
    <row r="103" spans="10:16" hidden="1">
      <c r="J103" s="1" t="str">
        <f t="shared" si="17"/>
        <v>0</v>
      </c>
      <c r="K103" s="3">
        <f t="shared" si="18"/>
        <v>-100</v>
      </c>
      <c r="L103" s="3">
        <f t="shared" si="19"/>
        <v>1</v>
      </c>
      <c r="M103" s="3">
        <f t="shared" si="20"/>
        <v>0</v>
      </c>
      <c r="N103" s="3" t="str">
        <f t="shared" si="21"/>
        <v>01</v>
      </c>
      <c r="O103" s="14" t="str">
        <f t="shared" si="21"/>
        <v>00</v>
      </c>
    </row>
    <row r="104" spans="10:16" hidden="1">
      <c r="J104" s="1" t="str">
        <f t="shared" si="17"/>
        <v>0</v>
      </c>
      <c r="K104" s="3">
        <f t="shared" si="18"/>
        <v>-100</v>
      </c>
      <c r="L104" s="3">
        <f t="shared" si="19"/>
        <v>1</v>
      </c>
      <c r="M104" s="3">
        <f t="shared" si="20"/>
        <v>0</v>
      </c>
      <c r="N104" s="3" t="str">
        <f t="shared" si="21"/>
        <v>01</v>
      </c>
      <c r="O104" s="14" t="str">
        <f t="shared" si="21"/>
        <v>00</v>
      </c>
    </row>
    <row r="105" spans="10:16" hidden="1">
      <c r="J105" s="1" t="str">
        <f t="shared" si="17"/>
        <v>0</v>
      </c>
      <c r="K105" s="3">
        <f t="shared" si="18"/>
        <v>-100</v>
      </c>
      <c r="L105" s="3">
        <f t="shared" si="19"/>
        <v>1</v>
      </c>
      <c r="M105" s="3">
        <f t="shared" si="20"/>
        <v>0</v>
      </c>
      <c r="N105" s="3" t="str">
        <f t="shared" si="21"/>
        <v>01</v>
      </c>
      <c r="O105" s="14" t="str">
        <f t="shared" si="21"/>
        <v>00</v>
      </c>
    </row>
    <row r="106" spans="10:16" hidden="1">
      <c r="J106" s="1" t="str">
        <f t="shared" si="17"/>
        <v>0</v>
      </c>
      <c r="K106" s="3">
        <f t="shared" si="18"/>
        <v>-100</v>
      </c>
      <c r="L106" s="3">
        <f t="shared" si="19"/>
        <v>1</v>
      </c>
      <c r="M106" s="3">
        <f t="shared" si="20"/>
        <v>0</v>
      </c>
      <c r="N106" s="3" t="str">
        <f t="shared" si="21"/>
        <v>01</v>
      </c>
      <c r="O106" s="14" t="str">
        <f t="shared" si="21"/>
        <v>00</v>
      </c>
    </row>
    <row r="107" spans="10:16" hidden="1">
      <c r="J107" s="1" t="str">
        <f t="shared" si="17"/>
        <v>0</v>
      </c>
      <c r="K107" s="3">
        <f t="shared" si="18"/>
        <v>-100</v>
      </c>
      <c r="L107" s="3">
        <f t="shared" si="19"/>
        <v>1</v>
      </c>
      <c r="M107" s="3">
        <f t="shared" si="20"/>
        <v>0</v>
      </c>
      <c r="N107" s="3" t="str">
        <f t="shared" si="21"/>
        <v>01</v>
      </c>
      <c r="O107" s="14" t="str">
        <f t="shared" si="21"/>
        <v>00</v>
      </c>
      <c r="P107" s="11"/>
    </row>
    <row r="108" spans="10:16" hidden="1">
      <c r="J108" s="1" t="str">
        <f t="shared" si="17"/>
        <v>0</v>
      </c>
      <c r="K108" s="3">
        <f t="shared" si="18"/>
        <v>-100</v>
      </c>
      <c r="L108" s="3">
        <f t="shared" si="19"/>
        <v>1</v>
      </c>
      <c r="M108" s="3">
        <f t="shared" si="20"/>
        <v>0</v>
      </c>
      <c r="N108" s="3" t="str">
        <f t="shared" si="21"/>
        <v>01</v>
      </c>
      <c r="O108" s="14" t="str">
        <f t="shared" si="21"/>
        <v>00</v>
      </c>
      <c r="P108" s="11"/>
    </row>
    <row r="109" spans="10:16" hidden="1">
      <c r="J109" s="1" t="str">
        <f t="shared" si="17"/>
        <v>0</v>
      </c>
      <c r="K109" s="3">
        <f t="shared" si="18"/>
        <v>-100</v>
      </c>
      <c r="L109" s="3">
        <f t="shared" si="19"/>
        <v>1</v>
      </c>
      <c r="M109" s="3">
        <f t="shared" si="20"/>
        <v>0</v>
      </c>
      <c r="N109" s="3" t="str">
        <f t="shared" si="21"/>
        <v>01</v>
      </c>
      <c r="O109" s="14" t="str">
        <f t="shared" si="21"/>
        <v>00</v>
      </c>
      <c r="P109" s="11"/>
    </row>
    <row r="110" spans="10:16" hidden="1">
      <c r="J110" s="1" t="str">
        <f t="shared" si="17"/>
        <v>0</v>
      </c>
      <c r="K110" s="3">
        <f t="shared" si="18"/>
        <v>-100</v>
      </c>
      <c r="L110" s="3">
        <f t="shared" si="19"/>
        <v>1</v>
      </c>
      <c r="M110" s="3">
        <f t="shared" si="20"/>
        <v>0</v>
      </c>
      <c r="N110" s="3" t="str">
        <f t="shared" si="21"/>
        <v>01</v>
      </c>
      <c r="O110" s="14" t="str">
        <f t="shared" si="21"/>
        <v>00</v>
      </c>
      <c r="P110" s="11"/>
    </row>
    <row r="111" spans="10:16" hidden="1">
      <c r="J111" s="1" t="str">
        <f t="shared" si="17"/>
        <v>0</v>
      </c>
      <c r="K111" s="3">
        <f t="shared" si="18"/>
        <v>-100</v>
      </c>
      <c r="L111" s="3">
        <f t="shared" si="19"/>
        <v>1</v>
      </c>
      <c r="M111" s="3">
        <f t="shared" si="20"/>
        <v>0</v>
      </c>
      <c r="N111" s="3" t="str">
        <f t="shared" si="21"/>
        <v>01</v>
      </c>
      <c r="O111" s="14" t="str">
        <f t="shared" si="21"/>
        <v>00</v>
      </c>
      <c r="P111" s="11"/>
    </row>
    <row r="112" spans="10:16" hidden="1">
      <c r="J112" s="1" t="str">
        <f t="shared" si="17"/>
        <v>0</v>
      </c>
      <c r="K112" s="3">
        <f t="shared" si="18"/>
        <v>-100</v>
      </c>
      <c r="L112" s="3">
        <f t="shared" si="19"/>
        <v>1</v>
      </c>
      <c r="M112" s="3">
        <f t="shared" si="20"/>
        <v>0</v>
      </c>
      <c r="N112" s="3" t="str">
        <f t="shared" si="21"/>
        <v>01</v>
      </c>
      <c r="O112" s="14" t="str">
        <f t="shared" si="21"/>
        <v>00</v>
      </c>
      <c r="P112" s="11"/>
    </row>
    <row r="113" spans="10:15" hidden="1">
      <c r="J113" s="1" t="str">
        <f t="shared" si="17"/>
        <v>0</v>
      </c>
      <c r="K113" s="3">
        <f t="shared" si="18"/>
        <v>-100</v>
      </c>
      <c r="L113" s="3">
        <f t="shared" si="19"/>
        <v>1</v>
      </c>
      <c r="M113" s="3">
        <f t="shared" si="20"/>
        <v>0</v>
      </c>
      <c r="N113" s="3" t="str">
        <f t="shared" si="21"/>
        <v>01</v>
      </c>
      <c r="O113" s="14" t="str">
        <f t="shared" si="21"/>
        <v>00</v>
      </c>
    </row>
    <row r="114" spans="10:15" hidden="1">
      <c r="J114" s="1" t="str">
        <f t="shared" si="17"/>
        <v>0</v>
      </c>
      <c r="K114" s="3">
        <f t="shared" si="18"/>
        <v>-100</v>
      </c>
      <c r="L114" s="3">
        <f t="shared" si="19"/>
        <v>1</v>
      </c>
      <c r="M114" s="3">
        <f t="shared" si="20"/>
        <v>0</v>
      </c>
      <c r="N114" s="3" t="str">
        <f t="shared" si="21"/>
        <v>01</v>
      </c>
      <c r="O114" s="14" t="str">
        <f t="shared" si="21"/>
        <v>00</v>
      </c>
    </row>
    <row r="115" spans="10:15" hidden="1">
      <c r="J115" s="1" t="str">
        <f t="shared" si="17"/>
        <v>0</v>
      </c>
      <c r="K115" s="3">
        <f t="shared" si="18"/>
        <v>-100</v>
      </c>
      <c r="L115" s="3">
        <f t="shared" si="19"/>
        <v>1</v>
      </c>
      <c r="M115" s="3">
        <f t="shared" si="20"/>
        <v>0</v>
      </c>
      <c r="N115" s="3" t="str">
        <f t="shared" si="21"/>
        <v>01</v>
      </c>
      <c r="O115" s="14" t="str">
        <f t="shared" si="21"/>
        <v>00</v>
      </c>
    </row>
    <row r="116" spans="10:15" hidden="1">
      <c r="J116" s="1" t="str">
        <f t="shared" si="17"/>
        <v>0</v>
      </c>
      <c r="K116" s="3">
        <f t="shared" si="18"/>
        <v>-100</v>
      </c>
      <c r="L116" s="3">
        <f t="shared" si="19"/>
        <v>1</v>
      </c>
      <c r="M116" s="3">
        <f t="shared" si="20"/>
        <v>0</v>
      </c>
      <c r="N116" s="3" t="str">
        <f t="shared" si="21"/>
        <v>01</v>
      </c>
      <c r="O116" s="14" t="str">
        <f t="shared" si="21"/>
        <v>00</v>
      </c>
    </row>
    <row r="117" spans="10:15" hidden="1">
      <c r="J117" s="1" t="str">
        <f t="shared" si="17"/>
        <v>0</v>
      </c>
      <c r="K117" s="3">
        <f t="shared" si="18"/>
        <v>-100</v>
      </c>
      <c r="L117" s="3">
        <f t="shared" si="19"/>
        <v>1</v>
      </c>
      <c r="M117" s="3">
        <f t="shared" si="20"/>
        <v>0</v>
      </c>
      <c r="N117" s="3" t="str">
        <f t="shared" si="21"/>
        <v>01</v>
      </c>
      <c r="O117" s="14" t="str">
        <f t="shared" si="21"/>
        <v>00</v>
      </c>
    </row>
    <row r="118" spans="10:15" hidden="1">
      <c r="J118" s="1" t="str">
        <f t="shared" si="17"/>
        <v>0</v>
      </c>
      <c r="K118" s="3">
        <f t="shared" si="18"/>
        <v>-100</v>
      </c>
      <c r="L118" s="3">
        <f t="shared" si="19"/>
        <v>1</v>
      </c>
      <c r="M118" s="3">
        <f t="shared" si="20"/>
        <v>0</v>
      </c>
      <c r="N118" s="3" t="str">
        <f t="shared" si="21"/>
        <v>01</v>
      </c>
      <c r="O118" s="14" t="str">
        <f t="shared" si="21"/>
        <v>00</v>
      </c>
    </row>
    <row r="119" spans="10:15" hidden="1">
      <c r="J119" s="1" t="str">
        <f t="shared" si="17"/>
        <v>0</v>
      </c>
      <c r="K119" s="3">
        <f t="shared" si="18"/>
        <v>-100</v>
      </c>
      <c r="L119" s="3">
        <f t="shared" si="19"/>
        <v>1</v>
      </c>
      <c r="M119" s="3">
        <f t="shared" si="20"/>
        <v>0</v>
      </c>
      <c r="N119" s="3" t="str">
        <f t="shared" si="21"/>
        <v>01</v>
      </c>
      <c r="O119" s="14" t="str">
        <f t="shared" si="21"/>
        <v>00</v>
      </c>
    </row>
    <row r="120" spans="10:15" hidden="1">
      <c r="J120" s="1" t="str">
        <f t="shared" si="17"/>
        <v>0</v>
      </c>
      <c r="K120" s="3">
        <f t="shared" si="18"/>
        <v>-100</v>
      </c>
      <c r="L120" s="3">
        <f t="shared" si="19"/>
        <v>1</v>
      </c>
      <c r="M120" s="3">
        <f t="shared" si="20"/>
        <v>0</v>
      </c>
      <c r="N120" s="3" t="str">
        <f t="shared" si="21"/>
        <v>01</v>
      </c>
      <c r="O120" s="14" t="str">
        <f t="shared" si="21"/>
        <v>00</v>
      </c>
    </row>
    <row r="121" spans="10:15" hidden="1">
      <c r="J121" s="1" t="str">
        <f t="shared" si="17"/>
        <v>0</v>
      </c>
      <c r="K121" s="3">
        <f t="shared" si="18"/>
        <v>-100</v>
      </c>
      <c r="L121" s="3">
        <f t="shared" si="19"/>
        <v>1</v>
      </c>
      <c r="M121" s="3">
        <f t="shared" si="20"/>
        <v>0</v>
      </c>
      <c r="N121" s="3" t="str">
        <f t="shared" si="21"/>
        <v>01</v>
      </c>
      <c r="O121" s="14" t="str">
        <f t="shared" si="21"/>
        <v>00</v>
      </c>
    </row>
    <row r="122" spans="10:15" hidden="1">
      <c r="J122" s="1" t="str">
        <f t="shared" si="17"/>
        <v>0</v>
      </c>
      <c r="K122" s="3">
        <f t="shared" si="18"/>
        <v>-100</v>
      </c>
      <c r="L122" s="3">
        <f t="shared" si="19"/>
        <v>1</v>
      </c>
      <c r="M122" s="3">
        <f t="shared" si="20"/>
        <v>0</v>
      </c>
      <c r="N122" s="3" t="str">
        <f t="shared" si="21"/>
        <v>01</v>
      </c>
      <c r="O122" s="14" t="str">
        <f t="shared" si="21"/>
        <v>00</v>
      </c>
    </row>
    <row r="123" spans="10:15" hidden="1">
      <c r="J123" s="1" t="str">
        <f t="shared" si="17"/>
        <v>0</v>
      </c>
      <c r="K123" s="3">
        <f t="shared" si="18"/>
        <v>-100</v>
      </c>
      <c r="L123" s="3">
        <f t="shared" si="19"/>
        <v>1</v>
      </c>
      <c r="M123" s="3">
        <f t="shared" si="20"/>
        <v>0</v>
      </c>
      <c r="N123" s="3" t="str">
        <f t="shared" ref="N123:O154" si="22">+IF(L123&lt;10,_xlfn.CONCAT("0",L123),L123)</f>
        <v>01</v>
      </c>
      <c r="O123" s="14" t="str">
        <f t="shared" si="22"/>
        <v>00</v>
      </c>
    </row>
    <row r="124" spans="10:15" hidden="1">
      <c r="J124" s="1" t="str">
        <f t="shared" si="17"/>
        <v>0</v>
      </c>
      <c r="K124" s="3">
        <f t="shared" si="18"/>
        <v>-100</v>
      </c>
      <c r="L124" s="3">
        <f t="shared" si="19"/>
        <v>1</v>
      </c>
      <c r="M124" s="3">
        <f t="shared" si="20"/>
        <v>0</v>
      </c>
      <c r="N124" s="3" t="str">
        <f t="shared" si="22"/>
        <v>01</v>
      </c>
      <c r="O124" s="14" t="str">
        <f t="shared" si="22"/>
        <v>00</v>
      </c>
    </row>
    <row r="125" spans="10:15" hidden="1">
      <c r="J125" s="1" t="str">
        <f t="shared" si="17"/>
        <v>0</v>
      </c>
      <c r="K125" s="3">
        <f t="shared" si="18"/>
        <v>-100</v>
      </c>
      <c r="L125" s="3">
        <f t="shared" si="19"/>
        <v>1</v>
      </c>
      <c r="M125" s="3">
        <f t="shared" si="20"/>
        <v>0</v>
      </c>
      <c r="N125" s="3" t="str">
        <f t="shared" si="22"/>
        <v>01</v>
      </c>
      <c r="O125" s="14" t="str">
        <f t="shared" si="22"/>
        <v>00</v>
      </c>
    </row>
    <row r="126" spans="10:15" hidden="1">
      <c r="J126" s="1" t="str">
        <f t="shared" si="17"/>
        <v>0</v>
      </c>
      <c r="K126" s="3">
        <f t="shared" si="18"/>
        <v>-100</v>
      </c>
      <c r="L126" s="3">
        <f t="shared" si="19"/>
        <v>1</v>
      </c>
      <c r="M126" s="3">
        <f t="shared" si="20"/>
        <v>0</v>
      </c>
      <c r="N126" s="3" t="str">
        <f t="shared" si="22"/>
        <v>01</v>
      </c>
      <c r="O126" s="14" t="str">
        <f t="shared" si="22"/>
        <v>00</v>
      </c>
    </row>
    <row r="127" spans="10:15" hidden="1">
      <c r="J127" s="1" t="str">
        <f t="shared" si="17"/>
        <v>0</v>
      </c>
      <c r="K127" s="3">
        <f t="shared" si="18"/>
        <v>-100</v>
      </c>
      <c r="L127" s="3">
        <f t="shared" si="19"/>
        <v>1</v>
      </c>
      <c r="M127" s="3">
        <f t="shared" si="20"/>
        <v>0</v>
      </c>
      <c r="N127" s="3" t="str">
        <f t="shared" si="22"/>
        <v>01</v>
      </c>
      <c r="O127" s="14" t="str">
        <f t="shared" si="22"/>
        <v>00</v>
      </c>
    </row>
    <row r="128" spans="10:15" hidden="1">
      <c r="J128" s="1" t="str">
        <f t="shared" si="17"/>
        <v>0</v>
      </c>
      <c r="K128" s="3">
        <f t="shared" si="18"/>
        <v>-100</v>
      </c>
      <c r="L128" s="3">
        <f t="shared" si="19"/>
        <v>1</v>
      </c>
      <c r="M128" s="3">
        <f t="shared" si="20"/>
        <v>0</v>
      </c>
      <c r="N128" s="3" t="str">
        <f t="shared" si="22"/>
        <v>01</v>
      </c>
      <c r="O128" s="14" t="str">
        <f t="shared" si="22"/>
        <v>00</v>
      </c>
    </row>
    <row r="129" spans="10:15" hidden="1">
      <c r="J129" s="1" t="str">
        <f t="shared" si="17"/>
        <v>0</v>
      </c>
      <c r="K129" s="3">
        <f t="shared" si="18"/>
        <v>-100</v>
      </c>
      <c r="L129" s="3">
        <f t="shared" si="19"/>
        <v>1</v>
      </c>
      <c r="M129" s="3">
        <f t="shared" si="20"/>
        <v>0</v>
      </c>
      <c r="N129" s="3" t="str">
        <f t="shared" si="22"/>
        <v>01</v>
      </c>
      <c r="O129" s="14" t="str">
        <f t="shared" si="22"/>
        <v>00</v>
      </c>
    </row>
    <row r="130" spans="10:15" hidden="1">
      <c r="J130" s="1" t="str">
        <f t="shared" si="17"/>
        <v>0</v>
      </c>
      <c r="K130" s="3">
        <f t="shared" si="18"/>
        <v>-100</v>
      </c>
      <c r="L130" s="3">
        <f t="shared" si="19"/>
        <v>1</v>
      </c>
      <c r="M130" s="3">
        <f t="shared" si="20"/>
        <v>0</v>
      </c>
      <c r="N130" s="3" t="str">
        <f t="shared" si="22"/>
        <v>01</v>
      </c>
      <c r="O130" s="14" t="str">
        <f t="shared" si="22"/>
        <v>00</v>
      </c>
    </row>
    <row r="131" spans="10:15" hidden="1">
      <c r="J131" s="1" t="str">
        <f t="shared" si="17"/>
        <v>0</v>
      </c>
      <c r="K131" s="3">
        <f t="shared" si="18"/>
        <v>-100</v>
      </c>
      <c r="L131" s="3">
        <f t="shared" si="19"/>
        <v>1</v>
      </c>
      <c r="M131" s="3">
        <f t="shared" si="20"/>
        <v>0</v>
      </c>
      <c r="N131" s="3" t="str">
        <f t="shared" si="22"/>
        <v>01</v>
      </c>
      <c r="O131" s="14" t="str">
        <f t="shared" si="22"/>
        <v>00</v>
      </c>
    </row>
    <row r="132" spans="10:15" hidden="1">
      <c r="J132" s="1" t="str">
        <f t="shared" si="17"/>
        <v>0</v>
      </c>
      <c r="K132" s="3">
        <f t="shared" si="18"/>
        <v>-100</v>
      </c>
      <c r="L132" s="3">
        <f t="shared" si="19"/>
        <v>1</v>
      </c>
      <c r="M132" s="3">
        <f t="shared" si="20"/>
        <v>0</v>
      </c>
      <c r="N132" s="3" t="str">
        <f t="shared" si="22"/>
        <v>01</v>
      </c>
      <c r="O132" s="14" t="str">
        <f t="shared" si="22"/>
        <v>00</v>
      </c>
    </row>
    <row r="133" spans="10:15" hidden="1">
      <c r="J133" s="1" t="str">
        <f t="shared" si="17"/>
        <v>0</v>
      </c>
      <c r="K133" s="3">
        <f t="shared" si="18"/>
        <v>-100</v>
      </c>
      <c r="L133" s="3">
        <f t="shared" si="19"/>
        <v>1</v>
      </c>
      <c r="M133" s="3">
        <f t="shared" si="20"/>
        <v>0</v>
      </c>
      <c r="N133" s="3" t="str">
        <f t="shared" si="22"/>
        <v>01</v>
      </c>
      <c r="O133" s="14" t="str">
        <f t="shared" si="22"/>
        <v>00</v>
      </c>
    </row>
    <row r="134" spans="10:15" hidden="1">
      <c r="J134" s="1" t="str">
        <f t="shared" si="17"/>
        <v>0</v>
      </c>
      <c r="K134" s="3">
        <f t="shared" si="18"/>
        <v>-100</v>
      </c>
      <c r="L134" s="3">
        <f t="shared" si="19"/>
        <v>1</v>
      </c>
      <c r="M134" s="3">
        <f t="shared" si="20"/>
        <v>0</v>
      </c>
      <c r="N134" s="3" t="str">
        <f t="shared" si="22"/>
        <v>01</v>
      </c>
      <c r="O134" s="14" t="str">
        <f t="shared" si="22"/>
        <v>00</v>
      </c>
    </row>
    <row r="135" spans="10:15" hidden="1">
      <c r="J135" s="1" t="str">
        <f t="shared" si="17"/>
        <v>0</v>
      </c>
      <c r="K135" s="3">
        <f t="shared" si="18"/>
        <v>-100</v>
      </c>
      <c r="L135" s="3">
        <f t="shared" si="19"/>
        <v>1</v>
      </c>
      <c r="M135" s="3">
        <f t="shared" si="20"/>
        <v>0</v>
      </c>
      <c r="N135" s="3" t="str">
        <f t="shared" si="22"/>
        <v>01</v>
      </c>
      <c r="O135" s="14" t="str">
        <f t="shared" si="22"/>
        <v>00</v>
      </c>
    </row>
    <row r="136" spans="10:15" hidden="1">
      <c r="J136" s="1" t="str">
        <f t="shared" si="17"/>
        <v>0</v>
      </c>
      <c r="K136" s="3">
        <f t="shared" si="18"/>
        <v>-100</v>
      </c>
      <c r="L136" s="3">
        <f t="shared" si="19"/>
        <v>1</v>
      </c>
      <c r="M136" s="3">
        <f t="shared" si="20"/>
        <v>0</v>
      </c>
      <c r="N136" s="3" t="str">
        <f t="shared" si="22"/>
        <v>01</v>
      </c>
      <c r="O136" s="14" t="str">
        <f t="shared" si="22"/>
        <v>00</v>
      </c>
    </row>
    <row r="137" spans="10:15" hidden="1">
      <c r="J137" s="1" t="str">
        <f t="shared" si="17"/>
        <v>0</v>
      </c>
      <c r="K137" s="3">
        <f t="shared" si="18"/>
        <v>-100</v>
      </c>
      <c r="L137" s="3">
        <f t="shared" si="19"/>
        <v>1</v>
      </c>
      <c r="M137" s="3">
        <f t="shared" si="20"/>
        <v>0</v>
      </c>
      <c r="N137" s="3" t="str">
        <f t="shared" si="22"/>
        <v>01</v>
      </c>
      <c r="O137" s="14" t="str">
        <f t="shared" si="22"/>
        <v>00</v>
      </c>
    </row>
    <row r="138" spans="10:15" hidden="1">
      <c r="J138" s="1" t="str">
        <f t="shared" si="17"/>
        <v>0</v>
      </c>
      <c r="K138" s="3">
        <f t="shared" si="18"/>
        <v>-100</v>
      </c>
      <c r="L138" s="3">
        <f t="shared" si="19"/>
        <v>1</v>
      </c>
      <c r="M138" s="3">
        <f t="shared" si="20"/>
        <v>0</v>
      </c>
      <c r="N138" s="3" t="str">
        <f t="shared" si="22"/>
        <v>01</v>
      </c>
      <c r="O138" s="14" t="str">
        <f t="shared" si="22"/>
        <v>00</v>
      </c>
    </row>
    <row r="139" spans="10:15" hidden="1">
      <c r="J139" s="1" t="str">
        <f t="shared" si="17"/>
        <v>0</v>
      </c>
      <c r="K139" s="3">
        <f t="shared" si="18"/>
        <v>-100</v>
      </c>
      <c r="L139" s="3">
        <f t="shared" si="19"/>
        <v>1</v>
      </c>
      <c r="M139" s="3">
        <f t="shared" si="20"/>
        <v>0</v>
      </c>
      <c r="N139" s="3" t="str">
        <f t="shared" si="22"/>
        <v>01</v>
      </c>
      <c r="O139" s="14" t="str">
        <f t="shared" si="22"/>
        <v>00</v>
      </c>
    </row>
    <row r="140" spans="10:15" hidden="1">
      <c r="J140" s="1" t="str">
        <f t="shared" si="17"/>
        <v>0</v>
      </c>
      <c r="K140" s="3">
        <f t="shared" si="18"/>
        <v>-100</v>
      </c>
      <c r="L140" s="3">
        <f t="shared" si="19"/>
        <v>1</v>
      </c>
      <c r="M140" s="3">
        <f t="shared" si="20"/>
        <v>0</v>
      </c>
      <c r="N140" s="3" t="str">
        <f t="shared" si="22"/>
        <v>01</v>
      </c>
      <c r="O140" s="14" t="str">
        <f t="shared" si="22"/>
        <v>00</v>
      </c>
    </row>
    <row r="141" spans="10:15" hidden="1">
      <c r="J141" s="1" t="str">
        <f t="shared" si="17"/>
        <v>0</v>
      </c>
      <c r="K141" s="3">
        <f t="shared" si="18"/>
        <v>-100</v>
      </c>
      <c r="L141" s="3">
        <f t="shared" si="19"/>
        <v>1</v>
      </c>
      <c r="M141" s="3">
        <f t="shared" si="20"/>
        <v>0</v>
      </c>
      <c r="N141" s="3" t="str">
        <f t="shared" si="22"/>
        <v>01</v>
      </c>
      <c r="O141" s="14" t="str">
        <f t="shared" si="22"/>
        <v>00</v>
      </c>
    </row>
    <row r="142" spans="10:15" hidden="1">
      <c r="J142" s="1" t="str">
        <f t="shared" si="17"/>
        <v>0</v>
      </c>
      <c r="K142" s="3">
        <f t="shared" si="18"/>
        <v>-100</v>
      </c>
      <c r="L142" s="3">
        <f t="shared" si="19"/>
        <v>1</v>
      </c>
      <c r="M142" s="3">
        <f t="shared" si="20"/>
        <v>0</v>
      </c>
      <c r="N142" s="3" t="str">
        <f t="shared" si="22"/>
        <v>01</v>
      </c>
      <c r="O142" s="14" t="str">
        <f t="shared" si="22"/>
        <v>00</v>
      </c>
    </row>
    <row r="143" spans="10:15" hidden="1">
      <c r="J143" s="1" t="str">
        <f t="shared" si="17"/>
        <v>0</v>
      </c>
      <c r="K143" s="3">
        <f t="shared" si="18"/>
        <v>-100</v>
      </c>
      <c r="L143" s="3">
        <f t="shared" si="19"/>
        <v>1</v>
      </c>
      <c r="M143" s="3">
        <f t="shared" si="20"/>
        <v>0</v>
      </c>
      <c r="N143" s="3" t="str">
        <f t="shared" si="22"/>
        <v>01</v>
      </c>
      <c r="O143" s="14" t="str">
        <f t="shared" si="22"/>
        <v>00</v>
      </c>
    </row>
    <row r="144" spans="10:15" hidden="1">
      <c r="J144" s="1" t="str">
        <f t="shared" si="17"/>
        <v>0</v>
      </c>
      <c r="K144" s="3">
        <f t="shared" si="18"/>
        <v>-100</v>
      </c>
      <c r="L144" s="3">
        <f t="shared" si="19"/>
        <v>1</v>
      </c>
      <c r="M144" s="3">
        <f t="shared" si="20"/>
        <v>0</v>
      </c>
      <c r="N144" s="3" t="str">
        <f t="shared" si="22"/>
        <v>01</v>
      </c>
      <c r="O144" s="14" t="str">
        <f t="shared" si="22"/>
        <v>00</v>
      </c>
    </row>
    <row r="145" spans="1:20" hidden="1">
      <c r="J145" s="1" t="str">
        <f t="shared" si="17"/>
        <v>0</v>
      </c>
      <c r="K145" s="3">
        <f t="shared" si="18"/>
        <v>-100</v>
      </c>
      <c r="L145" s="3">
        <f t="shared" si="19"/>
        <v>1</v>
      </c>
      <c r="M145" s="3">
        <f t="shared" si="20"/>
        <v>0</v>
      </c>
      <c r="N145" s="3" t="str">
        <f t="shared" si="22"/>
        <v>01</v>
      </c>
      <c r="O145" s="14" t="str">
        <f t="shared" si="22"/>
        <v>00</v>
      </c>
    </row>
    <row r="146" spans="1:20" hidden="1">
      <c r="J146" s="1" t="str">
        <f t="shared" si="17"/>
        <v>0</v>
      </c>
      <c r="K146" s="3">
        <f t="shared" si="18"/>
        <v>-100</v>
      </c>
      <c r="L146" s="3">
        <f t="shared" si="19"/>
        <v>1</v>
      </c>
      <c r="M146" s="3">
        <f t="shared" si="20"/>
        <v>0</v>
      </c>
      <c r="N146" s="3" t="str">
        <f t="shared" si="22"/>
        <v>01</v>
      </c>
      <c r="O146" s="14" t="str">
        <f t="shared" si="22"/>
        <v>00</v>
      </c>
    </row>
    <row r="147" spans="1:20" hidden="1">
      <c r="J147" s="1" t="str">
        <f t="shared" si="17"/>
        <v>0</v>
      </c>
      <c r="K147" s="3">
        <f t="shared" si="18"/>
        <v>-100</v>
      </c>
      <c r="L147" s="3">
        <f t="shared" si="19"/>
        <v>1</v>
      </c>
      <c r="M147" s="3">
        <f t="shared" si="20"/>
        <v>0</v>
      </c>
      <c r="N147" s="3" t="str">
        <f t="shared" si="22"/>
        <v>01</v>
      </c>
      <c r="O147" s="14" t="str">
        <f t="shared" si="22"/>
        <v>00</v>
      </c>
    </row>
    <row r="148" spans="1:20" hidden="1">
      <c r="J148" s="1" t="str">
        <f t="shared" si="17"/>
        <v>0</v>
      </c>
      <c r="K148" s="3">
        <f t="shared" si="18"/>
        <v>-100</v>
      </c>
      <c r="L148" s="3">
        <f t="shared" si="19"/>
        <v>1</v>
      </c>
      <c r="M148" s="3">
        <f t="shared" si="20"/>
        <v>0</v>
      </c>
      <c r="N148" s="3" t="str">
        <f t="shared" si="22"/>
        <v>01</v>
      </c>
      <c r="O148" s="14" t="str">
        <f t="shared" si="22"/>
        <v>00</v>
      </c>
    </row>
    <row r="149" spans="1:20" hidden="1">
      <c r="J149" s="1" t="str">
        <f t="shared" si="17"/>
        <v>0</v>
      </c>
      <c r="K149" s="3">
        <f t="shared" si="18"/>
        <v>-100</v>
      </c>
      <c r="L149" s="3">
        <f t="shared" si="19"/>
        <v>1</v>
      </c>
      <c r="M149" s="3">
        <f t="shared" si="20"/>
        <v>0</v>
      </c>
      <c r="N149" s="3" t="str">
        <f t="shared" si="22"/>
        <v>01</v>
      </c>
      <c r="O149" s="14" t="str">
        <f t="shared" si="22"/>
        <v>00</v>
      </c>
    </row>
    <row r="150" spans="1:20" s="42" customFormat="1" hidden="1">
      <c r="A150" s="3"/>
      <c r="B150" s="1"/>
      <c r="C150" s="1"/>
      <c r="D150" s="1"/>
      <c r="E150" s="1"/>
      <c r="F150" s="1"/>
      <c r="G150" s="38"/>
      <c r="H150" s="37"/>
      <c r="I150" s="38"/>
      <c r="J150" s="38" t="str">
        <f t="shared" si="17"/>
        <v>0</v>
      </c>
      <c r="K150" s="42">
        <f t="shared" si="18"/>
        <v>-100</v>
      </c>
      <c r="L150" s="42">
        <f t="shared" si="19"/>
        <v>1</v>
      </c>
      <c r="M150" s="42">
        <f t="shared" si="20"/>
        <v>0</v>
      </c>
      <c r="N150" s="42" t="str">
        <f t="shared" si="22"/>
        <v>01</v>
      </c>
      <c r="O150" s="50" t="str">
        <f t="shared" si="22"/>
        <v>00</v>
      </c>
      <c r="P150" s="39"/>
      <c r="Q150" s="40"/>
      <c r="R150" s="41"/>
      <c r="S150" s="40"/>
      <c r="T150" s="40"/>
    </row>
    <row r="151" spans="1:20" hidden="1">
      <c r="J151" s="1" t="str">
        <f t="shared" si="17"/>
        <v>0</v>
      </c>
      <c r="K151" s="3">
        <f t="shared" si="18"/>
        <v>-100</v>
      </c>
      <c r="L151" s="3">
        <f t="shared" si="19"/>
        <v>1</v>
      </c>
      <c r="M151" s="3">
        <f t="shared" si="20"/>
        <v>0</v>
      </c>
      <c r="N151" s="3" t="str">
        <f t="shared" si="22"/>
        <v>01</v>
      </c>
      <c r="O151" s="14" t="str">
        <f t="shared" si="22"/>
        <v>00</v>
      </c>
    </row>
    <row r="152" spans="1:20" hidden="1">
      <c r="J152" s="1" t="str">
        <f t="shared" si="17"/>
        <v>0</v>
      </c>
      <c r="K152" s="3">
        <f t="shared" si="18"/>
        <v>-100</v>
      </c>
      <c r="L152" s="3">
        <f t="shared" si="19"/>
        <v>1</v>
      </c>
      <c r="M152" s="3">
        <f t="shared" si="20"/>
        <v>0</v>
      </c>
      <c r="N152" s="3" t="str">
        <f t="shared" si="22"/>
        <v>01</v>
      </c>
      <c r="O152" s="14" t="str">
        <f t="shared" si="22"/>
        <v>00</v>
      </c>
    </row>
    <row r="153" spans="1:20" hidden="1">
      <c r="J153" s="1" t="str">
        <f t="shared" si="17"/>
        <v>0</v>
      </c>
      <c r="K153" s="3">
        <f t="shared" si="18"/>
        <v>-100</v>
      </c>
      <c r="L153" s="3">
        <f t="shared" si="19"/>
        <v>1</v>
      </c>
      <c r="M153" s="3">
        <f t="shared" si="20"/>
        <v>0</v>
      </c>
      <c r="N153" s="3" t="str">
        <f t="shared" si="22"/>
        <v>01</v>
      </c>
      <c r="O153" s="14" t="str">
        <f t="shared" si="22"/>
        <v>00</v>
      </c>
    </row>
    <row r="154" spans="1:20" hidden="1">
      <c r="J154" s="1" t="str">
        <f t="shared" si="17"/>
        <v>0</v>
      </c>
      <c r="K154" s="3">
        <f t="shared" si="18"/>
        <v>-100</v>
      </c>
      <c r="L154" s="3">
        <f t="shared" si="19"/>
        <v>1</v>
      </c>
      <c r="M154" s="3">
        <f t="shared" si="20"/>
        <v>0</v>
      </c>
      <c r="N154" s="3" t="str">
        <f t="shared" si="22"/>
        <v>01</v>
      </c>
      <c r="O154" s="14" t="str">
        <f t="shared" si="22"/>
        <v>00</v>
      </c>
    </row>
    <row r="155" spans="1:20" hidden="1">
      <c r="J155" s="1" t="str">
        <f t="shared" ref="J155:J209" si="23">+IF(I155&lt;10,_xlfn.CONCAT("0",I155),I155)</f>
        <v>0</v>
      </c>
      <c r="K155" s="3">
        <f t="shared" ref="K155:K209" si="24">+YEAR(H155)-2000</f>
        <v>-100</v>
      </c>
      <c r="L155" s="3">
        <f t="shared" ref="L155:L209" si="25">+MONTH(H155)</f>
        <v>1</v>
      </c>
      <c r="M155" s="3">
        <f t="shared" ref="M155:M209" si="26">+DAY(H155)</f>
        <v>0</v>
      </c>
      <c r="N155" s="3" t="str">
        <f t="shared" ref="N155:O186" si="27">+IF(L155&lt;10,_xlfn.CONCAT("0",L155),L155)</f>
        <v>01</v>
      </c>
      <c r="O155" s="14" t="str">
        <f t="shared" si="27"/>
        <v>00</v>
      </c>
    </row>
    <row r="156" spans="1:20" hidden="1">
      <c r="J156" s="1" t="str">
        <f t="shared" si="23"/>
        <v>0</v>
      </c>
      <c r="K156" s="3">
        <f t="shared" si="24"/>
        <v>-100</v>
      </c>
      <c r="L156" s="3">
        <f t="shared" si="25"/>
        <v>1</v>
      </c>
      <c r="M156" s="3">
        <f t="shared" si="26"/>
        <v>0</v>
      </c>
      <c r="N156" s="3" t="str">
        <f t="shared" si="27"/>
        <v>01</v>
      </c>
      <c r="O156" s="14" t="str">
        <f t="shared" si="27"/>
        <v>00</v>
      </c>
    </row>
    <row r="157" spans="1:20" hidden="1">
      <c r="J157" s="1" t="str">
        <f t="shared" si="23"/>
        <v>0</v>
      </c>
      <c r="K157" s="3">
        <f t="shared" si="24"/>
        <v>-100</v>
      </c>
      <c r="L157" s="3">
        <f t="shared" si="25"/>
        <v>1</v>
      </c>
      <c r="M157" s="3">
        <f t="shared" si="26"/>
        <v>0</v>
      </c>
      <c r="N157" s="3" t="str">
        <f t="shared" si="27"/>
        <v>01</v>
      </c>
      <c r="O157" s="14" t="str">
        <f t="shared" si="27"/>
        <v>00</v>
      </c>
    </row>
    <row r="158" spans="1:20" hidden="1">
      <c r="J158" s="1" t="str">
        <f t="shared" si="23"/>
        <v>0</v>
      </c>
      <c r="K158" s="3">
        <f t="shared" si="24"/>
        <v>-100</v>
      </c>
      <c r="L158" s="3">
        <f t="shared" si="25"/>
        <v>1</v>
      </c>
      <c r="M158" s="3">
        <f t="shared" si="26"/>
        <v>0</v>
      </c>
      <c r="N158" s="3" t="str">
        <f t="shared" si="27"/>
        <v>01</v>
      </c>
      <c r="O158" s="14" t="str">
        <f t="shared" si="27"/>
        <v>00</v>
      </c>
    </row>
    <row r="159" spans="1:20" hidden="1">
      <c r="J159" s="1" t="str">
        <f t="shared" si="23"/>
        <v>0</v>
      </c>
      <c r="K159" s="3">
        <f t="shared" si="24"/>
        <v>-100</v>
      </c>
      <c r="L159" s="3">
        <f t="shared" si="25"/>
        <v>1</v>
      </c>
      <c r="M159" s="3">
        <f t="shared" si="26"/>
        <v>0</v>
      </c>
      <c r="N159" s="3" t="str">
        <f t="shared" si="27"/>
        <v>01</v>
      </c>
      <c r="O159" s="14" t="str">
        <f t="shared" si="27"/>
        <v>00</v>
      </c>
      <c r="S159" s="5" t="str">
        <f>IFERROR(P159/R159,"")</f>
        <v/>
      </c>
    </row>
    <row r="160" spans="1:20" hidden="1">
      <c r="J160" s="1" t="str">
        <f t="shared" si="23"/>
        <v>0</v>
      </c>
      <c r="K160" s="3">
        <f t="shared" si="24"/>
        <v>-100</v>
      </c>
      <c r="L160" s="3">
        <f t="shared" si="25"/>
        <v>1</v>
      </c>
      <c r="M160" s="3">
        <f t="shared" si="26"/>
        <v>0</v>
      </c>
      <c r="N160" s="3" t="str">
        <f t="shared" si="27"/>
        <v>01</v>
      </c>
      <c r="O160" s="14" t="str">
        <f t="shared" si="27"/>
        <v>00</v>
      </c>
    </row>
    <row r="161" spans="8:22" hidden="1">
      <c r="J161" s="1" t="str">
        <f t="shared" si="23"/>
        <v>0</v>
      </c>
      <c r="K161" s="3">
        <f t="shared" si="24"/>
        <v>-100</v>
      </c>
      <c r="L161" s="3">
        <f t="shared" si="25"/>
        <v>1</v>
      </c>
      <c r="M161" s="3">
        <f t="shared" si="26"/>
        <v>0</v>
      </c>
      <c r="N161" s="3" t="str">
        <f t="shared" si="27"/>
        <v>01</v>
      </c>
      <c r="O161" s="14" t="str">
        <f t="shared" si="27"/>
        <v>00</v>
      </c>
    </row>
    <row r="162" spans="8:22" hidden="1">
      <c r="J162" s="1" t="str">
        <f t="shared" si="23"/>
        <v>0</v>
      </c>
      <c r="K162" s="3">
        <f t="shared" si="24"/>
        <v>-100</v>
      </c>
      <c r="L162" s="3">
        <f t="shared" si="25"/>
        <v>1</v>
      </c>
      <c r="M162" s="3">
        <f t="shared" si="26"/>
        <v>0</v>
      </c>
      <c r="N162" s="3" t="str">
        <f t="shared" si="27"/>
        <v>01</v>
      </c>
      <c r="O162" s="14" t="str">
        <f t="shared" si="27"/>
        <v>00</v>
      </c>
    </row>
    <row r="163" spans="8:22" hidden="1">
      <c r="J163" s="1" t="str">
        <f t="shared" si="23"/>
        <v>0</v>
      </c>
      <c r="K163" s="3">
        <f t="shared" si="24"/>
        <v>-100</v>
      </c>
      <c r="L163" s="3">
        <f t="shared" si="25"/>
        <v>1</v>
      </c>
      <c r="M163" s="3">
        <f t="shared" si="26"/>
        <v>0</v>
      </c>
      <c r="N163" s="3" t="str">
        <f t="shared" si="27"/>
        <v>01</v>
      </c>
      <c r="O163" s="14" t="str">
        <f t="shared" si="27"/>
        <v>00</v>
      </c>
    </row>
    <row r="164" spans="8:22" hidden="1">
      <c r="J164" s="1" t="str">
        <f t="shared" si="23"/>
        <v>0</v>
      </c>
      <c r="K164" s="3">
        <f t="shared" si="24"/>
        <v>-100</v>
      </c>
      <c r="L164" s="3">
        <f t="shared" si="25"/>
        <v>1</v>
      </c>
      <c r="M164" s="3">
        <f t="shared" si="26"/>
        <v>0</v>
      </c>
      <c r="N164" s="3" t="str">
        <f t="shared" si="27"/>
        <v>01</v>
      </c>
      <c r="O164" s="14" t="str">
        <f t="shared" si="27"/>
        <v>00</v>
      </c>
    </row>
    <row r="165" spans="8:22" hidden="1">
      <c r="J165" s="1" t="str">
        <f t="shared" si="23"/>
        <v>0</v>
      </c>
      <c r="K165" s="3">
        <f t="shared" si="24"/>
        <v>-100</v>
      </c>
      <c r="L165" s="3">
        <f t="shared" si="25"/>
        <v>1</v>
      </c>
      <c r="M165" s="3">
        <f t="shared" si="26"/>
        <v>0</v>
      </c>
      <c r="N165" s="3" t="str">
        <f t="shared" si="27"/>
        <v>01</v>
      </c>
      <c r="O165" s="14" t="str">
        <f t="shared" si="27"/>
        <v>00</v>
      </c>
    </row>
    <row r="166" spans="8:22" hidden="1">
      <c r="J166" s="1" t="str">
        <f t="shared" si="23"/>
        <v>0</v>
      </c>
      <c r="K166" s="3">
        <f t="shared" si="24"/>
        <v>-100</v>
      </c>
      <c r="L166" s="3">
        <f t="shared" si="25"/>
        <v>1</v>
      </c>
      <c r="M166" s="3">
        <f t="shared" si="26"/>
        <v>0</v>
      </c>
      <c r="N166" s="3" t="str">
        <f t="shared" si="27"/>
        <v>01</v>
      </c>
      <c r="O166" s="14" t="str">
        <f t="shared" si="27"/>
        <v>00</v>
      </c>
    </row>
    <row r="167" spans="8:22" hidden="1">
      <c r="J167" s="1" t="str">
        <f t="shared" si="23"/>
        <v>0</v>
      </c>
      <c r="K167" s="3">
        <f t="shared" si="24"/>
        <v>-100</v>
      </c>
      <c r="L167" s="3">
        <f t="shared" si="25"/>
        <v>1</v>
      </c>
      <c r="M167" s="3">
        <f t="shared" si="26"/>
        <v>0</v>
      </c>
      <c r="N167" s="3" t="str">
        <f t="shared" si="27"/>
        <v>01</v>
      </c>
      <c r="O167" s="14" t="str">
        <f t="shared" si="27"/>
        <v>00</v>
      </c>
    </row>
    <row r="168" spans="8:22" hidden="1">
      <c r="J168" s="1" t="str">
        <f t="shared" si="23"/>
        <v>0</v>
      </c>
      <c r="K168" s="3">
        <f t="shared" si="24"/>
        <v>-100</v>
      </c>
      <c r="L168" s="3">
        <f t="shared" si="25"/>
        <v>1</v>
      </c>
      <c r="M168" s="3">
        <f t="shared" si="26"/>
        <v>0</v>
      </c>
      <c r="N168" s="3" t="str">
        <f t="shared" si="27"/>
        <v>01</v>
      </c>
      <c r="O168" s="14" t="str">
        <f t="shared" si="27"/>
        <v>00</v>
      </c>
    </row>
    <row r="169" spans="8:22" hidden="1">
      <c r="J169" s="1" t="str">
        <f t="shared" si="23"/>
        <v>0</v>
      </c>
      <c r="K169" s="3">
        <f t="shared" si="24"/>
        <v>-100</v>
      </c>
      <c r="L169" s="3">
        <f t="shared" si="25"/>
        <v>1</v>
      </c>
      <c r="M169" s="3">
        <f t="shared" si="26"/>
        <v>0</v>
      </c>
      <c r="N169" s="3" t="str">
        <f t="shared" si="27"/>
        <v>01</v>
      </c>
      <c r="O169" s="14" t="str">
        <f t="shared" si="27"/>
        <v>00</v>
      </c>
    </row>
    <row r="170" spans="8:22" hidden="1">
      <c r="J170" s="1" t="str">
        <f t="shared" si="23"/>
        <v>0</v>
      </c>
      <c r="K170" s="3">
        <f t="shared" si="24"/>
        <v>-100</v>
      </c>
      <c r="L170" s="3">
        <f t="shared" si="25"/>
        <v>1</v>
      </c>
      <c r="M170" s="3">
        <f t="shared" si="26"/>
        <v>0</v>
      </c>
      <c r="N170" s="3" t="str">
        <f t="shared" si="27"/>
        <v>01</v>
      </c>
      <c r="O170" s="14" t="str">
        <f t="shared" si="27"/>
        <v>00</v>
      </c>
    </row>
    <row r="171" spans="8:22" hidden="1">
      <c r="J171" s="1" t="str">
        <f t="shared" si="23"/>
        <v>0</v>
      </c>
      <c r="K171" s="3">
        <f t="shared" si="24"/>
        <v>-100</v>
      </c>
      <c r="L171" s="3">
        <f t="shared" si="25"/>
        <v>1</v>
      </c>
      <c r="M171" s="3">
        <f t="shared" si="26"/>
        <v>0</v>
      </c>
      <c r="N171" s="3" t="str">
        <f t="shared" si="27"/>
        <v>01</v>
      </c>
      <c r="O171" s="14" t="str">
        <f t="shared" si="27"/>
        <v>00</v>
      </c>
    </row>
    <row r="172" spans="8:22" hidden="1">
      <c r="J172" s="1" t="str">
        <f t="shared" si="23"/>
        <v>0</v>
      </c>
      <c r="K172" s="3">
        <f t="shared" si="24"/>
        <v>-100</v>
      </c>
      <c r="L172" s="3">
        <f t="shared" si="25"/>
        <v>1</v>
      </c>
      <c r="M172" s="3">
        <f t="shared" si="26"/>
        <v>0</v>
      </c>
      <c r="N172" s="3" t="str">
        <f t="shared" si="27"/>
        <v>01</v>
      </c>
      <c r="O172" s="14" t="str">
        <f t="shared" si="27"/>
        <v>00</v>
      </c>
    </row>
    <row r="173" spans="8:22" hidden="1">
      <c r="J173" s="1" t="str">
        <f t="shared" si="23"/>
        <v>0</v>
      </c>
      <c r="K173" s="3">
        <f t="shared" si="24"/>
        <v>-100</v>
      </c>
      <c r="L173" s="3">
        <f t="shared" si="25"/>
        <v>1</v>
      </c>
      <c r="M173" s="3">
        <f t="shared" si="26"/>
        <v>0</v>
      </c>
      <c r="N173" s="3" t="str">
        <f t="shared" si="27"/>
        <v>01</v>
      </c>
      <c r="O173" s="14" t="str">
        <f t="shared" si="27"/>
        <v>00</v>
      </c>
    </row>
    <row r="174" spans="8:22" hidden="1">
      <c r="J174" s="1" t="str">
        <f t="shared" si="23"/>
        <v>0</v>
      </c>
      <c r="K174" s="3">
        <f t="shared" si="24"/>
        <v>-100</v>
      </c>
      <c r="L174" s="3">
        <f t="shared" si="25"/>
        <v>1</v>
      </c>
      <c r="M174" s="3">
        <f t="shared" si="26"/>
        <v>0</v>
      </c>
      <c r="N174" s="3" t="str">
        <f t="shared" si="27"/>
        <v>01</v>
      </c>
      <c r="O174" s="14" t="str">
        <f t="shared" si="27"/>
        <v>00</v>
      </c>
    </row>
    <row r="175" spans="8:22" hidden="1">
      <c r="J175" s="1" t="str">
        <f t="shared" si="23"/>
        <v>0</v>
      </c>
      <c r="K175" s="3">
        <f t="shared" si="24"/>
        <v>-100</v>
      </c>
      <c r="L175" s="3">
        <f t="shared" si="25"/>
        <v>1</v>
      </c>
      <c r="M175" s="3">
        <f t="shared" si="26"/>
        <v>0</v>
      </c>
      <c r="N175" s="3" t="str">
        <f t="shared" si="27"/>
        <v>01</v>
      </c>
      <c r="O175" s="14" t="str">
        <f t="shared" si="27"/>
        <v>00</v>
      </c>
    </row>
    <row r="176" spans="8:22" hidden="1">
      <c r="H176" s="9"/>
      <c r="J176" s="1" t="str">
        <f t="shared" si="23"/>
        <v>0</v>
      </c>
      <c r="K176" s="3">
        <f t="shared" si="24"/>
        <v>-100</v>
      </c>
      <c r="L176" s="3">
        <f t="shared" si="25"/>
        <v>1</v>
      </c>
      <c r="M176" s="3">
        <f t="shared" si="26"/>
        <v>0</v>
      </c>
      <c r="N176" s="3" t="str">
        <f t="shared" si="27"/>
        <v>01</v>
      </c>
      <c r="O176" s="14" t="str">
        <f t="shared" si="27"/>
        <v>00</v>
      </c>
      <c r="P176" s="11"/>
      <c r="Q176" s="12"/>
      <c r="R176" s="13"/>
      <c r="S176" s="12"/>
      <c r="T176" s="12"/>
      <c r="U176" s="10"/>
      <c r="V176" s="10"/>
    </row>
    <row r="177" spans="8:22" hidden="1">
      <c r="H177" s="9"/>
      <c r="J177" s="1" t="str">
        <f t="shared" si="23"/>
        <v>0</v>
      </c>
      <c r="K177" s="3">
        <f t="shared" si="24"/>
        <v>-100</v>
      </c>
      <c r="L177" s="3">
        <f t="shared" si="25"/>
        <v>1</v>
      </c>
      <c r="M177" s="3">
        <f t="shared" si="26"/>
        <v>0</v>
      </c>
      <c r="N177" s="3" t="str">
        <f t="shared" si="27"/>
        <v>01</v>
      </c>
      <c r="O177" s="14" t="str">
        <f t="shared" si="27"/>
        <v>00</v>
      </c>
      <c r="P177" s="11"/>
      <c r="Q177" s="12"/>
      <c r="R177" s="13"/>
      <c r="S177" s="12"/>
      <c r="T177" s="12"/>
      <c r="U177" s="10"/>
      <c r="V177" s="10"/>
    </row>
    <row r="178" spans="8:22" hidden="1">
      <c r="J178" s="1" t="str">
        <f t="shared" si="23"/>
        <v>0</v>
      </c>
      <c r="K178" s="3">
        <f t="shared" si="24"/>
        <v>-100</v>
      </c>
      <c r="L178" s="3">
        <f t="shared" si="25"/>
        <v>1</v>
      </c>
      <c r="M178" s="3">
        <f t="shared" si="26"/>
        <v>0</v>
      </c>
      <c r="N178" s="3" t="str">
        <f t="shared" si="27"/>
        <v>01</v>
      </c>
      <c r="O178" s="14" t="str">
        <f t="shared" si="27"/>
        <v>00</v>
      </c>
    </row>
    <row r="179" spans="8:22" hidden="1">
      <c r="J179" s="1" t="str">
        <f t="shared" si="23"/>
        <v>0</v>
      </c>
      <c r="K179" s="3">
        <f t="shared" si="24"/>
        <v>-100</v>
      </c>
      <c r="L179" s="3">
        <f t="shared" si="25"/>
        <v>1</v>
      </c>
      <c r="M179" s="3">
        <f t="shared" si="26"/>
        <v>0</v>
      </c>
      <c r="N179" s="3" t="str">
        <f t="shared" si="27"/>
        <v>01</v>
      </c>
      <c r="O179" s="14" t="str">
        <f t="shared" si="27"/>
        <v>00</v>
      </c>
    </row>
    <row r="180" spans="8:22" hidden="1">
      <c r="J180" s="1" t="str">
        <f t="shared" si="23"/>
        <v>0</v>
      </c>
      <c r="K180" s="3">
        <f t="shared" si="24"/>
        <v>-100</v>
      </c>
      <c r="L180" s="3">
        <f t="shared" si="25"/>
        <v>1</v>
      </c>
      <c r="M180" s="3">
        <f t="shared" si="26"/>
        <v>0</v>
      </c>
      <c r="N180" s="3" t="str">
        <f t="shared" si="27"/>
        <v>01</v>
      </c>
      <c r="O180" s="14" t="str">
        <f t="shared" si="27"/>
        <v>00</v>
      </c>
    </row>
    <row r="181" spans="8:22" hidden="1">
      <c r="J181" s="1" t="str">
        <f t="shared" si="23"/>
        <v>0</v>
      </c>
      <c r="K181" s="3">
        <f t="shared" si="24"/>
        <v>-100</v>
      </c>
      <c r="L181" s="3">
        <f t="shared" si="25"/>
        <v>1</v>
      </c>
      <c r="M181" s="3">
        <f t="shared" si="26"/>
        <v>0</v>
      </c>
      <c r="N181" s="3" t="str">
        <f t="shared" si="27"/>
        <v>01</v>
      </c>
      <c r="O181" s="14" t="str">
        <f t="shared" si="27"/>
        <v>00</v>
      </c>
    </row>
    <row r="182" spans="8:22" hidden="1">
      <c r="J182" s="1" t="str">
        <f t="shared" si="23"/>
        <v>0</v>
      </c>
      <c r="K182" s="3">
        <f t="shared" si="24"/>
        <v>-100</v>
      </c>
      <c r="L182" s="3">
        <f t="shared" si="25"/>
        <v>1</v>
      </c>
      <c r="M182" s="3">
        <f t="shared" si="26"/>
        <v>0</v>
      </c>
      <c r="N182" s="3" t="str">
        <f t="shared" si="27"/>
        <v>01</v>
      </c>
      <c r="O182" s="14" t="str">
        <f t="shared" si="27"/>
        <v>00</v>
      </c>
    </row>
    <row r="183" spans="8:22" hidden="1">
      <c r="J183" s="1" t="str">
        <f t="shared" si="23"/>
        <v>0</v>
      </c>
      <c r="K183" s="3">
        <f t="shared" si="24"/>
        <v>-100</v>
      </c>
      <c r="L183" s="3">
        <f t="shared" si="25"/>
        <v>1</v>
      </c>
      <c r="M183" s="3">
        <f t="shared" si="26"/>
        <v>0</v>
      </c>
      <c r="N183" s="3" t="str">
        <f t="shared" si="27"/>
        <v>01</v>
      </c>
      <c r="O183" s="14" t="str">
        <f t="shared" si="27"/>
        <v>00</v>
      </c>
    </row>
    <row r="184" spans="8:22" hidden="1">
      <c r="J184" s="1" t="str">
        <f t="shared" si="23"/>
        <v>0</v>
      </c>
      <c r="K184" s="3">
        <f t="shared" si="24"/>
        <v>-100</v>
      </c>
      <c r="L184" s="3">
        <f t="shared" si="25"/>
        <v>1</v>
      </c>
      <c r="M184" s="3">
        <f t="shared" si="26"/>
        <v>0</v>
      </c>
      <c r="N184" s="3" t="str">
        <f t="shared" si="27"/>
        <v>01</v>
      </c>
      <c r="O184" s="14" t="str">
        <f t="shared" si="27"/>
        <v>00</v>
      </c>
    </row>
    <row r="185" spans="8:22" hidden="1">
      <c r="J185" s="1" t="str">
        <f t="shared" si="23"/>
        <v>0</v>
      </c>
      <c r="K185" s="3">
        <f t="shared" si="24"/>
        <v>-100</v>
      </c>
      <c r="L185" s="3">
        <f t="shared" si="25"/>
        <v>1</v>
      </c>
      <c r="M185" s="3">
        <f t="shared" si="26"/>
        <v>0</v>
      </c>
      <c r="N185" s="3" t="str">
        <f t="shared" si="27"/>
        <v>01</v>
      </c>
      <c r="O185" s="14" t="str">
        <f t="shared" si="27"/>
        <v>00</v>
      </c>
    </row>
    <row r="186" spans="8:22" hidden="1">
      <c r="J186" s="1" t="str">
        <f t="shared" si="23"/>
        <v>0</v>
      </c>
      <c r="K186" s="3">
        <f t="shared" si="24"/>
        <v>-100</v>
      </c>
      <c r="L186" s="3">
        <f t="shared" si="25"/>
        <v>1</v>
      </c>
      <c r="M186" s="3">
        <f t="shared" si="26"/>
        <v>0</v>
      </c>
      <c r="N186" s="3" t="str">
        <f t="shared" si="27"/>
        <v>01</v>
      </c>
      <c r="O186" s="14" t="str">
        <f t="shared" si="27"/>
        <v>00</v>
      </c>
      <c r="T186" s="16"/>
    </row>
    <row r="187" spans="8:22" hidden="1">
      <c r="J187" s="1" t="str">
        <f t="shared" si="23"/>
        <v>0</v>
      </c>
      <c r="K187" s="3">
        <f t="shared" si="24"/>
        <v>-100</v>
      </c>
      <c r="L187" s="3">
        <f t="shared" si="25"/>
        <v>1</v>
      </c>
      <c r="M187" s="3">
        <f t="shared" si="26"/>
        <v>0</v>
      </c>
      <c r="N187" s="3" t="str">
        <f t="shared" ref="N187:O209" si="28">+IF(L187&lt;10,_xlfn.CONCAT("0",L187),L187)</f>
        <v>01</v>
      </c>
      <c r="O187" s="14" t="str">
        <f t="shared" si="28"/>
        <v>00</v>
      </c>
      <c r="T187" s="16"/>
    </row>
    <row r="188" spans="8:22" hidden="1">
      <c r="J188" s="1" t="str">
        <f t="shared" si="23"/>
        <v>0</v>
      </c>
      <c r="K188" s="3">
        <f t="shared" si="24"/>
        <v>-100</v>
      </c>
      <c r="L188" s="3">
        <f t="shared" si="25"/>
        <v>1</v>
      </c>
      <c r="M188" s="3">
        <f t="shared" si="26"/>
        <v>0</v>
      </c>
      <c r="N188" s="3" t="str">
        <f t="shared" si="28"/>
        <v>01</v>
      </c>
      <c r="O188" s="14" t="str">
        <f t="shared" si="28"/>
        <v>00</v>
      </c>
    </row>
    <row r="189" spans="8:22" hidden="1">
      <c r="J189" s="1" t="str">
        <f t="shared" si="23"/>
        <v>0</v>
      </c>
      <c r="K189" s="3">
        <f t="shared" si="24"/>
        <v>-100</v>
      </c>
      <c r="L189" s="3">
        <f t="shared" si="25"/>
        <v>1</v>
      </c>
      <c r="M189" s="3">
        <f t="shared" si="26"/>
        <v>0</v>
      </c>
      <c r="N189" s="3" t="str">
        <f t="shared" si="28"/>
        <v>01</v>
      </c>
      <c r="O189" s="14" t="str">
        <f t="shared" si="28"/>
        <v>00</v>
      </c>
    </row>
    <row r="190" spans="8:22" hidden="1">
      <c r="J190" s="1" t="str">
        <f t="shared" si="23"/>
        <v>0</v>
      </c>
      <c r="K190" s="3">
        <f t="shared" si="24"/>
        <v>-100</v>
      </c>
      <c r="L190" s="3">
        <f t="shared" si="25"/>
        <v>1</v>
      </c>
      <c r="M190" s="3">
        <f t="shared" si="26"/>
        <v>0</v>
      </c>
      <c r="N190" s="3" t="str">
        <f t="shared" si="28"/>
        <v>01</v>
      </c>
      <c r="O190" s="14" t="str">
        <f t="shared" si="28"/>
        <v>00</v>
      </c>
    </row>
    <row r="191" spans="8:22" hidden="1">
      <c r="J191" s="1" t="str">
        <f t="shared" si="23"/>
        <v>0</v>
      </c>
      <c r="K191" s="3">
        <f t="shared" si="24"/>
        <v>-100</v>
      </c>
      <c r="L191" s="3">
        <f t="shared" si="25"/>
        <v>1</v>
      </c>
      <c r="M191" s="3">
        <f t="shared" si="26"/>
        <v>0</v>
      </c>
      <c r="N191" s="3" t="str">
        <f t="shared" si="28"/>
        <v>01</v>
      </c>
      <c r="O191" s="14" t="str">
        <f t="shared" si="28"/>
        <v>00</v>
      </c>
    </row>
    <row r="192" spans="8:22" hidden="1">
      <c r="J192" s="1" t="str">
        <f t="shared" si="23"/>
        <v>0</v>
      </c>
      <c r="K192" s="3">
        <f t="shared" si="24"/>
        <v>-100</v>
      </c>
      <c r="L192" s="3">
        <f t="shared" si="25"/>
        <v>1</v>
      </c>
      <c r="M192" s="3">
        <f t="shared" si="26"/>
        <v>0</v>
      </c>
      <c r="N192" s="3" t="str">
        <f t="shared" si="28"/>
        <v>01</v>
      </c>
      <c r="O192" s="14" t="str">
        <f t="shared" si="28"/>
        <v>00</v>
      </c>
    </row>
    <row r="193" spans="9:15" hidden="1">
      <c r="J193" s="1" t="str">
        <f t="shared" si="23"/>
        <v>0</v>
      </c>
      <c r="K193" s="3">
        <f t="shared" si="24"/>
        <v>-100</v>
      </c>
      <c r="L193" s="3">
        <f t="shared" si="25"/>
        <v>1</v>
      </c>
      <c r="M193" s="3">
        <f t="shared" si="26"/>
        <v>0</v>
      </c>
      <c r="N193" s="3" t="str">
        <f t="shared" si="28"/>
        <v>01</v>
      </c>
      <c r="O193" s="14" t="str">
        <f t="shared" si="28"/>
        <v>00</v>
      </c>
    </row>
    <row r="194" spans="9:15" hidden="1">
      <c r="J194" s="1" t="str">
        <f t="shared" si="23"/>
        <v>0</v>
      </c>
      <c r="K194" s="3">
        <f t="shared" si="24"/>
        <v>-100</v>
      </c>
      <c r="L194" s="3">
        <f t="shared" si="25"/>
        <v>1</v>
      </c>
      <c r="M194" s="3">
        <f t="shared" si="26"/>
        <v>0</v>
      </c>
      <c r="N194" s="3" t="str">
        <f t="shared" si="28"/>
        <v>01</v>
      </c>
      <c r="O194" s="14" t="str">
        <f t="shared" si="28"/>
        <v>00</v>
      </c>
    </row>
    <row r="195" spans="9:15" hidden="1">
      <c r="J195" s="1" t="str">
        <f t="shared" si="23"/>
        <v>0</v>
      </c>
      <c r="K195" s="3">
        <f t="shared" si="24"/>
        <v>-100</v>
      </c>
      <c r="L195" s="3">
        <f t="shared" si="25"/>
        <v>1</v>
      </c>
      <c r="M195" s="3">
        <f t="shared" si="26"/>
        <v>0</v>
      </c>
      <c r="N195" s="3" t="str">
        <f t="shared" si="28"/>
        <v>01</v>
      </c>
      <c r="O195" s="14" t="str">
        <f t="shared" si="28"/>
        <v>00</v>
      </c>
    </row>
    <row r="196" spans="9:15" hidden="1">
      <c r="J196" s="1" t="str">
        <f t="shared" si="23"/>
        <v>0</v>
      </c>
      <c r="K196" s="3">
        <f t="shared" si="24"/>
        <v>-100</v>
      </c>
      <c r="L196" s="3">
        <f t="shared" si="25"/>
        <v>1</v>
      </c>
      <c r="M196" s="3">
        <f t="shared" si="26"/>
        <v>0</v>
      </c>
      <c r="N196" s="3" t="str">
        <f t="shared" si="28"/>
        <v>01</v>
      </c>
      <c r="O196" s="14" t="str">
        <f t="shared" si="28"/>
        <v>00</v>
      </c>
    </row>
    <row r="197" spans="9:15" hidden="1">
      <c r="J197" s="1" t="str">
        <f t="shared" si="23"/>
        <v>0</v>
      </c>
      <c r="K197" s="3">
        <f t="shared" si="24"/>
        <v>-100</v>
      </c>
      <c r="L197" s="3">
        <f t="shared" si="25"/>
        <v>1</v>
      </c>
      <c r="M197" s="3">
        <f t="shared" si="26"/>
        <v>0</v>
      </c>
      <c r="N197" s="3" t="str">
        <f t="shared" si="28"/>
        <v>01</v>
      </c>
      <c r="O197" s="14" t="str">
        <f t="shared" si="28"/>
        <v>00</v>
      </c>
    </row>
    <row r="198" spans="9:15" hidden="1">
      <c r="J198" s="1" t="str">
        <f t="shared" si="23"/>
        <v>0</v>
      </c>
      <c r="K198" s="3">
        <f t="shared" si="24"/>
        <v>-100</v>
      </c>
      <c r="L198" s="3">
        <f t="shared" si="25"/>
        <v>1</v>
      </c>
      <c r="M198" s="3">
        <f t="shared" si="26"/>
        <v>0</v>
      </c>
      <c r="N198" s="3" t="str">
        <f t="shared" si="28"/>
        <v>01</v>
      </c>
      <c r="O198" s="14" t="str">
        <f t="shared" si="28"/>
        <v>00</v>
      </c>
    </row>
    <row r="199" spans="9:15" hidden="1">
      <c r="J199" s="1" t="str">
        <f t="shared" si="23"/>
        <v>0</v>
      </c>
      <c r="K199" s="3">
        <f t="shared" si="24"/>
        <v>-100</v>
      </c>
      <c r="L199" s="3">
        <f t="shared" si="25"/>
        <v>1</v>
      </c>
      <c r="M199" s="3">
        <f t="shared" si="26"/>
        <v>0</v>
      </c>
      <c r="N199" s="3" t="str">
        <f t="shared" si="28"/>
        <v>01</v>
      </c>
      <c r="O199" s="14" t="str">
        <f t="shared" si="28"/>
        <v>00</v>
      </c>
    </row>
    <row r="200" spans="9:15" hidden="1">
      <c r="J200" s="1" t="str">
        <f t="shared" si="23"/>
        <v>0</v>
      </c>
      <c r="K200" s="3">
        <f t="shared" si="24"/>
        <v>-100</v>
      </c>
      <c r="L200" s="3">
        <f t="shared" si="25"/>
        <v>1</v>
      </c>
      <c r="M200" s="3">
        <f t="shared" si="26"/>
        <v>0</v>
      </c>
      <c r="N200" s="3" t="str">
        <f t="shared" si="28"/>
        <v>01</v>
      </c>
      <c r="O200" s="14" t="str">
        <f t="shared" si="28"/>
        <v>00</v>
      </c>
    </row>
    <row r="201" spans="9:15" hidden="1">
      <c r="I201" s="1"/>
      <c r="J201" s="1" t="str">
        <f t="shared" si="23"/>
        <v>0</v>
      </c>
      <c r="K201" s="3">
        <f t="shared" si="24"/>
        <v>-100</v>
      </c>
      <c r="L201" s="3">
        <f t="shared" si="25"/>
        <v>1</v>
      </c>
      <c r="M201" s="3">
        <f t="shared" si="26"/>
        <v>0</v>
      </c>
      <c r="N201" s="3" t="str">
        <f t="shared" si="28"/>
        <v>01</v>
      </c>
      <c r="O201" s="14" t="str">
        <f t="shared" si="28"/>
        <v>00</v>
      </c>
    </row>
    <row r="202" spans="9:15" hidden="1">
      <c r="I202" s="1"/>
      <c r="J202" s="1" t="str">
        <f t="shared" si="23"/>
        <v>0</v>
      </c>
      <c r="K202" s="3">
        <f t="shared" si="24"/>
        <v>-100</v>
      </c>
      <c r="L202" s="3">
        <f t="shared" si="25"/>
        <v>1</v>
      </c>
      <c r="M202" s="3">
        <f t="shared" si="26"/>
        <v>0</v>
      </c>
      <c r="N202" s="3" t="str">
        <f t="shared" si="28"/>
        <v>01</v>
      </c>
      <c r="O202" s="14" t="str">
        <f t="shared" si="28"/>
        <v>00</v>
      </c>
    </row>
    <row r="203" spans="9:15" hidden="1">
      <c r="I203" s="1"/>
      <c r="J203" s="1" t="str">
        <f t="shared" si="23"/>
        <v>0</v>
      </c>
      <c r="K203" s="3">
        <f t="shared" si="24"/>
        <v>-100</v>
      </c>
      <c r="L203" s="3">
        <f t="shared" si="25"/>
        <v>1</v>
      </c>
      <c r="M203" s="3">
        <f t="shared" si="26"/>
        <v>0</v>
      </c>
      <c r="N203" s="3" t="str">
        <f t="shared" si="28"/>
        <v>01</v>
      </c>
      <c r="O203" s="14" t="str">
        <f t="shared" si="28"/>
        <v>00</v>
      </c>
    </row>
    <row r="204" spans="9:15" hidden="1">
      <c r="I204" s="1"/>
      <c r="J204" s="1" t="str">
        <f t="shared" si="23"/>
        <v>0</v>
      </c>
      <c r="K204" s="3">
        <f t="shared" si="24"/>
        <v>-100</v>
      </c>
      <c r="L204" s="3">
        <f t="shared" si="25"/>
        <v>1</v>
      </c>
      <c r="M204" s="3">
        <f t="shared" si="26"/>
        <v>0</v>
      </c>
      <c r="N204" s="3" t="str">
        <f t="shared" si="28"/>
        <v>01</v>
      </c>
      <c r="O204" s="14" t="str">
        <f t="shared" si="28"/>
        <v>00</v>
      </c>
    </row>
    <row r="205" spans="9:15" hidden="1">
      <c r="I205" s="1"/>
      <c r="J205" s="1" t="str">
        <f t="shared" si="23"/>
        <v>0</v>
      </c>
      <c r="K205" s="3">
        <f t="shared" si="24"/>
        <v>-100</v>
      </c>
      <c r="L205" s="3">
        <f t="shared" si="25"/>
        <v>1</v>
      </c>
      <c r="M205" s="3">
        <f t="shared" si="26"/>
        <v>0</v>
      </c>
      <c r="N205" s="3" t="str">
        <f t="shared" si="28"/>
        <v>01</v>
      </c>
      <c r="O205" s="14" t="str">
        <f t="shared" si="28"/>
        <v>00</v>
      </c>
    </row>
    <row r="206" spans="9:15" hidden="1">
      <c r="I206" s="1"/>
      <c r="J206" s="1" t="str">
        <f t="shared" si="23"/>
        <v>0</v>
      </c>
      <c r="K206" s="3">
        <f t="shared" si="24"/>
        <v>-100</v>
      </c>
      <c r="L206" s="3">
        <f t="shared" si="25"/>
        <v>1</v>
      </c>
      <c r="M206" s="3">
        <f t="shared" si="26"/>
        <v>0</v>
      </c>
      <c r="N206" s="3" t="str">
        <f t="shared" si="28"/>
        <v>01</v>
      </c>
      <c r="O206" s="14" t="str">
        <f t="shared" si="28"/>
        <v>00</v>
      </c>
    </row>
    <row r="207" spans="9:15" hidden="1">
      <c r="I207" s="1"/>
      <c r="J207" s="1" t="str">
        <f t="shared" si="23"/>
        <v>0</v>
      </c>
      <c r="K207" s="3">
        <f t="shared" si="24"/>
        <v>-100</v>
      </c>
      <c r="L207" s="3">
        <f t="shared" si="25"/>
        <v>1</v>
      </c>
      <c r="M207" s="3">
        <f t="shared" si="26"/>
        <v>0</v>
      </c>
      <c r="N207" s="3" t="str">
        <f t="shared" si="28"/>
        <v>01</v>
      </c>
      <c r="O207" s="14" t="str">
        <f t="shared" si="28"/>
        <v>00</v>
      </c>
    </row>
    <row r="208" spans="9:15" hidden="1">
      <c r="I208" s="1"/>
      <c r="J208" s="1" t="str">
        <f t="shared" si="23"/>
        <v>0</v>
      </c>
      <c r="K208" s="3">
        <f t="shared" si="24"/>
        <v>-100</v>
      </c>
      <c r="L208" s="3">
        <f t="shared" si="25"/>
        <v>1</v>
      </c>
      <c r="M208" s="3">
        <f t="shared" si="26"/>
        <v>0</v>
      </c>
      <c r="N208" s="3" t="str">
        <f t="shared" si="28"/>
        <v>01</v>
      </c>
      <c r="O208" s="14" t="str">
        <f t="shared" si="28"/>
        <v>00</v>
      </c>
    </row>
    <row r="209" spans="1:23" hidden="1">
      <c r="I209" s="1"/>
      <c r="J209" s="1" t="str">
        <f t="shared" si="23"/>
        <v>0</v>
      </c>
      <c r="K209" s="3">
        <f t="shared" si="24"/>
        <v>-100</v>
      </c>
      <c r="L209" s="3">
        <f t="shared" si="25"/>
        <v>1</v>
      </c>
      <c r="M209" s="3">
        <f t="shared" si="26"/>
        <v>0</v>
      </c>
      <c r="N209" s="3" t="str">
        <f t="shared" si="28"/>
        <v>01</v>
      </c>
      <c r="O209" s="14" t="str">
        <f t="shared" si="28"/>
        <v>00</v>
      </c>
    </row>
    <row r="210" spans="1:23" hidden="1">
      <c r="I210" s="1"/>
    </row>
    <row r="211" spans="1:23" hidden="1">
      <c r="J211" s="1" t="str">
        <f t="shared" ref="J211:J233" si="29">+IF(I211&lt;10,_xlfn.CONCAT("0",I211),I211)</f>
        <v>0</v>
      </c>
      <c r="K211" s="3">
        <f t="shared" ref="K211:K271" si="30">+YEAR(H211)-2000</f>
        <v>-100</v>
      </c>
      <c r="L211" s="3">
        <f t="shared" ref="L211:L271" si="31">+MONTH(H211)</f>
        <v>1</v>
      </c>
      <c r="M211" s="3">
        <f t="shared" ref="M211:M271" si="32">+DAY(H211)</f>
        <v>0</v>
      </c>
      <c r="N211" s="3" t="str">
        <f t="shared" ref="N211:O242" si="33">+IF(L211&lt;10,_xlfn.CONCAT("0",L211),L211)</f>
        <v>01</v>
      </c>
      <c r="O211" s="14" t="str">
        <f t="shared" si="33"/>
        <v>00</v>
      </c>
    </row>
    <row r="212" spans="1:23" hidden="1">
      <c r="J212" s="1" t="str">
        <f t="shared" si="29"/>
        <v>0</v>
      </c>
      <c r="K212" s="3">
        <f t="shared" si="30"/>
        <v>-100</v>
      </c>
      <c r="L212" s="3">
        <f t="shared" si="31"/>
        <v>1</v>
      </c>
      <c r="M212" s="3">
        <f t="shared" si="32"/>
        <v>0</v>
      </c>
      <c r="N212" s="3" t="str">
        <f t="shared" si="33"/>
        <v>01</v>
      </c>
      <c r="O212" s="14" t="str">
        <f t="shared" si="33"/>
        <v>00</v>
      </c>
    </row>
    <row r="213" spans="1:23" hidden="1">
      <c r="J213" s="1" t="str">
        <f t="shared" si="29"/>
        <v>0</v>
      </c>
      <c r="K213" s="3">
        <f t="shared" si="30"/>
        <v>-100</v>
      </c>
      <c r="L213" s="3">
        <f t="shared" si="31"/>
        <v>1</v>
      </c>
      <c r="M213" s="3">
        <f t="shared" si="32"/>
        <v>0</v>
      </c>
      <c r="N213" s="3" t="str">
        <f t="shared" si="33"/>
        <v>01</v>
      </c>
      <c r="O213" s="14" t="str">
        <f t="shared" si="33"/>
        <v>00</v>
      </c>
    </row>
    <row r="214" spans="1:23" hidden="1">
      <c r="J214" s="1" t="str">
        <f t="shared" si="29"/>
        <v>0</v>
      </c>
      <c r="K214" s="3">
        <f t="shared" si="30"/>
        <v>-100</v>
      </c>
      <c r="L214" s="3">
        <f t="shared" si="31"/>
        <v>1</v>
      </c>
      <c r="M214" s="3">
        <f t="shared" si="32"/>
        <v>0</v>
      </c>
      <c r="N214" s="3" t="str">
        <f t="shared" si="33"/>
        <v>01</v>
      </c>
      <c r="O214" s="14" t="str">
        <f t="shared" si="33"/>
        <v>00</v>
      </c>
    </row>
    <row r="215" spans="1:23" hidden="1">
      <c r="J215" s="1" t="str">
        <f t="shared" si="29"/>
        <v>0</v>
      </c>
      <c r="K215" s="3">
        <f t="shared" si="30"/>
        <v>-100</v>
      </c>
      <c r="L215" s="3">
        <f t="shared" si="31"/>
        <v>1</v>
      </c>
      <c r="M215" s="3">
        <f t="shared" si="32"/>
        <v>0</v>
      </c>
      <c r="N215" s="3" t="str">
        <f t="shared" si="33"/>
        <v>01</v>
      </c>
      <c r="O215" s="14" t="str">
        <f t="shared" si="33"/>
        <v>00</v>
      </c>
    </row>
    <row r="216" spans="1:23" hidden="1">
      <c r="J216" s="1" t="str">
        <f t="shared" si="29"/>
        <v>0</v>
      </c>
      <c r="K216" s="3">
        <f t="shared" si="30"/>
        <v>-100</v>
      </c>
      <c r="L216" s="3">
        <f t="shared" si="31"/>
        <v>1</v>
      </c>
      <c r="M216" s="3">
        <f t="shared" si="32"/>
        <v>0</v>
      </c>
      <c r="N216" s="3" t="str">
        <f t="shared" si="33"/>
        <v>01</v>
      </c>
      <c r="O216" s="14" t="str">
        <f t="shared" si="33"/>
        <v>00</v>
      </c>
    </row>
    <row r="217" spans="1:23" hidden="1">
      <c r="J217" s="1" t="str">
        <f t="shared" si="29"/>
        <v>0</v>
      </c>
      <c r="K217" s="3">
        <f t="shared" si="30"/>
        <v>-100</v>
      </c>
      <c r="L217" s="3">
        <f t="shared" si="31"/>
        <v>1</v>
      </c>
      <c r="M217" s="3">
        <f t="shared" si="32"/>
        <v>0</v>
      </c>
      <c r="N217" s="3" t="str">
        <f t="shared" si="33"/>
        <v>01</v>
      </c>
      <c r="O217" s="14" t="str">
        <f t="shared" si="33"/>
        <v>00</v>
      </c>
    </row>
    <row r="218" spans="1:23" hidden="1">
      <c r="J218" s="1" t="str">
        <f t="shared" si="29"/>
        <v>0</v>
      </c>
      <c r="K218" s="3">
        <f t="shared" si="30"/>
        <v>-100</v>
      </c>
      <c r="L218" s="3">
        <f t="shared" si="31"/>
        <v>1</v>
      </c>
      <c r="M218" s="3">
        <f t="shared" si="32"/>
        <v>0</v>
      </c>
      <c r="N218" s="3" t="str">
        <f t="shared" si="33"/>
        <v>01</v>
      </c>
      <c r="O218" s="14" t="str">
        <f t="shared" si="33"/>
        <v>00</v>
      </c>
    </row>
    <row r="219" spans="1:23" hidden="1">
      <c r="J219" s="1" t="str">
        <f t="shared" si="29"/>
        <v>0</v>
      </c>
      <c r="K219" s="3">
        <f t="shared" si="30"/>
        <v>-100</v>
      </c>
      <c r="L219" s="3">
        <f t="shared" si="31"/>
        <v>1</v>
      </c>
      <c r="M219" s="3">
        <f t="shared" si="32"/>
        <v>0</v>
      </c>
      <c r="N219" s="3" t="str">
        <f t="shared" si="33"/>
        <v>01</v>
      </c>
      <c r="O219" s="14" t="str">
        <f t="shared" si="33"/>
        <v>00</v>
      </c>
    </row>
    <row r="220" spans="1:23" hidden="1">
      <c r="J220" s="1" t="str">
        <f t="shared" si="29"/>
        <v>0</v>
      </c>
      <c r="K220" s="3">
        <f t="shared" si="30"/>
        <v>-100</v>
      </c>
      <c r="L220" s="3">
        <f t="shared" si="31"/>
        <v>1</v>
      </c>
      <c r="M220" s="3">
        <f t="shared" si="32"/>
        <v>0</v>
      </c>
      <c r="N220" s="3" t="str">
        <f t="shared" si="33"/>
        <v>01</v>
      </c>
      <c r="O220" s="14" t="str">
        <f t="shared" si="33"/>
        <v>00</v>
      </c>
    </row>
    <row r="221" spans="1:23" s="42" customFormat="1" hidden="1">
      <c r="A221" s="3"/>
      <c r="B221" s="1"/>
      <c r="C221" s="1"/>
      <c r="D221" s="1"/>
      <c r="E221" s="1"/>
      <c r="F221" s="1"/>
      <c r="G221" s="1"/>
      <c r="H221" s="2"/>
      <c r="I221" s="36"/>
      <c r="J221" s="1" t="str">
        <f t="shared" si="29"/>
        <v>0</v>
      </c>
      <c r="K221" s="3">
        <f t="shared" si="30"/>
        <v>-100</v>
      </c>
      <c r="L221" s="3">
        <f t="shared" si="31"/>
        <v>1</v>
      </c>
      <c r="M221" s="3">
        <f t="shared" si="32"/>
        <v>0</v>
      </c>
      <c r="N221" s="3" t="str">
        <f t="shared" si="33"/>
        <v>01</v>
      </c>
      <c r="O221" s="14" t="str">
        <f t="shared" si="33"/>
        <v>00</v>
      </c>
      <c r="P221" s="4"/>
      <c r="Q221" s="5"/>
      <c r="R221" s="6"/>
      <c r="S221" s="5"/>
      <c r="T221" s="5"/>
      <c r="U221" s="3"/>
      <c r="V221" s="3"/>
      <c r="W221" s="3"/>
    </row>
    <row r="222" spans="1:23" hidden="1">
      <c r="G222" s="38"/>
      <c r="H222" s="37"/>
      <c r="I222" s="38"/>
      <c r="J222" s="38" t="str">
        <f t="shared" si="29"/>
        <v>0</v>
      </c>
      <c r="K222" s="42">
        <f t="shared" si="30"/>
        <v>-100</v>
      </c>
      <c r="L222" s="42">
        <f t="shared" si="31"/>
        <v>1</v>
      </c>
      <c r="M222" s="42">
        <f t="shared" si="32"/>
        <v>0</v>
      </c>
      <c r="N222" s="42" t="str">
        <f t="shared" si="33"/>
        <v>01</v>
      </c>
      <c r="O222" s="50" t="str">
        <f t="shared" si="33"/>
        <v>00</v>
      </c>
      <c r="P222" s="39"/>
      <c r="Q222" s="40"/>
      <c r="R222" s="41"/>
      <c r="S222" s="40"/>
      <c r="T222" s="40"/>
      <c r="U222" s="42"/>
      <c r="V222" s="42"/>
      <c r="W222" s="42"/>
    </row>
    <row r="223" spans="1:23" hidden="1">
      <c r="J223" s="1" t="str">
        <f t="shared" si="29"/>
        <v>0</v>
      </c>
      <c r="K223" s="3">
        <f t="shared" si="30"/>
        <v>-100</v>
      </c>
      <c r="L223" s="3">
        <f t="shared" si="31"/>
        <v>1</v>
      </c>
      <c r="M223" s="3">
        <f t="shared" si="32"/>
        <v>0</v>
      </c>
      <c r="N223" s="3" t="str">
        <f t="shared" si="33"/>
        <v>01</v>
      </c>
      <c r="O223" s="14" t="str">
        <f t="shared" si="33"/>
        <v>00</v>
      </c>
    </row>
    <row r="224" spans="1:23" hidden="1">
      <c r="J224" s="1" t="str">
        <f t="shared" si="29"/>
        <v>0</v>
      </c>
      <c r="K224" s="3">
        <f t="shared" si="30"/>
        <v>-100</v>
      </c>
      <c r="L224" s="3">
        <f t="shared" si="31"/>
        <v>1</v>
      </c>
      <c r="M224" s="3">
        <f t="shared" si="32"/>
        <v>0</v>
      </c>
      <c r="N224" s="3" t="str">
        <f t="shared" si="33"/>
        <v>01</v>
      </c>
      <c r="O224" s="14" t="str">
        <f t="shared" si="33"/>
        <v>00</v>
      </c>
    </row>
    <row r="225" spans="10:20" hidden="1">
      <c r="J225" s="1" t="str">
        <f t="shared" si="29"/>
        <v>0</v>
      </c>
      <c r="K225" s="3">
        <f t="shared" si="30"/>
        <v>-100</v>
      </c>
      <c r="L225" s="3">
        <f t="shared" si="31"/>
        <v>1</v>
      </c>
      <c r="M225" s="3">
        <f t="shared" si="32"/>
        <v>0</v>
      </c>
      <c r="N225" s="3" t="str">
        <f t="shared" si="33"/>
        <v>01</v>
      </c>
      <c r="O225" s="14" t="str">
        <f t="shared" si="33"/>
        <v>00</v>
      </c>
    </row>
    <row r="226" spans="10:20" hidden="1">
      <c r="J226" s="1" t="str">
        <f t="shared" si="29"/>
        <v>0</v>
      </c>
      <c r="K226" s="3">
        <f t="shared" si="30"/>
        <v>-100</v>
      </c>
      <c r="L226" s="3">
        <f t="shared" si="31"/>
        <v>1</v>
      </c>
      <c r="M226" s="3">
        <f t="shared" si="32"/>
        <v>0</v>
      </c>
      <c r="N226" s="3" t="str">
        <f t="shared" si="33"/>
        <v>01</v>
      </c>
      <c r="O226" s="14" t="str">
        <f t="shared" si="33"/>
        <v>00</v>
      </c>
      <c r="T226" s="3"/>
    </row>
    <row r="227" spans="10:20" hidden="1">
      <c r="J227" s="1" t="str">
        <f t="shared" si="29"/>
        <v>0</v>
      </c>
      <c r="K227" s="3">
        <f t="shared" si="30"/>
        <v>-100</v>
      </c>
      <c r="L227" s="3">
        <f t="shared" si="31"/>
        <v>1</v>
      </c>
      <c r="M227" s="3">
        <f t="shared" si="32"/>
        <v>0</v>
      </c>
      <c r="N227" s="3" t="str">
        <f t="shared" si="33"/>
        <v>01</v>
      </c>
      <c r="O227" s="14" t="str">
        <f t="shared" si="33"/>
        <v>00</v>
      </c>
    </row>
    <row r="228" spans="10:20" hidden="1">
      <c r="J228" s="1" t="str">
        <f t="shared" si="29"/>
        <v>0</v>
      </c>
      <c r="K228" s="3">
        <f t="shared" si="30"/>
        <v>-100</v>
      </c>
      <c r="L228" s="3">
        <f t="shared" si="31"/>
        <v>1</v>
      </c>
      <c r="M228" s="3">
        <f t="shared" si="32"/>
        <v>0</v>
      </c>
      <c r="N228" s="3" t="str">
        <f t="shared" si="33"/>
        <v>01</v>
      </c>
      <c r="O228" s="14" t="str">
        <f t="shared" si="33"/>
        <v>00</v>
      </c>
    </row>
    <row r="229" spans="10:20" hidden="1">
      <c r="J229" s="1" t="str">
        <f t="shared" si="29"/>
        <v>0</v>
      </c>
      <c r="K229" s="3">
        <f t="shared" si="30"/>
        <v>-100</v>
      </c>
      <c r="L229" s="3">
        <f t="shared" si="31"/>
        <v>1</v>
      </c>
      <c r="M229" s="3">
        <f t="shared" si="32"/>
        <v>0</v>
      </c>
      <c r="N229" s="3" t="str">
        <f t="shared" si="33"/>
        <v>01</v>
      </c>
      <c r="O229" s="14" t="str">
        <f t="shared" si="33"/>
        <v>00</v>
      </c>
    </row>
    <row r="230" spans="10:20" hidden="1">
      <c r="J230" s="1" t="str">
        <f t="shared" si="29"/>
        <v>0</v>
      </c>
      <c r="K230" s="3">
        <f t="shared" si="30"/>
        <v>-100</v>
      </c>
      <c r="L230" s="3">
        <f t="shared" si="31"/>
        <v>1</v>
      </c>
      <c r="M230" s="3">
        <f t="shared" si="32"/>
        <v>0</v>
      </c>
      <c r="N230" s="3" t="str">
        <f t="shared" si="33"/>
        <v>01</v>
      </c>
      <c r="O230" s="14" t="str">
        <f t="shared" si="33"/>
        <v>00</v>
      </c>
    </row>
    <row r="231" spans="10:20" hidden="1">
      <c r="J231" s="1" t="str">
        <f t="shared" si="29"/>
        <v>0</v>
      </c>
      <c r="K231" s="3">
        <f t="shared" si="30"/>
        <v>-100</v>
      </c>
      <c r="L231" s="3">
        <f t="shared" si="31"/>
        <v>1</v>
      </c>
      <c r="M231" s="3">
        <f t="shared" si="32"/>
        <v>0</v>
      </c>
      <c r="N231" s="3" t="str">
        <f t="shared" si="33"/>
        <v>01</v>
      </c>
      <c r="O231" s="14" t="str">
        <f t="shared" si="33"/>
        <v>00</v>
      </c>
    </row>
    <row r="232" spans="10:20" hidden="1">
      <c r="J232" s="1" t="str">
        <f t="shared" si="29"/>
        <v>0</v>
      </c>
      <c r="K232" s="3">
        <f t="shared" si="30"/>
        <v>-100</v>
      </c>
      <c r="L232" s="3">
        <f t="shared" si="31"/>
        <v>1</v>
      </c>
      <c r="M232" s="3">
        <f t="shared" si="32"/>
        <v>0</v>
      </c>
      <c r="N232" s="3" t="str">
        <f t="shared" si="33"/>
        <v>01</v>
      </c>
      <c r="O232" s="14" t="str">
        <f t="shared" si="33"/>
        <v>00</v>
      </c>
    </row>
    <row r="233" spans="10:20" hidden="1">
      <c r="J233" s="1" t="str">
        <f t="shared" si="29"/>
        <v>0</v>
      </c>
      <c r="K233" s="3">
        <f t="shared" si="30"/>
        <v>-100</v>
      </c>
      <c r="L233" s="3">
        <f t="shared" si="31"/>
        <v>1</v>
      </c>
      <c r="M233" s="3">
        <f t="shared" si="32"/>
        <v>0</v>
      </c>
      <c r="N233" s="3" t="str">
        <f t="shared" si="33"/>
        <v>01</v>
      </c>
      <c r="O233" s="14" t="str">
        <f t="shared" si="33"/>
        <v>00</v>
      </c>
    </row>
    <row r="234" spans="10:20" hidden="1">
      <c r="K234" s="3">
        <f t="shared" si="30"/>
        <v>-100</v>
      </c>
      <c r="L234" s="3">
        <f t="shared" si="31"/>
        <v>1</v>
      </c>
      <c r="M234" s="3">
        <f t="shared" si="32"/>
        <v>0</v>
      </c>
      <c r="N234" s="3" t="str">
        <f t="shared" si="33"/>
        <v>01</v>
      </c>
      <c r="O234" s="14" t="str">
        <f t="shared" si="33"/>
        <v>00</v>
      </c>
    </row>
    <row r="235" spans="10:20" hidden="1">
      <c r="J235" s="1" t="str">
        <f t="shared" ref="J235:J271" si="34">+IF(I235&lt;10,_xlfn.CONCAT("0",I235),I235)</f>
        <v>0</v>
      </c>
      <c r="K235" s="3">
        <f t="shared" si="30"/>
        <v>-100</v>
      </c>
      <c r="L235" s="3">
        <f t="shared" si="31"/>
        <v>1</v>
      </c>
      <c r="M235" s="3">
        <f t="shared" si="32"/>
        <v>0</v>
      </c>
      <c r="N235" s="3" t="str">
        <f t="shared" si="33"/>
        <v>01</v>
      </c>
      <c r="O235" s="14" t="str">
        <f t="shared" si="33"/>
        <v>00</v>
      </c>
    </row>
    <row r="236" spans="10:20" hidden="1">
      <c r="J236" s="1" t="str">
        <f t="shared" si="34"/>
        <v>0</v>
      </c>
      <c r="K236" s="3">
        <f t="shared" si="30"/>
        <v>-100</v>
      </c>
      <c r="L236" s="3">
        <f t="shared" si="31"/>
        <v>1</v>
      </c>
      <c r="M236" s="3">
        <f t="shared" si="32"/>
        <v>0</v>
      </c>
      <c r="N236" s="3" t="str">
        <f t="shared" si="33"/>
        <v>01</v>
      </c>
      <c r="O236" s="14" t="str">
        <f t="shared" si="33"/>
        <v>00</v>
      </c>
    </row>
    <row r="237" spans="10:20" hidden="1">
      <c r="J237" s="1" t="str">
        <f t="shared" si="34"/>
        <v>0</v>
      </c>
      <c r="K237" s="3">
        <f t="shared" si="30"/>
        <v>-100</v>
      </c>
      <c r="L237" s="3">
        <f t="shared" si="31"/>
        <v>1</v>
      </c>
      <c r="M237" s="3">
        <f t="shared" si="32"/>
        <v>0</v>
      </c>
      <c r="N237" s="3" t="str">
        <f t="shared" si="33"/>
        <v>01</v>
      </c>
      <c r="O237" s="14" t="str">
        <f t="shared" si="33"/>
        <v>00</v>
      </c>
    </row>
    <row r="238" spans="10:20" hidden="1">
      <c r="J238" s="1" t="str">
        <f t="shared" si="34"/>
        <v>0</v>
      </c>
      <c r="K238" s="3">
        <f t="shared" si="30"/>
        <v>-100</v>
      </c>
      <c r="L238" s="3">
        <f t="shared" si="31"/>
        <v>1</v>
      </c>
      <c r="M238" s="3">
        <f t="shared" si="32"/>
        <v>0</v>
      </c>
      <c r="N238" s="3" t="str">
        <f t="shared" si="33"/>
        <v>01</v>
      </c>
      <c r="O238" s="14" t="str">
        <f t="shared" si="33"/>
        <v>00</v>
      </c>
    </row>
    <row r="239" spans="10:20" hidden="1">
      <c r="J239" s="1" t="str">
        <f t="shared" si="34"/>
        <v>0</v>
      </c>
      <c r="K239" s="3">
        <f t="shared" si="30"/>
        <v>-100</v>
      </c>
      <c r="L239" s="3">
        <f t="shared" si="31"/>
        <v>1</v>
      </c>
      <c r="M239" s="3">
        <f t="shared" si="32"/>
        <v>0</v>
      </c>
      <c r="N239" s="3" t="str">
        <f t="shared" si="33"/>
        <v>01</v>
      </c>
      <c r="O239" s="14" t="str">
        <f t="shared" si="33"/>
        <v>00</v>
      </c>
    </row>
    <row r="240" spans="10:20" hidden="1">
      <c r="J240" s="1" t="str">
        <f t="shared" si="34"/>
        <v>0</v>
      </c>
      <c r="K240" s="3">
        <f t="shared" si="30"/>
        <v>-100</v>
      </c>
      <c r="L240" s="3">
        <f t="shared" si="31"/>
        <v>1</v>
      </c>
      <c r="M240" s="3">
        <f t="shared" si="32"/>
        <v>0</v>
      </c>
      <c r="N240" s="3" t="str">
        <f t="shared" si="33"/>
        <v>01</v>
      </c>
      <c r="O240" s="14" t="str">
        <f t="shared" si="33"/>
        <v>00</v>
      </c>
    </row>
    <row r="241" spans="10:15" hidden="1">
      <c r="J241" s="1" t="str">
        <f t="shared" si="34"/>
        <v>0</v>
      </c>
      <c r="K241" s="3">
        <f t="shared" si="30"/>
        <v>-100</v>
      </c>
      <c r="L241" s="3">
        <f t="shared" si="31"/>
        <v>1</v>
      </c>
      <c r="M241" s="3">
        <f t="shared" si="32"/>
        <v>0</v>
      </c>
      <c r="N241" s="3" t="str">
        <f t="shared" si="33"/>
        <v>01</v>
      </c>
      <c r="O241" s="14" t="str">
        <f t="shared" si="33"/>
        <v>00</v>
      </c>
    </row>
    <row r="242" spans="10:15" hidden="1">
      <c r="J242" s="1" t="str">
        <f t="shared" si="34"/>
        <v>0</v>
      </c>
      <c r="K242" s="3">
        <f t="shared" si="30"/>
        <v>-100</v>
      </c>
      <c r="L242" s="3">
        <f t="shared" si="31"/>
        <v>1</v>
      </c>
      <c r="M242" s="3">
        <f t="shared" si="32"/>
        <v>0</v>
      </c>
      <c r="N242" s="3" t="str">
        <f t="shared" si="33"/>
        <v>01</v>
      </c>
      <c r="O242" s="14" t="str">
        <f t="shared" si="33"/>
        <v>00</v>
      </c>
    </row>
    <row r="243" spans="10:15" hidden="1">
      <c r="J243" s="1" t="str">
        <f t="shared" si="34"/>
        <v>0</v>
      </c>
      <c r="K243" s="3">
        <f t="shared" si="30"/>
        <v>-100</v>
      </c>
      <c r="L243" s="3">
        <f t="shared" si="31"/>
        <v>1</v>
      </c>
      <c r="M243" s="3">
        <f t="shared" si="32"/>
        <v>0</v>
      </c>
      <c r="N243" s="3" t="str">
        <f t="shared" ref="N243:O271" si="35">+IF(L243&lt;10,_xlfn.CONCAT("0",L243),L243)</f>
        <v>01</v>
      </c>
      <c r="O243" s="14" t="str">
        <f t="shared" si="35"/>
        <v>00</v>
      </c>
    </row>
    <row r="244" spans="10:15" hidden="1">
      <c r="J244" s="1" t="str">
        <f t="shared" si="34"/>
        <v>0</v>
      </c>
      <c r="K244" s="3">
        <f t="shared" si="30"/>
        <v>-100</v>
      </c>
      <c r="L244" s="3">
        <f t="shared" si="31"/>
        <v>1</v>
      </c>
      <c r="M244" s="3">
        <f t="shared" si="32"/>
        <v>0</v>
      </c>
      <c r="N244" s="3" t="str">
        <f t="shared" si="35"/>
        <v>01</v>
      </c>
      <c r="O244" s="14" t="str">
        <f t="shared" si="35"/>
        <v>00</v>
      </c>
    </row>
    <row r="245" spans="10:15" hidden="1">
      <c r="J245" s="1" t="str">
        <f t="shared" si="34"/>
        <v>0</v>
      </c>
      <c r="K245" s="3">
        <f t="shared" si="30"/>
        <v>-100</v>
      </c>
      <c r="L245" s="3">
        <f t="shared" si="31"/>
        <v>1</v>
      </c>
      <c r="M245" s="3">
        <f t="shared" si="32"/>
        <v>0</v>
      </c>
      <c r="N245" s="3" t="str">
        <f t="shared" si="35"/>
        <v>01</v>
      </c>
      <c r="O245" s="14" t="str">
        <f t="shared" si="35"/>
        <v>00</v>
      </c>
    </row>
    <row r="246" spans="10:15" hidden="1">
      <c r="J246" s="1" t="str">
        <f t="shared" si="34"/>
        <v>0</v>
      </c>
      <c r="K246" s="3">
        <f t="shared" si="30"/>
        <v>-100</v>
      </c>
      <c r="L246" s="3">
        <f t="shared" si="31"/>
        <v>1</v>
      </c>
      <c r="M246" s="3">
        <f t="shared" si="32"/>
        <v>0</v>
      </c>
      <c r="N246" s="3" t="str">
        <f t="shared" si="35"/>
        <v>01</v>
      </c>
      <c r="O246" s="14" t="str">
        <f t="shared" si="35"/>
        <v>00</v>
      </c>
    </row>
    <row r="247" spans="10:15" hidden="1">
      <c r="J247" s="1" t="str">
        <f t="shared" si="34"/>
        <v>0</v>
      </c>
      <c r="K247" s="3">
        <f t="shared" si="30"/>
        <v>-100</v>
      </c>
      <c r="L247" s="3">
        <f t="shared" si="31"/>
        <v>1</v>
      </c>
      <c r="M247" s="3">
        <f t="shared" si="32"/>
        <v>0</v>
      </c>
      <c r="N247" s="3" t="str">
        <f t="shared" si="35"/>
        <v>01</v>
      </c>
      <c r="O247" s="14" t="str">
        <f t="shared" si="35"/>
        <v>00</v>
      </c>
    </row>
    <row r="248" spans="10:15" hidden="1">
      <c r="J248" s="1" t="str">
        <f t="shared" si="34"/>
        <v>0</v>
      </c>
      <c r="K248" s="3">
        <f t="shared" si="30"/>
        <v>-100</v>
      </c>
      <c r="L248" s="3">
        <f t="shared" si="31"/>
        <v>1</v>
      </c>
      <c r="M248" s="3">
        <f t="shared" si="32"/>
        <v>0</v>
      </c>
      <c r="N248" s="3" t="str">
        <f t="shared" si="35"/>
        <v>01</v>
      </c>
      <c r="O248" s="14" t="str">
        <f t="shared" si="35"/>
        <v>00</v>
      </c>
    </row>
    <row r="249" spans="10:15" hidden="1">
      <c r="J249" s="1" t="str">
        <f t="shared" si="34"/>
        <v>0</v>
      </c>
      <c r="K249" s="3">
        <f t="shared" si="30"/>
        <v>-100</v>
      </c>
      <c r="L249" s="3">
        <f t="shared" si="31"/>
        <v>1</v>
      </c>
      <c r="M249" s="3">
        <f t="shared" si="32"/>
        <v>0</v>
      </c>
      <c r="N249" s="3" t="str">
        <f t="shared" si="35"/>
        <v>01</v>
      </c>
      <c r="O249" s="14" t="str">
        <f t="shared" si="35"/>
        <v>00</v>
      </c>
    </row>
    <row r="250" spans="10:15" hidden="1">
      <c r="J250" s="1" t="str">
        <f t="shared" si="34"/>
        <v>0</v>
      </c>
      <c r="K250" s="3">
        <f t="shared" si="30"/>
        <v>-100</v>
      </c>
      <c r="L250" s="3">
        <f t="shared" si="31"/>
        <v>1</v>
      </c>
      <c r="M250" s="3">
        <f t="shared" si="32"/>
        <v>0</v>
      </c>
      <c r="N250" s="3" t="str">
        <f t="shared" si="35"/>
        <v>01</v>
      </c>
      <c r="O250" s="14" t="str">
        <f t="shared" si="35"/>
        <v>00</v>
      </c>
    </row>
    <row r="251" spans="10:15" hidden="1">
      <c r="J251" s="1" t="str">
        <f t="shared" si="34"/>
        <v>0</v>
      </c>
      <c r="K251" s="3">
        <f t="shared" si="30"/>
        <v>-100</v>
      </c>
      <c r="L251" s="3">
        <f t="shared" si="31"/>
        <v>1</v>
      </c>
      <c r="M251" s="3">
        <f t="shared" si="32"/>
        <v>0</v>
      </c>
      <c r="N251" s="3" t="str">
        <f t="shared" si="35"/>
        <v>01</v>
      </c>
      <c r="O251" s="14" t="str">
        <f t="shared" si="35"/>
        <v>00</v>
      </c>
    </row>
    <row r="252" spans="10:15" hidden="1">
      <c r="J252" s="1" t="str">
        <f t="shared" si="34"/>
        <v>0</v>
      </c>
      <c r="K252" s="3">
        <f t="shared" si="30"/>
        <v>-100</v>
      </c>
      <c r="L252" s="3">
        <f t="shared" si="31"/>
        <v>1</v>
      </c>
      <c r="M252" s="3">
        <f t="shared" si="32"/>
        <v>0</v>
      </c>
      <c r="N252" s="3" t="str">
        <f t="shared" si="35"/>
        <v>01</v>
      </c>
      <c r="O252" s="14" t="str">
        <f t="shared" si="35"/>
        <v>00</v>
      </c>
    </row>
    <row r="253" spans="10:15" hidden="1">
      <c r="J253" s="1" t="str">
        <f t="shared" si="34"/>
        <v>0</v>
      </c>
      <c r="K253" s="3">
        <f t="shared" si="30"/>
        <v>-100</v>
      </c>
      <c r="L253" s="3">
        <f t="shared" si="31"/>
        <v>1</v>
      </c>
      <c r="M253" s="3">
        <f t="shared" si="32"/>
        <v>0</v>
      </c>
      <c r="N253" s="3" t="str">
        <f t="shared" si="35"/>
        <v>01</v>
      </c>
      <c r="O253" s="14" t="str">
        <f t="shared" si="35"/>
        <v>00</v>
      </c>
    </row>
    <row r="254" spans="10:15" hidden="1">
      <c r="J254" s="1" t="str">
        <f t="shared" si="34"/>
        <v>0</v>
      </c>
      <c r="K254" s="3">
        <f t="shared" si="30"/>
        <v>-100</v>
      </c>
      <c r="L254" s="3">
        <f t="shared" si="31"/>
        <v>1</v>
      </c>
      <c r="M254" s="3">
        <f t="shared" si="32"/>
        <v>0</v>
      </c>
      <c r="N254" s="3" t="str">
        <f t="shared" si="35"/>
        <v>01</v>
      </c>
      <c r="O254" s="14" t="str">
        <f t="shared" si="35"/>
        <v>00</v>
      </c>
    </row>
    <row r="255" spans="10:15" hidden="1">
      <c r="J255" s="1" t="str">
        <f t="shared" si="34"/>
        <v>0</v>
      </c>
      <c r="K255" s="3">
        <f t="shared" si="30"/>
        <v>-100</v>
      </c>
      <c r="L255" s="3">
        <f t="shared" si="31"/>
        <v>1</v>
      </c>
      <c r="M255" s="3">
        <f t="shared" si="32"/>
        <v>0</v>
      </c>
      <c r="N255" s="3" t="str">
        <f t="shared" si="35"/>
        <v>01</v>
      </c>
      <c r="O255" s="14" t="str">
        <f t="shared" si="35"/>
        <v>00</v>
      </c>
    </row>
    <row r="256" spans="10:15" hidden="1">
      <c r="J256" s="1" t="str">
        <f t="shared" si="34"/>
        <v>0</v>
      </c>
      <c r="K256" s="3">
        <f t="shared" si="30"/>
        <v>-100</v>
      </c>
      <c r="L256" s="3">
        <f t="shared" si="31"/>
        <v>1</v>
      </c>
      <c r="M256" s="3">
        <f t="shared" si="32"/>
        <v>0</v>
      </c>
      <c r="N256" s="3" t="str">
        <f t="shared" si="35"/>
        <v>01</v>
      </c>
      <c r="O256" s="14" t="str">
        <f t="shared" si="35"/>
        <v>00</v>
      </c>
    </row>
    <row r="257" spans="7:23" hidden="1">
      <c r="H257" s="9"/>
      <c r="J257" s="1" t="str">
        <f t="shared" si="34"/>
        <v>0</v>
      </c>
      <c r="K257" s="3">
        <f t="shared" si="30"/>
        <v>-100</v>
      </c>
      <c r="L257" s="3">
        <f t="shared" si="31"/>
        <v>1</v>
      </c>
      <c r="M257" s="3">
        <f t="shared" si="32"/>
        <v>0</v>
      </c>
      <c r="N257" s="3" t="str">
        <f t="shared" si="35"/>
        <v>01</v>
      </c>
      <c r="O257" s="14" t="str">
        <f t="shared" si="35"/>
        <v>00</v>
      </c>
      <c r="P257" s="11"/>
      <c r="Q257" s="12"/>
      <c r="R257" s="13"/>
      <c r="S257" s="12"/>
      <c r="T257" s="12"/>
      <c r="U257" s="10"/>
      <c r="V257" s="10"/>
      <c r="W257" s="10"/>
    </row>
    <row r="258" spans="7:23" hidden="1">
      <c r="J258" s="1" t="str">
        <f t="shared" si="34"/>
        <v>0</v>
      </c>
      <c r="K258" s="3">
        <f t="shared" si="30"/>
        <v>-100</v>
      </c>
      <c r="L258" s="3">
        <f t="shared" si="31"/>
        <v>1</v>
      </c>
      <c r="M258" s="3">
        <f t="shared" si="32"/>
        <v>0</v>
      </c>
      <c r="N258" s="3" t="str">
        <f t="shared" si="35"/>
        <v>01</v>
      </c>
      <c r="O258" s="14" t="str">
        <f t="shared" si="35"/>
        <v>00</v>
      </c>
    </row>
    <row r="259" spans="7:23" hidden="1">
      <c r="J259" s="1" t="str">
        <f t="shared" si="34"/>
        <v>0</v>
      </c>
      <c r="K259" s="3">
        <f t="shared" si="30"/>
        <v>-100</v>
      </c>
      <c r="L259" s="3">
        <f t="shared" si="31"/>
        <v>1</v>
      </c>
      <c r="M259" s="3">
        <f t="shared" si="32"/>
        <v>0</v>
      </c>
      <c r="N259" s="3" t="str">
        <f t="shared" si="35"/>
        <v>01</v>
      </c>
      <c r="O259" s="14" t="str">
        <f t="shared" si="35"/>
        <v>00</v>
      </c>
    </row>
    <row r="260" spans="7:23" hidden="1">
      <c r="J260" s="1" t="str">
        <f t="shared" si="34"/>
        <v>0</v>
      </c>
      <c r="K260" s="3">
        <f t="shared" si="30"/>
        <v>-100</v>
      </c>
      <c r="L260" s="3">
        <f t="shared" si="31"/>
        <v>1</v>
      </c>
      <c r="M260" s="3">
        <f t="shared" si="32"/>
        <v>0</v>
      </c>
      <c r="N260" s="3" t="str">
        <f t="shared" si="35"/>
        <v>01</v>
      </c>
      <c r="O260" s="14" t="str">
        <f t="shared" si="35"/>
        <v>00</v>
      </c>
      <c r="T260" s="7"/>
    </row>
    <row r="261" spans="7:23" hidden="1">
      <c r="J261" s="1" t="str">
        <f t="shared" si="34"/>
        <v>0</v>
      </c>
      <c r="K261" s="3">
        <f t="shared" si="30"/>
        <v>-100</v>
      </c>
      <c r="L261" s="3">
        <f t="shared" si="31"/>
        <v>1</v>
      </c>
      <c r="M261" s="3">
        <f t="shared" si="32"/>
        <v>0</v>
      </c>
      <c r="N261" s="3" t="str">
        <f t="shared" si="35"/>
        <v>01</v>
      </c>
      <c r="O261" s="14" t="str">
        <f t="shared" si="35"/>
        <v>00</v>
      </c>
    </row>
    <row r="262" spans="7:23" hidden="1">
      <c r="J262" s="1" t="str">
        <f t="shared" si="34"/>
        <v>0</v>
      </c>
      <c r="K262" s="3">
        <f t="shared" si="30"/>
        <v>-100</v>
      </c>
      <c r="L262" s="3">
        <f t="shared" si="31"/>
        <v>1</v>
      </c>
      <c r="M262" s="3">
        <f t="shared" si="32"/>
        <v>0</v>
      </c>
      <c r="N262" s="3" t="str">
        <f t="shared" si="35"/>
        <v>01</v>
      </c>
      <c r="O262" s="14" t="str">
        <f t="shared" si="35"/>
        <v>00</v>
      </c>
    </row>
    <row r="263" spans="7:23" hidden="1">
      <c r="J263" s="1" t="str">
        <f t="shared" si="34"/>
        <v>0</v>
      </c>
      <c r="K263" s="3">
        <f t="shared" si="30"/>
        <v>-100</v>
      </c>
      <c r="L263" s="3">
        <f t="shared" si="31"/>
        <v>1</v>
      </c>
      <c r="M263" s="3">
        <f t="shared" si="32"/>
        <v>0</v>
      </c>
      <c r="N263" s="3" t="str">
        <f t="shared" si="35"/>
        <v>01</v>
      </c>
      <c r="O263" s="14" t="str">
        <f t="shared" si="35"/>
        <v>00</v>
      </c>
    </row>
    <row r="264" spans="7:23" hidden="1">
      <c r="J264" s="1" t="str">
        <f t="shared" si="34"/>
        <v>0</v>
      </c>
      <c r="K264" s="3">
        <f t="shared" si="30"/>
        <v>-100</v>
      </c>
      <c r="L264" s="3">
        <f t="shared" si="31"/>
        <v>1</v>
      </c>
      <c r="M264" s="3">
        <f t="shared" si="32"/>
        <v>0</v>
      </c>
      <c r="N264" s="3" t="str">
        <f t="shared" si="35"/>
        <v>01</v>
      </c>
      <c r="O264" s="14" t="str">
        <f t="shared" si="35"/>
        <v>00</v>
      </c>
      <c r="R264" s="6">
        <v>494</v>
      </c>
      <c r="S264" s="5">
        <f>+P264/R264</f>
        <v>0</v>
      </c>
    </row>
    <row r="265" spans="7:23" hidden="1">
      <c r="J265" s="1" t="str">
        <f t="shared" si="34"/>
        <v>0</v>
      </c>
      <c r="K265" s="3">
        <f t="shared" si="30"/>
        <v>-100</v>
      </c>
      <c r="L265" s="3">
        <f t="shared" si="31"/>
        <v>1</v>
      </c>
      <c r="M265" s="3">
        <f t="shared" si="32"/>
        <v>0</v>
      </c>
      <c r="N265" s="3" t="str">
        <f t="shared" si="35"/>
        <v>01</v>
      </c>
      <c r="O265" s="14" t="str">
        <f t="shared" si="35"/>
        <v>00</v>
      </c>
      <c r="R265" s="6">
        <v>494</v>
      </c>
      <c r="S265" s="5">
        <f>+P265/R265</f>
        <v>0</v>
      </c>
    </row>
    <row r="266" spans="7:23" hidden="1">
      <c r="J266" s="1" t="str">
        <f t="shared" si="34"/>
        <v>0</v>
      </c>
      <c r="K266" s="3">
        <f t="shared" si="30"/>
        <v>-100</v>
      </c>
      <c r="L266" s="3">
        <f t="shared" si="31"/>
        <v>1</v>
      </c>
      <c r="M266" s="3">
        <f t="shared" si="32"/>
        <v>0</v>
      </c>
      <c r="N266" s="3" t="str">
        <f t="shared" si="35"/>
        <v>01</v>
      </c>
      <c r="O266" s="14" t="str">
        <f t="shared" si="35"/>
        <v>00</v>
      </c>
      <c r="R266" s="6">
        <v>494</v>
      </c>
      <c r="S266" s="5">
        <f>+P266/R266</f>
        <v>0</v>
      </c>
    </row>
    <row r="267" spans="7:23" hidden="1">
      <c r="J267" s="1" t="str">
        <f t="shared" si="34"/>
        <v>0</v>
      </c>
      <c r="K267" s="3">
        <f t="shared" si="30"/>
        <v>-100</v>
      </c>
      <c r="L267" s="3">
        <f t="shared" si="31"/>
        <v>1</v>
      </c>
      <c r="M267" s="3">
        <f t="shared" si="32"/>
        <v>0</v>
      </c>
      <c r="N267" s="3" t="str">
        <f t="shared" si="35"/>
        <v>01</v>
      </c>
      <c r="O267" s="14" t="str">
        <f t="shared" si="35"/>
        <v>00</v>
      </c>
    </row>
    <row r="268" spans="7:23" hidden="1">
      <c r="J268" s="1" t="str">
        <f t="shared" si="34"/>
        <v>0</v>
      </c>
      <c r="K268" s="3">
        <f t="shared" si="30"/>
        <v>-100</v>
      </c>
      <c r="L268" s="3">
        <f t="shared" si="31"/>
        <v>1</v>
      </c>
      <c r="M268" s="3">
        <f t="shared" si="32"/>
        <v>0</v>
      </c>
      <c r="N268" s="3" t="str">
        <f t="shared" si="35"/>
        <v>01</v>
      </c>
      <c r="O268" s="14" t="str">
        <f t="shared" si="35"/>
        <v>00</v>
      </c>
    </row>
    <row r="269" spans="7:23" hidden="1">
      <c r="J269" s="1" t="str">
        <f t="shared" si="34"/>
        <v>0</v>
      </c>
      <c r="K269" s="3">
        <f t="shared" si="30"/>
        <v>-100</v>
      </c>
      <c r="L269" s="3">
        <f t="shared" si="31"/>
        <v>1</v>
      </c>
      <c r="M269" s="3">
        <f t="shared" si="32"/>
        <v>0</v>
      </c>
      <c r="N269" s="3" t="str">
        <f t="shared" si="35"/>
        <v>01</v>
      </c>
      <c r="O269" s="14" t="str">
        <f t="shared" si="35"/>
        <v>00</v>
      </c>
    </row>
    <row r="270" spans="7:23" hidden="1">
      <c r="G270" s="38"/>
      <c r="H270" s="37"/>
      <c r="I270" s="38"/>
      <c r="J270" s="38" t="str">
        <f t="shared" si="34"/>
        <v>0</v>
      </c>
      <c r="K270" s="42">
        <f t="shared" si="30"/>
        <v>-100</v>
      </c>
      <c r="L270" s="42">
        <f t="shared" si="31"/>
        <v>1</v>
      </c>
      <c r="M270" s="42">
        <f t="shared" si="32"/>
        <v>0</v>
      </c>
      <c r="N270" s="42" t="str">
        <f t="shared" si="35"/>
        <v>01</v>
      </c>
      <c r="O270" s="50" t="str">
        <f t="shared" si="35"/>
        <v>00</v>
      </c>
      <c r="P270" s="39"/>
      <c r="Q270" s="40"/>
      <c r="R270" s="41"/>
      <c r="S270" s="40"/>
      <c r="T270" s="40"/>
      <c r="U270" s="42"/>
      <c r="V270" s="42"/>
      <c r="W270" s="42"/>
    </row>
    <row r="271" spans="7:23" hidden="1">
      <c r="J271" s="1" t="str">
        <f t="shared" si="34"/>
        <v>0</v>
      </c>
      <c r="K271" s="3">
        <f t="shared" si="30"/>
        <v>-100</v>
      </c>
      <c r="L271" s="3">
        <f t="shared" si="31"/>
        <v>1</v>
      </c>
      <c r="M271" s="3">
        <f t="shared" si="32"/>
        <v>0</v>
      </c>
      <c r="N271" s="3" t="str">
        <f t="shared" si="35"/>
        <v>01</v>
      </c>
      <c r="O271" s="14" t="str">
        <f t="shared" si="35"/>
        <v>00</v>
      </c>
    </row>
    <row r="272" spans="7:23" hidden="1"/>
    <row r="273" spans="1:23" s="42" customFormat="1" hidden="1">
      <c r="A273" s="3"/>
      <c r="B273" s="1"/>
      <c r="C273" s="1"/>
      <c r="D273" s="1"/>
      <c r="E273" s="1"/>
      <c r="F273" s="1"/>
      <c r="G273" s="1"/>
      <c r="H273" s="2"/>
      <c r="I273" s="36"/>
      <c r="J273" s="1"/>
      <c r="K273" s="3"/>
      <c r="L273" s="3"/>
      <c r="M273" s="3"/>
      <c r="N273" s="3"/>
      <c r="O273" s="14"/>
      <c r="P273" s="4"/>
      <c r="Q273" s="5"/>
      <c r="R273" s="6"/>
      <c r="S273" s="5"/>
      <c r="T273" s="5"/>
      <c r="U273" s="3"/>
      <c r="V273" s="3"/>
      <c r="W273" s="3"/>
    </row>
    <row r="274" spans="1:23" hidden="1"/>
    <row r="275" spans="1:23" hidden="1">
      <c r="J275" s="1" t="str">
        <f t="shared" ref="J275:J338" si="36">+IF(I275&lt;10,_xlfn.CONCAT("0",I275),I275)</f>
        <v>0</v>
      </c>
      <c r="K275" s="3">
        <f t="shared" ref="K275:K338" si="37">+YEAR(H275)-2000</f>
        <v>-100</v>
      </c>
      <c r="L275" s="3">
        <f t="shared" ref="L275:L338" si="38">+MONTH(H275)</f>
        <v>1</v>
      </c>
      <c r="M275" s="3">
        <f t="shared" ref="M275:M338" si="39">+DAY(H275)</f>
        <v>0</v>
      </c>
      <c r="N275" s="3" t="str">
        <f t="shared" ref="N275:O306" si="40">+IF(L275&lt;10,_xlfn.CONCAT("0",L275),L275)</f>
        <v>01</v>
      </c>
      <c r="O275" s="14" t="str">
        <f t="shared" si="40"/>
        <v>00</v>
      </c>
    </row>
    <row r="276" spans="1:23" hidden="1">
      <c r="J276" s="1" t="str">
        <f t="shared" si="36"/>
        <v>0</v>
      </c>
      <c r="K276" s="3">
        <f t="shared" si="37"/>
        <v>-100</v>
      </c>
      <c r="L276" s="3">
        <f t="shared" si="38"/>
        <v>1</v>
      </c>
      <c r="M276" s="3">
        <f t="shared" si="39"/>
        <v>0</v>
      </c>
      <c r="N276" s="3" t="str">
        <f t="shared" si="40"/>
        <v>01</v>
      </c>
      <c r="O276" s="14" t="str">
        <f t="shared" si="40"/>
        <v>00</v>
      </c>
    </row>
    <row r="277" spans="1:23" hidden="1">
      <c r="J277" s="1" t="str">
        <f t="shared" si="36"/>
        <v>0</v>
      </c>
      <c r="K277" s="3">
        <f t="shared" si="37"/>
        <v>-100</v>
      </c>
      <c r="L277" s="3">
        <f t="shared" si="38"/>
        <v>1</v>
      </c>
      <c r="M277" s="3">
        <f t="shared" si="39"/>
        <v>0</v>
      </c>
      <c r="N277" s="3" t="str">
        <f t="shared" si="40"/>
        <v>01</v>
      </c>
      <c r="O277" s="14" t="str">
        <f t="shared" si="40"/>
        <v>00</v>
      </c>
    </row>
    <row r="278" spans="1:23" hidden="1">
      <c r="J278" s="1" t="str">
        <f t="shared" si="36"/>
        <v>0</v>
      </c>
      <c r="K278" s="3">
        <f t="shared" si="37"/>
        <v>-100</v>
      </c>
      <c r="L278" s="3">
        <f t="shared" si="38"/>
        <v>1</v>
      </c>
      <c r="M278" s="3">
        <f t="shared" si="39"/>
        <v>0</v>
      </c>
      <c r="N278" s="3" t="str">
        <f t="shared" si="40"/>
        <v>01</v>
      </c>
      <c r="O278" s="14" t="str">
        <f t="shared" si="40"/>
        <v>00</v>
      </c>
    </row>
    <row r="279" spans="1:23" hidden="1">
      <c r="J279" s="1" t="str">
        <f t="shared" si="36"/>
        <v>0</v>
      </c>
      <c r="K279" s="3">
        <f t="shared" si="37"/>
        <v>-100</v>
      </c>
      <c r="L279" s="3">
        <f t="shared" si="38"/>
        <v>1</v>
      </c>
      <c r="M279" s="3">
        <f t="shared" si="39"/>
        <v>0</v>
      </c>
      <c r="N279" s="3" t="str">
        <f t="shared" si="40"/>
        <v>01</v>
      </c>
      <c r="O279" s="14" t="str">
        <f t="shared" si="40"/>
        <v>00</v>
      </c>
    </row>
    <row r="280" spans="1:23" hidden="1">
      <c r="J280" s="1" t="str">
        <f t="shared" si="36"/>
        <v>0</v>
      </c>
      <c r="K280" s="3">
        <f t="shared" si="37"/>
        <v>-100</v>
      </c>
      <c r="L280" s="3">
        <f t="shared" si="38"/>
        <v>1</v>
      </c>
      <c r="M280" s="3">
        <f t="shared" si="39"/>
        <v>0</v>
      </c>
      <c r="N280" s="3" t="str">
        <f t="shared" si="40"/>
        <v>01</v>
      </c>
      <c r="O280" s="14" t="str">
        <f t="shared" si="40"/>
        <v>00</v>
      </c>
    </row>
    <row r="281" spans="1:23" hidden="1">
      <c r="J281" s="1" t="str">
        <f t="shared" si="36"/>
        <v>0</v>
      </c>
      <c r="K281" s="3">
        <f t="shared" si="37"/>
        <v>-100</v>
      </c>
      <c r="L281" s="3">
        <f t="shared" si="38"/>
        <v>1</v>
      </c>
      <c r="M281" s="3">
        <f t="shared" si="39"/>
        <v>0</v>
      </c>
      <c r="N281" s="3" t="str">
        <f t="shared" si="40"/>
        <v>01</v>
      </c>
      <c r="O281" s="14" t="str">
        <f t="shared" si="40"/>
        <v>00</v>
      </c>
    </row>
    <row r="282" spans="1:23" hidden="1">
      <c r="J282" s="1" t="str">
        <f t="shared" si="36"/>
        <v>0</v>
      </c>
      <c r="K282" s="3">
        <f t="shared" si="37"/>
        <v>-100</v>
      </c>
      <c r="L282" s="3">
        <f t="shared" si="38"/>
        <v>1</v>
      </c>
      <c r="M282" s="3">
        <f t="shared" si="39"/>
        <v>0</v>
      </c>
      <c r="N282" s="3" t="str">
        <f t="shared" si="40"/>
        <v>01</v>
      </c>
      <c r="O282" s="14" t="str">
        <f t="shared" si="40"/>
        <v>00</v>
      </c>
    </row>
    <row r="283" spans="1:23" hidden="1">
      <c r="J283" s="1" t="str">
        <f t="shared" si="36"/>
        <v>0</v>
      </c>
      <c r="K283" s="3">
        <f t="shared" si="37"/>
        <v>-100</v>
      </c>
      <c r="L283" s="3">
        <f t="shared" si="38"/>
        <v>1</v>
      </c>
      <c r="M283" s="3">
        <f t="shared" si="39"/>
        <v>0</v>
      </c>
      <c r="N283" s="3" t="str">
        <f t="shared" si="40"/>
        <v>01</v>
      </c>
      <c r="O283" s="14" t="str">
        <f t="shared" si="40"/>
        <v>00</v>
      </c>
    </row>
    <row r="284" spans="1:23" s="42" customFormat="1">
      <c r="A284" s="3">
        <v>277</v>
      </c>
      <c r="B284" s="1">
        <f t="shared" ref="B284" si="41">IF(G284="-",0,IF(G283=G284,1,0))</f>
        <v>0</v>
      </c>
      <c r="C284" s="1">
        <f t="shared" ref="C284" si="42">+IF(G284="-",0,IF(I284=I283+1,0,(IF(I284=1,0,1))))</f>
        <v>1</v>
      </c>
      <c r="D284" s="1">
        <f t="shared" ref="D284" si="43">+IF(AND(P284="",Q284=""),1,0)</f>
        <v>0</v>
      </c>
      <c r="E284" s="1">
        <f t="shared" ref="E284:F284" si="44">IF(U284="",1,0)</f>
        <v>1</v>
      </c>
      <c r="F284" s="1">
        <f t="shared" si="44"/>
        <v>0</v>
      </c>
      <c r="G284" s="38" t="str">
        <f t="shared" ref="G284" si="45">IF(H284=0,"-",_xlfn.CONCAT(K284,N284,O284,J284))</f>
        <v>24042510</v>
      </c>
      <c r="H284" s="37">
        <v>45407</v>
      </c>
      <c r="I284" s="38">
        <v>10</v>
      </c>
      <c r="J284" s="38">
        <f t="shared" si="36"/>
        <v>10</v>
      </c>
      <c r="K284" s="42">
        <f t="shared" si="37"/>
        <v>24</v>
      </c>
      <c r="L284" s="42">
        <f t="shared" si="38"/>
        <v>4</v>
      </c>
      <c r="M284" s="42">
        <f t="shared" si="39"/>
        <v>25</v>
      </c>
      <c r="N284" s="42" t="str">
        <f t="shared" si="40"/>
        <v>04</v>
      </c>
      <c r="O284" s="50">
        <f t="shared" si="40"/>
        <v>25</v>
      </c>
      <c r="P284" s="39">
        <v>1705727.85</v>
      </c>
      <c r="Q284" s="40"/>
      <c r="R284" s="41"/>
      <c r="S284" s="40"/>
      <c r="T284" s="40" t="s">
        <v>1059</v>
      </c>
      <c r="V284" s="42" t="s">
        <v>5</v>
      </c>
    </row>
    <row r="285" spans="1:23" hidden="1">
      <c r="J285" s="1" t="str">
        <f t="shared" si="36"/>
        <v>0</v>
      </c>
      <c r="K285" s="3">
        <f t="shared" si="37"/>
        <v>-100</v>
      </c>
      <c r="L285" s="3">
        <f t="shared" si="38"/>
        <v>1</v>
      </c>
      <c r="M285" s="3">
        <f t="shared" si="39"/>
        <v>0</v>
      </c>
      <c r="N285" s="3" t="str">
        <f t="shared" si="40"/>
        <v>01</v>
      </c>
      <c r="O285" s="14" t="str">
        <f t="shared" si="40"/>
        <v>00</v>
      </c>
    </row>
    <row r="286" spans="1:23" hidden="1">
      <c r="J286" s="1" t="str">
        <f t="shared" si="36"/>
        <v>0</v>
      </c>
      <c r="K286" s="3">
        <f t="shared" si="37"/>
        <v>-100</v>
      </c>
      <c r="L286" s="3">
        <f t="shared" si="38"/>
        <v>1</v>
      </c>
      <c r="M286" s="3">
        <f t="shared" si="39"/>
        <v>0</v>
      </c>
      <c r="N286" s="3" t="str">
        <f t="shared" si="40"/>
        <v>01</v>
      </c>
      <c r="O286" s="14" t="str">
        <f t="shared" si="40"/>
        <v>00</v>
      </c>
    </row>
    <row r="287" spans="1:23" hidden="1">
      <c r="J287" s="1" t="str">
        <f t="shared" si="36"/>
        <v>0</v>
      </c>
      <c r="K287" s="3">
        <f t="shared" si="37"/>
        <v>-100</v>
      </c>
      <c r="L287" s="3">
        <f t="shared" si="38"/>
        <v>1</v>
      </c>
      <c r="M287" s="3">
        <f t="shared" si="39"/>
        <v>0</v>
      </c>
      <c r="N287" s="3" t="str">
        <f t="shared" si="40"/>
        <v>01</v>
      </c>
      <c r="O287" s="14" t="str">
        <f t="shared" si="40"/>
        <v>00</v>
      </c>
    </row>
    <row r="288" spans="1:23" hidden="1">
      <c r="J288" s="1" t="str">
        <f t="shared" si="36"/>
        <v>0</v>
      </c>
      <c r="K288" s="3">
        <f t="shared" si="37"/>
        <v>-100</v>
      </c>
      <c r="L288" s="3">
        <f t="shared" si="38"/>
        <v>1</v>
      </c>
      <c r="M288" s="3">
        <f t="shared" si="39"/>
        <v>0</v>
      </c>
      <c r="N288" s="3" t="str">
        <f t="shared" si="40"/>
        <v>01</v>
      </c>
      <c r="O288" s="14" t="str">
        <f t="shared" si="40"/>
        <v>00</v>
      </c>
    </row>
    <row r="289" spans="1:23" hidden="1">
      <c r="J289" s="1" t="str">
        <f t="shared" si="36"/>
        <v>0</v>
      </c>
      <c r="K289" s="3">
        <f t="shared" si="37"/>
        <v>-100</v>
      </c>
      <c r="L289" s="3">
        <f t="shared" si="38"/>
        <v>1</v>
      </c>
      <c r="M289" s="3">
        <f t="shared" si="39"/>
        <v>0</v>
      </c>
      <c r="N289" s="3" t="str">
        <f t="shared" si="40"/>
        <v>01</v>
      </c>
      <c r="O289" s="14" t="str">
        <f t="shared" si="40"/>
        <v>00</v>
      </c>
    </row>
    <row r="290" spans="1:23" hidden="1">
      <c r="J290" s="1" t="str">
        <f t="shared" si="36"/>
        <v>0</v>
      </c>
      <c r="K290" s="3">
        <f t="shared" si="37"/>
        <v>-100</v>
      </c>
      <c r="L290" s="3">
        <f t="shared" si="38"/>
        <v>1</v>
      </c>
      <c r="M290" s="3">
        <f t="shared" si="39"/>
        <v>0</v>
      </c>
      <c r="N290" s="3" t="str">
        <f t="shared" si="40"/>
        <v>01</v>
      </c>
      <c r="O290" s="14" t="str">
        <f t="shared" si="40"/>
        <v>00</v>
      </c>
    </row>
    <row r="291" spans="1:23" hidden="1">
      <c r="J291" s="1" t="str">
        <f t="shared" si="36"/>
        <v>0</v>
      </c>
      <c r="K291" s="3">
        <f t="shared" si="37"/>
        <v>-100</v>
      </c>
      <c r="L291" s="3">
        <f t="shared" si="38"/>
        <v>1</v>
      </c>
      <c r="M291" s="3">
        <f t="shared" si="39"/>
        <v>0</v>
      </c>
      <c r="N291" s="3" t="str">
        <f t="shared" si="40"/>
        <v>01</v>
      </c>
      <c r="O291" s="14" t="str">
        <f t="shared" si="40"/>
        <v>00</v>
      </c>
    </row>
    <row r="292" spans="1:23" hidden="1">
      <c r="J292" s="1" t="str">
        <f t="shared" si="36"/>
        <v>0</v>
      </c>
      <c r="K292" s="3">
        <f t="shared" si="37"/>
        <v>-100</v>
      </c>
      <c r="L292" s="3">
        <f t="shared" si="38"/>
        <v>1</v>
      </c>
      <c r="M292" s="3">
        <f t="shared" si="39"/>
        <v>0</v>
      </c>
      <c r="N292" s="3" t="str">
        <f t="shared" si="40"/>
        <v>01</v>
      </c>
      <c r="O292" s="14" t="str">
        <f t="shared" si="40"/>
        <v>00</v>
      </c>
    </row>
    <row r="293" spans="1:23" hidden="1">
      <c r="J293" s="1" t="str">
        <f t="shared" si="36"/>
        <v>0</v>
      </c>
      <c r="K293" s="3">
        <f t="shared" si="37"/>
        <v>-100</v>
      </c>
      <c r="L293" s="3">
        <f t="shared" si="38"/>
        <v>1</v>
      </c>
      <c r="M293" s="3">
        <f t="shared" si="39"/>
        <v>0</v>
      </c>
      <c r="N293" s="3" t="str">
        <f t="shared" si="40"/>
        <v>01</v>
      </c>
      <c r="O293" s="14" t="str">
        <f t="shared" si="40"/>
        <v>00</v>
      </c>
    </row>
    <row r="294" spans="1:23" hidden="1">
      <c r="J294" s="1" t="str">
        <f t="shared" si="36"/>
        <v>0</v>
      </c>
      <c r="K294" s="3">
        <f t="shared" si="37"/>
        <v>-100</v>
      </c>
      <c r="L294" s="3">
        <f t="shared" si="38"/>
        <v>1</v>
      </c>
      <c r="M294" s="3">
        <f t="shared" si="39"/>
        <v>0</v>
      </c>
      <c r="N294" s="3" t="str">
        <f t="shared" si="40"/>
        <v>01</v>
      </c>
      <c r="O294" s="14" t="str">
        <f t="shared" si="40"/>
        <v>00</v>
      </c>
    </row>
    <row r="295" spans="1:23" hidden="1">
      <c r="J295" s="1" t="str">
        <f t="shared" si="36"/>
        <v>0</v>
      </c>
      <c r="K295" s="3">
        <f t="shared" si="37"/>
        <v>-100</v>
      </c>
      <c r="L295" s="3">
        <f t="shared" si="38"/>
        <v>1</v>
      </c>
      <c r="M295" s="3">
        <f t="shared" si="39"/>
        <v>0</v>
      </c>
      <c r="N295" s="3" t="str">
        <f t="shared" si="40"/>
        <v>01</v>
      </c>
      <c r="O295" s="14" t="str">
        <f t="shared" si="40"/>
        <v>00</v>
      </c>
    </row>
    <row r="296" spans="1:23" hidden="1">
      <c r="J296" s="1" t="str">
        <f t="shared" si="36"/>
        <v>0</v>
      </c>
      <c r="K296" s="3">
        <f t="shared" si="37"/>
        <v>-100</v>
      </c>
      <c r="L296" s="3">
        <f t="shared" si="38"/>
        <v>1</v>
      </c>
      <c r="M296" s="3">
        <f t="shared" si="39"/>
        <v>0</v>
      </c>
      <c r="N296" s="3" t="str">
        <f t="shared" si="40"/>
        <v>01</v>
      </c>
      <c r="O296" s="14" t="str">
        <f t="shared" si="40"/>
        <v>00</v>
      </c>
    </row>
    <row r="297" spans="1:23" s="10" customFormat="1" hidden="1">
      <c r="A297" s="3"/>
      <c r="B297" s="1"/>
      <c r="C297" s="1"/>
      <c r="D297" s="1"/>
      <c r="E297" s="1"/>
      <c r="F297" s="1"/>
      <c r="G297" s="1"/>
      <c r="H297" s="2"/>
      <c r="I297" s="36"/>
      <c r="J297" s="1" t="str">
        <f t="shared" si="36"/>
        <v>0</v>
      </c>
      <c r="K297" s="3">
        <f t="shared" si="37"/>
        <v>-100</v>
      </c>
      <c r="L297" s="3">
        <f t="shared" si="38"/>
        <v>1</v>
      </c>
      <c r="M297" s="3">
        <f t="shared" si="39"/>
        <v>0</v>
      </c>
      <c r="N297" s="3" t="str">
        <f t="shared" si="40"/>
        <v>01</v>
      </c>
      <c r="O297" s="14" t="str">
        <f t="shared" si="40"/>
        <v>00</v>
      </c>
      <c r="P297" s="4"/>
      <c r="Q297" s="5"/>
      <c r="R297" s="6"/>
      <c r="S297" s="5"/>
      <c r="T297" s="5"/>
      <c r="U297" s="3"/>
      <c r="V297" s="3"/>
      <c r="W297" s="3"/>
    </row>
    <row r="298" spans="1:23" hidden="1">
      <c r="J298" s="1" t="str">
        <f t="shared" si="36"/>
        <v>0</v>
      </c>
      <c r="K298" s="3">
        <f t="shared" si="37"/>
        <v>-100</v>
      </c>
      <c r="L298" s="3">
        <f t="shared" si="38"/>
        <v>1</v>
      </c>
      <c r="M298" s="3">
        <f t="shared" si="39"/>
        <v>0</v>
      </c>
      <c r="N298" s="3" t="str">
        <f t="shared" si="40"/>
        <v>01</v>
      </c>
      <c r="O298" s="14" t="str">
        <f t="shared" si="40"/>
        <v>00</v>
      </c>
    </row>
    <row r="299" spans="1:23" hidden="1">
      <c r="J299" s="1" t="str">
        <f t="shared" si="36"/>
        <v>0</v>
      </c>
      <c r="K299" s="3">
        <f t="shared" si="37"/>
        <v>-100</v>
      </c>
      <c r="L299" s="3">
        <f t="shared" si="38"/>
        <v>1</v>
      </c>
      <c r="M299" s="3">
        <f t="shared" si="39"/>
        <v>0</v>
      </c>
      <c r="N299" s="3" t="str">
        <f t="shared" si="40"/>
        <v>01</v>
      </c>
      <c r="O299" s="14" t="str">
        <f t="shared" si="40"/>
        <v>00</v>
      </c>
    </row>
    <row r="300" spans="1:23" hidden="1">
      <c r="J300" s="1" t="str">
        <f t="shared" si="36"/>
        <v>0</v>
      </c>
      <c r="K300" s="3">
        <f t="shared" si="37"/>
        <v>-100</v>
      </c>
      <c r="L300" s="3">
        <f t="shared" si="38"/>
        <v>1</v>
      </c>
      <c r="M300" s="3">
        <f t="shared" si="39"/>
        <v>0</v>
      </c>
      <c r="N300" s="3" t="str">
        <f t="shared" si="40"/>
        <v>01</v>
      </c>
      <c r="O300" s="14" t="str">
        <f t="shared" si="40"/>
        <v>00</v>
      </c>
    </row>
    <row r="301" spans="1:23" hidden="1">
      <c r="J301" s="1" t="str">
        <f t="shared" si="36"/>
        <v>0</v>
      </c>
      <c r="K301" s="3">
        <f t="shared" si="37"/>
        <v>-100</v>
      </c>
      <c r="L301" s="3">
        <f t="shared" si="38"/>
        <v>1</v>
      </c>
      <c r="M301" s="3">
        <f t="shared" si="39"/>
        <v>0</v>
      </c>
      <c r="N301" s="3" t="str">
        <f t="shared" si="40"/>
        <v>01</v>
      </c>
      <c r="O301" s="14" t="str">
        <f t="shared" si="40"/>
        <v>00</v>
      </c>
    </row>
    <row r="302" spans="1:23" hidden="1">
      <c r="J302" s="1" t="str">
        <f t="shared" si="36"/>
        <v>0</v>
      </c>
      <c r="K302" s="3">
        <f t="shared" si="37"/>
        <v>-100</v>
      </c>
      <c r="L302" s="3">
        <f t="shared" si="38"/>
        <v>1</v>
      </c>
      <c r="M302" s="3">
        <f t="shared" si="39"/>
        <v>0</v>
      </c>
      <c r="N302" s="3" t="str">
        <f t="shared" si="40"/>
        <v>01</v>
      </c>
      <c r="O302" s="14" t="str">
        <f t="shared" si="40"/>
        <v>00</v>
      </c>
    </row>
    <row r="303" spans="1:23" hidden="1">
      <c r="J303" s="1" t="str">
        <f t="shared" si="36"/>
        <v>0</v>
      </c>
      <c r="K303" s="3">
        <f t="shared" si="37"/>
        <v>-100</v>
      </c>
      <c r="L303" s="3">
        <f t="shared" si="38"/>
        <v>1</v>
      </c>
      <c r="M303" s="3">
        <f t="shared" si="39"/>
        <v>0</v>
      </c>
      <c r="N303" s="3" t="str">
        <f t="shared" si="40"/>
        <v>01</v>
      </c>
      <c r="O303" s="14" t="str">
        <f t="shared" si="40"/>
        <v>00</v>
      </c>
    </row>
    <row r="304" spans="1:23" hidden="1">
      <c r="J304" s="1" t="str">
        <f t="shared" si="36"/>
        <v>0</v>
      </c>
      <c r="K304" s="3">
        <f t="shared" si="37"/>
        <v>-100</v>
      </c>
      <c r="L304" s="3">
        <f t="shared" si="38"/>
        <v>1</v>
      </c>
      <c r="M304" s="3">
        <f t="shared" si="39"/>
        <v>0</v>
      </c>
      <c r="N304" s="3" t="str">
        <f t="shared" si="40"/>
        <v>01</v>
      </c>
      <c r="O304" s="14" t="str">
        <f t="shared" si="40"/>
        <v>00</v>
      </c>
    </row>
    <row r="305" spans="1:22" hidden="1">
      <c r="J305" s="1" t="str">
        <f t="shared" si="36"/>
        <v>0</v>
      </c>
      <c r="K305" s="3">
        <f t="shared" si="37"/>
        <v>-100</v>
      </c>
      <c r="L305" s="3">
        <f t="shared" si="38"/>
        <v>1</v>
      </c>
      <c r="M305" s="3">
        <f t="shared" si="39"/>
        <v>0</v>
      </c>
      <c r="N305" s="3" t="str">
        <f t="shared" si="40"/>
        <v>01</v>
      </c>
      <c r="O305" s="14" t="str">
        <f t="shared" si="40"/>
        <v>00</v>
      </c>
    </row>
    <row r="306" spans="1:22" hidden="1">
      <c r="J306" s="1" t="str">
        <f t="shared" si="36"/>
        <v>0</v>
      </c>
      <c r="K306" s="3">
        <f t="shared" si="37"/>
        <v>-100</v>
      </c>
      <c r="L306" s="3">
        <f t="shared" si="38"/>
        <v>1</v>
      </c>
      <c r="M306" s="3">
        <f t="shared" si="39"/>
        <v>0</v>
      </c>
      <c r="N306" s="3" t="str">
        <f t="shared" si="40"/>
        <v>01</v>
      </c>
      <c r="O306" s="14" t="str">
        <f t="shared" si="40"/>
        <v>00</v>
      </c>
      <c r="U306" s="51"/>
    </row>
    <row r="307" spans="1:22" hidden="1">
      <c r="J307" s="1" t="str">
        <f t="shared" si="36"/>
        <v>0</v>
      </c>
      <c r="K307" s="3">
        <f t="shared" si="37"/>
        <v>-100</v>
      </c>
      <c r="L307" s="3">
        <f t="shared" si="38"/>
        <v>1</v>
      </c>
      <c r="M307" s="3">
        <f t="shared" si="39"/>
        <v>0</v>
      </c>
      <c r="N307" s="3" t="str">
        <f t="shared" ref="N307:O338" si="46">+IF(L307&lt;10,_xlfn.CONCAT("0",L307),L307)</f>
        <v>01</v>
      </c>
      <c r="O307" s="14" t="str">
        <f t="shared" si="46"/>
        <v>00</v>
      </c>
      <c r="U307" s="51"/>
    </row>
    <row r="308" spans="1:22" hidden="1">
      <c r="J308" s="1" t="str">
        <f t="shared" si="36"/>
        <v>0</v>
      </c>
      <c r="K308" s="3">
        <f t="shared" si="37"/>
        <v>-100</v>
      </c>
      <c r="L308" s="3">
        <f t="shared" si="38"/>
        <v>1</v>
      </c>
      <c r="M308" s="3">
        <f t="shared" si="39"/>
        <v>0</v>
      </c>
      <c r="N308" s="3" t="str">
        <f t="shared" si="46"/>
        <v>01</v>
      </c>
      <c r="O308" s="14" t="str">
        <f t="shared" si="46"/>
        <v>00</v>
      </c>
    </row>
    <row r="309" spans="1:22">
      <c r="A309" s="3">
        <v>302</v>
      </c>
      <c r="B309" s="1">
        <f t="shared" ref="B309" si="47">IF(G309="-",0,IF(G308=G309,1,0))</f>
        <v>0</v>
      </c>
      <c r="C309" s="1">
        <f t="shared" ref="C309" si="48">+IF(G309="-",0,IF(I309=I308+1,0,(IF(I309=1,0,1))))</f>
        <v>1</v>
      </c>
      <c r="D309" s="1">
        <f t="shared" ref="D309" si="49">+IF(AND(P309="",Q309=""),1,0)</f>
        <v>0</v>
      </c>
      <c r="E309" s="1">
        <f t="shared" ref="E309:F309" si="50">IF(U309="",1,0)</f>
        <v>0</v>
      </c>
      <c r="F309" s="1">
        <f t="shared" si="50"/>
        <v>0</v>
      </c>
      <c r="G309" s="1" t="str">
        <f t="shared" ref="G309" si="51">IF(H309=0,"-",_xlfn.CONCAT(K309,N309,O309,J309))</f>
        <v>24042609</v>
      </c>
      <c r="H309" s="2">
        <v>45408</v>
      </c>
      <c r="I309" s="36">
        <v>9</v>
      </c>
      <c r="J309" s="1" t="str">
        <f t="shared" si="36"/>
        <v>09</v>
      </c>
      <c r="K309" s="3">
        <f t="shared" si="37"/>
        <v>24</v>
      </c>
      <c r="L309" s="3">
        <f t="shared" si="38"/>
        <v>4</v>
      </c>
      <c r="M309" s="3">
        <f t="shared" si="39"/>
        <v>26</v>
      </c>
      <c r="N309" s="3" t="str">
        <f t="shared" si="46"/>
        <v>04</v>
      </c>
      <c r="O309" s="14">
        <f t="shared" si="46"/>
        <v>26</v>
      </c>
      <c r="P309" s="4">
        <v>1705727.86</v>
      </c>
      <c r="T309" s="5" t="s">
        <v>292</v>
      </c>
      <c r="U309" s="3" t="s">
        <v>1</v>
      </c>
      <c r="V309" s="3" t="s">
        <v>5</v>
      </c>
    </row>
    <row r="310" spans="1:22" hidden="1">
      <c r="J310" s="1" t="str">
        <f t="shared" si="36"/>
        <v>0</v>
      </c>
      <c r="K310" s="3">
        <f t="shared" si="37"/>
        <v>-100</v>
      </c>
      <c r="L310" s="3">
        <f t="shared" si="38"/>
        <v>1</v>
      </c>
      <c r="M310" s="3">
        <f t="shared" si="39"/>
        <v>0</v>
      </c>
      <c r="N310" s="3" t="str">
        <f t="shared" si="46"/>
        <v>01</v>
      </c>
      <c r="O310" s="14" t="str">
        <f t="shared" si="46"/>
        <v>00</v>
      </c>
    </row>
    <row r="311" spans="1:22" hidden="1">
      <c r="J311" s="1" t="str">
        <f t="shared" si="36"/>
        <v>0</v>
      </c>
      <c r="K311" s="3">
        <f t="shared" si="37"/>
        <v>-100</v>
      </c>
      <c r="L311" s="3">
        <f t="shared" si="38"/>
        <v>1</v>
      </c>
      <c r="M311" s="3">
        <f t="shared" si="39"/>
        <v>0</v>
      </c>
      <c r="N311" s="3" t="str">
        <f t="shared" si="46"/>
        <v>01</v>
      </c>
      <c r="O311" s="14" t="str">
        <f t="shared" si="46"/>
        <v>00</v>
      </c>
    </row>
    <row r="312" spans="1:22" hidden="1">
      <c r="J312" s="1" t="str">
        <f t="shared" si="36"/>
        <v>0</v>
      </c>
      <c r="K312" s="3">
        <f t="shared" si="37"/>
        <v>-100</v>
      </c>
      <c r="L312" s="3">
        <f t="shared" si="38"/>
        <v>1</v>
      </c>
      <c r="M312" s="3">
        <f t="shared" si="39"/>
        <v>0</v>
      </c>
      <c r="N312" s="3" t="str">
        <f t="shared" si="46"/>
        <v>01</v>
      </c>
      <c r="O312" s="14" t="str">
        <f t="shared" si="46"/>
        <v>00</v>
      </c>
    </row>
    <row r="313" spans="1:22" hidden="1">
      <c r="J313" s="1" t="str">
        <f t="shared" si="36"/>
        <v>0</v>
      </c>
      <c r="K313" s="3">
        <f t="shared" si="37"/>
        <v>-100</v>
      </c>
      <c r="L313" s="3">
        <f t="shared" si="38"/>
        <v>1</v>
      </c>
      <c r="M313" s="3">
        <f t="shared" si="39"/>
        <v>0</v>
      </c>
      <c r="N313" s="3" t="str">
        <f t="shared" si="46"/>
        <v>01</v>
      </c>
      <c r="O313" s="14" t="str">
        <f t="shared" si="46"/>
        <v>00</v>
      </c>
    </row>
    <row r="314" spans="1:22" hidden="1">
      <c r="J314" s="1" t="str">
        <f t="shared" si="36"/>
        <v>0</v>
      </c>
      <c r="K314" s="3">
        <f t="shared" si="37"/>
        <v>-100</v>
      </c>
      <c r="L314" s="3">
        <f t="shared" si="38"/>
        <v>1</v>
      </c>
      <c r="M314" s="3">
        <f t="shared" si="39"/>
        <v>0</v>
      </c>
      <c r="N314" s="3" t="str">
        <f t="shared" si="46"/>
        <v>01</v>
      </c>
      <c r="O314" s="14" t="str">
        <f t="shared" si="46"/>
        <v>00</v>
      </c>
    </row>
    <row r="315" spans="1:22" hidden="1">
      <c r="J315" s="1" t="str">
        <f t="shared" si="36"/>
        <v>0</v>
      </c>
      <c r="K315" s="3">
        <f t="shared" si="37"/>
        <v>-100</v>
      </c>
      <c r="L315" s="3">
        <f t="shared" si="38"/>
        <v>1</v>
      </c>
      <c r="M315" s="3">
        <f t="shared" si="39"/>
        <v>0</v>
      </c>
      <c r="N315" s="3" t="str">
        <f t="shared" si="46"/>
        <v>01</v>
      </c>
      <c r="O315" s="14" t="str">
        <f t="shared" si="46"/>
        <v>00</v>
      </c>
    </row>
    <row r="316" spans="1:22" hidden="1">
      <c r="J316" s="1" t="str">
        <f t="shared" si="36"/>
        <v>0</v>
      </c>
      <c r="K316" s="3">
        <f t="shared" si="37"/>
        <v>-100</v>
      </c>
      <c r="L316" s="3">
        <f t="shared" si="38"/>
        <v>1</v>
      </c>
      <c r="M316" s="3">
        <f t="shared" si="39"/>
        <v>0</v>
      </c>
      <c r="N316" s="3" t="str">
        <f t="shared" si="46"/>
        <v>01</v>
      </c>
      <c r="O316" s="14" t="str">
        <f t="shared" si="46"/>
        <v>00</v>
      </c>
    </row>
    <row r="317" spans="1:22" hidden="1">
      <c r="J317" s="1" t="str">
        <f t="shared" si="36"/>
        <v>0</v>
      </c>
      <c r="K317" s="3">
        <f t="shared" si="37"/>
        <v>-100</v>
      </c>
      <c r="L317" s="3">
        <f t="shared" si="38"/>
        <v>1</v>
      </c>
      <c r="M317" s="3">
        <f t="shared" si="39"/>
        <v>0</v>
      </c>
      <c r="N317" s="3" t="str">
        <f t="shared" si="46"/>
        <v>01</v>
      </c>
      <c r="O317" s="14" t="str">
        <f t="shared" si="46"/>
        <v>00</v>
      </c>
    </row>
    <row r="318" spans="1:22" hidden="1">
      <c r="J318" s="1" t="str">
        <f t="shared" si="36"/>
        <v>0</v>
      </c>
      <c r="K318" s="3">
        <f t="shared" si="37"/>
        <v>-100</v>
      </c>
      <c r="L318" s="3">
        <f t="shared" si="38"/>
        <v>1</v>
      </c>
      <c r="M318" s="3">
        <f t="shared" si="39"/>
        <v>0</v>
      </c>
      <c r="N318" s="3" t="str">
        <f t="shared" si="46"/>
        <v>01</v>
      </c>
      <c r="O318" s="14" t="str">
        <f t="shared" si="46"/>
        <v>00</v>
      </c>
    </row>
    <row r="319" spans="1:22" hidden="1">
      <c r="J319" s="1" t="str">
        <f t="shared" si="36"/>
        <v>0</v>
      </c>
      <c r="K319" s="3">
        <f t="shared" si="37"/>
        <v>-100</v>
      </c>
      <c r="L319" s="3">
        <f t="shared" si="38"/>
        <v>1</v>
      </c>
      <c r="M319" s="3">
        <f t="shared" si="39"/>
        <v>0</v>
      </c>
      <c r="N319" s="3" t="str">
        <f t="shared" si="46"/>
        <v>01</v>
      </c>
      <c r="O319" s="14" t="str">
        <f t="shared" si="46"/>
        <v>00</v>
      </c>
    </row>
    <row r="320" spans="1:22" hidden="1">
      <c r="J320" s="1" t="str">
        <f t="shared" si="36"/>
        <v>0</v>
      </c>
      <c r="K320" s="3">
        <f t="shared" si="37"/>
        <v>-100</v>
      </c>
      <c r="L320" s="3">
        <f t="shared" si="38"/>
        <v>1</v>
      </c>
      <c r="M320" s="3">
        <f t="shared" si="39"/>
        <v>0</v>
      </c>
      <c r="N320" s="3" t="str">
        <f t="shared" si="46"/>
        <v>01</v>
      </c>
      <c r="O320" s="14" t="str">
        <f t="shared" si="46"/>
        <v>00</v>
      </c>
    </row>
    <row r="321" spans="1:20" s="10" customFormat="1" hidden="1">
      <c r="A321" s="3"/>
      <c r="B321" s="52"/>
      <c r="C321" s="52"/>
      <c r="D321" s="52"/>
      <c r="E321" s="52"/>
      <c r="F321" s="52"/>
      <c r="G321" s="52"/>
      <c r="H321" s="9"/>
      <c r="I321" s="52"/>
      <c r="J321" s="52" t="str">
        <f t="shared" si="36"/>
        <v>0</v>
      </c>
      <c r="K321" s="10">
        <f t="shared" si="37"/>
        <v>-100</v>
      </c>
      <c r="L321" s="10">
        <f t="shared" si="38"/>
        <v>1</v>
      </c>
      <c r="M321" s="10">
        <f t="shared" si="39"/>
        <v>0</v>
      </c>
      <c r="N321" s="10" t="str">
        <f t="shared" si="46"/>
        <v>01</v>
      </c>
      <c r="O321" s="70" t="str">
        <f t="shared" si="46"/>
        <v>00</v>
      </c>
      <c r="P321" s="11"/>
      <c r="Q321" s="12"/>
      <c r="R321" s="13"/>
      <c r="S321" s="12"/>
      <c r="T321" s="12"/>
    </row>
    <row r="322" spans="1:20" s="10" customFormat="1" hidden="1">
      <c r="A322" s="3"/>
      <c r="B322" s="52"/>
      <c r="C322" s="52"/>
      <c r="D322" s="52"/>
      <c r="E322" s="52"/>
      <c r="F322" s="52"/>
      <c r="G322" s="52"/>
      <c r="H322" s="9"/>
      <c r="I322" s="52"/>
      <c r="J322" s="52" t="str">
        <f t="shared" si="36"/>
        <v>0</v>
      </c>
      <c r="K322" s="10">
        <f t="shared" si="37"/>
        <v>-100</v>
      </c>
      <c r="L322" s="10">
        <f t="shared" si="38"/>
        <v>1</v>
      </c>
      <c r="M322" s="10">
        <f t="shared" si="39"/>
        <v>0</v>
      </c>
      <c r="N322" s="10" t="str">
        <f t="shared" si="46"/>
        <v>01</v>
      </c>
      <c r="O322" s="70" t="str">
        <f t="shared" si="46"/>
        <v>00</v>
      </c>
      <c r="P322" s="11"/>
      <c r="Q322" s="12"/>
      <c r="R322" s="13"/>
      <c r="S322" s="12"/>
      <c r="T322" s="12"/>
    </row>
    <row r="323" spans="1:20" s="10" customFormat="1" hidden="1">
      <c r="A323" s="3"/>
      <c r="B323" s="52"/>
      <c r="C323" s="52"/>
      <c r="D323" s="52"/>
      <c r="E323" s="52"/>
      <c r="F323" s="52"/>
      <c r="G323" s="52"/>
      <c r="H323" s="9"/>
      <c r="I323" s="52"/>
      <c r="J323" s="52" t="str">
        <f t="shared" si="36"/>
        <v>0</v>
      </c>
      <c r="K323" s="10">
        <f t="shared" si="37"/>
        <v>-100</v>
      </c>
      <c r="L323" s="10">
        <f t="shared" si="38"/>
        <v>1</v>
      </c>
      <c r="M323" s="10">
        <f t="shared" si="39"/>
        <v>0</v>
      </c>
      <c r="N323" s="10" t="str">
        <f t="shared" si="46"/>
        <v>01</v>
      </c>
      <c r="O323" s="70" t="str">
        <f t="shared" si="46"/>
        <v>00</v>
      </c>
      <c r="P323" s="11"/>
      <c r="Q323" s="12"/>
      <c r="R323" s="13"/>
      <c r="S323" s="12"/>
      <c r="T323" s="12"/>
    </row>
    <row r="324" spans="1:20" s="10" customFormat="1" hidden="1">
      <c r="A324" s="3"/>
      <c r="B324" s="52"/>
      <c r="C324" s="52"/>
      <c r="D324" s="52"/>
      <c r="E324" s="52"/>
      <c r="F324" s="52"/>
      <c r="G324" s="52"/>
      <c r="H324" s="9"/>
      <c r="I324" s="52"/>
      <c r="J324" s="52" t="str">
        <f t="shared" si="36"/>
        <v>0</v>
      </c>
      <c r="K324" s="10">
        <f t="shared" si="37"/>
        <v>-100</v>
      </c>
      <c r="L324" s="10">
        <f t="shared" si="38"/>
        <v>1</v>
      </c>
      <c r="M324" s="10">
        <f t="shared" si="39"/>
        <v>0</v>
      </c>
      <c r="N324" s="10" t="str">
        <f t="shared" si="46"/>
        <v>01</v>
      </c>
      <c r="O324" s="70" t="str">
        <f t="shared" si="46"/>
        <v>00</v>
      </c>
      <c r="P324" s="11"/>
      <c r="Q324" s="12"/>
      <c r="R324" s="13"/>
      <c r="S324" s="12"/>
      <c r="T324" s="12"/>
    </row>
    <row r="325" spans="1:20" s="10" customFormat="1" hidden="1">
      <c r="A325" s="3"/>
      <c r="B325" s="52"/>
      <c r="C325" s="52"/>
      <c r="D325" s="52"/>
      <c r="E325" s="52"/>
      <c r="F325" s="52"/>
      <c r="G325" s="52"/>
      <c r="H325" s="9"/>
      <c r="I325" s="52"/>
      <c r="J325" s="52" t="str">
        <f t="shared" si="36"/>
        <v>0</v>
      </c>
      <c r="K325" s="10">
        <f t="shared" si="37"/>
        <v>-100</v>
      </c>
      <c r="L325" s="10">
        <f t="shared" si="38"/>
        <v>1</v>
      </c>
      <c r="M325" s="10">
        <f t="shared" si="39"/>
        <v>0</v>
      </c>
      <c r="N325" s="10" t="str">
        <f t="shared" si="46"/>
        <v>01</v>
      </c>
      <c r="O325" s="70" t="str">
        <f t="shared" si="46"/>
        <v>00</v>
      </c>
      <c r="P325" s="11"/>
      <c r="Q325" s="12"/>
      <c r="R325" s="13"/>
      <c r="S325" s="12"/>
      <c r="T325" s="12"/>
    </row>
    <row r="326" spans="1:20" s="10" customFormat="1" hidden="1">
      <c r="A326" s="3"/>
      <c r="B326" s="52"/>
      <c r="C326" s="52"/>
      <c r="D326" s="52"/>
      <c r="E326" s="52"/>
      <c r="F326" s="52"/>
      <c r="G326" s="52"/>
      <c r="H326" s="9"/>
      <c r="I326" s="52"/>
      <c r="J326" s="52" t="str">
        <f t="shared" si="36"/>
        <v>0</v>
      </c>
      <c r="K326" s="10">
        <f t="shared" si="37"/>
        <v>-100</v>
      </c>
      <c r="L326" s="10">
        <f t="shared" si="38"/>
        <v>1</v>
      </c>
      <c r="M326" s="10">
        <f t="shared" si="39"/>
        <v>0</v>
      </c>
      <c r="N326" s="10" t="str">
        <f t="shared" si="46"/>
        <v>01</v>
      </c>
      <c r="O326" s="70" t="str">
        <f t="shared" si="46"/>
        <v>00</v>
      </c>
      <c r="P326" s="11"/>
      <c r="Q326" s="12"/>
      <c r="R326" s="13"/>
      <c r="S326" s="12"/>
      <c r="T326" s="12"/>
    </row>
    <row r="327" spans="1:20" s="10" customFormat="1" hidden="1">
      <c r="A327" s="3"/>
      <c r="B327" s="52"/>
      <c r="C327" s="52"/>
      <c r="D327" s="52"/>
      <c r="E327" s="52"/>
      <c r="F327" s="52"/>
      <c r="G327" s="52"/>
      <c r="H327" s="9"/>
      <c r="I327" s="52"/>
      <c r="J327" s="52" t="str">
        <f t="shared" si="36"/>
        <v>0</v>
      </c>
      <c r="K327" s="10">
        <f t="shared" si="37"/>
        <v>-100</v>
      </c>
      <c r="L327" s="10">
        <f t="shared" si="38"/>
        <v>1</v>
      </c>
      <c r="M327" s="10">
        <f t="shared" si="39"/>
        <v>0</v>
      </c>
      <c r="N327" s="10" t="str">
        <f t="shared" si="46"/>
        <v>01</v>
      </c>
      <c r="O327" s="70" t="str">
        <f t="shared" si="46"/>
        <v>00</v>
      </c>
      <c r="P327" s="11"/>
      <c r="Q327" s="12"/>
      <c r="R327" s="13"/>
      <c r="S327" s="12"/>
      <c r="T327" s="12"/>
    </row>
    <row r="328" spans="1:20" s="10" customFormat="1" hidden="1">
      <c r="A328" s="3"/>
      <c r="B328" s="52"/>
      <c r="C328" s="52"/>
      <c r="D328" s="52"/>
      <c r="E328" s="52"/>
      <c r="F328" s="52"/>
      <c r="G328" s="52"/>
      <c r="H328" s="9"/>
      <c r="I328" s="52"/>
      <c r="J328" s="52" t="str">
        <f t="shared" si="36"/>
        <v>0</v>
      </c>
      <c r="K328" s="10">
        <f t="shared" si="37"/>
        <v>-100</v>
      </c>
      <c r="L328" s="10">
        <f t="shared" si="38"/>
        <v>1</v>
      </c>
      <c r="M328" s="10">
        <f t="shared" si="39"/>
        <v>0</v>
      </c>
      <c r="N328" s="10" t="str">
        <f t="shared" si="46"/>
        <v>01</v>
      </c>
      <c r="O328" s="70" t="str">
        <f t="shared" si="46"/>
        <v>00</v>
      </c>
      <c r="P328" s="11"/>
      <c r="Q328" s="12"/>
      <c r="R328" s="13"/>
      <c r="S328" s="12"/>
      <c r="T328" s="12"/>
    </row>
    <row r="329" spans="1:20" s="10" customFormat="1" hidden="1">
      <c r="A329" s="3"/>
      <c r="B329" s="52"/>
      <c r="C329" s="52"/>
      <c r="D329" s="52"/>
      <c r="E329" s="52"/>
      <c r="F329" s="52"/>
      <c r="G329" s="52"/>
      <c r="H329" s="9"/>
      <c r="I329" s="52"/>
      <c r="J329" s="52" t="str">
        <f t="shared" si="36"/>
        <v>0</v>
      </c>
      <c r="K329" s="10">
        <f t="shared" si="37"/>
        <v>-100</v>
      </c>
      <c r="L329" s="10">
        <f t="shared" si="38"/>
        <v>1</v>
      </c>
      <c r="M329" s="10">
        <f t="shared" si="39"/>
        <v>0</v>
      </c>
      <c r="N329" s="10" t="str">
        <f t="shared" si="46"/>
        <v>01</v>
      </c>
      <c r="O329" s="70" t="str">
        <f t="shared" si="46"/>
        <v>00</v>
      </c>
      <c r="P329" s="11"/>
      <c r="Q329" s="12"/>
      <c r="R329" s="13"/>
      <c r="S329" s="12"/>
      <c r="T329" s="12"/>
    </row>
    <row r="330" spans="1:20" s="10" customFormat="1" hidden="1">
      <c r="A330" s="3"/>
      <c r="B330" s="52"/>
      <c r="C330" s="52"/>
      <c r="D330" s="52"/>
      <c r="E330" s="52"/>
      <c r="F330" s="52"/>
      <c r="G330" s="52"/>
      <c r="H330" s="9"/>
      <c r="I330" s="52"/>
      <c r="J330" s="52" t="str">
        <f t="shared" si="36"/>
        <v>0</v>
      </c>
      <c r="K330" s="10">
        <f t="shared" si="37"/>
        <v>-100</v>
      </c>
      <c r="L330" s="10">
        <f t="shared" si="38"/>
        <v>1</v>
      </c>
      <c r="M330" s="10">
        <f t="shared" si="39"/>
        <v>0</v>
      </c>
      <c r="N330" s="10" t="str">
        <f t="shared" si="46"/>
        <v>01</v>
      </c>
      <c r="O330" s="70" t="str">
        <f t="shared" si="46"/>
        <v>00</v>
      </c>
      <c r="P330" s="11"/>
      <c r="Q330" s="12"/>
      <c r="R330" s="13"/>
      <c r="S330" s="12"/>
      <c r="T330" s="12"/>
    </row>
    <row r="331" spans="1:20" hidden="1">
      <c r="J331" s="1" t="str">
        <f t="shared" si="36"/>
        <v>0</v>
      </c>
      <c r="K331" s="3">
        <f t="shared" si="37"/>
        <v>-100</v>
      </c>
      <c r="L331" s="3">
        <f t="shared" si="38"/>
        <v>1</v>
      </c>
      <c r="M331" s="3">
        <f t="shared" si="39"/>
        <v>0</v>
      </c>
      <c r="N331" s="3" t="str">
        <f t="shared" si="46"/>
        <v>01</v>
      </c>
      <c r="O331" s="14" t="str">
        <f t="shared" si="46"/>
        <v>00</v>
      </c>
    </row>
    <row r="332" spans="1:20" hidden="1">
      <c r="J332" s="1" t="str">
        <f t="shared" si="36"/>
        <v>0</v>
      </c>
      <c r="K332" s="3">
        <f t="shared" si="37"/>
        <v>-100</v>
      </c>
      <c r="L332" s="3">
        <f t="shared" si="38"/>
        <v>1</v>
      </c>
      <c r="M332" s="3">
        <f t="shared" si="39"/>
        <v>0</v>
      </c>
      <c r="N332" s="3" t="str">
        <f t="shared" si="46"/>
        <v>01</v>
      </c>
      <c r="O332" s="14" t="str">
        <f t="shared" si="46"/>
        <v>00</v>
      </c>
    </row>
    <row r="333" spans="1:20" hidden="1">
      <c r="J333" s="1" t="str">
        <f t="shared" si="36"/>
        <v>0</v>
      </c>
      <c r="K333" s="3">
        <f t="shared" si="37"/>
        <v>-100</v>
      </c>
      <c r="L333" s="3">
        <f t="shared" si="38"/>
        <v>1</v>
      </c>
      <c r="M333" s="3">
        <f t="shared" si="39"/>
        <v>0</v>
      </c>
      <c r="N333" s="3" t="str">
        <f t="shared" si="46"/>
        <v>01</v>
      </c>
      <c r="O333" s="14" t="str">
        <f t="shared" si="46"/>
        <v>00</v>
      </c>
    </row>
    <row r="334" spans="1:20" hidden="1">
      <c r="J334" s="1" t="str">
        <f t="shared" si="36"/>
        <v>0</v>
      </c>
      <c r="K334" s="3">
        <f t="shared" si="37"/>
        <v>-100</v>
      </c>
      <c r="L334" s="3">
        <f t="shared" si="38"/>
        <v>1</v>
      </c>
      <c r="M334" s="3">
        <f t="shared" si="39"/>
        <v>0</v>
      </c>
      <c r="N334" s="3" t="str">
        <f t="shared" si="46"/>
        <v>01</v>
      </c>
      <c r="O334" s="14" t="str">
        <f t="shared" si="46"/>
        <v>00</v>
      </c>
    </row>
    <row r="335" spans="1:20" hidden="1">
      <c r="J335" s="1" t="str">
        <f t="shared" si="36"/>
        <v>0</v>
      </c>
      <c r="K335" s="3">
        <f t="shared" si="37"/>
        <v>-100</v>
      </c>
      <c r="L335" s="3">
        <f t="shared" si="38"/>
        <v>1</v>
      </c>
      <c r="M335" s="3">
        <f t="shared" si="39"/>
        <v>0</v>
      </c>
      <c r="N335" s="3" t="str">
        <f t="shared" si="46"/>
        <v>01</v>
      </c>
      <c r="O335" s="14" t="str">
        <f t="shared" si="46"/>
        <v>00</v>
      </c>
    </row>
    <row r="336" spans="1:20" hidden="1">
      <c r="J336" s="1" t="str">
        <f t="shared" si="36"/>
        <v>0</v>
      </c>
      <c r="K336" s="3">
        <f t="shared" si="37"/>
        <v>-100</v>
      </c>
      <c r="L336" s="3">
        <f t="shared" si="38"/>
        <v>1</v>
      </c>
      <c r="M336" s="3">
        <f t="shared" si="39"/>
        <v>0</v>
      </c>
      <c r="N336" s="3" t="str">
        <f t="shared" si="46"/>
        <v>01</v>
      </c>
      <c r="O336" s="14" t="str">
        <f t="shared" si="46"/>
        <v>00</v>
      </c>
    </row>
    <row r="337" spans="10:15" hidden="1">
      <c r="J337" s="1" t="str">
        <f t="shared" si="36"/>
        <v>0</v>
      </c>
      <c r="K337" s="3">
        <f t="shared" si="37"/>
        <v>-100</v>
      </c>
      <c r="L337" s="3">
        <f t="shared" si="38"/>
        <v>1</v>
      </c>
      <c r="M337" s="3">
        <f t="shared" si="39"/>
        <v>0</v>
      </c>
      <c r="N337" s="3" t="str">
        <f t="shared" si="46"/>
        <v>01</v>
      </c>
      <c r="O337" s="14" t="str">
        <f t="shared" si="46"/>
        <v>00</v>
      </c>
    </row>
    <row r="338" spans="10:15" hidden="1">
      <c r="J338" s="1" t="str">
        <f t="shared" si="36"/>
        <v>0</v>
      </c>
      <c r="K338" s="3">
        <f t="shared" si="37"/>
        <v>-100</v>
      </c>
      <c r="L338" s="3">
        <f t="shared" si="38"/>
        <v>1</v>
      </c>
      <c r="M338" s="3">
        <f t="shared" si="39"/>
        <v>0</v>
      </c>
      <c r="N338" s="3" t="str">
        <f t="shared" si="46"/>
        <v>01</v>
      </c>
      <c r="O338" s="14" t="str">
        <f t="shared" si="46"/>
        <v>00</v>
      </c>
    </row>
    <row r="339" spans="10:15" hidden="1">
      <c r="J339" s="1" t="str">
        <f t="shared" ref="J339:J377" si="52">+IF(I339&lt;10,_xlfn.CONCAT("0",I339),I339)</f>
        <v>0</v>
      </c>
      <c r="K339" s="3">
        <f t="shared" ref="K339:K377" si="53">+YEAR(H339)-2000</f>
        <v>-100</v>
      </c>
      <c r="L339" s="3">
        <f t="shared" ref="L339:L377" si="54">+MONTH(H339)</f>
        <v>1</v>
      </c>
      <c r="M339" s="3">
        <f t="shared" ref="M339:M377" si="55">+DAY(H339)</f>
        <v>0</v>
      </c>
      <c r="N339" s="3" t="str">
        <f t="shared" ref="N339:O370" si="56">+IF(L339&lt;10,_xlfn.CONCAT("0",L339),L339)</f>
        <v>01</v>
      </c>
      <c r="O339" s="14" t="str">
        <f t="shared" si="56"/>
        <v>00</v>
      </c>
    </row>
    <row r="340" spans="10:15" hidden="1">
      <c r="J340" s="1" t="str">
        <f t="shared" si="52"/>
        <v>0</v>
      </c>
      <c r="K340" s="3">
        <f t="shared" si="53"/>
        <v>-100</v>
      </c>
      <c r="L340" s="3">
        <f t="shared" si="54"/>
        <v>1</v>
      </c>
      <c r="M340" s="3">
        <f t="shared" si="55"/>
        <v>0</v>
      </c>
      <c r="N340" s="3" t="str">
        <f t="shared" si="56"/>
        <v>01</v>
      </c>
      <c r="O340" s="14" t="str">
        <f t="shared" si="56"/>
        <v>00</v>
      </c>
    </row>
    <row r="341" spans="10:15" hidden="1">
      <c r="J341" s="1" t="str">
        <f t="shared" si="52"/>
        <v>0</v>
      </c>
      <c r="K341" s="3">
        <f t="shared" si="53"/>
        <v>-100</v>
      </c>
      <c r="L341" s="3">
        <f t="shared" si="54"/>
        <v>1</v>
      </c>
      <c r="M341" s="3">
        <f t="shared" si="55"/>
        <v>0</v>
      </c>
      <c r="N341" s="3" t="str">
        <f t="shared" si="56"/>
        <v>01</v>
      </c>
      <c r="O341" s="14" t="str">
        <f t="shared" si="56"/>
        <v>00</v>
      </c>
    </row>
    <row r="342" spans="10:15" hidden="1">
      <c r="J342" s="1" t="str">
        <f t="shared" si="52"/>
        <v>0</v>
      </c>
      <c r="K342" s="3">
        <f t="shared" si="53"/>
        <v>-100</v>
      </c>
      <c r="L342" s="3">
        <f t="shared" si="54"/>
        <v>1</v>
      </c>
      <c r="M342" s="3">
        <f t="shared" si="55"/>
        <v>0</v>
      </c>
      <c r="N342" s="3" t="str">
        <f t="shared" si="56"/>
        <v>01</v>
      </c>
      <c r="O342" s="14" t="str">
        <f t="shared" si="56"/>
        <v>00</v>
      </c>
    </row>
    <row r="343" spans="10:15" hidden="1">
      <c r="J343" s="1" t="str">
        <f t="shared" si="52"/>
        <v>0</v>
      </c>
      <c r="K343" s="3">
        <f t="shared" si="53"/>
        <v>-100</v>
      </c>
      <c r="L343" s="3">
        <f t="shared" si="54"/>
        <v>1</v>
      </c>
      <c r="M343" s="3">
        <f t="shared" si="55"/>
        <v>0</v>
      </c>
      <c r="N343" s="3" t="str">
        <f t="shared" si="56"/>
        <v>01</v>
      </c>
      <c r="O343" s="14" t="str">
        <f t="shared" si="56"/>
        <v>00</v>
      </c>
    </row>
    <row r="344" spans="10:15" hidden="1">
      <c r="J344" s="1" t="str">
        <f t="shared" si="52"/>
        <v>0</v>
      </c>
      <c r="K344" s="3">
        <f t="shared" si="53"/>
        <v>-100</v>
      </c>
      <c r="L344" s="3">
        <f t="shared" si="54"/>
        <v>1</v>
      </c>
      <c r="M344" s="3">
        <f t="shared" si="55"/>
        <v>0</v>
      </c>
      <c r="N344" s="3" t="str">
        <f t="shared" si="56"/>
        <v>01</v>
      </c>
      <c r="O344" s="14" t="str">
        <f t="shared" si="56"/>
        <v>00</v>
      </c>
    </row>
    <row r="345" spans="10:15" hidden="1">
      <c r="J345" s="1" t="str">
        <f t="shared" si="52"/>
        <v>0</v>
      </c>
      <c r="K345" s="3">
        <f t="shared" si="53"/>
        <v>-100</v>
      </c>
      <c r="L345" s="3">
        <f t="shared" si="54"/>
        <v>1</v>
      </c>
      <c r="M345" s="3">
        <f t="shared" si="55"/>
        <v>0</v>
      </c>
      <c r="N345" s="3" t="str">
        <f t="shared" si="56"/>
        <v>01</v>
      </c>
      <c r="O345" s="14" t="str">
        <f t="shared" si="56"/>
        <v>00</v>
      </c>
    </row>
    <row r="346" spans="10:15" hidden="1">
      <c r="J346" s="1" t="str">
        <f t="shared" si="52"/>
        <v>0</v>
      </c>
      <c r="K346" s="3">
        <f t="shared" si="53"/>
        <v>-100</v>
      </c>
      <c r="L346" s="3">
        <f t="shared" si="54"/>
        <v>1</v>
      </c>
      <c r="M346" s="3">
        <f t="shared" si="55"/>
        <v>0</v>
      </c>
      <c r="N346" s="3" t="str">
        <f t="shared" si="56"/>
        <v>01</v>
      </c>
      <c r="O346" s="14" t="str">
        <f t="shared" si="56"/>
        <v>00</v>
      </c>
    </row>
    <row r="347" spans="10:15" hidden="1">
      <c r="J347" s="1" t="str">
        <f t="shared" si="52"/>
        <v>0</v>
      </c>
      <c r="K347" s="3">
        <f t="shared" si="53"/>
        <v>-100</v>
      </c>
      <c r="L347" s="3">
        <f t="shared" si="54"/>
        <v>1</v>
      </c>
      <c r="M347" s="3">
        <f t="shared" si="55"/>
        <v>0</v>
      </c>
      <c r="N347" s="3" t="str">
        <f t="shared" si="56"/>
        <v>01</v>
      </c>
      <c r="O347" s="14" t="str">
        <f t="shared" si="56"/>
        <v>00</v>
      </c>
    </row>
    <row r="348" spans="10:15" hidden="1">
      <c r="J348" s="1" t="str">
        <f t="shared" si="52"/>
        <v>0</v>
      </c>
      <c r="K348" s="3">
        <f t="shared" si="53"/>
        <v>-100</v>
      </c>
      <c r="L348" s="3">
        <f t="shared" si="54"/>
        <v>1</v>
      </c>
      <c r="M348" s="3">
        <f t="shared" si="55"/>
        <v>0</v>
      </c>
      <c r="N348" s="3" t="str">
        <f t="shared" si="56"/>
        <v>01</v>
      </c>
      <c r="O348" s="14" t="str">
        <f t="shared" si="56"/>
        <v>00</v>
      </c>
    </row>
    <row r="349" spans="10:15" hidden="1">
      <c r="J349" s="1" t="str">
        <f t="shared" si="52"/>
        <v>0</v>
      </c>
      <c r="K349" s="3">
        <f t="shared" si="53"/>
        <v>-100</v>
      </c>
      <c r="L349" s="3">
        <f t="shared" si="54"/>
        <v>1</v>
      </c>
      <c r="M349" s="3">
        <f t="shared" si="55"/>
        <v>0</v>
      </c>
      <c r="N349" s="3" t="str">
        <f t="shared" si="56"/>
        <v>01</v>
      </c>
      <c r="O349" s="14" t="str">
        <f t="shared" si="56"/>
        <v>00</v>
      </c>
    </row>
    <row r="350" spans="10:15" hidden="1">
      <c r="J350" s="1" t="str">
        <f t="shared" si="52"/>
        <v>0</v>
      </c>
      <c r="K350" s="3">
        <f t="shared" si="53"/>
        <v>-100</v>
      </c>
      <c r="L350" s="3">
        <f t="shared" si="54"/>
        <v>1</v>
      </c>
      <c r="M350" s="3">
        <f t="shared" si="55"/>
        <v>0</v>
      </c>
      <c r="N350" s="3" t="str">
        <f t="shared" si="56"/>
        <v>01</v>
      </c>
      <c r="O350" s="14" t="str">
        <f t="shared" si="56"/>
        <v>00</v>
      </c>
    </row>
    <row r="351" spans="10:15" hidden="1">
      <c r="J351" s="1" t="str">
        <f t="shared" si="52"/>
        <v>0</v>
      </c>
      <c r="K351" s="3">
        <f t="shared" si="53"/>
        <v>-100</v>
      </c>
      <c r="L351" s="3">
        <f t="shared" si="54"/>
        <v>1</v>
      </c>
      <c r="M351" s="3">
        <f t="shared" si="55"/>
        <v>0</v>
      </c>
      <c r="N351" s="3" t="str">
        <f t="shared" si="56"/>
        <v>01</v>
      </c>
      <c r="O351" s="14" t="str">
        <f t="shared" si="56"/>
        <v>00</v>
      </c>
    </row>
    <row r="352" spans="10:15" hidden="1">
      <c r="J352" s="1" t="str">
        <f t="shared" si="52"/>
        <v>0</v>
      </c>
      <c r="K352" s="3">
        <f t="shared" si="53"/>
        <v>-100</v>
      </c>
      <c r="L352" s="3">
        <f t="shared" si="54"/>
        <v>1</v>
      </c>
      <c r="M352" s="3">
        <f t="shared" si="55"/>
        <v>0</v>
      </c>
      <c r="N352" s="3" t="str">
        <f t="shared" si="56"/>
        <v>01</v>
      </c>
      <c r="O352" s="14" t="str">
        <f t="shared" si="56"/>
        <v>00</v>
      </c>
    </row>
    <row r="353" spans="9:19" hidden="1">
      <c r="J353" s="1" t="str">
        <f t="shared" si="52"/>
        <v>0</v>
      </c>
      <c r="K353" s="3">
        <f t="shared" si="53"/>
        <v>-100</v>
      </c>
      <c r="L353" s="3">
        <f t="shared" si="54"/>
        <v>1</v>
      </c>
      <c r="M353" s="3">
        <f t="shared" si="55"/>
        <v>0</v>
      </c>
      <c r="N353" s="3" t="str">
        <f t="shared" si="56"/>
        <v>01</v>
      </c>
      <c r="O353" s="14" t="str">
        <f t="shared" si="56"/>
        <v>00</v>
      </c>
    </row>
    <row r="354" spans="9:19" hidden="1">
      <c r="J354" s="1" t="str">
        <f t="shared" si="52"/>
        <v>0</v>
      </c>
      <c r="K354" s="3">
        <f t="shared" si="53"/>
        <v>-100</v>
      </c>
      <c r="L354" s="3">
        <f t="shared" si="54"/>
        <v>1</v>
      </c>
      <c r="M354" s="3">
        <f t="shared" si="55"/>
        <v>0</v>
      </c>
      <c r="N354" s="3" t="str">
        <f t="shared" si="56"/>
        <v>01</v>
      </c>
      <c r="O354" s="14" t="str">
        <f t="shared" si="56"/>
        <v>00</v>
      </c>
    </row>
    <row r="355" spans="9:19" hidden="1">
      <c r="J355" s="1" t="str">
        <f t="shared" si="52"/>
        <v>0</v>
      </c>
      <c r="K355" s="3">
        <f t="shared" si="53"/>
        <v>-100</v>
      </c>
      <c r="L355" s="3">
        <f t="shared" si="54"/>
        <v>1</v>
      </c>
      <c r="M355" s="3">
        <f t="shared" si="55"/>
        <v>0</v>
      </c>
      <c r="N355" s="3" t="str">
        <f t="shared" si="56"/>
        <v>01</v>
      </c>
      <c r="O355" s="14" t="str">
        <f t="shared" si="56"/>
        <v>00</v>
      </c>
    </row>
    <row r="356" spans="9:19" hidden="1">
      <c r="J356" s="1" t="str">
        <f t="shared" si="52"/>
        <v>0</v>
      </c>
      <c r="K356" s="3">
        <f t="shared" si="53"/>
        <v>-100</v>
      </c>
      <c r="L356" s="3">
        <f t="shared" si="54"/>
        <v>1</v>
      </c>
      <c r="M356" s="3">
        <f t="shared" si="55"/>
        <v>0</v>
      </c>
      <c r="N356" s="3" t="str">
        <f t="shared" si="56"/>
        <v>01</v>
      </c>
      <c r="O356" s="14" t="str">
        <f t="shared" si="56"/>
        <v>00</v>
      </c>
    </row>
    <row r="357" spans="9:19" hidden="1">
      <c r="J357" s="1" t="str">
        <f t="shared" si="52"/>
        <v>0</v>
      </c>
      <c r="K357" s="3">
        <f t="shared" si="53"/>
        <v>-100</v>
      </c>
      <c r="L357" s="3">
        <f t="shared" si="54"/>
        <v>1</v>
      </c>
      <c r="M357" s="3">
        <f t="shared" si="55"/>
        <v>0</v>
      </c>
      <c r="N357" s="3" t="str">
        <f t="shared" si="56"/>
        <v>01</v>
      </c>
      <c r="O357" s="14" t="str">
        <f t="shared" si="56"/>
        <v>00</v>
      </c>
    </row>
    <row r="358" spans="9:19" hidden="1">
      <c r="J358" s="1" t="str">
        <f t="shared" si="52"/>
        <v>0</v>
      </c>
      <c r="K358" s="3">
        <f t="shared" si="53"/>
        <v>-100</v>
      </c>
      <c r="L358" s="3">
        <f t="shared" si="54"/>
        <v>1</v>
      </c>
      <c r="M358" s="3">
        <f t="shared" si="55"/>
        <v>0</v>
      </c>
      <c r="N358" s="3" t="str">
        <f t="shared" si="56"/>
        <v>01</v>
      </c>
      <c r="O358" s="14" t="str">
        <f t="shared" si="56"/>
        <v>00</v>
      </c>
    </row>
    <row r="359" spans="9:19" hidden="1">
      <c r="J359" s="1" t="str">
        <f t="shared" si="52"/>
        <v>0</v>
      </c>
      <c r="K359" s="3">
        <f t="shared" si="53"/>
        <v>-100</v>
      </c>
      <c r="L359" s="3">
        <f t="shared" si="54"/>
        <v>1</v>
      </c>
      <c r="M359" s="3">
        <f t="shared" si="55"/>
        <v>0</v>
      </c>
      <c r="N359" s="3" t="str">
        <f t="shared" si="56"/>
        <v>01</v>
      </c>
      <c r="O359" s="14" t="str">
        <f t="shared" si="56"/>
        <v>00</v>
      </c>
    </row>
    <row r="360" spans="9:19" hidden="1">
      <c r="J360" s="1" t="str">
        <f t="shared" si="52"/>
        <v>0</v>
      </c>
      <c r="K360" s="3">
        <f t="shared" si="53"/>
        <v>-100</v>
      </c>
      <c r="L360" s="3">
        <f t="shared" si="54"/>
        <v>1</v>
      </c>
      <c r="M360" s="3">
        <f t="shared" si="55"/>
        <v>0</v>
      </c>
      <c r="N360" s="3" t="str">
        <f t="shared" si="56"/>
        <v>01</v>
      </c>
      <c r="O360" s="14" t="str">
        <f t="shared" si="56"/>
        <v>00</v>
      </c>
    </row>
    <row r="361" spans="9:19" hidden="1">
      <c r="J361" s="1" t="str">
        <f t="shared" si="52"/>
        <v>0</v>
      </c>
      <c r="K361" s="3">
        <f t="shared" si="53"/>
        <v>-100</v>
      </c>
      <c r="L361" s="3">
        <f t="shared" si="54"/>
        <v>1</v>
      </c>
      <c r="M361" s="3">
        <f t="shared" si="55"/>
        <v>0</v>
      </c>
      <c r="N361" s="3" t="str">
        <f t="shared" si="56"/>
        <v>01</v>
      </c>
      <c r="O361" s="14" t="str">
        <f t="shared" si="56"/>
        <v>00</v>
      </c>
    </row>
    <row r="362" spans="9:19" hidden="1">
      <c r="J362" s="1" t="str">
        <f t="shared" si="52"/>
        <v>0</v>
      </c>
      <c r="K362" s="3">
        <f t="shared" si="53"/>
        <v>-100</v>
      </c>
      <c r="L362" s="3">
        <f t="shared" si="54"/>
        <v>1</v>
      </c>
      <c r="M362" s="3">
        <f t="shared" si="55"/>
        <v>0</v>
      </c>
      <c r="N362" s="3" t="str">
        <f t="shared" si="56"/>
        <v>01</v>
      </c>
      <c r="O362" s="14" t="str">
        <f t="shared" si="56"/>
        <v>00</v>
      </c>
    </row>
    <row r="363" spans="9:19" hidden="1">
      <c r="I363" s="1"/>
      <c r="J363" s="1" t="str">
        <f t="shared" si="52"/>
        <v>0</v>
      </c>
      <c r="K363" s="3">
        <f t="shared" si="53"/>
        <v>-100</v>
      </c>
      <c r="L363" s="3">
        <f t="shared" si="54"/>
        <v>1</v>
      </c>
      <c r="M363" s="3">
        <f t="shared" si="55"/>
        <v>0</v>
      </c>
      <c r="N363" s="3" t="str">
        <f t="shared" si="56"/>
        <v>01</v>
      </c>
      <c r="O363" s="14" t="str">
        <f t="shared" si="56"/>
        <v>00</v>
      </c>
    </row>
    <row r="364" spans="9:19" hidden="1">
      <c r="I364" s="1"/>
      <c r="J364" s="1" t="str">
        <f t="shared" si="52"/>
        <v>0</v>
      </c>
      <c r="K364" s="3">
        <f t="shared" si="53"/>
        <v>-100</v>
      </c>
      <c r="L364" s="3">
        <f t="shared" si="54"/>
        <v>1</v>
      </c>
      <c r="M364" s="3">
        <f t="shared" si="55"/>
        <v>0</v>
      </c>
      <c r="N364" s="3" t="str">
        <f t="shared" si="56"/>
        <v>01</v>
      </c>
      <c r="O364" s="14" t="str">
        <f t="shared" si="56"/>
        <v>00</v>
      </c>
      <c r="R364" s="6">
        <v>497</v>
      </c>
      <c r="S364" s="5">
        <f>+P364/R364</f>
        <v>0</v>
      </c>
    </row>
    <row r="365" spans="9:19" hidden="1">
      <c r="I365" s="1"/>
      <c r="J365" s="1" t="str">
        <f t="shared" si="52"/>
        <v>0</v>
      </c>
      <c r="K365" s="3">
        <f t="shared" si="53"/>
        <v>-100</v>
      </c>
      <c r="L365" s="3">
        <f t="shared" si="54"/>
        <v>1</v>
      </c>
      <c r="M365" s="3">
        <f t="shared" si="55"/>
        <v>0</v>
      </c>
      <c r="N365" s="3" t="str">
        <f t="shared" si="56"/>
        <v>01</v>
      </c>
      <c r="O365" s="14" t="str">
        <f t="shared" si="56"/>
        <v>00</v>
      </c>
    </row>
    <row r="366" spans="9:19" hidden="1">
      <c r="I366" s="1"/>
      <c r="J366" s="1" t="str">
        <f t="shared" si="52"/>
        <v>0</v>
      </c>
      <c r="K366" s="3">
        <f t="shared" si="53"/>
        <v>-100</v>
      </c>
      <c r="L366" s="3">
        <f t="shared" si="54"/>
        <v>1</v>
      </c>
      <c r="M366" s="3">
        <f t="shared" si="55"/>
        <v>0</v>
      </c>
      <c r="N366" s="3" t="str">
        <f t="shared" si="56"/>
        <v>01</v>
      </c>
      <c r="O366" s="14" t="str">
        <f t="shared" si="56"/>
        <v>00</v>
      </c>
    </row>
    <row r="367" spans="9:19" hidden="1">
      <c r="I367" s="1"/>
      <c r="J367" s="1" t="str">
        <f t="shared" si="52"/>
        <v>0</v>
      </c>
      <c r="K367" s="3">
        <f t="shared" si="53"/>
        <v>-100</v>
      </c>
      <c r="L367" s="3">
        <f t="shared" si="54"/>
        <v>1</v>
      </c>
      <c r="M367" s="3">
        <f t="shared" si="55"/>
        <v>0</v>
      </c>
      <c r="N367" s="3" t="str">
        <f t="shared" si="56"/>
        <v>01</v>
      </c>
      <c r="O367" s="14" t="str">
        <f t="shared" si="56"/>
        <v>00</v>
      </c>
    </row>
    <row r="368" spans="9:19" hidden="1">
      <c r="I368" s="1"/>
      <c r="J368" s="1" t="str">
        <f t="shared" si="52"/>
        <v>0</v>
      </c>
      <c r="K368" s="3">
        <f t="shared" si="53"/>
        <v>-100</v>
      </c>
      <c r="L368" s="3">
        <f t="shared" si="54"/>
        <v>1</v>
      </c>
      <c r="M368" s="3">
        <f t="shared" si="55"/>
        <v>0</v>
      </c>
      <c r="N368" s="3" t="str">
        <f t="shared" si="56"/>
        <v>01</v>
      </c>
      <c r="O368" s="14" t="str">
        <f t="shared" si="56"/>
        <v>00</v>
      </c>
    </row>
    <row r="369" spans="1:23" hidden="1">
      <c r="J369" s="1" t="str">
        <f t="shared" si="52"/>
        <v>0</v>
      </c>
      <c r="K369" s="3">
        <f t="shared" si="53"/>
        <v>-100</v>
      </c>
      <c r="L369" s="3">
        <f t="shared" si="54"/>
        <v>1</v>
      </c>
      <c r="M369" s="3">
        <f t="shared" si="55"/>
        <v>0</v>
      </c>
      <c r="N369" s="3" t="str">
        <f t="shared" si="56"/>
        <v>01</v>
      </c>
      <c r="O369" s="14" t="str">
        <f t="shared" si="56"/>
        <v>00</v>
      </c>
      <c r="R369" s="6">
        <v>497</v>
      </c>
      <c r="S369" s="5">
        <f>+P369/R369</f>
        <v>0</v>
      </c>
    </row>
    <row r="370" spans="1:23" hidden="1">
      <c r="J370" s="1" t="str">
        <f t="shared" si="52"/>
        <v>0</v>
      </c>
      <c r="K370" s="3">
        <f t="shared" si="53"/>
        <v>-100</v>
      </c>
      <c r="L370" s="3">
        <f t="shared" si="54"/>
        <v>1</v>
      </c>
      <c r="M370" s="3">
        <f t="shared" si="55"/>
        <v>0</v>
      </c>
      <c r="N370" s="3" t="str">
        <f t="shared" si="56"/>
        <v>01</v>
      </c>
      <c r="O370" s="14" t="str">
        <f t="shared" si="56"/>
        <v>00</v>
      </c>
    </row>
    <row r="371" spans="1:23" hidden="1">
      <c r="J371" s="1" t="str">
        <f t="shared" si="52"/>
        <v>0</v>
      </c>
      <c r="K371" s="3">
        <f t="shared" si="53"/>
        <v>-100</v>
      </c>
      <c r="L371" s="3">
        <f t="shared" si="54"/>
        <v>1</v>
      </c>
      <c r="M371" s="3">
        <f t="shared" si="55"/>
        <v>0</v>
      </c>
      <c r="N371" s="3" t="str">
        <f t="shared" ref="N371:O377" si="57">+IF(L371&lt;10,_xlfn.CONCAT("0",L371),L371)</f>
        <v>01</v>
      </c>
      <c r="O371" s="14" t="str">
        <f t="shared" si="57"/>
        <v>00</v>
      </c>
    </row>
    <row r="372" spans="1:23" hidden="1">
      <c r="J372" s="1" t="str">
        <f t="shared" si="52"/>
        <v>0</v>
      </c>
      <c r="K372" s="3">
        <f t="shared" si="53"/>
        <v>-100</v>
      </c>
      <c r="L372" s="3">
        <f t="shared" si="54"/>
        <v>1</v>
      </c>
      <c r="M372" s="3">
        <f t="shared" si="55"/>
        <v>0</v>
      </c>
      <c r="N372" s="3" t="str">
        <f t="shared" si="57"/>
        <v>01</v>
      </c>
      <c r="O372" s="14" t="str">
        <f t="shared" si="57"/>
        <v>00</v>
      </c>
    </row>
    <row r="373" spans="1:23" hidden="1">
      <c r="J373" s="1" t="str">
        <f t="shared" si="52"/>
        <v>0</v>
      </c>
      <c r="K373" s="3">
        <f t="shared" si="53"/>
        <v>-100</v>
      </c>
      <c r="L373" s="3">
        <f t="shared" si="54"/>
        <v>1</v>
      </c>
      <c r="M373" s="3">
        <f t="shared" si="55"/>
        <v>0</v>
      </c>
      <c r="N373" s="3" t="str">
        <f t="shared" si="57"/>
        <v>01</v>
      </c>
      <c r="O373" s="14" t="str">
        <f t="shared" si="57"/>
        <v>00</v>
      </c>
    </row>
    <row r="374" spans="1:23" hidden="1">
      <c r="J374" s="1" t="str">
        <f t="shared" si="52"/>
        <v>0</v>
      </c>
      <c r="K374" s="3">
        <f t="shared" si="53"/>
        <v>-100</v>
      </c>
      <c r="L374" s="3">
        <f t="shared" si="54"/>
        <v>1</v>
      </c>
      <c r="M374" s="3">
        <f t="shared" si="55"/>
        <v>0</v>
      </c>
      <c r="N374" s="3" t="str">
        <f t="shared" si="57"/>
        <v>01</v>
      </c>
      <c r="O374" s="14" t="str">
        <f t="shared" si="57"/>
        <v>00</v>
      </c>
    </row>
    <row r="375" spans="1:23" hidden="1">
      <c r="J375" s="1" t="str">
        <f t="shared" si="52"/>
        <v>0</v>
      </c>
      <c r="K375" s="3">
        <f t="shared" si="53"/>
        <v>-100</v>
      </c>
      <c r="L375" s="3">
        <f t="shared" si="54"/>
        <v>1</v>
      </c>
      <c r="M375" s="3">
        <f t="shared" si="55"/>
        <v>0</v>
      </c>
      <c r="N375" s="3" t="str">
        <f t="shared" si="57"/>
        <v>01</v>
      </c>
      <c r="O375" s="14" t="str">
        <f t="shared" si="57"/>
        <v>00</v>
      </c>
    </row>
    <row r="376" spans="1:23" hidden="1">
      <c r="J376" s="1" t="str">
        <f t="shared" si="52"/>
        <v>0</v>
      </c>
      <c r="K376" s="3">
        <f t="shared" si="53"/>
        <v>-100</v>
      </c>
      <c r="L376" s="3">
        <f t="shared" si="54"/>
        <v>1</v>
      </c>
      <c r="M376" s="3">
        <f t="shared" si="55"/>
        <v>0</v>
      </c>
      <c r="N376" s="3" t="str">
        <f t="shared" si="57"/>
        <v>01</v>
      </c>
      <c r="O376" s="14" t="str">
        <f t="shared" si="57"/>
        <v>00</v>
      </c>
    </row>
    <row r="377" spans="1:23" hidden="1">
      <c r="J377" s="1" t="str">
        <f t="shared" si="52"/>
        <v>0</v>
      </c>
      <c r="K377" s="3">
        <f t="shared" si="53"/>
        <v>-100</v>
      </c>
      <c r="L377" s="3">
        <f t="shared" si="54"/>
        <v>1</v>
      </c>
      <c r="M377" s="3">
        <f t="shared" si="55"/>
        <v>0</v>
      </c>
      <c r="N377" s="3" t="str">
        <f t="shared" si="57"/>
        <v>01</v>
      </c>
      <c r="O377" s="14" t="str">
        <f t="shared" si="57"/>
        <v>00</v>
      </c>
    </row>
    <row r="378" spans="1:23" hidden="1"/>
    <row r="379" spans="1:23" hidden="1">
      <c r="J379" s="1" t="str">
        <f t="shared" ref="J379:J439" si="58">+IF(I379&lt;10,_xlfn.CONCAT("0",I379),I379)</f>
        <v>0</v>
      </c>
      <c r="K379" s="3">
        <f t="shared" ref="K379:K439" si="59">+YEAR(H379)-2000</f>
        <v>-100</v>
      </c>
      <c r="L379" s="3">
        <f t="shared" ref="L379:L439" si="60">+MONTH(H379)</f>
        <v>1</v>
      </c>
      <c r="M379" s="3">
        <f t="shared" ref="M379:M439" si="61">+DAY(H379)</f>
        <v>0</v>
      </c>
      <c r="N379" s="3" t="str">
        <f t="shared" ref="N379:O410" si="62">+IF(L379&lt;10,_xlfn.CONCAT("0",L379),L379)</f>
        <v>01</v>
      </c>
      <c r="O379" s="14" t="str">
        <f t="shared" si="62"/>
        <v>00</v>
      </c>
      <c r="R379" s="6">
        <v>501</v>
      </c>
      <c r="S379" s="5">
        <f>+P379/R379</f>
        <v>0</v>
      </c>
    </row>
    <row r="380" spans="1:23" hidden="1">
      <c r="J380" s="1" t="str">
        <f t="shared" si="58"/>
        <v>0</v>
      </c>
      <c r="K380" s="3">
        <f t="shared" si="59"/>
        <v>-100</v>
      </c>
      <c r="L380" s="3">
        <f t="shared" si="60"/>
        <v>1</v>
      </c>
      <c r="M380" s="3">
        <f t="shared" si="61"/>
        <v>0</v>
      </c>
      <c r="N380" s="3" t="str">
        <f t="shared" si="62"/>
        <v>01</v>
      </c>
      <c r="O380" s="14" t="str">
        <f t="shared" si="62"/>
        <v>00</v>
      </c>
    </row>
    <row r="381" spans="1:23" hidden="1">
      <c r="G381" s="90"/>
      <c r="J381" s="1" t="str">
        <f t="shared" si="58"/>
        <v>0</v>
      </c>
      <c r="K381" s="3">
        <f t="shared" si="59"/>
        <v>-100</v>
      </c>
      <c r="L381" s="3">
        <f t="shared" si="60"/>
        <v>1</v>
      </c>
      <c r="M381" s="3">
        <f t="shared" si="61"/>
        <v>0</v>
      </c>
      <c r="N381" s="3" t="str">
        <f t="shared" si="62"/>
        <v>01</v>
      </c>
      <c r="O381" s="14" t="str">
        <f t="shared" si="62"/>
        <v>00</v>
      </c>
    </row>
    <row r="382" spans="1:23" hidden="1">
      <c r="J382" s="1" t="str">
        <f t="shared" si="58"/>
        <v>0</v>
      </c>
      <c r="K382" s="3">
        <f t="shared" si="59"/>
        <v>-100</v>
      </c>
      <c r="L382" s="3">
        <f t="shared" si="60"/>
        <v>1</v>
      </c>
      <c r="M382" s="3">
        <f t="shared" si="61"/>
        <v>0</v>
      </c>
      <c r="N382" s="3" t="str">
        <f t="shared" si="62"/>
        <v>01</v>
      </c>
      <c r="O382" s="14" t="str">
        <f t="shared" si="62"/>
        <v>00</v>
      </c>
    </row>
    <row r="383" spans="1:23">
      <c r="A383" s="3">
        <v>376</v>
      </c>
      <c r="B383" s="1">
        <f t="shared" ref="B383:B400" si="63">IF(G383="-",0,IF(G382=G383,1,0))</f>
        <v>0</v>
      </c>
      <c r="C383" s="1">
        <f t="shared" ref="C383:C400" si="64">+IF(G383="-",0,IF(I383=I382+1,0,(IF(I383=1,0,1))))</f>
        <v>1</v>
      </c>
      <c r="D383" s="1">
        <f t="shared" ref="D383:D400" si="65">+IF(AND(P383="",Q383=""),1,0)</f>
        <v>0</v>
      </c>
      <c r="E383" s="1">
        <f t="shared" ref="E383:F400" si="66">IF(U383="",1,0)</f>
        <v>0</v>
      </c>
      <c r="F383" s="1">
        <f t="shared" si="66"/>
        <v>0</v>
      </c>
      <c r="G383" s="1" t="str">
        <f t="shared" ref="G383:G400" si="67">IF(H383=0,"-",_xlfn.CONCAT(K383,N383,O383,J383))</f>
        <v>24050305</v>
      </c>
      <c r="H383" s="2">
        <v>45415</v>
      </c>
      <c r="I383" s="36">
        <v>5</v>
      </c>
      <c r="J383" s="1" t="str">
        <f t="shared" si="58"/>
        <v>05</v>
      </c>
      <c r="K383" s="3">
        <f t="shared" si="59"/>
        <v>24</v>
      </c>
      <c r="L383" s="3">
        <f t="shared" si="60"/>
        <v>5</v>
      </c>
      <c r="M383" s="3">
        <f t="shared" si="61"/>
        <v>3</v>
      </c>
      <c r="N383" s="3" t="str">
        <f t="shared" si="62"/>
        <v>05</v>
      </c>
      <c r="O383" s="14" t="str">
        <f t="shared" si="62"/>
        <v>03</v>
      </c>
      <c r="P383" s="4">
        <v>1105140</v>
      </c>
      <c r="R383" s="6">
        <v>501</v>
      </c>
      <c r="T383" s="5" t="s">
        <v>104</v>
      </c>
      <c r="U383" s="3" t="s">
        <v>1</v>
      </c>
      <c r="V383" s="3" t="s">
        <v>5</v>
      </c>
      <c r="W383" s="3" t="s">
        <v>105</v>
      </c>
    </row>
    <row r="384" spans="1:23" hidden="1">
      <c r="J384" s="1" t="str">
        <f t="shared" si="58"/>
        <v>0</v>
      </c>
      <c r="K384" s="3">
        <f t="shared" si="59"/>
        <v>-100</v>
      </c>
      <c r="L384" s="3">
        <f t="shared" si="60"/>
        <v>1</v>
      </c>
      <c r="M384" s="3">
        <f t="shared" si="61"/>
        <v>0</v>
      </c>
      <c r="N384" s="3" t="str">
        <f t="shared" si="62"/>
        <v>01</v>
      </c>
      <c r="O384" s="14" t="str">
        <f t="shared" si="62"/>
        <v>00</v>
      </c>
    </row>
    <row r="385" spans="1:23" hidden="1">
      <c r="J385" s="1" t="str">
        <f t="shared" si="58"/>
        <v>0</v>
      </c>
      <c r="K385" s="3">
        <f t="shared" si="59"/>
        <v>-100</v>
      </c>
      <c r="L385" s="3">
        <f t="shared" si="60"/>
        <v>1</v>
      </c>
      <c r="M385" s="3">
        <f t="shared" si="61"/>
        <v>0</v>
      </c>
      <c r="N385" s="3" t="str">
        <f t="shared" si="62"/>
        <v>01</v>
      </c>
      <c r="O385" s="14" t="str">
        <f t="shared" si="62"/>
        <v>00</v>
      </c>
    </row>
    <row r="386" spans="1:23" hidden="1">
      <c r="J386" s="1" t="str">
        <f t="shared" si="58"/>
        <v>0</v>
      </c>
      <c r="K386" s="3">
        <f t="shared" si="59"/>
        <v>-100</v>
      </c>
      <c r="L386" s="3">
        <f t="shared" si="60"/>
        <v>1</v>
      </c>
      <c r="M386" s="3">
        <f t="shared" si="61"/>
        <v>0</v>
      </c>
      <c r="N386" s="3" t="str">
        <f t="shared" si="62"/>
        <v>01</v>
      </c>
      <c r="O386" s="14" t="str">
        <f t="shared" si="62"/>
        <v>00</v>
      </c>
    </row>
    <row r="387" spans="1:23" hidden="1">
      <c r="J387" s="1" t="str">
        <f t="shared" si="58"/>
        <v>0</v>
      </c>
      <c r="K387" s="3">
        <f t="shared" si="59"/>
        <v>-100</v>
      </c>
      <c r="L387" s="3">
        <f t="shared" si="60"/>
        <v>1</v>
      </c>
      <c r="M387" s="3">
        <f t="shared" si="61"/>
        <v>0</v>
      </c>
      <c r="N387" s="3" t="str">
        <f t="shared" si="62"/>
        <v>01</v>
      </c>
      <c r="O387" s="14" t="str">
        <f t="shared" si="62"/>
        <v>00</v>
      </c>
    </row>
    <row r="388" spans="1:23" hidden="1">
      <c r="J388" s="1" t="str">
        <f t="shared" si="58"/>
        <v>0</v>
      </c>
      <c r="K388" s="3">
        <f t="shared" si="59"/>
        <v>-100</v>
      </c>
      <c r="L388" s="3">
        <f t="shared" si="60"/>
        <v>1</v>
      </c>
      <c r="M388" s="3">
        <f t="shared" si="61"/>
        <v>0</v>
      </c>
      <c r="N388" s="3" t="str">
        <f t="shared" si="62"/>
        <v>01</v>
      </c>
      <c r="O388" s="14" t="str">
        <f t="shared" si="62"/>
        <v>00</v>
      </c>
    </row>
    <row r="389" spans="1:23" hidden="1">
      <c r="J389" s="1" t="str">
        <f t="shared" si="58"/>
        <v>0</v>
      </c>
      <c r="K389" s="3">
        <f t="shared" si="59"/>
        <v>-100</v>
      </c>
      <c r="L389" s="3">
        <f t="shared" si="60"/>
        <v>1</v>
      </c>
      <c r="M389" s="3">
        <f t="shared" si="61"/>
        <v>0</v>
      </c>
      <c r="N389" s="3" t="str">
        <f t="shared" si="62"/>
        <v>01</v>
      </c>
      <c r="O389" s="14" t="str">
        <f t="shared" si="62"/>
        <v>00</v>
      </c>
      <c r="R389" s="6">
        <v>501</v>
      </c>
    </row>
    <row r="390" spans="1:23" hidden="1">
      <c r="J390" s="1" t="str">
        <f t="shared" si="58"/>
        <v>0</v>
      </c>
      <c r="K390" s="3">
        <f t="shared" si="59"/>
        <v>-100</v>
      </c>
      <c r="L390" s="3">
        <f t="shared" si="60"/>
        <v>1</v>
      </c>
      <c r="M390" s="3">
        <f t="shared" si="61"/>
        <v>0</v>
      </c>
      <c r="N390" s="3" t="str">
        <f t="shared" si="62"/>
        <v>01</v>
      </c>
      <c r="O390" s="14" t="str">
        <f t="shared" si="62"/>
        <v>00</v>
      </c>
      <c r="P390" s="11"/>
      <c r="R390" s="6">
        <v>501</v>
      </c>
    </row>
    <row r="391" spans="1:23" hidden="1">
      <c r="J391" s="1" t="str">
        <f t="shared" si="58"/>
        <v>0</v>
      </c>
      <c r="K391" s="3">
        <f t="shared" si="59"/>
        <v>-100</v>
      </c>
      <c r="L391" s="3">
        <f t="shared" si="60"/>
        <v>1</v>
      </c>
      <c r="M391" s="3">
        <f t="shared" si="61"/>
        <v>0</v>
      </c>
      <c r="N391" s="3" t="str">
        <f t="shared" si="62"/>
        <v>01</v>
      </c>
      <c r="O391" s="14" t="str">
        <f t="shared" si="62"/>
        <v>00</v>
      </c>
      <c r="P391" s="11"/>
      <c r="R391" s="6">
        <v>501</v>
      </c>
    </row>
    <row r="392" spans="1:23" hidden="1">
      <c r="J392" s="1" t="str">
        <f t="shared" si="58"/>
        <v>0</v>
      </c>
      <c r="K392" s="3">
        <f t="shared" si="59"/>
        <v>-100</v>
      </c>
      <c r="L392" s="3">
        <f t="shared" si="60"/>
        <v>1</v>
      </c>
      <c r="M392" s="3">
        <f t="shared" si="61"/>
        <v>0</v>
      </c>
      <c r="N392" s="3" t="str">
        <f t="shared" si="62"/>
        <v>01</v>
      </c>
      <c r="O392" s="14" t="str">
        <f t="shared" si="62"/>
        <v>00</v>
      </c>
      <c r="P392" s="11"/>
      <c r="R392" s="6">
        <v>501</v>
      </c>
    </row>
    <row r="393" spans="1:23">
      <c r="A393" s="3">
        <v>386</v>
      </c>
      <c r="B393" s="1">
        <f t="shared" si="63"/>
        <v>0</v>
      </c>
      <c r="C393" s="1">
        <f t="shared" si="64"/>
        <v>1</v>
      </c>
      <c r="D393" s="1">
        <f t="shared" si="65"/>
        <v>0</v>
      </c>
      <c r="E393" s="1">
        <f t="shared" si="66"/>
        <v>0</v>
      </c>
      <c r="F393" s="1">
        <f t="shared" si="66"/>
        <v>0</v>
      </c>
      <c r="G393" s="1" t="str">
        <f t="shared" si="67"/>
        <v>24050405</v>
      </c>
      <c r="H393" s="2">
        <v>45416</v>
      </c>
      <c r="I393" s="36">
        <v>5</v>
      </c>
      <c r="J393" s="1" t="str">
        <f t="shared" si="58"/>
        <v>05</v>
      </c>
      <c r="K393" s="3">
        <f t="shared" si="59"/>
        <v>24</v>
      </c>
      <c r="L393" s="3">
        <f t="shared" si="60"/>
        <v>5</v>
      </c>
      <c r="M393" s="3">
        <f t="shared" si="61"/>
        <v>4</v>
      </c>
      <c r="N393" s="3" t="str">
        <f t="shared" si="62"/>
        <v>05</v>
      </c>
      <c r="O393" s="14" t="str">
        <f t="shared" si="62"/>
        <v>04</v>
      </c>
      <c r="P393" s="11">
        <f>170000+95000</f>
        <v>265000</v>
      </c>
      <c r="R393" s="6">
        <v>501</v>
      </c>
      <c r="T393" s="5" t="s">
        <v>112</v>
      </c>
      <c r="U393" s="3" t="s">
        <v>1</v>
      </c>
      <c r="V393" s="3" t="s">
        <v>5</v>
      </c>
    </row>
    <row r="394" spans="1:23">
      <c r="A394" s="3">
        <v>387</v>
      </c>
      <c r="B394" s="1">
        <f t="shared" si="63"/>
        <v>0</v>
      </c>
      <c r="C394" s="1">
        <f t="shared" si="64"/>
        <v>0</v>
      </c>
      <c r="D394" s="1">
        <f t="shared" si="65"/>
        <v>0</v>
      </c>
      <c r="E394" s="1">
        <f t="shared" si="66"/>
        <v>0</v>
      </c>
      <c r="F394" s="1">
        <f t="shared" si="66"/>
        <v>0</v>
      </c>
      <c r="G394" s="1" t="str">
        <f t="shared" si="67"/>
        <v>24050406</v>
      </c>
      <c r="H394" s="2">
        <v>45416</v>
      </c>
      <c r="I394" s="36">
        <v>6</v>
      </c>
      <c r="J394" s="1" t="str">
        <f t="shared" si="58"/>
        <v>06</v>
      </c>
      <c r="K394" s="3">
        <f t="shared" si="59"/>
        <v>24</v>
      </c>
      <c r="L394" s="3">
        <f t="shared" si="60"/>
        <v>5</v>
      </c>
      <c r="M394" s="3">
        <f t="shared" si="61"/>
        <v>4</v>
      </c>
      <c r="N394" s="3" t="str">
        <f t="shared" si="62"/>
        <v>05</v>
      </c>
      <c r="O394" s="14" t="str">
        <f t="shared" si="62"/>
        <v>04</v>
      </c>
      <c r="P394" s="11">
        <v>110000</v>
      </c>
      <c r="R394" s="6">
        <v>501</v>
      </c>
      <c r="T394" s="5" t="s">
        <v>107</v>
      </c>
      <c r="U394" s="3" t="s">
        <v>1</v>
      </c>
      <c r="V394" s="3" t="s">
        <v>5</v>
      </c>
    </row>
    <row r="395" spans="1:23">
      <c r="A395" s="3">
        <v>388</v>
      </c>
      <c r="B395" s="1">
        <f t="shared" si="63"/>
        <v>0</v>
      </c>
      <c r="C395" s="1">
        <f t="shared" si="64"/>
        <v>0</v>
      </c>
      <c r="D395" s="1">
        <f t="shared" si="65"/>
        <v>0</v>
      </c>
      <c r="E395" s="1">
        <f t="shared" si="66"/>
        <v>0</v>
      </c>
      <c r="F395" s="1">
        <f t="shared" si="66"/>
        <v>0</v>
      </c>
      <c r="G395" s="1" t="str">
        <f t="shared" si="67"/>
        <v>24050407</v>
      </c>
      <c r="H395" s="2">
        <v>45416</v>
      </c>
      <c r="I395" s="36">
        <v>7</v>
      </c>
      <c r="J395" s="1" t="str">
        <f t="shared" si="58"/>
        <v>07</v>
      </c>
      <c r="K395" s="3">
        <f t="shared" si="59"/>
        <v>24</v>
      </c>
      <c r="L395" s="3">
        <f t="shared" si="60"/>
        <v>5</v>
      </c>
      <c r="M395" s="3">
        <f t="shared" si="61"/>
        <v>4</v>
      </c>
      <c r="N395" s="3" t="str">
        <f t="shared" si="62"/>
        <v>05</v>
      </c>
      <c r="O395" s="14" t="str">
        <f t="shared" si="62"/>
        <v>04</v>
      </c>
      <c r="P395" s="11">
        <v>116000</v>
      </c>
      <c r="R395" s="6">
        <v>501</v>
      </c>
      <c r="T395" s="5" t="s">
        <v>108</v>
      </c>
      <c r="U395" s="3" t="s">
        <v>1</v>
      </c>
      <c r="V395" s="3" t="s">
        <v>5</v>
      </c>
    </row>
    <row r="396" spans="1:23" hidden="1">
      <c r="J396" s="1" t="str">
        <f t="shared" si="58"/>
        <v>0</v>
      </c>
      <c r="K396" s="3">
        <f t="shared" si="59"/>
        <v>-100</v>
      </c>
      <c r="L396" s="3">
        <f t="shared" si="60"/>
        <v>1</v>
      </c>
      <c r="M396" s="3">
        <f t="shared" si="61"/>
        <v>0</v>
      </c>
      <c r="N396" s="3" t="str">
        <f t="shared" si="62"/>
        <v>01</v>
      </c>
      <c r="O396" s="14" t="str">
        <f t="shared" si="62"/>
        <v>00</v>
      </c>
      <c r="P396" s="11"/>
      <c r="R396" s="6">
        <v>501</v>
      </c>
    </row>
    <row r="397" spans="1:23">
      <c r="A397" s="3">
        <v>390</v>
      </c>
      <c r="B397" s="1">
        <f t="shared" si="63"/>
        <v>0</v>
      </c>
      <c r="C397" s="1">
        <f t="shared" si="64"/>
        <v>1</v>
      </c>
      <c r="D397" s="1">
        <f t="shared" si="65"/>
        <v>0</v>
      </c>
      <c r="E397" s="1">
        <f t="shared" si="66"/>
        <v>0</v>
      </c>
      <c r="F397" s="1">
        <f t="shared" si="66"/>
        <v>0</v>
      </c>
      <c r="G397" s="1" t="str">
        <f t="shared" si="67"/>
        <v>24050409</v>
      </c>
      <c r="H397" s="2">
        <v>45416</v>
      </c>
      <c r="I397" s="36">
        <v>9</v>
      </c>
      <c r="J397" s="1" t="str">
        <f t="shared" si="58"/>
        <v>09</v>
      </c>
      <c r="K397" s="3">
        <f t="shared" si="59"/>
        <v>24</v>
      </c>
      <c r="L397" s="3">
        <f t="shared" si="60"/>
        <v>5</v>
      </c>
      <c r="M397" s="3">
        <f t="shared" si="61"/>
        <v>4</v>
      </c>
      <c r="N397" s="3" t="str">
        <f t="shared" si="62"/>
        <v>05</v>
      </c>
      <c r="O397" s="14" t="str">
        <f t="shared" si="62"/>
        <v>04</v>
      </c>
      <c r="P397" s="11">
        <f>115000+45000</f>
        <v>160000</v>
      </c>
      <c r="R397" s="6">
        <v>501</v>
      </c>
      <c r="T397" s="5" t="s">
        <v>109</v>
      </c>
      <c r="U397" s="3" t="s">
        <v>1</v>
      </c>
      <c r="V397" s="3" t="s">
        <v>5</v>
      </c>
    </row>
    <row r="398" spans="1:23" hidden="1">
      <c r="J398" s="1" t="str">
        <f t="shared" si="58"/>
        <v>0</v>
      </c>
      <c r="K398" s="3">
        <f t="shared" si="59"/>
        <v>-100</v>
      </c>
      <c r="L398" s="3">
        <f t="shared" si="60"/>
        <v>1</v>
      </c>
      <c r="M398" s="3">
        <f t="shared" si="61"/>
        <v>0</v>
      </c>
      <c r="N398" s="3" t="str">
        <f t="shared" si="62"/>
        <v>01</v>
      </c>
      <c r="O398" s="14" t="str">
        <f t="shared" si="62"/>
        <v>00</v>
      </c>
    </row>
    <row r="399" spans="1:23" s="42" customFormat="1" hidden="1">
      <c r="A399" s="3"/>
      <c r="B399" s="1"/>
      <c r="C399" s="1"/>
      <c r="D399" s="1"/>
      <c r="E399" s="1"/>
      <c r="F399" s="1"/>
      <c r="G399" s="38"/>
      <c r="H399" s="37"/>
      <c r="I399" s="38"/>
      <c r="J399" s="38" t="str">
        <f t="shared" si="58"/>
        <v>0</v>
      </c>
      <c r="K399" s="42">
        <f t="shared" si="59"/>
        <v>-100</v>
      </c>
      <c r="L399" s="42">
        <f t="shared" si="60"/>
        <v>1</v>
      </c>
      <c r="M399" s="42">
        <f t="shared" si="61"/>
        <v>0</v>
      </c>
      <c r="N399" s="42" t="str">
        <f t="shared" si="62"/>
        <v>01</v>
      </c>
      <c r="O399" s="50" t="str">
        <f t="shared" si="62"/>
        <v>00</v>
      </c>
      <c r="P399" s="11"/>
      <c r="Q399" s="40"/>
      <c r="R399" s="41">
        <v>501</v>
      </c>
      <c r="S399" s="40"/>
      <c r="T399" s="40"/>
    </row>
    <row r="400" spans="1:23">
      <c r="A400" s="3">
        <v>393</v>
      </c>
      <c r="B400" s="1">
        <f t="shared" si="63"/>
        <v>0</v>
      </c>
      <c r="C400" s="1">
        <f t="shared" si="64"/>
        <v>1</v>
      </c>
      <c r="D400" s="1">
        <f t="shared" si="65"/>
        <v>0</v>
      </c>
      <c r="E400" s="1">
        <f t="shared" si="66"/>
        <v>0</v>
      </c>
      <c r="F400" s="1">
        <f t="shared" si="66"/>
        <v>0</v>
      </c>
      <c r="G400" s="1" t="str">
        <f t="shared" si="67"/>
        <v>24050412</v>
      </c>
      <c r="H400" s="2">
        <v>45416</v>
      </c>
      <c r="I400" s="36">
        <v>12</v>
      </c>
      <c r="J400" s="1">
        <f t="shared" si="58"/>
        <v>12</v>
      </c>
      <c r="K400" s="3">
        <f t="shared" si="59"/>
        <v>24</v>
      </c>
      <c r="L400" s="3">
        <f t="shared" si="60"/>
        <v>5</v>
      </c>
      <c r="M400" s="3">
        <f t="shared" si="61"/>
        <v>4</v>
      </c>
      <c r="N400" s="3" t="str">
        <f t="shared" si="62"/>
        <v>05</v>
      </c>
      <c r="O400" s="14" t="str">
        <f t="shared" si="62"/>
        <v>04</v>
      </c>
      <c r="P400" s="11">
        <f>3.5*3*515</f>
        <v>5407.5</v>
      </c>
      <c r="R400" s="6">
        <v>501</v>
      </c>
      <c r="T400" s="5" t="s">
        <v>113</v>
      </c>
      <c r="U400" s="3" t="s">
        <v>1</v>
      </c>
      <c r="V400" s="3" t="s">
        <v>5</v>
      </c>
      <c r="W400" s="3" t="s">
        <v>115</v>
      </c>
    </row>
    <row r="401" spans="8:23" hidden="1">
      <c r="J401" s="1" t="str">
        <f t="shared" si="58"/>
        <v>0</v>
      </c>
      <c r="K401" s="3">
        <f t="shared" si="59"/>
        <v>-100</v>
      </c>
      <c r="L401" s="3">
        <f t="shared" si="60"/>
        <v>1</v>
      </c>
      <c r="M401" s="3">
        <f t="shared" si="61"/>
        <v>0</v>
      </c>
      <c r="N401" s="3" t="str">
        <f t="shared" si="62"/>
        <v>01</v>
      </c>
      <c r="O401" s="14" t="str">
        <f t="shared" si="62"/>
        <v>00</v>
      </c>
      <c r="R401" s="6">
        <v>501</v>
      </c>
    </row>
    <row r="402" spans="8:23" hidden="1">
      <c r="J402" s="1" t="str">
        <f t="shared" si="58"/>
        <v>0</v>
      </c>
      <c r="K402" s="3">
        <f t="shared" si="59"/>
        <v>-100</v>
      </c>
      <c r="L402" s="3">
        <f t="shared" si="60"/>
        <v>1</v>
      </c>
      <c r="M402" s="3">
        <f t="shared" si="61"/>
        <v>0</v>
      </c>
      <c r="N402" s="3" t="str">
        <f t="shared" si="62"/>
        <v>01</v>
      </c>
      <c r="O402" s="14" t="str">
        <f t="shared" si="62"/>
        <v>00</v>
      </c>
      <c r="R402" s="6">
        <v>501</v>
      </c>
    </row>
    <row r="403" spans="8:23" hidden="1">
      <c r="J403" s="1" t="str">
        <f t="shared" si="58"/>
        <v>0</v>
      </c>
      <c r="K403" s="3">
        <f t="shared" si="59"/>
        <v>-100</v>
      </c>
      <c r="L403" s="3">
        <f t="shared" si="60"/>
        <v>1</v>
      </c>
      <c r="M403" s="3">
        <f t="shared" si="61"/>
        <v>0</v>
      </c>
      <c r="N403" s="3" t="str">
        <f t="shared" si="62"/>
        <v>01</v>
      </c>
      <c r="O403" s="14" t="str">
        <f t="shared" si="62"/>
        <v>00</v>
      </c>
      <c r="R403" s="6">
        <v>501</v>
      </c>
    </row>
    <row r="404" spans="8:23" hidden="1">
      <c r="I404" s="1"/>
      <c r="J404" s="1" t="str">
        <f t="shared" si="58"/>
        <v>0</v>
      </c>
      <c r="K404" s="3">
        <f t="shared" si="59"/>
        <v>-100</v>
      </c>
      <c r="L404" s="3">
        <f t="shared" si="60"/>
        <v>1</v>
      </c>
      <c r="M404" s="3">
        <f t="shared" si="61"/>
        <v>0</v>
      </c>
      <c r="N404" s="3" t="str">
        <f t="shared" si="62"/>
        <v>01</v>
      </c>
      <c r="O404" s="14" t="str">
        <f t="shared" si="62"/>
        <v>00</v>
      </c>
      <c r="R404" s="6">
        <v>501</v>
      </c>
    </row>
    <row r="405" spans="8:23" hidden="1">
      <c r="J405" s="1" t="str">
        <f t="shared" si="58"/>
        <v>0</v>
      </c>
      <c r="K405" s="3">
        <f t="shared" si="59"/>
        <v>-100</v>
      </c>
      <c r="L405" s="3">
        <f t="shared" si="60"/>
        <v>1</v>
      </c>
      <c r="M405" s="3">
        <f t="shared" si="61"/>
        <v>0</v>
      </c>
      <c r="N405" s="3" t="str">
        <f t="shared" si="62"/>
        <v>01</v>
      </c>
      <c r="O405" s="14" t="str">
        <f t="shared" si="62"/>
        <v>00</v>
      </c>
    </row>
    <row r="406" spans="8:23" hidden="1">
      <c r="J406" s="1" t="str">
        <f t="shared" si="58"/>
        <v>0</v>
      </c>
      <c r="K406" s="3">
        <f t="shared" si="59"/>
        <v>-100</v>
      </c>
      <c r="L406" s="3">
        <f t="shared" si="60"/>
        <v>1</v>
      </c>
      <c r="M406" s="3">
        <f t="shared" si="61"/>
        <v>0</v>
      </c>
      <c r="N406" s="3" t="str">
        <f t="shared" si="62"/>
        <v>01</v>
      </c>
      <c r="O406" s="14" t="str">
        <f t="shared" si="62"/>
        <v>00</v>
      </c>
    </row>
    <row r="407" spans="8:23" hidden="1">
      <c r="J407" s="1" t="str">
        <f t="shared" si="58"/>
        <v>0</v>
      </c>
      <c r="K407" s="3">
        <f t="shared" si="59"/>
        <v>-100</v>
      </c>
      <c r="L407" s="3">
        <f t="shared" si="60"/>
        <v>1</v>
      </c>
      <c r="M407" s="3">
        <f t="shared" si="61"/>
        <v>0</v>
      </c>
      <c r="N407" s="3" t="str">
        <f t="shared" si="62"/>
        <v>01</v>
      </c>
      <c r="O407" s="14" t="str">
        <f t="shared" si="62"/>
        <v>00</v>
      </c>
    </row>
    <row r="408" spans="8:23" hidden="1">
      <c r="J408" s="1" t="str">
        <f t="shared" si="58"/>
        <v>0</v>
      </c>
      <c r="K408" s="3">
        <f t="shared" si="59"/>
        <v>-100</v>
      </c>
      <c r="L408" s="3">
        <f t="shared" si="60"/>
        <v>1</v>
      </c>
      <c r="M408" s="3">
        <f t="shared" si="61"/>
        <v>0</v>
      </c>
      <c r="N408" s="3" t="str">
        <f t="shared" si="62"/>
        <v>01</v>
      </c>
      <c r="O408" s="14" t="str">
        <f t="shared" si="62"/>
        <v>00</v>
      </c>
    </row>
    <row r="409" spans="8:23" hidden="1">
      <c r="H409" s="9"/>
      <c r="J409" s="1" t="str">
        <f t="shared" si="58"/>
        <v>0</v>
      </c>
      <c r="K409" s="3">
        <f t="shared" si="59"/>
        <v>-100</v>
      </c>
      <c r="L409" s="3">
        <f t="shared" si="60"/>
        <v>1</v>
      </c>
      <c r="M409" s="3">
        <f t="shared" si="61"/>
        <v>0</v>
      </c>
      <c r="N409" s="3" t="str">
        <f t="shared" si="62"/>
        <v>01</v>
      </c>
      <c r="O409" s="14" t="str">
        <f t="shared" si="62"/>
        <v>00</v>
      </c>
      <c r="P409" s="11"/>
      <c r="Q409" s="12"/>
      <c r="R409" s="13"/>
      <c r="S409" s="12"/>
      <c r="T409" s="12"/>
      <c r="U409" s="10"/>
      <c r="V409" s="10"/>
      <c r="W409" s="10"/>
    </row>
    <row r="410" spans="8:23" hidden="1">
      <c r="J410" s="1" t="str">
        <f t="shared" si="58"/>
        <v>0</v>
      </c>
      <c r="K410" s="3">
        <f t="shared" si="59"/>
        <v>-100</v>
      </c>
      <c r="L410" s="3">
        <f t="shared" si="60"/>
        <v>1</v>
      </c>
      <c r="M410" s="3">
        <f t="shared" si="61"/>
        <v>0</v>
      </c>
      <c r="N410" s="3" t="str">
        <f t="shared" si="62"/>
        <v>01</v>
      </c>
      <c r="O410" s="14" t="str">
        <f t="shared" si="62"/>
        <v>00</v>
      </c>
    </row>
    <row r="411" spans="8:23" hidden="1">
      <c r="J411" s="1" t="str">
        <f t="shared" si="58"/>
        <v>0</v>
      </c>
      <c r="K411" s="3">
        <f t="shared" si="59"/>
        <v>-100</v>
      </c>
      <c r="L411" s="3">
        <f t="shared" si="60"/>
        <v>1</v>
      </c>
      <c r="M411" s="3">
        <f t="shared" si="61"/>
        <v>0</v>
      </c>
      <c r="N411" s="3" t="str">
        <f t="shared" ref="N411:O439" si="68">+IF(L411&lt;10,_xlfn.CONCAT("0",L411),L411)</f>
        <v>01</v>
      </c>
      <c r="O411" s="14" t="str">
        <f t="shared" si="68"/>
        <v>00</v>
      </c>
    </row>
    <row r="412" spans="8:23" hidden="1">
      <c r="J412" s="1" t="str">
        <f t="shared" si="58"/>
        <v>0</v>
      </c>
      <c r="K412" s="3">
        <f t="shared" si="59"/>
        <v>-100</v>
      </c>
      <c r="L412" s="3">
        <f t="shared" si="60"/>
        <v>1</v>
      </c>
      <c r="M412" s="3">
        <f t="shared" si="61"/>
        <v>0</v>
      </c>
      <c r="N412" s="3" t="str">
        <f t="shared" si="68"/>
        <v>01</v>
      </c>
      <c r="O412" s="14" t="str">
        <f t="shared" si="68"/>
        <v>00</v>
      </c>
    </row>
    <row r="413" spans="8:23" hidden="1">
      <c r="J413" s="1" t="str">
        <f t="shared" si="58"/>
        <v>0</v>
      </c>
      <c r="K413" s="3">
        <f t="shared" si="59"/>
        <v>-100</v>
      </c>
      <c r="L413" s="3">
        <f t="shared" si="60"/>
        <v>1</v>
      </c>
      <c r="M413" s="3">
        <f t="shared" si="61"/>
        <v>0</v>
      </c>
      <c r="N413" s="3" t="str">
        <f t="shared" si="68"/>
        <v>01</v>
      </c>
      <c r="O413" s="14" t="str">
        <f t="shared" si="68"/>
        <v>00</v>
      </c>
    </row>
    <row r="414" spans="8:23" hidden="1">
      <c r="J414" s="1" t="str">
        <f t="shared" si="58"/>
        <v>0</v>
      </c>
      <c r="K414" s="3">
        <f t="shared" si="59"/>
        <v>-100</v>
      </c>
      <c r="L414" s="3">
        <f t="shared" si="60"/>
        <v>1</v>
      </c>
      <c r="M414" s="3">
        <f t="shared" si="61"/>
        <v>0</v>
      </c>
      <c r="N414" s="3" t="str">
        <f t="shared" si="68"/>
        <v>01</v>
      </c>
      <c r="O414" s="14" t="str">
        <f t="shared" si="68"/>
        <v>00</v>
      </c>
    </row>
    <row r="415" spans="8:23" hidden="1">
      <c r="J415" s="1" t="str">
        <f t="shared" si="58"/>
        <v>0</v>
      </c>
      <c r="K415" s="3">
        <f t="shared" si="59"/>
        <v>-100</v>
      </c>
      <c r="L415" s="3">
        <f t="shared" si="60"/>
        <v>1</v>
      </c>
      <c r="M415" s="3">
        <f t="shared" si="61"/>
        <v>0</v>
      </c>
      <c r="N415" s="3" t="str">
        <f t="shared" si="68"/>
        <v>01</v>
      </c>
      <c r="O415" s="14" t="str">
        <f t="shared" si="68"/>
        <v>00</v>
      </c>
    </row>
    <row r="416" spans="8:23" hidden="1">
      <c r="J416" s="1" t="str">
        <f t="shared" si="58"/>
        <v>0</v>
      </c>
      <c r="K416" s="3">
        <f t="shared" si="59"/>
        <v>-100</v>
      </c>
      <c r="L416" s="3">
        <f t="shared" si="60"/>
        <v>1</v>
      </c>
      <c r="M416" s="3">
        <f t="shared" si="61"/>
        <v>0</v>
      </c>
      <c r="N416" s="3" t="str">
        <f t="shared" si="68"/>
        <v>01</v>
      </c>
      <c r="O416" s="14" t="str">
        <f t="shared" si="68"/>
        <v>00</v>
      </c>
    </row>
    <row r="417" spans="1:23" hidden="1">
      <c r="J417" s="1" t="str">
        <f t="shared" si="58"/>
        <v>0</v>
      </c>
      <c r="K417" s="3">
        <f t="shared" si="59"/>
        <v>-100</v>
      </c>
      <c r="L417" s="3">
        <f t="shared" si="60"/>
        <v>1</v>
      </c>
      <c r="M417" s="3">
        <f t="shared" si="61"/>
        <v>0</v>
      </c>
      <c r="N417" s="3" t="str">
        <f t="shared" si="68"/>
        <v>01</v>
      </c>
      <c r="O417" s="14" t="str">
        <f t="shared" si="68"/>
        <v>00</v>
      </c>
    </row>
    <row r="418" spans="1:23" hidden="1">
      <c r="J418" s="1" t="str">
        <f t="shared" si="58"/>
        <v>0</v>
      </c>
      <c r="K418" s="3">
        <f t="shared" si="59"/>
        <v>-100</v>
      </c>
      <c r="L418" s="3">
        <f t="shared" si="60"/>
        <v>1</v>
      </c>
      <c r="M418" s="3">
        <f t="shared" si="61"/>
        <v>0</v>
      </c>
      <c r="N418" s="3" t="str">
        <f t="shared" si="68"/>
        <v>01</v>
      </c>
      <c r="O418" s="14" t="str">
        <f t="shared" si="68"/>
        <v>00</v>
      </c>
    </row>
    <row r="419" spans="1:23" hidden="1">
      <c r="J419" s="1" t="str">
        <f t="shared" si="58"/>
        <v>0</v>
      </c>
      <c r="K419" s="3">
        <f t="shared" si="59"/>
        <v>-100</v>
      </c>
      <c r="L419" s="3">
        <f t="shared" si="60"/>
        <v>1</v>
      </c>
      <c r="M419" s="3">
        <f t="shared" si="61"/>
        <v>0</v>
      </c>
      <c r="N419" s="3" t="str">
        <f t="shared" si="68"/>
        <v>01</v>
      </c>
      <c r="O419" s="14" t="str">
        <f t="shared" si="68"/>
        <v>00</v>
      </c>
    </row>
    <row r="420" spans="1:23" hidden="1">
      <c r="J420" s="1" t="str">
        <f t="shared" si="58"/>
        <v>0</v>
      </c>
      <c r="K420" s="3">
        <f t="shared" si="59"/>
        <v>-100</v>
      </c>
      <c r="L420" s="3">
        <f t="shared" si="60"/>
        <v>1</v>
      </c>
      <c r="M420" s="3">
        <f t="shared" si="61"/>
        <v>0</v>
      </c>
      <c r="N420" s="3" t="str">
        <f t="shared" si="68"/>
        <v>01</v>
      </c>
      <c r="O420" s="14" t="str">
        <f t="shared" si="68"/>
        <v>00</v>
      </c>
    </row>
    <row r="421" spans="1:23" hidden="1">
      <c r="J421" s="1" t="str">
        <f t="shared" si="58"/>
        <v>0</v>
      </c>
      <c r="K421" s="3">
        <f t="shared" si="59"/>
        <v>-100</v>
      </c>
      <c r="L421" s="3">
        <f t="shared" si="60"/>
        <v>1</v>
      </c>
      <c r="M421" s="3">
        <f t="shared" si="61"/>
        <v>0</v>
      </c>
      <c r="N421" s="3" t="str">
        <f t="shared" si="68"/>
        <v>01</v>
      </c>
      <c r="O421" s="14" t="str">
        <f t="shared" si="68"/>
        <v>00</v>
      </c>
    </row>
    <row r="422" spans="1:23" hidden="1">
      <c r="J422" s="1" t="str">
        <f t="shared" si="58"/>
        <v>0</v>
      </c>
      <c r="K422" s="3">
        <f t="shared" si="59"/>
        <v>-100</v>
      </c>
      <c r="L422" s="3">
        <f t="shared" si="60"/>
        <v>1</v>
      </c>
      <c r="M422" s="3">
        <f t="shared" si="61"/>
        <v>0</v>
      </c>
      <c r="N422" s="3" t="str">
        <f t="shared" si="68"/>
        <v>01</v>
      </c>
      <c r="O422" s="14" t="str">
        <f t="shared" si="68"/>
        <v>00</v>
      </c>
    </row>
    <row r="423" spans="1:23">
      <c r="A423" s="3">
        <v>416</v>
      </c>
      <c r="B423" s="1">
        <f t="shared" ref="B423" si="69">IF(G423="-",0,IF(G422=G423,1,0))</f>
        <v>0</v>
      </c>
      <c r="C423" s="1">
        <f t="shared" ref="C423" si="70">+IF(G423="-",0,IF(I423=I422+1,0,(IF(I423=1,0,1))))</f>
        <v>0</v>
      </c>
      <c r="D423" s="1">
        <f t="shared" ref="D423" si="71">+IF(AND(P423="",Q423=""),1,0)</f>
        <v>0</v>
      </c>
      <c r="E423" s="1">
        <f t="shared" ref="E423:F423" si="72">IF(U423="",1,0)</f>
        <v>1</v>
      </c>
      <c r="F423" s="1">
        <f t="shared" si="72"/>
        <v>0</v>
      </c>
      <c r="G423" s="1" t="str">
        <f t="shared" ref="G423" si="73">IF(H423=0,"-",_xlfn.CONCAT(K423,N423,O423,J423))</f>
        <v>24050701</v>
      </c>
      <c r="H423" s="2">
        <v>45419</v>
      </c>
      <c r="I423" s="36">
        <v>1</v>
      </c>
      <c r="J423" s="1" t="str">
        <f t="shared" si="58"/>
        <v>01</v>
      </c>
      <c r="K423" s="3">
        <f t="shared" si="59"/>
        <v>24</v>
      </c>
      <c r="L423" s="3">
        <f t="shared" si="60"/>
        <v>5</v>
      </c>
      <c r="M423" s="3">
        <f t="shared" si="61"/>
        <v>7</v>
      </c>
      <c r="N423" s="3" t="str">
        <f t="shared" si="68"/>
        <v>05</v>
      </c>
      <c r="O423" s="14" t="str">
        <f t="shared" si="68"/>
        <v>07</v>
      </c>
      <c r="Q423" s="5">
        <v>350.3</v>
      </c>
      <c r="T423" s="5" t="s">
        <v>124</v>
      </c>
      <c r="V423" s="3" t="s">
        <v>5</v>
      </c>
      <c r="W423" s="3" t="s">
        <v>123</v>
      </c>
    </row>
    <row r="424" spans="1:23" hidden="1">
      <c r="J424" s="1" t="str">
        <f t="shared" si="58"/>
        <v>0</v>
      </c>
      <c r="K424" s="3">
        <f t="shared" si="59"/>
        <v>-100</v>
      </c>
      <c r="L424" s="3">
        <f t="shared" si="60"/>
        <v>1</v>
      </c>
      <c r="M424" s="3">
        <f t="shared" si="61"/>
        <v>0</v>
      </c>
      <c r="N424" s="3" t="str">
        <f t="shared" si="68"/>
        <v>01</v>
      </c>
      <c r="O424" s="14" t="str">
        <f t="shared" si="68"/>
        <v>00</v>
      </c>
    </row>
    <row r="425" spans="1:23" hidden="1">
      <c r="J425" s="1" t="str">
        <f t="shared" si="58"/>
        <v>0</v>
      </c>
      <c r="K425" s="3">
        <f t="shared" si="59"/>
        <v>-100</v>
      </c>
      <c r="L425" s="3">
        <f t="shared" si="60"/>
        <v>1</v>
      </c>
      <c r="M425" s="3">
        <f t="shared" si="61"/>
        <v>0</v>
      </c>
      <c r="N425" s="3" t="str">
        <f t="shared" si="68"/>
        <v>01</v>
      </c>
      <c r="O425" s="14" t="str">
        <f t="shared" si="68"/>
        <v>00</v>
      </c>
    </row>
    <row r="426" spans="1:23" hidden="1">
      <c r="J426" s="1" t="str">
        <f t="shared" si="58"/>
        <v>0</v>
      </c>
      <c r="K426" s="3">
        <f t="shared" si="59"/>
        <v>-100</v>
      </c>
      <c r="L426" s="3">
        <f t="shared" si="60"/>
        <v>1</v>
      </c>
      <c r="M426" s="3">
        <f t="shared" si="61"/>
        <v>0</v>
      </c>
      <c r="N426" s="3" t="str">
        <f t="shared" si="68"/>
        <v>01</v>
      </c>
      <c r="O426" s="14" t="str">
        <f t="shared" si="68"/>
        <v>00</v>
      </c>
    </row>
    <row r="427" spans="1:23" hidden="1">
      <c r="J427" s="1" t="str">
        <f t="shared" si="58"/>
        <v>0</v>
      </c>
      <c r="K427" s="3">
        <f t="shared" si="59"/>
        <v>-100</v>
      </c>
      <c r="L427" s="3">
        <f t="shared" si="60"/>
        <v>1</v>
      </c>
      <c r="M427" s="3">
        <f t="shared" si="61"/>
        <v>0</v>
      </c>
      <c r="N427" s="3" t="str">
        <f t="shared" si="68"/>
        <v>01</v>
      </c>
      <c r="O427" s="14" t="str">
        <f t="shared" si="68"/>
        <v>00</v>
      </c>
    </row>
    <row r="428" spans="1:23" hidden="1">
      <c r="J428" s="1" t="str">
        <f t="shared" si="58"/>
        <v>0</v>
      </c>
      <c r="K428" s="3">
        <f t="shared" si="59"/>
        <v>-100</v>
      </c>
      <c r="L428" s="3">
        <f t="shared" si="60"/>
        <v>1</v>
      </c>
      <c r="M428" s="3">
        <f t="shared" si="61"/>
        <v>0</v>
      </c>
      <c r="N428" s="3" t="str">
        <f t="shared" si="68"/>
        <v>01</v>
      </c>
      <c r="O428" s="14" t="str">
        <f t="shared" si="68"/>
        <v>00</v>
      </c>
    </row>
    <row r="429" spans="1:23" s="10" customFormat="1" hidden="1">
      <c r="A429" s="3"/>
      <c r="B429" s="1"/>
      <c r="C429" s="1"/>
      <c r="D429" s="1"/>
      <c r="E429" s="1"/>
      <c r="F429" s="1"/>
      <c r="G429" s="1"/>
      <c r="H429" s="2"/>
      <c r="I429" s="36"/>
      <c r="J429" s="1" t="str">
        <f t="shared" si="58"/>
        <v>0</v>
      </c>
      <c r="K429" s="3">
        <f t="shared" si="59"/>
        <v>-100</v>
      </c>
      <c r="L429" s="3">
        <f t="shared" si="60"/>
        <v>1</v>
      </c>
      <c r="M429" s="3">
        <f t="shared" si="61"/>
        <v>0</v>
      </c>
      <c r="N429" s="3" t="str">
        <f t="shared" si="68"/>
        <v>01</v>
      </c>
      <c r="O429" s="14" t="str">
        <f t="shared" si="68"/>
        <v>00</v>
      </c>
      <c r="P429" s="4"/>
      <c r="Q429" s="5"/>
      <c r="R429" s="6"/>
      <c r="S429" s="5"/>
      <c r="T429" s="5"/>
      <c r="U429" s="3"/>
      <c r="V429" s="3"/>
      <c r="W429" s="3"/>
    </row>
    <row r="430" spans="1:23" s="10" customFormat="1" hidden="1">
      <c r="A430" s="3"/>
      <c r="B430" s="1"/>
      <c r="C430" s="1"/>
      <c r="D430" s="1"/>
      <c r="E430" s="1"/>
      <c r="F430" s="1"/>
      <c r="G430" s="1"/>
      <c r="H430" s="2"/>
      <c r="I430" s="36"/>
      <c r="J430" s="1" t="str">
        <f t="shared" si="58"/>
        <v>0</v>
      </c>
      <c r="K430" s="3">
        <f t="shared" si="59"/>
        <v>-100</v>
      </c>
      <c r="L430" s="3">
        <f t="shared" si="60"/>
        <v>1</v>
      </c>
      <c r="M430" s="3">
        <f t="shared" si="61"/>
        <v>0</v>
      </c>
      <c r="N430" s="3" t="str">
        <f t="shared" si="68"/>
        <v>01</v>
      </c>
      <c r="O430" s="14" t="str">
        <f t="shared" si="68"/>
        <v>00</v>
      </c>
      <c r="P430" s="4"/>
      <c r="Q430" s="5"/>
      <c r="R430" s="6"/>
      <c r="S430" s="5"/>
      <c r="T430" s="5"/>
      <c r="U430" s="3"/>
      <c r="V430" s="3"/>
      <c r="W430" s="3"/>
    </row>
    <row r="431" spans="1:23" s="10" customFormat="1" hidden="1">
      <c r="A431" s="3"/>
      <c r="B431" s="1"/>
      <c r="C431" s="1"/>
      <c r="D431" s="1"/>
      <c r="E431" s="1"/>
      <c r="F431" s="1"/>
      <c r="G431" s="1"/>
      <c r="H431" s="2"/>
      <c r="I431" s="36"/>
      <c r="J431" s="1" t="str">
        <f t="shared" si="58"/>
        <v>0</v>
      </c>
      <c r="K431" s="3">
        <f t="shared" si="59"/>
        <v>-100</v>
      </c>
      <c r="L431" s="3">
        <f t="shared" si="60"/>
        <v>1</v>
      </c>
      <c r="M431" s="3">
        <f t="shared" si="61"/>
        <v>0</v>
      </c>
      <c r="N431" s="3" t="str">
        <f t="shared" si="68"/>
        <v>01</v>
      </c>
      <c r="O431" s="14" t="str">
        <f t="shared" si="68"/>
        <v>00</v>
      </c>
      <c r="P431" s="4"/>
      <c r="Q431" s="5"/>
      <c r="R431" s="6"/>
      <c r="S431" s="5"/>
      <c r="T431" s="5"/>
      <c r="U431" s="3"/>
      <c r="V431" s="3"/>
      <c r="W431" s="3"/>
    </row>
    <row r="432" spans="1:23" s="10" customFormat="1" hidden="1">
      <c r="A432" s="3"/>
      <c r="B432" s="1"/>
      <c r="C432" s="1"/>
      <c r="D432" s="1"/>
      <c r="E432" s="1"/>
      <c r="F432" s="1"/>
      <c r="G432" s="52"/>
      <c r="H432" s="9"/>
      <c r="I432" s="36"/>
      <c r="J432" s="1" t="str">
        <f t="shared" si="58"/>
        <v>0</v>
      </c>
      <c r="K432" s="3">
        <f t="shared" si="59"/>
        <v>-100</v>
      </c>
      <c r="L432" s="3">
        <f t="shared" si="60"/>
        <v>1</v>
      </c>
      <c r="M432" s="3">
        <f t="shared" si="61"/>
        <v>0</v>
      </c>
      <c r="N432" s="3" t="str">
        <f t="shared" si="68"/>
        <v>01</v>
      </c>
      <c r="O432" s="14" t="str">
        <f t="shared" si="68"/>
        <v>00</v>
      </c>
      <c r="P432" s="11"/>
      <c r="Q432" s="12"/>
      <c r="R432" s="13"/>
      <c r="S432" s="12"/>
      <c r="T432" s="12"/>
    </row>
    <row r="433" spans="1:22" s="10" customFormat="1" hidden="1">
      <c r="A433" s="3"/>
      <c r="B433" s="1"/>
      <c r="C433" s="1"/>
      <c r="D433" s="1"/>
      <c r="E433" s="1"/>
      <c r="F433" s="1"/>
      <c r="G433" s="52"/>
      <c r="H433" s="9"/>
      <c r="I433" s="36"/>
      <c r="J433" s="1" t="str">
        <f t="shared" si="58"/>
        <v>0</v>
      </c>
      <c r="K433" s="3">
        <f t="shared" si="59"/>
        <v>-100</v>
      </c>
      <c r="L433" s="3">
        <f t="shared" si="60"/>
        <v>1</v>
      </c>
      <c r="M433" s="3">
        <f t="shared" si="61"/>
        <v>0</v>
      </c>
      <c r="N433" s="3" t="str">
        <f t="shared" si="68"/>
        <v>01</v>
      </c>
      <c r="O433" s="14" t="str">
        <f t="shared" si="68"/>
        <v>00</v>
      </c>
      <c r="P433" s="11"/>
      <c r="Q433" s="12"/>
      <c r="R433" s="13"/>
      <c r="S433" s="12"/>
      <c r="T433" s="12"/>
    </row>
    <row r="434" spans="1:22" s="10" customFormat="1" hidden="1">
      <c r="A434" s="3"/>
      <c r="B434" s="1"/>
      <c r="C434" s="1"/>
      <c r="D434" s="1"/>
      <c r="E434" s="1"/>
      <c r="F434" s="1"/>
      <c r="G434" s="52"/>
      <c r="H434" s="9"/>
      <c r="I434" s="36"/>
      <c r="J434" s="1" t="str">
        <f t="shared" si="58"/>
        <v>0</v>
      </c>
      <c r="K434" s="3">
        <f t="shared" si="59"/>
        <v>-100</v>
      </c>
      <c r="L434" s="3">
        <f t="shared" si="60"/>
        <v>1</v>
      </c>
      <c r="M434" s="3">
        <f t="shared" si="61"/>
        <v>0</v>
      </c>
      <c r="N434" s="3" t="str">
        <f t="shared" si="68"/>
        <v>01</v>
      </c>
      <c r="O434" s="14" t="str">
        <f t="shared" si="68"/>
        <v>00</v>
      </c>
      <c r="P434" s="11"/>
      <c r="Q434" s="12"/>
      <c r="R434" s="13"/>
      <c r="S434" s="12"/>
      <c r="T434" s="12"/>
    </row>
    <row r="435" spans="1:22" s="10" customFormat="1" hidden="1">
      <c r="A435" s="3"/>
      <c r="B435" s="1"/>
      <c r="C435" s="1"/>
      <c r="D435" s="1"/>
      <c r="E435" s="1"/>
      <c r="F435" s="1"/>
      <c r="G435" s="52"/>
      <c r="H435" s="9"/>
      <c r="I435" s="36"/>
      <c r="J435" s="1" t="str">
        <f t="shared" si="58"/>
        <v>0</v>
      </c>
      <c r="K435" s="3">
        <f t="shared" si="59"/>
        <v>-100</v>
      </c>
      <c r="L435" s="3">
        <f t="shared" si="60"/>
        <v>1</v>
      </c>
      <c r="M435" s="3">
        <f t="shared" si="61"/>
        <v>0</v>
      </c>
      <c r="N435" s="3" t="str">
        <f t="shared" si="68"/>
        <v>01</v>
      </c>
      <c r="O435" s="14" t="str">
        <f t="shared" si="68"/>
        <v>00</v>
      </c>
      <c r="P435" s="11"/>
      <c r="Q435" s="12"/>
      <c r="R435" s="13"/>
      <c r="S435" s="12"/>
      <c r="T435" s="12"/>
    </row>
    <row r="436" spans="1:22" s="10" customFormat="1" hidden="1">
      <c r="A436" s="3"/>
      <c r="B436" s="1"/>
      <c r="C436" s="1"/>
      <c r="D436" s="1"/>
      <c r="E436" s="1"/>
      <c r="F436" s="1"/>
      <c r="G436" s="52"/>
      <c r="H436" s="9"/>
      <c r="I436" s="36"/>
      <c r="J436" s="1" t="str">
        <f t="shared" si="58"/>
        <v>0</v>
      </c>
      <c r="K436" s="3">
        <f t="shared" si="59"/>
        <v>-100</v>
      </c>
      <c r="L436" s="3">
        <f t="shared" si="60"/>
        <v>1</v>
      </c>
      <c r="M436" s="3">
        <f t="shared" si="61"/>
        <v>0</v>
      </c>
      <c r="N436" s="3" t="str">
        <f t="shared" si="68"/>
        <v>01</v>
      </c>
      <c r="O436" s="14" t="str">
        <f t="shared" si="68"/>
        <v>00</v>
      </c>
      <c r="P436" s="11"/>
      <c r="Q436" s="12"/>
      <c r="R436" s="13"/>
      <c r="S436" s="12"/>
      <c r="T436" s="12"/>
    </row>
    <row r="437" spans="1:22" s="10" customFormat="1" hidden="1">
      <c r="A437" s="3"/>
      <c r="B437" s="1"/>
      <c r="C437" s="1"/>
      <c r="D437" s="1"/>
      <c r="E437" s="1"/>
      <c r="F437" s="1"/>
      <c r="G437" s="52"/>
      <c r="H437" s="9"/>
      <c r="I437" s="36"/>
      <c r="J437" s="1" t="str">
        <f t="shared" si="58"/>
        <v>0</v>
      </c>
      <c r="K437" s="3">
        <f t="shared" si="59"/>
        <v>-100</v>
      </c>
      <c r="L437" s="3">
        <f t="shared" si="60"/>
        <v>1</v>
      </c>
      <c r="M437" s="3">
        <f t="shared" si="61"/>
        <v>0</v>
      </c>
      <c r="N437" s="3" t="str">
        <f t="shared" si="68"/>
        <v>01</v>
      </c>
      <c r="O437" s="14" t="str">
        <f t="shared" si="68"/>
        <v>00</v>
      </c>
      <c r="P437" s="11"/>
      <c r="Q437" s="12"/>
      <c r="R437" s="13"/>
      <c r="S437" s="12"/>
      <c r="T437" s="12"/>
    </row>
    <row r="438" spans="1:22" s="10" customFormat="1" hidden="1">
      <c r="A438" s="3"/>
      <c r="B438" s="1"/>
      <c r="C438" s="1"/>
      <c r="D438" s="1"/>
      <c r="E438" s="1"/>
      <c r="F438" s="1"/>
      <c r="G438" s="52"/>
      <c r="H438" s="9"/>
      <c r="I438" s="36"/>
      <c r="J438" s="1" t="str">
        <f t="shared" si="58"/>
        <v>0</v>
      </c>
      <c r="K438" s="3">
        <f t="shared" si="59"/>
        <v>-100</v>
      </c>
      <c r="L438" s="3">
        <f t="shared" si="60"/>
        <v>1</v>
      </c>
      <c r="M438" s="3">
        <f t="shared" si="61"/>
        <v>0</v>
      </c>
      <c r="N438" s="3" t="str">
        <f t="shared" si="68"/>
        <v>01</v>
      </c>
      <c r="O438" s="14" t="str">
        <f t="shared" si="68"/>
        <v>00</v>
      </c>
      <c r="P438" s="11"/>
      <c r="Q438" s="12"/>
      <c r="R438" s="13"/>
      <c r="S438" s="12">
        <v>1409.56</v>
      </c>
      <c r="T438" s="12"/>
    </row>
    <row r="439" spans="1:22" s="10" customFormat="1" hidden="1">
      <c r="A439" s="3"/>
      <c r="B439" s="1"/>
      <c r="C439" s="1"/>
      <c r="D439" s="1"/>
      <c r="E439" s="1"/>
      <c r="F439" s="1"/>
      <c r="G439" s="52"/>
      <c r="H439" s="9"/>
      <c r="I439" s="36"/>
      <c r="J439" s="1" t="str">
        <f t="shared" si="58"/>
        <v>0</v>
      </c>
      <c r="K439" s="3">
        <f t="shared" si="59"/>
        <v>-100</v>
      </c>
      <c r="L439" s="3">
        <f t="shared" si="60"/>
        <v>1</v>
      </c>
      <c r="M439" s="3">
        <f t="shared" si="61"/>
        <v>0</v>
      </c>
      <c r="N439" s="3" t="str">
        <f t="shared" si="68"/>
        <v>01</v>
      </c>
      <c r="O439" s="14" t="str">
        <f t="shared" si="68"/>
        <v>00</v>
      </c>
      <c r="P439" s="11"/>
      <c r="Q439" s="12"/>
      <c r="R439" s="13"/>
      <c r="S439" s="12"/>
      <c r="T439" s="12"/>
    </row>
    <row r="440" spans="1:22" s="10" customFormat="1" hidden="1">
      <c r="A440" s="3"/>
      <c r="B440" s="1"/>
      <c r="C440" s="1"/>
      <c r="D440" s="1"/>
      <c r="E440" s="1"/>
      <c r="F440" s="1"/>
      <c r="G440" s="52"/>
      <c r="H440" s="9"/>
      <c r="I440" s="36"/>
      <c r="J440" s="1"/>
      <c r="K440" s="3"/>
      <c r="L440" s="3"/>
      <c r="M440" s="3"/>
      <c r="N440" s="3"/>
      <c r="O440" s="14"/>
      <c r="P440" s="11"/>
      <c r="Q440" s="12"/>
      <c r="R440" s="13"/>
      <c r="S440" s="12"/>
      <c r="T440" s="12"/>
    </row>
    <row r="441" spans="1:22" s="10" customFormat="1" hidden="1">
      <c r="A441" s="3"/>
      <c r="B441" s="1"/>
      <c r="C441" s="1"/>
      <c r="D441" s="1"/>
      <c r="E441" s="1"/>
      <c r="F441" s="1"/>
      <c r="G441" s="52"/>
      <c r="H441" s="9"/>
      <c r="I441" s="36"/>
      <c r="J441" s="1" t="str">
        <f t="shared" ref="J441:J464" si="74">+IF(I441&lt;10,_xlfn.CONCAT("0",I441),I441)</f>
        <v>0</v>
      </c>
      <c r="K441" s="3">
        <f t="shared" ref="K441:K464" si="75">+YEAR(H441)-2000</f>
        <v>-100</v>
      </c>
      <c r="L441" s="3">
        <f t="shared" ref="L441:L464" si="76">+MONTH(H441)</f>
        <v>1</v>
      </c>
      <c r="M441" s="3">
        <f t="shared" ref="M441:M464" si="77">+DAY(H441)</f>
        <v>0</v>
      </c>
      <c r="N441" s="3" t="str">
        <f t="shared" ref="N441:O464" si="78">+IF(L441&lt;10,_xlfn.CONCAT("0",L441),L441)</f>
        <v>01</v>
      </c>
      <c r="O441" s="14" t="str">
        <f t="shared" si="78"/>
        <v>00</v>
      </c>
      <c r="P441" s="11"/>
      <c r="Q441" s="12"/>
      <c r="R441" s="13"/>
      <c r="S441" s="12"/>
      <c r="T441" s="12"/>
    </row>
    <row r="442" spans="1:22" s="10" customFormat="1">
      <c r="A442" s="3">
        <v>435</v>
      </c>
      <c r="B442" s="1">
        <f>IF(G442="-",0,IF(G441=G442,1,0))</f>
        <v>0</v>
      </c>
      <c r="C442" s="1">
        <f>+IF(G442="-",0,IF(I442=I441+1,0,(IF(I442=1,0,1))))</f>
        <v>1</v>
      </c>
      <c r="D442" s="1">
        <f t="shared" ref="D442" si="79">+IF(AND(P442="",Q442=""),1,0)</f>
        <v>0</v>
      </c>
      <c r="E442" s="1">
        <f t="shared" ref="E442:F442" si="80">IF(U442="",1,0)</f>
        <v>0</v>
      </c>
      <c r="F442" s="1">
        <f t="shared" si="80"/>
        <v>0</v>
      </c>
      <c r="G442" s="52" t="str">
        <f t="shared" ref="G442" si="81">IF(H442=0,"-",_xlfn.CONCAT(K442,N442,O442,J442))</f>
        <v>24050902</v>
      </c>
      <c r="H442" s="9">
        <v>45421</v>
      </c>
      <c r="I442" s="36">
        <v>2</v>
      </c>
      <c r="J442" s="1" t="str">
        <f t="shared" si="74"/>
        <v>02</v>
      </c>
      <c r="K442" s="3">
        <f t="shared" si="75"/>
        <v>24</v>
      </c>
      <c r="L442" s="3">
        <f t="shared" si="76"/>
        <v>5</v>
      </c>
      <c r="M442" s="3">
        <f t="shared" si="77"/>
        <v>9</v>
      </c>
      <c r="N442" s="3" t="str">
        <f t="shared" si="78"/>
        <v>05</v>
      </c>
      <c r="O442" s="14" t="str">
        <f t="shared" si="78"/>
        <v>09</v>
      </c>
      <c r="P442" s="11">
        <v>328433.93</v>
      </c>
      <c r="Q442" s="12"/>
      <c r="R442" s="13"/>
      <c r="S442" s="12"/>
      <c r="T442" s="12" t="s">
        <v>128</v>
      </c>
      <c r="U442" s="10" t="s">
        <v>2</v>
      </c>
      <c r="V442" s="10" t="s">
        <v>5</v>
      </c>
    </row>
    <row r="443" spans="1:22" s="10" customFormat="1" hidden="1">
      <c r="A443" s="3"/>
      <c r="B443" s="1"/>
      <c r="C443" s="1"/>
      <c r="D443" s="1"/>
      <c r="E443" s="1"/>
      <c r="F443" s="1"/>
      <c r="G443" s="52"/>
      <c r="H443" s="9"/>
      <c r="I443" s="36"/>
      <c r="J443" s="1" t="str">
        <f t="shared" si="74"/>
        <v>0</v>
      </c>
      <c r="K443" s="3">
        <f t="shared" si="75"/>
        <v>-100</v>
      </c>
      <c r="L443" s="3">
        <f t="shared" si="76"/>
        <v>1</v>
      </c>
      <c r="M443" s="3">
        <f t="shared" si="77"/>
        <v>0</v>
      </c>
      <c r="N443" s="3" t="str">
        <f t="shared" si="78"/>
        <v>01</v>
      </c>
      <c r="O443" s="14" t="str">
        <f t="shared" si="78"/>
        <v>00</v>
      </c>
      <c r="P443" s="11"/>
      <c r="Q443" s="12"/>
      <c r="R443" s="13"/>
      <c r="S443" s="12"/>
      <c r="T443" s="12"/>
    </row>
    <row r="444" spans="1:22" s="10" customFormat="1" hidden="1">
      <c r="A444" s="3"/>
      <c r="B444" s="1"/>
      <c r="C444" s="1"/>
      <c r="D444" s="1"/>
      <c r="E444" s="1"/>
      <c r="F444" s="1"/>
      <c r="G444" s="52"/>
      <c r="H444" s="9"/>
      <c r="I444" s="36"/>
      <c r="J444" s="1" t="str">
        <f t="shared" si="74"/>
        <v>0</v>
      </c>
      <c r="K444" s="3">
        <f t="shared" si="75"/>
        <v>-100</v>
      </c>
      <c r="L444" s="3">
        <f t="shared" si="76"/>
        <v>1</v>
      </c>
      <c r="M444" s="3">
        <f t="shared" si="77"/>
        <v>0</v>
      </c>
      <c r="N444" s="3" t="str">
        <f t="shared" si="78"/>
        <v>01</v>
      </c>
      <c r="O444" s="14" t="str">
        <f t="shared" si="78"/>
        <v>00</v>
      </c>
      <c r="P444" s="11"/>
      <c r="Q444" s="12"/>
      <c r="R444" s="13"/>
      <c r="S444" s="12"/>
      <c r="T444" s="12"/>
    </row>
    <row r="445" spans="1:22" s="10" customFormat="1" hidden="1">
      <c r="A445" s="3"/>
      <c r="B445" s="1"/>
      <c r="C445" s="1"/>
      <c r="D445" s="1"/>
      <c r="E445" s="1"/>
      <c r="F445" s="1"/>
      <c r="G445" s="52"/>
      <c r="H445" s="9"/>
      <c r="I445" s="36"/>
      <c r="J445" s="1" t="str">
        <f t="shared" si="74"/>
        <v>0</v>
      </c>
      <c r="K445" s="3">
        <f t="shared" si="75"/>
        <v>-100</v>
      </c>
      <c r="L445" s="3">
        <f t="shared" si="76"/>
        <v>1</v>
      </c>
      <c r="M445" s="3">
        <f t="shared" si="77"/>
        <v>0</v>
      </c>
      <c r="N445" s="3" t="str">
        <f t="shared" si="78"/>
        <v>01</v>
      </c>
      <c r="O445" s="14" t="str">
        <f t="shared" si="78"/>
        <v>00</v>
      </c>
      <c r="P445" s="11"/>
      <c r="Q445" s="12"/>
      <c r="R445" s="13"/>
      <c r="S445" s="12"/>
      <c r="T445" s="12"/>
    </row>
    <row r="446" spans="1:22" s="10" customFormat="1" hidden="1">
      <c r="A446" s="3"/>
      <c r="B446" s="1"/>
      <c r="C446" s="1"/>
      <c r="D446" s="1"/>
      <c r="E446" s="1"/>
      <c r="F446" s="1"/>
      <c r="G446" s="52"/>
      <c r="H446" s="9"/>
      <c r="I446" s="36"/>
      <c r="J446" s="1" t="str">
        <f t="shared" si="74"/>
        <v>0</v>
      </c>
      <c r="K446" s="3">
        <f t="shared" si="75"/>
        <v>-100</v>
      </c>
      <c r="L446" s="3">
        <f t="shared" si="76"/>
        <v>1</v>
      </c>
      <c r="M446" s="3">
        <f t="shared" si="77"/>
        <v>0</v>
      </c>
      <c r="N446" s="3" t="str">
        <f t="shared" si="78"/>
        <v>01</v>
      </c>
      <c r="O446" s="14" t="str">
        <f t="shared" si="78"/>
        <v>00</v>
      </c>
      <c r="P446" s="11"/>
      <c r="Q446" s="12"/>
      <c r="R446" s="13"/>
      <c r="S446" s="12"/>
      <c r="T446" s="12"/>
    </row>
    <row r="447" spans="1:22" s="10" customFormat="1" hidden="1">
      <c r="A447" s="3"/>
      <c r="B447" s="1"/>
      <c r="C447" s="1"/>
      <c r="D447" s="1"/>
      <c r="E447" s="1"/>
      <c r="F447" s="1"/>
      <c r="G447" s="52"/>
      <c r="H447" s="9"/>
      <c r="I447" s="36"/>
      <c r="J447" s="1" t="str">
        <f t="shared" si="74"/>
        <v>0</v>
      </c>
      <c r="K447" s="3">
        <f t="shared" si="75"/>
        <v>-100</v>
      </c>
      <c r="L447" s="3">
        <f t="shared" si="76"/>
        <v>1</v>
      </c>
      <c r="M447" s="3">
        <f t="shared" si="77"/>
        <v>0</v>
      </c>
      <c r="N447" s="3" t="str">
        <f t="shared" si="78"/>
        <v>01</v>
      </c>
      <c r="O447" s="14" t="str">
        <f t="shared" si="78"/>
        <v>00</v>
      </c>
      <c r="P447" s="11"/>
      <c r="Q447" s="12"/>
      <c r="R447" s="13"/>
      <c r="S447" s="12"/>
      <c r="T447" s="12"/>
    </row>
    <row r="448" spans="1:22" s="10" customFormat="1" hidden="1">
      <c r="A448" s="3"/>
      <c r="B448" s="1"/>
      <c r="C448" s="1"/>
      <c r="D448" s="1"/>
      <c r="E448" s="1"/>
      <c r="F448" s="1"/>
      <c r="G448" s="52"/>
      <c r="H448" s="9"/>
      <c r="I448" s="36"/>
      <c r="J448" s="1" t="str">
        <f t="shared" si="74"/>
        <v>0</v>
      </c>
      <c r="K448" s="3">
        <f t="shared" si="75"/>
        <v>-100</v>
      </c>
      <c r="L448" s="3">
        <f t="shared" si="76"/>
        <v>1</v>
      </c>
      <c r="M448" s="3">
        <f t="shared" si="77"/>
        <v>0</v>
      </c>
      <c r="N448" s="3" t="str">
        <f t="shared" si="78"/>
        <v>01</v>
      </c>
      <c r="O448" s="14" t="str">
        <f t="shared" si="78"/>
        <v>00</v>
      </c>
      <c r="P448" s="11"/>
      <c r="Q448" s="12"/>
      <c r="R448" s="13"/>
      <c r="S448" s="12"/>
      <c r="T448" s="12"/>
    </row>
    <row r="449" spans="1:23" s="10" customFormat="1" hidden="1">
      <c r="A449" s="3"/>
      <c r="B449" s="1"/>
      <c r="C449" s="1"/>
      <c r="D449" s="1"/>
      <c r="E449" s="1"/>
      <c r="F449" s="1"/>
      <c r="G449" s="52"/>
      <c r="H449" s="9"/>
      <c r="I449" s="36"/>
      <c r="J449" s="1" t="str">
        <f t="shared" si="74"/>
        <v>0</v>
      </c>
      <c r="K449" s="3">
        <f t="shared" si="75"/>
        <v>-100</v>
      </c>
      <c r="L449" s="3">
        <f t="shared" si="76"/>
        <v>1</v>
      </c>
      <c r="M449" s="3">
        <f t="shared" si="77"/>
        <v>0</v>
      </c>
      <c r="N449" s="3" t="str">
        <f t="shared" si="78"/>
        <v>01</v>
      </c>
      <c r="O449" s="14" t="str">
        <f t="shared" si="78"/>
        <v>00</v>
      </c>
      <c r="P449" s="11"/>
      <c r="Q449" s="12"/>
      <c r="R449" s="13"/>
      <c r="S449" s="12"/>
      <c r="T449" s="12"/>
    </row>
    <row r="450" spans="1:23" s="10" customFormat="1" hidden="1">
      <c r="A450" s="3"/>
      <c r="B450" s="1"/>
      <c r="C450" s="1"/>
      <c r="D450" s="1"/>
      <c r="E450" s="1"/>
      <c r="F450" s="1"/>
      <c r="G450" s="52"/>
      <c r="H450" s="9"/>
      <c r="I450" s="36"/>
      <c r="J450" s="1" t="str">
        <f t="shared" si="74"/>
        <v>0</v>
      </c>
      <c r="K450" s="3">
        <f t="shared" si="75"/>
        <v>-100</v>
      </c>
      <c r="L450" s="3">
        <f t="shared" si="76"/>
        <v>1</v>
      </c>
      <c r="M450" s="3">
        <f t="shared" si="77"/>
        <v>0</v>
      </c>
      <c r="N450" s="3" t="str">
        <f t="shared" si="78"/>
        <v>01</v>
      </c>
      <c r="O450" s="14" t="str">
        <f t="shared" si="78"/>
        <v>00</v>
      </c>
      <c r="P450" s="11"/>
      <c r="Q450" s="12"/>
      <c r="R450" s="13"/>
      <c r="S450" s="12"/>
      <c r="T450" s="12"/>
    </row>
    <row r="451" spans="1:23" s="10" customFormat="1" hidden="1">
      <c r="A451" s="3"/>
      <c r="B451" s="1"/>
      <c r="C451" s="1"/>
      <c r="D451" s="1"/>
      <c r="E451" s="1"/>
      <c r="F451" s="1"/>
      <c r="G451" s="52"/>
      <c r="H451" s="9"/>
      <c r="I451" s="36"/>
      <c r="J451" s="1" t="str">
        <f t="shared" si="74"/>
        <v>0</v>
      </c>
      <c r="K451" s="3">
        <f t="shared" si="75"/>
        <v>-100</v>
      </c>
      <c r="L451" s="3">
        <f t="shared" si="76"/>
        <v>1</v>
      </c>
      <c r="M451" s="3">
        <f t="shared" si="77"/>
        <v>0</v>
      </c>
      <c r="N451" s="3" t="str">
        <f t="shared" si="78"/>
        <v>01</v>
      </c>
      <c r="O451" s="14" t="str">
        <f t="shared" si="78"/>
        <v>00</v>
      </c>
      <c r="P451" s="11"/>
      <c r="Q451" s="12"/>
      <c r="R451" s="13"/>
      <c r="S451" s="12"/>
      <c r="T451" s="12"/>
    </row>
    <row r="452" spans="1:23" s="10" customFormat="1" hidden="1">
      <c r="A452" s="3"/>
      <c r="B452" s="1"/>
      <c r="C452" s="1"/>
      <c r="D452" s="1"/>
      <c r="E452" s="1"/>
      <c r="F452" s="1"/>
      <c r="G452" s="52"/>
      <c r="H452" s="9"/>
      <c r="I452" s="36"/>
      <c r="J452" s="1" t="str">
        <f t="shared" si="74"/>
        <v>0</v>
      </c>
      <c r="K452" s="3">
        <f t="shared" si="75"/>
        <v>-100</v>
      </c>
      <c r="L452" s="3">
        <f t="shared" si="76"/>
        <v>1</v>
      </c>
      <c r="M452" s="3">
        <f t="shared" si="77"/>
        <v>0</v>
      </c>
      <c r="N452" s="3" t="str">
        <f t="shared" si="78"/>
        <v>01</v>
      </c>
      <c r="O452" s="14" t="str">
        <f t="shared" si="78"/>
        <v>00</v>
      </c>
      <c r="P452" s="11"/>
      <c r="Q452" s="12"/>
      <c r="R452" s="13"/>
      <c r="S452" s="12"/>
      <c r="T452" s="12"/>
    </row>
    <row r="453" spans="1:23" s="10" customFormat="1" hidden="1">
      <c r="A453" s="3"/>
      <c r="B453" s="1"/>
      <c r="C453" s="1"/>
      <c r="D453" s="1"/>
      <c r="E453" s="1"/>
      <c r="F453" s="1"/>
      <c r="G453" s="52"/>
      <c r="H453" s="9"/>
      <c r="I453" s="36"/>
      <c r="J453" s="1" t="str">
        <f t="shared" si="74"/>
        <v>0</v>
      </c>
      <c r="K453" s="3">
        <f t="shared" si="75"/>
        <v>-100</v>
      </c>
      <c r="L453" s="3">
        <f t="shared" si="76"/>
        <v>1</v>
      </c>
      <c r="M453" s="3">
        <f t="shared" si="77"/>
        <v>0</v>
      </c>
      <c r="N453" s="3" t="str">
        <f t="shared" si="78"/>
        <v>01</v>
      </c>
      <c r="O453" s="14" t="str">
        <f t="shared" si="78"/>
        <v>00</v>
      </c>
      <c r="P453" s="11"/>
      <c r="Q453" s="12"/>
      <c r="R453" s="13"/>
      <c r="S453" s="12"/>
      <c r="T453" s="12"/>
    </row>
    <row r="454" spans="1:23" s="10" customFormat="1" hidden="1">
      <c r="A454" s="3"/>
      <c r="B454" s="1"/>
      <c r="C454" s="1"/>
      <c r="D454" s="1"/>
      <c r="E454" s="1"/>
      <c r="F454" s="1"/>
      <c r="G454" s="52"/>
      <c r="H454" s="9"/>
      <c r="I454" s="36"/>
      <c r="J454" s="1" t="str">
        <f t="shared" si="74"/>
        <v>0</v>
      </c>
      <c r="K454" s="3">
        <f t="shared" si="75"/>
        <v>-100</v>
      </c>
      <c r="L454" s="3">
        <f t="shared" si="76"/>
        <v>1</v>
      </c>
      <c r="M454" s="3">
        <f t="shared" si="77"/>
        <v>0</v>
      </c>
      <c r="N454" s="3" t="str">
        <f t="shared" si="78"/>
        <v>01</v>
      </c>
      <c r="O454" s="14" t="str">
        <f t="shared" si="78"/>
        <v>00</v>
      </c>
      <c r="P454" s="11"/>
      <c r="Q454" s="12"/>
      <c r="R454" s="13"/>
      <c r="S454" s="12"/>
      <c r="T454" s="12"/>
    </row>
    <row r="455" spans="1:23" s="10" customFormat="1" hidden="1">
      <c r="A455" s="3"/>
      <c r="B455" s="1"/>
      <c r="C455" s="1"/>
      <c r="D455" s="1"/>
      <c r="E455" s="1"/>
      <c r="F455" s="1"/>
      <c r="G455" s="52"/>
      <c r="H455" s="9"/>
      <c r="I455" s="36"/>
      <c r="J455" s="1" t="str">
        <f t="shared" si="74"/>
        <v>0</v>
      </c>
      <c r="K455" s="3">
        <f t="shared" si="75"/>
        <v>-100</v>
      </c>
      <c r="L455" s="3">
        <f t="shared" si="76"/>
        <v>1</v>
      </c>
      <c r="M455" s="3">
        <f t="shared" si="77"/>
        <v>0</v>
      </c>
      <c r="N455" s="3" t="str">
        <f t="shared" si="78"/>
        <v>01</v>
      </c>
      <c r="O455" s="14" t="str">
        <f t="shared" si="78"/>
        <v>00</v>
      </c>
      <c r="P455" s="11"/>
      <c r="Q455" s="12"/>
      <c r="R455" s="13"/>
      <c r="S455" s="12"/>
      <c r="T455" s="12"/>
    </row>
    <row r="456" spans="1:23" s="10" customFormat="1" hidden="1">
      <c r="A456" s="3"/>
      <c r="B456" s="1"/>
      <c r="C456" s="1"/>
      <c r="D456" s="1"/>
      <c r="E456" s="1"/>
      <c r="F456" s="1"/>
      <c r="G456" s="52"/>
      <c r="H456" s="9"/>
      <c r="I456" s="36"/>
      <c r="J456" s="1" t="str">
        <f t="shared" si="74"/>
        <v>0</v>
      </c>
      <c r="K456" s="3">
        <f t="shared" si="75"/>
        <v>-100</v>
      </c>
      <c r="L456" s="3">
        <f t="shared" si="76"/>
        <v>1</v>
      </c>
      <c r="M456" s="3">
        <f t="shared" si="77"/>
        <v>0</v>
      </c>
      <c r="N456" s="3" t="str">
        <f t="shared" si="78"/>
        <v>01</v>
      </c>
      <c r="O456" s="14" t="str">
        <f t="shared" si="78"/>
        <v>00</v>
      </c>
      <c r="P456" s="11"/>
      <c r="Q456" s="12"/>
      <c r="R456" s="13"/>
      <c r="S456" s="12"/>
      <c r="T456" s="12"/>
    </row>
    <row r="457" spans="1:23" s="10" customFormat="1" hidden="1">
      <c r="A457" s="3"/>
      <c r="B457" s="1"/>
      <c r="C457" s="1"/>
      <c r="D457" s="1"/>
      <c r="E457" s="1"/>
      <c r="F457" s="1"/>
      <c r="G457" s="52"/>
      <c r="H457" s="9"/>
      <c r="I457" s="36"/>
      <c r="J457" s="1" t="str">
        <f t="shared" si="74"/>
        <v>0</v>
      </c>
      <c r="K457" s="3">
        <f t="shared" si="75"/>
        <v>-100</v>
      </c>
      <c r="L457" s="3">
        <f t="shared" si="76"/>
        <v>1</v>
      </c>
      <c r="M457" s="3">
        <f t="shared" si="77"/>
        <v>0</v>
      </c>
      <c r="N457" s="3" t="str">
        <f t="shared" si="78"/>
        <v>01</v>
      </c>
      <c r="O457" s="14" t="str">
        <f t="shared" si="78"/>
        <v>00</v>
      </c>
      <c r="P457" s="11"/>
      <c r="Q457" s="12"/>
      <c r="R457" s="13"/>
      <c r="S457" s="12"/>
      <c r="T457" s="12"/>
    </row>
    <row r="458" spans="1:23" s="10" customFormat="1" hidden="1">
      <c r="A458" s="3"/>
      <c r="B458" s="1"/>
      <c r="C458" s="1"/>
      <c r="D458" s="1"/>
      <c r="E458" s="1"/>
      <c r="F458" s="1"/>
      <c r="G458" s="52"/>
      <c r="H458" s="9"/>
      <c r="I458" s="36"/>
      <c r="J458" s="1" t="str">
        <f t="shared" si="74"/>
        <v>0</v>
      </c>
      <c r="K458" s="3">
        <f t="shared" si="75"/>
        <v>-100</v>
      </c>
      <c r="L458" s="3">
        <f t="shared" si="76"/>
        <v>1</v>
      </c>
      <c r="M458" s="3">
        <f t="shared" si="77"/>
        <v>0</v>
      </c>
      <c r="N458" s="3" t="str">
        <f t="shared" si="78"/>
        <v>01</v>
      </c>
      <c r="O458" s="14" t="str">
        <f t="shared" si="78"/>
        <v>00</v>
      </c>
      <c r="P458" s="11"/>
      <c r="Q458" s="12"/>
      <c r="R458" s="13"/>
      <c r="S458" s="12"/>
      <c r="T458" s="12"/>
    </row>
    <row r="459" spans="1:23" s="10" customFormat="1" hidden="1">
      <c r="A459" s="3"/>
      <c r="B459" s="1"/>
      <c r="C459" s="1"/>
      <c r="D459" s="1"/>
      <c r="E459" s="1"/>
      <c r="F459" s="1"/>
      <c r="G459" s="52"/>
      <c r="H459" s="9"/>
      <c r="I459" s="36"/>
      <c r="J459" s="1" t="str">
        <f t="shared" si="74"/>
        <v>0</v>
      </c>
      <c r="K459" s="3">
        <f t="shared" si="75"/>
        <v>-100</v>
      </c>
      <c r="L459" s="3">
        <f t="shared" si="76"/>
        <v>1</v>
      </c>
      <c r="M459" s="3">
        <f t="shared" si="77"/>
        <v>0</v>
      </c>
      <c r="N459" s="3" t="str">
        <f t="shared" si="78"/>
        <v>01</v>
      </c>
      <c r="O459" s="14" t="str">
        <f t="shared" si="78"/>
        <v>00</v>
      </c>
      <c r="P459" s="11"/>
      <c r="Q459" s="12"/>
      <c r="R459" s="13"/>
      <c r="S459" s="12"/>
      <c r="T459" s="12"/>
    </row>
    <row r="460" spans="1:23" s="10" customFormat="1" hidden="1">
      <c r="A460" s="3"/>
      <c r="B460" s="1"/>
      <c r="C460" s="1"/>
      <c r="D460" s="1"/>
      <c r="E460" s="1"/>
      <c r="F460" s="1"/>
      <c r="G460" s="52"/>
      <c r="H460" s="9"/>
      <c r="I460" s="36"/>
      <c r="J460" s="1" t="str">
        <f t="shared" si="74"/>
        <v>0</v>
      </c>
      <c r="K460" s="3">
        <f t="shared" si="75"/>
        <v>-100</v>
      </c>
      <c r="L460" s="3">
        <f t="shared" si="76"/>
        <v>1</v>
      </c>
      <c r="M460" s="3">
        <f t="shared" si="77"/>
        <v>0</v>
      </c>
      <c r="N460" s="3" t="str">
        <f t="shared" si="78"/>
        <v>01</v>
      </c>
      <c r="O460" s="14" t="str">
        <f t="shared" si="78"/>
        <v>00</v>
      </c>
      <c r="P460" s="11"/>
      <c r="Q460" s="12"/>
      <c r="R460" s="13"/>
      <c r="S460" s="12"/>
      <c r="T460" s="12"/>
    </row>
    <row r="461" spans="1:23" s="10" customFormat="1" hidden="1">
      <c r="A461" s="3"/>
      <c r="B461" s="1"/>
      <c r="C461" s="1"/>
      <c r="D461" s="1"/>
      <c r="E461" s="1"/>
      <c r="F461" s="1"/>
      <c r="G461" s="52"/>
      <c r="H461" s="9"/>
      <c r="I461" s="36"/>
      <c r="J461" s="1" t="str">
        <f t="shared" si="74"/>
        <v>0</v>
      </c>
      <c r="K461" s="3">
        <f t="shared" si="75"/>
        <v>-100</v>
      </c>
      <c r="L461" s="3">
        <f t="shared" si="76"/>
        <v>1</v>
      </c>
      <c r="M461" s="3">
        <f t="shared" si="77"/>
        <v>0</v>
      </c>
      <c r="N461" s="3" t="str">
        <f t="shared" si="78"/>
        <v>01</v>
      </c>
      <c r="O461" s="14" t="str">
        <f t="shared" si="78"/>
        <v>00</v>
      </c>
      <c r="P461" s="11"/>
      <c r="Q461" s="12"/>
      <c r="R461" s="13"/>
      <c r="S461" s="12"/>
      <c r="T461" s="12"/>
    </row>
    <row r="462" spans="1:23" s="10" customFormat="1" hidden="1">
      <c r="A462" s="3"/>
      <c r="B462" s="1"/>
      <c r="C462" s="1"/>
      <c r="D462" s="1"/>
      <c r="E462" s="1"/>
      <c r="F462" s="1"/>
      <c r="G462" s="52"/>
      <c r="H462" s="9"/>
      <c r="I462" s="36"/>
      <c r="J462" s="1" t="str">
        <f t="shared" si="74"/>
        <v>0</v>
      </c>
      <c r="K462" s="3">
        <f t="shared" si="75"/>
        <v>-100</v>
      </c>
      <c r="L462" s="3">
        <f t="shared" si="76"/>
        <v>1</v>
      </c>
      <c r="M462" s="3">
        <f t="shared" si="77"/>
        <v>0</v>
      </c>
      <c r="N462" s="3" t="str">
        <f t="shared" si="78"/>
        <v>01</v>
      </c>
      <c r="O462" s="14" t="str">
        <f t="shared" si="78"/>
        <v>00</v>
      </c>
      <c r="P462" s="11"/>
      <c r="Q462" s="12"/>
      <c r="R462" s="13"/>
      <c r="S462" s="12"/>
      <c r="T462" s="12"/>
    </row>
    <row r="463" spans="1:23" hidden="1">
      <c r="G463" s="52"/>
      <c r="H463" s="9"/>
      <c r="J463" s="1" t="str">
        <f t="shared" si="74"/>
        <v>0</v>
      </c>
      <c r="K463" s="3">
        <f t="shared" si="75"/>
        <v>-100</v>
      </c>
      <c r="L463" s="3">
        <f t="shared" si="76"/>
        <v>1</v>
      </c>
      <c r="M463" s="3">
        <f t="shared" si="77"/>
        <v>0</v>
      </c>
      <c r="N463" s="3" t="str">
        <f t="shared" si="78"/>
        <v>01</v>
      </c>
      <c r="O463" s="14" t="str">
        <f t="shared" si="78"/>
        <v>00</v>
      </c>
      <c r="P463" s="11"/>
      <c r="Q463" s="12"/>
      <c r="R463" s="13"/>
      <c r="S463" s="12"/>
      <c r="T463" s="12"/>
      <c r="U463" s="10"/>
      <c r="V463" s="10"/>
      <c r="W463" s="10"/>
    </row>
    <row r="464" spans="1:23" hidden="1">
      <c r="G464" s="52"/>
      <c r="H464" s="9"/>
      <c r="J464" s="1" t="str">
        <f t="shared" si="74"/>
        <v>0</v>
      </c>
      <c r="K464" s="3">
        <f t="shared" si="75"/>
        <v>-100</v>
      </c>
      <c r="L464" s="3">
        <f t="shared" si="76"/>
        <v>1</v>
      </c>
      <c r="M464" s="3">
        <f t="shared" si="77"/>
        <v>0</v>
      </c>
      <c r="N464" s="3" t="str">
        <f t="shared" si="78"/>
        <v>01</v>
      </c>
      <c r="O464" s="14" t="str">
        <f t="shared" si="78"/>
        <v>00</v>
      </c>
      <c r="P464" s="11"/>
      <c r="Q464" s="12"/>
      <c r="R464" s="13"/>
      <c r="S464" s="12"/>
      <c r="T464" s="12"/>
      <c r="U464" s="10"/>
      <c r="V464" s="10"/>
      <c r="W464" s="10"/>
    </row>
    <row r="465" spans="7:23" hidden="1">
      <c r="G465" s="52"/>
      <c r="H465" s="9"/>
      <c r="P465" s="11"/>
      <c r="Q465" s="12"/>
      <c r="R465" s="13"/>
      <c r="S465" s="12"/>
      <c r="T465" s="12"/>
      <c r="U465" s="10"/>
      <c r="V465" s="10"/>
      <c r="W465" s="10"/>
    </row>
    <row r="466" spans="7:23" hidden="1">
      <c r="J466" s="1" t="str">
        <f t="shared" ref="J466:J529" si="82">+IF(I466&lt;10,_xlfn.CONCAT("0",I466),I466)</f>
        <v>0</v>
      </c>
      <c r="K466" s="3">
        <f t="shared" ref="K466:K529" si="83">+YEAR(H466)-2000</f>
        <v>-100</v>
      </c>
      <c r="L466" s="3">
        <f t="shared" ref="L466:L529" si="84">+MONTH(H466)</f>
        <v>1</v>
      </c>
      <c r="M466" s="3">
        <f t="shared" ref="M466:M529" si="85">+DAY(H466)</f>
        <v>0</v>
      </c>
      <c r="N466" s="3" t="str">
        <f t="shared" ref="N466:O497" si="86">+IF(L466&lt;10,_xlfn.CONCAT("0",L466),L466)</f>
        <v>01</v>
      </c>
      <c r="O466" s="14" t="str">
        <f t="shared" si="86"/>
        <v>00</v>
      </c>
    </row>
    <row r="467" spans="7:23" hidden="1">
      <c r="J467" s="1" t="str">
        <f t="shared" si="82"/>
        <v>0</v>
      </c>
      <c r="K467" s="3">
        <f t="shared" si="83"/>
        <v>-100</v>
      </c>
      <c r="L467" s="3">
        <f t="shared" si="84"/>
        <v>1</v>
      </c>
      <c r="M467" s="3">
        <f t="shared" si="85"/>
        <v>0</v>
      </c>
      <c r="N467" s="3" t="str">
        <f t="shared" si="86"/>
        <v>01</v>
      </c>
      <c r="O467" s="14" t="str">
        <f t="shared" si="86"/>
        <v>00</v>
      </c>
    </row>
    <row r="468" spans="7:23" hidden="1">
      <c r="J468" s="1" t="str">
        <f t="shared" si="82"/>
        <v>0</v>
      </c>
      <c r="K468" s="3">
        <f t="shared" si="83"/>
        <v>-100</v>
      </c>
      <c r="L468" s="3">
        <f t="shared" si="84"/>
        <v>1</v>
      </c>
      <c r="M468" s="3">
        <f t="shared" si="85"/>
        <v>0</v>
      </c>
      <c r="N468" s="3" t="str">
        <f t="shared" si="86"/>
        <v>01</v>
      </c>
      <c r="O468" s="14" t="str">
        <f t="shared" si="86"/>
        <v>00</v>
      </c>
    </row>
    <row r="469" spans="7:23" hidden="1">
      <c r="J469" s="1" t="str">
        <f t="shared" si="82"/>
        <v>0</v>
      </c>
      <c r="K469" s="3">
        <f t="shared" si="83"/>
        <v>-100</v>
      </c>
      <c r="L469" s="3">
        <f t="shared" si="84"/>
        <v>1</v>
      </c>
      <c r="M469" s="3">
        <f t="shared" si="85"/>
        <v>0</v>
      </c>
      <c r="N469" s="3" t="str">
        <f t="shared" si="86"/>
        <v>01</v>
      </c>
      <c r="O469" s="14" t="str">
        <f t="shared" si="86"/>
        <v>00</v>
      </c>
    </row>
    <row r="470" spans="7:23" hidden="1">
      <c r="J470" s="1" t="str">
        <f t="shared" si="82"/>
        <v>0</v>
      </c>
      <c r="K470" s="3">
        <f t="shared" si="83"/>
        <v>-100</v>
      </c>
      <c r="L470" s="3">
        <f t="shared" si="84"/>
        <v>1</v>
      </c>
      <c r="M470" s="3">
        <f t="shared" si="85"/>
        <v>0</v>
      </c>
      <c r="N470" s="3" t="str">
        <f t="shared" si="86"/>
        <v>01</v>
      </c>
      <c r="O470" s="14" t="str">
        <f t="shared" si="86"/>
        <v>00</v>
      </c>
    </row>
    <row r="471" spans="7:23" hidden="1">
      <c r="J471" s="1" t="str">
        <f t="shared" si="82"/>
        <v>0</v>
      </c>
      <c r="K471" s="3">
        <f t="shared" si="83"/>
        <v>-100</v>
      </c>
      <c r="L471" s="3">
        <f t="shared" si="84"/>
        <v>1</v>
      </c>
      <c r="M471" s="3">
        <f t="shared" si="85"/>
        <v>0</v>
      </c>
      <c r="N471" s="3" t="str">
        <f t="shared" si="86"/>
        <v>01</v>
      </c>
      <c r="O471" s="14" t="str">
        <f t="shared" si="86"/>
        <v>00</v>
      </c>
    </row>
    <row r="472" spans="7:23" hidden="1">
      <c r="J472" s="1" t="str">
        <f t="shared" si="82"/>
        <v>0</v>
      </c>
      <c r="K472" s="3">
        <f t="shared" si="83"/>
        <v>-100</v>
      </c>
      <c r="L472" s="3">
        <f t="shared" si="84"/>
        <v>1</v>
      </c>
      <c r="M472" s="3">
        <f t="shared" si="85"/>
        <v>0</v>
      </c>
      <c r="N472" s="3" t="str">
        <f t="shared" si="86"/>
        <v>01</v>
      </c>
      <c r="O472" s="14" t="str">
        <f t="shared" si="86"/>
        <v>00</v>
      </c>
    </row>
    <row r="473" spans="7:23" hidden="1">
      <c r="J473" s="1" t="str">
        <f t="shared" si="82"/>
        <v>0</v>
      </c>
      <c r="K473" s="3">
        <f t="shared" si="83"/>
        <v>-100</v>
      </c>
      <c r="L473" s="3">
        <f t="shared" si="84"/>
        <v>1</v>
      </c>
      <c r="M473" s="3">
        <f t="shared" si="85"/>
        <v>0</v>
      </c>
      <c r="N473" s="3" t="str">
        <f t="shared" si="86"/>
        <v>01</v>
      </c>
      <c r="O473" s="14" t="str">
        <f t="shared" si="86"/>
        <v>00</v>
      </c>
    </row>
    <row r="474" spans="7:23" hidden="1">
      <c r="J474" s="1" t="str">
        <f t="shared" si="82"/>
        <v>0</v>
      </c>
      <c r="K474" s="3">
        <f t="shared" si="83"/>
        <v>-100</v>
      </c>
      <c r="L474" s="3">
        <f t="shared" si="84"/>
        <v>1</v>
      </c>
      <c r="M474" s="3">
        <f t="shared" si="85"/>
        <v>0</v>
      </c>
      <c r="N474" s="3" t="str">
        <f t="shared" si="86"/>
        <v>01</v>
      </c>
      <c r="O474" s="14" t="str">
        <f t="shared" si="86"/>
        <v>00</v>
      </c>
    </row>
    <row r="475" spans="7:23" hidden="1">
      <c r="J475" s="1" t="str">
        <f t="shared" si="82"/>
        <v>0</v>
      </c>
      <c r="K475" s="3">
        <f t="shared" si="83"/>
        <v>-100</v>
      </c>
      <c r="L475" s="3">
        <f t="shared" si="84"/>
        <v>1</v>
      </c>
      <c r="M475" s="3">
        <f t="shared" si="85"/>
        <v>0</v>
      </c>
      <c r="N475" s="3" t="str">
        <f t="shared" si="86"/>
        <v>01</v>
      </c>
      <c r="O475" s="14" t="str">
        <f t="shared" si="86"/>
        <v>00</v>
      </c>
    </row>
    <row r="476" spans="7:23" hidden="1">
      <c r="J476" s="1" t="str">
        <f t="shared" si="82"/>
        <v>0</v>
      </c>
      <c r="K476" s="3">
        <f t="shared" si="83"/>
        <v>-100</v>
      </c>
      <c r="L476" s="3">
        <f t="shared" si="84"/>
        <v>1</v>
      </c>
      <c r="M476" s="3">
        <f t="shared" si="85"/>
        <v>0</v>
      </c>
      <c r="N476" s="3" t="str">
        <f t="shared" si="86"/>
        <v>01</v>
      </c>
      <c r="O476" s="14" t="str">
        <f t="shared" si="86"/>
        <v>00</v>
      </c>
    </row>
    <row r="477" spans="7:23" hidden="1">
      <c r="J477" s="1" t="str">
        <f t="shared" si="82"/>
        <v>0</v>
      </c>
      <c r="K477" s="3">
        <f t="shared" si="83"/>
        <v>-100</v>
      </c>
      <c r="L477" s="3">
        <f t="shared" si="84"/>
        <v>1</v>
      </c>
      <c r="M477" s="3">
        <f t="shared" si="85"/>
        <v>0</v>
      </c>
      <c r="N477" s="3" t="str">
        <f t="shared" si="86"/>
        <v>01</v>
      </c>
      <c r="O477" s="14" t="str">
        <f t="shared" si="86"/>
        <v>00</v>
      </c>
    </row>
    <row r="478" spans="7:23" hidden="1">
      <c r="J478" s="1" t="str">
        <f t="shared" si="82"/>
        <v>0</v>
      </c>
      <c r="K478" s="3">
        <f t="shared" si="83"/>
        <v>-100</v>
      </c>
      <c r="L478" s="3">
        <f t="shared" si="84"/>
        <v>1</v>
      </c>
      <c r="M478" s="3">
        <f t="shared" si="85"/>
        <v>0</v>
      </c>
      <c r="N478" s="3" t="str">
        <f t="shared" si="86"/>
        <v>01</v>
      </c>
      <c r="O478" s="14" t="str">
        <f t="shared" si="86"/>
        <v>00</v>
      </c>
    </row>
    <row r="479" spans="7:23" hidden="1">
      <c r="J479" s="1" t="str">
        <f t="shared" si="82"/>
        <v>0</v>
      </c>
      <c r="K479" s="3">
        <f t="shared" si="83"/>
        <v>-100</v>
      </c>
      <c r="L479" s="3">
        <f t="shared" si="84"/>
        <v>1</v>
      </c>
      <c r="M479" s="3">
        <f t="shared" si="85"/>
        <v>0</v>
      </c>
      <c r="N479" s="3" t="str">
        <f t="shared" si="86"/>
        <v>01</v>
      </c>
      <c r="O479" s="14" t="str">
        <f t="shared" si="86"/>
        <v>00</v>
      </c>
    </row>
    <row r="480" spans="7:23" hidden="1">
      <c r="J480" s="1" t="str">
        <f t="shared" si="82"/>
        <v>0</v>
      </c>
      <c r="K480" s="3">
        <f t="shared" si="83"/>
        <v>-100</v>
      </c>
      <c r="L480" s="3">
        <f t="shared" si="84"/>
        <v>1</v>
      </c>
      <c r="M480" s="3">
        <f t="shared" si="85"/>
        <v>0</v>
      </c>
      <c r="N480" s="3" t="str">
        <f t="shared" si="86"/>
        <v>01</v>
      </c>
      <c r="O480" s="14" t="str">
        <f t="shared" si="86"/>
        <v>00</v>
      </c>
    </row>
    <row r="481" spans="1:22" hidden="1">
      <c r="J481" s="1" t="str">
        <f t="shared" si="82"/>
        <v>0</v>
      </c>
      <c r="K481" s="3">
        <f t="shared" si="83"/>
        <v>-100</v>
      </c>
      <c r="L481" s="3">
        <f t="shared" si="84"/>
        <v>1</v>
      </c>
      <c r="M481" s="3">
        <f t="shared" si="85"/>
        <v>0</v>
      </c>
      <c r="N481" s="3" t="str">
        <f t="shared" si="86"/>
        <v>01</v>
      </c>
      <c r="O481" s="14" t="str">
        <f t="shared" si="86"/>
        <v>00</v>
      </c>
      <c r="P481" s="11"/>
    </row>
    <row r="482" spans="1:22" hidden="1">
      <c r="J482" s="1" t="str">
        <f t="shared" si="82"/>
        <v>0</v>
      </c>
      <c r="K482" s="3">
        <f t="shared" si="83"/>
        <v>-100</v>
      </c>
      <c r="L482" s="3">
        <f t="shared" si="84"/>
        <v>1</v>
      </c>
      <c r="M482" s="3">
        <f t="shared" si="85"/>
        <v>0</v>
      </c>
      <c r="N482" s="3" t="str">
        <f t="shared" si="86"/>
        <v>01</v>
      </c>
      <c r="O482" s="14" t="str">
        <f t="shared" si="86"/>
        <v>00</v>
      </c>
      <c r="P482" s="11"/>
    </row>
    <row r="483" spans="1:22" hidden="1">
      <c r="J483" s="1" t="str">
        <f t="shared" si="82"/>
        <v>0</v>
      </c>
      <c r="K483" s="3">
        <f t="shared" si="83"/>
        <v>-100</v>
      </c>
      <c r="L483" s="3">
        <f t="shared" si="84"/>
        <v>1</v>
      </c>
      <c r="M483" s="3">
        <f t="shared" si="85"/>
        <v>0</v>
      </c>
      <c r="N483" s="3" t="str">
        <f t="shared" si="86"/>
        <v>01</v>
      </c>
      <c r="O483" s="14" t="str">
        <f t="shared" si="86"/>
        <v>00</v>
      </c>
      <c r="P483" s="11"/>
    </row>
    <row r="484" spans="1:22" hidden="1">
      <c r="J484" s="1" t="str">
        <f t="shared" si="82"/>
        <v>0</v>
      </c>
      <c r="K484" s="3">
        <f t="shared" si="83"/>
        <v>-100</v>
      </c>
      <c r="L484" s="3">
        <f t="shared" si="84"/>
        <v>1</v>
      </c>
      <c r="M484" s="3">
        <f t="shared" si="85"/>
        <v>0</v>
      </c>
      <c r="N484" s="3" t="str">
        <f t="shared" si="86"/>
        <v>01</v>
      </c>
      <c r="O484" s="14" t="str">
        <f t="shared" si="86"/>
        <v>00</v>
      </c>
      <c r="P484" s="11"/>
    </row>
    <row r="485" spans="1:22">
      <c r="A485" s="3">
        <v>478</v>
      </c>
      <c r="B485" s="1">
        <f t="shared" ref="B485:B489" si="87">IF(G485="-",0,IF(G484=G485,1,0))</f>
        <v>0</v>
      </c>
      <c r="C485" s="1">
        <f t="shared" ref="C485:C489" si="88">+IF(G485="-",0,IF(I485=I484+1,0,(IF(I485=1,0,1))))</f>
        <v>1</v>
      </c>
      <c r="D485" s="1">
        <f t="shared" ref="D485:D489" si="89">+IF(AND(P485="",Q485=""),1,0)</f>
        <v>0</v>
      </c>
      <c r="E485" s="1">
        <f t="shared" ref="E485:F489" si="90">IF(U485="",1,0)</f>
        <v>0</v>
      </c>
      <c r="F485" s="1">
        <f t="shared" si="90"/>
        <v>0</v>
      </c>
      <c r="G485" s="1" t="str">
        <f t="shared" ref="G485:G489" si="91">IF(H485=0,"-",_xlfn.CONCAT(K485,N485,O485,J485))</f>
        <v>24051108</v>
      </c>
      <c r="H485" s="2">
        <v>45423</v>
      </c>
      <c r="I485" s="36">
        <v>8</v>
      </c>
      <c r="J485" s="1" t="str">
        <f t="shared" si="82"/>
        <v>08</v>
      </c>
      <c r="K485" s="3">
        <f t="shared" si="83"/>
        <v>24</v>
      </c>
      <c r="L485" s="3">
        <f t="shared" si="84"/>
        <v>5</v>
      </c>
      <c r="M485" s="3">
        <f t="shared" si="85"/>
        <v>11</v>
      </c>
      <c r="N485" s="3" t="str">
        <f t="shared" si="86"/>
        <v>05</v>
      </c>
      <c r="O485" s="14">
        <f t="shared" si="86"/>
        <v>11</v>
      </c>
      <c r="P485" s="11">
        <f>150000+107000</f>
        <v>257000</v>
      </c>
      <c r="T485" s="5" t="s">
        <v>142</v>
      </c>
      <c r="U485" s="3" t="s">
        <v>1</v>
      </c>
      <c r="V485" s="3" t="s">
        <v>5</v>
      </c>
    </row>
    <row r="486" spans="1:22">
      <c r="A486" s="3">
        <v>479</v>
      </c>
      <c r="B486" s="1">
        <f t="shared" si="87"/>
        <v>0</v>
      </c>
      <c r="C486" s="1">
        <f t="shared" si="88"/>
        <v>0</v>
      </c>
      <c r="D486" s="1">
        <f t="shared" si="89"/>
        <v>0</v>
      </c>
      <c r="E486" s="1">
        <f t="shared" si="90"/>
        <v>0</v>
      </c>
      <c r="F486" s="1">
        <f t="shared" si="90"/>
        <v>0</v>
      </c>
      <c r="G486" s="1" t="str">
        <f t="shared" si="91"/>
        <v>24051109</v>
      </c>
      <c r="H486" s="2">
        <v>45423</v>
      </c>
      <c r="I486" s="36">
        <v>9</v>
      </c>
      <c r="J486" s="1" t="str">
        <f t="shared" si="82"/>
        <v>09</v>
      </c>
      <c r="K486" s="3">
        <f t="shared" si="83"/>
        <v>24</v>
      </c>
      <c r="L486" s="3">
        <f t="shared" si="84"/>
        <v>5</v>
      </c>
      <c r="M486" s="3">
        <f t="shared" si="85"/>
        <v>11</v>
      </c>
      <c r="N486" s="3" t="str">
        <f t="shared" si="86"/>
        <v>05</v>
      </c>
      <c r="O486" s="14">
        <f t="shared" si="86"/>
        <v>11</v>
      </c>
      <c r="P486" s="11">
        <v>102000</v>
      </c>
      <c r="T486" s="5" t="s">
        <v>139</v>
      </c>
      <c r="U486" s="3" t="s">
        <v>1</v>
      </c>
      <c r="V486" s="3" t="s">
        <v>5</v>
      </c>
    </row>
    <row r="487" spans="1:22">
      <c r="A487" s="3">
        <v>480</v>
      </c>
      <c r="B487" s="1">
        <f t="shared" si="87"/>
        <v>0</v>
      </c>
      <c r="C487" s="1">
        <f t="shared" si="88"/>
        <v>0</v>
      </c>
      <c r="D487" s="1">
        <f t="shared" si="89"/>
        <v>0</v>
      </c>
      <c r="E487" s="1">
        <f t="shared" si="90"/>
        <v>0</v>
      </c>
      <c r="F487" s="1">
        <f t="shared" si="90"/>
        <v>0</v>
      </c>
      <c r="G487" s="1" t="str">
        <f t="shared" si="91"/>
        <v>24051110</v>
      </c>
      <c r="H487" s="2">
        <v>45423</v>
      </c>
      <c r="I487" s="36">
        <v>10</v>
      </c>
      <c r="J487" s="1">
        <f t="shared" si="82"/>
        <v>10</v>
      </c>
      <c r="K487" s="3">
        <f t="shared" si="83"/>
        <v>24</v>
      </c>
      <c r="L487" s="3">
        <f t="shared" si="84"/>
        <v>5</v>
      </c>
      <c r="M487" s="3">
        <f t="shared" si="85"/>
        <v>11</v>
      </c>
      <c r="N487" s="3" t="str">
        <f t="shared" si="86"/>
        <v>05</v>
      </c>
      <c r="O487" s="14">
        <f t="shared" si="86"/>
        <v>11</v>
      </c>
      <c r="P487" s="11">
        <v>120000</v>
      </c>
      <c r="T487" s="5" t="s">
        <v>140</v>
      </c>
      <c r="U487" s="3" t="s">
        <v>1</v>
      </c>
      <c r="V487" s="3" t="s">
        <v>5</v>
      </c>
    </row>
    <row r="488" spans="1:22">
      <c r="A488" s="3">
        <v>481</v>
      </c>
      <c r="B488" s="1">
        <f t="shared" si="87"/>
        <v>0</v>
      </c>
      <c r="C488" s="1">
        <f t="shared" si="88"/>
        <v>0</v>
      </c>
      <c r="D488" s="1">
        <f t="shared" si="89"/>
        <v>0</v>
      </c>
      <c r="E488" s="1">
        <f t="shared" si="90"/>
        <v>0</v>
      </c>
      <c r="F488" s="1">
        <f t="shared" si="90"/>
        <v>0</v>
      </c>
      <c r="G488" s="1" t="str">
        <f t="shared" si="91"/>
        <v>24051111</v>
      </c>
      <c r="H488" s="2">
        <v>45423</v>
      </c>
      <c r="I488" s="36">
        <v>11</v>
      </c>
      <c r="J488" s="1">
        <f t="shared" si="82"/>
        <v>11</v>
      </c>
      <c r="K488" s="3">
        <f t="shared" si="83"/>
        <v>24</v>
      </c>
      <c r="L488" s="3">
        <f t="shared" si="84"/>
        <v>5</v>
      </c>
      <c r="M488" s="3">
        <f t="shared" si="85"/>
        <v>11</v>
      </c>
      <c r="N488" s="3" t="str">
        <f t="shared" si="86"/>
        <v>05</v>
      </c>
      <c r="O488" s="14">
        <f t="shared" si="86"/>
        <v>11</v>
      </c>
      <c r="P488" s="11">
        <f>230000+90000</f>
        <v>320000</v>
      </c>
      <c r="T488" s="5" t="s">
        <v>143</v>
      </c>
      <c r="U488" s="3" t="s">
        <v>1</v>
      </c>
      <c r="V488" s="3" t="s">
        <v>5</v>
      </c>
    </row>
    <row r="489" spans="1:22">
      <c r="A489" s="3">
        <v>482</v>
      </c>
      <c r="B489" s="1">
        <f t="shared" si="87"/>
        <v>0</v>
      </c>
      <c r="C489" s="1">
        <f t="shared" si="88"/>
        <v>0</v>
      </c>
      <c r="D489" s="1">
        <f t="shared" si="89"/>
        <v>0</v>
      </c>
      <c r="E489" s="1">
        <f t="shared" si="90"/>
        <v>0</v>
      </c>
      <c r="F489" s="1">
        <f t="shared" si="90"/>
        <v>0</v>
      </c>
      <c r="G489" s="1" t="str">
        <f t="shared" si="91"/>
        <v>24051112</v>
      </c>
      <c r="H489" s="2">
        <v>45423</v>
      </c>
      <c r="I489" s="36">
        <v>12</v>
      </c>
      <c r="J489" s="1">
        <f t="shared" si="82"/>
        <v>12</v>
      </c>
      <c r="K489" s="3">
        <f t="shared" si="83"/>
        <v>24</v>
      </c>
      <c r="L489" s="3">
        <f t="shared" si="84"/>
        <v>5</v>
      </c>
      <c r="M489" s="3">
        <f t="shared" si="85"/>
        <v>11</v>
      </c>
      <c r="N489" s="3" t="str">
        <f t="shared" si="86"/>
        <v>05</v>
      </c>
      <c r="O489" s="14">
        <f t="shared" si="86"/>
        <v>11</v>
      </c>
      <c r="P489" s="11">
        <f>7*1554</f>
        <v>10878</v>
      </c>
      <c r="T489" s="5" t="s">
        <v>653</v>
      </c>
      <c r="U489" s="3" t="s">
        <v>1</v>
      </c>
      <c r="V489" s="3" t="s">
        <v>5</v>
      </c>
    </row>
    <row r="490" spans="1:22" hidden="1">
      <c r="J490" s="1" t="str">
        <f t="shared" si="82"/>
        <v>0</v>
      </c>
      <c r="K490" s="3">
        <f t="shared" si="83"/>
        <v>-100</v>
      </c>
      <c r="L490" s="3">
        <f t="shared" si="84"/>
        <v>1</v>
      </c>
      <c r="M490" s="3">
        <f t="shared" si="85"/>
        <v>0</v>
      </c>
      <c r="N490" s="3" t="str">
        <f t="shared" si="86"/>
        <v>01</v>
      </c>
      <c r="O490" s="14" t="str">
        <f t="shared" si="86"/>
        <v>00</v>
      </c>
    </row>
    <row r="491" spans="1:22" hidden="1">
      <c r="J491" s="1" t="str">
        <f t="shared" si="82"/>
        <v>0</v>
      </c>
      <c r="K491" s="3">
        <f t="shared" si="83"/>
        <v>-100</v>
      </c>
      <c r="L491" s="3">
        <f t="shared" si="84"/>
        <v>1</v>
      </c>
      <c r="M491" s="3">
        <f t="shared" si="85"/>
        <v>0</v>
      </c>
      <c r="N491" s="3" t="str">
        <f t="shared" si="86"/>
        <v>01</v>
      </c>
      <c r="O491" s="14" t="str">
        <f t="shared" si="86"/>
        <v>00</v>
      </c>
    </row>
    <row r="492" spans="1:22" hidden="1">
      <c r="J492" s="1" t="str">
        <f t="shared" si="82"/>
        <v>0</v>
      </c>
      <c r="K492" s="3">
        <f t="shared" si="83"/>
        <v>-100</v>
      </c>
      <c r="L492" s="3">
        <f t="shared" si="84"/>
        <v>1</v>
      </c>
      <c r="M492" s="3">
        <f t="shared" si="85"/>
        <v>0</v>
      </c>
      <c r="N492" s="3" t="str">
        <f t="shared" si="86"/>
        <v>01</v>
      </c>
      <c r="O492" s="14" t="str">
        <f t="shared" si="86"/>
        <v>00</v>
      </c>
    </row>
    <row r="493" spans="1:22" hidden="1">
      <c r="J493" s="1" t="str">
        <f t="shared" si="82"/>
        <v>0</v>
      </c>
      <c r="K493" s="3">
        <f t="shared" si="83"/>
        <v>-100</v>
      </c>
      <c r="L493" s="3">
        <f t="shared" si="84"/>
        <v>1</v>
      </c>
      <c r="M493" s="3">
        <f t="shared" si="85"/>
        <v>0</v>
      </c>
      <c r="N493" s="3" t="str">
        <f t="shared" si="86"/>
        <v>01</v>
      </c>
      <c r="O493" s="14" t="str">
        <f t="shared" si="86"/>
        <v>00</v>
      </c>
    </row>
    <row r="494" spans="1:22" hidden="1">
      <c r="J494" s="1" t="str">
        <f t="shared" si="82"/>
        <v>0</v>
      </c>
      <c r="K494" s="3">
        <f t="shared" si="83"/>
        <v>-100</v>
      </c>
      <c r="L494" s="3">
        <f t="shared" si="84"/>
        <v>1</v>
      </c>
      <c r="M494" s="3">
        <f t="shared" si="85"/>
        <v>0</v>
      </c>
      <c r="N494" s="3" t="str">
        <f t="shared" si="86"/>
        <v>01</v>
      </c>
      <c r="O494" s="14" t="str">
        <f t="shared" si="86"/>
        <v>00</v>
      </c>
    </row>
    <row r="495" spans="1:22" hidden="1">
      <c r="J495" s="1" t="str">
        <f t="shared" si="82"/>
        <v>0</v>
      </c>
      <c r="K495" s="3">
        <f t="shared" si="83"/>
        <v>-100</v>
      </c>
      <c r="L495" s="3">
        <f t="shared" si="84"/>
        <v>1</v>
      </c>
      <c r="M495" s="3">
        <f t="shared" si="85"/>
        <v>0</v>
      </c>
      <c r="N495" s="3" t="str">
        <f t="shared" si="86"/>
        <v>01</v>
      </c>
      <c r="O495" s="14" t="str">
        <f t="shared" si="86"/>
        <v>00</v>
      </c>
    </row>
    <row r="496" spans="1:22" hidden="1">
      <c r="J496" s="1" t="str">
        <f t="shared" si="82"/>
        <v>0</v>
      </c>
      <c r="K496" s="3">
        <f t="shared" si="83"/>
        <v>-100</v>
      </c>
      <c r="L496" s="3">
        <f t="shared" si="84"/>
        <v>1</v>
      </c>
      <c r="M496" s="3">
        <f t="shared" si="85"/>
        <v>0</v>
      </c>
      <c r="N496" s="3" t="str">
        <f t="shared" si="86"/>
        <v>01</v>
      </c>
      <c r="O496" s="14" t="str">
        <f t="shared" si="86"/>
        <v>00</v>
      </c>
    </row>
    <row r="497" spans="10:15" hidden="1">
      <c r="J497" s="1" t="str">
        <f t="shared" si="82"/>
        <v>0</v>
      </c>
      <c r="K497" s="3">
        <f t="shared" si="83"/>
        <v>-100</v>
      </c>
      <c r="L497" s="3">
        <f t="shared" si="84"/>
        <v>1</v>
      </c>
      <c r="M497" s="3">
        <f t="shared" si="85"/>
        <v>0</v>
      </c>
      <c r="N497" s="3" t="str">
        <f t="shared" si="86"/>
        <v>01</v>
      </c>
      <c r="O497" s="14" t="str">
        <f t="shared" si="86"/>
        <v>00</v>
      </c>
    </row>
    <row r="498" spans="10:15" hidden="1">
      <c r="J498" s="1" t="str">
        <f t="shared" si="82"/>
        <v>0</v>
      </c>
      <c r="K498" s="3">
        <f t="shared" si="83"/>
        <v>-100</v>
      </c>
      <c r="L498" s="3">
        <f t="shared" si="84"/>
        <v>1</v>
      </c>
      <c r="M498" s="3">
        <f t="shared" si="85"/>
        <v>0</v>
      </c>
      <c r="N498" s="3" t="str">
        <f t="shared" ref="N498:O529" si="92">+IF(L498&lt;10,_xlfn.CONCAT("0",L498),L498)</f>
        <v>01</v>
      </c>
      <c r="O498" s="14" t="str">
        <f t="shared" si="92"/>
        <v>00</v>
      </c>
    </row>
    <row r="499" spans="10:15" hidden="1">
      <c r="J499" s="1" t="str">
        <f t="shared" si="82"/>
        <v>0</v>
      </c>
      <c r="K499" s="3">
        <f t="shared" si="83"/>
        <v>-100</v>
      </c>
      <c r="L499" s="3">
        <f t="shared" si="84"/>
        <v>1</v>
      </c>
      <c r="M499" s="3">
        <f t="shared" si="85"/>
        <v>0</v>
      </c>
      <c r="N499" s="3" t="str">
        <f t="shared" si="92"/>
        <v>01</v>
      </c>
      <c r="O499" s="14" t="str">
        <f t="shared" si="92"/>
        <v>00</v>
      </c>
    </row>
    <row r="500" spans="10:15" hidden="1">
      <c r="J500" s="1" t="str">
        <f t="shared" si="82"/>
        <v>0</v>
      </c>
      <c r="K500" s="3">
        <f t="shared" si="83"/>
        <v>-100</v>
      </c>
      <c r="L500" s="3">
        <f t="shared" si="84"/>
        <v>1</v>
      </c>
      <c r="M500" s="3">
        <f t="shared" si="85"/>
        <v>0</v>
      </c>
      <c r="N500" s="3" t="str">
        <f t="shared" si="92"/>
        <v>01</v>
      </c>
      <c r="O500" s="14" t="str">
        <f t="shared" si="92"/>
        <v>00</v>
      </c>
    </row>
    <row r="501" spans="10:15" hidden="1">
      <c r="J501" s="1" t="str">
        <f t="shared" si="82"/>
        <v>0</v>
      </c>
      <c r="K501" s="3">
        <f t="shared" si="83"/>
        <v>-100</v>
      </c>
      <c r="L501" s="3">
        <f t="shared" si="84"/>
        <v>1</v>
      </c>
      <c r="M501" s="3">
        <f t="shared" si="85"/>
        <v>0</v>
      </c>
      <c r="N501" s="3" t="str">
        <f t="shared" si="92"/>
        <v>01</v>
      </c>
      <c r="O501" s="14" t="str">
        <f t="shared" si="92"/>
        <v>00</v>
      </c>
    </row>
    <row r="502" spans="10:15" hidden="1">
      <c r="J502" s="1" t="str">
        <f t="shared" si="82"/>
        <v>0</v>
      </c>
      <c r="K502" s="3">
        <f t="shared" si="83"/>
        <v>-100</v>
      </c>
      <c r="L502" s="3">
        <f t="shared" si="84"/>
        <v>1</v>
      </c>
      <c r="M502" s="3">
        <f t="shared" si="85"/>
        <v>0</v>
      </c>
      <c r="N502" s="3" t="str">
        <f t="shared" si="92"/>
        <v>01</v>
      </c>
      <c r="O502" s="14" t="str">
        <f t="shared" si="92"/>
        <v>00</v>
      </c>
    </row>
    <row r="503" spans="10:15" hidden="1">
      <c r="J503" s="1" t="str">
        <f t="shared" si="82"/>
        <v>0</v>
      </c>
      <c r="K503" s="3">
        <f t="shared" si="83"/>
        <v>-100</v>
      </c>
      <c r="L503" s="3">
        <f t="shared" si="84"/>
        <v>1</v>
      </c>
      <c r="M503" s="3">
        <f t="shared" si="85"/>
        <v>0</v>
      </c>
      <c r="N503" s="3" t="str">
        <f t="shared" si="92"/>
        <v>01</v>
      </c>
      <c r="O503" s="14" t="str">
        <f t="shared" si="92"/>
        <v>00</v>
      </c>
    </row>
    <row r="504" spans="10:15" hidden="1">
      <c r="J504" s="1" t="str">
        <f t="shared" si="82"/>
        <v>0</v>
      </c>
      <c r="K504" s="3">
        <f t="shared" si="83"/>
        <v>-100</v>
      </c>
      <c r="L504" s="3">
        <f t="shared" si="84"/>
        <v>1</v>
      </c>
      <c r="M504" s="3">
        <f t="shared" si="85"/>
        <v>0</v>
      </c>
      <c r="N504" s="3" t="str">
        <f t="shared" si="92"/>
        <v>01</v>
      </c>
      <c r="O504" s="14" t="str">
        <f t="shared" si="92"/>
        <v>00</v>
      </c>
    </row>
    <row r="505" spans="10:15" hidden="1">
      <c r="J505" s="1" t="str">
        <f t="shared" si="82"/>
        <v>0</v>
      </c>
      <c r="K505" s="3">
        <f t="shared" si="83"/>
        <v>-100</v>
      </c>
      <c r="L505" s="3">
        <f t="shared" si="84"/>
        <v>1</v>
      </c>
      <c r="M505" s="3">
        <f t="shared" si="85"/>
        <v>0</v>
      </c>
      <c r="N505" s="3" t="str">
        <f t="shared" si="92"/>
        <v>01</v>
      </c>
      <c r="O505" s="14" t="str">
        <f t="shared" si="92"/>
        <v>00</v>
      </c>
    </row>
    <row r="506" spans="10:15" hidden="1">
      <c r="J506" s="1" t="str">
        <f t="shared" si="82"/>
        <v>0</v>
      </c>
      <c r="K506" s="3">
        <f t="shared" si="83"/>
        <v>-100</v>
      </c>
      <c r="L506" s="3">
        <f t="shared" si="84"/>
        <v>1</v>
      </c>
      <c r="M506" s="3">
        <f t="shared" si="85"/>
        <v>0</v>
      </c>
      <c r="N506" s="3" t="str">
        <f t="shared" si="92"/>
        <v>01</v>
      </c>
      <c r="O506" s="14" t="str">
        <f t="shared" si="92"/>
        <v>00</v>
      </c>
    </row>
    <row r="507" spans="10:15" hidden="1">
      <c r="J507" s="1" t="str">
        <f t="shared" si="82"/>
        <v>0</v>
      </c>
      <c r="K507" s="3">
        <f t="shared" si="83"/>
        <v>-100</v>
      </c>
      <c r="L507" s="3">
        <f t="shared" si="84"/>
        <v>1</v>
      </c>
      <c r="M507" s="3">
        <f t="shared" si="85"/>
        <v>0</v>
      </c>
      <c r="N507" s="3" t="str">
        <f t="shared" si="92"/>
        <v>01</v>
      </c>
      <c r="O507" s="14" t="str">
        <f t="shared" si="92"/>
        <v>00</v>
      </c>
    </row>
    <row r="508" spans="10:15" hidden="1">
      <c r="J508" s="1" t="str">
        <f t="shared" si="82"/>
        <v>0</v>
      </c>
      <c r="K508" s="3">
        <f t="shared" si="83"/>
        <v>-100</v>
      </c>
      <c r="L508" s="3">
        <f t="shared" si="84"/>
        <v>1</v>
      </c>
      <c r="M508" s="3">
        <f t="shared" si="85"/>
        <v>0</v>
      </c>
      <c r="N508" s="3" t="str">
        <f t="shared" si="92"/>
        <v>01</v>
      </c>
      <c r="O508" s="14" t="str">
        <f t="shared" si="92"/>
        <v>00</v>
      </c>
    </row>
    <row r="509" spans="10:15" hidden="1">
      <c r="J509" s="1" t="str">
        <f t="shared" si="82"/>
        <v>0</v>
      </c>
      <c r="K509" s="3">
        <f t="shared" si="83"/>
        <v>-100</v>
      </c>
      <c r="L509" s="3">
        <f t="shared" si="84"/>
        <v>1</v>
      </c>
      <c r="M509" s="3">
        <f t="shared" si="85"/>
        <v>0</v>
      </c>
      <c r="N509" s="3" t="str">
        <f t="shared" si="92"/>
        <v>01</v>
      </c>
      <c r="O509" s="14" t="str">
        <f t="shared" si="92"/>
        <v>00</v>
      </c>
    </row>
    <row r="510" spans="10:15" hidden="1">
      <c r="J510" s="1" t="str">
        <f t="shared" si="82"/>
        <v>0</v>
      </c>
      <c r="K510" s="3">
        <f t="shared" si="83"/>
        <v>-100</v>
      </c>
      <c r="L510" s="3">
        <f t="shared" si="84"/>
        <v>1</v>
      </c>
      <c r="M510" s="3">
        <f t="shared" si="85"/>
        <v>0</v>
      </c>
      <c r="N510" s="3" t="str">
        <f t="shared" si="92"/>
        <v>01</v>
      </c>
      <c r="O510" s="14" t="str">
        <f t="shared" si="92"/>
        <v>00</v>
      </c>
    </row>
    <row r="511" spans="10:15" hidden="1">
      <c r="J511" s="1" t="str">
        <f t="shared" si="82"/>
        <v>0</v>
      </c>
      <c r="K511" s="3">
        <f t="shared" si="83"/>
        <v>-100</v>
      </c>
      <c r="L511" s="3">
        <f t="shared" si="84"/>
        <v>1</v>
      </c>
      <c r="M511" s="3">
        <f t="shared" si="85"/>
        <v>0</v>
      </c>
      <c r="N511" s="3" t="str">
        <f t="shared" si="92"/>
        <v>01</v>
      </c>
      <c r="O511" s="14" t="str">
        <f t="shared" si="92"/>
        <v>00</v>
      </c>
    </row>
    <row r="512" spans="10:15" hidden="1">
      <c r="J512" s="1" t="str">
        <f t="shared" si="82"/>
        <v>0</v>
      </c>
      <c r="K512" s="3">
        <f t="shared" si="83"/>
        <v>-100</v>
      </c>
      <c r="L512" s="3">
        <f t="shared" si="84"/>
        <v>1</v>
      </c>
      <c r="M512" s="3">
        <f t="shared" si="85"/>
        <v>0</v>
      </c>
      <c r="N512" s="3" t="str">
        <f t="shared" si="92"/>
        <v>01</v>
      </c>
      <c r="O512" s="14" t="str">
        <f t="shared" si="92"/>
        <v>00</v>
      </c>
    </row>
    <row r="513" spans="10:20" hidden="1">
      <c r="J513" s="1" t="str">
        <f t="shared" si="82"/>
        <v>0</v>
      </c>
      <c r="K513" s="3">
        <f t="shared" si="83"/>
        <v>-100</v>
      </c>
      <c r="L513" s="3">
        <f t="shared" si="84"/>
        <v>1</v>
      </c>
      <c r="M513" s="3">
        <f t="shared" si="85"/>
        <v>0</v>
      </c>
      <c r="N513" s="3" t="str">
        <f t="shared" si="92"/>
        <v>01</v>
      </c>
      <c r="O513" s="14" t="str">
        <f t="shared" si="92"/>
        <v>00</v>
      </c>
    </row>
    <row r="514" spans="10:20" hidden="1">
      <c r="J514" s="1" t="str">
        <f t="shared" si="82"/>
        <v>0</v>
      </c>
      <c r="K514" s="3">
        <f t="shared" si="83"/>
        <v>-100</v>
      </c>
      <c r="L514" s="3">
        <f t="shared" si="84"/>
        <v>1</v>
      </c>
      <c r="M514" s="3">
        <f t="shared" si="85"/>
        <v>0</v>
      </c>
      <c r="N514" s="3" t="str">
        <f t="shared" si="92"/>
        <v>01</v>
      </c>
      <c r="O514" s="14" t="str">
        <f t="shared" si="92"/>
        <v>00</v>
      </c>
    </row>
    <row r="515" spans="10:20" hidden="1">
      <c r="J515" s="1" t="str">
        <f t="shared" si="82"/>
        <v>0</v>
      </c>
      <c r="K515" s="3">
        <f t="shared" si="83"/>
        <v>-100</v>
      </c>
      <c r="L515" s="3">
        <f t="shared" si="84"/>
        <v>1</v>
      </c>
      <c r="M515" s="3">
        <f t="shared" si="85"/>
        <v>0</v>
      </c>
      <c r="N515" s="3" t="str">
        <f t="shared" si="92"/>
        <v>01</v>
      </c>
      <c r="O515" s="14" t="str">
        <f t="shared" si="92"/>
        <v>00</v>
      </c>
    </row>
    <row r="516" spans="10:20" hidden="1">
      <c r="J516" s="1" t="str">
        <f t="shared" si="82"/>
        <v>0</v>
      </c>
      <c r="K516" s="3">
        <f t="shared" si="83"/>
        <v>-100</v>
      </c>
      <c r="L516" s="3">
        <f t="shared" si="84"/>
        <v>1</v>
      </c>
      <c r="M516" s="3">
        <f t="shared" si="85"/>
        <v>0</v>
      </c>
      <c r="N516" s="3" t="str">
        <f t="shared" si="92"/>
        <v>01</v>
      </c>
      <c r="O516" s="14" t="str">
        <f t="shared" si="92"/>
        <v>00</v>
      </c>
    </row>
    <row r="517" spans="10:20" hidden="1">
      <c r="J517" s="1" t="str">
        <f t="shared" si="82"/>
        <v>0</v>
      </c>
      <c r="K517" s="3">
        <f t="shared" si="83"/>
        <v>-100</v>
      </c>
      <c r="L517" s="3">
        <f t="shared" si="84"/>
        <v>1</v>
      </c>
      <c r="M517" s="3">
        <f t="shared" si="85"/>
        <v>0</v>
      </c>
      <c r="N517" s="3" t="str">
        <f t="shared" si="92"/>
        <v>01</v>
      </c>
      <c r="O517" s="14" t="str">
        <f t="shared" si="92"/>
        <v>00</v>
      </c>
    </row>
    <row r="518" spans="10:20" hidden="1">
      <c r="J518" s="1" t="str">
        <f t="shared" si="82"/>
        <v>0</v>
      </c>
      <c r="K518" s="3">
        <f t="shared" si="83"/>
        <v>-100</v>
      </c>
      <c r="L518" s="3">
        <f t="shared" si="84"/>
        <v>1</v>
      </c>
      <c r="M518" s="3">
        <f t="shared" si="85"/>
        <v>0</v>
      </c>
      <c r="N518" s="3" t="str">
        <f t="shared" si="92"/>
        <v>01</v>
      </c>
      <c r="O518" s="14" t="str">
        <f t="shared" si="92"/>
        <v>00</v>
      </c>
    </row>
    <row r="519" spans="10:20" hidden="1">
      <c r="J519" s="1" t="str">
        <f t="shared" si="82"/>
        <v>0</v>
      </c>
      <c r="K519" s="3">
        <f t="shared" si="83"/>
        <v>-100</v>
      </c>
      <c r="L519" s="3">
        <f t="shared" si="84"/>
        <v>1</v>
      </c>
      <c r="M519" s="3">
        <f t="shared" si="85"/>
        <v>0</v>
      </c>
      <c r="N519" s="3" t="str">
        <f t="shared" si="92"/>
        <v>01</v>
      </c>
      <c r="O519" s="14" t="str">
        <f t="shared" si="92"/>
        <v>00</v>
      </c>
    </row>
    <row r="520" spans="10:20" hidden="1">
      <c r="J520" s="1" t="str">
        <f t="shared" si="82"/>
        <v>0</v>
      </c>
      <c r="K520" s="3">
        <f t="shared" si="83"/>
        <v>-100</v>
      </c>
      <c r="L520" s="3">
        <f t="shared" si="84"/>
        <v>1</v>
      </c>
      <c r="M520" s="3">
        <f t="shared" si="85"/>
        <v>0</v>
      </c>
      <c r="N520" s="3" t="str">
        <f t="shared" si="92"/>
        <v>01</v>
      </c>
      <c r="O520" s="14" t="str">
        <f t="shared" si="92"/>
        <v>00</v>
      </c>
    </row>
    <row r="521" spans="10:20" hidden="1">
      <c r="J521" s="1" t="str">
        <f t="shared" si="82"/>
        <v>0</v>
      </c>
      <c r="K521" s="3">
        <f t="shared" si="83"/>
        <v>-100</v>
      </c>
      <c r="L521" s="3">
        <f t="shared" si="84"/>
        <v>1</v>
      </c>
      <c r="M521" s="3">
        <f t="shared" si="85"/>
        <v>0</v>
      </c>
      <c r="N521" s="3" t="str">
        <f t="shared" si="92"/>
        <v>01</v>
      </c>
      <c r="O521" s="14" t="str">
        <f t="shared" si="92"/>
        <v>00</v>
      </c>
    </row>
    <row r="522" spans="10:20" hidden="1">
      <c r="J522" s="1" t="str">
        <f t="shared" si="82"/>
        <v>0</v>
      </c>
      <c r="K522" s="3">
        <f t="shared" si="83"/>
        <v>-100</v>
      </c>
      <c r="L522" s="3">
        <f t="shared" si="84"/>
        <v>1</v>
      </c>
      <c r="M522" s="3">
        <f t="shared" si="85"/>
        <v>0</v>
      </c>
      <c r="N522" s="3" t="str">
        <f t="shared" si="92"/>
        <v>01</v>
      </c>
      <c r="O522" s="14" t="str">
        <f t="shared" si="92"/>
        <v>00</v>
      </c>
    </row>
    <row r="523" spans="10:20" hidden="1">
      <c r="J523" s="1" t="str">
        <f t="shared" si="82"/>
        <v>0</v>
      </c>
      <c r="K523" s="3">
        <f t="shared" si="83"/>
        <v>-100</v>
      </c>
      <c r="L523" s="3">
        <f t="shared" si="84"/>
        <v>1</v>
      </c>
      <c r="M523" s="3">
        <f t="shared" si="85"/>
        <v>0</v>
      </c>
      <c r="N523" s="3" t="str">
        <f t="shared" si="92"/>
        <v>01</v>
      </c>
      <c r="O523" s="14" t="str">
        <f t="shared" si="92"/>
        <v>00</v>
      </c>
    </row>
    <row r="524" spans="10:20" hidden="1">
      <c r="J524" s="1" t="str">
        <f t="shared" si="82"/>
        <v>0</v>
      </c>
      <c r="K524" s="3">
        <f t="shared" si="83"/>
        <v>-100</v>
      </c>
      <c r="L524" s="3">
        <f t="shared" si="84"/>
        <v>1</v>
      </c>
      <c r="M524" s="3">
        <f t="shared" si="85"/>
        <v>0</v>
      </c>
      <c r="N524" s="3" t="str">
        <f t="shared" si="92"/>
        <v>01</v>
      </c>
      <c r="O524" s="14" t="str">
        <f t="shared" si="92"/>
        <v>00</v>
      </c>
    </row>
    <row r="525" spans="10:20" hidden="1">
      <c r="J525" s="1" t="str">
        <f t="shared" si="82"/>
        <v>0</v>
      </c>
      <c r="K525" s="3">
        <f t="shared" si="83"/>
        <v>-100</v>
      </c>
      <c r="L525" s="3">
        <f t="shared" si="84"/>
        <v>1</v>
      </c>
      <c r="M525" s="3">
        <f t="shared" si="85"/>
        <v>0</v>
      </c>
      <c r="N525" s="3" t="str">
        <f t="shared" si="92"/>
        <v>01</v>
      </c>
      <c r="O525" s="14" t="str">
        <f t="shared" si="92"/>
        <v>00</v>
      </c>
    </row>
    <row r="526" spans="10:20" hidden="1">
      <c r="J526" s="1" t="str">
        <f t="shared" si="82"/>
        <v>0</v>
      </c>
      <c r="K526" s="3">
        <f t="shared" si="83"/>
        <v>-100</v>
      </c>
      <c r="L526" s="3">
        <f t="shared" si="84"/>
        <v>1</v>
      </c>
      <c r="M526" s="3">
        <f t="shared" si="85"/>
        <v>0</v>
      </c>
      <c r="N526" s="3" t="str">
        <f t="shared" si="92"/>
        <v>01</v>
      </c>
      <c r="O526" s="14" t="str">
        <f t="shared" si="92"/>
        <v>00</v>
      </c>
    </row>
    <row r="527" spans="10:20" hidden="1">
      <c r="J527" s="1" t="str">
        <f t="shared" si="82"/>
        <v>0</v>
      </c>
      <c r="K527" s="3">
        <f t="shared" si="83"/>
        <v>-100</v>
      </c>
      <c r="L527" s="3">
        <f t="shared" si="84"/>
        <v>1</v>
      </c>
      <c r="M527" s="3">
        <f t="shared" si="85"/>
        <v>0</v>
      </c>
      <c r="N527" s="3" t="str">
        <f t="shared" si="92"/>
        <v>01</v>
      </c>
      <c r="O527" s="14" t="str">
        <f t="shared" si="92"/>
        <v>00</v>
      </c>
    </row>
    <row r="528" spans="10:20" hidden="1">
      <c r="J528" s="1" t="str">
        <f t="shared" si="82"/>
        <v>0</v>
      </c>
      <c r="K528" s="3">
        <f t="shared" si="83"/>
        <v>-100</v>
      </c>
      <c r="L528" s="3">
        <f t="shared" si="84"/>
        <v>1</v>
      </c>
      <c r="M528" s="3">
        <f t="shared" si="85"/>
        <v>0</v>
      </c>
      <c r="N528" s="3" t="str">
        <f t="shared" si="92"/>
        <v>01</v>
      </c>
      <c r="O528" s="14" t="str">
        <f t="shared" si="92"/>
        <v>00</v>
      </c>
      <c r="T528" s="16"/>
    </row>
    <row r="529" spans="10:16" hidden="1">
      <c r="J529" s="1" t="str">
        <f t="shared" si="82"/>
        <v>0</v>
      </c>
      <c r="K529" s="3">
        <f t="shared" si="83"/>
        <v>-100</v>
      </c>
      <c r="L529" s="3">
        <f t="shared" si="84"/>
        <v>1</v>
      </c>
      <c r="M529" s="3">
        <f t="shared" si="85"/>
        <v>0</v>
      </c>
      <c r="N529" s="3" t="str">
        <f t="shared" si="92"/>
        <v>01</v>
      </c>
      <c r="O529" s="14" t="str">
        <f t="shared" si="92"/>
        <v>00</v>
      </c>
    </row>
    <row r="530" spans="10:16" hidden="1">
      <c r="J530" s="1" t="str">
        <f t="shared" ref="J530:J556" si="93">+IF(I530&lt;10,_xlfn.CONCAT("0",I530),I530)</f>
        <v>0</v>
      </c>
      <c r="K530" s="3">
        <f t="shared" ref="K530:K556" si="94">+YEAR(H530)-2000</f>
        <v>-100</v>
      </c>
      <c r="L530" s="3">
        <f t="shared" ref="L530:L556" si="95">+MONTH(H530)</f>
        <v>1</v>
      </c>
      <c r="M530" s="3">
        <f t="shared" ref="M530:M556" si="96">+DAY(H530)</f>
        <v>0</v>
      </c>
      <c r="N530" s="3" t="str">
        <f t="shared" ref="N530:O556" si="97">+IF(L530&lt;10,_xlfn.CONCAT("0",L530),L530)</f>
        <v>01</v>
      </c>
      <c r="O530" s="14" t="str">
        <f t="shared" si="97"/>
        <v>00</v>
      </c>
    </row>
    <row r="531" spans="10:16" hidden="1">
      <c r="J531" s="1" t="str">
        <f t="shared" si="93"/>
        <v>0</v>
      </c>
      <c r="K531" s="3">
        <f t="shared" si="94"/>
        <v>-100</v>
      </c>
      <c r="L531" s="3">
        <f t="shared" si="95"/>
        <v>1</v>
      </c>
      <c r="M531" s="3">
        <f t="shared" si="96"/>
        <v>0</v>
      </c>
      <c r="N531" s="3" t="str">
        <f t="shared" si="97"/>
        <v>01</v>
      </c>
      <c r="O531" s="14" t="str">
        <f t="shared" si="97"/>
        <v>00</v>
      </c>
    </row>
    <row r="532" spans="10:16" hidden="1">
      <c r="J532" s="1" t="str">
        <f t="shared" si="93"/>
        <v>0</v>
      </c>
      <c r="K532" s="3">
        <f t="shared" si="94"/>
        <v>-100</v>
      </c>
      <c r="L532" s="3">
        <f t="shared" si="95"/>
        <v>1</v>
      </c>
      <c r="M532" s="3">
        <f t="shared" si="96"/>
        <v>0</v>
      </c>
      <c r="N532" s="3" t="str">
        <f t="shared" si="97"/>
        <v>01</v>
      </c>
      <c r="O532" s="14" t="str">
        <f t="shared" si="97"/>
        <v>00</v>
      </c>
    </row>
    <row r="533" spans="10:16" hidden="1">
      <c r="J533" s="1" t="str">
        <f t="shared" si="93"/>
        <v>0</v>
      </c>
      <c r="K533" s="3">
        <f t="shared" si="94"/>
        <v>-100</v>
      </c>
      <c r="L533" s="3">
        <f t="shared" si="95"/>
        <v>1</v>
      </c>
      <c r="M533" s="3">
        <f t="shared" si="96"/>
        <v>0</v>
      </c>
      <c r="N533" s="3" t="str">
        <f t="shared" si="97"/>
        <v>01</v>
      </c>
      <c r="O533" s="14" t="str">
        <f t="shared" si="97"/>
        <v>00</v>
      </c>
    </row>
    <row r="534" spans="10:16" hidden="1">
      <c r="J534" s="1" t="str">
        <f t="shared" si="93"/>
        <v>0</v>
      </c>
      <c r="K534" s="3">
        <f t="shared" si="94"/>
        <v>-100</v>
      </c>
      <c r="L534" s="3">
        <f t="shared" si="95"/>
        <v>1</v>
      </c>
      <c r="M534" s="3">
        <f t="shared" si="96"/>
        <v>0</v>
      </c>
      <c r="N534" s="3" t="str">
        <f t="shared" si="97"/>
        <v>01</v>
      </c>
      <c r="O534" s="14" t="str">
        <f t="shared" si="97"/>
        <v>00</v>
      </c>
    </row>
    <row r="535" spans="10:16" hidden="1">
      <c r="J535" s="1" t="str">
        <f t="shared" si="93"/>
        <v>0</v>
      </c>
      <c r="K535" s="3">
        <f t="shared" si="94"/>
        <v>-100</v>
      </c>
      <c r="L535" s="3">
        <f t="shared" si="95"/>
        <v>1</v>
      </c>
      <c r="M535" s="3">
        <f t="shared" si="96"/>
        <v>0</v>
      </c>
      <c r="N535" s="3" t="str">
        <f t="shared" si="97"/>
        <v>01</v>
      </c>
      <c r="O535" s="14" t="str">
        <f t="shared" si="97"/>
        <v>00</v>
      </c>
    </row>
    <row r="536" spans="10:16" hidden="1">
      <c r="J536" s="1" t="str">
        <f t="shared" si="93"/>
        <v>0</v>
      </c>
      <c r="K536" s="3">
        <f t="shared" si="94"/>
        <v>-100</v>
      </c>
      <c r="L536" s="3">
        <f t="shared" si="95"/>
        <v>1</v>
      </c>
      <c r="M536" s="3">
        <f t="shared" si="96"/>
        <v>0</v>
      </c>
      <c r="N536" s="3" t="str">
        <f t="shared" si="97"/>
        <v>01</v>
      </c>
      <c r="O536" s="14" t="str">
        <f t="shared" si="97"/>
        <v>00</v>
      </c>
    </row>
    <row r="537" spans="10:16" hidden="1">
      <c r="J537" s="1" t="str">
        <f t="shared" si="93"/>
        <v>0</v>
      </c>
      <c r="K537" s="3">
        <f t="shared" si="94"/>
        <v>-100</v>
      </c>
      <c r="L537" s="3">
        <f t="shared" si="95"/>
        <v>1</v>
      </c>
      <c r="M537" s="3">
        <f t="shared" si="96"/>
        <v>0</v>
      </c>
      <c r="N537" s="3" t="str">
        <f t="shared" si="97"/>
        <v>01</v>
      </c>
      <c r="O537" s="14" t="str">
        <f t="shared" si="97"/>
        <v>00</v>
      </c>
    </row>
    <row r="538" spans="10:16" hidden="1">
      <c r="J538" s="1" t="str">
        <f t="shared" si="93"/>
        <v>0</v>
      </c>
      <c r="K538" s="3">
        <f t="shared" si="94"/>
        <v>-100</v>
      </c>
      <c r="L538" s="3">
        <f t="shared" si="95"/>
        <v>1</v>
      </c>
      <c r="M538" s="3">
        <f t="shared" si="96"/>
        <v>0</v>
      </c>
      <c r="N538" s="3" t="str">
        <f t="shared" si="97"/>
        <v>01</v>
      </c>
      <c r="O538" s="14" t="str">
        <f t="shared" si="97"/>
        <v>00</v>
      </c>
    </row>
    <row r="539" spans="10:16" hidden="1">
      <c r="J539" s="1" t="str">
        <f t="shared" si="93"/>
        <v>0</v>
      </c>
      <c r="K539" s="3">
        <f t="shared" si="94"/>
        <v>-100</v>
      </c>
      <c r="L539" s="3">
        <f t="shared" si="95"/>
        <v>1</v>
      </c>
      <c r="M539" s="3">
        <f t="shared" si="96"/>
        <v>0</v>
      </c>
      <c r="N539" s="3" t="str">
        <f t="shared" si="97"/>
        <v>01</v>
      </c>
      <c r="O539" s="14" t="str">
        <f t="shared" si="97"/>
        <v>00</v>
      </c>
    </row>
    <row r="540" spans="10:16" hidden="1">
      <c r="J540" s="1" t="str">
        <f t="shared" si="93"/>
        <v>0</v>
      </c>
      <c r="K540" s="3">
        <f t="shared" si="94"/>
        <v>-100</v>
      </c>
      <c r="L540" s="3">
        <f t="shared" si="95"/>
        <v>1</v>
      </c>
      <c r="M540" s="3">
        <f t="shared" si="96"/>
        <v>0</v>
      </c>
      <c r="N540" s="3" t="str">
        <f t="shared" si="97"/>
        <v>01</v>
      </c>
      <c r="O540" s="14" t="str">
        <f t="shared" si="97"/>
        <v>00</v>
      </c>
    </row>
    <row r="541" spans="10:16" hidden="1">
      <c r="J541" s="1" t="str">
        <f t="shared" si="93"/>
        <v>0</v>
      </c>
      <c r="K541" s="3">
        <f t="shared" si="94"/>
        <v>-100</v>
      </c>
      <c r="L541" s="3">
        <f t="shared" si="95"/>
        <v>1</v>
      </c>
      <c r="M541" s="3">
        <f t="shared" si="96"/>
        <v>0</v>
      </c>
      <c r="N541" s="3" t="str">
        <f t="shared" si="97"/>
        <v>01</v>
      </c>
      <c r="O541" s="14" t="str">
        <f t="shared" si="97"/>
        <v>00</v>
      </c>
    </row>
    <row r="542" spans="10:16" hidden="1">
      <c r="J542" s="1" t="str">
        <f t="shared" si="93"/>
        <v>0</v>
      </c>
      <c r="K542" s="3">
        <f t="shared" si="94"/>
        <v>-100</v>
      </c>
      <c r="L542" s="3">
        <f t="shared" si="95"/>
        <v>1</v>
      </c>
      <c r="M542" s="3">
        <f t="shared" si="96"/>
        <v>0</v>
      </c>
      <c r="N542" s="3" t="str">
        <f t="shared" si="97"/>
        <v>01</v>
      </c>
      <c r="O542" s="14" t="str">
        <f t="shared" si="97"/>
        <v>00</v>
      </c>
      <c r="P542" s="3"/>
    </row>
    <row r="543" spans="10:16" hidden="1">
      <c r="J543" s="1" t="str">
        <f t="shared" si="93"/>
        <v>0</v>
      </c>
      <c r="K543" s="3">
        <f t="shared" si="94"/>
        <v>-100</v>
      </c>
      <c r="L543" s="3">
        <f t="shared" si="95"/>
        <v>1</v>
      </c>
      <c r="M543" s="3">
        <f t="shared" si="96"/>
        <v>0</v>
      </c>
      <c r="N543" s="3" t="str">
        <f t="shared" si="97"/>
        <v>01</v>
      </c>
      <c r="O543" s="14" t="str">
        <f t="shared" si="97"/>
        <v>00</v>
      </c>
    </row>
    <row r="544" spans="10:16" hidden="1">
      <c r="J544" s="1" t="str">
        <f t="shared" si="93"/>
        <v>0</v>
      </c>
      <c r="K544" s="3">
        <f t="shared" si="94"/>
        <v>-100</v>
      </c>
      <c r="L544" s="3">
        <f t="shared" si="95"/>
        <v>1</v>
      </c>
      <c r="M544" s="3">
        <f t="shared" si="96"/>
        <v>0</v>
      </c>
      <c r="N544" s="3" t="str">
        <f t="shared" si="97"/>
        <v>01</v>
      </c>
      <c r="O544" s="14" t="str">
        <f t="shared" si="97"/>
        <v>00</v>
      </c>
    </row>
    <row r="545" spans="10:20" hidden="1">
      <c r="J545" s="1" t="str">
        <f t="shared" si="93"/>
        <v>0</v>
      </c>
      <c r="K545" s="3">
        <f t="shared" si="94"/>
        <v>-100</v>
      </c>
      <c r="L545" s="3">
        <f t="shared" si="95"/>
        <v>1</v>
      </c>
      <c r="M545" s="3">
        <f t="shared" si="96"/>
        <v>0</v>
      </c>
      <c r="N545" s="3" t="str">
        <f t="shared" si="97"/>
        <v>01</v>
      </c>
      <c r="O545" s="14" t="str">
        <f t="shared" si="97"/>
        <v>00</v>
      </c>
    </row>
    <row r="546" spans="10:20" hidden="1">
      <c r="J546" s="1" t="str">
        <f t="shared" si="93"/>
        <v>0</v>
      </c>
      <c r="K546" s="3">
        <f t="shared" si="94"/>
        <v>-100</v>
      </c>
      <c r="L546" s="3">
        <f t="shared" si="95"/>
        <v>1</v>
      </c>
      <c r="M546" s="3">
        <f t="shared" si="96"/>
        <v>0</v>
      </c>
      <c r="N546" s="3" t="str">
        <f t="shared" si="97"/>
        <v>01</v>
      </c>
      <c r="O546" s="14" t="str">
        <f t="shared" si="97"/>
        <v>00</v>
      </c>
    </row>
    <row r="547" spans="10:20" hidden="1">
      <c r="J547" s="1" t="str">
        <f t="shared" si="93"/>
        <v>0</v>
      </c>
      <c r="K547" s="3">
        <f t="shared" si="94"/>
        <v>-100</v>
      </c>
      <c r="L547" s="3">
        <f t="shared" si="95"/>
        <v>1</v>
      </c>
      <c r="M547" s="3">
        <f t="shared" si="96"/>
        <v>0</v>
      </c>
      <c r="N547" s="3" t="str">
        <f t="shared" si="97"/>
        <v>01</v>
      </c>
      <c r="O547" s="14" t="str">
        <f t="shared" si="97"/>
        <v>00</v>
      </c>
    </row>
    <row r="548" spans="10:20" hidden="1">
      <c r="J548" s="1" t="str">
        <f t="shared" si="93"/>
        <v>0</v>
      </c>
      <c r="K548" s="3">
        <f t="shared" si="94"/>
        <v>-100</v>
      </c>
      <c r="L548" s="3">
        <f t="shared" si="95"/>
        <v>1</v>
      </c>
      <c r="M548" s="3">
        <f t="shared" si="96"/>
        <v>0</v>
      </c>
      <c r="N548" s="3" t="str">
        <f t="shared" si="97"/>
        <v>01</v>
      </c>
      <c r="O548" s="14" t="str">
        <f t="shared" si="97"/>
        <v>00</v>
      </c>
    </row>
    <row r="549" spans="10:20" hidden="1">
      <c r="J549" s="1" t="str">
        <f t="shared" si="93"/>
        <v>0</v>
      </c>
      <c r="K549" s="3">
        <f t="shared" si="94"/>
        <v>-100</v>
      </c>
      <c r="L549" s="3">
        <f t="shared" si="95"/>
        <v>1</v>
      </c>
      <c r="M549" s="3">
        <f t="shared" si="96"/>
        <v>0</v>
      </c>
      <c r="N549" s="3" t="str">
        <f t="shared" si="97"/>
        <v>01</v>
      </c>
      <c r="O549" s="14" t="str">
        <f t="shared" si="97"/>
        <v>00</v>
      </c>
    </row>
    <row r="550" spans="10:20" hidden="1">
      <c r="J550" s="1" t="str">
        <f t="shared" si="93"/>
        <v>0</v>
      </c>
      <c r="K550" s="3">
        <f t="shared" si="94"/>
        <v>-100</v>
      </c>
      <c r="L550" s="3">
        <f t="shared" si="95"/>
        <v>1</v>
      </c>
      <c r="M550" s="3">
        <f t="shared" si="96"/>
        <v>0</v>
      </c>
      <c r="N550" s="3" t="str">
        <f t="shared" si="97"/>
        <v>01</v>
      </c>
      <c r="O550" s="14" t="str">
        <f t="shared" si="97"/>
        <v>00</v>
      </c>
    </row>
    <row r="551" spans="10:20" hidden="1">
      <c r="J551" s="1" t="str">
        <f t="shared" si="93"/>
        <v>0</v>
      </c>
      <c r="K551" s="3">
        <f t="shared" si="94"/>
        <v>-100</v>
      </c>
      <c r="L551" s="3">
        <f t="shared" si="95"/>
        <v>1</v>
      </c>
      <c r="M551" s="3">
        <f t="shared" si="96"/>
        <v>0</v>
      </c>
      <c r="N551" s="3" t="str">
        <f t="shared" si="97"/>
        <v>01</v>
      </c>
      <c r="O551" s="14" t="str">
        <f t="shared" si="97"/>
        <v>00</v>
      </c>
    </row>
    <row r="552" spans="10:20" hidden="1">
      <c r="J552" s="1" t="str">
        <f t="shared" si="93"/>
        <v>0</v>
      </c>
      <c r="K552" s="3">
        <f t="shared" si="94"/>
        <v>-100</v>
      </c>
      <c r="L552" s="3">
        <f t="shared" si="95"/>
        <v>1</v>
      </c>
      <c r="M552" s="3">
        <f t="shared" si="96"/>
        <v>0</v>
      </c>
      <c r="N552" s="3" t="str">
        <f t="shared" si="97"/>
        <v>01</v>
      </c>
      <c r="O552" s="14" t="str">
        <f t="shared" si="97"/>
        <v>00</v>
      </c>
    </row>
    <row r="553" spans="10:20" hidden="1">
      <c r="J553" s="1" t="str">
        <f t="shared" si="93"/>
        <v>0</v>
      </c>
      <c r="K553" s="3">
        <f t="shared" si="94"/>
        <v>-100</v>
      </c>
      <c r="L553" s="3">
        <f t="shared" si="95"/>
        <v>1</v>
      </c>
      <c r="M553" s="3">
        <f t="shared" si="96"/>
        <v>0</v>
      </c>
      <c r="N553" s="3" t="str">
        <f t="shared" si="97"/>
        <v>01</v>
      </c>
      <c r="O553" s="14" t="str">
        <f t="shared" si="97"/>
        <v>00</v>
      </c>
    </row>
    <row r="554" spans="10:20" hidden="1">
      <c r="J554" s="1" t="str">
        <f t="shared" si="93"/>
        <v>0</v>
      </c>
      <c r="K554" s="3">
        <f t="shared" si="94"/>
        <v>-100</v>
      </c>
      <c r="L554" s="3">
        <f t="shared" si="95"/>
        <v>1</v>
      </c>
      <c r="M554" s="3">
        <f t="shared" si="96"/>
        <v>0</v>
      </c>
      <c r="N554" s="3" t="str">
        <f t="shared" si="97"/>
        <v>01</v>
      </c>
      <c r="O554" s="14" t="str">
        <f t="shared" si="97"/>
        <v>00</v>
      </c>
    </row>
    <row r="555" spans="10:20" hidden="1">
      <c r="J555" s="1" t="str">
        <f t="shared" si="93"/>
        <v>0</v>
      </c>
      <c r="K555" s="3">
        <f t="shared" si="94"/>
        <v>-100</v>
      </c>
      <c r="L555" s="3">
        <f t="shared" si="95"/>
        <v>1</v>
      </c>
      <c r="M555" s="3">
        <f t="shared" si="96"/>
        <v>0</v>
      </c>
      <c r="N555" s="3" t="str">
        <f t="shared" si="97"/>
        <v>01</v>
      </c>
      <c r="O555" s="14" t="str">
        <f t="shared" si="97"/>
        <v>00</v>
      </c>
    </row>
    <row r="556" spans="10:20" hidden="1">
      <c r="J556" s="1" t="str">
        <f t="shared" si="93"/>
        <v>0</v>
      </c>
      <c r="K556" s="3">
        <f t="shared" si="94"/>
        <v>-100</v>
      </c>
      <c r="L556" s="3">
        <f t="shared" si="95"/>
        <v>1</v>
      </c>
      <c r="M556" s="3">
        <f t="shared" si="96"/>
        <v>0</v>
      </c>
      <c r="N556" s="3" t="str">
        <f t="shared" si="97"/>
        <v>01</v>
      </c>
      <c r="O556" s="14" t="str">
        <f t="shared" si="97"/>
        <v>00</v>
      </c>
    </row>
    <row r="557" spans="10:20" hidden="1"/>
    <row r="558" spans="10:20" hidden="1">
      <c r="J558" s="1" t="str">
        <f t="shared" ref="J558:J619" si="98">+IF(I558&lt;10,_xlfn.CONCAT("0",I558),I558)</f>
        <v>0</v>
      </c>
      <c r="K558" s="3">
        <f t="shared" ref="K558:K619" si="99">+YEAR(H558)-2000</f>
        <v>-100</v>
      </c>
      <c r="L558" s="3">
        <f t="shared" ref="L558:L619" si="100">+MONTH(H558)</f>
        <v>1</v>
      </c>
      <c r="M558" s="3">
        <f t="shared" ref="M558:M619" si="101">+DAY(H558)</f>
        <v>0</v>
      </c>
      <c r="N558" s="3" t="str">
        <f t="shared" ref="N558:O589" si="102">+IF(L558&lt;10,_xlfn.CONCAT("0",L558),L558)</f>
        <v>01</v>
      </c>
      <c r="O558" s="14" t="str">
        <f t="shared" si="102"/>
        <v>00</v>
      </c>
      <c r="R558" s="6">
        <v>504</v>
      </c>
      <c r="S558" s="5">
        <f t="shared" ref="S558:S576" si="103">IFERROR(P558/R558,"")</f>
        <v>0</v>
      </c>
      <c r="T558" s="3"/>
    </row>
    <row r="559" spans="10:20" hidden="1">
      <c r="J559" s="1" t="str">
        <f t="shared" si="98"/>
        <v>0</v>
      </c>
      <c r="K559" s="3">
        <f t="shared" si="99"/>
        <v>-100</v>
      </c>
      <c r="L559" s="3">
        <f t="shared" si="100"/>
        <v>1</v>
      </c>
      <c r="M559" s="3">
        <f t="shared" si="101"/>
        <v>0</v>
      </c>
      <c r="N559" s="3" t="str">
        <f t="shared" si="102"/>
        <v>01</v>
      </c>
      <c r="O559" s="14" t="str">
        <f t="shared" si="102"/>
        <v>00</v>
      </c>
      <c r="R559" s="6">
        <v>504</v>
      </c>
      <c r="S559" s="5">
        <f t="shared" si="103"/>
        <v>0</v>
      </c>
      <c r="T559" s="3"/>
    </row>
    <row r="560" spans="10:20" hidden="1">
      <c r="J560" s="1" t="str">
        <f t="shared" si="98"/>
        <v>0</v>
      </c>
      <c r="K560" s="3">
        <f t="shared" si="99"/>
        <v>-100</v>
      </c>
      <c r="L560" s="3">
        <f t="shared" si="100"/>
        <v>1</v>
      </c>
      <c r="M560" s="3">
        <f t="shared" si="101"/>
        <v>0</v>
      </c>
      <c r="N560" s="3" t="str">
        <f t="shared" si="102"/>
        <v>01</v>
      </c>
      <c r="O560" s="14" t="str">
        <f t="shared" si="102"/>
        <v>00</v>
      </c>
      <c r="R560" s="6">
        <v>504</v>
      </c>
      <c r="S560" s="5">
        <f t="shared" si="103"/>
        <v>0</v>
      </c>
      <c r="T560" s="3"/>
    </row>
    <row r="561" spans="1:22" hidden="1">
      <c r="J561" s="1" t="str">
        <f t="shared" si="98"/>
        <v>0</v>
      </c>
      <c r="K561" s="3">
        <f t="shared" si="99"/>
        <v>-100</v>
      </c>
      <c r="L561" s="3">
        <f t="shared" si="100"/>
        <v>1</v>
      </c>
      <c r="M561" s="3">
        <f t="shared" si="101"/>
        <v>0</v>
      </c>
      <c r="N561" s="3" t="str">
        <f t="shared" si="102"/>
        <v>01</v>
      </c>
      <c r="O561" s="14" t="str">
        <f t="shared" si="102"/>
        <v>00</v>
      </c>
      <c r="R561" s="6">
        <v>504</v>
      </c>
      <c r="S561" s="5">
        <f t="shared" si="103"/>
        <v>0</v>
      </c>
      <c r="T561" s="3"/>
    </row>
    <row r="562" spans="1:22" hidden="1">
      <c r="J562" s="1" t="str">
        <f t="shared" si="98"/>
        <v>0</v>
      </c>
      <c r="K562" s="3">
        <f t="shared" si="99"/>
        <v>-100</v>
      </c>
      <c r="L562" s="3">
        <f t="shared" si="100"/>
        <v>1</v>
      </c>
      <c r="M562" s="3">
        <f t="shared" si="101"/>
        <v>0</v>
      </c>
      <c r="N562" s="3" t="str">
        <f t="shared" si="102"/>
        <v>01</v>
      </c>
      <c r="O562" s="14" t="str">
        <f t="shared" si="102"/>
        <v>00</v>
      </c>
      <c r="R562" s="6">
        <v>504</v>
      </c>
      <c r="S562" s="5">
        <f t="shared" si="103"/>
        <v>0</v>
      </c>
      <c r="T562" s="3"/>
    </row>
    <row r="563" spans="1:22">
      <c r="A563" s="3">
        <v>556</v>
      </c>
      <c r="B563" s="1">
        <f t="shared" ref="B563:B615" si="104">IF(G563="-",0,IF(G562=G563,1,0))</f>
        <v>0</v>
      </c>
      <c r="C563" s="1">
        <f t="shared" ref="C563:C615" si="105">+IF(G563="-",0,IF(I563=I562+1,0,(IF(I563=1,0,1))))</f>
        <v>1</v>
      </c>
      <c r="D563" s="1">
        <f t="shared" ref="D563:D615" si="106">+IF(AND(P563="",Q563=""),1,0)</f>
        <v>0</v>
      </c>
      <c r="E563" s="1">
        <f t="shared" ref="E563:F586" si="107">IF(U563="",1,0)</f>
        <v>0</v>
      </c>
      <c r="F563" s="1">
        <f t="shared" si="107"/>
        <v>0</v>
      </c>
      <c r="G563" s="1" t="str">
        <f t="shared" ref="G563:G615" si="108">IF(H563=0,"-",_xlfn.CONCAT(K563,N563,O563,J563))</f>
        <v>24051806</v>
      </c>
      <c r="H563" s="2">
        <v>45430</v>
      </c>
      <c r="I563" s="36">
        <v>6</v>
      </c>
      <c r="J563" s="1" t="str">
        <f t="shared" si="98"/>
        <v>06</v>
      </c>
      <c r="K563" s="3">
        <f t="shared" si="99"/>
        <v>24</v>
      </c>
      <c r="L563" s="3">
        <f t="shared" si="100"/>
        <v>5</v>
      </c>
      <c r="M563" s="3">
        <f t="shared" si="101"/>
        <v>18</v>
      </c>
      <c r="N563" s="3" t="str">
        <f t="shared" si="102"/>
        <v>05</v>
      </c>
      <c r="O563" s="14">
        <f t="shared" si="102"/>
        <v>18</v>
      </c>
      <c r="P563" s="4">
        <v>150000</v>
      </c>
      <c r="Q563" s="3"/>
      <c r="R563" s="6">
        <v>504</v>
      </c>
      <c r="S563" s="5">
        <f t="shared" si="103"/>
        <v>297.61904761904759</v>
      </c>
      <c r="T563" s="3" t="s">
        <v>165</v>
      </c>
      <c r="U563" s="3" t="s">
        <v>1</v>
      </c>
      <c r="V563" s="3" t="s">
        <v>5</v>
      </c>
    </row>
    <row r="564" spans="1:22" hidden="1">
      <c r="J564" s="1" t="str">
        <f t="shared" si="98"/>
        <v>0</v>
      </c>
      <c r="K564" s="3">
        <f t="shared" si="99"/>
        <v>-100</v>
      </c>
      <c r="L564" s="3">
        <f t="shared" si="100"/>
        <v>1</v>
      </c>
      <c r="M564" s="3">
        <f t="shared" si="101"/>
        <v>0</v>
      </c>
      <c r="N564" s="3" t="str">
        <f t="shared" si="102"/>
        <v>01</v>
      </c>
      <c r="O564" s="14" t="str">
        <f t="shared" si="102"/>
        <v>00</v>
      </c>
      <c r="R564" s="6">
        <v>504</v>
      </c>
      <c r="S564" s="5">
        <f t="shared" si="103"/>
        <v>0</v>
      </c>
      <c r="T564" s="3"/>
    </row>
    <row r="565" spans="1:22">
      <c r="A565" s="3">
        <v>558</v>
      </c>
      <c r="B565" s="1">
        <f t="shared" si="104"/>
        <v>0</v>
      </c>
      <c r="C565" s="1">
        <f t="shared" si="105"/>
        <v>1</v>
      </c>
      <c r="D565" s="1">
        <f t="shared" si="106"/>
        <v>0</v>
      </c>
      <c r="E565" s="1">
        <f t="shared" si="107"/>
        <v>0</v>
      </c>
      <c r="F565" s="1">
        <f t="shared" si="107"/>
        <v>0</v>
      </c>
      <c r="G565" s="1" t="str">
        <f t="shared" si="108"/>
        <v>24051808</v>
      </c>
      <c r="H565" s="2">
        <v>45430</v>
      </c>
      <c r="I565" s="36">
        <v>8</v>
      </c>
      <c r="J565" s="1" t="str">
        <f t="shared" si="98"/>
        <v>08</v>
      </c>
      <c r="K565" s="3">
        <f t="shared" si="99"/>
        <v>24</v>
      </c>
      <c r="L565" s="3">
        <f t="shared" si="100"/>
        <v>5</v>
      </c>
      <c r="M565" s="3">
        <f t="shared" si="101"/>
        <v>18</v>
      </c>
      <c r="N565" s="3" t="str">
        <f t="shared" si="102"/>
        <v>05</v>
      </c>
      <c r="O565" s="14">
        <f t="shared" si="102"/>
        <v>18</v>
      </c>
      <c r="P565" s="4">
        <v>106000</v>
      </c>
      <c r="Q565" s="3"/>
      <c r="R565" s="6">
        <v>504</v>
      </c>
      <c r="S565" s="5">
        <f t="shared" si="103"/>
        <v>210.31746031746033</v>
      </c>
      <c r="T565" s="3" t="s">
        <v>168</v>
      </c>
      <c r="U565" s="3" t="s">
        <v>1</v>
      </c>
      <c r="V565" s="3" t="s">
        <v>5</v>
      </c>
    </row>
    <row r="566" spans="1:22">
      <c r="A566" s="3">
        <v>559</v>
      </c>
      <c r="B566" s="1">
        <f t="shared" si="104"/>
        <v>0</v>
      </c>
      <c r="C566" s="1">
        <f t="shared" si="105"/>
        <v>0</v>
      </c>
      <c r="D566" s="1">
        <f t="shared" si="106"/>
        <v>0</v>
      </c>
      <c r="E566" s="1">
        <f t="shared" si="107"/>
        <v>0</v>
      </c>
      <c r="F566" s="1">
        <f t="shared" si="107"/>
        <v>0</v>
      </c>
      <c r="G566" s="1" t="str">
        <f t="shared" si="108"/>
        <v>24051809</v>
      </c>
      <c r="H566" s="2">
        <v>45430</v>
      </c>
      <c r="I566" s="36">
        <v>9</v>
      </c>
      <c r="J566" s="1" t="str">
        <f t="shared" si="98"/>
        <v>09</v>
      </c>
      <c r="K566" s="3">
        <f t="shared" si="99"/>
        <v>24</v>
      </c>
      <c r="L566" s="3">
        <f t="shared" si="100"/>
        <v>5</v>
      </c>
      <c r="M566" s="3">
        <f t="shared" si="101"/>
        <v>18</v>
      </c>
      <c r="N566" s="3" t="str">
        <f t="shared" si="102"/>
        <v>05</v>
      </c>
      <c r="O566" s="14">
        <f t="shared" si="102"/>
        <v>18</v>
      </c>
      <c r="P566" s="4">
        <v>102000</v>
      </c>
      <c r="Q566" s="3"/>
      <c r="R566" s="6">
        <v>504</v>
      </c>
      <c r="S566" s="5">
        <f t="shared" si="103"/>
        <v>202.38095238095238</v>
      </c>
      <c r="T566" s="3" t="s">
        <v>167</v>
      </c>
      <c r="U566" s="3" t="s">
        <v>1</v>
      </c>
      <c r="V566" s="3" t="s">
        <v>5</v>
      </c>
    </row>
    <row r="567" spans="1:22">
      <c r="A567" s="3">
        <v>560</v>
      </c>
      <c r="B567" s="1">
        <f t="shared" si="104"/>
        <v>0</v>
      </c>
      <c r="C567" s="1">
        <f t="shared" si="105"/>
        <v>0</v>
      </c>
      <c r="D567" s="1">
        <f t="shared" si="106"/>
        <v>0</v>
      </c>
      <c r="E567" s="1">
        <f t="shared" si="107"/>
        <v>0</v>
      </c>
      <c r="F567" s="1">
        <f t="shared" si="107"/>
        <v>0</v>
      </c>
      <c r="G567" s="1" t="str">
        <f t="shared" si="108"/>
        <v>24051810</v>
      </c>
      <c r="H567" s="2">
        <v>45430</v>
      </c>
      <c r="I567" s="36">
        <v>10</v>
      </c>
      <c r="J567" s="1">
        <f t="shared" si="98"/>
        <v>10</v>
      </c>
      <c r="K567" s="3">
        <f t="shared" si="99"/>
        <v>24</v>
      </c>
      <c r="L567" s="3">
        <f t="shared" si="100"/>
        <v>5</v>
      </c>
      <c r="M567" s="3">
        <f t="shared" si="101"/>
        <v>18</v>
      </c>
      <c r="N567" s="3" t="str">
        <f t="shared" si="102"/>
        <v>05</v>
      </c>
      <c r="O567" s="14">
        <f t="shared" si="102"/>
        <v>18</v>
      </c>
      <c r="P567" s="4">
        <v>120000</v>
      </c>
      <c r="R567" s="6">
        <v>504</v>
      </c>
      <c r="S567" s="5">
        <f t="shared" si="103"/>
        <v>238.0952380952381</v>
      </c>
      <c r="T567" s="3" t="s">
        <v>169</v>
      </c>
      <c r="U567" s="3" t="s">
        <v>1</v>
      </c>
      <c r="V567" s="3" t="s">
        <v>5</v>
      </c>
    </row>
    <row r="568" spans="1:22">
      <c r="A568" s="3">
        <v>561</v>
      </c>
      <c r="B568" s="1">
        <f t="shared" si="104"/>
        <v>0</v>
      </c>
      <c r="C568" s="1">
        <f t="shared" si="105"/>
        <v>0</v>
      </c>
      <c r="D568" s="1">
        <f t="shared" si="106"/>
        <v>0</v>
      </c>
      <c r="E568" s="1">
        <f t="shared" si="107"/>
        <v>0</v>
      </c>
      <c r="F568" s="1">
        <f t="shared" si="107"/>
        <v>0</v>
      </c>
      <c r="G568" s="1" t="str">
        <f t="shared" si="108"/>
        <v>24051811</v>
      </c>
      <c r="H568" s="2">
        <v>45430</v>
      </c>
      <c r="I568" s="36">
        <v>11</v>
      </c>
      <c r="J568" s="1">
        <f t="shared" si="98"/>
        <v>11</v>
      </c>
      <c r="K568" s="3">
        <f t="shared" si="99"/>
        <v>24</v>
      </c>
      <c r="L568" s="3">
        <f t="shared" si="100"/>
        <v>5</v>
      </c>
      <c r="M568" s="3">
        <f t="shared" si="101"/>
        <v>18</v>
      </c>
      <c r="N568" s="3" t="str">
        <f t="shared" si="102"/>
        <v>05</v>
      </c>
      <c r="O568" s="14">
        <f t="shared" si="102"/>
        <v>18</v>
      </c>
      <c r="P568" s="4">
        <f>230000+90000</f>
        <v>320000</v>
      </c>
      <c r="R568" s="6">
        <v>504</v>
      </c>
      <c r="S568" s="5">
        <f t="shared" si="103"/>
        <v>634.92063492063494</v>
      </c>
      <c r="T568" s="3" t="s">
        <v>170</v>
      </c>
      <c r="U568" s="3" t="s">
        <v>1</v>
      </c>
      <c r="V568" s="3" t="s">
        <v>5</v>
      </c>
    </row>
    <row r="569" spans="1:22">
      <c r="A569" s="3">
        <v>562</v>
      </c>
      <c r="B569" s="1">
        <f t="shared" si="104"/>
        <v>0</v>
      </c>
      <c r="C569" s="1">
        <f t="shared" si="105"/>
        <v>0</v>
      </c>
      <c r="D569" s="1">
        <f t="shared" si="106"/>
        <v>0</v>
      </c>
      <c r="E569" s="1">
        <f t="shared" si="107"/>
        <v>0</v>
      </c>
      <c r="F569" s="1">
        <f t="shared" si="107"/>
        <v>0</v>
      </c>
      <c r="G569" s="1" t="str">
        <f t="shared" si="108"/>
        <v>24051812</v>
      </c>
      <c r="H569" s="2">
        <v>45430</v>
      </c>
      <c r="I569" s="36">
        <v>12</v>
      </c>
      <c r="J569" s="1">
        <f t="shared" si="98"/>
        <v>12</v>
      </c>
      <c r="K569" s="3">
        <f t="shared" si="99"/>
        <v>24</v>
      </c>
      <c r="L569" s="3">
        <f t="shared" si="100"/>
        <v>5</v>
      </c>
      <c r="M569" s="3">
        <f t="shared" si="101"/>
        <v>18</v>
      </c>
      <c r="N569" s="3" t="str">
        <f t="shared" si="102"/>
        <v>05</v>
      </c>
      <c r="O569" s="14">
        <f t="shared" si="102"/>
        <v>18</v>
      </c>
      <c r="P569" s="4">
        <f>6*3*518</f>
        <v>9324</v>
      </c>
      <c r="R569" s="6">
        <v>504</v>
      </c>
      <c r="S569" s="5">
        <f t="shared" si="103"/>
        <v>18.5</v>
      </c>
      <c r="T569" s="5" t="s">
        <v>653</v>
      </c>
      <c r="U569" s="3" t="s">
        <v>1</v>
      </c>
      <c r="V569" s="3" t="s">
        <v>5</v>
      </c>
    </row>
    <row r="570" spans="1:22" hidden="1">
      <c r="J570" s="1" t="str">
        <f t="shared" si="98"/>
        <v>0</v>
      </c>
      <c r="K570" s="3">
        <f t="shared" si="99"/>
        <v>-100</v>
      </c>
      <c r="L570" s="3">
        <f t="shared" si="100"/>
        <v>1</v>
      </c>
      <c r="M570" s="3">
        <f t="shared" si="101"/>
        <v>0</v>
      </c>
      <c r="N570" s="3" t="str">
        <f t="shared" si="102"/>
        <v>01</v>
      </c>
      <c r="O570" s="14" t="str">
        <f t="shared" si="102"/>
        <v>00</v>
      </c>
      <c r="R570" s="6">
        <v>504</v>
      </c>
      <c r="S570" s="5">
        <f t="shared" si="103"/>
        <v>0</v>
      </c>
      <c r="T570" s="3"/>
    </row>
    <row r="571" spans="1:22" hidden="1">
      <c r="J571" s="1" t="str">
        <f t="shared" si="98"/>
        <v>0</v>
      </c>
      <c r="K571" s="3">
        <f t="shared" si="99"/>
        <v>-100</v>
      </c>
      <c r="L571" s="3">
        <f t="shared" si="100"/>
        <v>1</v>
      </c>
      <c r="M571" s="3">
        <f t="shared" si="101"/>
        <v>0</v>
      </c>
      <c r="N571" s="3" t="str">
        <f t="shared" si="102"/>
        <v>01</v>
      </c>
      <c r="O571" s="14" t="str">
        <f t="shared" si="102"/>
        <v>00</v>
      </c>
      <c r="R571" s="6">
        <v>504</v>
      </c>
      <c r="S571" s="5">
        <f t="shared" si="103"/>
        <v>0</v>
      </c>
      <c r="T571" s="3"/>
    </row>
    <row r="572" spans="1:22" s="92" customFormat="1" hidden="1">
      <c r="A572" s="3"/>
      <c r="B572" s="90"/>
      <c r="C572" s="90"/>
      <c r="D572" s="90"/>
      <c r="E572" s="90"/>
      <c r="F572" s="90"/>
      <c r="G572" s="90"/>
      <c r="H572" s="91"/>
      <c r="I572" s="90"/>
      <c r="J572" s="90" t="str">
        <f t="shared" si="98"/>
        <v>0</v>
      </c>
      <c r="K572" s="92">
        <f t="shared" si="99"/>
        <v>-100</v>
      </c>
      <c r="L572" s="92">
        <f t="shared" si="100"/>
        <v>1</v>
      </c>
      <c r="M572" s="92">
        <f t="shared" si="101"/>
        <v>0</v>
      </c>
      <c r="N572" s="92" t="str">
        <f t="shared" si="102"/>
        <v>01</v>
      </c>
      <c r="O572" s="93" t="str">
        <f t="shared" si="102"/>
        <v>00</v>
      </c>
      <c r="P572" s="94"/>
      <c r="Q572" s="95"/>
      <c r="R572" s="96">
        <v>504</v>
      </c>
      <c r="S572" s="95">
        <f t="shared" si="103"/>
        <v>0</v>
      </c>
    </row>
    <row r="573" spans="1:22" hidden="1">
      <c r="J573" s="1" t="str">
        <f t="shared" si="98"/>
        <v>0</v>
      </c>
      <c r="K573" s="3">
        <f t="shared" si="99"/>
        <v>-100</v>
      </c>
      <c r="L573" s="3">
        <f t="shared" si="100"/>
        <v>1</v>
      </c>
      <c r="M573" s="3">
        <f t="shared" si="101"/>
        <v>0</v>
      </c>
      <c r="N573" s="3" t="str">
        <f t="shared" si="102"/>
        <v>01</v>
      </c>
      <c r="O573" s="14" t="str">
        <f t="shared" si="102"/>
        <v>00</v>
      </c>
      <c r="R573" s="6">
        <v>504</v>
      </c>
      <c r="S573" s="5">
        <f t="shared" si="103"/>
        <v>0</v>
      </c>
    </row>
    <row r="574" spans="1:22" hidden="1">
      <c r="J574" s="1" t="str">
        <f t="shared" si="98"/>
        <v>0</v>
      </c>
      <c r="K574" s="3">
        <f t="shared" si="99"/>
        <v>-100</v>
      </c>
      <c r="L574" s="3">
        <f t="shared" si="100"/>
        <v>1</v>
      </c>
      <c r="M574" s="3">
        <f t="shared" si="101"/>
        <v>0</v>
      </c>
      <c r="N574" s="3" t="str">
        <f t="shared" si="102"/>
        <v>01</v>
      </c>
      <c r="O574" s="14" t="str">
        <f t="shared" si="102"/>
        <v>00</v>
      </c>
      <c r="R574" s="6">
        <v>504</v>
      </c>
      <c r="S574" s="5">
        <f t="shared" si="103"/>
        <v>0</v>
      </c>
    </row>
    <row r="575" spans="1:22" hidden="1">
      <c r="J575" s="1" t="str">
        <f t="shared" si="98"/>
        <v>0</v>
      </c>
      <c r="K575" s="3">
        <f t="shared" si="99"/>
        <v>-100</v>
      </c>
      <c r="L575" s="3">
        <f t="shared" si="100"/>
        <v>1</v>
      </c>
      <c r="M575" s="3">
        <f t="shared" si="101"/>
        <v>0</v>
      </c>
      <c r="N575" s="3" t="str">
        <f t="shared" si="102"/>
        <v>01</v>
      </c>
      <c r="O575" s="14" t="str">
        <f t="shared" si="102"/>
        <v>00</v>
      </c>
      <c r="R575" s="6">
        <v>504</v>
      </c>
      <c r="S575" s="5">
        <f t="shared" si="103"/>
        <v>0</v>
      </c>
      <c r="T575" s="16"/>
    </row>
    <row r="576" spans="1:22" hidden="1">
      <c r="J576" s="1" t="str">
        <f t="shared" si="98"/>
        <v>0</v>
      </c>
      <c r="K576" s="3">
        <f t="shared" si="99"/>
        <v>-100</v>
      </c>
      <c r="L576" s="3">
        <f t="shared" si="100"/>
        <v>1</v>
      </c>
      <c r="M576" s="3">
        <f t="shared" si="101"/>
        <v>0</v>
      </c>
      <c r="N576" s="3" t="str">
        <f t="shared" si="102"/>
        <v>01</v>
      </c>
      <c r="O576" s="14" t="str">
        <f t="shared" si="102"/>
        <v>00</v>
      </c>
      <c r="R576" s="6">
        <v>504</v>
      </c>
      <c r="S576" s="5">
        <f t="shared" si="103"/>
        <v>0</v>
      </c>
    </row>
    <row r="577" spans="1:23" hidden="1">
      <c r="J577" s="1" t="str">
        <f t="shared" si="98"/>
        <v>0</v>
      </c>
      <c r="K577" s="3">
        <f t="shared" si="99"/>
        <v>-100</v>
      </c>
      <c r="L577" s="3">
        <f t="shared" si="100"/>
        <v>1</v>
      </c>
      <c r="M577" s="3">
        <f t="shared" si="101"/>
        <v>0</v>
      </c>
      <c r="N577" s="3" t="str">
        <f t="shared" si="102"/>
        <v>01</v>
      </c>
      <c r="O577" s="14" t="str">
        <f t="shared" si="102"/>
        <v>00</v>
      </c>
    </row>
    <row r="578" spans="1:23" hidden="1">
      <c r="J578" s="1" t="str">
        <f t="shared" si="98"/>
        <v>0</v>
      </c>
      <c r="K578" s="3">
        <f t="shared" si="99"/>
        <v>-100</v>
      </c>
      <c r="L578" s="3">
        <f t="shared" si="100"/>
        <v>1</v>
      </c>
      <c r="M578" s="3">
        <f t="shared" si="101"/>
        <v>0</v>
      </c>
      <c r="N578" s="3" t="str">
        <f t="shared" si="102"/>
        <v>01</v>
      </c>
      <c r="O578" s="14" t="str">
        <f t="shared" si="102"/>
        <v>00</v>
      </c>
      <c r="R578" s="6">
        <v>504</v>
      </c>
      <c r="S578" s="5">
        <f t="shared" ref="S578:S600" si="109">IFERROR(P578/R578,"")</f>
        <v>0</v>
      </c>
    </row>
    <row r="579" spans="1:23" hidden="1">
      <c r="J579" s="1" t="str">
        <f t="shared" si="98"/>
        <v>0</v>
      </c>
      <c r="K579" s="3">
        <f t="shared" si="99"/>
        <v>-100</v>
      </c>
      <c r="L579" s="3">
        <f t="shared" si="100"/>
        <v>1</v>
      </c>
      <c r="M579" s="3">
        <f t="shared" si="101"/>
        <v>0</v>
      </c>
      <c r="N579" s="3" t="str">
        <f t="shared" si="102"/>
        <v>01</v>
      </c>
      <c r="O579" s="14" t="str">
        <f t="shared" si="102"/>
        <v>00</v>
      </c>
      <c r="R579" s="6">
        <v>504</v>
      </c>
      <c r="S579" s="5">
        <f t="shared" si="109"/>
        <v>0</v>
      </c>
    </row>
    <row r="580" spans="1:23" hidden="1">
      <c r="J580" s="1" t="str">
        <f t="shared" si="98"/>
        <v>0</v>
      </c>
      <c r="K580" s="3">
        <f t="shared" si="99"/>
        <v>-100</v>
      </c>
      <c r="L580" s="3">
        <f t="shared" si="100"/>
        <v>1</v>
      </c>
      <c r="M580" s="3">
        <f t="shared" si="101"/>
        <v>0</v>
      </c>
      <c r="N580" s="3" t="str">
        <f t="shared" si="102"/>
        <v>01</v>
      </c>
      <c r="O580" s="14" t="str">
        <f t="shared" si="102"/>
        <v>00</v>
      </c>
      <c r="R580" s="6">
        <v>504</v>
      </c>
      <c r="S580" s="5">
        <f t="shared" si="109"/>
        <v>0</v>
      </c>
    </row>
    <row r="581" spans="1:23" hidden="1">
      <c r="J581" s="1" t="str">
        <f t="shared" si="98"/>
        <v>0</v>
      </c>
      <c r="K581" s="3">
        <f t="shared" si="99"/>
        <v>-100</v>
      </c>
      <c r="L581" s="3">
        <f t="shared" si="100"/>
        <v>1</v>
      </c>
      <c r="M581" s="3">
        <f t="shared" si="101"/>
        <v>0</v>
      </c>
      <c r="N581" s="3" t="str">
        <f t="shared" si="102"/>
        <v>01</v>
      </c>
      <c r="O581" s="14" t="str">
        <f t="shared" si="102"/>
        <v>00</v>
      </c>
      <c r="R581" s="6">
        <v>504</v>
      </c>
      <c r="S581" s="5">
        <f t="shared" si="109"/>
        <v>0</v>
      </c>
    </row>
    <row r="582" spans="1:23" hidden="1">
      <c r="J582" s="1" t="str">
        <f t="shared" si="98"/>
        <v>0</v>
      </c>
      <c r="K582" s="3">
        <f t="shared" si="99"/>
        <v>-100</v>
      </c>
      <c r="L582" s="3">
        <f t="shared" si="100"/>
        <v>1</v>
      </c>
      <c r="M582" s="3">
        <f t="shared" si="101"/>
        <v>0</v>
      </c>
      <c r="N582" s="3" t="str">
        <f t="shared" si="102"/>
        <v>01</v>
      </c>
      <c r="O582" s="14" t="str">
        <f t="shared" si="102"/>
        <v>00</v>
      </c>
      <c r="R582" s="6">
        <v>504</v>
      </c>
      <c r="S582" s="5">
        <f t="shared" si="109"/>
        <v>0</v>
      </c>
    </row>
    <row r="583" spans="1:23" hidden="1">
      <c r="J583" s="1" t="str">
        <f t="shared" si="98"/>
        <v>0</v>
      </c>
      <c r="K583" s="3">
        <f t="shared" si="99"/>
        <v>-100</v>
      </c>
      <c r="L583" s="3">
        <f t="shared" si="100"/>
        <v>1</v>
      </c>
      <c r="M583" s="3">
        <f t="shared" si="101"/>
        <v>0</v>
      </c>
      <c r="N583" s="3" t="str">
        <f t="shared" si="102"/>
        <v>01</v>
      </c>
      <c r="O583" s="14" t="str">
        <f t="shared" si="102"/>
        <v>00</v>
      </c>
      <c r="R583" s="6">
        <v>504</v>
      </c>
      <c r="S583" s="5">
        <f t="shared" si="109"/>
        <v>0</v>
      </c>
    </row>
    <row r="584" spans="1:23" s="42" customFormat="1" hidden="1">
      <c r="A584" s="3"/>
      <c r="B584" s="1"/>
      <c r="C584" s="1"/>
      <c r="D584" s="1"/>
      <c r="E584" s="1"/>
      <c r="F584" s="1"/>
      <c r="G584" s="1"/>
      <c r="H584" s="2"/>
      <c r="I584" s="36"/>
      <c r="J584" s="1" t="str">
        <f t="shared" si="98"/>
        <v>0</v>
      </c>
      <c r="K584" s="3">
        <f t="shared" si="99"/>
        <v>-100</v>
      </c>
      <c r="L584" s="3">
        <f t="shared" si="100"/>
        <v>1</v>
      </c>
      <c r="M584" s="3">
        <f t="shared" si="101"/>
        <v>0</v>
      </c>
      <c r="N584" s="3" t="str">
        <f t="shared" si="102"/>
        <v>01</v>
      </c>
      <c r="O584" s="14" t="str">
        <f t="shared" si="102"/>
        <v>00</v>
      </c>
      <c r="P584" s="4"/>
      <c r="Q584" s="5"/>
      <c r="R584" s="6">
        <v>504</v>
      </c>
      <c r="S584" s="5">
        <f t="shared" si="109"/>
        <v>0</v>
      </c>
      <c r="T584" s="5"/>
      <c r="U584" s="3"/>
      <c r="V584" s="3"/>
      <c r="W584" s="3"/>
    </row>
    <row r="585" spans="1:23" hidden="1">
      <c r="J585" s="1" t="str">
        <f t="shared" si="98"/>
        <v>0</v>
      </c>
      <c r="K585" s="3">
        <f t="shared" si="99"/>
        <v>-100</v>
      </c>
      <c r="L585" s="3">
        <f t="shared" si="100"/>
        <v>1</v>
      </c>
      <c r="M585" s="3">
        <f t="shared" si="101"/>
        <v>0</v>
      </c>
      <c r="N585" s="3" t="str">
        <f t="shared" si="102"/>
        <v>01</v>
      </c>
      <c r="O585" s="14" t="str">
        <f t="shared" si="102"/>
        <v>00</v>
      </c>
      <c r="R585" s="6">
        <v>504</v>
      </c>
      <c r="S585" s="5">
        <f t="shared" si="109"/>
        <v>0</v>
      </c>
    </row>
    <row r="586" spans="1:23">
      <c r="A586" s="3">
        <v>579</v>
      </c>
      <c r="B586" s="1">
        <f t="shared" si="104"/>
        <v>0</v>
      </c>
      <c r="C586" s="1">
        <f t="shared" si="105"/>
        <v>0</v>
      </c>
      <c r="D586" s="1">
        <f t="shared" si="106"/>
        <v>0</v>
      </c>
      <c r="E586" s="1">
        <f t="shared" si="107"/>
        <v>0</v>
      </c>
      <c r="F586" s="1">
        <f t="shared" si="107"/>
        <v>0</v>
      </c>
      <c r="G586" s="1" t="str">
        <f t="shared" si="108"/>
        <v>24052001</v>
      </c>
      <c r="H586" s="2">
        <v>45432</v>
      </c>
      <c r="I586" s="36">
        <v>1</v>
      </c>
      <c r="J586" s="1" t="str">
        <f t="shared" si="98"/>
        <v>01</v>
      </c>
      <c r="K586" s="3">
        <f t="shared" si="99"/>
        <v>24</v>
      </c>
      <c r="L586" s="3">
        <f t="shared" si="100"/>
        <v>5</v>
      </c>
      <c r="M586" s="3">
        <f t="shared" si="101"/>
        <v>20</v>
      </c>
      <c r="N586" s="3" t="str">
        <f t="shared" si="102"/>
        <v>05</v>
      </c>
      <c r="O586" s="14">
        <f t="shared" si="102"/>
        <v>20</v>
      </c>
      <c r="Q586" s="5">
        <v>124.3</v>
      </c>
      <c r="S586" s="5" t="str">
        <f t="shared" si="109"/>
        <v/>
      </c>
      <c r="T586" s="5" t="s">
        <v>211</v>
      </c>
      <c r="U586" s="3" t="s">
        <v>1</v>
      </c>
      <c r="V586" s="3" t="s">
        <v>5</v>
      </c>
    </row>
    <row r="587" spans="1:23" hidden="1">
      <c r="G587" s="38"/>
      <c r="H587" s="37"/>
      <c r="J587" s="1" t="str">
        <f t="shared" si="98"/>
        <v>0</v>
      </c>
      <c r="K587" s="3">
        <f t="shared" si="99"/>
        <v>-100</v>
      </c>
      <c r="L587" s="3">
        <f t="shared" si="100"/>
        <v>1</v>
      </c>
      <c r="M587" s="3">
        <f t="shared" si="101"/>
        <v>0</v>
      </c>
      <c r="N587" s="3" t="str">
        <f t="shared" si="102"/>
        <v>01</v>
      </c>
      <c r="O587" s="14" t="str">
        <f t="shared" si="102"/>
        <v>00</v>
      </c>
      <c r="P587" s="39"/>
      <c r="Q587" s="40"/>
      <c r="R587" s="41">
        <v>505</v>
      </c>
      <c r="S587" s="5">
        <f t="shared" si="109"/>
        <v>0</v>
      </c>
      <c r="T587" s="40"/>
      <c r="U587" s="42"/>
      <c r="V587" s="42"/>
      <c r="W587" s="42"/>
    </row>
    <row r="588" spans="1:23" hidden="1">
      <c r="J588" s="1" t="str">
        <f t="shared" si="98"/>
        <v>0</v>
      </c>
      <c r="K588" s="3">
        <f t="shared" si="99"/>
        <v>-100</v>
      </c>
      <c r="L588" s="3">
        <f t="shared" si="100"/>
        <v>1</v>
      </c>
      <c r="M588" s="3">
        <f t="shared" si="101"/>
        <v>0</v>
      </c>
      <c r="N588" s="3" t="str">
        <f t="shared" si="102"/>
        <v>01</v>
      </c>
      <c r="O588" s="14" t="str">
        <f t="shared" si="102"/>
        <v>00</v>
      </c>
      <c r="S588" s="5" t="str">
        <f t="shared" si="109"/>
        <v/>
      </c>
    </row>
    <row r="589" spans="1:23" hidden="1">
      <c r="J589" s="1" t="str">
        <f t="shared" si="98"/>
        <v>0</v>
      </c>
      <c r="K589" s="3">
        <f t="shared" si="99"/>
        <v>-100</v>
      </c>
      <c r="L589" s="3">
        <f t="shared" si="100"/>
        <v>1</v>
      </c>
      <c r="M589" s="3">
        <f t="shared" si="101"/>
        <v>0</v>
      </c>
      <c r="N589" s="3" t="str">
        <f t="shared" si="102"/>
        <v>01</v>
      </c>
      <c r="O589" s="14" t="str">
        <f t="shared" si="102"/>
        <v>00</v>
      </c>
      <c r="R589" s="6">
        <v>505</v>
      </c>
      <c r="S589" s="5">
        <f t="shared" si="109"/>
        <v>0</v>
      </c>
    </row>
    <row r="590" spans="1:23" hidden="1">
      <c r="J590" s="1" t="str">
        <f t="shared" si="98"/>
        <v>0</v>
      </c>
      <c r="K590" s="3">
        <f t="shared" si="99"/>
        <v>-100</v>
      </c>
      <c r="L590" s="3">
        <f t="shared" si="100"/>
        <v>1</v>
      </c>
      <c r="M590" s="3">
        <f t="shared" si="101"/>
        <v>0</v>
      </c>
      <c r="N590" s="3" t="str">
        <f t="shared" ref="N590:O619" si="110">+IF(L590&lt;10,_xlfn.CONCAT("0",L590),L590)</f>
        <v>01</v>
      </c>
      <c r="O590" s="14" t="str">
        <f t="shared" si="110"/>
        <v>00</v>
      </c>
      <c r="R590" s="6">
        <v>505</v>
      </c>
      <c r="S590" s="5">
        <f t="shared" si="109"/>
        <v>0</v>
      </c>
    </row>
    <row r="591" spans="1:23" hidden="1">
      <c r="J591" s="1" t="str">
        <f t="shared" si="98"/>
        <v>0</v>
      </c>
      <c r="K591" s="3">
        <f t="shared" si="99"/>
        <v>-100</v>
      </c>
      <c r="L591" s="3">
        <f t="shared" si="100"/>
        <v>1</v>
      </c>
      <c r="M591" s="3">
        <f t="shared" si="101"/>
        <v>0</v>
      </c>
      <c r="N591" s="3" t="str">
        <f t="shared" si="110"/>
        <v>01</v>
      </c>
      <c r="O591" s="14" t="str">
        <f t="shared" si="110"/>
        <v>00</v>
      </c>
      <c r="R591" s="6">
        <v>505</v>
      </c>
      <c r="S591" s="5">
        <f t="shared" si="109"/>
        <v>0</v>
      </c>
    </row>
    <row r="592" spans="1:23" hidden="1">
      <c r="J592" s="1" t="str">
        <f t="shared" si="98"/>
        <v>0</v>
      </c>
      <c r="K592" s="3">
        <f t="shared" si="99"/>
        <v>-100</v>
      </c>
      <c r="L592" s="3">
        <f t="shared" si="100"/>
        <v>1</v>
      </c>
      <c r="M592" s="3">
        <f t="shared" si="101"/>
        <v>0</v>
      </c>
      <c r="N592" s="3" t="str">
        <f t="shared" si="110"/>
        <v>01</v>
      </c>
      <c r="O592" s="14" t="str">
        <f t="shared" si="110"/>
        <v>00</v>
      </c>
      <c r="R592" s="6">
        <v>505</v>
      </c>
      <c r="S592" s="5">
        <f t="shared" si="109"/>
        <v>0</v>
      </c>
    </row>
    <row r="593" spans="1:23" hidden="1">
      <c r="J593" s="1" t="str">
        <f t="shared" si="98"/>
        <v>0</v>
      </c>
      <c r="K593" s="3">
        <f t="shared" si="99"/>
        <v>-100</v>
      </c>
      <c r="L593" s="3">
        <f t="shared" si="100"/>
        <v>1</v>
      </c>
      <c r="M593" s="3">
        <f t="shared" si="101"/>
        <v>0</v>
      </c>
      <c r="N593" s="3" t="str">
        <f t="shared" si="110"/>
        <v>01</v>
      </c>
      <c r="O593" s="14" t="str">
        <f t="shared" si="110"/>
        <v>00</v>
      </c>
      <c r="R593" s="6">
        <v>505</v>
      </c>
      <c r="S593" s="5">
        <f t="shared" si="109"/>
        <v>0</v>
      </c>
    </row>
    <row r="594" spans="1:23" s="42" customFormat="1" hidden="1">
      <c r="A594" s="3"/>
      <c r="B594" s="1"/>
      <c r="C594" s="1"/>
      <c r="D594" s="1"/>
      <c r="E594" s="1"/>
      <c r="F594" s="1"/>
      <c r="G594" s="1"/>
      <c r="H594" s="2"/>
      <c r="I594" s="36"/>
      <c r="J594" s="1" t="str">
        <f t="shared" si="98"/>
        <v>0</v>
      </c>
      <c r="K594" s="3">
        <f t="shared" si="99"/>
        <v>-100</v>
      </c>
      <c r="L594" s="3">
        <f t="shared" si="100"/>
        <v>1</v>
      </c>
      <c r="M594" s="3">
        <f t="shared" si="101"/>
        <v>0</v>
      </c>
      <c r="N594" s="3" t="str">
        <f t="shared" si="110"/>
        <v>01</v>
      </c>
      <c r="O594" s="14" t="str">
        <f t="shared" si="110"/>
        <v>00</v>
      </c>
      <c r="P594" s="4"/>
      <c r="Q594" s="5"/>
      <c r="R594" s="6">
        <v>505</v>
      </c>
      <c r="S594" s="5">
        <f t="shared" si="109"/>
        <v>0</v>
      </c>
      <c r="T594" s="5"/>
      <c r="U594" s="3"/>
      <c r="V594" s="3"/>
      <c r="W594" s="3"/>
    </row>
    <row r="595" spans="1:23" hidden="1">
      <c r="J595" s="1" t="str">
        <f t="shared" si="98"/>
        <v>0</v>
      </c>
      <c r="K595" s="3">
        <f t="shared" si="99"/>
        <v>-100</v>
      </c>
      <c r="L595" s="3">
        <f t="shared" si="100"/>
        <v>1</v>
      </c>
      <c r="M595" s="3">
        <f t="shared" si="101"/>
        <v>0</v>
      </c>
      <c r="N595" s="3" t="str">
        <f t="shared" si="110"/>
        <v>01</v>
      </c>
      <c r="O595" s="14" t="str">
        <f t="shared" si="110"/>
        <v>00</v>
      </c>
      <c r="R595" s="6">
        <v>505</v>
      </c>
      <c r="S595" s="5">
        <f t="shared" si="109"/>
        <v>0</v>
      </c>
    </row>
    <row r="596" spans="1:23" hidden="1">
      <c r="J596" s="1" t="str">
        <f t="shared" si="98"/>
        <v>0</v>
      </c>
      <c r="K596" s="3">
        <f t="shared" si="99"/>
        <v>-100</v>
      </c>
      <c r="L596" s="3">
        <f t="shared" si="100"/>
        <v>1</v>
      </c>
      <c r="M596" s="3">
        <f t="shared" si="101"/>
        <v>0</v>
      </c>
      <c r="N596" s="3" t="str">
        <f t="shared" si="110"/>
        <v>01</v>
      </c>
      <c r="O596" s="14" t="str">
        <f t="shared" si="110"/>
        <v>00</v>
      </c>
      <c r="R596" s="6">
        <v>505</v>
      </c>
      <c r="S596" s="5">
        <f t="shared" si="109"/>
        <v>0</v>
      </c>
    </row>
    <row r="597" spans="1:23" hidden="1">
      <c r="G597" s="38"/>
      <c r="H597" s="37"/>
      <c r="J597" s="1" t="str">
        <f t="shared" si="98"/>
        <v>0</v>
      </c>
      <c r="K597" s="3">
        <f t="shared" si="99"/>
        <v>-100</v>
      </c>
      <c r="L597" s="3">
        <f t="shared" si="100"/>
        <v>1</v>
      </c>
      <c r="M597" s="3">
        <f t="shared" si="101"/>
        <v>0</v>
      </c>
      <c r="N597" s="3" t="str">
        <f t="shared" si="110"/>
        <v>01</v>
      </c>
      <c r="O597" s="14" t="str">
        <f t="shared" si="110"/>
        <v>00</v>
      </c>
      <c r="P597" s="39"/>
      <c r="Q597" s="40"/>
      <c r="R597" s="41">
        <v>505</v>
      </c>
      <c r="S597" s="5">
        <f t="shared" si="109"/>
        <v>0</v>
      </c>
      <c r="T597" s="40"/>
      <c r="U597" s="42"/>
      <c r="V597" s="42"/>
      <c r="W597" s="42"/>
    </row>
    <row r="598" spans="1:23" hidden="1">
      <c r="J598" s="1" t="str">
        <f t="shared" si="98"/>
        <v>0</v>
      </c>
      <c r="K598" s="3">
        <f t="shared" si="99"/>
        <v>-100</v>
      </c>
      <c r="L598" s="3">
        <f t="shared" si="100"/>
        <v>1</v>
      </c>
      <c r="M598" s="3">
        <f t="shared" si="101"/>
        <v>0</v>
      </c>
      <c r="N598" s="3" t="str">
        <f t="shared" si="110"/>
        <v>01</v>
      </c>
      <c r="O598" s="14" t="str">
        <f t="shared" si="110"/>
        <v>00</v>
      </c>
      <c r="R598" s="6">
        <v>505</v>
      </c>
      <c r="S598" s="5">
        <f t="shared" si="109"/>
        <v>0</v>
      </c>
    </row>
    <row r="599" spans="1:23">
      <c r="A599" s="3">
        <v>592</v>
      </c>
      <c r="B599" s="1">
        <f t="shared" si="104"/>
        <v>0</v>
      </c>
      <c r="C599" s="1">
        <f t="shared" si="105"/>
        <v>0</v>
      </c>
      <c r="D599" s="1">
        <f t="shared" si="106"/>
        <v>0</v>
      </c>
      <c r="E599" s="1">
        <f t="shared" ref="E599:F615" si="111">IF(U599="",1,0)</f>
        <v>1</v>
      </c>
      <c r="F599" s="1">
        <f t="shared" si="111"/>
        <v>0</v>
      </c>
      <c r="G599" s="1" t="str">
        <f t="shared" si="108"/>
        <v>24052101</v>
      </c>
      <c r="H599" s="2">
        <v>45433</v>
      </c>
      <c r="I599" s="36">
        <v>1</v>
      </c>
      <c r="J599" s="1" t="str">
        <f t="shared" si="98"/>
        <v>01</v>
      </c>
      <c r="K599" s="3">
        <f t="shared" si="99"/>
        <v>24</v>
      </c>
      <c r="L599" s="3">
        <f t="shared" si="100"/>
        <v>5</v>
      </c>
      <c r="M599" s="3">
        <f t="shared" si="101"/>
        <v>21</v>
      </c>
      <c r="N599" s="3" t="str">
        <f t="shared" si="110"/>
        <v>05</v>
      </c>
      <c r="O599" s="14">
        <f t="shared" si="110"/>
        <v>21</v>
      </c>
      <c r="P599" s="4">
        <v>3795.31</v>
      </c>
      <c r="R599" s="6">
        <v>506</v>
      </c>
      <c r="S599" s="5">
        <f t="shared" si="109"/>
        <v>7.5006126482213435</v>
      </c>
      <c r="T599" s="5" t="s">
        <v>147</v>
      </c>
      <c r="V599" s="3" t="s">
        <v>5</v>
      </c>
    </row>
    <row r="600" spans="1:23" hidden="1">
      <c r="J600" s="1" t="str">
        <f t="shared" si="98"/>
        <v>0</v>
      </c>
      <c r="K600" s="3">
        <f t="shared" si="99"/>
        <v>-100</v>
      </c>
      <c r="L600" s="3">
        <f t="shared" si="100"/>
        <v>1</v>
      </c>
      <c r="M600" s="3">
        <f t="shared" si="101"/>
        <v>0</v>
      </c>
      <c r="N600" s="3" t="str">
        <f t="shared" si="110"/>
        <v>01</v>
      </c>
      <c r="O600" s="14" t="str">
        <f t="shared" si="110"/>
        <v>00</v>
      </c>
      <c r="R600" s="6">
        <v>506</v>
      </c>
      <c r="S600" s="5">
        <f t="shared" si="109"/>
        <v>0</v>
      </c>
    </row>
    <row r="601" spans="1:23" hidden="1">
      <c r="J601" s="1" t="str">
        <f t="shared" si="98"/>
        <v>0</v>
      </c>
      <c r="K601" s="3">
        <f t="shared" si="99"/>
        <v>-100</v>
      </c>
      <c r="L601" s="3">
        <f t="shared" si="100"/>
        <v>1</v>
      </c>
      <c r="M601" s="3">
        <f t="shared" si="101"/>
        <v>0</v>
      </c>
      <c r="N601" s="3" t="str">
        <f t="shared" si="110"/>
        <v>01</v>
      </c>
      <c r="O601" s="14" t="str">
        <f t="shared" si="110"/>
        <v>00</v>
      </c>
    </row>
    <row r="602" spans="1:23" hidden="1">
      <c r="J602" s="1" t="str">
        <f t="shared" si="98"/>
        <v>0</v>
      </c>
      <c r="K602" s="3">
        <f t="shared" si="99"/>
        <v>-100</v>
      </c>
      <c r="L602" s="3">
        <f t="shared" si="100"/>
        <v>1</v>
      </c>
      <c r="M602" s="3">
        <f t="shared" si="101"/>
        <v>0</v>
      </c>
      <c r="N602" s="3" t="str">
        <f t="shared" si="110"/>
        <v>01</v>
      </c>
      <c r="O602" s="14" t="str">
        <f t="shared" si="110"/>
        <v>00</v>
      </c>
    </row>
    <row r="603" spans="1:23" hidden="1">
      <c r="J603" s="1" t="str">
        <f t="shared" si="98"/>
        <v>0</v>
      </c>
      <c r="K603" s="3">
        <f t="shared" si="99"/>
        <v>-100</v>
      </c>
      <c r="L603" s="3">
        <f t="shared" si="100"/>
        <v>1</v>
      </c>
      <c r="M603" s="3">
        <f t="shared" si="101"/>
        <v>0</v>
      </c>
      <c r="N603" s="3" t="str">
        <f t="shared" si="110"/>
        <v>01</v>
      </c>
      <c r="O603" s="14" t="str">
        <f t="shared" si="110"/>
        <v>00</v>
      </c>
      <c r="R603" s="6">
        <v>506</v>
      </c>
      <c r="S603" s="5">
        <f t="shared" ref="S603:S618" si="112">IFERROR(P603/R603,"")</f>
        <v>0</v>
      </c>
    </row>
    <row r="604" spans="1:23" hidden="1">
      <c r="J604" s="1" t="str">
        <f t="shared" si="98"/>
        <v>0</v>
      </c>
      <c r="K604" s="3">
        <f t="shared" si="99"/>
        <v>-100</v>
      </c>
      <c r="L604" s="3">
        <f t="shared" si="100"/>
        <v>1</v>
      </c>
      <c r="M604" s="3">
        <f t="shared" si="101"/>
        <v>0</v>
      </c>
      <c r="N604" s="3" t="str">
        <f t="shared" si="110"/>
        <v>01</v>
      </c>
      <c r="O604" s="14" t="str">
        <f t="shared" si="110"/>
        <v>00</v>
      </c>
      <c r="R604" s="6">
        <v>506</v>
      </c>
      <c r="S604" s="5">
        <f t="shared" si="112"/>
        <v>0</v>
      </c>
    </row>
    <row r="605" spans="1:23" hidden="1">
      <c r="H605" s="8"/>
      <c r="J605" s="1" t="str">
        <f t="shared" si="98"/>
        <v>0</v>
      </c>
      <c r="K605" s="3">
        <f t="shared" si="99"/>
        <v>-100</v>
      </c>
      <c r="L605" s="3">
        <f t="shared" si="100"/>
        <v>1</v>
      </c>
      <c r="M605" s="3">
        <f t="shared" si="101"/>
        <v>0</v>
      </c>
      <c r="N605" s="3" t="str">
        <f t="shared" si="110"/>
        <v>01</v>
      </c>
      <c r="O605" s="14" t="str">
        <f t="shared" si="110"/>
        <v>00</v>
      </c>
      <c r="P605" s="53"/>
      <c r="Q605" s="54"/>
      <c r="R605" s="55">
        <v>506</v>
      </c>
      <c r="S605" s="5">
        <f t="shared" si="112"/>
        <v>0</v>
      </c>
      <c r="T605" s="54"/>
      <c r="U605" s="56"/>
      <c r="V605" s="56"/>
    </row>
    <row r="606" spans="1:23" hidden="1">
      <c r="J606" s="1" t="str">
        <f t="shared" si="98"/>
        <v>0</v>
      </c>
      <c r="K606" s="3">
        <f t="shared" si="99"/>
        <v>-100</v>
      </c>
      <c r="L606" s="3">
        <f t="shared" si="100"/>
        <v>1</v>
      </c>
      <c r="M606" s="3">
        <f t="shared" si="101"/>
        <v>0</v>
      </c>
      <c r="N606" s="3" t="str">
        <f t="shared" si="110"/>
        <v>01</v>
      </c>
      <c r="O606" s="14" t="str">
        <f t="shared" si="110"/>
        <v>00</v>
      </c>
      <c r="R606" s="6">
        <v>507</v>
      </c>
      <c r="S606" s="5">
        <f t="shared" si="112"/>
        <v>0</v>
      </c>
    </row>
    <row r="607" spans="1:23" hidden="1">
      <c r="J607" s="1" t="str">
        <f t="shared" si="98"/>
        <v>0</v>
      </c>
      <c r="K607" s="3">
        <f t="shared" si="99"/>
        <v>-100</v>
      </c>
      <c r="L607" s="3">
        <f t="shared" si="100"/>
        <v>1</v>
      </c>
      <c r="M607" s="3">
        <f t="shared" si="101"/>
        <v>0</v>
      </c>
      <c r="N607" s="3" t="str">
        <f t="shared" si="110"/>
        <v>01</v>
      </c>
      <c r="O607" s="14" t="str">
        <f t="shared" si="110"/>
        <v>00</v>
      </c>
      <c r="R607" s="6">
        <v>507</v>
      </c>
      <c r="S607" s="5">
        <f t="shared" si="112"/>
        <v>0</v>
      </c>
    </row>
    <row r="608" spans="1:23" hidden="1">
      <c r="J608" s="1" t="str">
        <f t="shared" si="98"/>
        <v>0</v>
      </c>
      <c r="K608" s="3">
        <f t="shared" si="99"/>
        <v>-100</v>
      </c>
      <c r="L608" s="3">
        <f t="shared" si="100"/>
        <v>1</v>
      </c>
      <c r="M608" s="3">
        <f t="shared" si="101"/>
        <v>0</v>
      </c>
      <c r="N608" s="3" t="str">
        <f t="shared" si="110"/>
        <v>01</v>
      </c>
      <c r="O608" s="14" t="str">
        <f t="shared" si="110"/>
        <v>00</v>
      </c>
      <c r="R608" s="6">
        <v>507</v>
      </c>
      <c r="S608" s="5">
        <f t="shared" si="112"/>
        <v>0</v>
      </c>
    </row>
    <row r="609" spans="1:23" hidden="1">
      <c r="J609" s="1" t="str">
        <f t="shared" si="98"/>
        <v>0</v>
      </c>
      <c r="K609" s="3">
        <f t="shared" si="99"/>
        <v>-100</v>
      </c>
      <c r="L609" s="3">
        <f t="shared" si="100"/>
        <v>1</v>
      </c>
      <c r="M609" s="3">
        <f t="shared" si="101"/>
        <v>0</v>
      </c>
      <c r="N609" s="3" t="str">
        <f t="shared" si="110"/>
        <v>01</v>
      </c>
      <c r="O609" s="14" t="str">
        <f t="shared" si="110"/>
        <v>00</v>
      </c>
      <c r="R609" s="6">
        <v>507</v>
      </c>
      <c r="S609" s="5">
        <f t="shared" si="112"/>
        <v>0</v>
      </c>
    </row>
    <row r="610" spans="1:23" hidden="1">
      <c r="J610" s="1" t="str">
        <f t="shared" si="98"/>
        <v>0</v>
      </c>
      <c r="K610" s="3">
        <f t="shared" si="99"/>
        <v>-100</v>
      </c>
      <c r="L610" s="3">
        <f t="shared" si="100"/>
        <v>1</v>
      </c>
      <c r="M610" s="3">
        <f t="shared" si="101"/>
        <v>0</v>
      </c>
      <c r="N610" s="3" t="str">
        <f t="shared" si="110"/>
        <v>01</v>
      </c>
      <c r="O610" s="14" t="str">
        <f t="shared" si="110"/>
        <v>00</v>
      </c>
      <c r="R610" s="6">
        <v>507</v>
      </c>
      <c r="S610" s="5">
        <f t="shared" si="112"/>
        <v>0</v>
      </c>
    </row>
    <row r="611" spans="1:23" hidden="1">
      <c r="J611" s="1" t="str">
        <f t="shared" si="98"/>
        <v>0</v>
      </c>
      <c r="K611" s="3">
        <f t="shared" si="99"/>
        <v>-100</v>
      </c>
      <c r="L611" s="3">
        <f t="shared" si="100"/>
        <v>1</v>
      </c>
      <c r="M611" s="3">
        <f t="shared" si="101"/>
        <v>0</v>
      </c>
      <c r="N611" s="3" t="str">
        <f t="shared" si="110"/>
        <v>01</v>
      </c>
      <c r="O611" s="14" t="str">
        <f t="shared" si="110"/>
        <v>00</v>
      </c>
      <c r="R611" s="6">
        <v>507</v>
      </c>
      <c r="S611" s="5">
        <f t="shared" si="112"/>
        <v>0</v>
      </c>
    </row>
    <row r="612" spans="1:23" hidden="1">
      <c r="J612" s="1" t="str">
        <f t="shared" si="98"/>
        <v>0</v>
      </c>
      <c r="K612" s="3">
        <f t="shared" si="99"/>
        <v>-100</v>
      </c>
      <c r="L612" s="3">
        <f t="shared" si="100"/>
        <v>1</v>
      </c>
      <c r="M612" s="3">
        <f t="shared" si="101"/>
        <v>0</v>
      </c>
      <c r="N612" s="3" t="str">
        <f t="shared" si="110"/>
        <v>01</v>
      </c>
      <c r="O612" s="14" t="str">
        <f t="shared" si="110"/>
        <v>00</v>
      </c>
      <c r="R612" s="6">
        <v>507</v>
      </c>
      <c r="S612" s="5">
        <f t="shared" si="112"/>
        <v>0</v>
      </c>
    </row>
    <row r="613" spans="1:23" hidden="1">
      <c r="J613" s="1" t="str">
        <f t="shared" si="98"/>
        <v>0</v>
      </c>
      <c r="K613" s="3">
        <f t="shared" si="99"/>
        <v>-100</v>
      </c>
      <c r="L613" s="3">
        <f t="shared" si="100"/>
        <v>1</v>
      </c>
      <c r="M613" s="3">
        <f t="shared" si="101"/>
        <v>0</v>
      </c>
      <c r="N613" s="3" t="str">
        <f t="shared" si="110"/>
        <v>01</v>
      </c>
      <c r="O613" s="14" t="str">
        <f t="shared" si="110"/>
        <v>00</v>
      </c>
      <c r="R613" s="6">
        <v>507</v>
      </c>
      <c r="S613" s="5">
        <f t="shared" si="112"/>
        <v>0</v>
      </c>
    </row>
    <row r="614" spans="1:23" hidden="1">
      <c r="J614" s="1" t="str">
        <f t="shared" si="98"/>
        <v>0</v>
      </c>
      <c r="K614" s="3">
        <f t="shared" si="99"/>
        <v>-100</v>
      </c>
      <c r="L614" s="3">
        <f t="shared" si="100"/>
        <v>1</v>
      </c>
      <c r="M614" s="3">
        <f t="shared" si="101"/>
        <v>0</v>
      </c>
      <c r="N614" s="3" t="str">
        <f t="shared" si="110"/>
        <v>01</v>
      </c>
      <c r="O614" s="14" t="str">
        <f t="shared" si="110"/>
        <v>00</v>
      </c>
      <c r="R614" s="6">
        <v>507</v>
      </c>
      <c r="S614" s="5">
        <f t="shared" si="112"/>
        <v>0</v>
      </c>
    </row>
    <row r="615" spans="1:23">
      <c r="A615" s="3">
        <v>608</v>
      </c>
      <c r="B615" s="1">
        <f t="shared" si="104"/>
        <v>0</v>
      </c>
      <c r="C615" s="1">
        <f t="shared" si="105"/>
        <v>1</v>
      </c>
      <c r="D615" s="1">
        <f t="shared" si="106"/>
        <v>0</v>
      </c>
      <c r="E615" s="1">
        <f t="shared" si="111"/>
        <v>0</v>
      </c>
      <c r="F615" s="1">
        <f t="shared" si="111"/>
        <v>0</v>
      </c>
      <c r="G615" s="1" t="str">
        <f t="shared" si="108"/>
        <v>24052210</v>
      </c>
      <c r="H615" s="2">
        <v>45434</v>
      </c>
      <c r="I615" s="36">
        <v>10</v>
      </c>
      <c r="J615" s="1">
        <f t="shared" si="98"/>
        <v>10</v>
      </c>
      <c r="K615" s="3">
        <f t="shared" si="99"/>
        <v>24</v>
      </c>
      <c r="L615" s="3">
        <f t="shared" si="100"/>
        <v>5</v>
      </c>
      <c r="M615" s="3">
        <f t="shared" si="101"/>
        <v>22</v>
      </c>
      <c r="N615" s="3" t="str">
        <f t="shared" si="110"/>
        <v>05</v>
      </c>
      <c r="O615" s="14">
        <f t="shared" si="110"/>
        <v>22</v>
      </c>
      <c r="Q615" s="5">
        <v>124.3</v>
      </c>
      <c r="S615" s="5" t="str">
        <f t="shared" si="112"/>
        <v/>
      </c>
      <c r="T615" s="5" t="s">
        <v>198</v>
      </c>
      <c r="U615" s="3" t="s">
        <v>3</v>
      </c>
      <c r="V615" s="3" t="s">
        <v>5</v>
      </c>
      <c r="W615" s="3">
        <v>24052101</v>
      </c>
    </row>
    <row r="616" spans="1:23" hidden="1">
      <c r="J616" s="1" t="str">
        <f t="shared" si="98"/>
        <v>0</v>
      </c>
      <c r="K616" s="3">
        <f t="shared" si="99"/>
        <v>-100</v>
      </c>
      <c r="L616" s="3">
        <f t="shared" si="100"/>
        <v>1</v>
      </c>
      <c r="M616" s="3">
        <f t="shared" si="101"/>
        <v>0</v>
      </c>
      <c r="N616" s="3" t="str">
        <f t="shared" si="110"/>
        <v>01</v>
      </c>
      <c r="O616" s="14" t="str">
        <f t="shared" si="110"/>
        <v>00</v>
      </c>
      <c r="R616" s="6">
        <v>507</v>
      </c>
      <c r="S616" s="5">
        <f t="shared" si="112"/>
        <v>0</v>
      </c>
    </row>
    <row r="617" spans="1:23" hidden="1">
      <c r="J617" s="1" t="str">
        <f t="shared" si="98"/>
        <v>0</v>
      </c>
      <c r="K617" s="3">
        <f t="shared" si="99"/>
        <v>-100</v>
      </c>
      <c r="L617" s="3">
        <f t="shared" si="100"/>
        <v>1</v>
      </c>
      <c r="M617" s="3">
        <f t="shared" si="101"/>
        <v>0</v>
      </c>
      <c r="N617" s="3" t="str">
        <f t="shared" si="110"/>
        <v>01</v>
      </c>
      <c r="O617" s="14" t="str">
        <f t="shared" si="110"/>
        <v>00</v>
      </c>
      <c r="R617" s="6">
        <v>507</v>
      </c>
      <c r="S617" s="5">
        <f t="shared" si="112"/>
        <v>0</v>
      </c>
    </row>
    <row r="618" spans="1:23" hidden="1">
      <c r="J618" s="1" t="str">
        <f t="shared" si="98"/>
        <v>0</v>
      </c>
      <c r="K618" s="3">
        <f t="shared" si="99"/>
        <v>-100</v>
      </c>
      <c r="L618" s="3">
        <f t="shared" si="100"/>
        <v>1</v>
      </c>
      <c r="M618" s="3">
        <f t="shared" si="101"/>
        <v>0</v>
      </c>
      <c r="N618" s="3" t="str">
        <f t="shared" si="110"/>
        <v>01</v>
      </c>
      <c r="O618" s="14" t="str">
        <f t="shared" si="110"/>
        <v>00</v>
      </c>
      <c r="R618" s="6">
        <v>507</v>
      </c>
      <c r="S618" s="5">
        <f t="shared" si="112"/>
        <v>0</v>
      </c>
    </row>
    <row r="619" spans="1:23" hidden="1">
      <c r="J619" s="1" t="str">
        <f t="shared" si="98"/>
        <v>0</v>
      </c>
      <c r="K619" s="3">
        <f t="shared" si="99"/>
        <v>-100</v>
      </c>
      <c r="L619" s="3">
        <f t="shared" si="100"/>
        <v>1</v>
      </c>
      <c r="M619" s="3">
        <f t="shared" si="101"/>
        <v>0</v>
      </c>
      <c r="N619" s="3" t="str">
        <f t="shared" si="110"/>
        <v>01</v>
      </c>
      <c r="O619" s="14" t="str">
        <f t="shared" si="110"/>
        <v>00</v>
      </c>
      <c r="P619" s="11"/>
      <c r="Q619" s="12"/>
      <c r="R619" s="13"/>
      <c r="S619" s="12"/>
      <c r="T619" s="12"/>
      <c r="U619" s="10"/>
      <c r="V619" s="10"/>
    </row>
    <row r="620" spans="1:23" hidden="1"/>
    <row r="621" spans="1:23" hidden="1">
      <c r="J621" s="1" t="str">
        <f t="shared" ref="J621:J684" si="113">+IF(I621&lt;10,_xlfn.CONCAT("0",I621),I621)</f>
        <v>0</v>
      </c>
      <c r="K621" s="3">
        <f t="shared" ref="K621:K684" si="114">+YEAR(H621)-2000</f>
        <v>-100</v>
      </c>
      <c r="L621" s="3">
        <f t="shared" ref="L621:L684" si="115">+MONTH(H621)</f>
        <v>1</v>
      </c>
      <c r="M621" s="3">
        <f t="shared" ref="M621:M684" si="116">+DAY(H621)</f>
        <v>0</v>
      </c>
      <c r="N621" s="3" t="str">
        <f t="shared" ref="N621:O652" si="117">+IF(L621&lt;10,_xlfn.CONCAT("0",L621),L621)</f>
        <v>01</v>
      </c>
      <c r="O621" s="14" t="str">
        <f t="shared" si="117"/>
        <v>00</v>
      </c>
      <c r="R621" s="6">
        <v>508</v>
      </c>
      <c r="S621" s="5">
        <f t="shared" ref="S621:S684" si="118">IFERROR(P621/R621,"")</f>
        <v>0</v>
      </c>
    </row>
    <row r="622" spans="1:23" hidden="1">
      <c r="J622" s="1" t="str">
        <f t="shared" si="113"/>
        <v>0</v>
      </c>
      <c r="K622" s="3">
        <f t="shared" si="114"/>
        <v>-100</v>
      </c>
      <c r="L622" s="3">
        <f t="shared" si="115"/>
        <v>1</v>
      </c>
      <c r="M622" s="3">
        <f t="shared" si="116"/>
        <v>0</v>
      </c>
      <c r="N622" s="3" t="str">
        <f t="shared" si="117"/>
        <v>01</v>
      </c>
      <c r="O622" s="14" t="str">
        <f t="shared" si="117"/>
        <v>00</v>
      </c>
      <c r="S622" s="5" t="str">
        <f t="shared" si="118"/>
        <v/>
      </c>
    </row>
    <row r="623" spans="1:23" hidden="1">
      <c r="J623" s="1" t="str">
        <f t="shared" si="113"/>
        <v>0</v>
      </c>
      <c r="K623" s="3">
        <f t="shared" si="114"/>
        <v>-100</v>
      </c>
      <c r="L623" s="3">
        <f t="shared" si="115"/>
        <v>1</v>
      </c>
      <c r="M623" s="3">
        <f t="shared" si="116"/>
        <v>0</v>
      </c>
      <c r="N623" s="3" t="str">
        <f t="shared" si="117"/>
        <v>01</v>
      </c>
      <c r="O623" s="14" t="str">
        <f t="shared" si="117"/>
        <v>00</v>
      </c>
      <c r="R623" s="6">
        <v>508</v>
      </c>
      <c r="S623" s="5">
        <f t="shared" si="118"/>
        <v>0</v>
      </c>
    </row>
    <row r="624" spans="1:23" hidden="1">
      <c r="J624" s="1" t="str">
        <f t="shared" si="113"/>
        <v>0</v>
      </c>
      <c r="K624" s="3">
        <f t="shared" si="114"/>
        <v>-100</v>
      </c>
      <c r="L624" s="3">
        <f t="shared" si="115"/>
        <v>1</v>
      </c>
      <c r="M624" s="3">
        <f t="shared" si="116"/>
        <v>0</v>
      </c>
      <c r="N624" s="3" t="str">
        <f t="shared" si="117"/>
        <v>01</v>
      </c>
      <c r="O624" s="14" t="str">
        <f t="shared" si="117"/>
        <v>00</v>
      </c>
      <c r="R624" s="6">
        <v>508</v>
      </c>
      <c r="S624" s="5">
        <f t="shared" si="118"/>
        <v>0</v>
      </c>
    </row>
    <row r="625" spans="10:20" hidden="1">
      <c r="J625" s="1" t="str">
        <f t="shared" si="113"/>
        <v>0</v>
      </c>
      <c r="K625" s="3">
        <f t="shared" si="114"/>
        <v>-100</v>
      </c>
      <c r="L625" s="3">
        <f t="shared" si="115"/>
        <v>1</v>
      </c>
      <c r="M625" s="3">
        <f t="shared" si="116"/>
        <v>0</v>
      </c>
      <c r="N625" s="3" t="str">
        <f t="shared" si="117"/>
        <v>01</v>
      </c>
      <c r="O625" s="14" t="str">
        <f t="shared" si="117"/>
        <v>00</v>
      </c>
      <c r="R625" s="6">
        <v>508</v>
      </c>
      <c r="S625" s="5">
        <f t="shared" si="118"/>
        <v>0</v>
      </c>
    </row>
    <row r="626" spans="10:20" hidden="1">
      <c r="J626" s="1" t="str">
        <f t="shared" si="113"/>
        <v>0</v>
      </c>
      <c r="K626" s="3">
        <f t="shared" si="114"/>
        <v>-100</v>
      </c>
      <c r="L626" s="3">
        <f t="shared" si="115"/>
        <v>1</v>
      </c>
      <c r="M626" s="3">
        <f t="shared" si="116"/>
        <v>0</v>
      </c>
      <c r="N626" s="3" t="str">
        <f t="shared" si="117"/>
        <v>01</v>
      </c>
      <c r="O626" s="14" t="str">
        <f t="shared" si="117"/>
        <v>00</v>
      </c>
      <c r="R626" s="6">
        <v>508</v>
      </c>
      <c r="S626" s="5">
        <f t="shared" si="118"/>
        <v>0</v>
      </c>
    </row>
    <row r="627" spans="10:20" hidden="1">
      <c r="J627" s="1" t="str">
        <f t="shared" si="113"/>
        <v>0</v>
      </c>
      <c r="K627" s="3">
        <f t="shared" si="114"/>
        <v>-100</v>
      </c>
      <c r="L627" s="3">
        <f t="shared" si="115"/>
        <v>1</v>
      </c>
      <c r="M627" s="3">
        <f t="shared" si="116"/>
        <v>0</v>
      </c>
      <c r="N627" s="3" t="str">
        <f t="shared" si="117"/>
        <v>01</v>
      </c>
      <c r="O627" s="14" t="str">
        <f t="shared" si="117"/>
        <v>00</v>
      </c>
      <c r="R627" s="6">
        <v>512</v>
      </c>
      <c r="S627" s="5">
        <f t="shared" si="118"/>
        <v>0</v>
      </c>
    </row>
    <row r="628" spans="10:20" hidden="1">
      <c r="J628" s="1" t="str">
        <f t="shared" si="113"/>
        <v>0</v>
      </c>
      <c r="K628" s="3">
        <f t="shared" si="114"/>
        <v>-100</v>
      </c>
      <c r="L628" s="3">
        <f t="shared" si="115"/>
        <v>1</v>
      </c>
      <c r="M628" s="3">
        <f t="shared" si="116"/>
        <v>0</v>
      </c>
      <c r="N628" s="3" t="str">
        <f t="shared" si="117"/>
        <v>01</v>
      </c>
      <c r="O628" s="14" t="str">
        <f t="shared" si="117"/>
        <v>00</v>
      </c>
      <c r="R628" s="6">
        <v>512</v>
      </c>
      <c r="S628" s="5">
        <f t="shared" si="118"/>
        <v>0</v>
      </c>
    </row>
    <row r="629" spans="10:20" hidden="1">
      <c r="J629" s="1" t="str">
        <f t="shared" si="113"/>
        <v>0</v>
      </c>
      <c r="K629" s="3">
        <f t="shared" si="114"/>
        <v>-100</v>
      </c>
      <c r="L629" s="3">
        <f t="shared" si="115"/>
        <v>1</v>
      </c>
      <c r="M629" s="3">
        <f t="shared" si="116"/>
        <v>0</v>
      </c>
      <c r="N629" s="3" t="str">
        <f t="shared" si="117"/>
        <v>01</v>
      </c>
      <c r="O629" s="14" t="str">
        <f t="shared" si="117"/>
        <v>00</v>
      </c>
      <c r="S629" s="5" t="str">
        <f t="shared" si="118"/>
        <v/>
      </c>
    </row>
    <row r="630" spans="10:20" hidden="1">
      <c r="J630" s="1" t="str">
        <f t="shared" si="113"/>
        <v>0</v>
      </c>
      <c r="K630" s="3">
        <f t="shared" si="114"/>
        <v>-100</v>
      </c>
      <c r="L630" s="3">
        <f t="shared" si="115"/>
        <v>1</v>
      </c>
      <c r="M630" s="3">
        <f t="shared" si="116"/>
        <v>0</v>
      </c>
      <c r="N630" s="3" t="str">
        <f t="shared" si="117"/>
        <v>01</v>
      </c>
      <c r="O630" s="14" t="str">
        <f t="shared" si="117"/>
        <v>00</v>
      </c>
      <c r="R630" s="6">
        <v>512</v>
      </c>
      <c r="S630" s="5">
        <f t="shared" si="118"/>
        <v>0</v>
      </c>
    </row>
    <row r="631" spans="10:20" hidden="1">
      <c r="J631" s="1" t="str">
        <f t="shared" si="113"/>
        <v>0</v>
      </c>
      <c r="K631" s="3">
        <f t="shared" si="114"/>
        <v>-100</v>
      </c>
      <c r="L631" s="3">
        <f t="shared" si="115"/>
        <v>1</v>
      </c>
      <c r="M631" s="3">
        <f t="shared" si="116"/>
        <v>0</v>
      </c>
      <c r="N631" s="3" t="str">
        <f t="shared" si="117"/>
        <v>01</v>
      </c>
      <c r="O631" s="14" t="str">
        <f t="shared" si="117"/>
        <v>00</v>
      </c>
      <c r="R631" s="6">
        <v>512</v>
      </c>
      <c r="S631" s="5">
        <f t="shared" si="118"/>
        <v>0</v>
      </c>
    </row>
    <row r="632" spans="10:20" hidden="1">
      <c r="J632" s="1" t="str">
        <f t="shared" si="113"/>
        <v>0</v>
      </c>
      <c r="K632" s="3">
        <f t="shared" si="114"/>
        <v>-100</v>
      </c>
      <c r="L632" s="3">
        <f t="shared" si="115"/>
        <v>1</v>
      </c>
      <c r="M632" s="3">
        <f t="shared" si="116"/>
        <v>0</v>
      </c>
      <c r="N632" s="3" t="str">
        <f t="shared" si="117"/>
        <v>01</v>
      </c>
      <c r="O632" s="14" t="str">
        <f t="shared" si="117"/>
        <v>00</v>
      </c>
      <c r="R632" s="6">
        <v>512</v>
      </c>
      <c r="S632" s="5">
        <f t="shared" si="118"/>
        <v>0</v>
      </c>
    </row>
    <row r="633" spans="10:20" hidden="1">
      <c r="J633" s="1" t="str">
        <f t="shared" si="113"/>
        <v>0</v>
      </c>
      <c r="K633" s="3">
        <f t="shared" si="114"/>
        <v>-100</v>
      </c>
      <c r="L633" s="3">
        <f t="shared" si="115"/>
        <v>1</v>
      </c>
      <c r="M633" s="3">
        <f t="shared" si="116"/>
        <v>0</v>
      </c>
      <c r="N633" s="3" t="str">
        <f t="shared" si="117"/>
        <v>01</v>
      </c>
      <c r="O633" s="14" t="str">
        <f t="shared" si="117"/>
        <v>00</v>
      </c>
      <c r="R633" s="6">
        <v>512</v>
      </c>
      <c r="S633" s="5">
        <f t="shared" si="118"/>
        <v>0</v>
      </c>
    </row>
    <row r="634" spans="10:20" hidden="1">
      <c r="J634" s="1" t="str">
        <f t="shared" si="113"/>
        <v>0</v>
      </c>
      <c r="K634" s="3">
        <f t="shared" si="114"/>
        <v>-100</v>
      </c>
      <c r="L634" s="3">
        <f t="shared" si="115"/>
        <v>1</v>
      </c>
      <c r="M634" s="3">
        <f t="shared" si="116"/>
        <v>0</v>
      </c>
      <c r="N634" s="3" t="str">
        <f t="shared" si="117"/>
        <v>01</v>
      </c>
      <c r="O634" s="14" t="str">
        <f t="shared" si="117"/>
        <v>00</v>
      </c>
      <c r="R634" s="6">
        <v>512</v>
      </c>
      <c r="S634" s="5">
        <f t="shared" si="118"/>
        <v>0</v>
      </c>
    </row>
    <row r="635" spans="10:20" hidden="1">
      <c r="J635" s="1" t="str">
        <f t="shared" si="113"/>
        <v>0</v>
      </c>
      <c r="K635" s="3">
        <f t="shared" si="114"/>
        <v>-100</v>
      </c>
      <c r="L635" s="3">
        <f t="shared" si="115"/>
        <v>1</v>
      </c>
      <c r="M635" s="3">
        <f t="shared" si="116"/>
        <v>0</v>
      </c>
      <c r="N635" s="3" t="str">
        <f t="shared" si="117"/>
        <v>01</v>
      </c>
      <c r="O635" s="14" t="str">
        <f t="shared" si="117"/>
        <v>00</v>
      </c>
      <c r="R635" s="6">
        <v>512</v>
      </c>
      <c r="S635" s="5">
        <f t="shared" si="118"/>
        <v>0</v>
      </c>
    </row>
    <row r="636" spans="10:20" hidden="1">
      <c r="J636" s="1" t="str">
        <f t="shared" si="113"/>
        <v>0</v>
      </c>
      <c r="K636" s="3">
        <f t="shared" si="114"/>
        <v>-100</v>
      </c>
      <c r="L636" s="3">
        <f t="shared" si="115"/>
        <v>1</v>
      </c>
      <c r="M636" s="3">
        <f t="shared" si="116"/>
        <v>0</v>
      </c>
      <c r="N636" s="3" t="str">
        <f t="shared" si="117"/>
        <v>01</v>
      </c>
      <c r="O636" s="14" t="str">
        <f t="shared" si="117"/>
        <v>00</v>
      </c>
      <c r="P636" s="57"/>
      <c r="R636" s="6">
        <v>512</v>
      </c>
      <c r="S636" s="5">
        <f t="shared" si="118"/>
        <v>0</v>
      </c>
      <c r="T636" s="3"/>
    </row>
    <row r="637" spans="10:20" hidden="1">
      <c r="J637" s="1" t="str">
        <f t="shared" si="113"/>
        <v>0</v>
      </c>
      <c r="K637" s="3">
        <f t="shared" si="114"/>
        <v>-100</v>
      </c>
      <c r="L637" s="3">
        <f t="shared" si="115"/>
        <v>1</v>
      </c>
      <c r="M637" s="3">
        <f t="shared" si="116"/>
        <v>0</v>
      </c>
      <c r="N637" s="3" t="str">
        <f t="shared" si="117"/>
        <v>01</v>
      </c>
      <c r="O637" s="14" t="str">
        <f t="shared" si="117"/>
        <v>00</v>
      </c>
      <c r="P637" s="57"/>
      <c r="R637" s="6">
        <v>512</v>
      </c>
      <c r="S637" s="5">
        <f t="shared" si="118"/>
        <v>0</v>
      </c>
      <c r="T637" s="3"/>
    </row>
    <row r="638" spans="10:20" hidden="1">
      <c r="J638" s="1" t="str">
        <f t="shared" si="113"/>
        <v>0</v>
      </c>
      <c r="K638" s="3">
        <f t="shared" si="114"/>
        <v>-100</v>
      </c>
      <c r="L638" s="3">
        <f t="shared" si="115"/>
        <v>1</v>
      </c>
      <c r="M638" s="3">
        <f t="shared" si="116"/>
        <v>0</v>
      </c>
      <c r="N638" s="3" t="str">
        <f t="shared" si="117"/>
        <v>01</v>
      </c>
      <c r="O638" s="14" t="str">
        <f t="shared" si="117"/>
        <v>00</v>
      </c>
      <c r="P638" s="57"/>
      <c r="R638" s="6">
        <v>512</v>
      </c>
      <c r="S638" s="5">
        <f t="shared" si="118"/>
        <v>0</v>
      </c>
      <c r="T638" s="3"/>
    </row>
    <row r="639" spans="10:20" hidden="1">
      <c r="J639" s="1" t="str">
        <f t="shared" si="113"/>
        <v>0</v>
      </c>
      <c r="K639" s="3">
        <f t="shared" si="114"/>
        <v>-100</v>
      </c>
      <c r="L639" s="3">
        <f t="shared" si="115"/>
        <v>1</v>
      </c>
      <c r="M639" s="3">
        <f t="shared" si="116"/>
        <v>0</v>
      </c>
      <c r="N639" s="3" t="str">
        <f t="shared" si="117"/>
        <v>01</v>
      </c>
      <c r="O639" s="14" t="str">
        <f t="shared" si="117"/>
        <v>00</v>
      </c>
      <c r="P639" s="57"/>
      <c r="R639" s="6">
        <v>512</v>
      </c>
      <c r="S639" s="5">
        <f t="shared" si="118"/>
        <v>0</v>
      </c>
      <c r="T639" s="3"/>
    </row>
    <row r="640" spans="10:20" hidden="1">
      <c r="J640" s="1" t="str">
        <f t="shared" si="113"/>
        <v>0</v>
      </c>
      <c r="K640" s="3">
        <f t="shared" si="114"/>
        <v>-100</v>
      </c>
      <c r="L640" s="3">
        <f t="shared" si="115"/>
        <v>1</v>
      </c>
      <c r="M640" s="3">
        <f t="shared" si="116"/>
        <v>0</v>
      </c>
      <c r="N640" s="3" t="str">
        <f t="shared" si="117"/>
        <v>01</v>
      </c>
      <c r="O640" s="14" t="str">
        <f t="shared" si="117"/>
        <v>00</v>
      </c>
      <c r="P640" s="57"/>
      <c r="R640" s="6">
        <v>512</v>
      </c>
      <c r="S640" s="5">
        <f t="shared" si="118"/>
        <v>0</v>
      </c>
      <c r="T640" s="3"/>
    </row>
    <row r="641" spans="1:22">
      <c r="A641" s="3">
        <v>634</v>
      </c>
      <c r="B641" s="1">
        <f t="shared" ref="B641:B648" si="119">IF(G641="-",0,IF(G640=G641,1,0))</f>
        <v>0</v>
      </c>
      <c r="C641" s="1">
        <f t="shared" ref="C641:C648" si="120">+IF(G641="-",0,IF(I641=I640+1,0,(IF(I641=1,0,1))))</f>
        <v>1</v>
      </c>
      <c r="D641" s="1">
        <f t="shared" ref="D641:D648" si="121">+IF(AND(P641="",Q641=""),1,0)</f>
        <v>0</v>
      </c>
      <c r="E641" s="1">
        <f t="shared" ref="E641:F648" si="122">IF(U641="",1,0)</f>
        <v>0</v>
      </c>
      <c r="F641" s="1">
        <f t="shared" si="122"/>
        <v>0</v>
      </c>
      <c r="G641" s="1" t="str">
        <f t="shared" ref="G641:G648" si="123">IF(H641=0,"-",_xlfn.CONCAT(K641,N641,O641,J641))</f>
        <v>24052509</v>
      </c>
      <c r="H641" s="2">
        <v>45437</v>
      </c>
      <c r="I641" s="36">
        <v>9</v>
      </c>
      <c r="J641" s="1" t="str">
        <f t="shared" si="113"/>
        <v>09</v>
      </c>
      <c r="K641" s="3">
        <f t="shared" si="114"/>
        <v>24</v>
      </c>
      <c r="L641" s="3">
        <f t="shared" si="115"/>
        <v>5</v>
      </c>
      <c r="M641" s="3">
        <f t="shared" si="116"/>
        <v>25</v>
      </c>
      <c r="N641" s="3" t="str">
        <f t="shared" si="117"/>
        <v>05</v>
      </c>
      <c r="O641" s="14">
        <f t="shared" si="117"/>
        <v>25</v>
      </c>
      <c r="P641" s="57">
        <v>150000</v>
      </c>
      <c r="R641" s="6">
        <v>512</v>
      </c>
      <c r="S641" s="5">
        <f t="shared" si="118"/>
        <v>292.96875</v>
      </c>
      <c r="T641" s="3" t="s">
        <v>219</v>
      </c>
      <c r="U641" s="3" t="s">
        <v>1</v>
      </c>
      <c r="V641" s="3" t="s">
        <v>5</v>
      </c>
    </row>
    <row r="642" spans="1:22" hidden="1">
      <c r="J642" s="1" t="str">
        <f t="shared" si="113"/>
        <v>0</v>
      </c>
      <c r="K642" s="3">
        <f t="shared" si="114"/>
        <v>-100</v>
      </c>
      <c r="L642" s="3">
        <f t="shared" si="115"/>
        <v>1</v>
      </c>
      <c r="M642" s="3">
        <f t="shared" si="116"/>
        <v>0</v>
      </c>
      <c r="N642" s="3" t="str">
        <f t="shared" si="117"/>
        <v>01</v>
      </c>
      <c r="O642" s="14" t="str">
        <f t="shared" si="117"/>
        <v>00</v>
      </c>
      <c r="P642" s="57"/>
      <c r="R642" s="6">
        <v>512</v>
      </c>
      <c r="S642" s="5">
        <f t="shared" si="118"/>
        <v>0</v>
      </c>
      <c r="T642" s="3"/>
    </row>
    <row r="643" spans="1:22">
      <c r="A643" s="3">
        <v>636</v>
      </c>
      <c r="B643" s="1">
        <f t="shared" si="119"/>
        <v>0</v>
      </c>
      <c r="C643" s="1">
        <f t="shared" si="120"/>
        <v>1</v>
      </c>
      <c r="D643" s="1">
        <f t="shared" si="121"/>
        <v>0</v>
      </c>
      <c r="E643" s="1">
        <f t="shared" si="122"/>
        <v>0</v>
      </c>
      <c r="F643" s="1">
        <f t="shared" si="122"/>
        <v>0</v>
      </c>
      <c r="G643" s="1" t="str">
        <f t="shared" si="123"/>
        <v>24052511</v>
      </c>
      <c r="H643" s="2">
        <v>45437</v>
      </c>
      <c r="I643" s="36">
        <v>11</v>
      </c>
      <c r="J643" s="1">
        <f t="shared" si="113"/>
        <v>11</v>
      </c>
      <c r="K643" s="3">
        <f t="shared" si="114"/>
        <v>24</v>
      </c>
      <c r="L643" s="3">
        <f t="shared" si="115"/>
        <v>5</v>
      </c>
      <c r="M643" s="3">
        <f t="shared" si="116"/>
        <v>25</v>
      </c>
      <c r="N643" s="3" t="str">
        <f t="shared" si="117"/>
        <v>05</v>
      </c>
      <c r="O643" s="14">
        <f t="shared" si="117"/>
        <v>25</v>
      </c>
      <c r="P643" s="57">
        <v>105000</v>
      </c>
      <c r="R643" s="6">
        <v>512</v>
      </c>
      <c r="S643" s="5">
        <f t="shared" si="118"/>
        <v>205.078125</v>
      </c>
      <c r="T643" s="3" t="s">
        <v>221</v>
      </c>
      <c r="U643" s="3" t="s">
        <v>1</v>
      </c>
      <c r="V643" s="3" t="s">
        <v>5</v>
      </c>
    </row>
    <row r="644" spans="1:22" hidden="1">
      <c r="J644" s="1" t="str">
        <f t="shared" si="113"/>
        <v>0</v>
      </c>
      <c r="K644" s="3">
        <f t="shared" si="114"/>
        <v>-100</v>
      </c>
      <c r="L644" s="3">
        <f t="shared" si="115"/>
        <v>1</v>
      </c>
      <c r="M644" s="3">
        <f t="shared" si="116"/>
        <v>0</v>
      </c>
      <c r="N644" s="3" t="str">
        <f t="shared" si="117"/>
        <v>01</v>
      </c>
      <c r="O644" s="14" t="str">
        <f t="shared" si="117"/>
        <v>00</v>
      </c>
      <c r="P644" s="57"/>
      <c r="R644" s="6">
        <v>512</v>
      </c>
      <c r="S644" s="5">
        <f t="shared" si="118"/>
        <v>0</v>
      </c>
      <c r="T644" s="3"/>
    </row>
    <row r="645" spans="1:22">
      <c r="A645" s="3">
        <v>638</v>
      </c>
      <c r="B645" s="1">
        <f t="shared" si="119"/>
        <v>0</v>
      </c>
      <c r="C645" s="1">
        <f t="shared" si="120"/>
        <v>1</v>
      </c>
      <c r="D645" s="1">
        <f t="shared" si="121"/>
        <v>0</v>
      </c>
      <c r="E645" s="1">
        <f t="shared" si="122"/>
        <v>0</v>
      </c>
      <c r="F645" s="1">
        <f t="shared" si="122"/>
        <v>0</v>
      </c>
      <c r="G645" s="1" t="str">
        <f t="shared" si="123"/>
        <v>24052513</v>
      </c>
      <c r="H645" s="2">
        <v>45437</v>
      </c>
      <c r="I645" s="36">
        <v>13</v>
      </c>
      <c r="J645" s="1">
        <f t="shared" si="113"/>
        <v>13</v>
      </c>
      <c r="K645" s="3">
        <f t="shared" si="114"/>
        <v>24</v>
      </c>
      <c r="L645" s="3">
        <f t="shared" si="115"/>
        <v>5</v>
      </c>
      <c r="M645" s="3">
        <f t="shared" si="116"/>
        <v>25</v>
      </c>
      <c r="N645" s="3" t="str">
        <f t="shared" si="117"/>
        <v>05</v>
      </c>
      <c r="O645" s="14">
        <f t="shared" si="117"/>
        <v>25</v>
      </c>
      <c r="P645" s="57">
        <v>90000</v>
      </c>
      <c r="R645" s="6">
        <v>512</v>
      </c>
      <c r="S645" s="5">
        <f t="shared" si="118"/>
        <v>175.78125</v>
      </c>
      <c r="T645" s="3" t="s">
        <v>223</v>
      </c>
      <c r="U645" s="3" t="s">
        <v>1</v>
      </c>
      <c r="V645" s="3" t="s">
        <v>5</v>
      </c>
    </row>
    <row r="646" spans="1:22">
      <c r="A646" s="3">
        <v>639</v>
      </c>
      <c r="B646" s="1">
        <f t="shared" si="119"/>
        <v>0</v>
      </c>
      <c r="C646" s="1">
        <f t="shared" si="120"/>
        <v>0</v>
      </c>
      <c r="D646" s="1">
        <f t="shared" si="121"/>
        <v>0</v>
      </c>
      <c r="E646" s="1">
        <f t="shared" si="122"/>
        <v>0</v>
      </c>
      <c r="F646" s="1">
        <f t="shared" si="122"/>
        <v>0</v>
      </c>
      <c r="G646" s="1" t="str">
        <f t="shared" si="123"/>
        <v>24052514</v>
      </c>
      <c r="H646" s="2">
        <v>45437</v>
      </c>
      <c r="I646" s="36">
        <v>14</v>
      </c>
      <c r="J646" s="1">
        <f t="shared" si="113"/>
        <v>14</v>
      </c>
      <c r="K646" s="3">
        <f t="shared" si="114"/>
        <v>24</v>
      </c>
      <c r="L646" s="3">
        <f t="shared" si="115"/>
        <v>5</v>
      </c>
      <c r="M646" s="3">
        <f t="shared" si="116"/>
        <v>25</v>
      </c>
      <c r="N646" s="3" t="str">
        <f t="shared" si="117"/>
        <v>05</v>
      </c>
      <c r="O646" s="14">
        <f t="shared" si="117"/>
        <v>25</v>
      </c>
      <c r="P646" s="57">
        <v>108000</v>
      </c>
      <c r="R646" s="6">
        <v>512</v>
      </c>
      <c r="S646" s="5">
        <f t="shared" si="118"/>
        <v>210.9375</v>
      </c>
      <c r="T646" s="3" t="s">
        <v>224</v>
      </c>
      <c r="U646" s="3" t="s">
        <v>1</v>
      </c>
      <c r="V646" s="3" t="s">
        <v>5</v>
      </c>
    </row>
    <row r="647" spans="1:22">
      <c r="A647" s="3">
        <v>640</v>
      </c>
      <c r="B647" s="1">
        <f t="shared" si="119"/>
        <v>0</v>
      </c>
      <c r="C647" s="1">
        <f t="shared" si="120"/>
        <v>0</v>
      </c>
      <c r="D647" s="1">
        <f t="shared" si="121"/>
        <v>0</v>
      </c>
      <c r="E647" s="1">
        <f t="shared" si="122"/>
        <v>0</v>
      </c>
      <c r="F647" s="1">
        <f t="shared" si="122"/>
        <v>0</v>
      </c>
      <c r="G647" s="1" t="str">
        <f t="shared" si="123"/>
        <v>24052515</v>
      </c>
      <c r="H647" s="2">
        <v>45437</v>
      </c>
      <c r="I647" s="36">
        <v>15</v>
      </c>
      <c r="J647" s="1">
        <f t="shared" si="113"/>
        <v>15</v>
      </c>
      <c r="K647" s="3">
        <f t="shared" si="114"/>
        <v>24</v>
      </c>
      <c r="L647" s="3">
        <f t="shared" si="115"/>
        <v>5</v>
      </c>
      <c r="M647" s="3">
        <f t="shared" si="116"/>
        <v>25</v>
      </c>
      <c r="N647" s="3" t="str">
        <f t="shared" si="117"/>
        <v>05</v>
      </c>
      <c r="O647" s="14">
        <f t="shared" si="117"/>
        <v>25</v>
      </c>
      <c r="P647" s="57">
        <v>100000</v>
      </c>
      <c r="R647" s="6">
        <v>512</v>
      </c>
      <c r="S647" s="5">
        <f t="shared" si="118"/>
        <v>195.3125</v>
      </c>
      <c r="T647" s="3" t="s">
        <v>225</v>
      </c>
      <c r="U647" s="3" t="s">
        <v>1</v>
      </c>
      <c r="V647" s="3" t="s">
        <v>5</v>
      </c>
    </row>
    <row r="648" spans="1:22">
      <c r="A648" s="3">
        <v>641</v>
      </c>
      <c r="B648" s="1">
        <f t="shared" si="119"/>
        <v>0</v>
      </c>
      <c r="C648" s="1">
        <f t="shared" si="120"/>
        <v>0</v>
      </c>
      <c r="D648" s="1">
        <f t="shared" si="121"/>
        <v>0</v>
      </c>
      <c r="E648" s="1">
        <f t="shared" si="122"/>
        <v>0</v>
      </c>
      <c r="F648" s="1">
        <f t="shared" si="122"/>
        <v>0</v>
      </c>
      <c r="G648" s="1" t="str">
        <f t="shared" si="123"/>
        <v>24052516</v>
      </c>
      <c r="H648" s="2">
        <v>45437</v>
      </c>
      <c r="I648" s="36">
        <v>16</v>
      </c>
      <c r="J648" s="1">
        <f t="shared" si="113"/>
        <v>16</v>
      </c>
      <c r="K648" s="3">
        <f t="shared" si="114"/>
        <v>24</v>
      </c>
      <c r="L648" s="3">
        <f t="shared" si="115"/>
        <v>5</v>
      </c>
      <c r="M648" s="3">
        <f t="shared" si="116"/>
        <v>25</v>
      </c>
      <c r="N648" s="3" t="str">
        <f t="shared" si="117"/>
        <v>05</v>
      </c>
      <c r="O648" s="14">
        <f t="shared" si="117"/>
        <v>25</v>
      </c>
      <c r="P648" s="57">
        <f>9*3*526</f>
        <v>14202</v>
      </c>
      <c r="R648" s="6">
        <v>512</v>
      </c>
      <c r="S648" s="5">
        <f t="shared" si="118"/>
        <v>27.73828125</v>
      </c>
      <c r="T648" s="3" t="s">
        <v>226</v>
      </c>
      <c r="U648" s="3" t="s">
        <v>1</v>
      </c>
      <c r="V648" s="3" t="s">
        <v>5</v>
      </c>
    </row>
    <row r="649" spans="1:22" hidden="1">
      <c r="J649" s="1" t="str">
        <f t="shared" si="113"/>
        <v>0</v>
      </c>
      <c r="K649" s="3">
        <f t="shared" si="114"/>
        <v>-100</v>
      </c>
      <c r="L649" s="3">
        <f t="shared" si="115"/>
        <v>1</v>
      </c>
      <c r="M649" s="3">
        <f t="shared" si="116"/>
        <v>0</v>
      </c>
      <c r="N649" s="3" t="str">
        <f t="shared" si="117"/>
        <v>01</v>
      </c>
      <c r="O649" s="14" t="str">
        <f t="shared" si="117"/>
        <v>00</v>
      </c>
      <c r="P649" s="57"/>
      <c r="R649" s="6">
        <v>512</v>
      </c>
      <c r="S649" s="5">
        <f t="shared" si="118"/>
        <v>0</v>
      </c>
      <c r="T649" s="3"/>
    </row>
    <row r="650" spans="1:22" hidden="1">
      <c r="J650" s="1" t="str">
        <f t="shared" si="113"/>
        <v>0</v>
      </c>
      <c r="K650" s="3">
        <f t="shared" si="114"/>
        <v>-100</v>
      </c>
      <c r="L650" s="3">
        <f t="shared" si="115"/>
        <v>1</v>
      </c>
      <c r="M650" s="3">
        <f t="shared" si="116"/>
        <v>0</v>
      </c>
      <c r="N650" s="3" t="str">
        <f t="shared" si="117"/>
        <v>01</v>
      </c>
      <c r="O650" s="14" t="str">
        <f t="shared" si="117"/>
        <v>00</v>
      </c>
      <c r="P650" s="58"/>
      <c r="R650" s="6">
        <v>512</v>
      </c>
      <c r="S650" s="5">
        <f t="shared" si="118"/>
        <v>0</v>
      </c>
      <c r="T650" s="3"/>
    </row>
    <row r="651" spans="1:22" hidden="1">
      <c r="J651" s="1" t="str">
        <f t="shared" si="113"/>
        <v>0</v>
      </c>
      <c r="K651" s="3">
        <f t="shared" si="114"/>
        <v>-100</v>
      </c>
      <c r="L651" s="3">
        <f t="shared" si="115"/>
        <v>1</v>
      </c>
      <c r="M651" s="3">
        <f t="shared" si="116"/>
        <v>0</v>
      </c>
      <c r="N651" s="3" t="str">
        <f t="shared" si="117"/>
        <v>01</v>
      </c>
      <c r="O651" s="14" t="str">
        <f t="shared" si="117"/>
        <v>00</v>
      </c>
      <c r="R651" s="6">
        <v>512</v>
      </c>
      <c r="S651" s="5">
        <f t="shared" si="118"/>
        <v>0</v>
      </c>
    </row>
    <row r="652" spans="1:22" hidden="1">
      <c r="J652" s="1" t="str">
        <f t="shared" si="113"/>
        <v>0</v>
      </c>
      <c r="K652" s="3">
        <f t="shared" si="114"/>
        <v>-100</v>
      </c>
      <c r="L652" s="3">
        <f t="shared" si="115"/>
        <v>1</v>
      </c>
      <c r="M652" s="3">
        <f t="shared" si="116"/>
        <v>0</v>
      </c>
      <c r="N652" s="3" t="str">
        <f t="shared" si="117"/>
        <v>01</v>
      </c>
      <c r="O652" s="14" t="str">
        <f t="shared" si="117"/>
        <v>00</v>
      </c>
      <c r="R652" s="6">
        <v>512</v>
      </c>
      <c r="S652" s="5">
        <f t="shared" si="118"/>
        <v>0</v>
      </c>
    </row>
    <row r="653" spans="1:22" hidden="1">
      <c r="J653" s="1" t="str">
        <f t="shared" si="113"/>
        <v>0</v>
      </c>
      <c r="K653" s="3">
        <f t="shared" si="114"/>
        <v>-100</v>
      </c>
      <c r="L653" s="3">
        <f t="shared" si="115"/>
        <v>1</v>
      </c>
      <c r="M653" s="3">
        <f t="shared" si="116"/>
        <v>0</v>
      </c>
      <c r="N653" s="3" t="str">
        <f t="shared" ref="N653:O684" si="124">+IF(L653&lt;10,_xlfn.CONCAT("0",L653),L653)</f>
        <v>01</v>
      </c>
      <c r="O653" s="14" t="str">
        <f t="shared" si="124"/>
        <v>00</v>
      </c>
      <c r="R653" s="6">
        <v>512</v>
      </c>
      <c r="S653" s="5">
        <f t="shared" si="118"/>
        <v>0</v>
      </c>
    </row>
    <row r="654" spans="1:22" hidden="1">
      <c r="J654" s="1" t="str">
        <f t="shared" si="113"/>
        <v>0</v>
      </c>
      <c r="K654" s="3">
        <f t="shared" si="114"/>
        <v>-100</v>
      </c>
      <c r="L654" s="3">
        <f t="shared" si="115"/>
        <v>1</v>
      </c>
      <c r="M654" s="3">
        <f t="shared" si="116"/>
        <v>0</v>
      </c>
      <c r="N654" s="3" t="str">
        <f t="shared" si="124"/>
        <v>01</v>
      </c>
      <c r="O654" s="14" t="str">
        <f t="shared" si="124"/>
        <v>00</v>
      </c>
      <c r="R654" s="6">
        <v>512</v>
      </c>
      <c r="S654" s="5">
        <f t="shared" si="118"/>
        <v>0</v>
      </c>
    </row>
    <row r="655" spans="1:22" hidden="1">
      <c r="J655" s="1" t="str">
        <f t="shared" si="113"/>
        <v>0</v>
      </c>
      <c r="K655" s="3">
        <f t="shared" si="114"/>
        <v>-100</v>
      </c>
      <c r="L655" s="3">
        <f t="shared" si="115"/>
        <v>1</v>
      </c>
      <c r="M655" s="3">
        <f t="shared" si="116"/>
        <v>0</v>
      </c>
      <c r="N655" s="3" t="str">
        <f t="shared" si="124"/>
        <v>01</v>
      </c>
      <c r="O655" s="14" t="str">
        <f t="shared" si="124"/>
        <v>00</v>
      </c>
      <c r="R655" s="6">
        <v>512</v>
      </c>
      <c r="S655" s="5">
        <f t="shared" si="118"/>
        <v>0</v>
      </c>
    </row>
    <row r="656" spans="1:22" hidden="1">
      <c r="J656" s="1" t="str">
        <f t="shared" si="113"/>
        <v>0</v>
      </c>
      <c r="K656" s="3">
        <f t="shared" si="114"/>
        <v>-100</v>
      </c>
      <c r="L656" s="3">
        <f t="shared" si="115"/>
        <v>1</v>
      </c>
      <c r="M656" s="3">
        <f t="shared" si="116"/>
        <v>0</v>
      </c>
      <c r="N656" s="3" t="str">
        <f t="shared" si="124"/>
        <v>01</v>
      </c>
      <c r="O656" s="14" t="str">
        <f t="shared" si="124"/>
        <v>00</v>
      </c>
      <c r="R656" s="6">
        <v>514</v>
      </c>
      <c r="S656" s="5">
        <f t="shared" si="118"/>
        <v>0</v>
      </c>
    </row>
    <row r="657" spans="1:22" hidden="1">
      <c r="J657" s="1" t="str">
        <f t="shared" si="113"/>
        <v>0</v>
      </c>
      <c r="K657" s="3">
        <f t="shared" si="114"/>
        <v>-100</v>
      </c>
      <c r="L657" s="3">
        <f t="shared" si="115"/>
        <v>1</v>
      </c>
      <c r="M657" s="3">
        <f t="shared" si="116"/>
        <v>0</v>
      </c>
      <c r="N657" s="3" t="str">
        <f t="shared" si="124"/>
        <v>01</v>
      </c>
      <c r="O657" s="14" t="str">
        <f t="shared" si="124"/>
        <v>00</v>
      </c>
      <c r="R657" s="6">
        <v>514</v>
      </c>
      <c r="S657" s="5">
        <f t="shared" si="118"/>
        <v>0</v>
      </c>
    </row>
    <row r="658" spans="1:22" hidden="1">
      <c r="J658" s="1" t="str">
        <f t="shared" si="113"/>
        <v>0</v>
      </c>
      <c r="K658" s="3">
        <f t="shared" si="114"/>
        <v>-100</v>
      </c>
      <c r="L658" s="3">
        <f t="shared" si="115"/>
        <v>1</v>
      </c>
      <c r="M658" s="3">
        <f t="shared" si="116"/>
        <v>0</v>
      </c>
      <c r="N658" s="3" t="str">
        <f t="shared" si="124"/>
        <v>01</v>
      </c>
      <c r="O658" s="14" t="str">
        <f t="shared" si="124"/>
        <v>00</v>
      </c>
      <c r="R658" s="6">
        <v>514</v>
      </c>
      <c r="S658" s="5">
        <f t="shared" si="118"/>
        <v>0</v>
      </c>
    </row>
    <row r="659" spans="1:22" hidden="1">
      <c r="J659" s="1" t="str">
        <f t="shared" si="113"/>
        <v>0</v>
      </c>
      <c r="K659" s="3">
        <f t="shared" si="114"/>
        <v>-100</v>
      </c>
      <c r="L659" s="3">
        <f t="shared" si="115"/>
        <v>1</v>
      </c>
      <c r="M659" s="3">
        <f t="shared" si="116"/>
        <v>0</v>
      </c>
      <c r="N659" s="3" t="str">
        <f t="shared" si="124"/>
        <v>01</v>
      </c>
      <c r="O659" s="14" t="str">
        <f t="shared" si="124"/>
        <v>00</v>
      </c>
      <c r="R659" s="6">
        <v>514</v>
      </c>
      <c r="S659" s="5">
        <f t="shared" si="118"/>
        <v>0</v>
      </c>
    </row>
    <row r="660" spans="1:22" hidden="1">
      <c r="J660" s="1" t="str">
        <f t="shared" si="113"/>
        <v>0</v>
      </c>
      <c r="K660" s="3">
        <f t="shared" si="114"/>
        <v>-100</v>
      </c>
      <c r="L660" s="3">
        <f t="shared" si="115"/>
        <v>1</v>
      </c>
      <c r="M660" s="3">
        <f t="shared" si="116"/>
        <v>0</v>
      </c>
      <c r="N660" s="3" t="str">
        <f t="shared" si="124"/>
        <v>01</v>
      </c>
      <c r="O660" s="14" t="str">
        <f t="shared" si="124"/>
        <v>00</v>
      </c>
      <c r="R660" s="6">
        <v>514</v>
      </c>
      <c r="S660" s="5">
        <f t="shared" si="118"/>
        <v>0</v>
      </c>
    </row>
    <row r="661" spans="1:22" hidden="1">
      <c r="J661" s="1" t="str">
        <f t="shared" si="113"/>
        <v>0</v>
      </c>
      <c r="K661" s="3">
        <f t="shared" si="114"/>
        <v>-100</v>
      </c>
      <c r="L661" s="3">
        <f t="shared" si="115"/>
        <v>1</v>
      </c>
      <c r="M661" s="3">
        <f t="shared" si="116"/>
        <v>0</v>
      </c>
      <c r="N661" s="3" t="str">
        <f t="shared" si="124"/>
        <v>01</v>
      </c>
      <c r="O661" s="14" t="str">
        <f t="shared" si="124"/>
        <v>00</v>
      </c>
      <c r="S661" s="5" t="str">
        <f t="shared" si="118"/>
        <v/>
      </c>
    </row>
    <row r="662" spans="1:22" hidden="1">
      <c r="J662" s="1" t="str">
        <f t="shared" si="113"/>
        <v>0</v>
      </c>
      <c r="K662" s="3">
        <f t="shared" si="114"/>
        <v>-100</v>
      </c>
      <c r="L662" s="3">
        <f t="shared" si="115"/>
        <v>1</v>
      </c>
      <c r="M662" s="3">
        <f t="shared" si="116"/>
        <v>0</v>
      </c>
      <c r="N662" s="3" t="str">
        <f t="shared" si="124"/>
        <v>01</v>
      </c>
      <c r="O662" s="14" t="str">
        <f t="shared" si="124"/>
        <v>00</v>
      </c>
      <c r="R662" s="6">
        <v>514</v>
      </c>
      <c r="S662" s="5">
        <f t="shared" si="118"/>
        <v>0</v>
      </c>
    </row>
    <row r="663" spans="1:22" hidden="1">
      <c r="J663" s="1" t="str">
        <f t="shared" si="113"/>
        <v>0</v>
      </c>
      <c r="K663" s="3">
        <f t="shared" si="114"/>
        <v>-100</v>
      </c>
      <c r="L663" s="3">
        <f t="shared" si="115"/>
        <v>1</v>
      </c>
      <c r="M663" s="3">
        <f t="shared" si="116"/>
        <v>0</v>
      </c>
      <c r="N663" s="3" t="str">
        <f t="shared" si="124"/>
        <v>01</v>
      </c>
      <c r="O663" s="14" t="str">
        <f t="shared" si="124"/>
        <v>00</v>
      </c>
      <c r="R663" s="6">
        <v>514</v>
      </c>
      <c r="S663" s="5">
        <f t="shared" si="118"/>
        <v>0</v>
      </c>
    </row>
    <row r="664" spans="1:22" hidden="1">
      <c r="J664" s="1" t="str">
        <f t="shared" si="113"/>
        <v>0</v>
      </c>
      <c r="K664" s="3">
        <f t="shared" si="114"/>
        <v>-100</v>
      </c>
      <c r="L664" s="3">
        <f t="shared" si="115"/>
        <v>1</v>
      </c>
      <c r="M664" s="3">
        <f t="shared" si="116"/>
        <v>0</v>
      </c>
      <c r="N664" s="3" t="str">
        <f t="shared" si="124"/>
        <v>01</v>
      </c>
      <c r="O664" s="14" t="str">
        <f t="shared" si="124"/>
        <v>00</v>
      </c>
      <c r="R664" s="6">
        <v>516</v>
      </c>
      <c r="S664" s="5">
        <f t="shared" si="118"/>
        <v>0</v>
      </c>
    </row>
    <row r="665" spans="1:22" hidden="1">
      <c r="J665" s="1" t="str">
        <f t="shared" si="113"/>
        <v>0</v>
      </c>
      <c r="K665" s="3">
        <f t="shared" si="114"/>
        <v>-100</v>
      </c>
      <c r="L665" s="3">
        <f t="shared" si="115"/>
        <v>1</v>
      </c>
      <c r="M665" s="3">
        <f t="shared" si="116"/>
        <v>0</v>
      </c>
      <c r="N665" s="3" t="str">
        <f t="shared" si="124"/>
        <v>01</v>
      </c>
      <c r="O665" s="14" t="str">
        <f t="shared" si="124"/>
        <v>00</v>
      </c>
      <c r="R665" s="6">
        <v>516</v>
      </c>
      <c r="S665" s="5">
        <f t="shared" si="118"/>
        <v>0</v>
      </c>
    </row>
    <row r="666" spans="1:22" hidden="1">
      <c r="J666" s="1" t="str">
        <f t="shared" si="113"/>
        <v>0</v>
      </c>
      <c r="K666" s="3">
        <f t="shared" si="114"/>
        <v>-100</v>
      </c>
      <c r="L666" s="3">
        <f t="shared" si="115"/>
        <v>1</v>
      </c>
      <c r="M666" s="3">
        <f t="shared" si="116"/>
        <v>0</v>
      </c>
      <c r="N666" s="3" t="str">
        <f t="shared" si="124"/>
        <v>01</v>
      </c>
      <c r="O666" s="14" t="str">
        <f t="shared" si="124"/>
        <v>00</v>
      </c>
      <c r="S666" s="5" t="str">
        <f t="shared" si="118"/>
        <v/>
      </c>
    </row>
    <row r="667" spans="1:22" hidden="1">
      <c r="J667" s="1" t="str">
        <f t="shared" si="113"/>
        <v>0</v>
      </c>
      <c r="K667" s="3">
        <f t="shared" si="114"/>
        <v>-100</v>
      </c>
      <c r="L667" s="3">
        <f t="shared" si="115"/>
        <v>1</v>
      </c>
      <c r="M667" s="3">
        <f t="shared" si="116"/>
        <v>0</v>
      </c>
      <c r="N667" s="3" t="str">
        <f t="shared" si="124"/>
        <v>01</v>
      </c>
      <c r="O667" s="14" t="str">
        <f t="shared" si="124"/>
        <v>00</v>
      </c>
      <c r="S667" s="5" t="str">
        <f t="shared" si="118"/>
        <v/>
      </c>
    </row>
    <row r="668" spans="1:22">
      <c r="A668" s="3">
        <v>661</v>
      </c>
      <c r="B668" s="1">
        <f t="shared" ref="B668:B718" si="125">IF(G668="-",0,IF(G667=G668,1,0))</f>
        <v>0</v>
      </c>
      <c r="C668" s="1">
        <f t="shared" ref="C668:C718" si="126">+IF(G668="-",0,IF(I668=I667+1,0,(IF(I668=1,0,1))))</f>
        <v>1</v>
      </c>
      <c r="D668" s="1">
        <f t="shared" ref="D668:D718" si="127">+IF(AND(P668="",Q668=""),1,0)</f>
        <v>0</v>
      </c>
      <c r="E668" s="1">
        <f t="shared" ref="E668:F668" si="128">IF(U668="",1,0)</f>
        <v>0</v>
      </c>
      <c r="F668" s="1">
        <f t="shared" si="128"/>
        <v>0</v>
      </c>
      <c r="G668" s="1" t="str">
        <f t="shared" ref="G668:G718" si="129">IF(H668=0,"-",_xlfn.CONCAT(K668,N668,O668,J668))</f>
        <v>24052805</v>
      </c>
      <c r="H668" s="2">
        <v>45440</v>
      </c>
      <c r="I668" s="36">
        <v>5</v>
      </c>
      <c r="J668" s="1" t="str">
        <f t="shared" si="113"/>
        <v>05</v>
      </c>
      <c r="K668" s="3">
        <f t="shared" si="114"/>
        <v>24</v>
      </c>
      <c r="L668" s="3">
        <f t="shared" si="115"/>
        <v>5</v>
      </c>
      <c r="M668" s="3">
        <f t="shared" si="116"/>
        <v>28</v>
      </c>
      <c r="N668" s="3" t="str">
        <f t="shared" si="124"/>
        <v>05</v>
      </c>
      <c r="O668" s="14">
        <f t="shared" si="124"/>
        <v>28</v>
      </c>
      <c r="P668" s="4">
        <v>139999.73000000001</v>
      </c>
      <c r="R668" s="6">
        <v>516</v>
      </c>
      <c r="S668" s="5">
        <f t="shared" si="118"/>
        <v>271.31730620155042</v>
      </c>
      <c r="T668" s="5" t="s">
        <v>364</v>
      </c>
      <c r="U668" s="3" t="s">
        <v>29</v>
      </c>
      <c r="V668" s="3" t="s">
        <v>5</v>
      </c>
    </row>
    <row r="669" spans="1:22" hidden="1">
      <c r="J669" s="1" t="str">
        <f t="shared" si="113"/>
        <v>0</v>
      </c>
      <c r="K669" s="3">
        <f t="shared" si="114"/>
        <v>-100</v>
      </c>
      <c r="L669" s="3">
        <f t="shared" si="115"/>
        <v>1</v>
      </c>
      <c r="M669" s="3">
        <f t="shared" si="116"/>
        <v>0</v>
      </c>
      <c r="N669" s="3" t="str">
        <f t="shared" si="124"/>
        <v>01</v>
      </c>
      <c r="O669" s="14" t="str">
        <f t="shared" si="124"/>
        <v>00</v>
      </c>
      <c r="R669" s="6">
        <v>516</v>
      </c>
      <c r="S669" s="5">
        <f t="shared" si="118"/>
        <v>0</v>
      </c>
    </row>
    <row r="670" spans="1:22" hidden="1">
      <c r="J670" s="1" t="str">
        <f t="shared" si="113"/>
        <v>0</v>
      </c>
      <c r="K670" s="3">
        <f t="shared" si="114"/>
        <v>-100</v>
      </c>
      <c r="L670" s="3">
        <f t="shared" si="115"/>
        <v>1</v>
      </c>
      <c r="M670" s="3">
        <f t="shared" si="116"/>
        <v>0</v>
      </c>
      <c r="N670" s="3" t="str">
        <f t="shared" si="124"/>
        <v>01</v>
      </c>
      <c r="O670" s="14" t="str">
        <f t="shared" si="124"/>
        <v>00</v>
      </c>
      <c r="R670" s="6">
        <v>516</v>
      </c>
      <c r="S670" s="5">
        <f t="shared" si="118"/>
        <v>0</v>
      </c>
    </row>
    <row r="671" spans="1:22" hidden="1">
      <c r="J671" s="1" t="str">
        <f t="shared" si="113"/>
        <v>0</v>
      </c>
      <c r="K671" s="3">
        <f t="shared" si="114"/>
        <v>-100</v>
      </c>
      <c r="L671" s="3">
        <f t="shared" si="115"/>
        <v>1</v>
      </c>
      <c r="M671" s="3">
        <f t="shared" si="116"/>
        <v>0</v>
      </c>
      <c r="N671" s="3" t="str">
        <f t="shared" si="124"/>
        <v>01</v>
      </c>
      <c r="O671" s="14" t="str">
        <f t="shared" si="124"/>
        <v>00</v>
      </c>
      <c r="R671" s="6">
        <v>516</v>
      </c>
      <c r="S671" s="5">
        <f t="shared" si="118"/>
        <v>0</v>
      </c>
    </row>
    <row r="672" spans="1:22" hidden="1">
      <c r="J672" s="1" t="str">
        <f t="shared" si="113"/>
        <v>0</v>
      </c>
      <c r="K672" s="3">
        <f t="shared" si="114"/>
        <v>-100</v>
      </c>
      <c r="L672" s="3">
        <f t="shared" si="115"/>
        <v>1</v>
      </c>
      <c r="M672" s="3">
        <f t="shared" si="116"/>
        <v>0</v>
      </c>
      <c r="N672" s="3" t="str">
        <f t="shared" si="124"/>
        <v>01</v>
      </c>
      <c r="O672" s="14" t="str">
        <f t="shared" si="124"/>
        <v>00</v>
      </c>
      <c r="R672" s="6">
        <v>516</v>
      </c>
      <c r="S672" s="5">
        <f t="shared" si="118"/>
        <v>0</v>
      </c>
    </row>
    <row r="673" spans="10:19" hidden="1">
      <c r="J673" s="1" t="str">
        <f t="shared" si="113"/>
        <v>0</v>
      </c>
      <c r="K673" s="3">
        <f t="shared" si="114"/>
        <v>-100</v>
      </c>
      <c r="L673" s="3">
        <f t="shared" si="115"/>
        <v>1</v>
      </c>
      <c r="M673" s="3">
        <f t="shared" si="116"/>
        <v>0</v>
      </c>
      <c r="N673" s="3" t="str">
        <f t="shared" si="124"/>
        <v>01</v>
      </c>
      <c r="O673" s="14" t="str">
        <f t="shared" si="124"/>
        <v>00</v>
      </c>
      <c r="R673" s="6">
        <v>516</v>
      </c>
      <c r="S673" s="5">
        <f t="shared" si="118"/>
        <v>0</v>
      </c>
    </row>
    <row r="674" spans="10:19" hidden="1">
      <c r="J674" s="1" t="str">
        <f t="shared" si="113"/>
        <v>0</v>
      </c>
      <c r="K674" s="3">
        <f t="shared" si="114"/>
        <v>-100</v>
      </c>
      <c r="L674" s="3">
        <f t="shared" si="115"/>
        <v>1</v>
      </c>
      <c r="M674" s="3">
        <f t="shared" si="116"/>
        <v>0</v>
      </c>
      <c r="N674" s="3" t="str">
        <f t="shared" si="124"/>
        <v>01</v>
      </c>
      <c r="O674" s="14" t="str">
        <f t="shared" si="124"/>
        <v>00</v>
      </c>
      <c r="R674" s="6">
        <v>516</v>
      </c>
      <c r="S674" s="5">
        <f t="shared" si="118"/>
        <v>0</v>
      </c>
    </row>
    <row r="675" spans="10:19" hidden="1">
      <c r="J675" s="1" t="str">
        <f t="shared" si="113"/>
        <v>0</v>
      </c>
      <c r="K675" s="3">
        <f t="shared" si="114"/>
        <v>-100</v>
      </c>
      <c r="L675" s="3">
        <f t="shared" si="115"/>
        <v>1</v>
      </c>
      <c r="M675" s="3">
        <f t="shared" si="116"/>
        <v>0</v>
      </c>
      <c r="N675" s="3" t="str">
        <f t="shared" si="124"/>
        <v>01</v>
      </c>
      <c r="O675" s="14" t="str">
        <f t="shared" si="124"/>
        <v>00</v>
      </c>
      <c r="R675" s="6">
        <v>516</v>
      </c>
      <c r="S675" s="5">
        <f t="shared" si="118"/>
        <v>0</v>
      </c>
    </row>
    <row r="676" spans="10:19" hidden="1">
      <c r="J676" s="1" t="str">
        <f t="shared" si="113"/>
        <v>0</v>
      </c>
      <c r="K676" s="3">
        <f t="shared" si="114"/>
        <v>-100</v>
      </c>
      <c r="L676" s="3">
        <f t="shared" si="115"/>
        <v>1</v>
      </c>
      <c r="M676" s="3">
        <f t="shared" si="116"/>
        <v>0</v>
      </c>
      <c r="N676" s="3" t="str">
        <f t="shared" si="124"/>
        <v>01</v>
      </c>
      <c r="O676" s="14" t="str">
        <f t="shared" si="124"/>
        <v>00</v>
      </c>
      <c r="R676" s="6">
        <v>516</v>
      </c>
      <c r="S676" s="5">
        <f t="shared" si="118"/>
        <v>0</v>
      </c>
    </row>
    <row r="677" spans="10:19" hidden="1">
      <c r="J677" s="1" t="str">
        <f t="shared" si="113"/>
        <v>0</v>
      </c>
      <c r="K677" s="3">
        <f t="shared" si="114"/>
        <v>-100</v>
      </c>
      <c r="L677" s="3">
        <f t="shared" si="115"/>
        <v>1</v>
      </c>
      <c r="M677" s="3">
        <f t="shared" si="116"/>
        <v>0</v>
      </c>
      <c r="N677" s="3" t="str">
        <f t="shared" si="124"/>
        <v>01</v>
      </c>
      <c r="O677" s="14" t="str">
        <f t="shared" si="124"/>
        <v>00</v>
      </c>
      <c r="R677" s="6">
        <v>517</v>
      </c>
      <c r="S677" s="5">
        <f t="shared" si="118"/>
        <v>0</v>
      </c>
    </row>
    <row r="678" spans="10:19" hidden="1">
      <c r="J678" s="1" t="str">
        <f t="shared" si="113"/>
        <v>0</v>
      </c>
      <c r="K678" s="3">
        <f t="shared" si="114"/>
        <v>-100</v>
      </c>
      <c r="L678" s="3">
        <f t="shared" si="115"/>
        <v>1</v>
      </c>
      <c r="M678" s="3">
        <f t="shared" si="116"/>
        <v>0</v>
      </c>
      <c r="N678" s="3" t="str">
        <f t="shared" si="124"/>
        <v>01</v>
      </c>
      <c r="O678" s="14" t="str">
        <f t="shared" si="124"/>
        <v>00</v>
      </c>
      <c r="R678" s="6">
        <v>517</v>
      </c>
      <c r="S678" s="5">
        <f t="shared" si="118"/>
        <v>0</v>
      </c>
    </row>
    <row r="679" spans="10:19" hidden="1">
      <c r="J679" s="1" t="str">
        <f t="shared" si="113"/>
        <v>0</v>
      </c>
      <c r="K679" s="3">
        <f t="shared" si="114"/>
        <v>-100</v>
      </c>
      <c r="L679" s="3">
        <f t="shared" si="115"/>
        <v>1</v>
      </c>
      <c r="M679" s="3">
        <f t="shared" si="116"/>
        <v>0</v>
      </c>
      <c r="N679" s="3" t="str">
        <f t="shared" si="124"/>
        <v>01</v>
      </c>
      <c r="O679" s="14" t="str">
        <f t="shared" si="124"/>
        <v>00</v>
      </c>
      <c r="R679" s="6">
        <v>517</v>
      </c>
      <c r="S679" s="5">
        <f t="shared" si="118"/>
        <v>0</v>
      </c>
    </row>
    <row r="680" spans="10:19" hidden="1">
      <c r="J680" s="1" t="str">
        <f t="shared" si="113"/>
        <v>0</v>
      </c>
      <c r="K680" s="3">
        <f t="shared" si="114"/>
        <v>-100</v>
      </c>
      <c r="L680" s="3">
        <f t="shared" si="115"/>
        <v>1</v>
      </c>
      <c r="M680" s="3">
        <f t="shared" si="116"/>
        <v>0</v>
      </c>
      <c r="N680" s="3" t="str">
        <f t="shared" si="124"/>
        <v>01</v>
      </c>
      <c r="O680" s="14" t="str">
        <f t="shared" si="124"/>
        <v>00</v>
      </c>
      <c r="R680" s="6">
        <v>517</v>
      </c>
      <c r="S680" s="5">
        <f t="shared" si="118"/>
        <v>0</v>
      </c>
    </row>
    <row r="681" spans="10:19" hidden="1">
      <c r="J681" s="1" t="str">
        <f t="shared" si="113"/>
        <v>0</v>
      </c>
      <c r="K681" s="3">
        <f t="shared" si="114"/>
        <v>-100</v>
      </c>
      <c r="L681" s="3">
        <f t="shared" si="115"/>
        <v>1</v>
      </c>
      <c r="M681" s="3">
        <f t="shared" si="116"/>
        <v>0</v>
      </c>
      <c r="N681" s="3" t="str">
        <f t="shared" si="124"/>
        <v>01</v>
      </c>
      <c r="O681" s="14" t="str">
        <f t="shared" si="124"/>
        <v>00</v>
      </c>
      <c r="R681" s="6">
        <v>517</v>
      </c>
      <c r="S681" s="5">
        <f t="shared" si="118"/>
        <v>0</v>
      </c>
    </row>
    <row r="682" spans="10:19" hidden="1">
      <c r="J682" s="1" t="str">
        <f t="shared" si="113"/>
        <v>0</v>
      </c>
      <c r="K682" s="3">
        <f t="shared" si="114"/>
        <v>-100</v>
      </c>
      <c r="L682" s="3">
        <f t="shared" si="115"/>
        <v>1</v>
      </c>
      <c r="M682" s="3">
        <f t="shared" si="116"/>
        <v>0</v>
      </c>
      <c r="N682" s="3" t="str">
        <f t="shared" si="124"/>
        <v>01</v>
      </c>
      <c r="O682" s="14" t="str">
        <f t="shared" si="124"/>
        <v>00</v>
      </c>
      <c r="R682" s="6">
        <v>517</v>
      </c>
      <c r="S682" s="5">
        <f t="shared" si="118"/>
        <v>0</v>
      </c>
    </row>
    <row r="683" spans="10:19" hidden="1">
      <c r="J683" s="1" t="str">
        <f t="shared" si="113"/>
        <v>0</v>
      </c>
      <c r="K683" s="3">
        <f t="shared" si="114"/>
        <v>-100</v>
      </c>
      <c r="L683" s="3">
        <f t="shared" si="115"/>
        <v>1</v>
      </c>
      <c r="M683" s="3">
        <f t="shared" si="116"/>
        <v>0</v>
      </c>
      <c r="N683" s="3" t="str">
        <f t="shared" si="124"/>
        <v>01</v>
      </c>
      <c r="O683" s="14" t="str">
        <f t="shared" si="124"/>
        <v>00</v>
      </c>
      <c r="R683" s="6">
        <v>517</v>
      </c>
      <c r="S683" s="5">
        <f t="shared" si="118"/>
        <v>0</v>
      </c>
    </row>
    <row r="684" spans="10:19" hidden="1">
      <c r="J684" s="1" t="str">
        <f t="shared" si="113"/>
        <v>0</v>
      </c>
      <c r="K684" s="3">
        <f t="shared" si="114"/>
        <v>-100</v>
      </c>
      <c r="L684" s="3">
        <f t="shared" si="115"/>
        <v>1</v>
      </c>
      <c r="M684" s="3">
        <f t="shared" si="116"/>
        <v>0</v>
      </c>
      <c r="N684" s="3" t="str">
        <f t="shared" si="124"/>
        <v>01</v>
      </c>
      <c r="O684" s="14" t="str">
        <f t="shared" si="124"/>
        <v>00</v>
      </c>
      <c r="R684" s="6">
        <v>517</v>
      </c>
      <c r="S684" s="5">
        <f t="shared" si="118"/>
        <v>0</v>
      </c>
    </row>
    <row r="685" spans="10:19" hidden="1">
      <c r="J685" s="1" t="str">
        <f t="shared" ref="J685:J748" si="130">+IF(I685&lt;10,_xlfn.CONCAT("0",I685),I685)</f>
        <v>0</v>
      </c>
      <c r="K685" s="3">
        <f t="shared" ref="K685:K748" si="131">+YEAR(H685)-2000</f>
        <v>-100</v>
      </c>
      <c r="L685" s="3">
        <f t="shared" ref="L685:L748" si="132">+MONTH(H685)</f>
        <v>1</v>
      </c>
      <c r="M685" s="3">
        <f t="shared" ref="M685:M748" si="133">+DAY(H685)</f>
        <v>0</v>
      </c>
      <c r="N685" s="3" t="str">
        <f t="shared" ref="N685:O716" si="134">+IF(L685&lt;10,_xlfn.CONCAT("0",L685),L685)</f>
        <v>01</v>
      </c>
      <c r="O685" s="14" t="str">
        <f t="shared" si="134"/>
        <v>00</v>
      </c>
      <c r="R685" s="6">
        <v>517</v>
      </c>
      <c r="S685" s="5">
        <f t="shared" ref="S685:S725" si="135">IFERROR(P685/R685,"")</f>
        <v>0</v>
      </c>
    </row>
    <row r="686" spans="10:19" hidden="1">
      <c r="J686" s="1" t="str">
        <f t="shared" si="130"/>
        <v>0</v>
      </c>
      <c r="K686" s="3">
        <f t="shared" si="131"/>
        <v>-100</v>
      </c>
      <c r="L686" s="3">
        <f t="shared" si="132"/>
        <v>1</v>
      </c>
      <c r="M686" s="3">
        <f t="shared" si="133"/>
        <v>0</v>
      </c>
      <c r="N686" s="3" t="str">
        <f t="shared" si="134"/>
        <v>01</v>
      </c>
      <c r="O686" s="14" t="str">
        <f t="shared" si="134"/>
        <v>00</v>
      </c>
      <c r="R686" s="6">
        <v>517</v>
      </c>
      <c r="S686" s="5">
        <f t="shared" si="135"/>
        <v>0</v>
      </c>
    </row>
    <row r="687" spans="10:19" hidden="1">
      <c r="J687" s="1" t="str">
        <f t="shared" si="130"/>
        <v>0</v>
      </c>
      <c r="K687" s="3">
        <f t="shared" si="131"/>
        <v>-100</v>
      </c>
      <c r="L687" s="3">
        <f t="shared" si="132"/>
        <v>1</v>
      </c>
      <c r="M687" s="3">
        <f t="shared" si="133"/>
        <v>0</v>
      </c>
      <c r="N687" s="3" t="str">
        <f t="shared" si="134"/>
        <v>01</v>
      </c>
      <c r="O687" s="14" t="str">
        <f t="shared" si="134"/>
        <v>00</v>
      </c>
      <c r="R687" s="6">
        <v>517</v>
      </c>
      <c r="S687" s="5">
        <f t="shared" si="135"/>
        <v>0</v>
      </c>
    </row>
    <row r="688" spans="10:19" hidden="1">
      <c r="J688" s="1" t="str">
        <f t="shared" si="130"/>
        <v>0</v>
      </c>
      <c r="K688" s="3">
        <f t="shared" si="131"/>
        <v>-100</v>
      </c>
      <c r="L688" s="3">
        <f t="shared" si="132"/>
        <v>1</v>
      </c>
      <c r="M688" s="3">
        <f t="shared" si="133"/>
        <v>0</v>
      </c>
      <c r="N688" s="3" t="str">
        <f t="shared" si="134"/>
        <v>01</v>
      </c>
      <c r="O688" s="14" t="str">
        <f t="shared" si="134"/>
        <v>00</v>
      </c>
      <c r="R688" s="6">
        <v>517</v>
      </c>
      <c r="S688" s="5">
        <f t="shared" si="135"/>
        <v>0</v>
      </c>
    </row>
    <row r="689" spans="7:22" hidden="1">
      <c r="J689" s="1" t="str">
        <f t="shared" si="130"/>
        <v>0</v>
      </c>
      <c r="K689" s="3">
        <f t="shared" si="131"/>
        <v>-100</v>
      </c>
      <c r="L689" s="3">
        <f t="shared" si="132"/>
        <v>1</v>
      </c>
      <c r="M689" s="3">
        <f t="shared" si="133"/>
        <v>0</v>
      </c>
      <c r="N689" s="3" t="str">
        <f t="shared" si="134"/>
        <v>01</v>
      </c>
      <c r="O689" s="14" t="str">
        <f t="shared" si="134"/>
        <v>00</v>
      </c>
      <c r="R689" s="6">
        <v>517</v>
      </c>
      <c r="S689" s="5">
        <f t="shared" si="135"/>
        <v>0</v>
      </c>
    </row>
    <row r="690" spans="7:22" hidden="1">
      <c r="J690" s="1" t="str">
        <f t="shared" si="130"/>
        <v>0</v>
      </c>
      <c r="K690" s="3">
        <f t="shared" si="131"/>
        <v>-100</v>
      </c>
      <c r="L690" s="3">
        <f t="shared" si="132"/>
        <v>1</v>
      </c>
      <c r="M690" s="3">
        <f t="shared" si="133"/>
        <v>0</v>
      </c>
      <c r="N690" s="3" t="str">
        <f t="shared" si="134"/>
        <v>01</v>
      </c>
      <c r="O690" s="14" t="str">
        <f t="shared" si="134"/>
        <v>00</v>
      </c>
      <c r="R690" s="6">
        <v>517</v>
      </c>
      <c r="S690" s="5">
        <f t="shared" si="135"/>
        <v>0</v>
      </c>
    </row>
    <row r="691" spans="7:22" hidden="1">
      <c r="J691" s="1" t="str">
        <f t="shared" si="130"/>
        <v>0</v>
      </c>
      <c r="K691" s="3">
        <f t="shared" si="131"/>
        <v>-100</v>
      </c>
      <c r="L691" s="3">
        <f t="shared" si="132"/>
        <v>1</v>
      </c>
      <c r="M691" s="3">
        <f t="shared" si="133"/>
        <v>0</v>
      </c>
      <c r="N691" s="3" t="str">
        <f t="shared" si="134"/>
        <v>01</v>
      </c>
      <c r="O691" s="14" t="str">
        <f t="shared" si="134"/>
        <v>00</v>
      </c>
      <c r="R691" s="6">
        <v>517</v>
      </c>
      <c r="S691" s="5">
        <f t="shared" si="135"/>
        <v>0</v>
      </c>
    </row>
    <row r="692" spans="7:22" hidden="1">
      <c r="J692" s="1" t="str">
        <f t="shared" si="130"/>
        <v>0</v>
      </c>
      <c r="K692" s="3">
        <f t="shared" si="131"/>
        <v>-100</v>
      </c>
      <c r="L692" s="3">
        <f t="shared" si="132"/>
        <v>1</v>
      </c>
      <c r="M692" s="3">
        <f t="shared" si="133"/>
        <v>0</v>
      </c>
      <c r="N692" s="3" t="str">
        <f t="shared" si="134"/>
        <v>01</v>
      </c>
      <c r="O692" s="14" t="str">
        <f t="shared" si="134"/>
        <v>00</v>
      </c>
      <c r="R692" s="6">
        <v>517</v>
      </c>
      <c r="S692" s="5">
        <f t="shared" si="135"/>
        <v>0</v>
      </c>
    </row>
    <row r="693" spans="7:22" hidden="1">
      <c r="J693" s="1" t="str">
        <f t="shared" si="130"/>
        <v>0</v>
      </c>
      <c r="K693" s="3">
        <f t="shared" si="131"/>
        <v>-100</v>
      </c>
      <c r="L693" s="3">
        <f t="shared" si="132"/>
        <v>1</v>
      </c>
      <c r="M693" s="3">
        <f t="shared" si="133"/>
        <v>0</v>
      </c>
      <c r="N693" s="3" t="str">
        <f t="shared" si="134"/>
        <v>01</v>
      </c>
      <c r="O693" s="14" t="str">
        <f t="shared" si="134"/>
        <v>00</v>
      </c>
      <c r="R693" s="6">
        <v>517</v>
      </c>
      <c r="S693" s="5">
        <f t="shared" si="135"/>
        <v>0</v>
      </c>
    </row>
    <row r="694" spans="7:22" hidden="1">
      <c r="J694" s="1" t="str">
        <f t="shared" si="130"/>
        <v>0</v>
      </c>
      <c r="K694" s="3">
        <f t="shared" si="131"/>
        <v>-100</v>
      </c>
      <c r="L694" s="3">
        <f t="shared" si="132"/>
        <v>1</v>
      </c>
      <c r="M694" s="3">
        <f t="shared" si="133"/>
        <v>0</v>
      </c>
      <c r="N694" s="3" t="str">
        <f t="shared" si="134"/>
        <v>01</v>
      </c>
      <c r="O694" s="14" t="str">
        <f t="shared" si="134"/>
        <v>00</v>
      </c>
      <c r="R694" s="6">
        <v>517</v>
      </c>
      <c r="S694" s="5">
        <f t="shared" si="135"/>
        <v>0</v>
      </c>
    </row>
    <row r="695" spans="7:22" hidden="1">
      <c r="J695" s="1" t="str">
        <f t="shared" si="130"/>
        <v>0</v>
      </c>
      <c r="K695" s="3">
        <f t="shared" si="131"/>
        <v>-100</v>
      </c>
      <c r="L695" s="3">
        <f t="shared" si="132"/>
        <v>1</v>
      </c>
      <c r="M695" s="3">
        <f t="shared" si="133"/>
        <v>0</v>
      </c>
      <c r="N695" s="3" t="str">
        <f t="shared" si="134"/>
        <v>01</v>
      </c>
      <c r="O695" s="14" t="str">
        <f t="shared" si="134"/>
        <v>00</v>
      </c>
      <c r="R695" s="6">
        <v>517</v>
      </c>
      <c r="S695" s="5">
        <f t="shared" si="135"/>
        <v>0</v>
      </c>
    </row>
    <row r="696" spans="7:22" hidden="1">
      <c r="G696" s="52"/>
      <c r="H696" s="9"/>
      <c r="J696" s="1" t="str">
        <f t="shared" si="130"/>
        <v>0</v>
      </c>
      <c r="K696" s="3">
        <f t="shared" si="131"/>
        <v>-100</v>
      </c>
      <c r="L696" s="3">
        <f t="shared" si="132"/>
        <v>1</v>
      </c>
      <c r="M696" s="3">
        <f t="shared" si="133"/>
        <v>0</v>
      </c>
      <c r="N696" s="3" t="str">
        <f t="shared" si="134"/>
        <v>01</v>
      </c>
      <c r="O696" s="14" t="str">
        <f t="shared" si="134"/>
        <v>00</v>
      </c>
      <c r="P696" s="11"/>
      <c r="Q696" s="12"/>
      <c r="R696" s="6">
        <v>517</v>
      </c>
      <c r="S696" s="5">
        <f t="shared" si="135"/>
        <v>0</v>
      </c>
      <c r="T696" s="12"/>
      <c r="U696" s="10"/>
      <c r="V696" s="10"/>
    </row>
    <row r="697" spans="7:22" hidden="1">
      <c r="J697" s="1" t="str">
        <f t="shared" si="130"/>
        <v>0</v>
      </c>
      <c r="K697" s="3">
        <f t="shared" si="131"/>
        <v>-100</v>
      </c>
      <c r="L697" s="3">
        <f t="shared" si="132"/>
        <v>1</v>
      </c>
      <c r="M697" s="3">
        <f t="shared" si="133"/>
        <v>0</v>
      </c>
      <c r="N697" s="3" t="str">
        <f t="shared" si="134"/>
        <v>01</v>
      </c>
      <c r="O697" s="14" t="str">
        <f t="shared" si="134"/>
        <v>00</v>
      </c>
      <c r="R697" s="6">
        <v>521</v>
      </c>
      <c r="S697" s="5">
        <f t="shared" si="135"/>
        <v>0</v>
      </c>
    </row>
    <row r="698" spans="7:22" hidden="1">
      <c r="J698" s="1" t="str">
        <f t="shared" si="130"/>
        <v>0</v>
      </c>
      <c r="K698" s="3">
        <f t="shared" si="131"/>
        <v>-100</v>
      </c>
      <c r="L698" s="3">
        <f t="shared" si="132"/>
        <v>1</v>
      </c>
      <c r="M698" s="3">
        <f t="shared" si="133"/>
        <v>0</v>
      </c>
      <c r="N698" s="3" t="str">
        <f t="shared" si="134"/>
        <v>01</v>
      </c>
      <c r="O698" s="14" t="str">
        <f t="shared" si="134"/>
        <v>00</v>
      </c>
      <c r="R698" s="6">
        <v>521</v>
      </c>
      <c r="S698" s="5">
        <f t="shared" si="135"/>
        <v>0</v>
      </c>
    </row>
    <row r="699" spans="7:22" hidden="1">
      <c r="J699" s="1" t="str">
        <f t="shared" si="130"/>
        <v>0</v>
      </c>
      <c r="K699" s="3">
        <f t="shared" si="131"/>
        <v>-100</v>
      </c>
      <c r="L699" s="3">
        <f t="shared" si="132"/>
        <v>1</v>
      </c>
      <c r="M699" s="3">
        <f t="shared" si="133"/>
        <v>0</v>
      </c>
      <c r="N699" s="3" t="str">
        <f t="shared" si="134"/>
        <v>01</v>
      </c>
      <c r="O699" s="14" t="str">
        <f t="shared" si="134"/>
        <v>00</v>
      </c>
      <c r="R699" s="6">
        <v>521</v>
      </c>
      <c r="S699" s="5">
        <f t="shared" si="135"/>
        <v>0</v>
      </c>
    </row>
    <row r="700" spans="7:22" hidden="1">
      <c r="J700" s="1" t="str">
        <f t="shared" si="130"/>
        <v>0</v>
      </c>
      <c r="K700" s="3">
        <f t="shared" si="131"/>
        <v>-100</v>
      </c>
      <c r="L700" s="3">
        <f t="shared" si="132"/>
        <v>1</v>
      </c>
      <c r="M700" s="3">
        <f t="shared" si="133"/>
        <v>0</v>
      </c>
      <c r="N700" s="3" t="str">
        <f t="shared" si="134"/>
        <v>01</v>
      </c>
      <c r="O700" s="14" t="str">
        <f t="shared" si="134"/>
        <v>00</v>
      </c>
      <c r="R700" s="6">
        <v>521</v>
      </c>
      <c r="S700" s="5">
        <f t="shared" si="135"/>
        <v>0</v>
      </c>
    </row>
    <row r="701" spans="7:22" hidden="1">
      <c r="J701" s="1" t="str">
        <f t="shared" si="130"/>
        <v>0</v>
      </c>
      <c r="K701" s="3">
        <f t="shared" si="131"/>
        <v>-100</v>
      </c>
      <c r="L701" s="3">
        <f t="shared" si="132"/>
        <v>1</v>
      </c>
      <c r="M701" s="3">
        <f t="shared" si="133"/>
        <v>0</v>
      </c>
      <c r="N701" s="3" t="str">
        <f t="shared" si="134"/>
        <v>01</v>
      </c>
      <c r="O701" s="14" t="str">
        <f t="shared" si="134"/>
        <v>00</v>
      </c>
      <c r="R701" s="6">
        <v>521</v>
      </c>
      <c r="S701" s="5">
        <f t="shared" si="135"/>
        <v>0</v>
      </c>
    </row>
    <row r="702" spans="7:22" hidden="1">
      <c r="J702" s="1" t="str">
        <f t="shared" si="130"/>
        <v>0</v>
      </c>
      <c r="K702" s="3">
        <f t="shared" si="131"/>
        <v>-100</v>
      </c>
      <c r="L702" s="3">
        <f t="shared" si="132"/>
        <v>1</v>
      </c>
      <c r="M702" s="3">
        <f t="shared" si="133"/>
        <v>0</v>
      </c>
      <c r="N702" s="3" t="str">
        <f t="shared" si="134"/>
        <v>01</v>
      </c>
      <c r="O702" s="14" t="str">
        <f t="shared" si="134"/>
        <v>00</v>
      </c>
      <c r="R702" s="6">
        <v>521</v>
      </c>
      <c r="S702" s="5">
        <f t="shared" si="135"/>
        <v>0</v>
      </c>
    </row>
    <row r="703" spans="7:22" hidden="1">
      <c r="J703" s="1" t="str">
        <f t="shared" si="130"/>
        <v>0</v>
      </c>
      <c r="K703" s="3">
        <f t="shared" si="131"/>
        <v>-100</v>
      </c>
      <c r="L703" s="3">
        <f t="shared" si="132"/>
        <v>1</v>
      </c>
      <c r="M703" s="3">
        <f t="shared" si="133"/>
        <v>0</v>
      </c>
      <c r="N703" s="3" t="str">
        <f t="shared" si="134"/>
        <v>01</v>
      </c>
      <c r="O703" s="14" t="str">
        <f t="shared" si="134"/>
        <v>00</v>
      </c>
      <c r="R703" s="6">
        <v>521</v>
      </c>
      <c r="S703" s="5">
        <f t="shared" si="135"/>
        <v>0</v>
      </c>
    </row>
    <row r="704" spans="7:22" hidden="1">
      <c r="J704" s="1" t="str">
        <f t="shared" si="130"/>
        <v>0</v>
      </c>
      <c r="K704" s="3">
        <f t="shared" si="131"/>
        <v>-100</v>
      </c>
      <c r="L704" s="3">
        <f t="shared" si="132"/>
        <v>1</v>
      </c>
      <c r="M704" s="3">
        <f t="shared" si="133"/>
        <v>0</v>
      </c>
      <c r="N704" s="3" t="str">
        <f t="shared" si="134"/>
        <v>01</v>
      </c>
      <c r="O704" s="14" t="str">
        <f t="shared" si="134"/>
        <v>00</v>
      </c>
      <c r="R704" s="6">
        <v>524</v>
      </c>
      <c r="S704" s="5">
        <f t="shared" si="135"/>
        <v>0</v>
      </c>
    </row>
    <row r="705" spans="1:22" hidden="1">
      <c r="J705" s="1" t="str">
        <f t="shared" si="130"/>
        <v>0</v>
      </c>
      <c r="K705" s="3">
        <f t="shared" si="131"/>
        <v>-100</v>
      </c>
      <c r="L705" s="3">
        <f t="shared" si="132"/>
        <v>1</v>
      </c>
      <c r="M705" s="3">
        <f t="shared" si="133"/>
        <v>0</v>
      </c>
      <c r="N705" s="3" t="str">
        <f t="shared" si="134"/>
        <v>01</v>
      </c>
      <c r="O705" s="14" t="str">
        <f t="shared" si="134"/>
        <v>00</v>
      </c>
      <c r="R705" s="6">
        <v>524</v>
      </c>
      <c r="S705" s="5">
        <f t="shared" si="135"/>
        <v>0</v>
      </c>
    </row>
    <row r="706" spans="1:22" hidden="1">
      <c r="J706" s="1" t="str">
        <f t="shared" si="130"/>
        <v>0</v>
      </c>
      <c r="K706" s="3">
        <f t="shared" si="131"/>
        <v>-100</v>
      </c>
      <c r="L706" s="3">
        <f t="shared" si="132"/>
        <v>1</v>
      </c>
      <c r="M706" s="3">
        <f t="shared" si="133"/>
        <v>0</v>
      </c>
      <c r="N706" s="3" t="str">
        <f t="shared" si="134"/>
        <v>01</v>
      </c>
      <c r="O706" s="14" t="str">
        <f t="shared" si="134"/>
        <v>00</v>
      </c>
      <c r="R706" s="6">
        <v>524</v>
      </c>
      <c r="S706" s="5">
        <f t="shared" si="135"/>
        <v>0</v>
      </c>
    </row>
    <row r="707" spans="1:22" hidden="1">
      <c r="J707" s="1" t="str">
        <f t="shared" si="130"/>
        <v>0</v>
      </c>
      <c r="K707" s="3">
        <f t="shared" si="131"/>
        <v>-100</v>
      </c>
      <c r="L707" s="3">
        <f t="shared" si="132"/>
        <v>1</v>
      </c>
      <c r="M707" s="3">
        <f t="shared" si="133"/>
        <v>0</v>
      </c>
      <c r="N707" s="3" t="str">
        <f t="shared" si="134"/>
        <v>01</v>
      </c>
      <c r="O707" s="14" t="str">
        <f t="shared" si="134"/>
        <v>00</v>
      </c>
      <c r="R707" s="6">
        <v>524</v>
      </c>
      <c r="S707" s="5">
        <f t="shared" si="135"/>
        <v>0</v>
      </c>
    </row>
    <row r="708" spans="1:22" hidden="1">
      <c r="J708" s="1" t="str">
        <f t="shared" si="130"/>
        <v>0</v>
      </c>
      <c r="K708" s="3">
        <f t="shared" si="131"/>
        <v>-100</v>
      </c>
      <c r="L708" s="3">
        <f t="shared" si="132"/>
        <v>1</v>
      </c>
      <c r="M708" s="3">
        <f t="shared" si="133"/>
        <v>0</v>
      </c>
      <c r="N708" s="3" t="str">
        <f t="shared" si="134"/>
        <v>01</v>
      </c>
      <c r="O708" s="14" t="str">
        <f t="shared" si="134"/>
        <v>00</v>
      </c>
      <c r="R708" s="6">
        <v>524</v>
      </c>
      <c r="S708" s="5">
        <f t="shared" si="135"/>
        <v>0</v>
      </c>
    </row>
    <row r="709" spans="1:22" hidden="1">
      <c r="J709" s="1" t="str">
        <f t="shared" si="130"/>
        <v>0</v>
      </c>
      <c r="K709" s="3">
        <f t="shared" si="131"/>
        <v>-100</v>
      </c>
      <c r="L709" s="3">
        <f t="shared" si="132"/>
        <v>1</v>
      </c>
      <c r="M709" s="3">
        <f t="shared" si="133"/>
        <v>0</v>
      </c>
      <c r="N709" s="3" t="str">
        <f t="shared" si="134"/>
        <v>01</v>
      </c>
      <c r="O709" s="14" t="str">
        <f t="shared" si="134"/>
        <v>00</v>
      </c>
      <c r="R709" s="6">
        <v>524</v>
      </c>
      <c r="S709" s="5">
        <f t="shared" si="135"/>
        <v>0</v>
      </c>
    </row>
    <row r="710" spans="1:22" hidden="1">
      <c r="J710" s="1" t="str">
        <f t="shared" si="130"/>
        <v>0</v>
      </c>
      <c r="K710" s="3">
        <f t="shared" si="131"/>
        <v>-100</v>
      </c>
      <c r="L710" s="3">
        <f t="shared" si="132"/>
        <v>1</v>
      </c>
      <c r="M710" s="3">
        <f t="shared" si="133"/>
        <v>0</v>
      </c>
      <c r="N710" s="3" t="str">
        <f t="shared" si="134"/>
        <v>01</v>
      </c>
      <c r="O710" s="14" t="str">
        <f t="shared" si="134"/>
        <v>00</v>
      </c>
      <c r="R710" s="6">
        <v>524</v>
      </c>
      <c r="S710" s="5">
        <f t="shared" si="135"/>
        <v>0</v>
      </c>
    </row>
    <row r="711" spans="1:22">
      <c r="A711" s="3">
        <v>704</v>
      </c>
      <c r="B711" s="1">
        <f t="shared" si="125"/>
        <v>0</v>
      </c>
      <c r="C711" s="1">
        <f t="shared" si="126"/>
        <v>1</v>
      </c>
      <c r="D711" s="1">
        <f t="shared" si="127"/>
        <v>0</v>
      </c>
      <c r="E711" s="1">
        <f t="shared" ref="E711:F718" si="136">IF(U711="",1,0)</f>
        <v>0</v>
      </c>
      <c r="F711" s="1">
        <f t="shared" si="136"/>
        <v>0</v>
      </c>
      <c r="G711" s="1" t="str">
        <f t="shared" si="129"/>
        <v>24060102</v>
      </c>
      <c r="H711" s="2">
        <v>45444</v>
      </c>
      <c r="I711" s="36">
        <v>2</v>
      </c>
      <c r="J711" s="1" t="str">
        <f t="shared" si="130"/>
        <v>02</v>
      </c>
      <c r="K711" s="3">
        <f t="shared" si="131"/>
        <v>24</v>
      </c>
      <c r="L711" s="3">
        <f t="shared" si="132"/>
        <v>6</v>
      </c>
      <c r="M711" s="3">
        <f t="shared" si="133"/>
        <v>1</v>
      </c>
      <c r="N711" s="3" t="str">
        <f t="shared" si="134"/>
        <v>06</v>
      </c>
      <c r="O711" s="14" t="str">
        <f t="shared" si="134"/>
        <v>01</v>
      </c>
      <c r="P711" s="4">
        <v>714330.79</v>
      </c>
      <c r="R711" s="6">
        <v>524</v>
      </c>
      <c r="S711" s="5">
        <f t="shared" si="135"/>
        <v>1363.2266984732826</v>
      </c>
      <c r="T711" s="5" t="s">
        <v>236</v>
      </c>
      <c r="U711" s="3" t="s">
        <v>1</v>
      </c>
      <c r="V711" s="3" t="s">
        <v>5</v>
      </c>
    </row>
    <row r="712" spans="1:22" hidden="1">
      <c r="J712" s="1" t="str">
        <f t="shared" si="130"/>
        <v>0</v>
      </c>
      <c r="K712" s="3">
        <f t="shared" si="131"/>
        <v>-100</v>
      </c>
      <c r="L712" s="3">
        <f t="shared" si="132"/>
        <v>1</v>
      </c>
      <c r="M712" s="3">
        <f t="shared" si="133"/>
        <v>0</v>
      </c>
      <c r="N712" s="3" t="str">
        <f t="shared" si="134"/>
        <v>01</v>
      </c>
      <c r="O712" s="14" t="str">
        <f t="shared" si="134"/>
        <v>00</v>
      </c>
      <c r="R712" s="6">
        <v>524</v>
      </c>
      <c r="S712" s="5">
        <f t="shared" si="135"/>
        <v>0</v>
      </c>
    </row>
    <row r="713" spans="1:22" hidden="1">
      <c r="J713" s="1" t="str">
        <f t="shared" si="130"/>
        <v>0</v>
      </c>
      <c r="K713" s="3">
        <f t="shared" si="131"/>
        <v>-100</v>
      </c>
      <c r="L713" s="3">
        <f t="shared" si="132"/>
        <v>1</v>
      </c>
      <c r="M713" s="3">
        <f t="shared" si="133"/>
        <v>0</v>
      </c>
      <c r="N713" s="3" t="str">
        <f t="shared" si="134"/>
        <v>01</v>
      </c>
      <c r="O713" s="14" t="str">
        <f t="shared" si="134"/>
        <v>00</v>
      </c>
      <c r="R713" s="6">
        <v>524</v>
      </c>
      <c r="S713" s="5">
        <f t="shared" si="135"/>
        <v>0</v>
      </c>
    </row>
    <row r="714" spans="1:22" hidden="1">
      <c r="J714" s="1" t="str">
        <f t="shared" si="130"/>
        <v>0</v>
      </c>
      <c r="K714" s="3">
        <f t="shared" si="131"/>
        <v>-100</v>
      </c>
      <c r="L714" s="3">
        <f t="shared" si="132"/>
        <v>1</v>
      </c>
      <c r="M714" s="3">
        <f t="shared" si="133"/>
        <v>0</v>
      </c>
      <c r="N714" s="3" t="str">
        <f t="shared" si="134"/>
        <v>01</v>
      </c>
      <c r="O714" s="14" t="str">
        <f t="shared" si="134"/>
        <v>00</v>
      </c>
      <c r="P714" s="57"/>
      <c r="R714" s="6">
        <v>524</v>
      </c>
      <c r="S714" s="5">
        <f t="shared" si="135"/>
        <v>0</v>
      </c>
      <c r="T714" s="3"/>
    </row>
    <row r="715" spans="1:22" hidden="1">
      <c r="J715" s="1" t="str">
        <f t="shared" si="130"/>
        <v>0</v>
      </c>
      <c r="K715" s="3">
        <f t="shared" si="131"/>
        <v>-100</v>
      </c>
      <c r="L715" s="3">
        <f t="shared" si="132"/>
        <v>1</v>
      </c>
      <c r="M715" s="3">
        <f t="shared" si="133"/>
        <v>0</v>
      </c>
      <c r="N715" s="3" t="str">
        <f t="shared" si="134"/>
        <v>01</v>
      </c>
      <c r="O715" s="14" t="str">
        <f t="shared" si="134"/>
        <v>00</v>
      </c>
      <c r="P715" s="57"/>
      <c r="R715" s="6">
        <v>524</v>
      </c>
      <c r="S715" s="5">
        <f t="shared" si="135"/>
        <v>0</v>
      </c>
      <c r="T715" s="3"/>
    </row>
    <row r="716" spans="1:22" hidden="1">
      <c r="J716" s="1" t="str">
        <f t="shared" si="130"/>
        <v>0</v>
      </c>
      <c r="K716" s="3">
        <f t="shared" si="131"/>
        <v>-100</v>
      </c>
      <c r="L716" s="3">
        <f t="shared" si="132"/>
        <v>1</v>
      </c>
      <c r="M716" s="3">
        <f t="shared" si="133"/>
        <v>0</v>
      </c>
      <c r="N716" s="3" t="str">
        <f t="shared" si="134"/>
        <v>01</v>
      </c>
      <c r="O716" s="14" t="str">
        <f t="shared" si="134"/>
        <v>00</v>
      </c>
      <c r="P716" s="58"/>
      <c r="R716" s="6">
        <v>524</v>
      </c>
      <c r="S716" s="5">
        <f t="shared" si="135"/>
        <v>0</v>
      </c>
      <c r="T716" s="3"/>
    </row>
    <row r="717" spans="1:22" hidden="1">
      <c r="J717" s="1" t="str">
        <f t="shared" si="130"/>
        <v>0</v>
      </c>
      <c r="K717" s="3">
        <f t="shared" si="131"/>
        <v>-100</v>
      </c>
      <c r="L717" s="3">
        <f t="shared" si="132"/>
        <v>1</v>
      </c>
      <c r="M717" s="3">
        <f t="shared" si="133"/>
        <v>0</v>
      </c>
      <c r="N717" s="3" t="str">
        <f t="shared" ref="N717:O749" si="137">+IF(L717&lt;10,_xlfn.CONCAT("0",L717),L717)</f>
        <v>01</v>
      </c>
      <c r="O717" s="14" t="str">
        <f t="shared" si="137"/>
        <v>00</v>
      </c>
      <c r="P717" s="58"/>
      <c r="R717" s="6">
        <v>524</v>
      </c>
      <c r="S717" s="5">
        <f t="shared" si="135"/>
        <v>0</v>
      </c>
      <c r="T717" s="3"/>
    </row>
    <row r="718" spans="1:22">
      <c r="A718" s="3">
        <v>711</v>
      </c>
      <c r="B718" s="1">
        <f t="shared" si="125"/>
        <v>0</v>
      </c>
      <c r="C718" s="1">
        <f t="shared" si="126"/>
        <v>1</v>
      </c>
      <c r="D718" s="1">
        <f t="shared" si="127"/>
        <v>0</v>
      </c>
      <c r="E718" s="1">
        <f t="shared" si="136"/>
        <v>0</v>
      </c>
      <c r="F718" s="1">
        <f t="shared" si="136"/>
        <v>0</v>
      </c>
      <c r="G718" s="1" t="str">
        <f t="shared" si="129"/>
        <v>24060109</v>
      </c>
      <c r="H718" s="2">
        <v>45444</v>
      </c>
      <c r="I718" s="36">
        <v>9</v>
      </c>
      <c r="J718" s="1" t="str">
        <f t="shared" si="130"/>
        <v>09</v>
      </c>
      <c r="K718" s="3">
        <f t="shared" si="131"/>
        <v>24</v>
      </c>
      <c r="L718" s="3">
        <f t="shared" si="132"/>
        <v>6</v>
      </c>
      <c r="M718" s="3">
        <f t="shared" si="133"/>
        <v>1</v>
      </c>
      <c r="N718" s="3" t="str">
        <f t="shared" si="137"/>
        <v>06</v>
      </c>
      <c r="O718" s="14" t="str">
        <f t="shared" si="137"/>
        <v>01</v>
      </c>
      <c r="P718" s="58">
        <v>150000</v>
      </c>
      <c r="R718" s="6">
        <v>524</v>
      </c>
      <c r="S718" s="5">
        <f t="shared" si="135"/>
        <v>286.25954198473283</v>
      </c>
      <c r="T718" s="3" t="s">
        <v>241</v>
      </c>
      <c r="U718" s="3" t="s">
        <v>1</v>
      </c>
      <c r="V718" s="3" t="s">
        <v>5</v>
      </c>
    </row>
    <row r="719" spans="1:22" hidden="1">
      <c r="J719" s="1" t="str">
        <f t="shared" si="130"/>
        <v>0</v>
      </c>
      <c r="K719" s="3">
        <f t="shared" si="131"/>
        <v>-100</v>
      </c>
      <c r="L719" s="3">
        <f t="shared" si="132"/>
        <v>1</v>
      </c>
      <c r="M719" s="3">
        <f t="shared" si="133"/>
        <v>0</v>
      </c>
      <c r="N719" s="3" t="str">
        <f t="shared" si="137"/>
        <v>01</v>
      </c>
      <c r="O719" s="14" t="str">
        <f t="shared" si="137"/>
        <v>00</v>
      </c>
      <c r="P719" s="58"/>
      <c r="R719" s="6">
        <v>524</v>
      </c>
      <c r="S719" s="5">
        <f t="shared" si="135"/>
        <v>0</v>
      </c>
      <c r="T719" s="3"/>
    </row>
    <row r="720" spans="1:22">
      <c r="A720" s="3">
        <v>713</v>
      </c>
      <c r="B720" s="1">
        <f t="shared" ref="B720:B735" si="138">IF(G720="-",0,IF(G719=G720,1,0))</f>
        <v>0</v>
      </c>
      <c r="C720" s="1">
        <f t="shared" ref="C720:C735" si="139">+IF(G720="-",0,IF(I720=I719+1,0,(IF(I720=1,0,1))))</f>
        <v>1</v>
      </c>
      <c r="D720" s="1">
        <f t="shared" ref="D720:D735" si="140">+IF(AND(P720="",Q720=""),1,0)</f>
        <v>0</v>
      </c>
      <c r="E720" s="1">
        <f t="shared" ref="E720:F735" si="141">IF(U720="",1,0)</f>
        <v>0</v>
      </c>
      <c r="F720" s="1">
        <f t="shared" si="141"/>
        <v>0</v>
      </c>
      <c r="G720" s="1" t="str">
        <f t="shared" ref="G720:G735" si="142">IF(H720=0,"-",_xlfn.CONCAT(K720,N720,O720,J720))</f>
        <v>24060111</v>
      </c>
      <c r="H720" s="2">
        <v>45444</v>
      </c>
      <c r="I720" s="36">
        <v>11</v>
      </c>
      <c r="J720" s="1">
        <f t="shared" si="130"/>
        <v>11</v>
      </c>
      <c r="K720" s="3">
        <f t="shared" si="131"/>
        <v>24</v>
      </c>
      <c r="L720" s="3">
        <f t="shared" si="132"/>
        <v>6</v>
      </c>
      <c r="M720" s="3">
        <f t="shared" si="133"/>
        <v>1</v>
      </c>
      <c r="N720" s="3" t="str">
        <f t="shared" si="137"/>
        <v>06</v>
      </c>
      <c r="O720" s="14" t="str">
        <f t="shared" si="137"/>
        <v>01</v>
      </c>
      <c r="P720" s="58">
        <v>110000</v>
      </c>
      <c r="R720" s="6">
        <v>524</v>
      </c>
      <c r="S720" s="5">
        <f t="shared" si="135"/>
        <v>209.92366412213741</v>
      </c>
      <c r="T720" s="3" t="s">
        <v>243</v>
      </c>
      <c r="U720" s="3" t="s">
        <v>1</v>
      </c>
      <c r="V720" s="3" t="s">
        <v>5</v>
      </c>
    </row>
    <row r="721" spans="1:22">
      <c r="A721" s="3">
        <v>714</v>
      </c>
      <c r="B721" s="1">
        <f t="shared" si="138"/>
        <v>0</v>
      </c>
      <c r="C721" s="1">
        <f t="shared" si="139"/>
        <v>0</v>
      </c>
      <c r="D721" s="1">
        <f t="shared" si="140"/>
        <v>0</v>
      </c>
      <c r="E721" s="1">
        <f t="shared" si="141"/>
        <v>0</v>
      </c>
      <c r="F721" s="1">
        <f t="shared" si="141"/>
        <v>0</v>
      </c>
      <c r="G721" s="1" t="str">
        <f t="shared" si="142"/>
        <v>24060112</v>
      </c>
      <c r="H721" s="2">
        <v>45444</v>
      </c>
      <c r="I721" s="36">
        <v>12</v>
      </c>
      <c r="J721" s="1">
        <f t="shared" si="130"/>
        <v>12</v>
      </c>
      <c r="K721" s="3">
        <f t="shared" si="131"/>
        <v>24</v>
      </c>
      <c r="L721" s="3">
        <f t="shared" si="132"/>
        <v>6</v>
      </c>
      <c r="M721" s="3">
        <f t="shared" si="133"/>
        <v>1</v>
      </c>
      <c r="N721" s="3" t="str">
        <f t="shared" si="137"/>
        <v>06</v>
      </c>
      <c r="O721" s="14" t="str">
        <f t="shared" si="137"/>
        <v>01</v>
      </c>
      <c r="P721" s="58">
        <v>230000</v>
      </c>
      <c r="R721" s="6">
        <v>524</v>
      </c>
      <c r="S721" s="5">
        <f t="shared" si="135"/>
        <v>438.93129770992368</v>
      </c>
      <c r="T721" s="3" t="s">
        <v>244</v>
      </c>
      <c r="U721" s="3" t="s">
        <v>1</v>
      </c>
      <c r="V721" s="3" t="s">
        <v>5</v>
      </c>
    </row>
    <row r="722" spans="1:22">
      <c r="A722" s="3">
        <v>715</v>
      </c>
      <c r="B722" s="1">
        <f t="shared" si="138"/>
        <v>0</v>
      </c>
      <c r="C722" s="1">
        <f t="shared" si="139"/>
        <v>0</v>
      </c>
      <c r="D722" s="1">
        <f t="shared" si="140"/>
        <v>0</v>
      </c>
      <c r="E722" s="1">
        <f t="shared" si="141"/>
        <v>0</v>
      </c>
      <c r="F722" s="1">
        <f t="shared" si="141"/>
        <v>0</v>
      </c>
      <c r="G722" s="1" t="str">
        <f t="shared" si="142"/>
        <v>24060113</v>
      </c>
      <c r="H722" s="2">
        <v>45444</v>
      </c>
      <c r="I722" s="36">
        <v>13</v>
      </c>
      <c r="J722" s="1">
        <f t="shared" si="130"/>
        <v>13</v>
      </c>
      <c r="K722" s="3">
        <f t="shared" si="131"/>
        <v>24</v>
      </c>
      <c r="L722" s="3">
        <f t="shared" si="132"/>
        <v>6</v>
      </c>
      <c r="M722" s="3">
        <f t="shared" si="133"/>
        <v>1</v>
      </c>
      <c r="N722" s="3" t="str">
        <f t="shared" si="137"/>
        <v>06</v>
      </c>
      <c r="O722" s="14" t="str">
        <f t="shared" si="137"/>
        <v>01</v>
      </c>
      <c r="P722" s="58">
        <v>90000</v>
      </c>
      <c r="R722" s="6">
        <v>524</v>
      </c>
      <c r="S722" s="5">
        <f t="shared" si="135"/>
        <v>171.75572519083968</v>
      </c>
      <c r="T722" s="3" t="s">
        <v>245</v>
      </c>
      <c r="U722" s="3" t="s">
        <v>1</v>
      </c>
      <c r="V722" s="3" t="s">
        <v>5</v>
      </c>
    </row>
    <row r="723" spans="1:22" hidden="1">
      <c r="J723" s="1" t="str">
        <f t="shared" si="130"/>
        <v>0</v>
      </c>
      <c r="K723" s="3">
        <f t="shared" si="131"/>
        <v>-100</v>
      </c>
      <c r="L723" s="3">
        <f t="shared" si="132"/>
        <v>1</v>
      </c>
      <c r="M723" s="3">
        <f t="shared" si="133"/>
        <v>0</v>
      </c>
      <c r="N723" s="3" t="str">
        <f t="shared" si="137"/>
        <v>01</v>
      </c>
      <c r="O723" s="14" t="str">
        <f t="shared" si="137"/>
        <v>00</v>
      </c>
      <c r="P723" s="58"/>
      <c r="R723" s="6">
        <v>524</v>
      </c>
      <c r="S723" s="5">
        <f t="shared" si="135"/>
        <v>0</v>
      </c>
      <c r="T723" s="3"/>
    </row>
    <row r="724" spans="1:22">
      <c r="A724" s="3">
        <v>717</v>
      </c>
      <c r="B724" s="1">
        <f t="shared" si="138"/>
        <v>0</v>
      </c>
      <c r="C724" s="1">
        <f t="shared" si="139"/>
        <v>1</v>
      </c>
      <c r="D724" s="1">
        <f t="shared" si="140"/>
        <v>0</v>
      </c>
      <c r="E724" s="1">
        <f t="shared" si="141"/>
        <v>0</v>
      </c>
      <c r="F724" s="1">
        <f t="shared" si="141"/>
        <v>0</v>
      </c>
      <c r="G724" s="1" t="str">
        <f t="shared" si="142"/>
        <v>24060115</v>
      </c>
      <c r="H724" s="2">
        <v>45444</v>
      </c>
      <c r="I724" s="36">
        <v>15</v>
      </c>
      <c r="J724" s="1">
        <f t="shared" si="130"/>
        <v>15</v>
      </c>
      <c r="K724" s="3">
        <f t="shared" si="131"/>
        <v>24</v>
      </c>
      <c r="L724" s="3">
        <f t="shared" si="132"/>
        <v>6</v>
      </c>
      <c r="M724" s="3">
        <f t="shared" si="133"/>
        <v>1</v>
      </c>
      <c r="N724" s="3" t="str">
        <f t="shared" si="137"/>
        <v>06</v>
      </c>
      <c r="O724" s="14" t="str">
        <f t="shared" si="137"/>
        <v>01</v>
      </c>
      <c r="P724" s="57">
        <v>130000</v>
      </c>
      <c r="R724" s="6">
        <v>524</v>
      </c>
      <c r="S724" s="5">
        <f t="shared" si="135"/>
        <v>248.09160305343511</v>
      </c>
      <c r="T724" s="3" t="s">
        <v>247</v>
      </c>
      <c r="U724" s="3" t="s">
        <v>1</v>
      </c>
      <c r="V724" s="3" t="s">
        <v>5</v>
      </c>
    </row>
    <row r="725" spans="1:22" hidden="1">
      <c r="J725" s="1" t="str">
        <f t="shared" si="130"/>
        <v>0</v>
      </c>
      <c r="K725" s="3">
        <f t="shared" si="131"/>
        <v>-100</v>
      </c>
      <c r="L725" s="3">
        <f t="shared" si="132"/>
        <v>1</v>
      </c>
      <c r="M725" s="3">
        <f t="shared" si="133"/>
        <v>0</v>
      </c>
      <c r="N725" s="3" t="str">
        <f t="shared" si="137"/>
        <v>01</v>
      </c>
      <c r="O725" s="14" t="str">
        <f t="shared" si="137"/>
        <v>00</v>
      </c>
      <c r="P725" s="58"/>
      <c r="R725" s="6">
        <v>524</v>
      </c>
      <c r="S725" s="5">
        <f t="shared" si="135"/>
        <v>0</v>
      </c>
      <c r="T725" s="3"/>
    </row>
    <row r="726" spans="1:22" hidden="1">
      <c r="J726" s="1" t="str">
        <f t="shared" si="130"/>
        <v>0</v>
      </c>
      <c r="K726" s="3">
        <f t="shared" si="131"/>
        <v>-100</v>
      </c>
      <c r="L726" s="3">
        <f t="shared" si="132"/>
        <v>1</v>
      </c>
      <c r="M726" s="3">
        <f t="shared" si="133"/>
        <v>0</v>
      </c>
      <c r="N726" s="3" t="str">
        <f t="shared" si="137"/>
        <v>01</v>
      </c>
      <c r="O726" s="14" t="str">
        <f t="shared" si="137"/>
        <v>00</v>
      </c>
      <c r="P726" s="58"/>
      <c r="T726" s="3"/>
    </row>
    <row r="727" spans="1:22" hidden="1">
      <c r="J727" s="1" t="str">
        <f t="shared" si="130"/>
        <v>0</v>
      </c>
      <c r="K727" s="3">
        <f t="shared" si="131"/>
        <v>-100</v>
      </c>
      <c r="L727" s="3">
        <f t="shared" si="132"/>
        <v>1</v>
      </c>
      <c r="M727" s="3">
        <f t="shared" si="133"/>
        <v>0</v>
      </c>
      <c r="N727" s="3" t="str">
        <f t="shared" si="137"/>
        <v>01</v>
      </c>
      <c r="O727" s="14" t="str">
        <f t="shared" si="137"/>
        <v>00</v>
      </c>
      <c r="R727" s="6">
        <v>524</v>
      </c>
      <c r="S727" s="5">
        <f>IFERROR(P727/R727,"")</f>
        <v>0</v>
      </c>
    </row>
    <row r="728" spans="1:22" hidden="1">
      <c r="J728" s="1" t="str">
        <f t="shared" si="130"/>
        <v>0</v>
      </c>
      <c r="K728" s="3">
        <f t="shared" si="131"/>
        <v>-100</v>
      </c>
      <c r="L728" s="3">
        <f t="shared" si="132"/>
        <v>1</v>
      </c>
      <c r="M728" s="3">
        <f t="shared" si="133"/>
        <v>0</v>
      </c>
      <c r="N728" s="3" t="str">
        <f t="shared" si="137"/>
        <v>01</v>
      </c>
      <c r="O728" s="14" t="str">
        <f t="shared" si="137"/>
        <v>00</v>
      </c>
    </row>
    <row r="729" spans="1:22">
      <c r="A729" s="3">
        <v>722</v>
      </c>
      <c r="B729" s="1">
        <f t="shared" si="138"/>
        <v>0</v>
      </c>
      <c r="C729" s="1">
        <f t="shared" si="139"/>
        <v>1</v>
      </c>
      <c r="D729" s="1">
        <f t="shared" si="140"/>
        <v>0</v>
      </c>
      <c r="E729" s="1">
        <f t="shared" si="141"/>
        <v>0</v>
      </c>
      <c r="F729" s="1">
        <f t="shared" si="141"/>
        <v>0</v>
      </c>
      <c r="G729" s="1" t="str">
        <f t="shared" si="142"/>
        <v>24060120</v>
      </c>
      <c r="H729" s="2">
        <v>45444</v>
      </c>
      <c r="I729" s="36">
        <v>20</v>
      </c>
      <c r="J729" s="1">
        <f t="shared" si="130"/>
        <v>20</v>
      </c>
      <c r="K729" s="3">
        <f t="shared" si="131"/>
        <v>24</v>
      </c>
      <c r="L729" s="3">
        <f t="shared" si="132"/>
        <v>6</v>
      </c>
      <c r="M729" s="3">
        <f t="shared" si="133"/>
        <v>1</v>
      </c>
      <c r="N729" s="3" t="str">
        <f t="shared" si="137"/>
        <v>06</v>
      </c>
      <c r="O729" s="14" t="str">
        <f t="shared" si="137"/>
        <v>01</v>
      </c>
      <c r="P729" s="4">
        <f>11*3*538</f>
        <v>17754</v>
      </c>
      <c r="Q729" s="3"/>
      <c r="R729" s="6">
        <v>524</v>
      </c>
      <c r="S729" s="5">
        <f t="shared" ref="S729:S749" si="143">IFERROR(P729/R729,"")</f>
        <v>33.881679389312978</v>
      </c>
      <c r="T729" s="3" t="s">
        <v>249</v>
      </c>
      <c r="U729" s="3" t="s">
        <v>1</v>
      </c>
      <c r="V729" s="3" t="s">
        <v>5</v>
      </c>
    </row>
    <row r="730" spans="1:22" hidden="1">
      <c r="J730" s="1" t="str">
        <f t="shared" si="130"/>
        <v>0</v>
      </c>
      <c r="K730" s="3">
        <f t="shared" si="131"/>
        <v>-100</v>
      </c>
      <c r="L730" s="3">
        <f t="shared" si="132"/>
        <v>1</v>
      </c>
      <c r="M730" s="3">
        <f t="shared" si="133"/>
        <v>0</v>
      </c>
      <c r="N730" s="3" t="str">
        <f t="shared" si="137"/>
        <v>01</v>
      </c>
      <c r="O730" s="14" t="str">
        <f t="shared" si="137"/>
        <v>00</v>
      </c>
      <c r="R730" s="6">
        <v>524</v>
      </c>
      <c r="S730" s="5">
        <f t="shared" si="143"/>
        <v>0</v>
      </c>
    </row>
    <row r="731" spans="1:22" hidden="1">
      <c r="J731" s="1" t="str">
        <f t="shared" si="130"/>
        <v>0</v>
      </c>
      <c r="K731" s="3">
        <f t="shared" si="131"/>
        <v>-100</v>
      </c>
      <c r="L731" s="3">
        <f t="shared" si="132"/>
        <v>1</v>
      </c>
      <c r="M731" s="3">
        <f t="shared" si="133"/>
        <v>0</v>
      </c>
      <c r="N731" s="3" t="str">
        <f t="shared" si="137"/>
        <v>01</v>
      </c>
      <c r="O731" s="14" t="str">
        <f t="shared" si="137"/>
        <v>00</v>
      </c>
      <c r="R731" s="6">
        <v>524</v>
      </c>
      <c r="S731" s="5">
        <f t="shared" si="143"/>
        <v>0</v>
      </c>
    </row>
    <row r="732" spans="1:22" hidden="1">
      <c r="J732" s="1" t="str">
        <f t="shared" si="130"/>
        <v>0</v>
      </c>
      <c r="K732" s="3">
        <f t="shared" si="131"/>
        <v>-100</v>
      </c>
      <c r="L732" s="3">
        <f t="shared" si="132"/>
        <v>1</v>
      </c>
      <c r="M732" s="3">
        <f t="shared" si="133"/>
        <v>0</v>
      </c>
      <c r="N732" s="3" t="str">
        <f t="shared" si="137"/>
        <v>01</v>
      </c>
      <c r="O732" s="14" t="str">
        <f t="shared" si="137"/>
        <v>00</v>
      </c>
      <c r="R732" s="6">
        <v>524</v>
      </c>
      <c r="S732" s="5">
        <f t="shared" si="143"/>
        <v>0</v>
      </c>
    </row>
    <row r="733" spans="1:22" hidden="1">
      <c r="J733" s="1" t="str">
        <f t="shared" si="130"/>
        <v>0</v>
      </c>
      <c r="K733" s="3">
        <f t="shared" si="131"/>
        <v>-100</v>
      </c>
      <c r="L733" s="3">
        <f t="shared" si="132"/>
        <v>1</v>
      </c>
      <c r="M733" s="3">
        <f t="shared" si="133"/>
        <v>0</v>
      </c>
      <c r="N733" s="3" t="str">
        <f t="shared" si="137"/>
        <v>01</v>
      </c>
      <c r="O733" s="14" t="str">
        <f t="shared" si="137"/>
        <v>00</v>
      </c>
      <c r="R733" s="6">
        <v>524</v>
      </c>
      <c r="S733" s="5">
        <f t="shared" si="143"/>
        <v>0</v>
      </c>
    </row>
    <row r="734" spans="1:22" hidden="1">
      <c r="J734" s="1" t="str">
        <f t="shared" si="130"/>
        <v>0</v>
      </c>
      <c r="K734" s="3">
        <f t="shared" si="131"/>
        <v>-100</v>
      </c>
      <c r="L734" s="3">
        <f t="shared" si="132"/>
        <v>1</v>
      </c>
      <c r="M734" s="3">
        <f t="shared" si="133"/>
        <v>0</v>
      </c>
      <c r="N734" s="3" t="str">
        <f t="shared" si="137"/>
        <v>01</v>
      </c>
      <c r="O734" s="14" t="str">
        <f t="shared" si="137"/>
        <v>00</v>
      </c>
      <c r="R734" s="6">
        <v>524</v>
      </c>
      <c r="S734" s="5">
        <f t="shared" si="143"/>
        <v>0</v>
      </c>
    </row>
    <row r="735" spans="1:22">
      <c r="A735" s="3">
        <v>728</v>
      </c>
      <c r="B735" s="1">
        <f t="shared" si="138"/>
        <v>0</v>
      </c>
      <c r="C735" s="1">
        <f t="shared" si="139"/>
        <v>1</v>
      </c>
      <c r="D735" s="1">
        <f t="shared" si="140"/>
        <v>0</v>
      </c>
      <c r="E735" s="1">
        <f t="shared" si="141"/>
        <v>0</v>
      </c>
      <c r="F735" s="1">
        <f t="shared" si="141"/>
        <v>0</v>
      </c>
      <c r="G735" s="1" t="str">
        <f t="shared" si="142"/>
        <v>24060202</v>
      </c>
      <c r="H735" s="2">
        <v>45445</v>
      </c>
      <c r="I735" s="36">
        <v>2</v>
      </c>
      <c r="J735" s="1" t="str">
        <f t="shared" si="130"/>
        <v>02</v>
      </c>
      <c r="K735" s="3">
        <f t="shared" si="131"/>
        <v>24</v>
      </c>
      <c r="L735" s="3">
        <f t="shared" si="132"/>
        <v>6</v>
      </c>
      <c r="M735" s="3">
        <f t="shared" si="133"/>
        <v>2</v>
      </c>
      <c r="N735" s="3" t="str">
        <f t="shared" si="137"/>
        <v>06</v>
      </c>
      <c r="O735" s="14" t="str">
        <f t="shared" si="137"/>
        <v>02</v>
      </c>
      <c r="P735" s="4">
        <v>60000</v>
      </c>
      <c r="R735" s="6">
        <v>524</v>
      </c>
      <c r="S735" s="5">
        <f t="shared" si="143"/>
        <v>114.50381679389314</v>
      </c>
      <c r="T735" s="3" t="s">
        <v>250</v>
      </c>
      <c r="U735" s="3" t="s">
        <v>1</v>
      </c>
      <c r="V735" s="3" t="s">
        <v>5</v>
      </c>
    </row>
    <row r="736" spans="1:22" hidden="1">
      <c r="J736" s="1" t="str">
        <f t="shared" si="130"/>
        <v>0</v>
      </c>
      <c r="K736" s="3">
        <f t="shared" si="131"/>
        <v>-100</v>
      </c>
      <c r="L736" s="3">
        <f t="shared" si="132"/>
        <v>1</v>
      </c>
      <c r="M736" s="3">
        <f t="shared" si="133"/>
        <v>0</v>
      </c>
      <c r="N736" s="3" t="str">
        <f t="shared" si="137"/>
        <v>01</v>
      </c>
      <c r="O736" s="14" t="str">
        <f t="shared" si="137"/>
        <v>00</v>
      </c>
      <c r="R736" s="6">
        <v>524</v>
      </c>
      <c r="S736" s="5">
        <f t="shared" si="143"/>
        <v>0</v>
      </c>
    </row>
    <row r="737" spans="8:23" hidden="1">
      <c r="J737" s="1" t="str">
        <f t="shared" si="130"/>
        <v>0</v>
      </c>
      <c r="K737" s="3">
        <f t="shared" si="131"/>
        <v>-100</v>
      </c>
      <c r="L737" s="3">
        <f t="shared" si="132"/>
        <v>1</v>
      </c>
      <c r="M737" s="3">
        <f t="shared" si="133"/>
        <v>0</v>
      </c>
      <c r="N737" s="3" t="str">
        <f t="shared" si="137"/>
        <v>01</v>
      </c>
      <c r="O737" s="14" t="str">
        <f t="shared" si="137"/>
        <v>00</v>
      </c>
      <c r="R737" s="6">
        <v>524</v>
      </c>
      <c r="S737" s="5">
        <f t="shared" si="143"/>
        <v>0</v>
      </c>
    </row>
    <row r="738" spans="8:23" hidden="1">
      <c r="J738" s="1" t="str">
        <f t="shared" si="130"/>
        <v>0</v>
      </c>
      <c r="K738" s="3">
        <f t="shared" si="131"/>
        <v>-100</v>
      </c>
      <c r="L738" s="3">
        <f t="shared" si="132"/>
        <v>1</v>
      </c>
      <c r="M738" s="3">
        <f t="shared" si="133"/>
        <v>0</v>
      </c>
      <c r="N738" s="3" t="str">
        <f t="shared" si="137"/>
        <v>01</v>
      </c>
      <c r="O738" s="14" t="str">
        <f t="shared" si="137"/>
        <v>00</v>
      </c>
      <c r="R738" s="6">
        <v>524</v>
      </c>
      <c r="S738" s="5">
        <f t="shared" si="143"/>
        <v>0</v>
      </c>
    </row>
    <row r="739" spans="8:23" hidden="1">
      <c r="J739" s="1" t="str">
        <f t="shared" si="130"/>
        <v>0</v>
      </c>
      <c r="K739" s="3">
        <f t="shared" si="131"/>
        <v>-100</v>
      </c>
      <c r="L739" s="3">
        <f t="shared" si="132"/>
        <v>1</v>
      </c>
      <c r="M739" s="3">
        <f t="shared" si="133"/>
        <v>0</v>
      </c>
      <c r="N739" s="3" t="str">
        <f t="shared" si="137"/>
        <v>01</v>
      </c>
      <c r="O739" s="14" t="str">
        <f t="shared" si="137"/>
        <v>00</v>
      </c>
      <c r="R739" s="6">
        <v>524</v>
      </c>
      <c r="S739" s="5">
        <f t="shared" si="143"/>
        <v>0</v>
      </c>
    </row>
    <row r="740" spans="8:23" hidden="1">
      <c r="J740" s="1" t="str">
        <f t="shared" si="130"/>
        <v>0</v>
      </c>
      <c r="K740" s="3">
        <f t="shared" si="131"/>
        <v>-100</v>
      </c>
      <c r="L740" s="3">
        <f t="shared" si="132"/>
        <v>1</v>
      </c>
      <c r="M740" s="3">
        <f t="shared" si="133"/>
        <v>0</v>
      </c>
      <c r="N740" s="3" t="str">
        <f t="shared" si="137"/>
        <v>01</v>
      </c>
      <c r="O740" s="14" t="str">
        <f t="shared" si="137"/>
        <v>00</v>
      </c>
      <c r="R740" s="6">
        <v>523</v>
      </c>
      <c r="S740" s="5">
        <f t="shared" si="143"/>
        <v>0</v>
      </c>
    </row>
    <row r="741" spans="8:23" hidden="1">
      <c r="J741" s="1" t="str">
        <f t="shared" si="130"/>
        <v>0</v>
      </c>
      <c r="K741" s="3">
        <f t="shared" si="131"/>
        <v>-100</v>
      </c>
      <c r="L741" s="3">
        <f t="shared" si="132"/>
        <v>1</v>
      </c>
      <c r="M741" s="3">
        <f t="shared" si="133"/>
        <v>0</v>
      </c>
      <c r="N741" s="3" t="str">
        <f t="shared" si="137"/>
        <v>01</v>
      </c>
      <c r="O741" s="14" t="str">
        <f t="shared" si="137"/>
        <v>00</v>
      </c>
      <c r="R741" s="6">
        <v>525</v>
      </c>
      <c r="S741" s="5">
        <f t="shared" si="143"/>
        <v>0</v>
      </c>
    </row>
    <row r="742" spans="8:23" hidden="1">
      <c r="J742" s="1" t="str">
        <f t="shared" si="130"/>
        <v>0</v>
      </c>
      <c r="K742" s="3">
        <f t="shared" si="131"/>
        <v>-100</v>
      </c>
      <c r="L742" s="3">
        <f t="shared" si="132"/>
        <v>1</v>
      </c>
      <c r="M742" s="3">
        <f t="shared" si="133"/>
        <v>0</v>
      </c>
      <c r="N742" s="3" t="str">
        <f t="shared" si="137"/>
        <v>01</v>
      </c>
      <c r="O742" s="14" t="str">
        <f t="shared" si="137"/>
        <v>00</v>
      </c>
      <c r="S742" s="5" t="str">
        <f t="shared" si="143"/>
        <v/>
      </c>
    </row>
    <row r="743" spans="8:23" hidden="1">
      <c r="H743" s="9"/>
      <c r="J743" s="1" t="str">
        <f t="shared" si="130"/>
        <v>0</v>
      </c>
      <c r="K743" s="3">
        <f t="shared" si="131"/>
        <v>-100</v>
      </c>
      <c r="L743" s="3">
        <f t="shared" si="132"/>
        <v>1</v>
      </c>
      <c r="M743" s="3">
        <f t="shared" si="133"/>
        <v>0</v>
      </c>
      <c r="N743" s="3" t="str">
        <f t="shared" si="137"/>
        <v>01</v>
      </c>
      <c r="O743" s="14" t="str">
        <f t="shared" si="137"/>
        <v>00</v>
      </c>
      <c r="P743" s="11"/>
      <c r="Q743" s="12"/>
      <c r="R743" s="13">
        <v>523</v>
      </c>
      <c r="S743" s="5">
        <f t="shared" si="143"/>
        <v>0</v>
      </c>
      <c r="T743" s="12"/>
      <c r="U743" s="10"/>
      <c r="V743" s="10"/>
      <c r="W743" s="10"/>
    </row>
    <row r="744" spans="8:23" hidden="1">
      <c r="J744" s="1" t="str">
        <f t="shared" si="130"/>
        <v>0</v>
      </c>
      <c r="K744" s="3">
        <f t="shared" si="131"/>
        <v>-100</v>
      </c>
      <c r="L744" s="3">
        <f t="shared" si="132"/>
        <v>1</v>
      </c>
      <c r="M744" s="3">
        <f t="shared" si="133"/>
        <v>0</v>
      </c>
      <c r="N744" s="3" t="str">
        <f t="shared" si="137"/>
        <v>01</v>
      </c>
      <c r="O744" s="14" t="str">
        <f t="shared" si="137"/>
        <v>00</v>
      </c>
      <c r="R744" s="6">
        <v>523</v>
      </c>
      <c r="S744" s="5">
        <f t="shared" si="143"/>
        <v>0</v>
      </c>
    </row>
    <row r="745" spans="8:23" hidden="1">
      <c r="J745" s="1" t="str">
        <f t="shared" si="130"/>
        <v>0</v>
      </c>
      <c r="K745" s="3">
        <f t="shared" si="131"/>
        <v>-100</v>
      </c>
      <c r="L745" s="3">
        <f t="shared" si="132"/>
        <v>1</v>
      </c>
      <c r="M745" s="3">
        <f t="shared" si="133"/>
        <v>0</v>
      </c>
      <c r="N745" s="3" t="str">
        <f t="shared" si="137"/>
        <v>01</v>
      </c>
      <c r="O745" s="14" t="str">
        <f t="shared" si="137"/>
        <v>00</v>
      </c>
      <c r="R745" s="6">
        <v>523</v>
      </c>
      <c r="S745" s="5">
        <f t="shared" si="143"/>
        <v>0</v>
      </c>
    </row>
    <row r="746" spans="8:23" hidden="1">
      <c r="J746" s="1" t="str">
        <f t="shared" si="130"/>
        <v>0</v>
      </c>
      <c r="K746" s="3">
        <f t="shared" si="131"/>
        <v>-100</v>
      </c>
      <c r="L746" s="3">
        <f t="shared" si="132"/>
        <v>1</v>
      </c>
      <c r="M746" s="3">
        <f t="shared" si="133"/>
        <v>0</v>
      </c>
      <c r="N746" s="3" t="str">
        <f t="shared" si="137"/>
        <v>01</v>
      </c>
      <c r="O746" s="14" t="str">
        <f t="shared" si="137"/>
        <v>00</v>
      </c>
      <c r="R746" s="6">
        <v>523</v>
      </c>
      <c r="S746" s="5">
        <f t="shared" si="143"/>
        <v>0</v>
      </c>
    </row>
    <row r="747" spans="8:23" hidden="1">
      <c r="J747" s="1" t="str">
        <f t="shared" si="130"/>
        <v>0</v>
      </c>
      <c r="K747" s="3">
        <f t="shared" si="131"/>
        <v>-100</v>
      </c>
      <c r="L747" s="3">
        <f t="shared" si="132"/>
        <v>1</v>
      </c>
      <c r="M747" s="3">
        <f t="shared" si="133"/>
        <v>0</v>
      </c>
      <c r="N747" s="3" t="str">
        <f t="shared" si="137"/>
        <v>01</v>
      </c>
      <c r="O747" s="14" t="str">
        <f t="shared" si="137"/>
        <v>00</v>
      </c>
      <c r="S747" s="5" t="str">
        <f t="shared" si="143"/>
        <v/>
      </c>
    </row>
    <row r="748" spans="8:23" hidden="1">
      <c r="J748" s="1" t="str">
        <f t="shared" si="130"/>
        <v>0</v>
      </c>
      <c r="K748" s="3">
        <f t="shared" si="131"/>
        <v>-100</v>
      </c>
      <c r="L748" s="3">
        <f t="shared" si="132"/>
        <v>1</v>
      </c>
      <c r="M748" s="3">
        <f t="shared" si="133"/>
        <v>0</v>
      </c>
      <c r="N748" s="3" t="str">
        <f t="shared" si="137"/>
        <v>01</v>
      </c>
      <c r="O748" s="14" t="str">
        <f t="shared" si="137"/>
        <v>00</v>
      </c>
      <c r="R748" s="6">
        <v>523</v>
      </c>
      <c r="S748" s="5">
        <f t="shared" si="143"/>
        <v>0</v>
      </c>
    </row>
    <row r="749" spans="8:23" hidden="1">
      <c r="J749" s="1" t="str">
        <f t="shared" ref="J749" si="144">+IF(I749&lt;10,_xlfn.CONCAT("0",I749),I749)</f>
        <v>0</v>
      </c>
      <c r="K749" s="3">
        <f t="shared" ref="K749" si="145">+YEAR(H749)-2000</f>
        <v>-100</v>
      </c>
      <c r="L749" s="3">
        <f t="shared" ref="L749" si="146">+MONTH(H749)</f>
        <v>1</v>
      </c>
      <c r="M749" s="3">
        <f t="shared" ref="M749" si="147">+DAY(H749)</f>
        <v>0</v>
      </c>
      <c r="N749" s="3" t="str">
        <f t="shared" si="137"/>
        <v>01</v>
      </c>
      <c r="O749" s="14" t="str">
        <f t="shared" si="137"/>
        <v>00</v>
      </c>
      <c r="R749" s="6">
        <v>523</v>
      </c>
      <c r="S749" s="5">
        <f t="shared" si="143"/>
        <v>0</v>
      </c>
    </row>
    <row r="750" spans="8:23" hidden="1"/>
    <row r="751" spans="8:23" hidden="1"/>
    <row r="752" spans="8:23" hidden="1">
      <c r="J752" s="1" t="str">
        <f t="shared" ref="J752:J762" si="148">+IF(I752&lt;10,_xlfn.CONCAT("0",I752),I752)</f>
        <v>0</v>
      </c>
      <c r="K752" s="3">
        <f t="shared" ref="K752:K762" si="149">+YEAR(H752)-2000</f>
        <v>-100</v>
      </c>
      <c r="L752" s="3">
        <f t="shared" ref="L752:L762" si="150">+MONTH(H752)</f>
        <v>1</v>
      </c>
      <c r="M752" s="3">
        <f t="shared" ref="M752:M762" si="151">+DAY(H752)</f>
        <v>0</v>
      </c>
      <c r="N752" s="3" t="str">
        <f t="shared" ref="N752:O762" si="152">+IF(L752&lt;10,_xlfn.CONCAT("0",L752),L752)</f>
        <v>01</v>
      </c>
      <c r="O752" s="14" t="str">
        <f t="shared" si="152"/>
        <v>00</v>
      </c>
      <c r="S752" s="5" t="str">
        <f t="shared" ref="S752:S762" si="153">IFERROR(P752/R752,"")</f>
        <v/>
      </c>
    </row>
    <row r="753" spans="10:19" hidden="1">
      <c r="J753" s="1" t="str">
        <f t="shared" si="148"/>
        <v>0</v>
      </c>
      <c r="K753" s="3">
        <f t="shared" si="149"/>
        <v>-100</v>
      </c>
      <c r="L753" s="3">
        <f t="shared" si="150"/>
        <v>1</v>
      </c>
      <c r="M753" s="3">
        <f t="shared" si="151"/>
        <v>0</v>
      </c>
      <c r="N753" s="3" t="str">
        <f t="shared" si="152"/>
        <v>01</v>
      </c>
      <c r="O753" s="14" t="str">
        <f t="shared" si="152"/>
        <v>00</v>
      </c>
      <c r="R753" s="6">
        <v>525</v>
      </c>
      <c r="S753" s="5">
        <f t="shared" si="153"/>
        <v>0</v>
      </c>
    </row>
    <row r="754" spans="10:19" hidden="1">
      <c r="J754" s="1" t="str">
        <f t="shared" si="148"/>
        <v>0</v>
      </c>
      <c r="K754" s="3">
        <f t="shared" si="149"/>
        <v>-100</v>
      </c>
      <c r="L754" s="3">
        <f t="shared" si="150"/>
        <v>1</v>
      </c>
      <c r="M754" s="3">
        <f t="shared" si="151"/>
        <v>0</v>
      </c>
      <c r="N754" s="3" t="str">
        <f t="shared" si="152"/>
        <v>01</v>
      </c>
      <c r="O754" s="14" t="str">
        <f t="shared" si="152"/>
        <v>00</v>
      </c>
      <c r="R754" s="6">
        <v>525</v>
      </c>
      <c r="S754" s="5">
        <f t="shared" si="153"/>
        <v>0</v>
      </c>
    </row>
    <row r="755" spans="10:19" hidden="1">
      <c r="J755" s="1" t="str">
        <f t="shared" si="148"/>
        <v>0</v>
      </c>
      <c r="K755" s="3">
        <f t="shared" si="149"/>
        <v>-100</v>
      </c>
      <c r="L755" s="3">
        <f t="shared" si="150"/>
        <v>1</v>
      </c>
      <c r="M755" s="3">
        <f t="shared" si="151"/>
        <v>0</v>
      </c>
      <c r="N755" s="3" t="str">
        <f t="shared" si="152"/>
        <v>01</v>
      </c>
      <c r="O755" s="14" t="str">
        <f t="shared" si="152"/>
        <v>00</v>
      </c>
      <c r="R755" s="6">
        <v>525</v>
      </c>
      <c r="S755" s="5">
        <f t="shared" si="153"/>
        <v>0</v>
      </c>
    </row>
    <row r="756" spans="10:19" hidden="1">
      <c r="J756" s="1" t="str">
        <f t="shared" si="148"/>
        <v>0</v>
      </c>
      <c r="K756" s="3">
        <f t="shared" si="149"/>
        <v>-100</v>
      </c>
      <c r="L756" s="3">
        <f t="shared" si="150"/>
        <v>1</v>
      </c>
      <c r="M756" s="3">
        <f t="shared" si="151"/>
        <v>0</v>
      </c>
      <c r="N756" s="3" t="str">
        <f t="shared" si="152"/>
        <v>01</v>
      </c>
      <c r="O756" s="14" t="str">
        <f t="shared" si="152"/>
        <v>00</v>
      </c>
      <c r="R756" s="6">
        <v>525</v>
      </c>
      <c r="S756" s="5">
        <f t="shared" si="153"/>
        <v>0</v>
      </c>
    </row>
    <row r="757" spans="10:19" hidden="1">
      <c r="J757" s="1" t="str">
        <f t="shared" si="148"/>
        <v>0</v>
      </c>
      <c r="K757" s="3">
        <f t="shared" si="149"/>
        <v>-100</v>
      </c>
      <c r="L757" s="3">
        <f t="shared" si="150"/>
        <v>1</v>
      </c>
      <c r="M757" s="3">
        <f t="shared" si="151"/>
        <v>0</v>
      </c>
      <c r="N757" s="3" t="str">
        <f t="shared" si="152"/>
        <v>01</v>
      </c>
      <c r="O757" s="14" t="str">
        <f t="shared" si="152"/>
        <v>00</v>
      </c>
      <c r="R757" s="6">
        <v>525</v>
      </c>
      <c r="S757" s="5">
        <f t="shared" si="153"/>
        <v>0</v>
      </c>
    </row>
    <row r="758" spans="10:19" hidden="1">
      <c r="J758" s="1" t="str">
        <f t="shared" si="148"/>
        <v>0</v>
      </c>
      <c r="K758" s="3">
        <f t="shared" si="149"/>
        <v>-100</v>
      </c>
      <c r="L758" s="3">
        <f t="shared" si="150"/>
        <v>1</v>
      </c>
      <c r="M758" s="3">
        <f t="shared" si="151"/>
        <v>0</v>
      </c>
      <c r="N758" s="3" t="str">
        <f t="shared" si="152"/>
        <v>01</v>
      </c>
      <c r="O758" s="14" t="str">
        <f t="shared" si="152"/>
        <v>00</v>
      </c>
      <c r="R758" s="6">
        <v>525</v>
      </c>
      <c r="S758" s="5">
        <f t="shared" si="153"/>
        <v>0</v>
      </c>
    </row>
    <row r="759" spans="10:19" hidden="1">
      <c r="J759" s="1" t="str">
        <f t="shared" si="148"/>
        <v>0</v>
      </c>
      <c r="K759" s="3">
        <f t="shared" si="149"/>
        <v>-100</v>
      </c>
      <c r="L759" s="3">
        <f t="shared" si="150"/>
        <v>1</v>
      </c>
      <c r="M759" s="3">
        <f t="shared" si="151"/>
        <v>0</v>
      </c>
      <c r="N759" s="3" t="str">
        <f t="shared" si="152"/>
        <v>01</v>
      </c>
      <c r="O759" s="14" t="str">
        <f t="shared" si="152"/>
        <v>00</v>
      </c>
      <c r="R759" s="6">
        <v>525</v>
      </c>
      <c r="S759" s="5">
        <f t="shared" si="153"/>
        <v>0</v>
      </c>
    </row>
    <row r="760" spans="10:19" hidden="1">
      <c r="J760" s="1" t="str">
        <f t="shared" si="148"/>
        <v>0</v>
      </c>
      <c r="K760" s="3">
        <f t="shared" si="149"/>
        <v>-100</v>
      </c>
      <c r="L760" s="3">
        <f t="shared" si="150"/>
        <v>1</v>
      </c>
      <c r="M760" s="3">
        <f t="shared" si="151"/>
        <v>0</v>
      </c>
      <c r="N760" s="3" t="str">
        <f t="shared" si="152"/>
        <v>01</v>
      </c>
      <c r="O760" s="14" t="str">
        <f t="shared" si="152"/>
        <v>00</v>
      </c>
      <c r="R760" s="6">
        <v>525</v>
      </c>
      <c r="S760" s="5">
        <f t="shared" si="153"/>
        <v>0</v>
      </c>
    </row>
    <row r="761" spans="10:19" hidden="1">
      <c r="J761" s="1" t="str">
        <f t="shared" si="148"/>
        <v>0</v>
      </c>
      <c r="K761" s="3">
        <f t="shared" si="149"/>
        <v>-100</v>
      </c>
      <c r="L761" s="3">
        <f t="shared" si="150"/>
        <v>1</v>
      </c>
      <c r="M761" s="3">
        <f t="shared" si="151"/>
        <v>0</v>
      </c>
      <c r="N761" s="3" t="str">
        <f t="shared" si="152"/>
        <v>01</v>
      </c>
      <c r="O761" s="14" t="str">
        <f t="shared" si="152"/>
        <v>00</v>
      </c>
      <c r="R761" s="6">
        <v>525</v>
      </c>
      <c r="S761" s="5">
        <f t="shared" si="153"/>
        <v>0</v>
      </c>
    </row>
    <row r="762" spans="10:19" hidden="1">
      <c r="J762" s="1" t="str">
        <f t="shared" si="148"/>
        <v>0</v>
      </c>
      <c r="K762" s="3">
        <f t="shared" si="149"/>
        <v>-100</v>
      </c>
      <c r="L762" s="3">
        <f t="shared" si="150"/>
        <v>1</v>
      </c>
      <c r="M762" s="3">
        <f t="shared" si="151"/>
        <v>0</v>
      </c>
      <c r="N762" s="3" t="str">
        <f t="shared" si="152"/>
        <v>01</v>
      </c>
      <c r="O762" s="14" t="str">
        <f t="shared" si="152"/>
        <v>00</v>
      </c>
      <c r="R762" s="6">
        <v>525</v>
      </c>
      <c r="S762" s="5">
        <f t="shared" si="153"/>
        <v>0</v>
      </c>
    </row>
    <row r="763" spans="10:19" hidden="1"/>
    <row r="764" spans="10:19" hidden="1">
      <c r="J764" s="1" t="str">
        <f t="shared" ref="J764:J827" si="154">+IF(I764&lt;10,_xlfn.CONCAT("0",I764),I764)</f>
        <v>0</v>
      </c>
      <c r="K764" s="3">
        <f t="shared" ref="K764:K827" si="155">+YEAR(H764)-2000</f>
        <v>-100</v>
      </c>
      <c r="L764" s="3">
        <f t="shared" ref="L764:L827" si="156">+MONTH(H764)</f>
        <v>1</v>
      </c>
      <c r="M764" s="3">
        <f t="shared" ref="M764:M827" si="157">+DAY(H764)</f>
        <v>0</v>
      </c>
      <c r="N764" s="3" t="str">
        <f t="shared" ref="N764:O795" si="158">+IF(L764&lt;10,_xlfn.CONCAT("0",L764),L764)</f>
        <v>01</v>
      </c>
      <c r="O764" s="14" t="str">
        <f t="shared" si="158"/>
        <v>00</v>
      </c>
      <c r="R764" s="6">
        <v>523</v>
      </c>
      <c r="S764" s="5">
        <f t="shared" ref="S764:S827" si="159">IFERROR(P764/R764,"")</f>
        <v>0</v>
      </c>
    </row>
    <row r="765" spans="10:19" hidden="1">
      <c r="J765" s="1" t="str">
        <f t="shared" si="154"/>
        <v>0</v>
      </c>
      <c r="K765" s="3">
        <f t="shared" si="155"/>
        <v>-100</v>
      </c>
      <c r="L765" s="3">
        <f t="shared" si="156"/>
        <v>1</v>
      </c>
      <c r="M765" s="3">
        <f t="shared" si="157"/>
        <v>0</v>
      </c>
      <c r="N765" s="3" t="str">
        <f t="shared" si="158"/>
        <v>01</v>
      </c>
      <c r="O765" s="14" t="str">
        <f t="shared" si="158"/>
        <v>00</v>
      </c>
      <c r="R765" s="6">
        <v>523</v>
      </c>
      <c r="S765" s="5">
        <f t="shared" si="159"/>
        <v>0</v>
      </c>
    </row>
    <row r="766" spans="10:19" hidden="1">
      <c r="J766" s="1" t="str">
        <f t="shared" si="154"/>
        <v>0</v>
      </c>
      <c r="K766" s="3">
        <f t="shared" si="155"/>
        <v>-100</v>
      </c>
      <c r="L766" s="3">
        <f t="shared" si="156"/>
        <v>1</v>
      </c>
      <c r="M766" s="3">
        <f t="shared" si="157"/>
        <v>0</v>
      </c>
      <c r="N766" s="3" t="str">
        <f t="shared" si="158"/>
        <v>01</v>
      </c>
      <c r="O766" s="14" t="str">
        <f t="shared" si="158"/>
        <v>00</v>
      </c>
      <c r="R766" s="6">
        <v>523</v>
      </c>
      <c r="S766" s="5">
        <f t="shared" si="159"/>
        <v>0</v>
      </c>
    </row>
    <row r="767" spans="10:19" hidden="1">
      <c r="J767" s="1" t="str">
        <f t="shared" si="154"/>
        <v>0</v>
      </c>
      <c r="K767" s="3">
        <f t="shared" si="155"/>
        <v>-100</v>
      </c>
      <c r="L767" s="3">
        <f t="shared" si="156"/>
        <v>1</v>
      </c>
      <c r="M767" s="3">
        <f t="shared" si="157"/>
        <v>0</v>
      </c>
      <c r="N767" s="3" t="str">
        <f t="shared" si="158"/>
        <v>01</v>
      </c>
      <c r="O767" s="14" t="str">
        <f t="shared" si="158"/>
        <v>00</v>
      </c>
      <c r="R767" s="6">
        <v>523</v>
      </c>
      <c r="S767" s="5">
        <f t="shared" si="159"/>
        <v>0</v>
      </c>
    </row>
    <row r="768" spans="10:19" hidden="1">
      <c r="J768" s="1" t="str">
        <f t="shared" si="154"/>
        <v>0</v>
      </c>
      <c r="K768" s="3">
        <f t="shared" si="155"/>
        <v>-100</v>
      </c>
      <c r="L768" s="3">
        <f t="shared" si="156"/>
        <v>1</v>
      </c>
      <c r="M768" s="3">
        <f t="shared" si="157"/>
        <v>0</v>
      </c>
      <c r="N768" s="3" t="str">
        <f t="shared" si="158"/>
        <v>01</v>
      </c>
      <c r="O768" s="14" t="str">
        <f t="shared" si="158"/>
        <v>00</v>
      </c>
      <c r="R768" s="6">
        <v>523</v>
      </c>
      <c r="S768" s="5">
        <f t="shared" si="159"/>
        <v>0</v>
      </c>
    </row>
    <row r="769" spans="1:23" hidden="1">
      <c r="J769" s="1" t="str">
        <f t="shared" si="154"/>
        <v>0</v>
      </c>
      <c r="K769" s="3">
        <f t="shared" si="155"/>
        <v>-100</v>
      </c>
      <c r="L769" s="3">
        <f t="shared" si="156"/>
        <v>1</v>
      </c>
      <c r="M769" s="3">
        <f t="shared" si="157"/>
        <v>0</v>
      </c>
      <c r="N769" s="3" t="str">
        <f t="shared" si="158"/>
        <v>01</v>
      </c>
      <c r="O769" s="14" t="str">
        <f t="shared" si="158"/>
        <v>00</v>
      </c>
      <c r="R769" s="6">
        <v>523</v>
      </c>
      <c r="S769" s="5">
        <f t="shared" si="159"/>
        <v>0</v>
      </c>
    </row>
    <row r="770" spans="1:23" hidden="1">
      <c r="J770" s="1" t="str">
        <f t="shared" si="154"/>
        <v>0</v>
      </c>
      <c r="K770" s="3">
        <f t="shared" si="155"/>
        <v>-100</v>
      </c>
      <c r="L770" s="3">
        <f t="shared" si="156"/>
        <v>1</v>
      </c>
      <c r="M770" s="3">
        <f t="shared" si="157"/>
        <v>0</v>
      </c>
      <c r="N770" s="3" t="str">
        <f t="shared" si="158"/>
        <v>01</v>
      </c>
      <c r="O770" s="14" t="str">
        <f t="shared" si="158"/>
        <v>00</v>
      </c>
      <c r="R770" s="6">
        <v>523</v>
      </c>
      <c r="S770" s="5">
        <f t="shared" si="159"/>
        <v>0</v>
      </c>
    </row>
    <row r="771" spans="1:23">
      <c r="A771" s="3">
        <v>764</v>
      </c>
      <c r="B771" s="1">
        <f t="shared" ref="B771:B808" si="160">IF(G771="-",0,IF(G770=G771,1,0))</f>
        <v>0</v>
      </c>
      <c r="C771" s="1">
        <f t="shared" ref="C771:C808" si="161">+IF(G771="-",0,IF(I771=I770+1,0,(IF(I771=1,0,1))))</f>
        <v>1</v>
      </c>
      <c r="D771" s="1">
        <f t="shared" ref="D771:D808" si="162">+IF(AND(P771="",Q771=""),1,0)</f>
        <v>0</v>
      </c>
      <c r="E771" s="1">
        <f t="shared" ref="E771:F790" si="163">IF(U771="",1,0)</f>
        <v>0</v>
      </c>
      <c r="F771" s="1">
        <f t="shared" si="163"/>
        <v>0</v>
      </c>
      <c r="G771" s="1" t="str">
        <f t="shared" ref="G771:G808" si="164">IF(H771=0,"-",_xlfn.CONCAT(K771,N771,O771,J771))</f>
        <v>24060508</v>
      </c>
      <c r="H771" s="2">
        <v>45448</v>
      </c>
      <c r="I771" s="36">
        <v>8</v>
      </c>
      <c r="J771" s="1" t="str">
        <f t="shared" si="154"/>
        <v>08</v>
      </c>
      <c r="K771" s="3">
        <f t="shared" si="155"/>
        <v>24</v>
      </c>
      <c r="L771" s="3">
        <f t="shared" si="156"/>
        <v>6</v>
      </c>
      <c r="M771" s="3">
        <f t="shared" si="157"/>
        <v>5</v>
      </c>
      <c r="N771" s="3" t="str">
        <f t="shared" si="158"/>
        <v>06</v>
      </c>
      <c r="O771" s="14" t="str">
        <f t="shared" si="158"/>
        <v>05</v>
      </c>
      <c r="P771" s="4">
        <v>111.11</v>
      </c>
      <c r="R771" s="6">
        <v>523</v>
      </c>
      <c r="S771" s="5">
        <f t="shared" si="159"/>
        <v>0.2124474187380497</v>
      </c>
      <c r="T771" s="5" t="s">
        <v>298</v>
      </c>
      <c r="U771" s="3" t="s">
        <v>1</v>
      </c>
      <c r="V771" s="3" t="s">
        <v>5</v>
      </c>
    </row>
    <row r="772" spans="1:23" hidden="1">
      <c r="J772" s="1" t="str">
        <f t="shared" si="154"/>
        <v>0</v>
      </c>
      <c r="K772" s="3">
        <f t="shared" si="155"/>
        <v>-100</v>
      </c>
      <c r="L772" s="3">
        <f t="shared" si="156"/>
        <v>1</v>
      </c>
      <c r="M772" s="3">
        <f t="shared" si="157"/>
        <v>0</v>
      </c>
      <c r="N772" s="3" t="str">
        <f t="shared" si="158"/>
        <v>01</v>
      </c>
      <c r="O772" s="14" t="str">
        <f t="shared" si="158"/>
        <v>00</v>
      </c>
      <c r="R772" s="6">
        <v>531</v>
      </c>
      <c r="S772" s="5">
        <f t="shared" si="159"/>
        <v>0</v>
      </c>
    </row>
    <row r="773" spans="1:23" s="10" customFormat="1" hidden="1">
      <c r="A773" s="3"/>
      <c r="B773" s="1"/>
      <c r="C773" s="1"/>
      <c r="D773" s="1"/>
      <c r="E773" s="1"/>
      <c r="F773" s="1"/>
      <c r="G773" s="1"/>
      <c r="H773" s="2"/>
      <c r="I773" s="36"/>
      <c r="J773" s="1" t="str">
        <f t="shared" si="154"/>
        <v>0</v>
      </c>
      <c r="K773" s="3">
        <f t="shared" si="155"/>
        <v>-100</v>
      </c>
      <c r="L773" s="3">
        <f t="shared" si="156"/>
        <v>1</v>
      </c>
      <c r="M773" s="3">
        <f t="shared" si="157"/>
        <v>0</v>
      </c>
      <c r="N773" s="3" t="str">
        <f t="shared" si="158"/>
        <v>01</v>
      </c>
      <c r="O773" s="14" t="str">
        <f t="shared" si="158"/>
        <v>00</v>
      </c>
      <c r="P773" s="4"/>
      <c r="Q773" s="5"/>
      <c r="R773" s="6">
        <v>531</v>
      </c>
      <c r="S773" s="5">
        <f t="shared" si="159"/>
        <v>0</v>
      </c>
      <c r="T773" s="5"/>
      <c r="U773" s="3"/>
      <c r="V773" s="3"/>
      <c r="W773" s="3"/>
    </row>
    <row r="774" spans="1:23" s="10" customFormat="1" hidden="1">
      <c r="A774" s="3"/>
      <c r="B774" s="1"/>
      <c r="C774" s="1"/>
      <c r="D774" s="1"/>
      <c r="E774" s="1"/>
      <c r="F774" s="1"/>
      <c r="G774" s="1"/>
      <c r="H774" s="2"/>
      <c r="I774" s="36"/>
      <c r="J774" s="1" t="str">
        <f t="shared" si="154"/>
        <v>0</v>
      </c>
      <c r="K774" s="3">
        <f t="shared" si="155"/>
        <v>-100</v>
      </c>
      <c r="L774" s="3">
        <f t="shared" si="156"/>
        <v>1</v>
      </c>
      <c r="M774" s="3">
        <f t="shared" si="157"/>
        <v>0</v>
      </c>
      <c r="N774" s="3" t="str">
        <f t="shared" si="158"/>
        <v>01</v>
      </c>
      <c r="O774" s="14" t="str">
        <f t="shared" si="158"/>
        <v>00</v>
      </c>
      <c r="P774" s="4"/>
      <c r="Q774" s="5"/>
      <c r="R774" s="6">
        <v>531</v>
      </c>
      <c r="S774" s="5">
        <f t="shared" si="159"/>
        <v>0</v>
      </c>
      <c r="T774" s="5"/>
      <c r="U774" s="3"/>
      <c r="V774" s="3"/>
      <c r="W774" s="3"/>
    </row>
    <row r="775" spans="1:23" s="10" customFormat="1" hidden="1">
      <c r="A775" s="3"/>
      <c r="B775" s="1"/>
      <c r="C775" s="1"/>
      <c r="D775" s="1"/>
      <c r="E775" s="1"/>
      <c r="F775" s="1"/>
      <c r="G775" s="1"/>
      <c r="H775" s="2"/>
      <c r="I775" s="36"/>
      <c r="J775" s="1" t="str">
        <f t="shared" si="154"/>
        <v>0</v>
      </c>
      <c r="K775" s="3">
        <f t="shared" si="155"/>
        <v>-100</v>
      </c>
      <c r="L775" s="3">
        <f t="shared" si="156"/>
        <v>1</v>
      </c>
      <c r="M775" s="3">
        <f t="shared" si="157"/>
        <v>0</v>
      </c>
      <c r="N775" s="3" t="str">
        <f t="shared" si="158"/>
        <v>01</v>
      </c>
      <c r="O775" s="14" t="str">
        <f t="shared" si="158"/>
        <v>00</v>
      </c>
      <c r="P775" s="4"/>
      <c r="Q775" s="5"/>
      <c r="R775" s="6">
        <v>531</v>
      </c>
      <c r="S775" s="5">
        <f t="shared" si="159"/>
        <v>0</v>
      </c>
      <c r="T775" s="5"/>
      <c r="U775" s="3"/>
      <c r="V775" s="3"/>
      <c r="W775" s="3"/>
    </row>
    <row r="776" spans="1:23" s="10" customFormat="1" hidden="1">
      <c r="A776" s="3"/>
      <c r="B776" s="1"/>
      <c r="C776" s="1"/>
      <c r="D776" s="1"/>
      <c r="E776" s="1"/>
      <c r="F776" s="1"/>
      <c r="G776" s="1"/>
      <c r="H776" s="2"/>
      <c r="I776" s="36"/>
      <c r="J776" s="1" t="str">
        <f t="shared" si="154"/>
        <v>0</v>
      </c>
      <c r="K776" s="3">
        <f t="shared" si="155"/>
        <v>-100</v>
      </c>
      <c r="L776" s="3">
        <f t="shared" si="156"/>
        <v>1</v>
      </c>
      <c r="M776" s="3">
        <f t="shared" si="157"/>
        <v>0</v>
      </c>
      <c r="N776" s="3" t="str">
        <f t="shared" si="158"/>
        <v>01</v>
      </c>
      <c r="O776" s="14" t="str">
        <f t="shared" si="158"/>
        <v>00</v>
      </c>
      <c r="P776" s="4"/>
      <c r="Q776" s="5"/>
      <c r="R776" s="6">
        <v>531</v>
      </c>
      <c r="S776" s="5">
        <f t="shared" si="159"/>
        <v>0</v>
      </c>
      <c r="T776" s="5"/>
      <c r="U776" s="3"/>
      <c r="V776" s="3"/>
      <c r="W776" s="3"/>
    </row>
    <row r="777" spans="1:23" s="10" customFormat="1" hidden="1">
      <c r="A777" s="3"/>
      <c r="B777" s="1"/>
      <c r="C777" s="1"/>
      <c r="D777" s="1"/>
      <c r="E777" s="1"/>
      <c r="F777" s="1"/>
      <c r="G777" s="1"/>
      <c r="H777" s="2"/>
      <c r="I777" s="36"/>
      <c r="J777" s="1" t="str">
        <f t="shared" si="154"/>
        <v>0</v>
      </c>
      <c r="K777" s="3">
        <f t="shared" si="155"/>
        <v>-100</v>
      </c>
      <c r="L777" s="3">
        <f t="shared" si="156"/>
        <v>1</v>
      </c>
      <c r="M777" s="3">
        <f t="shared" si="157"/>
        <v>0</v>
      </c>
      <c r="N777" s="3" t="str">
        <f t="shared" si="158"/>
        <v>01</v>
      </c>
      <c r="O777" s="14" t="str">
        <f t="shared" si="158"/>
        <v>00</v>
      </c>
      <c r="P777" s="4"/>
      <c r="Q777" s="5"/>
      <c r="R777" s="6">
        <v>531</v>
      </c>
      <c r="S777" s="5">
        <f t="shared" si="159"/>
        <v>0</v>
      </c>
      <c r="T777" s="5"/>
      <c r="U777" s="3"/>
      <c r="V777" s="3"/>
      <c r="W777" s="3"/>
    </row>
    <row r="778" spans="1:23" s="10" customFormat="1" hidden="1">
      <c r="A778" s="3"/>
      <c r="B778" s="1"/>
      <c r="C778" s="1"/>
      <c r="D778" s="1"/>
      <c r="E778" s="1"/>
      <c r="F778" s="1"/>
      <c r="G778" s="1"/>
      <c r="H778" s="2"/>
      <c r="I778" s="36"/>
      <c r="J778" s="1" t="str">
        <f t="shared" si="154"/>
        <v>0</v>
      </c>
      <c r="K778" s="3">
        <f t="shared" si="155"/>
        <v>-100</v>
      </c>
      <c r="L778" s="3">
        <f t="shared" si="156"/>
        <v>1</v>
      </c>
      <c r="M778" s="3">
        <f t="shared" si="157"/>
        <v>0</v>
      </c>
      <c r="N778" s="3" t="str">
        <f t="shared" si="158"/>
        <v>01</v>
      </c>
      <c r="O778" s="14" t="str">
        <f t="shared" si="158"/>
        <v>00</v>
      </c>
      <c r="P778" s="4"/>
      <c r="Q778" s="5"/>
      <c r="R778" s="6">
        <v>531</v>
      </c>
      <c r="S778" s="5">
        <f t="shared" si="159"/>
        <v>0</v>
      </c>
      <c r="T778" s="5"/>
      <c r="U778" s="3"/>
      <c r="V778" s="3"/>
      <c r="W778" s="3"/>
    </row>
    <row r="779" spans="1:23" s="10" customFormat="1" hidden="1">
      <c r="A779" s="3"/>
      <c r="B779" s="1"/>
      <c r="C779" s="1"/>
      <c r="D779" s="1"/>
      <c r="E779" s="1"/>
      <c r="F779" s="1"/>
      <c r="G779" s="1"/>
      <c r="H779" s="2"/>
      <c r="I779" s="36"/>
      <c r="J779" s="1" t="str">
        <f t="shared" si="154"/>
        <v>0</v>
      </c>
      <c r="K779" s="3">
        <f t="shared" si="155"/>
        <v>-100</v>
      </c>
      <c r="L779" s="3">
        <f t="shared" si="156"/>
        <v>1</v>
      </c>
      <c r="M779" s="3">
        <f t="shared" si="157"/>
        <v>0</v>
      </c>
      <c r="N779" s="3" t="str">
        <f t="shared" si="158"/>
        <v>01</v>
      </c>
      <c r="O779" s="14" t="str">
        <f t="shared" si="158"/>
        <v>00</v>
      </c>
      <c r="P779" s="4"/>
      <c r="Q779" s="5"/>
      <c r="R779" s="6">
        <v>531</v>
      </c>
      <c r="S779" s="5">
        <f t="shared" si="159"/>
        <v>0</v>
      </c>
      <c r="T779" s="5"/>
      <c r="U779" s="3"/>
      <c r="V779" s="3"/>
      <c r="W779" s="3"/>
    </row>
    <row r="780" spans="1:23" s="10" customFormat="1" hidden="1">
      <c r="A780" s="3"/>
      <c r="B780" s="1"/>
      <c r="C780" s="1"/>
      <c r="D780" s="1"/>
      <c r="E780" s="1"/>
      <c r="F780" s="1"/>
      <c r="G780" s="1"/>
      <c r="H780" s="2"/>
      <c r="I780" s="36"/>
      <c r="J780" s="1" t="str">
        <f t="shared" si="154"/>
        <v>0</v>
      </c>
      <c r="K780" s="3">
        <f t="shared" si="155"/>
        <v>-100</v>
      </c>
      <c r="L780" s="3">
        <f t="shared" si="156"/>
        <v>1</v>
      </c>
      <c r="M780" s="3">
        <f t="shared" si="157"/>
        <v>0</v>
      </c>
      <c r="N780" s="3" t="str">
        <f t="shared" si="158"/>
        <v>01</v>
      </c>
      <c r="O780" s="14" t="str">
        <f t="shared" si="158"/>
        <v>00</v>
      </c>
      <c r="P780" s="4"/>
      <c r="Q780" s="5"/>
      <c r="R780" s="6"/>
      <c r="S780" s="5" t="str">
        <f t="shared" si="159"/>
        <v/>
      </c>
      <c r="T780" s="5"/>
      <c r="U780" s="3"/>
      <c r="V780" s="3"/>
      <c r="W780" s="3"/>
    </row>
    <row r="781" spans="1:23" s="10" customFormat="1" hidden="1">
      <c r="A781" s="3"/>
      <c r="B781" s="1"/>
      <c r="C781" s="1"/>
      <c r="D781" s="1"/>
      <c r="E781" s="1"/>
      <c r="F781" s="1"/>
      <c r="G781" s="1"/>
      <c r="H781" s="2"/>
      <c r="I781" s="36"/>
      <c r="J781" s="1" t="str">
        <f t="shared" si="154"/>
        <v>0</v>
      </c>
      <c r="K781" s="3">
        <f t="shared" si="155"/>
        <v>-100</v>
      </c>
      <c r="L781" s="3">
        <f t="shared" si="156"/>
        <v>1</v>
      </c>
      <c r="M781" s="3">
        <f t="shared" si="157"/>
        <v>0</v>
      </c>
      <c r="N781" s="3" t="str">
        <f t="shared" si="158"/>
        <v>01</v>
      </c>
      <c r="O781" s="14" t="str">
        <f t="shared" si="158"/>
        <v>00</v>
      </c>
      <c r="P781" s="4"/>
      <c r="Q781" s="5"/>
      <c r="R781" s="6">
        <v>501</v>
      </c>
      <c r="S781" s="5">
        <f t="shared" si="159"/>
        <v>0</v>
      </c>
      <c r="T781" s="5"/>
      <c r="U781" s="3"/>
      <c r="V781" s="3"/>
      <c r="W781" s="3"/>
    </row>
    <row r="782" spans="1:23" s="10" customFormat="1" hidden="1">
      <c r="A782" s="3"/>
      <c r="B782" s="1"/>
      <c r="C782" s="1"/>
      <c r="D782" s="1"/>
      <c r="E782" s="1"/>
      <c r="F782" s="1"/>
      <c r="G782" s="1"/>
      <c r="H782" s="2"/>
      <c r="I782" s="36"/>
      <c r="J782" s="1" t="str">
        <f t="shared" si="154"/>
        <v>0</v>
      </c>
      <c r="K782" s="3">
        <f t="shared" si="155"/>
        <v>-100</v>
      </c>
      <c r="L782" s="3">
        <f t="shared" si="156"/>
        <v>1</v>
      </c>
      <c r="M782" s="3">
        <f t="shared" si="157"/>
        <v>0</v>
      </c>
      <c r="N782" s="3" t="str">
        <f t="shared" si="158"/>
        <v>01</v>
      </c>
      <c r="O782" s="14" t="str">
        <f t="shared" si="158"/>
        <v>00</v>
      </c>
      <c r="P782" s="4"/>
      <c r="Q782" s="5"/>
      <c r="R782" s="6">
        <v>531</v>
      </c>
      <c r="S782" s="5">
        <f t="shared" si="159"/>
        <v>0</v>
      </c>
      <c r="T782" s="5"/>
      <c r="U782" s="3"/>
      <c r="V782" s="3"/>
      <c r="W782" s="3"/>
    </row>
    <row r="783" spans="1:23" s="10" customFormat="1" hidden="1">
      <c r="A783" s="3"/>
      <c r="B783" s="1"/>
      <c r="C783" s="1"/>
      <c r="D783" s="1"/>
      <c r="E783" s="1"/>
      <c r="F783" s="1"/>
      <c r="G783" s="1"/>
      <c r="H783" s="2"/>
      <c r="I783" s="36"/>
      <c r="J783" s="1" t="str">
        <f t="shared" si="154"/>
        <v>0</v>
      </c>
      <c r="K783" s="3">
        <f t="shared" si="155"/>
        <v>-100</v>
      </c>
      <c r="L783" s="3">
        <f t="shared" si="156"/>
        <v>1</v>
      </c>
      <c r="M783" s="3">
        <f t="shared" si="157"/>
        <v>0</v>
      </c>
      <c r="N783" s="3" t="str">
        <f t="shared" si="158"/>
        <v>01</v>
      </c>
      <c r="O783" s="14" t="str">
        <f t="shared" si="158"/>
        <v>00</v>
      </c>
      <c r="P783" s="4"/>
      <c r="Q783" s="5"/>
      <c r="R783" s="6">
        <v>531</v>
      </c>
      <c r="S783" s="5">
        <f t="shared" si="159"/>
        <v>0</v>
      </c>
      <c r="T783" s="5"/>
      <c r="U783" s="3"/>
      <c r="V783" s="3"/>
      <c r="W783" s="3"/>
    </row>
    <row r="784" spans="1:23" s="10" customFormat="1" hidden="1">
      <c r="A784" s="3"/>
      <c r="B784" s="1"/>
      <c r="C784" s="1"/>
      <c r="D784" s="1"/>
      <c r="E784" s="1"/>
      <c r="F784" s="1"/>
      <c r="G784" s="1"/>
      <c r="H784" s="2"/>
      <c r="I784" s="36"/>
      <c r="J784" s="1" t="str">
        <f t="shared" si="154"/>
        <v>0</v>
      </c>
      <c r="K784" s="3">
        <f t="shared" si="155"/>
        <v>-100</v>
      </c>
      <c r="L784" s="3">
        <f t="shared" si="156"/>
        <v>1</v>
      </c>
      <c r="M784" s="3">
        <f t="shared" si="157"/>
        <v>0</v>
      </c>
      <c r="N784" s="3" t="str">
        <f t="shared" si="158"/>
        <v>01</v>
      </c>
      <c r="O784" s="14" t="str">
        <f t="shared" si="158"/>
        <v>00</v>
      </c>
      <c r="P784" s="4"/>
      <c r="Q784" s="5"/>
      <c r="R784" s="6">
        <v>531</v>
      </c>
      <c r="S784" s="5">
        <f t="shared" si="159"/>
        <v>0</v>
      </c>
      <c r="T784" s="5"/>
      <c r="U784" s="3"/>
      <c r="V784" s="3"/>
      <c r="W784" s="3"/>
    </row>
    <row r="785" spans="1:23" s="10" customFormat="1" hidden="1">
      <c r="A785" s="3"/>
      <c r="B785" s="1"/>
      <c r="C785" s="1"/>
      <c r="D785" s="1"/>
      <c r="E785" s="1"/>
      <c r="F785" s="1"/>
      <c r="G785" s="1"/>
      <c r="H785" s="2"/>
      <c r="I785" s="36"/>
      <c r="J785" s="1" t="str">
        <f t="shared" si="154"/>
        <v>0</v>
      </c>
      <c r="K785" s="3">
        <f t="shared" si="155"/>
        <v>-100</v>
      </c>
      <c r="L785" s="3">
        <f t="shared" si="156"/>
        <v>1</v>
      </c>
      <c r="M785" s="3">
        <f t="shared" si="157"/>
        <v>0</v>
      </c>
      <c r="N785" s="3" t="str">
        <f t="shared" si="158"/>
        <v>01</v>
      </c>
      <c r="O785" s="14" t="str">
        <f t="shared" si="158"/>
        <v>00</v>
      </c>
      <c r="P785" s="4"/>
      <c r="Q785" s="5"/>
      <c r="R785" s="6">
        <v>523</v>
      </c>
      <c r="S785" s="5">
        <f t="shared" si="159"/>
        <v>0</v>
      </c>
      <c r="T785" s="5"/>
      <c r="U785" s="3"/>
      <c r="V785" s="3"/>
      <c r="W785" s="3"/>
    </row>
    <row r="786" spans="1:23" s="10" customFormat="1" hidden="1">
      <c r="A786" s="3"/>
      <c r="B786" s="1"/>
      <c r="C786" s="1"/>
      <c r="D786" s="1"/>
      <c r="E786" s="1"/>
      <c r="F786" s="1"/>
      <c r="G786" s="1"/>
      <c r="H786" s="2"/>
      <c r="I786" s="36"/>
      <c r="J786" s="1" t="str">
        <f t="shared" si="154"/>
        <v>0</v>
      </c>
      <c r="K786" s="3">
        <f t="shared" si="155"/>
        <v>-100</v>
      </c>
      <c r="L786" s="3">
        <f t="shared" si="156"/>
        <v>1</v>
      </c>
      <c r="M786" s="3">
        <f t="shared" si="157"/>
        <v>0</v>
      </c>
      <c r="N786" s="3" t="str">
        <f t="shared" si="158"/>
        <v>01</v>
      </c>
      <c r="O786" s="14" t="str">
        <f t="shared" si="158"/>
        <v>00</v>
      </c>
      <c r="P786" s="4"/>
      <c r="Q786" s="5"/>
      <c r="R786" s="6">
        <v>523</v>
      </c>
      <c r="S786" s="5">
        <f t="shared" si="159"/>
        <v>0</v>
      </c>
      <c r="T786" s="5"/>
      <c r="U786" s="3"/>
      <c r="V786" s="3"/>
      <c r="W786" s="3"/>
    </row>
    <row r="787" spans="1:23" s="10" customFormat="1" hidden="1">
      <c r="A787" s="3"/>
      <c r="B787" s="1"/>
      <c r="C787" s="1"/>
      <c r="D787" s="1"/>
      <c r="E787" s="1"/>
      <c r="F787" s="1"/>
      <c r="G787" s="1"/>
      <c r="H787" s="2"/>
      <c r="I787" s="36"/>
      <c r="J787" s="1" t="str">
        <f t="shared" si="154"/>
        <v>0</v>
      </c>
      <c r="K787" s="3">
        <f t="shared" si="155"/>
        <v>-100</v>
      </c>
      <c r="L787" s="3">
        <f t="shared" si="156"/>
        <v>1</v>
      </c>
      <c r="M787" s="3">
        <f t="shared" si="157"/>
        <v>0</v>
      </c>
      <c r="N787" s="3" t="str">
        <f t="shared" si="158"/>
        <v>01</v>
      </c>
      <c r="O787" s="14" t="str">
        <f t="shared" si="158"/>
        <v>00</v>
      </c>
      <c r="P787" s="4"/>
      <c r="Q787" s="5"/>
      <c r="R787" s="6">
        <v>523</v>
      </c>
      <c r="S787" s="5">
        <f t="shared" si="159"/>
        <v>0</v>
      </c>
      <c r="T787" s="5"/>
      <c r="U787" s="3"/>
      <c r="V787" s="3"/>
      <c r="W787" s="3"/>
    </row>
    <row r="788" spans="1:23" s="10" customFormat="1" hidden="1">
      <c r="A788" s="3"/>
      <c r="B788" s="1"/>
      <c r="C788" s="1"/>
      <c r="D788" s="1"/>
      <c r="E788" s="1"/>
      <c r="F788" s="1"/>
      <c r="G788" s="1"/>
      <c r="H788" s="2"/>
      <c r="I788" s="36"/>
      <c r="J788" s="1" t="str">
        <f t="shared" si="154"/>
        <v>0</v>
      </c>
      <c r="K788" s="3">
        <f t="shared" si="155"/>
        <v>-100</v>
      </c>
      <c r="L788" s="3">
        <f t="shared" si="156"/>
        <v>1</v>
      </c>
      <c r="M788" s="3">
        <f t="shared" si="157"/>
        <v>0</v>
      </c>
      <c r="N788" s="3" t="str">
        <f t="shared" si="158"/>
        <v>01</v>
      </c>
      <c r="O788" s="14" t="str">
        <f t="shared" si="158"/>
        <v>00</v>
      </c>
      <c r="P788" s="4"/>
      <c r="Q788" s="5"/>
      <c r="R788" s="6">
        <v>523</v>
      </c>
      <c r="S788" s="5">
        <f t="shared" si="159"/>
        <v>0</v>
      </c>
      <c r="T788" s="5"/>
      <c r="U788" s="3"/>
      <c r="V788" s="3"/>
      <c r="W788" s="3"/>
    </row>
    <row r="789" spans="1:23" hidden="1">
      <c r="H789" s="9"/>
      <c r="J789" s="1" t="str">
        <f t="shared" si="154"/>
        <v>0</v>
      </c>
      <c r="K789" s="3">
        <f t="shared" si="155"/>
        <v>-100</v>
      </c>
      <c r="L789" s="3">
        <f t="shared" si="156"/>
        <v>1</v>
      </c>
      <c r="M789" s="3">
        <f t="shared" si="157"/>
        <v>0</v>
      </c>
      <c r="N789" s="3" t="str">
        <f t="shared" si="158"/>
        <v>01</v>
      </c>
      <c r="O789" s="14" t="str">
        <f t="shared" si="158"/>
        <v>00</v>
      </c>
      <c r="P789" s="11"/>
      <c r="Q789" s="12"/>
      <c r="R789" s="13">
        <v>523</v>
      </c>
      <c r="S789" s="5">
        <f t="shared" si="159"/>
        <v>0</v>
      </c>
      <c r="T789" s="12"/>
      <c r="U789" s="10"/>
      <c r="V789" s="10"/>
    </row>
    <row r="790" spans="1:23">
      <c r="A790" s="3">
        <v>783</v>
      </c>
      <c r="B790" s="1">
        <f t="shared" si="160"/>
        <v>0</v>
      </c>
      <c r="C790" s="1">
        <f t="shared" si="161"/>
        <v>1</v>
      </c>
      <c r="D790" s="1">
        <f t="shared" si="162"/>
        <v>0</v>
      </c>
      <c r="E790" s="1">
        <f t="shared" si="163"/>
        <v>0</v>
      </c>
      <c r="F790" s="1">
        <f t="shared" si="163"/>
        <v>0</v>
      </c>
      <c r="G790" s="1" t="str">
        <f t="shared" si="164"/>
        <v>24060706</v>
      </c>
      <c r="H790" s="2">
        <v>45450</v>
      </c>
      <c r="I790" s="36">
        <v>6</v>
      </c>
      <c r="J790" s="1" t="str">
        <f t="shared" si="154"/>
        <v>06</v>
      </c>
      <c r="K790" s="3">
        <f t="shared" si="155"/>
        <v>24</v>
      </c>
      <c r="L790" s="3">
        <f t="shared" si="156"/>
        <v>6</v>
      </c>
      <c r="M790" s="3">
        <f t="shared" si="157"/>
        <v>7</v>
      </c>
      <c r="N790" s="3" t="str">
        <f t="shared" si="158"/>
        <v>06</v>
      </c>
      <c r="O790" s="14" t="str">
        <f t="shared" si="158"/>
        <v>07</v>
      </c>
      <c r="P790" s="4">
        <v>5647.79</v>
      </c>
      <c r="R790" s="6">
        <v>523</v>
      </c>
      <c r="S790" s="5">
        <f t="shared" si="159"/>
        <v>10.798833652007648</v>
      </c>
      <c r="T790" s="5" t="s">
        <v>304</v>
      </c>
      <c r="U790" s="3" t="s">
        <v>1</v>
      </c>
      <c r="V790" s="3" t="s">
        <v>5</v>
      </c>
    </row>
    <row r="791" spans="1:23" hidden="1">
      <c r="J791" s="1" t="str">
        <f t="shared" si="154"/>
        <v>0</v>
      </c>
      <c r="K791" s="3">
        <f t="shared" si="155"/>
        <v>-100</v>
      </c>
      <c r="L791" s="3">
        <f t="shared" si="156"/>
        <v>1</v>
      </c>
      <c r="M791" s="3">
        <f t="shared" si="157"/>
        <v>0</v>
      </c>
      <c r="N791" s="3" t="str">
        <f t="shared" si="158"/>
        <v>01</v>
      </c>
      <c r="O791" s="14" t="str">
        <f t="shared" si="158"/>
        <v>00</v>
      </c>
      <c r="R791" s="6">
        <v>523</v>
      </c>
      <c r="S791" s="5">
        <f t="shared" si="159"/>
        <v>0</v>
      </c>
    </row>
    <row r="792" spans="1:23" hidden="1">
      <c r="J792" s="1" t="str">
        <f t="shared" si="154"/>
        <v>0</v>
      </c>
      <c r="K792" s="3">
        <f t="shared" si="155"/>
        <v>-100</v>
      </c>
      <c r="L792" s="3">
        <f t="shared" si="156"/>
        <v>1</v>
      </c>
      <c r="M792" s="3">
        <f t="shared" si="157"/>
        <v>0</v>
      </c>
      <c r="N792" s="3" t="str">
        <f t="shared" si="158"/>
        <v>01</v>
      </c>
      <c r="O792" s="14" t="str">
        <f t="shared" si="158"/>
        <v>00</v>
      </c>
      <c r="R792" s="6">
        <v>523</v>
      </c>
      <c r="S792" s="5">
        <f t="shared" si="159"/>
        <v>0</v>
      </c>
    </row>
    <row r="793" spans="1:23" hidden="1">
      <c r="G793" s="52"/>
      <c r="H793" s="9"/>
      <c r="J793" s="1" t="str">
        <f t="shared" si="154"/>
        <v>0</v>
      </c>
      <c r="K793" s="3">
        <f t="shared" si="155"/>
        <v>-100</v>
      </c>
      <c r="L793" s="3">
        <f t="shared" si="156"/>
        <v>1</v>
      </c>
      <c r="M793" s="3">
        <f t="shared" si="157"/>
        <v>0</v>
      </c>
      <c r="N793" s="3" t="str">
        <f t="shared" si="158"/>
        <v>01</v>
      </c>
      <c r="O793" s="14" t="str">
        <f t="shared" si="158"/>
        <v>00</v>
      </c>
      <c r="P793" s="11"/>
      <c r="Q793" s="12"/>
      <c r="R793" s="13">
        <v>526</v>
      </c>
      <c r="S793" s="5">
        <f t="shared" si="159"/>
        <v>0</v>
      </c>
      <c r="T793" s="12"/>
      <c r="U793" s="10"/>
      <c r="V793" s="10"/>
      <c r="W793" s="10"/>
    </row>
    <row r="794" spans="1:23" hidden="1">
      <c r="G794" s="52"/>
      <c r="H794" s="9"/>
      <c r="J794" s="1" t="str">
        <f t="shared" si="154"/>
        <v>0</v>
      </c>
      <c r="K794" s="3">
        <f t="shared" si="155"/>
        <v>-100</v>
      </c>
      <c r="L794" s="3">
        <f t="shared" si="156"/>
        <v>1</v>
      </c>
      <c r="M794" s="3">
        <f t="shared" si="157"/>
        <v>0</v>
      </c>
      <c r="N794" s="3" t="str">
        <f t="shared" si="158"/>
        <v>01</v>
      </c>
      <c r="O794" s="14" t="str">
        <f t="shared" si="158"/>
        <v>00</v>
      </c>
      <c r="P794" s="11"/>
      <c r="Q794" s="12"/>
      <c r="R794" s="13">
        <v>526</v>
      </c>
      <c r="S794" s="5">
        <f t="shared" si="159"/>
        <v>0</v>
      </c>
      <c r="T794" s="12"/>
      <c r="U794" s="10"/>
      <c r="V794" s="10"/>
      <c r="W794" s="10"/>
    </row>
    <row r="795" spans="1:23" hidden="1">
      <c r="G795" s="52"/>
      <c r="H795" s="9"/>
      <c r="J795" s="1" t="str">
        <f t="shared" si="154"/>
        <v>0</v>
      </c>
      <c r="K795" s="3">
        <f t="shared" si="155"/>
        <v>-100</v>
      </c>
      <c r="L795" s="3">
        <f t="shared" si="156"/>
        <v>1</v>
      </c>
      <c r="M795" s="3">
        <f t="shared" si="157"/>
        <v>0</v>
      </c>
      <c r="N795" s="3" t="str">
        <f t="shared" si="158"/>
        <v>01</v>
      </c>
      <c r="O795" s="14" t="str">
        <f t="shared" si="158"/>
        <v>00</v>
      </c>
      <c r="P795" s="11"/>
      <c r="Q795" s="12"/>
      <c r="R795" s="13">
        <v>526</v>
      </c>
      <c r="S795" s="5">
        <f t="shared" si="159"/>
        <v>0</v>
      </c>
      <c r="T795" s="12"/>
      <c r="U795" s="10"/>
      <c r="V795" s="10"/>
      <c r="W795" s="10"/>
    </row>
    <row r="796" spans="1:23" hidden="1">
      <c r="G796" s="52"/>
      <c r="H796" s="9"/>
      <c r="J796" s="1" t="str">
        <f t="shared" si="154"/>
        <v>0</v>
      </c>
      <c r="K796" s="3">
        <f t="shared" si="155"/>
        <v>-100</v>
      </c>
      <c r="L796" s="3">
        <f t="shared" si="156"/>
        <v>1</v>
      </c>
      <c r="M796" s="3">
        <f t="shared" si="157"/>
        <v>0</v>
      </c>
      <c r="N796" s="3" t="str">
        <f t="shared" ref="N796:O827" si="165">+IF(L796&lt;10,_xlfn.CONCAT("0",L796),L796)</f>
        <v>01</v>
      </c>
      <c r="O796" s="14" t="str">
        <f t="shared" si="165"/>
        <v>00</v>
      </c>
      <c r="P796" s="11"/>
      <c r="Q796" s="12"/>
      <c r="R796" s="13">
        <v>526</v>
      </c>
      <c r="S796" s="5">
        <f t="shared" si="159"/>
        <v>0</v>
      </c>
      <c r="T796" s="12"/>
      <c r="U796" s="10"/>
      <c r="V796" s="10"/>
      <c r="W796" s="10"/>
    </row>
    <row r="797" spans="1:23" hidden="1">
      <c r="G797" s="52"/>
      <c r="H797" s="9"/>
      <c r="J797" s="1" t="str">
        <f t="shared" si="154"/>
        <v>0</v>
      </c>
      <c r="K797" s="3">
        <f t="shared" si="155"/>
        <v>-100</v>
      </c>
      <c r="L797" s="3">
        <f t="shared" si="156"/>
        <v>1</v>
      </c>
      <c r="M797" s="3">
        <f t="shared" si="157"/>
        <v>0</v>
      </c>
      <c r="N797" s="3" t="str">
        <f t="shared" si="165"/>
        <v>01</v>
      </c>
      <c r="O797" s="14" t="str">
        <f t="shared" si="165"/>
        <v>00</v>
      </c>
      <c r="P797" s="11"/>
      <c r="Q797" s="12"/>
      <c r="R797" s="13">
        <v>526</v>
      </c>
      <c r="S797" s="5">
        <f t="shared" si="159"/>
        <v>0</v>
      </c>
      <c r="T797" s="12"/>
      <c r="U797" s="10"/>
      <c r="V797" s="10"/>
      <c r="W797" s="10"/>
    </row>
    <row r="798" spans="1:23" hidden="1">
      <c r="G798" s="52"/>
      <c r="H798" s="9"/>
      <c r="J798" s="1" t="str">
        <f t="shared" si="154"/>
        <v>0</v>
      </c>
      <c r="K798" s="3">
        <f t="shared" si="155"/>
        <v>-100</v>
      </c>
      <c r="L798" s="3">
        <f t="shared" si="156"/>
        <v>1</v>
      </c>
      <c r="M798" s="3">
        <f t="shared" si="157"/>
        <v>0</v>
      </c>
      <c r="N798" s="3" t="str">
        <f t="shared" si="165"/>
        <v>01</v>
      </c>
      <c r="O798" s="14" t="str">
        <f t="shared" si="165"/>
        <v>00</v>
      </c>
      <c r="P798" s="11"/>
      <c r="Q798" s="12"/>
      <c r="R798" s="13">
        <v>526</v>
      </c>
      <c r="S798" s="5">
        <f t="shared" si="159"/>
        <v>0</v>
      </c>
      <c r="T798" s="12"/>
      <c r="U798" s="10"/>
      <c r="V798" s="10"/>
      <c r="W798" s="10"/>
    </row>
    <row r="799" spans="1:23">
      <c r="A799" s="3">
        <v>792</v>
      </c>
      <c r="B799" s="1">
        <f t="shared" si="160"/>
        <v>0</v>
      </c>
      <c r="C799" s="1">
        <f t="shared" si="161"/>
        <v>1</v>
      </c>
      <c r="D799" s="1">
        <f t="shared" si="162"/>
        <v>0</v>
      </c>
      <c r="E799" s="1">
        <f t="shared" ref="E799:F808" si="166">IF(U799="",1,0)</f>
        <v>0</v>
      </c>
      <c r="F799" s="1">
        <f t="shared" si="166"/>
        <v>0</v>
      </c>
      <c r="G799" s="52" t="str">
        <f t="shared" si="164"/>
        <v>24060807</v>
      </c>
      <c r="H799" s="9">
        <v>45451</v>
      </c>
      <c r="I799" s="36">
        <v>7</v>
      </c>
      <c r="J799" s="1" t="str">
        <f t="shared" si="154"/>
        <v>07</v>
      </c>
      <c r="K799" s="3">
        <f t="shared" si="155"/>
        <v>24</v>
      </c>
      <c r="L799" s="3">
        <f t="shared" si="156"/>
        <v>6</v>
      </c>
      <c r="M799" s="3">
        <f t="shared" si="157"/>
        <v>8</v>
      </c>
      <c r="N799" s="3" t="str">
        <f t="shared" si="165"/>
        <v>06</v>
      </c>
      <c r="O799" s="14" t="str">
        <f t="shared" si="165"/>
        <v>08</v>
      </c>
      <c r="P799" s="11">
        <v>150000</v>
      </c>
      <c r="Q799" s="12"/>
      <c r="R799" s="13">
        <v>526</v>
      </c>
      <c r="S799" s="5">
        <f t="shared" si="159"/>
        <v>285.17110266159693</v>
      </c>
      <c r="T799" s="12" t="s">
        <v>278</v>
      </c>
      <c r="U799" s="10" t="s">
        <v>1</v>
      </c>
      <c r="V799" s="10" t="s">
        <v>5</v>
      </c>
      <c r="W799" s="10"/>
    </row>
    <row r="800" spans="1:23">
      <c r="A800" s="3">
        <v>793</v>
      </c>
      <c r="B800" s="1">
        <f t="shared" si="160"/>
        <v>0</v>
      </c>
      <c r="C800" s="1">
        <f t="shared" si="161"/>
        <v>0</v>
      </c>
      <c r="D800" s="1">
        <f t="shared" si="162"/>
        <v>0</v>
      </c>
      <c r="E800" s="1">
        <f t="shared" si="166"/>
        <v>0</v>
      </c>
      <c r="F800" s="1">
        <f t="shared" si="166"/>
        <v>0</v>
      </c>
      <c r="G800" s="52" t="str">
        <f t="shared" si="164"/>
        <v>24060808</v>
      </c>
      <c r="H800" s="9">
        <v>45451</v>
      </c>
      <c r="I800" s="36">
        <v>8</v>
      </c>
      <c r="J800" s="1" t="str">
        <f t="shared" si="154"/>
        <v>08</v>
      </c>
      <c r="K800" s="3">
        <f t="shared" si="155"/>
        <v>24</v>
      </c>
      <c r="L800" s="3">
        <f t="shared" si="156"/>
        <v>6</v>
      </c>
      <c r="M800" s="3">
        <f t="shared" si="157"/>
        <v>8</v>
      </c>
      <c r="N800" s="3" t="str">
        <f t="shared" si="165"/>
        <v>06</v>
      </c>
      <c r="O800" s="14" t="str">
        <f t="shared" si="165"/>
        <v>08</v>
      </c>
      <c r="P800" s="11">
        <v>110000</v>
      </c>
      <c r="Q800" s="12"/>
      <c r="R800" s="13">
        <v>526</v>
      </c>
      <c r="S800" s="5">
        <f t="shared" si="159"/>
        <v>209.12547528517109</v>
      </c>
      <c r="T800" s="12" t="s">
        <v>283</v>
      </c>
      <c r="U800" s="10" t="s">
        <v>1</v>
      </c>
      <c r="V800" s="10" t="s">
        <v>5</v>
      </c>
      <c r="W800" s="10"/>
    </row>
    <row r="801" spans="1:23" hidden="1">
      <c r="G801" s="52"/>
      <c r="H801" s="9"/>
      <c r="J801" s="1" t="str">
        <f t="shared" si="154"/>
        <v>0</v>
      </c>
      <c r="K801" s="3">
        <f t="shared" si="155"/>
        <v>-100</v>
      </c>
      <c r="L801" s="3">
        <f t="shared" si="156"/>
        <v>1</v>
      </c>
      <c r="M801" s="3">
        <f t="shared" si="157"/>
        <v>0</v>
      </c>
      <c r="N801" s="3" t="str">
        <f t="shared" si="165"/>
        <v>01</v>
      </c>
      <c r="O801" s="14" t="str">
        <f t="shared" si="165"/>
        <v>00</v>
      </c>
      <c r="P801" s="11"/>
      <c r="Q801" s="12"/>
      <c r="R801" s="13">
        <v>526</v>
      </c>
      <c r="S801" s="5">
        <f t="shared" si="159"/>
        <v>0</v>
      </c>
      <c r="T801" s="12"/>
      <c r="U801" s="10"/>
      <c r="V801" s="10"/>
      <c r="W801" s="10"/>
    </row>
    <row r="802" spans="1:23">
      <c r="A802" s="3">
        <v>795</v>
      </c>
      <c r="B802" s="1">
        <f t="shared" si="160"/>
        <v>0</v>
      </c>
      <c r="C802" s="1">
        <f t="shared" si="161"/>
        <v>1</v>
      </c>
      <c r="D802" s="1">
        <f t="shared" si="162"/>
        <v>0</v>
      </c>
      <c r="E802" s="1">
        <f t="shared" si="166"/>
        <v>0</v>
      </c>
      <c r="F802" s="1">
        <f t="shared" si="166"/>
        <v>0</v>
      </c>
      <c r="G802" s="52" t="str">
        <f t="shared" si="164"/>
        <v>24060810</v>
      </c>
      <c r="H802" s="9">
        <v>45451</v>
      </c>
      <c r="I802" s="36">
        <v>10</v>
      </c>
      <c r="J802" s="1">
        <f t="shared" si="154"/>
        <v>10</v>
      </c>
      <c r="K802" s="3">
        <f t="shared" si="155"/>
        <v>24</v>
      </c>
      <c r="L802" s="3">
        <f t="shared" si="156"/>
        <v>6</v>
      </c>
      <c r="M802" s="3">
        <f t="shared" si="157"/>
        <v>8</v>
      </c>
      <c r="N802" s="3" t="str">
        <f t="shared" si="165"/>
        <v>06</v>
      </c>
      <c r="O802" s="14" t="str">
        <f t="shared" si="165"/>
        <v>08</v>
      </c>
      <c r="P802" s="11">
        <v>120000</v>
      </c>
      <c r="Q802" s="12"/>
      <c r="R802" s="13">
        <v>526</v>
      </c>
      <c r="S802" s="5">
        <f t="shared" si="159"/>
        <v>228.13688212927758</v>
      </c>
      <c r="T802" s="12" t="s">
        <v>279</v>
      </c>
      <c r="U802" s="10" t="s">
        <v>1</v>
      </c>
      <c r="V802" s="10" t="s">
        <v>5</v>
      </c>
      <c r="W802" s="10"/>
    </row>
    <row r="803" spans="1:23">
      <c r="A803" s="3">
        <v>796</v>
      </c>
      <c r="B803" s="1">
        <f t="shared" si="160"/>
        <v>0</v>
      </c>
      <c r="C803" s="1">
        <f t="shared" si="161"/>
        <v>0</v>
      </c>
      <c r="D803" s="1">
        <f t="shared" si="162"/>
        <v>0</v>
      </c>
      <c r="E803" s="1">
        <f t="shared" si="166"/>
        <v>0</v>
      </c>
      <c r="F803" s="1">
        <f t="shared" si="166"/>
        <v>0</v>
      </c>
      <c r="G803" s="52" t="str">
        <f t="shared" si="164"/>
        <v>24060811</v>
      </c>
      <c r="H803" s="9">
        <v>45451</v>
      </c>
      <c r="I803" s="36">
        <v>11</v>
      </c>
      <c r="J803" s="1">
        <f t="shared" si="154"/>
        <v>11</v>
      </c>
      <c r="K803" s="3">
        <f t="shared" si="155"/>
        <v>24</v>
      </c>
      <c r="L803" s="3">
        <f t="shared" si="156"/>
        <v>6</v>
      </c>
      <c r="M803" s="3">
        <f t="shared" si="157"/>
        <v>8</v>
      </c>
      <c r="N803" s="3" t="str">
        <f t="shared" si="165"/>
        <v>06</v>
      </c>
      <c r="O803" s="14" t="str">
        <f t="shared" si="165"/>
        <v>08</v>
      </c>
      <c r="P803" s="11">
        <v>230000</v>
      </c>
      <c r="Q803" s="12"/>
      <c r="R803" s="13">
        <v>526</v>
      </c>
      <c r="S803" s="5">
        <f t="shared" si="159"/>
        <v>437.26235741444867</v>
      </c>
      <c r="T803" s="12" t="s">
        <v>281</v>
      </c>
      <c r="U803" s="10" t="s">
        <v>1</v>
      </c>
      <c r="V803" s="10" t="s">
        <v>5</v>
      </c>
      <c r="W803" s="10"/>
    </row>
    <row r="804" spans="1:23">
      <c r="A804" s="3">
        <v>797</v>
      </c>
      <c r="B804" s="1">
        <f t="shared" si="160"/>
        <v>0</v>
      </c>
      <c r="C804" s="1">
        <f t="shared" si="161"/>
        <v>0</v>
      </c>
      <c r="D804" s="1">
        <f t="shared" si="162"/>
        <v>0</v>
      </c>
      <c r="E804" s="1">
        <f t="shared" si="166"/>
        <v>0</v>
      </c>
      <c r="F804" s="1">
        <f t="shared" si="166"/>
        <v>0</v>
      </c>
      <c r="G804" s="52" t="str">
        <f t="shared" si="164"/>
        <v>24060812</v>
      </c>
      <c r="H804" s="9">
        <v>45451</v>
      </c>
      <c r="I804" s="36">
        <v>12</v>
      </c>
      <c r="J804" s="1">
        <f t="shared" si="154"/>
        <v>12</v>
      </c>
      <c r="K804" s="3">
        <f t="shared" si="155"/>
        <v>24</v>
      </c>
      <c r="L804" s="3">
        <f t="shared" si="156"/>
        <v>6</v>
      </c>
      <c r="M804" s="3">
        <f t="shared" si="157"/>
        <v>8</v>
      </c>
      <c r="N804" s="3" t="str">
        <f t="shared" si="165"/>
        <v>06</v>
      </c>
      <c r="O804" s="14" t="str">
        <f t="shared" si="165"/>
        <v>08</v>
      </c>
      <c r="P804" s="11">
        <v>90000</v>
      </c>
      <c r="Q804" s="12"/>
      <c r="R804" s="13">
        <v>526</v>
      </c>
      <c r="S804" s="5">
        <f t="shared" si="159"/>
        <v>171.10266159695817</v>
      </c>
      <c r="T804" s="12" t="s">
        <v>282</v>
      </c>
      <c r="U804" s="10" t="s">
        <v>1</v>
      </c>
      <c r="V804" s="10" t="s">
        <v>5</v>
      </c>
      <c r="W804" s="10"/>
    </row>
    <row r="805" spans="1:23" hidden="1">
      <c r="G805" s="52"/>
      <c r="H805" s="9"/>
      <c r="J805" s="1" t="str">
        <f t="shared" si="154"/>
        <v>0</v>
      </c>
      <c r="K805" s="3">
        <f t="shared" si="155"/>
        <v>-100</v>
      </c>
      <c r="L805" s="3">
        <f t="shared" si="156"/>
        <v>1</v>
      </c>
      <c r="M805" s="3">
        <f t="shared" si="157"/>
        <v>0</v>
      </c>
      <c r="N805" s="3" t="str">
        <f t="shared" si="165"/>
        <v>01</v>
      </c>
      <c r="O805" s="14" t="str">
        <f t="shared" si="165"/>
        <v>00</v>
      </c>
      <c r="P805" s="11"/>
      <c r="Q805" s="12"/>
      <c r="R805" s="13">
        <v>526</v>
      </c>
      <c r="S805" s="5">
        <f t="shared" si="159"/>
        <v>0</v>
      </c>
      <c r="T805" s="12"/>
      <c r="U805" s="10"/>
      <c r="V805" s="10"/>
      <c r="W805" s="10"/>
    </row>
    <row r="806" spans="1:23">
      <c r="A806" s="3">
        <v>799</v>
      </c>
      <c r="B806" s="1">
        <f t="shared" si="160"/>
        <v>0</v>
      </c>
      <c r="C806" s="1">
        <f t="shared" si="161"/>
        <v>1</v>
      </c>
      <c r="D806" s="1">
        <f t="shared" si="162"/>
        <v>0</v>
      </c>
      <c r="E806" s="1">
        <f t="shared" si="166"/>
        <v>0</v>
      </c>
      <c r="F806" s="1">
        <f t="shared" si="166"/>
        <v>0</v>
      </c>
      <c r="G806" s="52" t="str">
        <f t="shared" si="164"/>
        <v>24060814</v>
      </c>
      <c r="H806" s="9">
        <v>45451</v>
      </c>
      <c r="I806" s="36">
        <v>14</v>
      </c>
      <c r="J806" s="1">
        <f t="shared" si="154"/>
        <v>14</v>
      </c>
      <c r="K806" s="3">
        <f t="shared" si="155"/>
        <v>24</v>
      </c>
      <c r="L806" s="3">
        <f t="shared" si="156"/>
        <v>6</v>
      </c>
      <c r="M806" s="3">
        <f t="shared" si="157"/>
        <v>8</v>
      </c>
      <c r="N806" s="3" t="str">
        <f t="shared" si="165"/>
        <v>06</v>
      </c>
      <c r="O806" s="14" t="str">
        <f t="shared" si="165"/>
        <v>08</v>
      </c>
      <c r="P806" s="11">
        <v>120000</v>
      </c>
      <c r="Q806" s="12"/>
      <c r="R806" s="13">
        <v>526</v>
      </c>
      <c r="S806" s="5">
        <f t="shared" si="159"/>
        <v>228.13688212927758</v>
      </c>
      <c r="T806" s="12" t="s">
        <v>280</v>
      </c>
      <c r="U806" s="10" t="s">
        <v>1</v>
      </c>
      <c r="V806" s="10" t="s">
        <v>5</v>
      </c>
      <c r="W806" s="10"/>
    </row>
    <row r="807" spans="1:23" hidden="1">
      <c r="G807" s="52"/>
      <c r="H807" s="9"/>
      <c r="J807" s="1" t="str">
        <f t="shared" si="154"/>
        <v>0</v>
      </c>
      <c r="K807" s="3">
        <f t="shared" si="155"/>
        <v>-100</v>
      </c>
      <c r="L807" s="3">
        <f t="shared" si="156"/>
        <v>1</v>
      </c>
      <c r="M807" s="3">
        <f t="shared" si="157"/>
        <v>0</v>
      </c>
      <c r="N807" s="3" t="str">
        <f t="shared" si="165"/>
        <v>01</v>
      </c>
      <c r="O807" s="14" t="str">
        <f t="shared" si="165"/>
        <v>00</v>
      </c>
      <c r="P807" s="11"/>
      <c r="Q807" s="12"/>
      <c r="R807" s="13">
        <v>526</v>
      </c>
      <c r="S807" s="5">
        <f t="shared" si="159"/>
        <v>0</v>
      </c>
      <c r="T807" s="12"/>
      <c r="U807" s="10"/>
      <c r="V807" s="10"/>
      <c r="W807" s="10"/>
    </row>
    <row r="808" spans="1:23">
      <c r="A808" s="3">
        <v>801</v>
      </c>
      <c r="B808" s="1">
        <f t="shared" si="160"/>
        <v>0</v>
      </c>
      <c r="C808" s="1">
        <f t="shared" si="161"/>
        <v>1</v>
      </c>
      <c r="D808" s="1">
        <f t="shared" si="162"/>
        <v>0</v>
      </c>
      <c r="E808" s="1">
        <f t="shared" si="166"/>
        <v>0</v>
      </c>
      <c r="F808" s="1">
        <f t="shared" si="166"/>
        <v>0</v>
      </c>
      <c r="G808" s="52" t="str">
        <f t="shared" si="164"/>
        <v>24060816</v>
      </c>
      <c r="H808" s="9">
        <v>45451</v>
      </c>
      <c r="I808" s="36">
        <v>16</v>
      </c>
      <c r="J808" s="1">
        <f t="shared" si="154"/>
        <v>16</v>
      </c>
      <c r="K808" s="3">
        <f t="shared" si="155"/>
        <v>24</v>
      </c>
      <c r="L808" s="3">
        <f t="shared" si="156"/>
        <v>6</v>
      </c>
      <c r="M808" s="3">
        <f t="shared" si="157"/>
        <v>8</v>
      </c>
      <c r="N808" s="3" t="str">
        <f t="shared" si="165"/>
        <v>06</v>
      </c>
      <c r="O808" s="14" t="str">
        <f t="shared" si="165"/>
        <v>08</v>
      </c>
      <c r="P808" s="11">
        <f>9*3*540</f>
        <v>14580</v>
      </c>
      <c r="Q808" s="12"/>
      <c r="R808" s="13">
        <v>526</v>
      </c>
      <c r="S808" s="5">
        <f t="shared" si="159"/>
        <v>27.718631178707223</v>
      </c>
      <c r="T808" s="12" t="s">
        <v>285</v>
      </c>
      <c r="U808" s="10" t="s">
        <v>1</v>
      </c>
      <c r="V808" s="10" t="s">
        <v>5</v>
      </c>
      <c r="W808" s="10"/>
    </row>
    <row r="809" spans="1:23" hidden="1">
      <c r="J809" s="1" t="str">
        <f t="shared" si="154"/>
        <v>0</v>
      </c>
      <c r="K809" s="3">
        <f t="shared" si="155"/>
        <v>-100</v>
      </c>
      <c r="L809" s="3">
        <f t="shared" si="156"/>
        <v>1</v>
      </c>
      <c r="M809" s="3">
        <f t="shared" si="157"/>
        <v>0</v>
      </c>
      <c r="N809" s="3" t="str">
        <f t="shared" si="165"/>
        <v>01</v>
      </c>
      <c r="O809" s="14" t="str">
        <f t="shared" si="165"/>
        <v>00</v>
      </c>
      <c r="R809" s="6">
        <v>526</v>
      </c>
      <c r="S809" s="5">
        <f t="shared" si="159"/>
        <v>0</v>
      </c>
    </row>
    <row r="810" spans="1:23" hidden="1">
      <c r="J810" s="1" t="str">
        <f t="shared" si="154"/>
        <v>0</v>
      </c>
      <c r="K810" s="3">
        <f t="shared" si="155"/>
        <v>-100</v>
      </c>
      <c r="L810" s="3">
        <f t="shared" si="156"/>
        <v>1</v>
      </c>
      <c r="M810" s="3">
        <f t="shared" si="157"/>
        <v>0</v>
      </c>
      <c r="N810" s="3" t="str">
        <f t="shared" si="165"/>
        <v>01</v>
      </c>
      <c r="O810" s="14" t="str">
        <f t="shared" si="165"/>
        <v>00</v>
      </c>
      <c r="S810" s="5" t="str">
        <f t="shared" si="159"/>
        <v/>
      </c>
    </row>
    <row r="811" spans="1:23" hidden="1">
      <c r="J811" s="1" t="str">
        <f t="shared" si="154"/>
        <v>0</v>
      </c>
      <c r="K811" s="3">
        <f t="shared" si="155"/>
        <v>-100</v>
      </c>
      <c r="L811" s="3">
        <f t="shared" si="156"/>
        <v>1</v>
      </c>
      <c r="M811" s="3">
        <f t="shared" si="157"/>
        <v>0</v>
      </c>
      <c r="N811" s="3" t="str">
        <f t="shared" si="165"/>
        <v>01</v>
      </c>
      <c r="O811" s="14" t="str">
        <f t="shared" si="165"/>
        <v>00</v>
      </c>
      <c r="R811" s="6">
        <v>526</v>
      </c>
      <c r="S811" s="5">
        <f t="shared" si="159"/>
        <v>0</v>
      </c>
    </row>
    <row r="812" spans="1:23" hidden="1">
      <c r="J812" s="1" t="str">
        <f t="shared" si="154"/>
        <v>0</v>
      </c>
      <c r="K812" s="3">
        <f t="shared" si="155"/>
        <v>-100</v>
      </c>
      <c r="L812" s="3">
        <f t="shared" si="156"/>
        <v>1</v>
      </c>
      <c r="M812" s="3">
        <f t="shared" si="157"/>
        <v>0</v>
      </c>
      <c r="N812" s="3" t="str">
        <f t="shared" si="165"/>
        <v>01</v>
      </c>
      <c r="O812" s="14" t="str">
        <f t="shared" si="165"/>
        <v>00</v>
      </c>
      <c r="R812" s="6">
        <v>526</v>
      </c>
      <c r="S812" s="5">
        <f t="shared" si="159"/>
        <v>0</v>
      </c>
    </row>
    <row r="813" spans="1:23" hidden="1">
      <c r="J813" s="1" t="str">
        <f t="shared" si="154"/>
        <v>0</v>
      </c>
      <c r="K813" s="3">
        <f t="shared" si="155"/>
        <v>-100</v>
      </c>
      <c r="L813" s="3">
        <f t="shared" si="156"/>
        <v>1</v>
      </c>
      <c r="M813" s="3">
        <f t="shared" si="157"/>
        <v>0</v>
      </c>
      <c r="N813" s="3" t="str">
        <f t="shared" si="165"/>
        <v>01</v>
      </c>
      <c r="O813" s="14" t="str">
        <f t="shared" si="165"/>
        <v>00</v>
      </c>
      <c r="R813" s="6">
        <v>526</v>
      </c>
      <c r="S813" s="5">
        <f t="shared" si="159"/>
        <v>0</v>
      </c>
    </row>
    <row r="814" spans="1:23" hidden="1">
      <c r="J814" s="1" t="str">
        <f t="shared" si="154"/>
        <v>0</v>
      </c>
      <c r="K814" s="3">
        <f t="shared" si="155"/>
        <v>-100</v>
      </c>
      <c r="L814" s="3">
        <f t="shared" si="156"/>
        <v>1</v>
      </c>
      <c r="M814" s="3">
        <f t="shared" si="157"/>
        <v>0</v>
      </c>
      <c r="N814" s="3" t="str">
        <f t="shared" si="165"/>
        <v>01</v>
      </c>
      <c r="O814" s="14" t="str">
        <f t="shared" si="165"/>
        <v>00</v>
      </c>
      <c r="R814" s="6">
        <v>526</v>
      </c>
      <c r="S814" s="5">
        <f t="shared" si="159"/>
        <v>0</v>
      </c>
    </row>
    <row r="815" spans="1:23" hidden="1">
      <c r="J815" s="1" t="str">
        <f t="shared" si="154"/>
        <v>0</v>
      </c>
      <c r="K815" s="3">
        <f t="shared" si="155"/>
        <v>-100</v>
      </c>
      <c r="L815" s="3">
        <f t="shared" si="156"/>
        <v>1</v>
      </c>
      <c r="M815" s="3">
        <f t="shared" si="157"/>
        <v>0</v>
      </c>
      <c r="N815" s="3" t="str">
        <f t="shared" si="165"/>
        <v>01</v>
      </c>
      <c r="O815" s="14" t="str">
        <f t="shared" si="165"/>
        <v>00</v>
      </c>
      <c r="R815" s="6">
        <v>526</v>
      </c>
      <c r="S815" s="5">
        <f t="shared" si="159"/>
        <v>0</v>
      </c>
    </row>
    <row r="816" spans="1:23" hidden="1">
      <c r="J816" s="1" t="str">
        <f t="shared" si="154"/>
        <v>0</v>
      </c>
      <c r="K816" s="3">
        <f t="shared" si="155"/>
        <v>-100</v>
      </c>
      <c r="L816" s="3">
        <f t="shared" si="156"/>
        <v>1</v>
      </c>
      <c r="M816" s="3">
        <f t="shared" si="157"/>
        <v>0</v>
      </c>
      <c r="N816" s="3" t="str">
        <f t="shared" si="165"/>
        <v>01</v>
      </c>
      <c r="O816" s="14" t="str">
        <f t="shared" si="165"/>
        <v>00</v>
      </c>
      <c r="R816" s="6">
        <v>526</v>
      </c>
      <c r="S816" s="5">
        <f t="shared" si="159"/>
        <v>0</v>
      </c>
    </row>
    <row r="817" spans="8:22" hidden="1">
      <c r="J817" s="1" t="str">
        <f t="shared" si="154"/>
        <v>0</v>
      </c>
      <c r="K817" s="3">
        <f t="shared" si="155"/>
        <v>-100</v>
      </c>
      <c r="L817" s="3">
        <f t="shared" si="156"/>
        <v>1</v>
      </c>
      <c r="M817" s="3">
        <f t="shared" si="157"/>
        <v>0</v>
      </c>
      <c r="N817" s="3" t="str">
        <f t="shared" si="165"/>
        <v>01</v>
      </c>
      <c r="O817" s="14" t="str">
        <f t="shared" si="165"/>
        <v>00</v>
      </c>
      <c r="R817" s="6">
        <v>526</v>
      </c>
      <c r="S817" s="5">
        <f t="shared" si="159"/>
        <v>0</v>
      </c>
    </row>
    <row r="818" spans="8:22" hidden="1">
      <c r="J818" s="1" t="str">
        <f t="shared" si="154"/>
        <v>0</v>
      </c>
      <c r="K818" s="3">
        <f t="shared" si="155"/>
        <v>-100</v>
      </c>
      <c r="L818" s="3">
        <f t="shared" si="156"/>
        <v>1</v>
      </c>
      <c r="M818" s="3">
        <f t="shared" si="157"/>
        <v>0</v>
      </c>
      <c r="N818" s="3" t="str">
        <f t="shared" si="165"/>
        <v>01</v>
      </c>
      <c r="O818" s="14" t="str">
        <f t="shared" si="165"/>
        <v>00</v>
      </c>
      <c r="R818" s="6">
        <v>526</v>
      </c>
      <c r="S818" s="5">
        <f t="shared" si="159"/>
        <v>0</v>
      </c>
    </row>
    <row r="819" spans="8:22" hidden="1">
      <c r="J819" s="1" t="str">
        <f t="shared" si="154"/>
        <v>0</v>
      </c>
      <c r="K819" s="3">
        <f t="shared" si="155"/>
        <v>-100</v>
      </c>
      <c r="L819" s="3">
        <f t="shared" si="156"/>
        <v>1</v>
      </c>
      <c r="M819" s="3">
        <f t="shared" si="157"/>
        <v>0</v>
      </c>
      <c r="N819" s="3" t="str">
        <f t="shared" si="165"/>
        <v>01</v>
      </c>
      <c r="O819" s="14" t="str">
        <f t="shared" si="165"/>
        <v>00</v>
      </c>
      <c r="S819" s="5" t="str">
        <f t="shared" si="159"/>
        <v/>
      </c>
    </row>
    <row r="820" spans="8:22" hidden="1">
      <c r="J820" s="1" t="str">
        <f t="shared" si="154"/>
        <v>0</v>
      </c>
      <c r="K820" s="3">
        <f t="shared" si="155"/>
        <v>-100</v>
      </c>
      <c r="L820" s="3">
        <f t="shared" si="156"/>
        <v>1</v>
      </c>
      <c r="M820" s="3">
        <f t="shared" si="157"/>
        <v>0</v>
      </c>
      <c r="N820" s="3" t="str">
        <f t="shared" si="165"/>
        <v>01</v>
      </c>
      <c r="O820" s="14" t="str">
        <f t="shared" si="165"/>
        <v>00</v>
      </c>
      <c r="R820" s="6">
        <v>523</v>
      </c>
      <c r="S820" s="5">
        <f t="shared" si="159"/>
        <v>0</v>
      </c>
    </row>
    <row r="821" spans="8:22" hidden="1">
      <c r="J821" s="1" t="str">
        <f t="shared" si="154"/>
        <v>0</v>
      </c>
      <c r="K821" s="3">
        <f t="shared" si="155"/>
        <v>-100</v>
      </c>
      <c r="L821" s="3">
        <f t="shared" si="156"/>
        <v>1</v>
      </c>
      <c r="M821" s="3">
        <f t="shared" si="157"/>
        <v>0</v>
      </c>
      <c r="N821" s="3" t="str">
        <f t="shared" si="165"/>
        <v>01</v>
      </c>
      <c r="O821" s="14" t="str">
        <f t="shared" si="165"/>
        <v>00</v>
      </c>
      <c r="R821" s="6">
        <v>523</v>
      </c>
      <c r="S821" s="5">
        <f t="shared" si="159"/>
        <v>0</v>
      </c>
    </row>
    <row r="822" spans="8:22" hidden="1">
      <c r="J822" s="1" t="str">
        <f t="shared" si="154"/>
        <v>0</v>
      </c>
      <c r="K822" s="3">
        <f t="shared" si="155"/>
        <v>-100</v>
      </c>
      <c r="L822" s="3">
        <f t="shared" si="156"/>
        <v>1</v>
      </c>
      <c r="M822" s="3">
        <f t="shared" si="157"/>
        <v>0</v>
      </c>
      <c r="N822" s="3" t="str">
        <f t="shared" si="165"/>
        <v>01</v>
      </c>
      <c r="O822" s="14" t="str">
        <f t="shared" si="165"/>
        <v>00</v>
      </c>
      <c r="R822" s="6">
        <v>501</v>
      </c>
      <c r="S822" s="5">
        <f t="shared" si="159"/>
        <v>0</v>
      </c>
    </row>
    <row r="823" spans="8:22" hidden="1">
      <c r="J823" s="1" t="str">
        <f t="shared" si="154"/>
        <v>0</v>
      </c>
      <c r="K823" s="3">
        <f t="shared" si="155"/>
        <v>-100</v>
      </c>
      <c r="L823" s="3">
        <f t="shared" si="156"/>
        <v>1</v>
      </c>
      <c r="M823" s="3">
        <f t="shared" si="157"/>
        <v>0</v>
      </c>
      <c r="N823" s="3" t="str">
        <f t="shared" si="165"/>
        <v>01</v>
      </c>
      <c r="O823" s="14" t="str">
        <f t="shared" si="165"/>
        <v>00</v>
      </c>
      <c r="R823" s="6">
        <v>523</v>
      </c>
      <c r="S823" s="5">
        <f t="shared" si="159"/>
        <v>0</v>
      </c>
    </row>
    <row r="824" spans="8:22" hidden="1">
      <c r="H824" s="8"/>
      <c r="J824" s="1" t="str">
        <f t="shared" si="154"/>
        <v>0</v>
      </c>
      <c r="K824" s="3">
        <f t="shared" si="155"/>
        <v>-100</v>
      </c>
      <c r="L824" s="3">
        <f t="shared" si="156"/>
        <v>1</v>
      </c>
      <c r="M824" s="3">
        <f t="shared" si="157"/>
        <v>0</v>
      </c>
      <c r="N824" s="3" t="str">
        <f t="shared" si="165"/>
        <v>01</v>
      </c>
      <c r="O824" s="14" t="str">
        <f t="shared" si="165"/>
        <v>00</v>
      </c>
      <c r="P824" s="53"/>
      <c r="Q824" s="54"/>
      <c r="R824" s="55">
        <v>523</v>
      </c>
      <c r="S824" s="5">
        <f t="shared" si="159"/>
        <v>0</v>
      </c>
      <c r="T824" s="54"/>
      <c r="U824" s="56"/>
      <c r="V824" s="56"/>
    </row>
    <row r="825" spans="8:22" hidden="1">
      <c r="J825" s="1" t="str">
        <f t="shared" si="154"/>
        <v>0</v>
      </c>
      <c r="K825" s="3">
        <f t="shared" si="155"/>
        <v>-100</v>
      </c>
      <c r="L825" s="3">
        <f t="shared" si="156"/>
        <v>1</v>
      </c>
      <c r="M825" s="3">
        <f t="shared" si="157"/>
        <v>0</v>
      </c>
      <c r="N825" s="3" t="str">
        <f t="shared" si="165"/>
        <v>01</v>
      </c>
      <c r="O825" s="14" t="str">
        <f t="shared" si="165"/>
        <v>00</v>
      </c>
      <c r="R825" s="6">
        <v>523</v>
      </c>
      <c r="S825" s="5">
        <f t="shared" si="159"/>
        <v>0</v>
      </c>
    </row>
    <row r="826" spans="8:22" hidden="1">
      <c r="J826" s="1" t="str">
        <f t="shared" si="154"/>
        <v>0</v>
      </c>
      <c r="K826" s="3">
        <f t="shared" si="155"/>
        <v>-100</v>
      </c>
      <c r="L826" s="3">
        <f t="shared" si="156"/>
        <v>1</v>
      </c>
      <c r="M826" s="3">
        <f t="shared" si="157"/>
        <v>0</v>
      </c>
      <c r="N826" s="3" t="str">
        <f t="shared" si="165"/>
        <v>01</v>
      </c>
      <c r="O826" s="14" t="str">
        <f t="shared" si="165"/>
        <v>00</v>
      </c>
      <c r="R826" s="6">
        <v>523</v>
      </c>
      <c r="S826" s="5">
        <f t="shared" si="159"/>
        <v>0</v>
      </c>
    </row>
    <row r="827" spans="8:22" hidden="1">
      <c r="J827" s="1" t="str">
        <f t="shared" si="154"/>
        <v>0</v>
      </c>
      <c r="K827" s="3">
        <f t="shared" si="155"/>
        <v>-100</v>
      </c>
      <c r="L827" s="3">
        <f t="shared" si="156"/>
        <v>1</v>
      </c>
      <c r="M827" s="3">
        <f t="shared" si="157"/>
        <v>0</v>
      </c>
      <c r="N827" s="3" t="str">
        <f t="shared" si="165"/>
        <v>01</v>
      </c>
      <c r="O827" s="14" t="str">
        <f t="shared" si="165"/>
        <v>00</v>
      </c>
      <c r="R827" s="6">
        <v>523</v>
      </c>
      <c r="S827" s="5">
        <f t="shared" si="159"/>
        <v>0</v>
      </c>
    </row>
    <row r="828" spans="8:22" hidden="1">
      <c r="J828" s="1" t="str">
        <f t="shared" ref="J828:J891" si="167">+IF(I828&lt;10,_xlfn.CONCAT("0",I828),I828)</f>
        <v>0</v>
      </c>
      <c r="K828" s="3">
        <f t="shared" ref="K828:K891" si="168">+YEAR(H828)-2000</f>
        <v>-100</v>
      </c>
      <c r="L828" s="3">
        <f t="shared" ref="L828:L891" si="169">+MONTH(H828)</f>
        <v>1</v>
      </c>
      <c r="M828" s="3">
        <f t="shared" ref="M828:M891" si="170">+DAY(H828)</f>
        <v>0</v>
      </c>
      <c r="N828" s="3" t="str">
        <f t="shared" ref="N828:O859" si="171">+IF(L828&lt;10,_xlfn.CONCAT("0",L828),L828)</f>
        <v>01</v>
      </c>
      <c r="O828" s="14" t="str">
        <f t="shared" si="171"/>
        <v>00</v>
      </c>
      <c r="R828" s="6">
        <v>523</v>
      </c>
      <c r="S828" s="5">
        <f t="shared" ref="S828:S869" si="172">IFERROR(P828/R828,"")</f>
        <v>0</v>
      </c>
    </row>
    <row r="829" spans="8:22" hidden="1">
      <c r="J829" s="1" t="str">
        <f t="shared" si="167"/>
        <v>0</v>
      </c>
      <c r="K829" s="3">
        <f t="shared" si="168"/>
        <v>-100</v>
      </c>
      <c r="L829" s="3">
        <f t="shared" si="169"/>
        <v>1</v>
      </c>
      <c r="M829" s="3">
        <f t="shared" si="170"/>
        <v>0</v>
      </c>
      <c r="N829" s="3" t="str">
        <f t="shared" si="171"/>
        <v>01</v>
      </c>
      <c r="O829" s="14" t="str">
        <f t="shared" si="171"/>
        <v>00</v>
      </c>
      <c r="R829" s="6">
        <v>519</v>
      </c>
      <c r="S829" s="5">
        <f t="shared" si="172"/>
        <v>0</v>
      </c>
    </row>
    <row r="830" spans="8:22" hidden="1">
      <c r="J830" s="1" t="str">
        <f t="shared" si="167"/>
        <v>0</v>
      </c>
      <c r="K830" s="3">
        <f t="shared" si="168"/>
        <v>-100</v>
      </c>
      <c r="L830" s="3">
        <f t="shared" si="169"/>
        <v>1</v>
      </c>
      <c r="M830" s="3">
        <f t="shared" si="170"/>
        <v>0</v>
      </c>
      <c r="N830" s="3" t="str">
        <f t="shared" si="171"/>
        <v>01</v>
      </c>
      <c r="O830" s="14" t="str">
        <f t="shared" si="171"/>
        <v>00</v>
      </c>
      <c r="R830" s="6">
        <v>519</v>
      </c>
      <c r="S830" s="5">
        <f t="shared" si="172"/>
        <v>0</v>
      </c>
    </row>
    <row r="831" spans="8:22" hidden="1">
      <c r="J831" s="1" t="str">
        <f t="shared" si="167"/>
        <v>0</v>
      </c>
      <c r="K831" s="3">
        <f t="shared" si="168"/>
        <v>-100</v>
      </c>
      <c r="L831" s="3">
        <f t="shared" si="169"/>
        <v>1</v>
      </c>
      <c r="M831" s="3">
        <f t="shared" si="170"/>
        <v>0</v>
      </c>
      <c r="N831" s="3" t="str">
        <f t="shared" si="171"/>
        <v>01</v>
      </c>
      <c r="O831" s="14" t="str">
        <f t="shared" si="171"/>
        <v>00</v>
      </c>
      <c r="R831" s="6">
        <v>519</v>
      </c>
      <c r="S831" s="5">
        <f t="shared" si="172"/>
        <v>0</v>
      </c>
    </row>
    <row r="832" spans="8:22" hidden="1">
      <c r="J832" s="1" t="str">
        <f t="shared" si="167"/>
        <v>0</v>
      </c>
      <c r="K832" s="3">
        <f t="shared" si="168"/>
        <v>-100</v>
      </c>
      <c r="L832" s="3">
        <f t="shared" si="169"/>
        <v>1</v>
      </c>
      <c r="M832" s="3">
        <f t="shared" si="170"/>
        <v>0</v>
      </c>
      <c r="N832" s="3" t="str">
        <f t="shared" si="171"/>
        <v>01</v>
      </c>
      <c r="O832" s="14" t="str">
        <f t="shared" si="171"/>
        <v>00</v>
      </c>
      <c r="R832" s="6">
        <v>519</v>
      </c>
      <c r="S832" s="5">
        <f t="shared" si="172"/>
        <v>0</v>
      </c>
    </row>
    <row r="833" spans="1:23" s="10" customFormat="1" hidden="1">
      <c r="A833" s="3"/>
      <c r="B833" s="1"/>
      <c r="C833" s="1"/>
      <c r="D833" s="1"/>
      <c r="E833" s="1"/>
      <c r="F833" s="1"/>
      <c r="G833" s="1"/>
      <c r="H833" s="2"/>
      <c r="I833" s="36"/>
      <c r="J833" s="1" t="str">
        <f t="shared" si="167"/>
        <v>0</v>
      </c>
      <c r="K833" s="3">
        <f t="shared" si="168"/>
        <v>-100</v>
      </c>
      <c r="L833" s="3">
        <f t="shared" si="169"/>
        <v>1</v>
      </c>
      <c r="M833" s="3">
        <f t="shared" si="170"/>
        <v>0</v>
      </c>
      <c r="N833" s="3" t="str">
        <f t="shared" si="171"/>
        <v>01</v>
      </c>
      <c r="O833" s="14" t="str">
        <f t="shared" si="171"/>
        <v>00</v>
      </c>
      <c r="P833" s="4"/>
      <c r="Q833" s="5"/>
      <c r="R833" s="6">
        <v>522</v>
      </c>
      <c r="S833" s="5">
        <f t="shared" si="172"/>
        <v>0</v>
      </c>
      <c r="T833" s="5"/>
      <c r="U833" s="3"/>
      <c r="V833" s="3"/>
      <c r="W833" s="3"/>
    </row>
    <row r="834" spans="1:23" s="10" customFormat="1" hidden="1">
      <c r="A834" s="3"/>
      <c r="B834" s="1"/>
      <c r="C834" s="1"/>
      <c r="D834" s="1"/>
      <c r="E834" s="1"/>
      <c r="F834" s="1"/>
      <c r="G834" s="1"/>
      <c r="H834" s="2"/>
      <c r="I834" s="36"/>
      <c r="J834" s="1" t="str">
        <f t="shared" si="167"/>
        <v>0</v>
      </c>
      <c r="K834" s="3">
        <f t="shared" si="168"/>
        <v>-100</v>
      </c>
      <c r="L834" s="3">
        <f t="shared" si="169"/>
        <v>1</v>
      </c>
      <c r="M834" s="3">
        <f t="shared" si="170"/>
        <v>0</v>
      </c>
      <c r="N834" s="3" t="str">
        <f t="shared" si="171"/>
        <v>01</v>
      </c>
      <c r="O834" s="14" t="str">
        <f t="shared" si="171"/>
        <v>00</v>
      </c>
      <c r="P834" s="4"/>
      <c r="Q834" s="5"/>
      <c r="R834" s="6">
        <v>519</v>
      </c>
      <c r="S834" s="5">
        <f t="shared" si="172"/>
        <v>0</v>
      </c>
      <c r="T834" s="5"/>
      <c r="U834" s="3"/>
      <c r="V834" s="3"/>
      <c r="W834" s="3"/>
    </row>
    <row r="835" spans="1:23" s="10" customFormat="1" hidden="1">
      <c r="A835" s="3"/>
      <c r="B835" s="1"/>
      <c r="C835" s="1"/>
      <c r="D835" s="1"/>
      <c r="E835" s="1"/>
      <c r="F835" s="1"/>
      <c r="G835" s="1"/>
      <c r="H835" s="2"/>
      <c r="I835" s="36"/>
      <c r="J835" s="1" t="str">
        <f t="shared" si="167"/>
        <v>0</v>
      </c>
      <c r="K835" s="3">
        <f t="shared" si="168"/>
        <v>-100</v>
      </c>
      <c r="L835" s="3">
        <f t="shared" si="169"/>
        <v>1</v>
      </c>
      <c r="M835" s="3">
        <f t="shared" si="170"/>
        <v>0</v>
      </c>
      <c r="N835" s="3" t="str">
        <f t="shared" si="171"/>
        <v>01</v>
      </c>
      <c r="O835" s="14" t="str">
        <f t="shared" si="171"/>
        <v>00</v>
      </c>
      <c r="P835" s="4"/>
      <c r="Q835" s="5"/>
      <c r="R835" s="6">
        <v>519</v>
      </c>
      <c r="S835" s="5">
        <f t="shared" si="172"/>
        <v>0</v>
      </c>
      <c r="T835" s="5"/>
      <c r="U835" s="3"/>
      <c r="V835" s="3"/>
      <c r="W835" s="3"/>
    </row>
    <row r="836" spans="1:23" s="10" customFormat="1" hidden="1">
      <c r="A836" s="3"/>
      <c r="B836" s="1"/>
      <c r="C836" s="1"/>
      <c r="D836" s="1"/>
      <c r="E836" s="1"/>
      <c r="F836" s="1"/>
      <c r="G836" s="1"/>
      <c r="H836" s="2"/>
      <c r="I836" s="36"/>
      <c r="J836" s="1" t="str">
        <f t="shared" si="167"/>
        <v>0</v>
      </c>
      <c r="K836" s="3">
        <f t="shared" si="168"/>
        <v>-100</v>
      </c>
      <c r="L836" s="3">
        <f t="shared" si="169"/>
        <v>1</v>
      </c>
      <c r="M836" s="3">
        <f t="shared" si="170"/>
        <v>0</v>
      </c>
      <c r="N836" s="3" t="str">
        <f t="shared" si="171"/>
        <v>01</v>
      </c>
      <c r="O836" s="14" t="str">
        <f t="shared" si="171"/>
        <v>00</v>
      </c>
      <c r="P836" s="4"/>
      <c r="Q836" s="5"/>
      <c r="R836" s="6"/>
      <c r="S836" s="5" t="str">
        <f t="shared" si="172"/>
        <v/>
      </c>
      <c r="T836" s="5"/>
      <c r="U836" s="3"/>
      <c r="V836" s="3"/>
      <c r="W836" s="3"/>
    </row>
    <row r="837" spans="1:23" s="10" customFormat="1" hidden="1">
      <c r="A837" s="3"/>
      <c r="B837" s="1"/>
      <c r="C837" s="1"/>
      <c r="D837" s="1"/>
      <c r="E837" s="1"/>
      <c r="F837" s="1"/>
      <c r="G837" s="1"/>
      <c r="H837" s="2"/>
      <c r="I837" s="36"/>
      <c r="J837" s="1" t="str">
        <f t="shared" si="167"/>
        <v>0</v>
      </c>
      <c r="K837" s="3">
        <f t="shared" si="168"/>
        <v>-100</v>
      </c>
      <c r="L837" s="3">
        <f t="shared" si="169"/>
        <v>1</v>
      </c>
      <c r="M837" s="3">
        <f t="shared" si="170"/>
        <v>0</v>
      </c>
      <c r="N837" s="3" t="str">
        <f t="shared" si="171"/>
        <v>01</v>
      </c>
      <c r="O837" s="14" t="str">
        <f t="shared" si="171"/>
        <v>00</v>
      </c>
      <c r="P837" s="4"/>
      <c r="Q837" s="5"/>
      <c r="R837" s="6">
        <v>519</v>
      </c>
      <c r="S837" s="5">
        <f t="shared" si="172"/>
        <v>0</v>
      </c>
      <c r="T837" s="5"/>
      <c r="U837" s="3"/>
      <c r="V837" s="3"/>
      <c r="W837" s="3"/>
    </row>
    <row r="838" spans="1:23" s="10" customFormat="1" hidden="1">
      <c r="A838" s="3"/>
      <c r="B838" s="1"/>
      <c r="C838" s="1"/>
      <c r="D838" s="1"/>
      <c r="E838" s="1"/>
      <c r="F838" s="1"/>
      <c r="G838" s="1"/>
      <c r="H838" s="2"/>
      <c r="I838" s="36"/>
      <c r="J838" s="1" t="str">
        <f t="shared" si="167"/>
        <v>0</v>
      </c>
      <c r="K838" s="3">
        <f t="shared" si="168"/>
        <v>-100</v>
      </c>
      <c r="L838" s="3">
        <f t="shared" si="169"/>
        <v>1</v>
      </c>
      <c r="M838" s="3">
        <f t="shared" si="170"/>
        <v>0</v>
      </c>
      <c r="N838" s="3" t="str">
        <f t="shared" si="171"/>
        <v>01</v>
      </c>
      <c r="O838" s="14" t="str">
        <f t="shared" si="171"/>
        <v>00</v>
      </c>
      <c r="P838" s="4"/>
      <c r="Q838" s="5"/>
      <c r="R838" s="6"/>
      <c r="S838" s="5" t="str">
        <f t="shared" si="172"/>
        <v/>
      </c>
      <c r="T838" s="5"/>
      <c r="U838" s="3"/>
      <c r="V838" s="3"/>
      <c r="W838" s="3"/>
    </row>
    <row r="839" spans="1:23" s="10" customFormat="1" hidden="1">
      <c r="A839" s="3"/>
      <c r="B839" s="1"/>
      <c r="C839" s="1"/>
      <c r="D839" s="1"/>
      <c r="E839" s="1"/>
      <c r="F839" s="1"/>
      <c r="G839" s="1"/>
      <c r="H839" s="2"/>
      <c r="I839" s="36"/>
      <c r="J839" s="1" t="str">
        <f t="shared" si="167"/>
        <v>0</v>
      </c>
      <c r="K839" s="3">
        <f t="shared" si="168"/>
        <v>-100</v>
      </c>
      <c r="L839" s="3">
        <f t="shared" si="169"/>
        <v>1</v>
      </c>
      <c r="M839" s="3">
        <f t="shared" si="170"/>
        <v>0</v>
      </c>
      <c r="N839" s="3" t="str">
        <f t="shared" si="171"/>
        <v>01</v>
      </c>
      <c r="O839" s="14" t="str">
        <f t="shared" si="171"/>
        <v>00</v>
      </c>
      <c r="P839" s="4"/>
      <c r="Q839" s="5"/>
      <c r="R839" s="6">
        <v>517</v>
      </c>
      <c r="S839" s="5">
        <f t="shared" si="172"/>
        <v>0</v>
      </c>
      <c r="T839" s="5"/>
      <c r="U839" s="3"/>
      <c r="V839" s="3"/>
      <c r="W839" s="3"/>
    </row>
    <row r="840" spans="1:23" s="10" customFormat="1" hidden="1">
      <c r="A840" s="3"/>
      <c r="B840" s="1"/>
      <c r="C840" s="1"/>
      <c r="D840" s="1"/>
      <c r="E840" s="1"/>
      <c r="F840" s="1"/>
      <c r="G840" s="1"/>
      <c r="H840" s="2"/>
      <c r="I840" s="36"/>
      <c r="J840" s="1" t="str">
        <f t="shared" si="167"/>
        <v>0</v>
      </c>
      <c r="K840" s="3">
        <f t="shared" si="168"/>
        <v>-100</v>
      </c>
      <c r="L840" s="3">
        <f t="shared" si="169"/>
        <v>1</v>
      </c>
      <c r="M840" s="3">
        <f t="shared" si="170"/>
        <v>0</v>
      </c>
      <c r="N840" s="3" t="str">
        <f t="shared" si="171"/>
        <v>01</v>
      </c>
      <c r="O840" s="14" t="str">
        <f t="shared" si="171"/>
        <v>00</v>
      </c>
      <c r="P840" s="4"/>
      <c r="Q840" s="5"/>
      <c r="R840" s="6">
        <v>517</v>
      </c>
      <c r="S840" s="5">
        <f t="shared" si="172"/>
        <v>0</v>
      </c>
      <c r="T840" s="5"/>
      <c r="U840" s="3"/>
      <c r="V840" s="3"/>
      <c r="W840" s="3"/>
    </row>
    <row r="841" spans="1:23" s="10" customFormat="1" hidden="1">
      <c r="A841" s="3"/>
      <c r="B841" s="1"/>
      <c r="C841" s="1"/>
      <c r="D841" s="1"/>
      <c r="E841" s="1"/>
      <c r="F841" s="1"/>
      <c r="G841" s="1"/>
      <c r="H841" s="2"/>
      <c r="I841" s="36"/>
      <c r="J841" s="1" t="str">
        <f t="shared" si="167"/>
        <v>0</v>
      </c>
      <c r="K841" s="3">
        <f t="shared" si="168"/>
        <v>-100</v>
      </c>
      <c r="L841" s="3">
        <f t="shared" si="169"/>
        <v>1</v>
      </c>
      <c r="M841" s="3">
        <f t="shared" si="170"/>
        <v>0</v>
      </c>
      <c r="N841" s="3" t="str">
        <f t="shared" si="171"/>
        <v>01</v>
      </c>
      <c r="O841" s="14" t="str">
        <f t="shared" si="171"/>
        <v>00</v>
      </c>
      <c r="P841" s="4"/>
      <c r="Q841" s="5"/>
      <c r="R841" s="6">
        <v>517</v>
      </c>
      <c r="S841" s="5">
        <f t="shared" si="172"/>
        <v>0</v>
      </c>
      <c r="T841" s="5"/>
      <c r="U841" s="3"/>
      <c r="V841" s="3"/>
      <c r="W841" s="3"/>
    </row>
    <row r="842" spans="1:23" s="10" customFormat="1" hidden="1">
      <c r="A842" s="3"/>
      <c r="B842" s="1"/>
      <c r="C842" s="1"/>
      <c r="D842" s="1"/>
      <c r="E842" s="1"/>
      <c r="F842" s="1"/>
      <c r="G842" s="1"/>
      <c r="H842" s="2"/>
      <c r="I842" s="36"/>
      <c r="J842" s="1" t="str">
        <f t="shared" si="167"/>
        <v>0</v>
      </c>
      <c r="K842" s="3">
        <f t="shared" si="168"/>
        <v>-100</v>
      </c>
      <c r="L842" s="3">
        <f t="shared" si="169"/>
        <v>1</v>
      </c>
      <c r="M842" s="3">
        <f t="shared" si="170"/>
        <v>0</v>
      </c>
      <c r="N842" s="3" t="str">
        <f t="shared" si="171"/>
        <v>01</v>
      </c>
      <c r="O842" s="14" t="str">
        <f t="shared" si="171"/>
        <v>00</v>
      </c>
      <c r="P842" s="4"/>
      <c r="Q842" s="5"/>
      <c r="R842" s="6">
        <v>517</v>
      </c>
      <c r="S842" s="5">
        <f t="shared" si="172"/>
        <v>0</v>
      </c>
      <c r="T842" s="5"/>
      <c r="U842" s="3"/>
      <c r="V842" s="3"/>
      <c r="W842" s="3"/>
    </row>
    <row r="843" spans="1:23" s="10" customFormat="1" hidden="1">
      <c r="A843" s="3"/>
      <c r="B843" s="1"/>
      <c r="C843" s="1"/>
      <c r="D843" s="1"/>
      <c r="E843" s="1"/>
      <c r="F843" s="1"/>
      <c r="G843" s="1"/>
      <c r="H843" s="2"/>
      <c r="I843" s="36"/>
      <c r="J843" s="1" t="str">
        <f t="shared" si="167"/>
        <v>0</v>
      </c>
      <c r="K843" s="3">
        <f t="shared" si="168"/>
        <v>-100</v>
      </c>
      <c r="L843" s="3">
        <f t="shared" si="169"/>
        <v>1</v>
      </c>
      <c r="M843" s="3">
        <f t="shared" si="170"/>
        <v>0</v>
      </c>
      <c r="N843" s="3" t="str">
        <f t="shared" si="171"/>
        <v>01</v>
      </c>
      <c r="O843" s="14" t="str">
        <f t="shared" si="171"/>
        <v>00</v>
      </c>
      <c r="P843" s="4"/>
      <c r="Q843" s="5"/>
      <c r="R843" s="6">
        <v>517</v>
      </c>
      <c r="S843" s="5">
        <f t="shared" si="172"/>
        <v>0</v>
      </c>
      <c r="T843" s="5"/>
      <c r="U843" s="3"/>
      <c r="V843" s="3"/>
      <c r="W843" s="3"/>
    </row>
    <row r="844" spans="1:23" s="10" customFormat="1" hidden="1">
      <c r="A844" s="3"/>
      <c r="B844" s="1"/>
      <c r="C844" s="1"/>
      <c r="D844" s="1"/>
      <c r="E844" s="1"/>
      <c r="F844" s="1"/>
      <c r="G844" s="1"/>
      <c r="H844" s="2"/>
      <c r="I844" s="36"/>
      <c r="J844" s="1" t="str">
        <f t="shared" si="167"/>
        <v>0</v>
      </c>
      <c r="K844" s="3">
        <f t="shared" si="168"/>
        <v>-100</v>
      </c>
      <c r="L844" s="3">
        <f t="shared" si="169"/>
        <v>1</v>
      </c>
      <c r="M844" s="3">
        <f t="shared" si="170"/>
        <v>0</v>
      </c>
      <c r="N844" s="3" t="str">
        <f t="shared" si="171"/>
        <v>01</v>
      </c>
      <c r="O844" s="14" t="str">
        <f t="shared" si="171"/>
        <v>00</v>
      </c>
      <c r="P844" s="4"/>
      <c r="Q844" s="5"/>
      <c r="R844" s="6">
        <v>516</v>
      </c>
      <c r="S844" s="5">
        <f t="shared" si="172"/>
        <v>0</v>
      </c>
      <c r="T844" s="5"/>
      <c r="U844" s="3"/>
      <c r="V844" s="3"/>
      <c r="W844" s="3"/>
    </row>
    <row r="845" spans="1:23" s="10" customFormat="1" hidden="1">
      <c r="A845" s="3"/>
      <c r="B845" s="1"/>
      <c r="C845" s="1"/>
      <c r="D845" s="1"/>
      <c r="E845" s="1"/>
      <c r="F845" s="1"/>
      <c r="G845" s="1"/>
      <c r="H845" s="2"/>
      <c r="I845" s="36"/>
      <c r="J845" s="1" t="str">
        <f t="shared" si="167"/>
        <v>0</v>
      </c>
      <c r="K845" s="3">
        <f t="shared" si="168"/>
        <v>-100</v>
      </c>
      <c r="L845" s="3">
        <f t="shared" si="169"/>
        <v>1</v>
      </c>
      <c r="M845" s="3">
        <f t="shared" si="170"/>
        <v>0</v>
      </c>
      <c r="N845" s="3" t="str">
        <f t="shared" si="171"/>
        <v>01</v>
      </c>
      <c r="O845" s="14" t="str">
        <f t="shared" si="171"/>
        <v>00</v>
      </c>
      <c r="P845" s="4"/>
      <c r="Q845" s="5"/>
      <c r="R845" s="6">
        <v>516</v>
      </c>
      <c r="S845" s="5">
        <f t="shared" si="172"/>
        <v>0</v>
      </c>
      <c r="T845" s="5"/>
      <c r="U845" s="3"/>
      <c r="V845" s="3"/>
      <c r="W845" s="3"/>
    </row>
    <row r="846" spans="1:23" s="10" customFormat="1" hidden="1">
      <c r="A846" s="3"/>
      <c r="B846" s="1"/>
      <c r="C846" s="1"/>
      <c r="D846" s="1"/>
      <c r="E846" s="1"/>
      <c r="F846" s="1"/>
      <c r="G846" s="1"/>
      <c r="H846" s="2"/>
      <c r="I846" s="36"/>
      <c r="J846" s="1" t="str">
        <f t="shared" si="167"/>
        <v>0</v>
      </c>
      <c r="K846" s="3">
        <f t="shared" si="168"/>
        <v>-100</v>
      </c>
      <c r="L846" s="3">
        <f t="shared" si="169"/>
        <v>1</v>
      </c>
      <c r="M846" s="3">
        <f t="shared" si="170"/>
        <v>0</v>
      </c>
      <c r="N846" s="3" t="str">
        <f t="shared" si="171"/>
        <v>01</v>
      </c>
      <c r="O846" s="14" t="str">
        <f t="shared" si="171"/>
        <v>00</v>
      </c>
      <c r="P846" s="4"/>
      <c r="Q846" s="5"/>
      <c r="R846" s="6">
        <v>516</v>
      </c>
      <c r="S846" s="5">
        <f t="shared" si="172"/>
        <v>0</v>
      </c>
      <c r="T846" s="5"/>
      <c r="U846" s="3"/>
      <c r="V846" s="3"/>
      <c r="W846" s="3"/>
    </row>
    <row r="847" spans="1:23" s="10" customFormat="1" hidden="1">
      <c r="A847" s="3"/>
      <c r="B847" s="1"/>
      <c r="C847" s="1"/>
      <c r="D847" s="1"/>
      <c r="E847" s="1"/>
      <c r="F847" s="1"/>
      <c r="G847" s="1"/>
      <c r="H847" s="9"/>
      <c r="I847" s="36"/>
      <c r="J847" s="1" t="str">
        <f t="shared" si="167"/>
        <v>0</v>
      </c>
      <c r="K847" s="3">
        <f t="shared" si="168"/>
        <v>-100</v>
      </c>
      <c r="L847" s="3">
        <f t="shared" si="169"/>
        <v>1</v>
      </c>
      <c r="M847" s="3">
        <f t="shared" si="170"/>
        <v>0</v>
      </c>
      <c r="N847" s="3" t="str">
        <f t="shared" si="171"/>
        <v>01</v>
      </c>
      <c r="O847" s="14" t="str">
        <f t="shared" si="171"/>
        <v>00</v>
      </c>
      <c r="P847" s="11"/>
      <c r="Q847" s="12"/>
      <c r="R847" s="13">
        <v>516</v>
      </c>
      <c r="S847" s="5">
        <f t="shared" si="172"/>
        <v>0</v>
      </c>
      <c r="T847" s="12"/>
      <c r="U847" s="3"/>
      <c r="W847" s="3"/>
    </row>
    <row r="848" spans="1:23" s="10" customFormat="1" hidden="1">
      <c r="A848" s="3"/>
      <c r="B848" s="1"/>
      <c r="C848" s="1"/>
      <c r="D848" s="1"/>
      <c r="E848" s="1"/>
      <c r="F848" s="1"/>
      <c r="G848" s="1"/>
      <c r="H848" s="2"/>
      <c r="I848" s="36"/>
      <c r="J848" s="1" t="str">
        <f t="shared" si="167"/>
        <v>0</v>
      </c>
      <c r="K848" s="3">
        <f t="shared" si="168"/>
        <v>-100</v>
      </c>
      <c r="L848" s="3">
        <f t="shared" si="169"/>
        <v>1</v>
      </c>
      <c r="M848" s="3">
        <f t="shared" si="170"/>
        <v>0</v>
      </c>
      <c r="N848" s="3" t="str">
        <f t="shared" si="171"/>
        <v>01</v>
      </c>
      <c r="O848" s="14" t="str">
        <f t="shared" si="171"/>
        <v>00</v>
      </c>
      <c r="P848" s="4"/>
      <c r="Q848" s="5"/>
      <c r="R848" s="6">
        <v>516</v>
      </c>
      <c r="S848" s="5">
        <f t="shared" si="172"/>
        <v>0</v>
      </c>
      <c r="T848" s="5"/>
      <c r="U848" s="3"/>
      <c r="V848" s="3"/>
      <c r="W848" s="3"/>
    </row>
    <row r="849" spans="1:23" s="10" customFormat="1" hidden="1">
      <c r="A849" s="3"/>
      <c r="B849" s="1"/>
      <c r="C849" s="1"/>
      <c r="D849" s="1"/>
      <c r="E849" s="1"/>
      <c r="F849" s="1"/>
      <c r="G849" s="1"/>
      <c r="H849" s="2"/>
      <c r="I849" s="36"/>
      <c r="J849" s="1" t="str">
        <f t="shared" si="167"/>
        <v>0</v>
      </c>
      <c r="K849" s="3">
        <f t="shared" si="168"/>
        <v>-100</v>
      </c>
      <c r="L849" s="3">
        <f t="shared" si="169"/>
        <v>1</v>
      </c>
      <c r="M849" s="3">
        <f t="shared" si="170"/>
        <v>0</v>
      </c>
      <c r="N849" s="3" t="str">
        <f t="shared" si="171"/>
        <v>01</v>
      </c>
      <c r="O849" s="14" t="str">
        <f t="shared" si="171"/>
        <v>00</v>
      </c>
      <c r="P849" s="4"/>
      <c r="Q849" s="5"/>
      <c r="R849" s="6">
        <v>516</v>
      </c>
      <c r="S849" s="5">
        <f t="shared" si="172"/>
        <v>0</v>
      </c>
      <c r="T849" s="5"/>
      <c r="U849" s="3"/>
      <c r="V849" s="3"/>
      <c r="W849" s="3"/>
    </row>
    <row r="850" spans="1:23" s="10" customFormat="1" hidden="1">
      <c r="A850" s="3"/>
      <c r="B850" s="1"/>
      <c r="C850" s="1"/>
      <c r="D850" s="1"/>
      <c r="E850" s="1"/>
      <c r="F850" s="1"/>
      <c r="G850" s="1"/>
      <c r="H850" s="2"/>
      <c r="I850" s="36"/>
      <c r="J850" s="1" t="str">
        <f t="shared" si="167"/>
        <v>0</v>
      </c>
      <c r="K850" s="3">
        <f t="shared" si="168"/>
        <v>-100</v>
      </c>
      <c r="L850" s="3">
        <f t="shared" si="169"/>
        <v>1</v>
      </c>
      <c r="M850" s="3">
        <f t="shared" si="170"/>
        <v>0</v>
      </c>
      <c r="N850" s="3" t="str">
        <f t="shared" si="171"/>
        <v>01</v>
      </c>
      <c r="O850" s="14" t="str">
        <f t="shared" si="171"/>
        <v>00</v>
      </c>
      <c r="P850" s="4"/>
      <c r="Q850" s="5"/>
      <c r="R850" s="6">
        <v>516</v>
      </c>
      <c r="S850" s="5">
        <f t="shared" si="172"/>
        <v>0</v>
      </c>
      <c r="T850" s="5"/>
      <c r="U850" s="3"/>
      <c r="V850" s="3"/>
      <c r="W850" s="3"/>
    </row>
    <row r="851" spans="1:23" s="10" customFormat="1" hidden="1">
      <c r="A851" s="3"/>
      <c r="B851" s="1"/>
      <c r="C851" s="1"/>
      <c r="D851" s="1"/>
      <c r="E851" s="1"/>
      <c r="F851" s="1"/>
      <c r="G851" s="1"/>
      <c r="H851" s="2"/>
      <c r="I851" s="36"/>
      <c r="J851" s="1" t="str">
        <f t="shared" si="167"/>
        <v>0</v>
      </c>
      <c r="K851" s="3">
        <f t="shared" si="168"/>
        <v>-100</v>
      </c>
      <c r="L851" s="3">
        <f t="shared" si="169"/>
        <v>1</v>
      </c>
      <c r="M851" s="3">
        <f t="shared" si="170"/>
        <v>0</v>
      </c>
      <c r="N851" s="3" t="str">
        <f t="shared" si="171"/>
        <v>01</v>
      </c>
      <c r="O851" s="14" t="str">
        <f t="shared" si="171"/>
        <v>00</v>
      </c>
      <c r="P851" s="4"/>
      <c r="Q851" s="5"/>
      <c r="R851" s="6">
        <v>516</v>
      </c>
      <c r="S851" s="5">
        <f t="shared" si="172"/>
        <v>0</v>
      </c>
      <c r="T851" s="5"/>
      <c r="U851" s="3"/>
      <c r="V851" s="3"/>
      <c r="W851" s="3"/>
    </row>
    <row r="852" spans="1:23" s="10" customFormat="1" hidden="1">
      <c r="A852" s="3"/>
      <c r="B852" s="1"/>
      <c r="C852" s="1"/>
      <c r="D852" s="1"/>
      <c r="E852" s="1"/>
      <c r="F852" s="1"/>
      <c r="G852" s="1"/>
      <c r="H852" s="2"/>
      <c r="I852" s="36"/>
      <c r="J852" s="1" t="str">
        <f t="shared" si="167"/>
        <v>0</v>
      </c>
      <c r="K852" s="3">
        <f t="shared" si="168"/>
        <v>-100</v>
      </c>
      <c r="L852" s="3">
        <f t="shared" si="169"/>
        <v>1</v>
      </c>
      <c r="M852" s="3">
        <f t="shared" si="170"/>
        <v>0</v>
      </c>
      <c r="N852" s="3" t="str">
        <f t="shared" si="171"/>
        <v>01</v>
      </c>
      <c r="O852" s="14" t="str">
        <f t="shared" si="171"/>
        <v>00</v>
      </c>
      <c r="P852" s="4"/>
      <c r="Q852" s="5"/>
      <c r="R852" s="6">
        <v>516</v>
      </c>
      <c r="S852" s="5">
        <f t="shared" si="172"/>
        <v>0</v>
      </c>
      <c r="T852" s="5"/>
      <c r="U852" s="3"/>
      <c r="V852" s="3"/>
      <c r="W852" s="3"/>
    </row>
    <row r="853" spans="1:23" s="10" customFormat="1" hidden="1">
      <c r="A853" s="3"/>
      <c r="B853" s="1"/>
      <c r="C853" s="1"/>
      <c r="D853" s="1"/>
      <c r="E853" s="1"/>
      <c r="F853" s="1"/>
      <c r="G853" s="1"/>
      <c r="H853" s="2"/>
      <c r="I853" s="36"/>
      <c r="J853" s="1" t="str">
        <f t="shared" si="167"/>
        <v>0</v>
      </c>
      <c r="K853" s="3">
        <f t="shared" si="168"/>
        <v>-100</v>
      </c>
      <c r="L853" s="3">
        <f t="shared" si="169"/>
        <v>1</v>
      </c>
      <c r="M853" s="3">
        <f t="shared" si="170"/>
        <v>0</v>
      </c>
      <c r="N853" s="3" t="str">
        <f t="shared" si="171"/>
        <v>01</v>
      </c>
      <c r="O853" s="14" t="str">
        <f t="shared" si="171"/>
        <v>00</v>
      </c>
      <c r="P853" s="4"/>
      <c r="Q853" s="5"/>
      <c r="R853" s="6">
        <v>516</v>
      </c>
      <c r="S853" s="5">
        <f t="shared" si="172"/>
        <v>0</v>
      </c>
      <c r="T853" s="5"/>
      <c r="U853" s="3"/>
      <c r="V853" s="3"/>
      <c r="W853" s="3"/>
    </row>
    <row r="854" spans="1:23" s="10" customFormat="1" hidden="1">
      <c r="A854" s="3"/>
      <c r="B854" s="1"/>
      <c r="C854" s="1"/>
      <c r="D854" s="1"/>
      <c r="E854" s="1"/>
      <c r="F854" s="1"/>
      <c r="G854" s="1"/>
      <c r="H854" s="2"/>
      <c r="I854" s="36"/>
      <c r="J854" s="1" t="str">
        <f t="shared" si="167"/>
        <v>0</v>
      </c>
      <c r="K854" s="3">
        <f t="shared" si="168"/>
        <v>-100</v>
      </c>
      <c r="L854" s="3">
        <f t="shared" si="169"/>
        <v>1</v>
      </c>
      <c r="M854" s="3">
        <f t="shared" si="170"/>
        <v>0</v>
      </c>
      <c r="N854" s="3" t="str">
        <f t="shared" si="171"/>
        <v>01</v>
      </c>
      <c r="O854" s="14" t="str">
        <f t="shared" si="171"/>
        <v>00</v>
      </c>
      <c r="P854" s="4"/>
      <c r="Q854" s="5"/>
      <c r="R854" s="6">
        <v>516</v>
      </c>
      <c r="S854" s="5">
        <f t="shared" si="172"/>
        <v>0</v>
      </c>
      <c r="T854" s="5"/>
      <c r="U854" s="3"/>
      <c r="V854" s="3"/>
      <c r="W854" s="3"/>
    </row>
    <row r="855" spans="1:23" s="10" customFormat="1" hidden="1">
      <c r="A855" s="3"/>
      <c r="B855" s="1"/>
      <c r="C855" s="1"/>
      <c r="D855" s="1"/>
      <c r="E855" s="1"/>
      <c r="F855" s="1"/>
      <c r="G855" s="1"/>
      <c r="H855" s="2"/>
      <c r="I855" s="36"/>
      <c r="J855" s="1" t="str">
        <f t="shared" si="167"/>
        <v>0</v>
      </c>
      <c r="K855" s="3">
        <f t="shared" si="168"/>
        <v>-100</v>
      </c>
      <c r="L855" s="3">
        <f t="shared" si="169"/>
        <v>1</v>
      </c>
      <c r="M855" s="3">
        <f t="shared" si="170"/>
        <v>0</v>
      </c>
      <c r="N855" s="3" t="str">
        <f t="shared" si="171"/>
        <v>01</v>
      </c>
      <c r="O855" s="14" t="str">
        <f t="shared" si="171"/>
        <v>00</v>
      </c>
      <c r="P855" s="4"/>
      <c r="Q855" s="5"/>
      <c r="R855" s="6">
        <v>528</v>
      </c>
      <c r="S855" s="5">
        <f t="shared" si="172"/>
        <v>0</v>
      </c>
      <c r="T855" s="5"/>
      <c r="U855" s="3"/>
      <c r="V855" s="3"/>
      <c r="W855" s="3"/>
    </row>
    <row r="856" spans="1:23" s="10" customFormat="1" hidden="1">
      <c r="A856" s="3"/>
      <c r="B856" s="1"/>
      <c r="C856" s="1"/>
      <c r="D856" s="1"/>
      <c r="E856" s="1"/>
      <c r="F856" s="1"/>
      <c r="G856" s="1"/>
      <c r="H856" s="2"/>
      <c r="I856" s="36"/>
      <c r="J856" s="1" t="str">
        <f t="shared" si="167"/>
        <v>0</v>
      </c>
      <c r="K856" s="3">
        <f t="shared" si="168"/>
        <v>-100</v>
      </c>
      <c r="L856" s="3">
        <f t="shared" si="169"/>
        <v>1</v>
      </c>
      <c r="M856" s="3">
        <f t="shared" si="170"/>
        <v>0</v>
      </c>
      <c r="N856" s="3" t="str">
        <f t="shared" si="171"/>
        <v>01</v>
      </c>
      <c r="O856" s="14" t="str">
        <f t="shared" si="171"/>
        <v>00</v>
      </c>
      <c r="P856" s="4"/>
      <c r="Q856" s="5"/>
      <c r="R856" s="6">
        <v>516</v>
      </c>
      <c r="S856" s="5">
        <f t="shared" si="172"/>
        <v>0</v>
      </c>
      <c r="T856" s="5"/>
      <c r="U856" s="3"/>
      <c r="V856" s="3"/>
      <c r="W856" s="3"/>
    </row>
    <row r="857" spans="1:23" s="10" customFormat="1" hidden="1">
      <c r="A857" s="3"/>
      <c r="B857" s="1"/>
      <c r="C857" s="1"/>
      <c r="D857" s="1"/>
      <c r="E857" s="1"/>
      <c r="F857" s="1"/>
      <c r="G857" s="1"/>
      <c r="H857" s="2"/>
      <c r="I857" s="36"/>
      <c r="J857" s="1" t="str">
        <f t="shared" si="167"/>
        <v>0</v>
      </c>
      <c r="K857" s="3">
        <f t="shared" si="168"/>
        <v>-100</v>
      </c>
      <c r="L857" s="3">
        <f t="shared" si="169"/>
        <v>1</v>
      </c>
      <c r="M857" s="3">
        <f t="shared" si="170"/>
        <v>0</v>
      </c>
      <c r="N857" s="3" t="str">
        <f t="shared" si="171"/>
        <v>01</v>
      </c>
      <c r="O857" s="14" t="str">
        <f t="shared" si="171"/>
        <v>00</v>
      </c>
      <c r="P857" s="4"/>
      <c r="Q857" s="5"/>
      <c r="R857" s="6">
        <v>516</v>
      </c>
      <c r="S857" s="5">
        <f t="shared" si="172"/>
        <v>0</v>
      </c>
      <c r="T857" s="5"/>
      <c r="U857" s="3"/>
      <c r="V857" s="3"/>
      <c r="W857" s="3"/>
    </row>
    <row r="858" spans="1:23" hidden="1">
      <c r="J858" s="1" t="str">
        <f t="shared" si="167"/>
        <v>0</v>
      </c>
      <c r="K858" s="3">
        <f t="shared" si="168"/>
        <v>-100</v>
      </c>
      <c r="L858" s="3">
        <f t="shared" si="169"/>
        <v>1</v>
      </c>
      <c r="M858" s="3">
        <f t="shared" si="170"/>
        <v>0</v>
      </c>
      <c r="N858" s="3" t="str">
        <f t="shared" si="171"/>
        <v>01</v>
      </c>
      <c r="O858" s="14" t="str">
        <f t="shared" si="171"/>
        <v>00</v>
      </c>
      <c r="R858" s="6">
        <v>516</v>
      </c>
      <c r="S858" s="5">
        <f t="shared" si="172"/>
        <v>0</v>
      </c>
    </row>
    <row r="859" spans="1:23" s="42" customFormat="1" hidden="1">
      <c r="A859" s="3"/>
      <c r="B859" s="38"/>
      <c r="C859" s="38"/>
      <c r="D859" s="1"/>
      <c r="E859" s="1"/>
      <c r="F859" s="1"/>
      <c r="G859" s="38"/>
      <c r="H859" s="37"/>
      <c r="I859" s="38"/>
      <c r="J859" s="38" t="str">
        <f t="shared" si="167"/>
        <v>0</v>
      </c>
      <c r="K859" s="42">
        <f t="shared" si="168"/>
        <v>-100</v>
      </c>
      <c r="L859" s="42">
        <f t="shared" si="169"/>
        <v>1</v>
      </c>
      <c r="M859" s="42">
        <f t="shared" si="170"/>
        <v>0</v>
      </c>
      <c r="N859" s="42" t="str">
        <f t="shared" si="171"/>
        <v>01</v>
      </c>
      <c r="O859" s="50" t="str">
        <f t="shared" si="171"/>
        <v>00</v>
      </c>
      <c r="P859" s="39"/>
      <c r="Q859" s="40"/>
      <c r="R859" s="41">
        <v>516</v>
      </c>
      <c r="S859" s="40">
        <f t="shared" si="172"/>
        <v>0</v>
      </c>
      <c r="T859" s="40"/>
    </row>
    <row r="860" spans="1:23" hidden="1">
      <c r="J860" s="1" t="str">
        <f t="shared" si="167"/>
        <v>0</v>
      </c>
      <c r="K860" s="3">
        <f t="shared" si="168"/>
        <v>-100</v>
      </c>
      <c r="L860" s="3">
        <f t="shared" si="169"/>
        <v>1</v>
      </c>
      <c r="M860" s="3">
        <f t="shared" si="170"/>
        <v>0</v>
      </c>
      <c r="N860" s="3" t="str">
        <f t="shared" ref="N860:O891" si="173">+IF(L860&lt;10,_xlfn.CONCAT("0",L860),L860)</f>
        <v>01</v>
      </c>
      <c r="O860" s="14" t="str">
        <f t="shared" si="173"/>
        <v>00</v>
      </c>
      <c r="R860" s="6">
        <v>514</v>
      </c>
      <c r="S860" s="5">
        <f t="shared" si="172"/>
        <v>0</v>
      </c>
    </row>
    <row r="861" spans="1:23" hidden="1">
      <c r="J861" s="1" t="str">
        <f t="shared" si="167"/>
        <v>0</v>
      </c>
      <c r="K861" s="3">
        <f t="shared" si="168"/>
        <v>-100</v>
      </c>
      <c r="L861" s="3">
        <f t="shared" si="169"/>
        <v>1</v>
      </c>
      <c r="M861" s="3">
        <f t="shared" si="170"/>
        <v>0</v>
      </c>
      <c r="N861" s="3" t="str">
        <f t="shared" si="173"/>
        <v>01</v>
      </c>
      <c r="O861" s="14" t="str">
        <f t="shared" si="173"/>
        <v>00</v>
      </c>
      <c r="R861" s="6">
        <v>514</v>
      </c>
      <c r="S861" s="5">
        <f t="shared" si="172"/>
        <v>0</v>
      </c>
    </row>
    <row r="862" spans="1:23" hidden="1">
      <c r="J862" s="1" t="str">
        <f t="shared" si="167"/>
        <v>0</v>
      </c>
      <c r="K862" s="3">
        <f t="shared" si="168"/>
        <v>-100</v>
      </c>
      <c r="L862" s="3">
        <f t="shared" si="169"/>
        <v>1</v>
      </c>
      <c r="M862" s="3">
        <f t="shared" si="170"/>
        <v>0</v>
      </c>
      <c r="N862" s="3" t="str">
        <f t="shared" si="173"/>
        <v>01</v>
      </c>
      <c r="O862" s="14" t="str">
        <f t="shared" si="173"/>
        <v>00</v>
      </c>
      <c r="R862" s="6">
        <v>514</v>
      </c>
      <c r="S862" s="5">
        <f t="shared" si="172"/>
        <v>0</v>
      </c>
    </row>
    <row r="863" spans="1:23" hidden="1">
      <c r="J863" s="1" t="str">
        <f t="shared" si="167"/>
        <v>0</v>
      </c>
      <c r="K863" s="3">
        <f t="shared" si="168"/>
        <v>-100</v>
      </c>
      <c r="L863" s="3">
        <f t="shared" si="169"/>
        <v>1</v>
      </c>
      <c r="M863" s="3">
        <f t="shared" si="170"/>
        <v>0</v>
      </c>
      <c r="N863" s="3" t="str">
        <f t="shared" si="173"/>
        <v>01</v>
      </c>
      <c r="O863" s="14" t="str">
        <f t="shared" si="173"/>
        <v>00</v>
      </c>
      <c r="R863" s="6">
        <v>514</v>
      </c>
      <c r="S863" s="5">
        <f t="shared" si="172"/>
        <v>0</v>
      </c>
    </row>
    <row r="864" spans="1:23">
      <c r="A864" s="3">
        <v>857</v>
      </c>
      <c r="B864" s="1">
        <f t="shared" ref="B864" si="174">IF(G864="-",0,IF(G863=G864,1,0))</f>
        <v>0</v>
      </c>
      <c r="C864" s="1">
        <f t="shared" ref="C864" si="175">+IF(G864="-",0,IF(I864=I863+1,0,(IF(I864=1,0,1))))</f>
        <v>1</v>
      </c>
      <c r="D864" s="1">
        <f t="shared" ref="D864:D887" si="176">+IF(AND(P864="",Q864=""),1,0)</f>
        <v>0</v>
      </c>
      <c r="E864" s="1">
        <f t="shared" ref="E864:F887" si="177">IF(U864="",1,0)</f>
        <v>0</v>
      </c>
      <c r="F864" s="1">
        <f t="shared" si="177"/>
        <v>0</v>
      </c>
      <c r="G864" s="1" t="str">
        <f t="shared" ref="G864:G887" si="178">IF(H864=0,"-",_xlfn.CONCAT(K864,N864,O864,J864))</f>
        <v>24061405</v>
      </c>
      <c r="H864" s="2">
        <v>45457</v>
      </c>
      <c r="I864" s="36">
        <v>5</v>
      </c>
      <c r="J864" s="1" t="str">
        <f t="shared" si="167"/>
        <v>05</v>
      </c>
      <c r="K864" s="3">
        <f t="shared" si="168"/>
        <v>24</v>
      </c>
      <c r="L864" s="3">
        <f t="shared" si="169"/>
        <v>6</v>
      </c>
      <c r="M864" s="3">
        <f t="shared" si="170"/>
        <v>14</v>
      </c>
      <c r="N864" s="3" t="str">
        <f t="shared" si="173"/>
        <v>06</v>
      </c>
      <c r="O864" s="14">
        <f t="shared" si="173"/>
        <v>14</v>
      </c>
      <c r="P864" s="4">
        <v>68256.25</v>
      </c>
      <c r="R864" s="6">
        <v>514</v>
      </c>
      <c r="S864" s="5">
        <f t="shared" si="172"/>
        <v>132.79426070038912</v>
      </c>
      <c r="T864" s="5" t="s">
        <v>325</v>
      </c>
      <c r="U864" s="3" t="s">
        <v>29</v>
      </c>
      <c r="V864" s="3" t="s">
        <v>5</v>
      </c>
    </row>
    <row r="865" spans="1:23" hidden="1">
      <c r="J865" s="1" t="str">
        <f t="shared" si="167"/>
        <v>0</v>
      </c>
      <c r="K865" s="3">
        <f t="shared" si="168"/>
        <v>-100</v>
      </c>
      <c r="L865" s="3">
        <f t="shared" si="169"/>
        <v>1</v>
      </c>
      <c r="M865" s="3">
        <f t="shared" si="170"/>
        <v>0</v>
      </c>
      <c r="N865" s="3" t="str">
        <f t="shared" si="173"/>
        <v>01</v>
      </c>
      <c r="O865" s="14" t="str">
        <f t="shared" si="173"/>
        <v>00</v>
      </c>
      <c r="R865" s="6">
        <v>514</v>
      </c>
      <c r="S865" s="5">
        <f t="shared" si="172"/>
        <v>0</v>
      </c>
    </row>
    <row r="866" spans="1:23" hidden="1">
      <c r="J866" s="1" t="str">
        <f t="shared" si="167"/>
        <v>0</v>
      </c>
      <c r="K866" s="3">
        <f t="shared" si="168"/>
        <v>-100</v>
      </c>
      <c r="L866" s="3">
        <f t="shared" si="169"/>
        <v>1</v>
      </c>
      <c r="M866" s="3">
        <f t="shared" si="170"/>
        <v>0</v>
      </c>
      <c r="N866" s="3" t="str">
        <f t="shared" si="173"/>
        <v>01</v>
      </c>
      <c r="O866" s="14" t="str">
        <f t="shared" si="173"/>
        <v>00</v>
      </c>
      <c r="R866" s="6">
        <v>514</v>
      </c>
      <c r="S866" s="5">
        <f t="shared" si="172"/>
        <v>0</v>
      </c>
    </row>
    <row r="867" spans="1:23" hidden="1">
      <c r="J867" s="1" t="str">
        <f t="shared" si="167"/>
        <v>0</v>
      </c>
      <c r="K867" s="3">
        <f t="shared" si="168"/>
        <v>-100</v>
      </c>
      <c r="L867" s="3">
        <f t="shared" si="169"/>
        <v>1</v>
      </c>
      <c r="M867" s="3">
        <f t="shared" si="170"/>
        <v>0</v>
      </c>
      <c r="N867" s="3" t="str">
        <f t="shared" si="173"/>
        <v>01</v>
      </c>
      <c r="O867" s="14" t="str">
        <f t="shared" si="173"/>
        <v>00</v>
      </c>
      <c r="R867" s="6">
        <v>514</v>
      </c>
      <c r="S867" s="5">
        <f t="shared" si="172"/>
        <v>0</v>
      </c>
    </row>
    <row r="868" spans="1:23" hidden="1">
      <c r="G868" s="52"/>
      <c r="H868" s="9"/>
      <c r="J868" s="1" t="str">
        <f t="shared" si="167"/>
        <v>0</v>
      </c>
      <c r="K868" s="3">
        <f t="shared" si="168"/>
        <v>-100</v>
      </c>
      <c r="L868" s="3">
        <f t="shared" si="169"/>
        <v>1</v>
      </c>
      <c r="M868" s="3">
        <f t="shared" si="170"/>
        <v>0</v>
      </c>
      <c r="N868" s="3" t="str">
        <f t="shared" si="173"/>
        <v>01</v>
      </c>
      <c r="O868" s="14" t="str">
        <f t="shared" si="173"/>
        <v>00</v>
      </c>
      <c r="P868" s="11"/>
      <c r="Q868" s="12"/>
      <c r="R868" s="13">
        <v>514</v>
      </c>
      <c r="S868" s="5">
        <f t="shared" si="172"/>
        <v>0</v>
      </c>
      <c r="U868" s="10"/>
      <c r="V868" s="10"/>
      <c r="W868" s="10"/>
    </row>
    <row r="869" spans="1:23" hidden="1">
      <c r="G869" s="52"/>
      <c r="H869" s="9"/>
      <c r="J869" s="1" t="str">
        <f t="shared" si="167"/>
        <v>0</v>
      </c>
      <c r="K869" s="3">
        <f t="shared" si="168"/>
        <v>-100</v>
      </c>
      <c r="L869" s="3">
        <f t="shared" si="169"/>
        <v>1</v>
      </c>
      <c r="M869" s="3">
        <f t="shared" si="170"/>
        <v>0</v>
      </c>
      <c r="N869" s="3" t="str">
        <f t="shared" si="173"/>
        <v>01</v>
      </c>
      <c r="O869" s="14" t="str">
        <f t="shared" si="173"/>
        <v>00</v>
      </c>
      <c r="P869" s="11"/>
      <c r="Q869" s="12"/>
      <c r="R869" s="13">
        <v>514</v>
      </c>
      <c r="S869" s="5">
        <f t="shared" si="172"/>
        <v>0</v>
      </c>
      <c r="T869" s="12"/>
      <c r="U869" s="10"/>
      <c r="V869" s="10"/>
      <c r="W869" s="10"/>
    </row>
    <row r="870" spans="1:23" hidden="1">
      <c r="G870" s="52"/>
      <c r="H870" s="9"/>
      <c r="J870" s="1" t="str">
        <f t="shared" si="167"/>
        <v>0</v>
      </c>
      <c r="K870" s="3">
        <f t="shared" si="168"/>
        <v>-100</v>
      </c>
      <c r="L870" s="3">
        <f t="shared" si="169"/>
        <v>1</v>
      </c>
      <c r="M870" s="3">
        <f t="shared" si="170"/>
        <v>0</v>
      </c>
      <c r="N870" s="3" t="str">
        <f t="shared" si="173"/>
        <v>01</v>
      </c>
      <c r="O870" s="14" t="str">
        <f t="shared" si="173"/>
        <v>00</v>
      </c>
      <c r="P870" s="11"/>
      <c r="Q870" s="12"/>
      <c r="R870" s="13"/>
      <c r="S870" s="5">
        <v>1444.95</v>
      </c>
      <c r="T870" s="12"/>
      <c r="U870" s="10"/>
      <c r="V870" s="10"/>
      <c r="W870" s="10"/>
    </row>
    <row r="871" spans="1:23" hidden="1">
      <c r="G871" s="52"/>
      <c r="H871" s="9"/>
      <c r="J871" s="1" t="str">
        <f t="shared" si="167"/>
        <v>0</v>
      </c>
      <c r="K871" s="3">
        <f t="shared" si="168"/>
        <v>-100</v>
      </c>
      <c r="L871" s="3">
        <f t="shared" si="169"/>
        <v>1</v>
      </c>
      <c r="M871" s="3">
        <f t="shared" si="170"/>
        <v>0</v>
      </c>
      <c r="N871" s="3" t="str">
        <f t="shared" si="173"/>
        <v>01</v>
      </c>
      <c r="O871" s="14" t="str">
        <f t="shared" si="173"/>
        <v>00</v>
      </c>
      <c r="P871" s="11"/>
      <c r="Q871" s="12"/>
      <c r="R871" s="13">
        <v>514</v>
      </c>
      <c r="S871" s="5">
        <f t="shared" ref="S871:S895" si="179">IFERROR(P871/R871,"")</f>
        <v>0</v>
      </c>
      <c r="T871" s="12"/>
      <c r="U871" s="10"/>
      <c r="V871" s="10"/>
      <c r="W871" s="10"/>
    </row>
    <row r="872" spans="1:23" hidden="1">
      <c r="G872" s="52"/>
      <c r="H872" s="9"/>
      <c r="J872" s="1" t="str">
        <f t="shared" si="167"/>
        <v>0</v>
      </c>
      <c r="K872" s="3">
        <f t="shared" si="168"/>
        <v>-100</v>
      </c>
      <c r="L872" s="3">
        <f t="shared" si="169"/>
        <v>1</v>
      </c>
      <c r="M872" s="3">
        <f t="shared" si="170"/>
        <v>0</v>
      </c>
      <c r="N872" s="3" t="str">
        <f t="shared" si="173"/>
        <v>01</v>
      </c>
      <c r="O872" s="14" t="str">
        <f t="shared" si="173"/>
        <v>00</v>
      </c>
      <c r="P872" s="11"/>
      <c r="Q872" s="12"/>
      <c r="R872" s="13">
        <v>514</v>
      </c>
      <c r="S872" s="5">
        <f t="shared" si="179"/>
        <v>0</v>
      </c>
      <c r="T872" s="12"/>
      <c r="U872" s="10"/>
      <c r="V872" s="10"/>
      <c r="W872" s="10"/>
    </row>
    <row r="873" spans="1:23" hidden="1">
      <c r="G873" s="52"/>
      <c r="H873" s="9"/>
      <c r="J873" s="1" t="str">
        <f t="shared" si="167"/>
        <v>0</v>
      </c>
      <c r="K873" s="3">
        <f t="shared" si="168"/>
        <v>-100</v>
      </c>
      <c r="L873" s="3">
        <f t="shared" si="169"/>
        <v>1</v>
      </c>
      <c r="M873" s="3">
        <f t="shared" si="170"/>
        <v>0</v>
      </c>
      <c r="N873" s="3" t="str">
        <f t="shared" si="173"/>
        <v>01</v>
      </c>
      <c r="O873" s="14" t="str">
        <f t="shared" si="173"/>
        <v>00</v>
      </c>
      <c r="P873" s="11"/>
      <c r="Q873" s="12"/>
      <c r="R873" s="13">
        <v>514</v>
      </c>
      <c r="S873" s="5">
        <f t="shared" si="179"/>
        <v>0</v>
      </c>
      <c r="T873" s="12"/>
      <c r="U873" s="10"/>
      <c r="V873" s="10"/>
      <c r="W873" s="10"/>
    </row>
    <row r="874" spans="1:23" hidden="1">
      <c r="G874" s="52"/>
      <c r="H874" s="9"/>
      <c r="J874" s="1" t="str">
        <f t="shared" si="167"/>
        <v>0</v>
      </c>
      <c r="K874" s="3">
        <f t="shared" si="168"/>
        <v>-100</v>
      </c>
      <c r="L874" s="3">
        <f t="shared" si="169"/>
        <v>1</v>
      </c>
      <c r="M874" s="3">
        <f t="shared" si="170"/>
        <v>0</v>
      </c>
      <c r="N874" s="3" t="str">
        <f t="shared" si="173"/>
        <v>01</v>
      </c>
      <c r="O874" s="14" t="str">
        <f t="shared" si="173"/>
        <v>00</v>
      </c>
      <c r="P874" s="11"/>
      <c r="Q874" s="12"/>
      <c r="R874" s="13">
        <v>514</v>
      </c>
      <c r="S874" s="5">
        <f t="shared" si="179"/>
        <v>0</v>
      </c>
      <c r="T874" s="12"/>
      <c r="U874" s="10"/>
      <c r="V874" s="10"/>
      <c r="W874" s="10"/>
    </row>
    <row r="875" spans="1:23" hidden="1">
      <c r="G875" s="52"/>
      <c r="H875" s="9"/>
      <c r="J875" s="1" t="str">
        <f t="shared" si="167"/>
        <v>0</v>
      </c>
      <c r="K875" s="3">
        <f t="shared" si="168"/>
        <v>-100</v>
      </c>
      <c r="L875" s="3">
        <f t="shared" si="169"/>
        <v>1</v>
      </c>
      <c r="M875" s="3">
        <f t="shared" si="170"/>
        <v>0</v>
      </c>
      <c r="N875" s="3" t="str">
        <f t="shared" si="173"/>
        <v>01</v>
      </c>
      <c r="O875" s="14" t="str">
        <f t="shared" si="173"/>
        <v>00</v>
      </c>
      <c r="P875" s="11"/>
      <c r="Q875" s="12"/>
      <c r="R875" s="13">
        <v>514</v>
      </c>
      <c r="S875" s="5">
        <f t="shared" si="179"/>
        <v>0</v>
      </c>
      <c r="T875" s="12"/>
      <c r="U875" s="10"/>
      <c r="V875" s="10"/>
      <c r="W875" s="10"/>
    </row>
    <row r="876" spans="1:23" hidden="1">
      <c r="G876" s="52"/>
      <c r="H876" s="9"/>
      <c r="J876" s="1" t="str">
        <f t="shared" si="167"/>
        <v>0</v>
      </c>
      <c r="K876" s="3">
        <f t="shared" si="168"/>
        <v>-100</v>
      </c>
      <c r="L876" s="3">
        <f t="shared" si="169"/>
        <v>1</v>
      </c>
      <c r="M876" s="3">
        <f t="shared" si="170"/>
        <v>0</v>
      </c>
      <c r="N876" s="3" t="str">
        <f t="shared" si="173"/>
        <v>01</v>
      </c>
      <c r="O876" s="14" t="str">
        <f t="shared" si="173"/>
        <v>00</v>
      </c>
      <c r="P876" s="11"/>
      <c r="Q876" s="12"/>
      <c r="R876" s="13">
        <v>514</v>
      </c>
      <c r="S876" s="5">
        <f t="shared" si="179"/>
        <v>0</v>
      </c>
      <c r="T876" s="12"/>
      <c r="U876" s="10"/>
      <c r="V876" s="10"/>
      <c r="W876" s="10"/>
    </row>
    <row r="877" spans="1:23">
      <c r="A877" s="3">
        <v>871</v>
      </c>
      <c r="B877" s="1">
        <f t="shared" ref="B877:B887" si="180">IF(G877="-",0,IF(G876=G877,1,0))</f>
        <v>0</v>
      </c>
      <c r="C877" s="1">
        <f t="shared" ref="C877:C887" si="181">+IF(G877="-",0,IF(I877=I876+1,0,(IF(I877=1,0,1))))</f>
        <v>1</v>
      </c>
      <c r="D877" s="1">
        <f t="shared" si="176"/>
        <v>0</v>
      </c>
      <c r="E877" s="1">
        <f t="shared" si="177"/>
        <v>0</v>
      </c>
      <c r="F877" s="1">
        <f t="shared" si="177"/>
        <v>0</v>
      </c>
      <c r="G877" s="52" t="str">
        <f t="shared" si="178"/>
        <v>24061510</v>
      </c>
      <c r="H877" s="9">
        <v>45458</v>
      </c>
      <c r="I877" s="36">
        <v>10</v>
      </c>
      <c r="J877" s="1">
        <f t="shared" si="167"/>
        <v>10</v>
      </c>
      <c r="K877" s="3">
        <f t="shared" si="168"/>
        <v>24</v>
      </c>
      <c r="L877" s="3">
        <f t="shared" si="169"/>
        <v>6</v>
      </c>
      <c r="M877" s="3">
        <f t="shared" si="170"/>
        <v>15</v>
      </c>
      <c r="N877" s="3" t="str">
        <f t="shared" si="173"/>
        <v>06</v>
      </c>
      <c r="O877" s="14">
        <f t="shared" si="173"/>
        <v>15</v>
      </c>
      <c r="P877" s="11">
        <v>150000</v>
      </c>
      <c r="Q877" s="12"/>
      <c r="R877" s="13">
        <v>514</v>
      </c>
      <c r="S877" s="5">
        <f t="shared" si="179"/>
        <v>291.82879377431908</v>
      </c>
      <c r="T877" s="12" t="s">
        <v>315</v>
      </c>
      <c r="U877" s="10" t="s">
        <v>1</v>
      </c>
      <c r="V877" s="10" t="s">
        <v>5</v>
      </c>
      <c r="W877" s="10"/>
    </row>
    <row r="878" spans="1:23">
      <c r="A878" s="3">
        <v>872</v>
      </c>
      <c r="B878" s="1">
        <f t="shared" si="180"/>
        <v>0</v>
      </c>
      <c r="C878" s="1">
        <f t="shared" si="181"/>
        <v>0</v>
      </c>
      <c r="D878" s="1">
        <f t="shared" si="176"/>
        <v>0</v>
      </c>
      <c r="E878" s="1">
        <f t="shared" si="177"/>
        <v>0</v>
      </c>
      <c r="F878" s="1">
        <f t="shared" si="177"/>
        <v>0</v>
      </c>
      <c r="G878" s="52" t="str">
        <f t="shared" si="178"/>
        <v>24061511</v>
      </c>
      <c r="H878" s="9">
        <v>45458</v>
      </c>
      <c r="I878" s="36">
        <v>11</v>
      </c>
      <c r="J878" s="1">
        <f t="shared" si="167"/>
        <v>11</v>
      </c>
      <c r="K878" s="3">
        <f t="shared" si="168"/>
        <v>24</v>
      </c>
      <c r="L878" s="3">
        <f t="shared" si="169"/>
        <v>6</v>
      </c>
      <c r="M878" s="3">
        <f t="shared" si="170"/>
        <v>15</v>
      </c>
      <c r="N878" s="3" t="str">
        <f t="shared" si="173"/>
        <v>06</v>
      </c>
      <c r="O878" s="14">
        <f t="shared" si="173"/>
        <v>15</v>
      </c>
      <c r="P878" s="11">
        <v>110000</v>
      </c>
      <c r="Q878" s="12"/>
      <c r="R878" s="13">
        <v>514</v>
      </c>
      <c r="S878" s="5">
        <f t="shared" si="179"/>
        <v>214.00778210116732</v>
      </c>
      <c r="T878" s="12" t="s">
        <v>316</v>
      </c>
      <c r="U878" s="10" t="s">
        <v>1</v>
      </c>
      <c r="V878" s="10" t="s">
        <v>5</v>
      </c>
      <c r="W878" s="10"/>
    </row>
    <row r="879" spans="1:23" hidden="1">
      <c r="G879" s="52"/>
      <c r="H879" s="9"/>
      <c r="J879" s="1" t="str">
        <f t="shared" si="167"/>
        <v>0</v>
      </c>
      <c r="K879" s="3">
        <f t="shared" si="168"/>
        <v>-100</v>
      </c>
      <c r="L879" s="3">
        <f t="shared" si="169"/>
        <v>1</v>
      </c>
      <c r="M879" s="3">
        <f t="shared" si="170"/>
        <v>0</v>
      </c>
      <c r="N879" s="3" t="str">
        <f t="shared" si="173"/>
        <v>01</v>
      </c>
      <c r="O879" s="14" t="str">
        <f t="shared" si="173"/>
        <v>00</v>
      </c>
      <c r="P879" s="11"/>
      <c r="Q879" s="12"/>
      <c r="R879" s="13">
        <v>514</v>
      </c>
      <c r="S879" s="5">
        <f t="shared" si="179"/>
        <v>0</v>
      </c>
      <c r="T879" s="12"/>
      <c r="U879" s="10"/>
      <c r="V879" s="10"/>
      <c r="W879" s="10"/>
    </row>
    <row r="880" spans="1:23">
      <c r="A880" s="3">
        <v>874</v>
      </c>
      <c r="B880" s="1">
        <f t="shared" si="180"/>
        <v>0</v>
      </c>
      <c r="C880" s="1">
        <f t="shared" si="181"/>
        <v>1</v>
      </c>
      <c r="D880" s="1">
        <f t="shared" si="176"/>
        <v>0</v>
      </c>
      <c r="E880" s="1">
        <f t="shared" si="177"/>
        <v>0</v>
      </c>
      <c r="F880" s="1">
        <f t="shared" si="177"/>
        <v>0</v>
      </c>
      <c r="G880" s="52" t="str">
        <f t="shared" si="178"/>
        <v>24061513</v>
      </c>
      <c r="H880" s="9">
        <v>45458</v>
      </c>
      <c r="I880" s="36">
        <v>13</v>
      </c>
      <c r="J880" s="1">
        <f t="shared" si="167"/>
        <v>13</v>
      </c>
      <c r="K880" s="3">
        <f t="shared" si="168"/>
        <v>24</v>
      </c>
      <c r="L880" s="3">
        <f t="shared" si="169"/>
        <v>6</v>
      </c>
      <c r="M880" s="3">
        <f t="shared" si="170"/>
        <v>15</v>
      </c>
      <c r="N880" s="3" t="str">
        <f t="shared" si="173"/>
        <v>06</v>
      </c>
      <c r="O880" s="14">
        <f t="shared" si="173"/>
        <v>15</v>
      </c>
      <c r="P880" s="11">
        <v>120000</v>
      </c>
      <c r="Q880" s="12"/>
      <c r="R880" s="13">
        <v>514</v>
      </c>
      <c r="S880" s="5">
        <f t="shared" si="179"/>
        <v>233.46303501945525</v>
      </c>
      <c r="T880" s="12" t="s">
        <v>318</v>
      </c>
      <c r="U880" s="10" t="s">
        <v>1</v>
      </c>
      <c r="V880" s="10" t="s">
        <v>5</v>
      </c>
      <c r="W880" s="10"/>
    </row>
    <row r="881" spans="1:23">
      <c r="A881" s="3">
        <v>875</v>
      </c>
      <c r="B881" s="1">
        <f t="shared" si="180"/>
        <v>0</v>
      </c>
      <c r="C881" s="1">
        <f t="shared" si="181"/>
        <v>0</v>
      </c>
      <c r="D881" s="1">
        <f t="shared" si="176"/>
        <v>0</v>
      </c>
      <c r="E881" s="1">
        <f t="shared" si="177"/>
        <v>0</v>
      </c>
      <c r="F881" s="1">
        <f t="shared" si="177"/>
        <v>0</v>
      </c>
      <c r="G881" s="52" t="str">
        <f t="shared" si="178"/>
        <v>24061514</v>
      </c>
      <c r="H881" s="9">
        <v>45458</v>
      </c>
      <c r="I881" s="36">
        <v>14</v>
      </c>
      <c r="J881" s="1">
        <f t="shared" si="167"/>
        <v>14</v>
      </c>
      <c r="K881" s="3">
        <f t="shared" si="168"/>
        <v>24</v>
      </c>
      <c r="L881" s="3">
        <f t="shared" si="169"/>
        <v>6</v>
      </c>
      <c r="M881" s="3">
        <f t="shared" si="170"/>
        <v>15</v>
      </c>
      <c r="N881" s="3" t="str">
        <f t="shared" si="173"/>
        <v>06</v>
      </c>
      <c r="O881" s="14">
        <f t="shared" si="173"/>
        <v>15</v>
      </c>
      <c r="P881" s="11">
        <v>230000</v>
      </c>
      <c r="Q881" s="12"/>
      <c r="R881" s="13">
        <v>514</v>
      </c>
      <c r="S881" s="5">
        <f t="shared" si="179"/>
        <v>447.47081712062254</v>
      </c>
      <c r="T881" s="12" t="s">
        <v>319</v>
      </c>
      <c r="U881" s="10" t="s">
        <v>1</v>
      </c>
      <c r="V881" s="10" t="s">
        <v>5</v>
      </c>
      <c r="W881" s="10"/>
    </row>
    <row r="882" spans="1:23">
      <c r="A882" s="3">
        <v>876</v>
      </c>
      <c r="B882" s="1">
        <f t="shared" si="180"/>
        <v>0</v>
      </c>
      <c r="C882" s="1">
        <f t="shared" si="181"/>
        <v>0</v>
      </c>
      <c r="D882" s="1">
        <f t="shared" si="176"/>
        <v>0</v>
      </c>
      <c r="E882" s="1">
        <f t="shared" si="177"/>
        <v>0</v>
      </c>
      <c r="F882" s="1">
        <f t="shared" si="177"/>
        <v>0</v>
      </c>
      <c r="G882" s="52" t="str">
        <f t="shared" si="178"/>
        <v>24061515</v>
      </c>
      <c r="H882" s="9">
        <v>45458</v>
      </c>
      <c r="I882" s="36">
        <v>15</v>
      </c>
      <c r="J882" s="1">
        <f t="shared" si="167"/>
        <v>15</v>
      </c>
      <c r="K882" s="3">
        <f t="shared" si="168"/>
        <v>24</v>
      </c>
      <c r="L882" s="3">
        <f t="shared" si="169"/>
        <v>6</v>
      </c>
      <c r="M882" s="3">
        <f t="shared" si="170"/>
        <v>15</v>
      </c>
      <c r="N882" s="3" t="str">
        <f t="shared" si="173"/>
        <v>06</v>
      </c>
      <c r="O882" s="14">
        <f t="shared" si="173"/>
        <v>15</v>
      </c>
      <c r="P882" s="11">
        <v>90000</v>
      </c>
      <c r="Q882" s="12"/>
      <c r="R882" s="13">
        <v>514</v>
      </c>
      <c r="S882" s="5">
        <f t="shared" si="179"/>
        <v>175.09727626459144</v>
      </c>
      <c r="T882" s="12" t="s">
        <v>320</v>
      </c>
      <c r="U882" s="10" t="s">
        <v>1</v>
      </c>
      <c r="V882" s="10" t="s">
        <v>5</v>
      </c>
      <c r="W882" s="10"/>
    </row>
    <row r="883" spans="1:23" hidden="1">
      <c r="G883" s="52"/>
      <c r="H883" s="9"/>
      <c r="J883" s="1" t="str">
        <f t="shared" si="167"/>
        <v>0</v>
      </c>
      <c r="K883" s="3">
        <f t="shared" si="168"/>
        <v>-100</v>
      </c>
      <c r="L883" s="3">
        <f t="shared" si="169"/>
        <v>1</v>
      </c>
      <c r="M883" s="3">
        <f t="shared" si="170"/>
        <v>0</v>
      </c>
      <c r="N883" s="3" t="str">
        <f t="shared" si="173"/>
        <v>01</v>
      </c>
      <c r="O883" s="14" t="str">
        <f t="shared" si="173"/>
        <v>00</v>
      </c>
      <c r="P883" s="11"/>
      <c r="Q883" s="12"/>
      <c r="R883" s="13">
        <v>514</v>
      </c>
      <c r="S883" s="5">
        <f t="shared" si="179"/>
        <v>0</v>
      </c>
      <c r="T883" s="12"/>
      <c r="U883" s="10"/>
      <c r="V883" s="10"/>
      <c r="W883" s="10"/>
    </row>
    <row r="884" spans="1:23">
      <c r="A884" s="3">
        <v>878</v>
      </c>
      <c r="B884" s="1">
        <f t="shared" si="180"/>
        <v>0</v>
      </c>
      <c r="C884" s="1">
        <f t="shared" si="181"/>
        <v>1</v>
      </c>
      <c r="D884" s="1">
        <f t="shared" si="176"/>
        <v>0</v>
      </c>
      <c r="E884" s="1">
        <f t="shared" si="177"/>
        <v>0</v>
      </c>
      <c r="F884" s="1">
        <f t="shared" si="177"/>
        <v>0</v>
      </c>
      <c r="G884" s="52" t="str">
        <f t="shared" si="178"/>
        <v>24061517</v>
      </c>
      <c r="H884" s="9">
        <v>45458</v>
      </c>
      <c r="I884" s="36">
        <v>17</v>
      </c>
      <c r="J884" s="1">
        <f t="shared" si="167"/>
        <v>17</v>
      </c>
      <c r="K884" s="3">
        <f t="shared" si="168"/>
        <v>24</v>
      </c>
      <c r="L884" s="3">
        <f t="shared" si="169"/>
        <v>6</v>
      </c>
      <c r="M884" s="3">
        <f t="shared" si="170"/>
        <v>15</v>
      </c>
      <c r="N884" s="3" t="str">
        <f t="shared" si="173"/>
        <v>06</v>
      </c>
      <c r="O884" s="14">
        <f t="shared" si="173"/>
        <v>15</v>
      </c>
      <c r="P884" s="11">
        <v>120000</v>
      </c>
      <c r="Q884" s="12"/>
      <c r="R884" s="13">
        <v>514</v>
      </c>
      <c r="S884" s="5">
        <f t="shared" si="179"/>
        <v>233.46303501945525</v>
      </c>
      <c r="T884" s="12" t="s">
        <v>322</v>
      </c>
      <c r="U884" s="10" t="s">
        <v>1</v>
      </c>
      <c r="V884" s="10" t="s">
        <v>5</v>
      </c>
      <c r="W884" s="10"/>
    </row>
    <row r="885" spans="1:23" hidden="1">
      <c r="G885" s="52"/>
      <c r="H885" s="9"/>
      <c r="J885" s="1" t="str">
        <f t="shared" si="167"/>
        <v>0</v>
      </c>
      <c r="K885" s="3">
        <f t="shared" si="168"/>
        <v>-100</v>
      </c>
      <c r="L885" s="3">
        <f t="shared" si="169"/>
        <v>1</v>
      </c>
      <c r="M885" s="3">
        <f t="shared" si="170"/>
        <v>0</v>
      </c>
      <c r="N885" s="3" t="str">
        <f t="shared" si="173"/>
        <v>01</v>
      </c>
      <c r="O885" s="14" t="str">
        <f t="shared" si="173"/>
        <v>00</v>
      </c>
      <c r="P885" s="11"/>
      <c r="Q885" s="12"/>
      <c r="R885" s="13">
        <v>514</v>
      </c>
      <c r="S885" s="5">
        <f t="shared" si="179"/>
        <v>0</v>
      </c>
      <c r="T885" s="12"/>
      <c r="U885" s="10"/>
      <c r="V885" s="10"/>
      <c r="W885" s="10"/>
    </row>
    <row r="886" spans="1:23" hidden="1">
      <c r="G886" s="52"/>
      <c r="H886" s="9"/>
      <c r="J886" s="1" t="str">
        <f t="shared" si="167"/>
        <v>0</v>
      </c>
      <c r="K886" s="3">
        <f t="shared" si="168"/>
        <v>-100</v>
      </c>
      <c r="L886" s="3">
        <f t="shared" si="169"/>
        <v>1</v>
      </c>
      <c r="M886" s="3">
        <f t="shared" si="170"/>
        <v>0</v>
      </c>
      <c r="N886" s="3" t="str">
        <f t="shared" si="173"/>
        <v>01</v>
      </c>
      <c r="O886" s="14" t="str">
        <f t="shared" si="173"/>
        <v>00</v>
      </c>
      <c r="P886" s="11"/>
      <c r="Q886" s="12"/>
      <c r="R886" s="13">
        <v>514</v>
      </c>
      <c r="S886" s="5">
        <f t="shared" si="179"/>
        <v>0</v>
      </c>
      <c r="T886" s="12"/>
      <c r="U886" s="10"/>
      <c r="V886" s="10"/>
      <c r="W886" s="10"/>
    </row>
    <row r="887" spans="1:23">
      <c r="A887" s="3">
        <v>881</v>
      </c>
      <c r="B887" s="1">
        <f t="shared" si="180"/>
        <v>0</v>
      </c>
      <c r="C887" s="1">
        <f t="shared" si="181"/>
        <v>1</v>
      </c>
      <c r="D887" s="1">
        <f t="shared" si="176"/>
        <v>0</v>
      </c>
      <c r="E887" s="1">
        <f t="shared" si="177"/>
        <v>0</v>
      </c>
      <c r="F887" s="1">
        <f t="shared" si="177"/>
        <v>0</v>
      </c>
      <c r="G887" s="52" t="str">
        <f t="shared" si="178"/>
        <v>24061520</v>
      </c>
      <c r="H887" s="9">
        <v>45458</v>
      </c>
      <c r="I887" s="36">
        <v>20</v>
      </c>
      <c r="J887" s="1">
        <f t="shared" si="167"/>
        <v>20</v>
      </c>
      <c r="K887" s="3">
        <f t="shared" si="168"/>
        <v>24</v>
      </c>
      <c r="L887" s="3">
        <f t="shared" si="169"/>
        <v>6</v>
      </c>
      <c r="M887" s="3">
        <f t="shared" si="170"/>
        <v>15</v>
      </c>
      <c r="N887" s="3" t="str">
        <f t="shared" si="173"/>
        <v>06</v>
      </c>
      <c r="O887" s="14">
        <f t="shared" si="173"/>
        <v>15</v>
      </c>
      <c r="P887" s="11">
        <f>8*3*528</f>
        <v>12672</v>
      </c>
      <c r="Q887" s="12"/>
      <c r="R887" s="13">
        <v>514</v>
      </c>
      <c r="S887" s="5">
        <f t="shared" si="179"/>
        <v>24.653696498054476</v>
      </c>
      <c r="T887" s="12" t="s">
        <v>328</v>
      </c>
      <c r="U887" s="10" t="s">
        <v>1</v>
      </c>
      <c r="V887" s="10" t="s">
        <v>5</v>
      </c>
      <c r="W887" s="10"/>
    </row>
    <row r="888" spans="1:23" hidden="1">
      <c r="G888" s="52"/>
      <c r="H888" s="9"/>
      <c r="J888" s="1" t="str">
        <f t="shared" si="167"/>
        <v>0</v>
      </c>
      <c r="K888" s="3">
        <f t="shared" si="168"/>
        <v>-100</v>
      </c>
      <c r="L888" s="3">
        <f t="shared" si="169"/>
        <v>1</v>
      </c>
      <c r="M888" s="3">
        <f t="shared" si="170"/>
        <v>0</v>
      </c>
      <c r="N888" s="3" t="str">
        <f t="shared" si="173"/>
        <v>01</v>
      </c>
      <c r="O888" s="14" t="str">
        <f t="shared" si="173"/>
        <v>00</v>
      </c>
      <c r="P888" s="11"/>
      <c r="Q888" s="12"/>
      <c r="R888" s="13">
        <v>514</v>
      </c>
      <c r="S888" s="5">
        <f t="shared" si="179"/>
        <v>0</v>
      </c>
      <c r="T888" s="12"/>
      <c r="U888" s="10"/>
      <c r="V888" s="10"/>
      <c r="W888" s="10"/>
    </row>
    <row r="889" spans="1:23" hidden="1">
      <c r="G889" s="52"/>
      <c r="H889" s="9"/>
      <c r="J889" s="1" t="str">
        <f t="shared" si="167"/>
        <v>0</v>
      </c>
      <c r="K889" s="3">
        <f t="shared" si="168"/>
        <v>-100</v>
      </c>
      <c r="L889" s="3">
        <f t="shared" si="169"/>
        <v>1</v>
      </c>
      <c r="M889" s="3">
        <f t="shared" si="170"/>
        <v>0</v>
      </c>
      <c r="N889" s="3" t="str">
        <f t="shared" si="173"/>
        <v>01</v>
      </c>
      <c r="O889" s="14" t="str">
        <f t="shared" si="173"/>
        <v>00</v>
      </c>
      <c r="P889" s="11"/>
      <c r="Q889" s="12"/>
      <c r="R889" s="13">
        <v>514</v>
      </c>
      <c r="S889" s="5">
        <f t="shared" si="179"/>
        <v>0</v>
      </c>
      <c r="T889" s="12"/>
      <c r="U889" s="10"/>
      <c r="V889" s="10"/>
      <c r="W889" s="10"/>
    </row>
    <row r="890" spans="1:23" hidden="1">
      <c r="G890" s="52"/>
      <c r="H890" s="9"/>
      <c r="J890" s="1" t="str">
        <f t="shared" si="167"/>
        <v>0</v>
      </c>
      <c r="K890" s="3">
        <f t="shared" si="168"/>
        <v>-100</v>
      </c>
      <c r="L890" s="3">
        <f t="shared" si="169"/>
        <v>1</v>
      </c>
      <c r="M890" s="3">
        <f t="shared" si="170"/>
        <v>0</v>
      </c>
      <c r="N890" s="3" t="str">
        <f t="shared" si="173"/>
        <v>01</v>
      </c>
      <c r="O890" s="14" t="str">
        <f t="shared" si="173"/>
        <v>00</v>
      </c>
      <c r="P890" s="11"/>
      <c r="Q890" s="12"/>
      <c r="R890" s="13">
        <v>514</v>
      </c>
      <c r="S890" s="5">
        <f t="shared" si="179"/>
        <v>0</v>
      </c>
      <c r="T890" s="12"/>
      <c r="U890" s="10"/>
      <c r="V890" s="10"/>
      <c r="W890" s="10"/>
    </row>
    <row r="891" spans="1:23" hidden="1">
      <c r="G891" s="52"/>
      <c r="H891" s="9"/>
      <c r="J891" s="1" t="str">
        <f t="shared" si="167"/>
        <v>0</v>
      </c>
      <c r="K891" s="3">
        <f t="shared" si="168"/>
        <v>-100</v>
      </c>
      <c r="L891" s="3">
        <f t="shared" si="169"/>
        <v>1</v>
      </c>
      <c r="M891" s="3">
        <f t="shared" si="170"/>
        <v>0</v>
      </c>
      <c r="N891" s="3" t="str">
        <f t="shared" si="173"/>
        <v>01</v>
      </c>
      <c r="O891" s="14" t="str">
        <f t="shared" si="173"/>
        <v>00</v>
      </c>
      <c r="P891" s="11"/>
      <c r="Q891" s="12"/>
      <c r="R891" s="13">
        <v>514</v>
      </c>
      <c r="S891" s="5">
        <f t="shared" si="179"/>
        <v>0</v>
      </c>
      <c r="T891" s="12"/>
      <c r="U891" s="10"/>
      <c r="V891" s="10"/>
      <c r="W891" s="10"/>
    </row>
    <row r="892" spans="1:23" hidden="1">
      <c r="J892" s="1" t="str">
        <f t="shared" ref="J892:J895" si="182">+IF(I892&lt;10,_xlfn.CONCAT("0",I892),I892)</f>
        <v>0</v>
      </c>
      <c r="K892" s="3">
        <f t="shared" ref="K892:K951" si="183">+YEAR(H892)-2000</f>
        <v>-100</v>
      </c>
      <c r="L892" s="3">
        <f t="shared" ref="L892:L951" si="184">+MONTH(H892)</f>
        <v>1</v>
      </c>
      <c r="M892" s="3">
        <f t="shared" ref="M892:M951" si="185">+DAY(H892)</f>
        <v>0</v>
      </c>
      <c r="N892" s="3" t="str">
        <f t="shared" ref="N892:O923" si="186">+IF(L892&lt;10,_xlfn.CONCAT("0",L892),L892)</f>
        <v>01</v>
      </c>
      <c r="O892" s="14" t="str">
        <f t="shared" si="186"/>
        <v>00</v>
      </c>
      <c r="R892" s="6">
        <v>514</v>
      </c>
      <c r="S892" s="5">
        <f t="shared" si="179"/>
        <v>0</v>
      </c>
    </row>
    <row r="893" spans="1:23" hidden="1">
      <c r="J893" s="1" t="str">
        <f t="shared" si="182"/>
        <v>0</v>
      </c>
      <c r="K893" s="3">
        <f t="shared" si="183"/>
        <v>-100</v>
      </c>
      <c r="L893" s="3">
        <f t="shared" si="184"/>
        <v>1</v>
      </c>
      <c r="M893" s="3">
        <f t="shared" si="185"/>
        <v>0</v>
      </c>
      <c r="N893" s="3" t="str">
        <f t="shared" si="186"/>
        <v>01</v>
      </c>
      <c r="O893" s="14" t="str">
        <f t="shared" si="186"/>
        <v>00</v>
      </c>
      <c r="R893" s="6">
        <v>514</v>
      </c>
      <c r="S893" s="5">
        <f t="shared" si="179"/>
        <v>0</v>
      </c>
    </row>
    <row r="894" spans="1:23" hidden="1">
      <c r="J894" s="1" t="str">
        <f t="shared" si="182"/>
        <v>0</v>
      </c>
      <c r="K894" s="3">
        <f t="shared" si="183"/>
        <v>-100</v>
      </c>
      <c r="L894" s="3">
        <f t="shared" si="184"/>
        <v>1</v>
      </c>
      <c r="M894" s="3">
        <f t="shared" si="185"/>
        <v>0</v>
      </c>
      <c r="N894" s="3" t="str">
        <f t="shared" si="186"/>
        <v>01</v>
      </c>
      <c r="O894" s="14" t="str">
        <f t="shared" si="186"/>
        <v>00</v>
      </c>
      <c r="R894" s="6">
        <v>514</v>
      </c>
      <c r="S894" s="5">
        <f t="shared" si="179"/>
        <v>0</v>
      </c>
    </row>
    <row r="895" spans="1:23" hidden="1">
      <c r="B895" s="38"/>
      <c r="C895" s="38"/>
      <c r="G895" s="38"/>
      <c r="H895" s="37"/>
      <c r="I895" s="38"/>
      <c r="J895" s="38" t="str">
        <f t="shared" si="182"/>
        <v>0</v>
      </c>
      <c r="K895" s="42">
        <f t="shared" si="183"/>
        <v>-100</v>
      </c>
      <c r="L895" s="42">
        <f t="shared" si="184"/>
        <v>1</v>
      </c>
      <c r="M895" s="42">
        <f t="shared" si="185"/>
        <v>0</v>
      </c>
      <c r="N895" s="42" t="str">
        <f t="shared" si="186"/>
        <v>01</v>
      </c>
      <c r="O895" s="50" t="str">
        <f t="shared" si="186"/>
        <v>00</v>
      </c>
      <c r="P895" s="39"/>
      <c r="Q895" s="40"/>
      <c r="R895" s="41">
        <v>514</v>
      </c>
      <c r="S895" s="40">
        <f t="shared" si="179"/>
        <v>0</v>
      </c>
      <c r="T895" s="40"/>
      <c r="U895" s="42"/>
      <c r="V895" s="42"/>
      <c r="W895" s="42"/>
    </row>
    <row r="896" spans="1:23" s="42" customFormat="1" hidden="1">
      <c r="A896" s="3"/>
      <c r="B896" s="1"/>
      <c r="C896" s="1"/>
      <c r="D896" s="1"/>
      <c r="E896" s="1"/>
      <c r="F896" s="1"/>
      <c r="G896" s="52"/>
      <c r="H896" s="9"/>
      <c r="I896" s="36"/>
      <c r="J896" s="1"/>
      <c r="K896" s="3">
        <f t="shared" si="183"/>
        <v>-100</v>
      </c>
      <c r="L896" s="3">
        <f t="shared" si="184"/>
        <v>1</v>
      </c>
      <c r="M896" s="3">
        <f t="shared" si="185"/>
        <v>0</v>
      </c>
      <c r="N896" s="3" t="str">
        <f t="shared" si="186"/>
        <v>01</v>
      </c>
      <c r="O896" s="14" t="str">
        <f t="shared" si="186"/>
        <v>00</v>
      </c>
      <c r="P896" s="11"/>
      <c r="Q896" s="12"/>
      <c r="R896" s="13"/>
      <c r="S896" s="5"/>
      <c r="T896" s="12"/>
      <c r="U896" s="10"/>
      <c r="V896" s="10"/>
      <c r="W896" s="10"/>
    </row>
    <row r="897" spans="10:21" hidden="1">
      <c r="J897" s="1" t="str">
        <f t="shared" ref="J897:J951" si="187">+IF(I897&lt;10,_xlfn.CONCAT("0",I897),I897)</f>
        <v>0</v>
      </c>
      <c r="K897" s="3">
        <f t="shared" si="183"/>
        <v>-100</v>
      </c>
      <c r="L897" s="3">
        <f t="shared" si="184"/>
        <v>1</v>
      </c>
      <c r="M897" s="3">
        <f t="shared" si="185"/>
        <v>0</v>
      </c>
      <c r="N897" s="3" t="str">
        <f t="shared" si="186"/>
        <v>01</v>
      </c>
      <c r="O897" s="14" t="str">
        <f t="shared" si="186"/>
        <v>00</v>
      </c>
      <c r="R897" s="6">
        <v>514</v>
      </c>
      <c r="S897" s="5">
        <f t="shared" ref="S897:S946" si="188">IFERROR(P897/R897,"")</f>
        <v>0</v>
      </c>
    </row>
    <row r="898" spans="10:21" hidden="1">
      <c r="J898" s="1" t="str">
        <f t="shared" si="187"/>
        <v>0</v>
      </c>
      <c r="K898" s="3">
        <f t="shared" si="183"/>
        <v>-100</v>
      </c>
      <c r="L898" s="3">
        <f t="shared" si="184"/>
        <v>1</v>
      </c>
      <c r="M898" s="3">
        <f t="shared" si="185"/>
        <v>0</v>
      </c>
      <c r="N898" s="3" t="str">
        <f t="shared" si="186"/>
        <v>01</v>
      </c>
      <c r="O898" s="14" t="str">
        <f t="shared" si="186"/>
        <v>00</v>
      </c>
      <c r="R898" s="6">
        <v>514</v>
      </c>
      <c r="S898" s="5">
        <f t="shared" si="188"/>
        <v>0</v>
      </c>
    </row>
    <row r="899" spans="10:21" hidden="1">
      <c r="J899" s="1" t="str">
        <f t="shared" si="187"/>
        <v>0</v>
      </c>
      <c r="K899" s="3">
        <f t="shared" si="183"/>
        <v>-100</v>
      </c>
      <c r="L899" s="3">
        <f t="shared" si="184"/>
        <v>1</v>
      </c>
      <c r="M899" s="3">
        <f t="shared" si="185"/>
        <v>0</v>
      </c>
      <c r="N899" s="3" t="str">
        <f t="shared" si="186"/>
        <v>01</v>
      </c>
      <c r="O899" s="14" t="str">
        <f t="shared" si="186"/>
        <v>00</v>
      </c>
      <c r="R899" s="6">
        <v>514</v>
      </c>
      <c r="S899" s="5">
        <f t="shared" si="188"/>
        <v>0</v>
      </c>
    </row>
    <row r="900" spans="10:21" hidden="1">
      <c r="J900" s="1" t="str">
        <f t="shared" si="187"/>
        <v>0</v>
      </c>
      <c r="K900" s="3">
        <f t="shared" si="183"/>
        <v>-100</v>
      </c>
      <c r="L900" s="3">
        <f t="shared" si="184"/>
        <v>1</v>
      </c>
      <c r="M900" s="3">
        <f t="shared" si="185"/>
        <v>0</v>
      </c>
      <c r="N900" s="3" t="str">
        <f t="shared" si="186"/>
        <v>01</v>
      </c>
      <c r="O900" s="14" t="str">
        <f t="shared" si="186"/>
        <v>00</v>
      </c>
      <c r="R900" s="6">
        <v>514</v>
      </c>
      <c r="S900" s="5">
        <f t="shared" si="188"/>
        <v>0</v>
      </c>
    </row>
    <row r="901" spans="10:21" hidden="1">
      <c r="J901" s="1" t="str">
        <f t="shared" si="187"/>
        <v>0</v>
      </c>
      <c r="K901" s="3">
        <f t="shared" si="183"/>
        <v>-100</v>
      </c>
      <c r="L901" s="3">
        <f t="shared" si="184"/>
        <v>1</v>
      </c>
      <c r="M901" s="3">
        <f t="shared" si="185"/>
        <v>0</v>
      </c>
      <c r="N901" s="3" t="str">
        <f t="shared" si="186"/>
        <v>01</v>
      </c>
      <c r="O901" s="14" t="str">
        <f t="shared" si="186"/>
        <v>00</v>
      </c>
      <c r="R901" s="6">
        <v>514</v>
      </c>
      <c r="S901" s="5">
        <f t="shared" si="188"/>
        <v>0</v>
      </c>
    </row>
    <row r="902" spans="10:21" hidden="1">
      <c r="J902" s="1" t="str">
        <f t="shared" si="187"/>
        <v>0</v>
      </c>
      <c r="K902" s="3">
        <f t="shared" si="183"/>
        <v>-100</v>
      </c>
      <c r="L902" s="3">
        <f t="shared" si="184"/>
        <v>1</v>
      </c>
      <c r="M902" s="3">
        <f t="shared" si="185"/>
        <v>0</v>
      </c>
      <c r="N902" s="3" t="str">
        <f t="shared" si="186"/>
        <v>01</v>
      </c>
      <c r="O902" s="14" t="str">
        <f t="shared" si="186"/>
        <v>00</v>
      </c>
      <c r="R902" s="6">
        <v>513</v>
      </c>
      <c r="S902" s="5">
        <f t="shared" si="188"/>
        <v>0</v>
      </c>
    </row>
    <row r="903" spans="10:21" hidden="1">
      <c r="J903" s="1" t="str">
        <f t="shared" si="187"/>
        <v>0</v>
      </c>
      <c r="K903" s="3">
        <f t="shared" si="183"/>
        <v>-100</v>
      </c>
      <c r="L903" s="3">
        <f t="shared" si="184"/>
        <v>1</v>
      </c>
      <c r="M903" s="3">
        <f t="shared" si="185"/>
        <v>0</v>
      </c>
      <c r="N903" s="3" t="str">
        <f t="shared" si="186"/>
        <v>01</v>
      </c>
      <c r="O903" s="14" t="str">
        <f t="shared" si="186"/>
        <v>00</v>
      </c>
      <c r="R903" s="6">
        <v>513</v>
      </c>
      <c r="S903" s="5">
        <f t="shared" si="188"/>
        <v>0</v>
      </c>
    </row>
    <row r="904" spans="10:21" hidden="1">
      <c r="J904" s="1" t="str">
        <f t="shared" si="187"/>
        <v>0</v>
      </c>
      <c r="K904" s="3">
        <f t="shared" si="183"/>
        <v>-100</v>
      </c>
      <c r="L904" s="3">
        <f t="shared" si="184"/>
        <v>1</v>
      </c>
      <c r="M904" s="3">
        <f t="shared" si="185"/>
        <v>0</v>
      </c>
      <c r="N904" s="3" t="str">
        <f t="shared" si="186"/>
        <v>01</v>
      </c>
      <c r="O904" s="14" t="str">
        <f t="shared" si="186"/>
        <v>00</v>
      </c>
      <c r="R904" s="6">
        <v>513</v>
      </c>
      <c r="S904" s="5">
        <f t="shared" si="188"/>
        <v>0</v>
      </c>
    </row>
    <row r="905" spans="10:21" hidden="1">
      <c r="J905" s="1" t="str">
        <f t="shared" si="187"/>
        <v>0</v>
      </c>
      <c r="K905" s="3">
        <f t="shared" si="183"/>
        <v>-100</v>
      </c>
      <c r="L905" s="3">
        <f t="shared" si="184"/>
        <v>1</v>
      </c>
      <c r="M905" s="3">
        <f t="shared" si="185"/>
        <v>0</v>
      </c>
      <c r="N905" s="3" t="str">
        <f t="shared" si="186"/>
        <v>01</v>
      </c>
      <c r="O905" s="14" t="str">
        <f t="shared" si="186"/>
        <v>00</v>
      </c>
      <c r="R905" s="6">
        <v>513</v>
      </c>
      <c r="S905" s="5">
        <f t="shared" si="188"/>
        <v>0</v>
      </c>
    </row>
    <row r="906" spans="10:21" hidden="1">
      <c r="J906" s="1" t="str">
        <f t="shared" si="187"/>
        <v>0</v>
      </c>
      <c r="K906" s="3">
        <f t="shared" si="183"/>
        <v>-100</v>
      </c>
      <c r="L906" s="3">
        <f t="shared" si="184"/>
        <v>1</v>
      </c>
      <c r="M906" s="3">
        <f t="shared" si="185"/>
        <v>0</v>
      </c>
      <c r="N906" s="3" t="str">
        <f t="shared" si="186"/>
        <v>01</v>
      </c>
      <c r="O906" s="14" t="str">
        <f t="shared" si="186"/>
        <v>00</v>
      </c>
      <c r="R906" s="6">
        <v>513</v>
      </c>
      <c r="S906" s="5">
        <f t="shared" si="188"/>
        <v>0</v>
      </c>
    </row>
    <row r="907" spans="10:21" hidden="1">
      <c r="J907" s="1" t="str">
        <f t="shared" si="187"/>
        <v>0</v>
      </c>
      <c r="K907" s="3">
        <f t="shared" si="183"/>
        <v>-100</v>
      </c>
      <c r="L907" s="3">
        <f t="shared" si="184"/>
        <v>1</v>
      </c>
      <c r="M907" s="3">
        <f t="shared" si="185"/>
        <v>0</v>
      </c>
      <c r="N907" s="3" t="str">
        <f t="shared" si="186"/>
        <v>01</v>
      </c>
      <c r="O907" s="14" t="str">
        <f t="shared" si="186"/>
        <v>00</v>
      </c>
      <c r="R907" s="6">
        <v>513</v>
      </c>
      <c r="S907" s="5">
        <f t="shared" si="188"/>
        <v>0</v>
      </c>
    </row>
    <row r="908" spans="10:21" hidden="1">
      <c r="J908" s="1" t="str">
        <f t="shared" si="187"/>
        <v>0</v>
      </c>
      <c r="K908" s="3">
        <f t="shared" si="183"/>
        <v>-100</v>
      </c>
      <c r="L908" s="3">
        <f t="shared" si="184"/>
        <v>1</v>
      </c>
      <c r="M908" s="3">
        <f t="shared" si="185"/>
        <v>0</v>
      </c>
      <c r="N908" s="3" t="str">
        <f t="shared" si="186"/>
        <v>01</v>
      </c>
      <c r="O908" s="14" t="str">
        <f t="shared" si="186"/>
        <v>00</v>
      </c>
      <c r="R908" s="6">
        <v>513</v>
      </c>
      <c r="S908" s="5">
        <f t="shared" si="188"/>
        <v>0</v>
      </c>
    </row>
    <row r="909" spans="10:21" hidden="1">
      <c r="J909" s="1" t="str">
        <f t="shared" si="187"/>
        <v>0</v>
      </c>
      <c r="K909" s="3">
        <f t="shared" si="183"/>
        <v>-100</v>
      </c>
      <c r="L909" s="3">
        <f t="shared" si="184"/>
        <v>1</v>
      </c>
      <c r="M909" s="3">
        <f t="shared" si="185"/>
        <v>0</v>
      </c>
      <c r="N909" s="3" t="str">
        <f t="shared" si="186"/>
        <v>01</v>
      </c>
      <c r="O909" s="14" t="str">
        <f t="shared" si="186"/>
        <v>00</v>
      </c>
      <c r="R909" s="6">
        <v>513</v>
      </c>
      <c r="S909" s="5">
        <f t="shared" si="188"/>
        <v>0</v>
      </c>
    </row>
    <row r="910" spans="10:21" hidden="1">
      <c r="J910" s="1" t="str">
        <f t="shared" si="187"/>
        <v>0</v>
      </c>
      <c r="K910" s="3">
        <f t="shared" si="183"/>
        <v>-100</v>
      </c>
      <c r="L910" s="3">
        <f t="shared" si="184"/>
        <v>1</v>
      </c>
      <c r="M910" s="3">
        <f t="shared" si="185"/>
        <v>0</v>
      </c>
      <c r="N910" s="3" t="str">
        <f t="shared" si="186"/>
        <v>01</v>
      </c>
      <c r="O910" s="14" t="str">
        <f t="shared" si="186"/>
        <v>00</v>
      </c>
      <c r="R910" s="6">
        <v>513</v>
      </c>
      <c r="S910" s="5">
        <f t="shared" si="188"/>
        <v>0</v>
      </c>
    </row>
    <row r="911" spans="10:21" hidden="1">
      <c r="J911" s="1" t="str">
        <f t="shared" si="187"/>
        <v>0</v>
      </c>
      <c r="K911" s="3">
        <f t="shared" si="183"/>
        <v>-100</v>
      </c>
      <c r="L911" s="3">
        <f t="shared" si="184"/>
        <v>1</v>
      </c>
      <c r="M911" s="3">
        <f t="shared" si="185"/>
        <v>0</v>
      </c>
      <c r="N911" s="3" t="str">
        <f t="shared" si="186"/>
        <v>01</v>
      </c>
      <c r="O911" s="14" t="str">
        <f t="shared" si="186"/>
        <v>00</v>
      </c>
      <c r="R911" s="6">
        <v>513</v>
      </c>
      <c r="S911" s="5">
        <f t="shared" si="188"/>
        <v>0</v>
      </c>
      <c r="U911" s="56"/>
    </row>
    <row r="912" spans="10:21" hidden="1">
      <c r="J912" s="1" t="str">
        <f t="shared" si="187"/>
        <v>0</v>
      </c>
      <c r="K912" s="3">
        <f t="shared" si="183"/>
        <v>-100</v>
      </c>
      <c r="L912" s="3">
        <f t="shared" si="184"/>
        <v>1</v>
      </c>
      <c r="M912" s="3">
        <f t="shared" si="185"/>
        <v>0</v>
      </c>
      <c r="N912" s="3" t="str">
        <f t="shared" si="186"/>
        <v>01</v>
      </c>
      <c r="O912" s="14" t="str">
        <f t="shared" si="186"/>
        <v>00</v>
      </c>
      <c r="R912" s="6">
        <v>513</v>
      </c>
      <c r="S912" s="5">
        <f t="shared" si="188"/>
        <v>0</v>
      </c>
    </row>
    <row r="913" spans="10:19" hidden="1">
      <c r="J913" s="1" t="str">
        <f t="shared" si="187"/>
        <v>0</v>
      </c>
      <c r="K913" s="3">
        <f t="shared" si="183"/>
        <v>-100</v>
      </c>
      <c r="L913" s="3">
        <f t="shared" si="184"/>
        <v>1</v>
      </c>
      <c r="M913" s="3">
        <f t="shared" si="185"/>
        <v>0</v>
      </c>
      <c r="N913" s="3" t="str">
        <f t="shared" si="186"/>
        <v>01</v>
      </c>
      <c r="O913" s="14" t="str">
        <f t="shared" si="186"/>
        <v>00</v>
      </c>
      <c r="R913" s="6">
        <v>513</v>
      </c>
      <c r="S913" s="5">
        <f t="shared" si="188"/>
        <v>0</v>
      </c>
    </row>
    <row r="914" spans="10:19" hidden="1">
      <c r="J914" s="1" t="str">
        <f t="shared" si="187"/>
        <v>0</v>
      </c>
      <c r="K914" s="3">
        <f t="shared" si="183"/>
        <v>-100</v>
      </c>
      <c r="L914" s="3">
        <f t="shared" si="184"/>
        <v>1</v>
      </c>
      <c r="M914" s="3">
        <f t="shared" si="185"/>
        <v>0</v>
      </c>
      <c r="N914" s="3" t="str">
        <f t="shared" si="186"/>
        <v>01</v>
      </c>
      <c r="O914" s="14" t="str">
        <f t="shared" si="186"/>
        <v>00</v>
      </c>
      <c r="R914" s="6">
        <v>513</v>
      </c>
      <c r="S914" s="5">
        <f t="shared" si="188"/>
        <v>0</v>
      </c>
    </row>
    <row r="915" spans="10:19" hidden="1">
      <c r="J915" s="1" t="str">
        <f t="shared" si="187"/>
        <v>0</v>
      </c>
      <c r="K915" s="3">
        <f t="shared" si="183"/>
        <v>-100</v>
      </c>
      <c r="L915" s="3">
        <f t="shared" si="184"/>
        <v>1</v>
      </c>
      <c r="M915" s="3">
        <f t="shared" si="185"/>
        <v>0</v>
      </c>
      <c r="N915" s="3" t="str">
        <f t="shared" si="186"/>
        <v>01</v>
      </c>
      <c r="O915" s="14" t="str">
        <f t="shared" si="186"/>
        <v>00</v>
      </c>
      <c r="R915" s="6">
        <v>513</v>
      </c>
      <c r="S915" s="5">
        <f t="shared" si="188"/>
        <v>0</v>
      </c>
    </row>
    <row r="916" spans="10:19" hidden="1">
      <c r="J916" s="1" t="str">
        <f t="shared" si="187"/>
        <v>0</v>
      </c>
      <c r="K916" s="3">
        <f t="shared" si="183"/>
        <v>-100</v>
      </c>
      <c r="L916" s="3">
        <f t="shared" si="184"/>
        <v>1</v>
      </c>
      <c r="M916" s="3">
        <f t="shared" si="185"/>
        <v>0</v>
      </c>
      <c r="N916" s="3" t="str">
        <f t="shared" si="186"/>
        <v>01</v>
      </c>
      <c r="O916" s="14" t="str">
        <f t="shared" si="186"/>
        <v>00</v>
      </c>
      <c r="R916" s="6">
        <v>513</v>
      </c>
      <c r="S916" s="5">
        <f t="shared" si="188"/>
        <v>0</v>
      </c>
    </row>
    <row r="917" spans="10:19" hidden="1">
      <c r="J917" s="1" t="str">
        <f t="shared" si="187"/>
        <v>0</v>
      </c>
      <c r="K917" s="3">
        <f t="shared" si="183"/>
        <v>-100</v>
      </c>
      <c r="L917" s="3">
        <f t="shared" si="184"/>
        <v>1</v>
      </c>
      <c r="M917" s="3">
        <f t="shared" si="185"/>
        <v>0</v>
      </c>
      <c r="N917" s="3" t="str">
        <f t="shared" si="186"/>
        <v>01</v>
      </c>
      <c r="O917" s="14" t="str">
        <f t="shared" si="186"/>
        <v>00</v>
      </c>
      <c r="R917" s="6">
        <v>513</v>
      </c>
      <c r="S917" s="5">
        <f t="shared" si="188"/>
        <v>0</v>
      </c>
    </row>
    <row r="918" spans="10:19" hidden="1">
      <c r="J918" s="1" t="str">
        <f t="shared" si="187"/>
        <v>0</v>
      </c>
      <c r="K918" s="3">
        <f t="shared" si="183"/>
        <v>-100</v>
      </c>
      <c r="L918" s="3">
        <f t="shared" si="184"/>
        <v>1</v>
      </c>
      <c r="M918" s="3">
        <f t="shared" si="185"/>
        <v>0</v>
      </c>
      <c r="N918" s="3" t="str">
        <f t="shared" si="186"/>
        <v>01</v>
      </c>
      <c r="O918" s="14" t="str">
        <f t="shared" si="186"/>
        <v>00</v>
      </c>
      <c r="R918" s="6">
        <v>511</v>
      </c>
      <c r="S918" s="5">
        <f t="shared" si="188"/>
        <v>0</v>
      </c>
    </row>
    <row r="919" spans="10:19" hidden="1">
      <c r="J919" s="1" t="str">
        <f t="shared" si="187"/>
        <v>0</v>
      </c>
      <c r="K919" s="3">
        <f t="shared" si="183"/>
        <v>-100</v>
      </c>
      <c r="L919" s="3">
        <f t="shared" si="184"/>
        <v>1</v>
      </c>
      <c r="M919" s="3">
        <f t="shared" si="185"/>
        <v>0</v>
      </c>
      <c r="N919" s="3" t="str">
        <f t="shared" si="186"/>
        <v>01</v>
      </c>
      <c r="O919" s="14" t="str">
        <f t="shared" si="186"/>
        <v>00</v>
      </c>
      <c r="R919" s="6">
        <v>511</v>
      </c>
      <c r="S919" s="5">
        <f t="shared" si="188"/>
        <v>0</v>
      </c>
    </row>
    <row r="920" spans="10:19" hidden="1">
      <c r="J920" s="1" t="str">
        <f t="shared" si="187"/>
        <v>0</v>
      </c>
      <c r="K920" s="3">
        <f t="shared" si="183"/>
        <v>-100</v>
      </c>
      <c r="L920" s="3">
        <f t="shared" si="184"/>
        <v>1</v>
      </c>
      <c r="M920" s="3">
        <f t="shared" si="185"/>
        <v>0</v>
      </c>
      <c r="N920" s="3" t="str">
        <f t="shared" si="186"/>
        <v>01</v>
      </c>
      <c r="O920" s="14" t="str">
        <f t="shared" si="186"/>
        <v>00</v>
      </c>
      <c r="R920" s="6">
        <v>511</v>
      </c>
      <c r="S920" s="5">
        <f t="shared" si="188"/>
        <v>0</v>
      </c>
    </row>
    <row r="921" spans="10:19" hidden="1">
      <c r="J921" s="1" t="str">
        <f t="shared" si="187"/>
        <v>0</v>
      </c>
      <c r="K921" s="3">
        <f t="shared" si="183"/>
        <v>-100</v>
      </c>
      <c r="L921" s="3">
        <f t="shared" si="184"/>
        <v>1</v>
      </c>
      <c r="M921" s="3">
        <f t="shared" si="185"/>
        <v>0</v>
      </c>
      <c r="N921" s="3" t="str">
        <f t="shared" si="186"/>
        <v>01</v>
      </c>
      <c r="O921" s="14" t="str">
        <f t="shared" si="186"/>
        <v>00</v>
      </c>
      <c r="R921" s="6">
        <v>511</v>
      </c>
      <c r="S921" s="5">
        <f t="shared" si="188"/>
        <v>0</v>
      </c>
    </row>
    <row r="922" spans="10:19" hidden="1">
      <c r="J922" s="1" t="str">
        <f t="shared" si="187"/>
        <v>0</v>
      </c>
      <c r="K922" s="3">
        <f t="shared" si="183"/>
        <v>-100</v>
      </c>
      <c r="L922" s="3">
        <f t="shared" si="184"/>
        <v>1</v>
      </c>
      <c r="M922" s="3">
        <f t="shared" si="185"/>
        <v>0</v>
      </c>
      <c r="N922" s="3" t="str">
        <f t="shared" si="186"/>
        <v>01</v>
      </c>
      <c r="O922" s="14" t="str">
        <f t="shared" si="186"/>
        <v>00</v>
      </c>
      <c r="R922" s="6">
        <v>511</v>
      </c>
      <c r="S922" s="5">
        <f t="shared" si="188"/>
        <v>0</v>
      </c>
    </row>
    <row r="923" spans="10:19" hidden="1">
      <c r="J923" s="1" t="str">
        <f t="shared" si="187"/>
        <v>0</v>
      </c>
      <c r="K923" s="3">
        <f t="shared" si="183"/>
        <v>-100</v>
      </c>
      <c r="L923" s="3">
        <f t="shared" si="184"/>
        <v>1</v>
      </c>
      <c r="M923" s="3">
        <f t="shared" si="185"/>
        <v>0</v>
      </c>
      <c r="N923" s="3" t="str">
        <f t="shared" si="186"/>
        <v>01</v>
      </c>
      <c r="O923" s="14" t="str">
        <f t="shared" si="186"/>
        <v>00</v>
      </c>
      <c r="R923" s="6">
        <v>511</v>
      </c>
      <c r="S923" s="5">
        <f t="shared" si="188"/>
        <v>0</v>
      </c>
    </row>
    <row r="924" spans="10:19" hidden="1">
      <c r="J924" s="1" t="str">
        <f t="shared" si="187"/>
        <v>0</v>
      </c>
      <c r="K924" s="3">
        <f t="shared" si="183"/>
        <v>-100</v>
      </c>
      <c r="L924" s="3">
        <f t="shared" si="184"/>
        <v>1</v>
      </c>
      <c r="M924" s="3">
        <f t="shared" si="185"/>
        <v>0</v>
      </c>
      <c r="N924" s="3" t="str">
        <f t="shared" ref="N924:O951" si="189">+IF(L924&lt;10,_xlfn.CONCAT("0",L924),L924)</f>
        <v>01</v>
      </c>
      <c r="O924" s="14" t="str">
        <f t="shared" si="189"/>
        <v>00</v>
      </c>
      <c r="R924" s="6">
        <v>511</v>
      </c>
      <c r="S924" s="5">
        <f t="shared" si="188"/>
        <v>0</v>
      </c>
    </row>
    <row r="925" spans="10:19" hidden="1">
      <c r="J925" s="1" t="str">
        <f t="shared" si="187"/>
        <v>0</v>
      </c>
      <c r="K925" s="3">
        <f t="shared" si="183"/>
        <v>-100</v>
      </c>
      <c r="L925" s="3">
        <f t="shared" si="184"/>
        <v>1</v>
      </c>
      <c r="M925" s="3">
        <f t="shared" si="185"/>
        <v>0</v>
      </c>
      <c r="N925" s="3" t="str">
        <f t="shared" si="189"/>
        <v>01</v>
      </c>
      <c r="O925" s="14" t="str">
        <f t="shared" si="189"/>
        <v>00</v>
      </c>
      <c r="R925" s="6">
        <v>511</v>
      </c>
      <c r="S925" s="5">
        <f t="shared" si="188"/>
        <v>0</v>
      </c>
    </row>
    <row r="926" spans="10:19" hidden="1">
      <c r="J926" s="1" t="str">
        <f t="shared" si="187"/>
        <v>0</v>
      </c>
      <c r="K926" s="3">
        <f t="shared" si="183"/>
        <v>-100</v>
      </c>
      <c r="L926" s="3">
        <f t="shared" si="184"/>
        <v>1</v>
      </c>
      <c r="M926" s="3">
        <f t="shared" si="185"/>
        <v>0</v>
      </c>
      <c r="N926" s="3" t="str">
        <f t="shared" si="189"/>
        <v>01</v>
      </c>
      <c r="O926" s="14" t="str">
        <f t="shared" si="189"/>
        <v>00</v>
      </c>
      <c r="R926" s="6">
        <v>511</v>
      </c>
      <c r="S926" s="5">
        <f t="shared" si="188"/>
        <v>0</v>
      </c>
    </row>
    <row r="927" spans="10:19" hidden="1">
      <c r="J927" s="1" t="str">
        <f t="shared" si="187"/>
        <v>0</v>
      </c>
      <c r="K927" s="3">
        <f t="shared" si="183"/>
        <v>-100</v>
      </c>
      <c r="L927" s="3">
        <f t="shared" si="184"/>
        <v>1</v>
      </c>
      <c r="M927" s="3">
        <f t="shared" si="185"/>
        <v>0</v>
      </c>
      <c r="N927" s="3" t="str">
        <f t="shared" si="189"/>
        <v>01</v>
      </c>
      <c r="O927" s="14" t="str">
        <f t="shared" si="189"/>
        <v>00</v>
      </c>
      <c r="R927" s="6">
        <v>511</v>
      </c>
      <c r="S927" s="5">
        <f t="shared" si="188"/>
        <v>0</v>
      </c>
    </row>
    <row r="928" spans="10:19" hidden="1">
      <c r="J928" s="1" t="str">
        <f t="shared" si="187"/>
        <v>0</v>
      </c>
      <c r="K928" s="3">
        <f t="shared" si="183"/>
        <v>-100</v>
      </c>
      <c r="L928" s="3">
        <f t="shared" si="184"/>
        <v>1</v>
      </c>
      <c r="M928" s="3">
        <f t="shared" si="185"/>
        <v>0</v>
      </c>
      <c r="N928" s="3" t="str">
        <f t="shared" si="189"/>
        <v>01</v>
      </c>
      <c r="O928" s="14" t="str">
        <f t="shared" si="189"/>
        <v>00</v>
      </c>
      <c r="R928" s="6">
        <v>511</v>
      </c>
      <c r="S928" s="5">
        <f t="shared" si="188"/>
        <v>0</v>
      </c>
    </row>
    <row r="929" spans="10:20" hidden="1">
      <c r="J929" s="1" t="str">
        <f t="shared" si="187"/>
        <v>0</v>
      </c>
      <c r="K929" s="3">
        <f t="shared" si="183"/>
        <v>-100</v>
      </c>
      <c r="L929" s="3">
        <f t="shared" si="184"/>
        <v>1</v>
      </c>
      <c r="M929" s="3">
        <f t="shared" si="185"/>
        <v>0</v>
      </c>
      <c r="N929" s="3" t="str">
        <f t="shared" si="189"/>
        <v>01</v>
      </c>
      <c r="O929" s="14" t="str">
        <f t="shared" si="189"/>
        <v>00</v>
      </c>
      <c r="R929" s="6">
        <v>511</v>
      </c>
      <c r="S929" s="5">
        <f t="shared" si="188"/>
        <v>0</v>
      </c>
    </row>
    <row r="930" spans="10:20" hidden="1">
      <c r="J930" s="1" t="str">
        <f t="shared" si="187"/>
        <v>0</v>
      </c>
      <c r="K930" s="3">
        <f t="shared" si="183"/>
        <v>-100</v>
      </c>
      <c r="L930" s="3">
        <f t="shared" si="184"/>
        <v>1</v>
      </c>
      <c r="M930" s="3">
        <f t="shared" si="185"/>
        <v>0</v>
      </c>
      <c r="N930" s="3" t="str">
        <f t="shared" si="189"/>
        <v>01</v>
      </c>
      <c r="O930" s="14" t="str">
        <f t="shared" si="189"/>
        <v>00</v>
      </c>
      <c r="R930" s="6">
        <v>511</v>
      </c>
      <c r="S930" s="5">
        <f t="shared" si="188"/>
        <v>0</v>
      </c>
    </row>
    <row r="931" spans="10:20" hidden="1">
      <c r="J931" s="1" t="str">
        <f t="shared" si="187"/>
        <v>0</v>
      </c>
      <c r="K931" s="3">
        <f t="shared" si="183"/>
        <v>-100</v>
      </c>
      <c r="L931" s="3">
        <f t="shared" si="184"/>
        <v>1</v>
      </c>
      <c r="M931" s="3">
        <f t="shared" si="185"/>
        <v>0</v>
      </c>
      <c r="N931" s="3" t="str">
        <f t="shared" si="189"/>
        <v>01</v>
      </c>
      <c r="O931" s="14" t="str">
        <f t="shared" si="189"/>
        <v>00</v>
      </c>
      <c r="R931" s="6">
        <v>511</v>
      </c>
      <c r="S931" s="5">
        <f t="shared" si="188"/>
        <v>0</v>
      </c>
    </row>
    <row r="932" spans="10:20" hidden="1">
      <c r="J932" s="1" t="str">
        <f t="shared" si="187"/>
        <v>0</v>
      </c>
      <c r="K932" s="3">
        <f t="shared" si="183"/>
        <v>-100</v>
      </c>
      <c r="L932" s="3">
        <f t="shared" si="184"/>
        <v>1</v>
      </c>
      <c r="M932" s="3">
        <f t="shared" si="185"/>
        <v>0</v>
      </c>
      <c r="N932" s="3" t="str">
        <f t="shared" si="189"/>
        <v>01</v>
      </c>
      <c r="O932" s="14" t="str">
        <f t="shared" si="189"/>
        <v>00</v>
      </c>
      <c r="R932" s="6">
        <v>511</v>
      </c>
      <c r="S932" s="5">
        <f t="shared" si="188"/>
        <v>0</v>
      </c>
    </row>
    <row r="933" spans="10:20" hidden="1">
      <c r="J933" s="1" t="str">
        <f t="shared" si="187"/>
        <v>0</v>
      </c>
      <c r="K933" s="3">
        <f t="shared" si="183"/>
        <v>-100</v>
      </c>
      <c r="L933" s="3">
        <f t="shared" si="184"/>
        <v>1</v>
      </c>
      <c r="M933" s="3">
        <f t="shared" si="185"/>
        <v>0</v>
      </c>
      <c r="N933" s="3" t="str">
        <f t="shared" si="189"/>
        <v>01</v>
      </c>
      <c r="O933" s="14" t="str">
        <f t="shared" si="189"/>
        <v>00</v>
      </c>
      <c r="R933" s="6">
        <v>511</v>
      </c>
      <c r="S933" s="5">
        <f t="shared" si="188"/>
        <v>0</v>
      </c>
    </row>
    <row r="934" spans="10:20" hidden="1">
      <c r="J934" s="1" t="str">
        <f t="shared" si="187"/>
        <v>0</v>
      </c>
      <c r="K934" s="3">
        <f t="shared" si="183"/>
        <v>-100</v>
      </c>
      <c r="L934" s="3">
        <f t="shared" si="184"/>
        <v>1</v>
      </c>
      <c r="M934" s="3">
        <f t="shared" si="185"/>
        <v>0</v>
      </c>
      <c r="N934" s="3" t="str">
        <f t="shared" si="189"/>
        <v>01</v>
      </c>
      <c r="O934" s="14" t="str">
        <f t="shared" si="189"/>
        <v>00</v>
      </c>
      <c r="R934" s="6">
        <v>511</v>
      </c>
      <c r="S934" s="5">
        <f t="shared" si="188"/>
        <v>0</v>
      </c>
    </row>
    <row r="935" spans="10:20" hidden="1">
      <c r="J935" s="1" t="str">
        <f t="shared" si="187"/>
        <v>0</v>
      </c>
      <c r="K935" s="3">
        <f t="shared" si="183"/>
        <v>-100</v>
      </c>
      <c r="L935" s="3">
        <f t="shared" si="184"/>
        <v>1</v>
      </c>
      <c r="M935" s="3">
        <f t="shared" si="185"/>
        <v>0</v>
      </c>
      <c r="N935" s="3" t="str">
        <f t="shared" si="189"/>
        <v>01</v>
      </c>
      <c r="O935" s="14" t="str">
        <f t="shared" si="189"/>
        <v>00</v>
      </c>
      <c r="R935" s="6">
        <v>515</v>
      </c>
      <c r="S935" s="5">
        <f t="shared" si="188"/>
        <v>0</v>
      </c>
    </row>
    <row r="936" spans="10:20" hidden="1">
      <c r="J936" s="1" t="str">
        <f t="shared" si="187"/>
        <v>0</v>
      </c>
      <c r="K936" s="3">
        <f t="shared" si="183"/>
        <v>-100</v>
      </c>
      <c r="L936" s="3">
        <f t="shared" si="184"/>
        <v>1</v>
      </c>
      <c r="M936" s="3">
        <f t="shared" si="185"/>
        <v>0</v>
      </c>
      <c r="N936" s="3" t="str">
        <f t="shared" si="189"/>
        <v>01</v>
      </c>
      <c r="O936" s="14" t="str">
        <f t="shared" si="189"/>
        <v>00</v>
      </c>
      <c r="R936" s="6">
        <v>515</v>
      </c>
      <c r="S936" s="5">
        <f t="shared" si="188"/>
        <v>0</v>
      </c>
    </row>
    <row r="937" spans="10:20" hidden="1">
      <c r="J937" s="1" t="str">
        <f t="shared" si="187"/>
        <v>0</v>
      </c>
      <c r="K937" s="3">
        <f t="shared" si="183"/>
        <v>-100</v>
      </c>
      <c r="L937" s="3">
        <f t="shared" si="184"/>
        <v>1</v>
      </c>
      <c r="M937" s="3">
        <f t="shared" si="185"/>
        <v>0</v>
      </c>
      <c r="N937" s="3" t="str">
        <f t="shared" si="189"/>
        <v>01</v>
      </c>
      <c r="O937" s="14" t="str">
        <f t="shared" si="189"/>
        <v>00</v>
      </c>
      <c r="R937" s="6">
        <v>515</v>
      </c>
      <c r="S937" s="5">
        <f t="shared" si="188"/>
        <v>0</v>
      </c>
    </row>
    <row r="938" spans="10:20" hidden="1">
      <c r="J938" s="1" t="str">
        <f t="shared" si="187"/>
        <v>0</v>
      </c>
      <c r="K938" s="3">
        <f t="shared" si="183"/>
        <v>-100</v>
      </c>
      <c r="L938" s="3">
        <f t="shared" si="184"/>
        <v>1</v>
      </c>
      <c r="M938" s="3">
        <f t="shared" si="185"/>
        <v>0</v>
      </c>
      <c r="N938" s="3" t="str">
        <f t="shared" si="189"/>
        <v>01</v>
      </c>
      <c r="O938" s="14" t="str">
        <f t="shared" si="189"/>
        <v>00</v>
      </c>
      <c r="R938" s="6">
        <v>515</v>
      </c>
      <c r="S938" s="5">
        <f t="shared" si="188"/>
        <v>0</v>
      </c>
    </row>
    <row r="939" spans="10:20" hidden="1">
      <c r="J939" s="1" t="str">
        <f t="shared" si="187"/>
        <v>0</v>
      </c>
      <c r="K939" s="3">
        <f t="shared" si="183"/>
        <v>-100</v>
      </c>
      <c r="L939" s="3">
        <f t="shared" si="184"/>
        <v>1</v>
      </c>
      <c r="M939" s="3">
        <f t="shared" si="185"/>
        <v>0</v>
      </c>
      <c r="N939" s="3" t="str">
        <f t="shared" si="189"/>
        <v>01</v>
      </c>
      <c r="O939" s="14" t="str">
        <f t="shared" si="189"/>
        <v>00</v>
      </c>
      <c r="R939" s="6">
        <v>515</v>
      </c>
      <c r="S939" s="5">
        <f t="shared" si="188"/>
        <v>0</v>
      </c>
    </row>
    <row r="940" spans="10:20" hidden="1">
      <c r="J940" s="1" t="str">
        <f t="shared" si="187"/>
        <v>0</v>
      </c>
      <c r="K940" s="3">
        <f t="shared" si="183"/>
        <v>-100</v>
      </c>
      <c r="L940" s="3">
        <f t="shared" si="184"/>
        <v>1</v>
      </c>
      <c r="M940" s="3">
        <f t="shared" si="185"/>
        <v>0</v>
      </c>
      <c r="N940" s="3" t="str">
        <f t="shared" si="189"/>
        <v>01</v>
      </c>
      <c r="O940" s="14" t="str">
        <f t="shared" si="189"/>
        <v>00</v>
      </c>
      <c r="R940" s="6">
        <v>515</v>
      </c>
      <c r="S940" s="5">
        <f t="shared" si="188"/>
        <v>0</v>
      </c>
      <c r="T940" s="17"/>
    </row>
    <row r="941" spans="10:20" hidden="1">
      <c r="J941" s="1" t="str">
        <f t="shared" si="187"/>
        <v>0</v>
      </c>
      <c r="K941" s="3">
        <f t="shared" si="183"/>
        <v>-100</v>
      </c>
      <c r="L941" s="3">
        <f t="shared" si="184"/>
        <v>1</v>
      </c>
      <c r="M941" s="3">
        <f t="shared" si="185"/>
        <v>0</v>
      </c>
      <c r="N941" s="3" t="str">
        <f t="shared" si="189"/>
        <v>01</v>
      </c>
      <c r="O941" s="14" t="str">
        <f t="shared" si="189"/>
        <v>00</v>
      </c>
      <c r="R941" s="6">
        <v>515</v>
      </c>
      <c r="S941" s="5">
        <f t="shared" si="188"/>
        <v>0</v>
      </c>
    </row>
    <row r="942" spans="10:20" hidden="1">
      <c r="J942" s="1" t="str">
        <f t="shared" si="187"/>
        <v>0</v>
      </c>
      <c r="K942" s="3">
        <f t="shared" si="183"/>
        <v>-100</v>
      </c>
      <c r="L942" s="3">
        <f t="shared" si="184"/>
        <v>1</v>
      </c>
      <c r="M942" s="3">
        <f t="shared" si="185"/>
        <v>0</v>
      </c>
      <c r="N942" s="3" t="str">
        <f t="shared" si="189"/>
        <v>01</v>
      </c>
      <c r="O942" s="14" t="str">
        <f t="shared" si="189"/>
        <v>00</v>
      </c>
      <c r="R942" s="6">
        <v>519</v>
      </c>
      <c r="S942" s="5">
        <f t="shared" si="188"/>
        <v>0</v>
      </c>
    </row>
    <row r="943" spans="10:20" hidden="1">
      <c r="J943" s="1" t="str">
        <f t="shared" si="187"/>
        <v>0</v>
      </c>
      <c r="K943" s="3">
        <f t="shared" si="183"/>
        <v>-100</v>
      </c>
      <c r="L943" s="3">
        <f t="shared" si="184"/>
        <v>1</v>
      </c>
      <c r="M943" s="3">
        <f t="shared" si="185"/>
        <v>0</v>
      </c>
      <c r="N943" s="3" t="str">
        <f t="shared" si="189"/>
        <v>01</v>
      </c>
      <c r="O943" s="14" t="str">
        <f t="shared" si="189"/>
        <v>00</v>
      </c>
      <c r="S943" s="5" t="str">
        <f t="shared" si="188"/>
        <v/>
      </c>
    </row>
    <row r="944" spans="10:20" hidden="1">
      <c r="J944" s="1" t="str">
        <f t="shared" si="187"/>
        <v>0</v>
      </c>
      <c r="K944" s="3">
        <f t="shared" si="183"/>
        <v>-100</v>
      </c>
      <c r="L944" s="3">
        <f t="shared" si="184"/>
        <v>1</v>
      </c>
      <c r="M944" s="3">
        <f t="shared" si="185"/>
        <v>0</v>
      </c>
      <c r="N944" s="3" t="str">
        <f t="shared" si="189"/>
        <v>01</v>
      </c>
      <c r="O944" s="14" t="str">
        <f t="shared" si="189"/>
        <v>00</v>
      </c>
      <c r="S944" s="5" t="str">
        <f t="shared" si="188"/>
        <v/>
      </c>
    </row>
    <row r="945" spans="8:22" hidden="1">
      <c r="J945" s="1" t="str">
        <f t="shared" si="187"/>
        <v>0</v>
      </c>
      <c r="K945" s="3">
        <f t="shared" si="183"/>
        <v>-100</v>
      </c>
      <c r="L945" s="3">
        <f t="shared" si="184"/>
        <v>1</v>
      </c>
      <c r="M945" s="3">
        <f t="shared" si="185"/>
        <v>0</v>
      </c>
      <c r="N945" s="3" t="str">
        <f t="shared" si="189"/>
        <v>01</v>
      </c>
      <c r="O945" s="14" t="str">
        <f t="shared" si="189"/>
        <v>00</v>
      </c>
      <c r="R945" s="6">
        <v>519</v>
      </c>
      <c r="S945" s="5">
        <f t="shared" si="188"/>
        <v>0</v>
      </c>
    </row>
    <row r="946" spans="8:22" hidden="1">
      <c r="J946" s="1" t="str">
        <f t="shared" si="187"/>
        <v>0</v>
      </c>
      <c r="K946" s="3">
        <f t="shared" si="183"/>
        <v>-100</v>
      </c>
      <c r="L946" s="3">
        <f t="shared" si="184"/>
        <v>1</v>
      </c>
      <c r="M946" s="3">
        <f t="shared" si="185"/>
        <v>0</v>
      </c>
      <c r="N946" s="3" t="str">
        <f t="shared" si="189"/>
        <v>01</v>
      </c>
      <c r="O946" s="14" t="str">
        <f t="shared" si="189"/>
        <v>00</v>
      </c>
      <c r="R946" s="6">
        <v>519</v>
      </c>
      <c r="S946" s="5">
        <f t="shared" si="188"/>
        <v>0</v>
      </c>
    </row>
    <row r="947" spans="8:22" hidden="1">
      <c r="J947" s="1" t="str">
        <f t="shared" si="187"/>
        <v>0</v>
      </c>
      <c r="K947" s="3">
        <f t="shared" si="183"/>
        <v>-100</v>
      </c>
      <c r="L947" s="3">
        <f t="shared" si="184"/>
        <v>1</v>
      </c>
      <c r="M947" s="3">
        <f t="shared" si="185"/>
        <v>0</v>
      </c>
      <c r="N947" s="3" t="str">
        <f t="shared" si="189"/>
        <v>01</v>
      </c>
      <c r="O947" s="14" t="str">
        <f t="shared" si="189"/>
        <v>00</v>
      </c>
      <c r="R947" s="6">
        <v>519</v>
      </c>
      <c r="S947" s="5">
        <v>770.71</v>
      </c>
    </row>
    <row r="948" spans="8:22" hidden="1">
      <c r="J948" s="1" t="str">
        <f t="shared" si="187"/>
        <v>0</v>
      </c>
      <c r="K948" s="3">
        <f t="shared" si="183"/>
        <v>-100</v>
      </c>
      <c r="L948" s="3">
        <f t="shared" si="184"/>
        <v>1</v>
      </c>
      <c r="M948" s="3">
        <f t="shared" si="185"/>
        <v>0</v>
      </c>
      <c r="N948" s="3" t="str">
        <f t="shared" si="189"/>
        <v>01</v>
      </c>
      <c r="O948" s="14" t="str">
        <f t="shared" si="189"/>
        <v>00</v>
      </c>
      <c r="R948" s="6">
        <v>519</v>
      </c>
    </row>
    <row r="949" spans="8:22" hidden="1">
      <c r="J949" s="1" t="str">
        <f t="shared" si="187"/>
        <v>0</v>
      </c>
      <c r="K949" s="3">
        <f t="shared" si="183"/>
        <v>-100</v>
      </c>
      <c r="L949" s="3">
        <f t="shared" si="184"/>
        <v>1</v>
      </c>
      <c r="M949" s="3">
        <f t="shared" si="185"/>
        <v>0</v>
      </c>
      <c r="N949" s="3" t="str">
        <f t="shared" si="189"/>
        <v>01</v>
      </c>
      <c r="O949" s="14" t="str">
        <f t="shared" si="189"/>
        <v>00</v>
      </c>
      <c r="R949" s="6">
        <v>519</v>
      </c>
    </row>
    <row r="950" spans="8:22" hidden="1">
      <c r="J950" s="1" t="str">
        <f t="shared" si="187"/>
        <v>0</v>
      </c>
      <c r="K950" s="3">
        <f t="shared" si="183"/>
        <v>-100</v>
      </c>
      <c r="L950" s="3">
        <f t="shared" si="184"/>
        <v>1</v>
      </c>
      <c r="M950" s="3">
        <f t="shared" si="185"/>
        <v>0</v>
      </c>
      <c r="N950" s="3" t="str">
        <f t="shared" si="189"/>
        <v>01</v>
      </c>
      <c r="O950" s="14" t="str">
        <f t="shared" si="189"/>
        <v>00</v>
      </c>
      <c r="R950" s="6">
        <v>519</v>
      </c>
    </row>
    <row r="951" spans="8:22" hidden="1">
      <c r="J951" s="1" t="str">
        <f t="shared" si="187"/>
        <v>0</v>
      </c>
      <c r="K951" s="3">
        <f t="shared" si="183"/>
        <v>-100</v>
      </c>
      <c r="L951" s="3">
        <f t="shared" si="184"/>
        <v>1</v>
      </c>
      <c r="M951" s="3">
        <f t="shared" si="185"/>
        <v>0</v>
      </c>
      <c r="N951" s="3" t="str">
        <f t="shared" si="189"/>
        <v>01</v>
      </c>
      <c r="O951" s="14" t="str">
        <f t="shared" si="189"/>
        <v>00</v>
      </c>
      <c r="R951" s="6">
        <v>519</v>
      </c>
    </row>
    <row r="952" spans="8:22" hidden="1"/>
    <row r="953" spans="8:22" hidden="1">
      <c r="K953" s="3">
        <f t="shared" ref="K953:K1016" si="190">+YEAR(H953)-2000</f>
        <v>-100</v>
      </c>
      <c r="L953" s="3">
        <f t="shared" ref="L953:L1016" si="191">+MONTH(H953)</f>
        <v>1</v>
      </c>
      <c r="M953" s="3">
        <f t="shared" ref="M953:M1016" si="192">+DAY(H953)</f>
        <v>0</v>
      </c>
      <c r="N953" s="3" t="str">
        <f t="shared" ref="N953:O984" si="193">+IF(L953&lt;10,_xlfn.CONCAT("0",L953),L953)</f>
        <v>01</v>
      </c>
      <c r="O953" s="14" t="str">
        <f t="shared" si="193"/>
        <v>00</v>
      </c>
    </row>
    <row r="954" spans="8:22" hidden="1">
      <c r="J954" s="1" t="str">
        <f t="shared" ref="J954:J1017" si="194">+IF(I954&lt;10,_xlfn.CONCAT("0",I954),I954)</f>
        <v>0</v>
      </c>
      <c r="K954" s="3">
        <f t="shared" si="190"/>
        <v>-100</v>
      </c>
      <c r="L954" s="3">
        <f t="shared" si="191"/>
        <v>1</v>
      </c>
      <c r="M954" s="3">
        <f t="shared" si="192"/>
        <v>0</v>
      </c>
      <c r="N954" s="3" t="str">
        <f t="shared" si="193"/>
        <v>01</v>
      </c>
      <c r="O954" s="14" t="str">
        <f t="shared" si="193"/>
        <v>00</v>
      </c>
      <c r="R954" s="6">
        <v>519</v>
      </c>
    </row>
    <row r="955" spans="8:22" hidden="1">
      <c r="H955" s="59"/>
      <c r="J955" s="1" t="str">
        <f t="shared" si="194"/>
        <v>0</v>
      </c>
      <c r="K955" s="3">
        <f t="shared" si="190"/>
        <v>-100</v>
      </c>
      <c r="L955" s="3">
        <f t="shared" si="191"/>
        <v>1</v>
      </c>
      <c r="M955" s="3">
        <f t="shared" si="192"/>
        <v>0</v>
      </c>
      <c r="N955" s="3" t="str">
        <f t="shared" si="193"/>
        <v>01</v>
      </c>
      <c r="O955" s="14" t="str">
        <f t="shared" si="193"/>
        <v>00</v>
      </c>
      <c r="P955" s="60"/>
      <c r="Q955" s="61"/>
      <c r="R955" s="62">
        <v>519</v>
      </c>
      <c r="S955" s="61"/>
      <c r="T955" s="61"/>
      <c r="U955" s="63"/>
      <c r="V955" s="63"/>
    </row>
    <row r="956" spans="8:22" hidden="1">
      <c r="H956" s="59"/>
      <c r="J956" s="1" t="str">
        <f t="shared" si="194"/>
        <v>0</v>
      </c>
      <c r="K956" s="3">
        <f t="shared" si="190"/>
        <v>-100</v>
      </c>
      <c r="L956" s="3">
        <f t="shared" si="191"/>
        <v>1</v>
      </c>
      <c r="M956" s="3">
        <f t="shared" si="192"/>
        <v>0</v>
      </c>
      <c r="N956" s="3" t="str">
        <f t="shared" si="193"/>
        <v>01</v>
      </c>
      <c r="O956" s="14" t="str">
        <f t="shared" si="193"/>
        <v>00</v>
      </c>
      <c r="P956" s="60"/>
      <c r="Q956" s="61"/>
      <c r="R956" s="62">
        <v>519</v>
      </c>
      <c r="S956" s="61"/>
      <c r="T956" s="61"/>
      <c r="U956" s="63"/>
      <c r="V956" s="63"/>
    </row>
    <row r="957" spans="8:22" hidden="1">
      <c r="H957" s="59"/>
      <c r="J957" s="1" t="str">
        <f t="shared" si="194"/>
        <v>0</v>
      </c>
      <c r="K957" s="3">
        <f t="shared" si="190"/>
        <v>-100</v>
      </c>
      <c r="L957" s="3">
        <f t="shared" si="191"/>
        <v>1</v>
      </c>
      <c r="M957" s="3">
        <f t="shared" si="192"/>
        <v>0</v>
      </c>
      <c r="N957" s="3" t="str">
        <f t="shared" si="193"/>
        <v>01</v>
      </c>
      <c r="O957" s="14" t="str">
        <f t="shared" si="193"/>
        <v>00</v>
      </c>
      <c r="P957" s="60"/>
      <c r="Q957" s="61"/>
      <c r="R957" s="62">
        <v>519</v>
      </c>
      <c r="S957" s="61"/>
      <c r="T957" s="61"/>
      <c r="U957" s="63"/>
      <c r="V957" s="63"/>
    </row>
    <row r="958" spans="8:22" hidden="1">
      <c r="H958" s="59"/>
      <c r="J958" s="1" t="str">
        <f t="shared" si="194"/>
        <v>0</v>
      </c>
      <c r="K958" s="3">
        <f t="shared" si="190"/>
        <v>-100</v>
      </c>
      <c r="L958" s="3">
        <f t="shared" si="191"/>
        <v>1</v>
      </c>
      <c r="M958" s="3">
        <f t="shared" si="192"/>
        <v>0</v>
      </c>
      <c r="N958" s="3" t="str">
        <f t="shared" si="193"/>
        <v>01</v>
      </c>
      <c r="O958" s="14" t="str">
        <f t="shared" si="193"/>
        <v>00</v>
      </c>
      <c r="P958" s="60"/>
      <c r="Q958" s="61"/>
      <c r="R958" s="62">
        <v>519</v>
      </c>
      <c r="S958" s="61"/>
      <c r="T958" s="61"/>
      <c r="U958" s="63"/>
      <c r="V958" s="63"/>
    </row>
    <row r="959" spans="8:22" hidden="1">
      <c r="H959" s="59"/>
      <c r="J959" s="1" t="str">
        <f t="shared" si="194"/>
        <v>0</v>
      </c>
      <c r="K959" s="3">
        <f t="shared" si="190"/>
        <v>-100</v>
      </c>
      <c r="L959" s="3">
        <f t="shared" si="191"/>
        <v>1</v>
      </c>
      <c r="M959" s="3">
        <f t="shared" si="192"/>
        <v>0</v>
      </c>
      <c r="N959" s="3" t="str">
        <f t="shared" si="193"/>
        <v>01</v>
      </c>
      <c r="O959" s="14" t="str">
        <f t="shared" si="193"/>
        <v>00</v>
      </c>
      <c r="P959" s="60"/>
      <c r="Q959" s="61"/>
      <c r="R959" s="62">
        <v>519</v>
      </c>
      <c r="S959" s="61"/>
      <c r="T959" s="61"/>
      <c r="U959" s="63"/>
      <c r="V959" s="63"/>
    </row>
    <row r="960" spans="8:22" hidden="1">
      <c r="H960" s="59"/>
      <c r="J960" s="1" t="str">
        <f t="shared" si="194"/>
        <v>0</v>
      </c>
      <c r="K960" s="3">
        <f t="shared" si="190"/>
        <v>-100</v>
      </c>
      <c r="L960" s="3">
        <f t="shared" si="191"/>
        <v>1</v>
      </c>
      <c r="M960" s="3">
        <f t="shared" si="192"/>
        <v>0</v>
      </c>
      <c r="N960" s="3" t="str">
        <f t="shared" si="193"/>
        <v>01</v>
      </c>
      <c r="O960" s="14" t="str">
        <f t="shared" si="193"/>
        <v>00</v>
      </c>
      <c r="P960" s="60"/>
      <c r="Q960" s="61"/>
      <c r="R960" s="62">
        <v>519</v>
      </c>
      <c r="S960" s="61"/>
      <c r="T960" s="61"/>
      <c r="U960" s="63"/>
      <c r="V960" s="63"/>
    </row>
    <row r="961" spans="1:22">
      <c r="A961" s="3">
        <v>954</v>
      </c>
      <c r="B961" s="1">
        <f t="shared" ref="B961:B971" si="195">IF(G961="-",0,IF(G960=G961,1,0))</f>
        <v>0</v>
      </c>
      <c r="C961" s="1">
        <f t="shared" ref="C961:C971" si="196">+IF(G961="-",0,IF(I961=I960+1,0,(IF(I961=1,0,1))))</f>
        <v>1</v>
      </c>
      <c r="D961" s="1">
        <f t="shared" ref="D961:D971" si="197">+IF(AND(P961="",Q961=""),1,0)</f>
        <v>0</v>
      </c>
      <c r="E961" s="1">
        <f t="shared" ref="E961:F971" si="198">IF(U961="",1,0)</f>
        <v>0</v>
      </c>
      <c r="F961" s="1">
        <f t="shared" si="198"/>
        <v>0</v>
      </c>
      <c r="G961" s="1" t="str">
        <f t="shared" ref="G961:G971" si="199">IF(H961=0,"-",_xlfn.CONCAT(K961,N961,O961,J961))</f>
        <v>24062208</v>
      </c>
      <c r="H961" s="59">
        <v>45465</v>
      </c>
      <c r="I961" s="36">
        <v>8</v>
      </c>
      <c r="J961" s="1" t="str">
        <f t="shared" si="194"/>
        <v>08</v>
      </c>
      <c r="K961" s="3">
        <f t="shared" si="190"/>
        <v>24</v>
      </c>
      <c r="L961" s="3">
        <f t="shared" si="191"/>
        <v>6</v>
      </c>
      <c r="M961" s="3">
        <f t="shared" si="192"/>
        <v>22</v>
      </c>
      <c r="N961" s="3" t="str">
        <f t="shared" si="193"/>
        <v>06</v>
      </c>
      <c r="O961" s="14">
        <f t="shared" si="193"/>
        <v>22</v>
      </c>
      <c r="P961" s="60">
        <v>120000</v>
      </c>
      <c r="Q961" s="61"/>
      <c r="R961" s="62">
        <v>519</v>
      </c>
      <c r="S961" s="61"/>
      <c r="T961" s="61" t="s">
        <v>339</v>
      </c>
      <c r="U961" s="63" t="s">
        <v>1</v>
      </c>
      <c r="V961" s="63" t="s">
        <v>5</v>
      </c>
    </row>
    <row r="962" spans="1:22" hidden="1">
      <c r="H962" s="59"/>
      <c r="J962" s="1" t="str">
        <f t="shared" si="194"/>
        <v>0</v>
      </c>
      <c r="K962" s="3">
        <f t="shared" si="190"/>
        <v>-100</v>
      </c>
      <c r="L962" s="3">
        <f t="shared" si="191"/>
        <v>1</v>
      </c>
      <c r="M962" s="3">
        <f t="shared" si="192"/>
        <v>0</v>
      </c>
      <c r="N962" s="3" t="str">
        <f t="shared" si="193"/>
        <v>01</v>
      </c>
      <c r="O962" s="14" t="str">
        <f t="shared" si="193"/>
        <v>00</v>
      </c>
      <c r="P962" s="60"/>
      <c r="Q962" s="61"/>
      <c r="R962" s="62">
        <v>519</v>
      </c>
      <c r="S962" s="61"/>
      <c r="T962" s="61"/>
      <c r="U962" s="63"/>
      <c r="V962" s="63"/>
    </row>
    <row r="963" spans="1:22">
      <c r="A963" s="3">
        <v>956</v>
      </c>
      <c r="B963" s="1">
        <f t="shared" si="195"/>
        <v>0</v>
      </c>
      <c r="C963" s="1">
        <f t="shared" si="196"/>
        <v>1</v>
      </c>
      <c r="D963" s="1">
        <f t="shared" si="197"/>
        <v>0</v>
      </c>
      <c r="E963" s="1">
        <f t="shared" si="198"/>
        <v>0</v>
      </c>
      <c r="F963" s="1">
        <f t="shared" si="198"/>
        <v>0</v>
      </c>
      <c r="G963" s="1" t="str">
        <f t="shared" si="199"/>
        <v>24062210</v>
      </c>
      <c r="H963" s="59">
        <v>45465</v>
      </c>
      <c r="I963" s="36">
        <v>10</v>
      </c>
      <c r="J963" s="1">
        <f t="shared" si="194"/>
        <v>10</v>
      </c>
      <c r="K963" s="3">
        <f t="shared" si="190"/>
        <v>24</v>
      </c>
      <c r="L963" s="3">
        <f t="shared" si="191"/>
        <v>6</v>
      </c>
      <c r="M963" s="3">
        <f t="shared" si="192"/>
        <v>22</v>
      </c>
      <c r="N963" s="3" t="str">
        <f t="shared" si="193"/>
        <v>06</v>
      </c>
      <c r="O963" s="14">
        <f t="shared" si="193"/>
        <v>22</v>
      </c>
      <c r="P963" s="60">
        <v>110000</v>
      </c>
      <c r="Q963" s="61"/>
      <c r="R963" s="62">
        <v>519</v>
      </c>
      <c r="S963" s="61"/>
      <c r="T963" s="61" t="s">
        <v>341</v>
      </c>
      <c r="U963" s="63" t="s">
        <v>1</v>
      </c>
      <c r="V963" s="63" t="s">
        <v>5</v>
      </c>
    </row>
    <row r="964" spans="1:22">
      <c r="A964" s="3">
        <v>957</v>
      </c>
      <c r="B964" s="1">
        <f t="shared" si="195"/>
        <v>0</v>
      </c>
      <c r="C964" s="1">
        <f t="shared" si="196"/>
        <v>0</v>
      </c>
      <c r="D964" s="1">
        <f t="shared" si="197"/>
        <v>0</v>
      </c>
      <c r="E964" s="1">
        <f t="shared" si="198"/>
        <v>0</v>
      </c>
      <c r="F964" s="1">
        <f t="shared" si="198"/>
        <v>0</v>
      </c>
      <c r="G964" s="1" t="str">
        <f t="shared" si="199"/>
        <v>24062211</v>
      </c>
      <c r="H964" s="59">
        <v>45465</v>
      </c>
      <c r="I964" s="36">
        <v>11</v>
      </c>
      <c r="J964" s="1">
        <f t="shared" si="194"/>
        <v>11</v>
      </c>
      <c r="K964" s="3">
        <f t="shared" si="190"/>
        <v>24</v>
      </c>
      <c r="L964" s="3">
        <f t="shared" si="191"/>
        <v>6</v>
      </c>
      <c r="M964" s="3">
        <f t="shared" si="192"/>
        <v>22</v>
      </c>
      <c r="N964" s="3" t="str">
        <f t="shared" si="193"/>
        <v>06</v>
      </c>
      <c r="O964" s="14">
        <f t="shared" si="193"/>
        <v>22</v>
      </c>
      <c r="P964" s="60">
        <v>150000</v>
      </c>
      <c r="Q964" s="61"/>
      <c r="R964" s="62">
        <v>519</v>
      </c>
      <c r="S964" s="61"/>
      <c r="T964" s="61" t="s">
        <v>338</v>
      </c>
      <c r="U964" s="63" t="s">
        <v>1</v>
      </c>
      <c r="V964" s="63" t="s">
        <v>5</v>
      </c>
    </row>
    <row r="965" spans="1:22" hidden="1">
      <c r="H965" s="59"/>
      <c r="J965" s="1" t="str">
        <f t="shared" si="194"/>
        <v>0</v>
      </c>
      <c r="K965" s="3">
        <f t="shared" si="190"/>
        <v>-100</v>
      </c>
      <c r="L965" s="3">
        <f t="shared" si="191"/>
        <v>1</v>
      </c>
      <c r="M965" s="3">
        <f t="shared" si="192"/>
        <v>0</v>
      </c>
      <c r="N965" s="3" t="str">
        <f t="shared" si="193"/>
        <v>01</v>
      </c>
      <c r="O965" s="14" t="str">
        <f t="shared" si="193"/>
        <v>00</v>
      </c>
      <c r="P965" s="60"/>
      <c r="Q965" s="61"/>
      <c r="R965" s="62">
        <v>519</v>
      </c>
      <c r="S965" s="61"/>
      <c r="T965" s="61"/>
      <c r="U965" s="63"/>
      <c r="V965" s="63"/>
    </row>
    <row r="966" spans="1:22">
      <c r="A966" s="3">
        <v>959</v>
      </c>
      <c r="B966" s="1">
        <f t="shared" si="195"/>
        <v>0</v>
      </c>
      <c r="C966" s="1">
        <f t="shared" si="196"/>
        <v>1</v>
      </c>
      <c r="D966" s="1">
        <f t="shared" si="197"/>
        <v>0</v>
      </c>
      <c r="E966" s="1">
        <f t="shared" si="198"/>
        <v>0</v>
      </c>
      <c r="F966" s="1">
        <f t="shared" si="198"/>
        <v>0</v>
      </c>
      <c r="G966" s="1" t="str">
        <f t="shared" si="199"/>
        <v>24062213</v>
      </c>
      <c r="H966" s="59">
        <v>45465</v>
      </c>
      <c r="I966" s="36">
        <v>13</v>
      </c>
      <c r="J966" s="1">
        <f t="shared" si="194"/>
        <v>13</v>
      </c>
      <c r="K966" s="3">
        <f t="shared" si="190"/>
        <v>24</v>
      </c>
      <c r="L966" s="3">
        <f t="shared" si="191"/>
        <v>6</v>
      </c>
      <c r="M966" s="3">
        <f t="shared" si="192"/>
        <v>22</v>
      </c>
      <c r="N966" s="3" t="str">
        <f t="shared" si="193"/>
        <v>06</v>
      </c>
      <c r="O966" s="14">
        <f t="shared" si="193"/>
        <v>22</v>
      </c>
      <c r="P966" s="60">
        <v>120000</v>
      </c>
      <c r="Q966" s="61"/>
      <c r="R966" s="62">
        <v>519</v>
      </c>
      <c r="S966" s="61"/>
      <c r="T966" s="61" t="s">
        <v>340</v>
      </c>
      <c r="U966" s="63" t="s">
        <v>1</v>
      </c>
      <c r="V966" s="63" t="s">
        <v>5</v>
      </c>
    </row>
    <row r="967" spans="1:22">
      <c r="A967" s="3">
        <v>960</v>
      </c>
      <c r="B967" s="1">
        <f t="shared" si="195"/>
        <v>0</v>
      </c>
      <c r="C967" s="1">
        <f t="shared" si="196"/>
        <v>0</v>
      </c>
      <c r="D967" s="1">
        <f t="shared" si="197"/>
        <v>0</v>
      </c>
      <c r="E967" s="1">
        <f t="shared" si="198"/>
        <v>0</v>
      </c>
      <c r="F967" s="1">
        <f t="shared" si="198"/>
        <v>0</v>
      </c>
      <c r="G967" s="1" t="str">
        <f t="shared" si="199"/>
        <v>24062214</v>
      </c>
      <c r="H967" s="59">
        <v>45465</v>
      </c>
      <c r="I967" s="36">
        <v>14</v>
      </c>
      <c r="J967" s="1">
        <f t="shared" si="194"/>
        <v>14</v>
      </c>
      <c r="K967" s="3">
        <f t="shared" si="190"/>
        <v>24</v>
      </c>
      <c r="L967" s="3">
        <f t="shared" si="191"/>
        <v>6</v>
      </c>
      <c r="M967" s="3">
        <f t="shared" si="192"/>
        <v>22</v>
      </c>
      <c r="N967" s="3" t="str">
        <f t="shared" si="193"/>
        <v>06</v>
      </c>
      <c r="O967" s="14">
        <f t="shared" si="193"/>
        <v>22</v>
      </c>
      <c r="P967" s="60">
        <v>90000</v>
      </c>
      <c r="Q967" s="61"/>
      <c r="R967" s="62">
        <v>519</v>
      </c>
      <c r="S967" s="61"/>
      <c r="T967" s="61" t="s">
        <v>342</v>
      </c>
      <c r="U967" s="63" t="s">
        <v>1</v>
      </c>
      <c r="V967" s="63" t="s">
        <v>5</v>
      </c>
    </row>
    <row r="968" spans="1:22">
      <c r="A968" s="3">
        <v>961</v>
      </c>
      <c r="B968" s="1">
        <f t="shared" si="195"/>
        <v>0</v>
      </c>
      <c r="C968" s="1">
        <f t="shared" si="196"/>
        <v>0</v>
      </c>
      <c r="D968" s="1">
        <f t="shared" si="197"/>
        <v>0</v>
      </c>
      <c r="E968" s="1">
        <f t="shared" si="198"/>
        <v>0</v>
      </c>
      <c r="F968" s="1">
        <f t="shared" si="198"/>
        <v>0</v>
      </c>
      <c r="G968" s="1" t="str">
        <f t="shared" si="199"/>
        <v>24062215</v>
      </c>
      <c r="H968" s="59">
        <v>45465</v>
      </c>
      <c r="I968" s="36">
        <v>15</v>
      </c>
      <c r="J968" s="1">
        <f t="shared" si="194"/>
        <v>15</v>
      </c>
      <c r="K968" s="3">
        <f t="shared" si="190"/>
        <v>24</v>
      </c>
      <c r="L968" s="3">
        <f t="shared" si="191"/>
        <v>6</v>
      </c>
      <c r="M968" s="3">
        <f t="shared" si="192"/>
        <v>22</v>
      </c>
      <c r="N968" s="3" t="str">
        <f t="shared" si="193"/>
        <v>06</v>
      </c>
      <c r="O968" s="14">
        <f t="shared" si="193"/>
        <v>22</v>
      </c>
      <c r="P968" s="60">
        <v>230000</v>
      </c>
      <c r="Q968" s="61"/>
      <c r="R968" s="62">
        <v>519</v>
      </c>
      <c r="S968" s="61"/>
      <c r="T968" s="61" t="s">
        <v>343</v>
      </c>
      <c r="U968" s="63" t="s">
        <v>1</v>
      </c>
      <c r="V968" s="63" t="s">
        <v>5</v>
      </c>
    </row>
    <row r="969" spans="1:22" hidden="1">
      <c r="H969" s="59"/>
      <c r="J969" s="1" t="str">
        <f t="shared" si="194"/>
        <v>0</v>
      </c>
      <c r="K969" s="3">
        <f t="shared" si="190"/>
        <v>-100</v>
      </c>
      <c r="L969" s="3">
        <f t="shared" si="191"/>
        <v>1</v>
      </c>
      <c r="M969" s="3">
        <f t="shared" si="192"/>
        <v>0</v>
      </c>
      <c r="N969" s="3" t="str">
        <f t="shared" si="193"/>
        <v>01</v>
      </c>
      <c r="O969" s="14" t="str">
        <f t="shared" si="193"/>
        <v>00</v>
      </c>
      <c r="P969" s="60"/>
      <c r="Q969" s="61"/>
      <c r="R969" s="62">
        <v>519</v>
      </c>
      <c r="S969" s="61"/>
      <c r="T969" s="61"/>
      <c r="U969" s="63"/>
      <c r="V969" s="63"/>
    </row>
    <row r="970" spans="1:22" hidden="1">
      <c r="H970" s="59"/>
      <c r="J970" s="1" t="str">
        <f t="shared" si="194"/>
        <v>0</v>
      </c>
      <c r="K970" s="3">
        <f t="shared" si="190"/>
        <v>-100</v>
      </c>
      <c r="L970" s="3">
        <f t="shared" si="191"/>
        <v>1</v>
      </c>
      <c r="M970" s="3">
        <f t="shared" si="192"/>
        <v>0</v>
      </c>
      <c r="N970" s="3" t="str">
        <f t="shared" si="193"/>
        <v>01</v>
      </c>
      <c r="O970" s="14" t="str">
        <f t="shared" si="193"/>
        <v>00</v>
      </c>
      <c r="P970" s="60"/>
      <c r="Q970" s="61"/>
      <c r="R970" s="62">
        <v>519</v>
      </c>
      <c r="S970" s="61"/>
      <c r="T970" s="61"/>
      <c r="U970" s="63"/>
      <c r="V970" s="63"/>
    </row>
    <row r="971" spans="1:22">
      <c r="A971" s="3">
        <v>964</v>
      </c>
      <c r="B971" s="1">
        <f t="shared" si="195"/>
        <v>0</v>
      </c>
      <c r="C971" s="1">
        <f t="shared" si="196"/>
        <v>1</v>
      </c>
      <c r="D971" s="1">
        <f t="shared" si="197"/>
        <v>0</v>
      </c>
      <c r="E971" s="1">
        <f t="shared" si="198"/>
        <v>0</v>
      </c>
      <c r="F971" s="1">
        <f t="shared" si="198"/>
        <v>0</v>
      </c>
      <c r="G971" s="1" t="str">
        <f t="shared" si="199"/>
        <v>24062218</v>
      </c>
      <c r="H971" s="59">
        <v>45465</v>
      </c>
      <c r="I971" s="36">
        <v>18</v>
      </c>
      <c r="J971" s="1">
        <f t="shared" si="194"/>
        <v>18</v>
      </c>
      <c r="K971" s="3">
        <f t="shared" si="190"/>
        <v>24</v>
      </c>
      <c r="L971" s="3">
        <f t="shared" si="191"/>
        <v>6</v>
      </c>
      <c r="M971" s="3">
        <f t="shared" si="192"/>
        <v>22</v>
      </c>
      <c r="N971" s="3" t="str">
        <f t="shared" si="193"/>
        <v>06</v>
      </c>
      <c r="O971" s="14">
        <f t="shared" si="193"/>
        <v>22</v>
      </c>
      <c r="P971" s="60">
        <f>10*3*533</f>
        <v>15990</v>
      </c>
      <c r="Q971" s="61"/>
      <c r="R971" s="62">
        <v>519</v>
      </c>
      <c r="S971" s="61"/>
      <c r="T971" s="61" t="s">
        <v>345</v>
      </c>
      <c r="U971" s="63" t="s">
        <v>1</v>
      </c>
      <c r="V971" s="63" t="s">
        <v>5</v>
      </c>
    </row>
    <row r="972" spans="1:22" hidden="1">
      <c r="J972" s="1" t="str">
        <f t="shared" si="194"/>
        <v>0</v>
      </c>
      <c r="K972" s="3">
        <f t="shared" si="190"/>
        <v>-100</v>
      </c>
      <c r="L972" s="3">
        <f t="shared" si="191"/>
        <v>1</v>
      </c>
      <c r="M972" s="3">
        <f t="shared" si="192"/>
        <v>0</v>
      </c>
      <c r="N972" s="3" t="str">
        <f t="shared" si="193"/>
        <v>01</v>
      </c>
      <c r="O972" s="14" t="str">
        <f t="shared" si="193"/>
        <v>00</v>
      </c>
      <c r="R972" s="6">
        <v>519</v>
      </c>
    </row>
    <row r="973" spans="1:22" hidden="1">
      <c r="J973" s="1" t="str">
        <f t="shared" si="194"/>
        <v>0</v>
      </c>
      <c r="K973" s="3">
        <f t="shared" si="190"/>
        <v>-100</v>
      </c>
      <c r="L973" s="3">
        <f t="shared" si="191"/>
        <v>1</v>
      </c>
      <c r="M973" s="3">
        <f t="shared" si="192"/>
        <v>0</v>
      </c>
      <c r="N973" s="3" t="str">
        <f t="shared" si="193"/>
        <v>01</v>
      </c>
      <c r="O973" s="14" t="str">
        <f t="shared" si="193"/>
        <v>00</v>
      </c>
      <c r="R973" s="6">
        <v>519</v>
      </c>
    </row>
    <row r="974" spans="1:22" hidden="1">
      <c r="J974" s="1" t="str">
        <f t="shared" si="194"/>
        <v>0</v>
      </c>
      <c r="K974" s="3">
        <f t="shared" si="190"/>
        <v>-100</v>
      </c>
      <c r="L974" s="3">
        <f t="shared" si="191"/>
        <v>1</v>
      </c>
      <c r="M974" s="3">
        <f t="shared" si="192"/>
        <v>0</v>
      </c>
      <c r="N974" s="3" t="str">
        <f t="shared" si="193"/>
        <v>01</v>
      </c>
      <c r="O974" s="14" t="str">
        <f t="shared" si="193"/>
        <v>00</v>
      </c>
      <c r="R974" s="6">
        <v>519</v>
      </c>
    </row>
    <row r="975" spans="1:22" hidden="1">
      <c r="J975" s="1" t="str">
        <f t="shared" si="194"/>
        <v>0</v>
      </c>
      <c r="K975" s="3">
        <f t="shared" si="190"/>
        <v>-100</v>
      </c>
      <c r="L975" s="3">
        <f t="shared" si="191"/>
        <v>1</v>
      </c>
      <c r="M975" s="3">
        <f t="shared" si="192"/>
        <v>0</v>
      </c>
      <c r="N975" s="3" t="str">
        <f t="shared" si="193"/>
        <v>01</v>
      </c>
      <c r="O975" s="14" t="str">
        <f t="shared" si="193"/>
        <v>00</v>
      </c>
      <c r="R975" s="6">
        <v>519</v>
      </c>
    </row>
    <row r="976" spans="1:22" hidden="1">
      <c r="J976" s="1" t="str">
        <f t="shared" si="194"/>
        <v>0</v>
      </c>
      <c r="K976" s="3">
        <f t="shared" si="190"/>
        <v>-100</v>
      </c>
      <c r="L976" s="3">
        <f t="shared" si="191"/>
        <v>1</v>
      </c>
      <c r="M976" s="3">
        <f t="shared" si="192"/>
        <v>0</v>
      </c>
      <c r="N976" s="3" t="str">
        <f t="shared" si="193"/>
        <v>01</v>
      </c>
      <c r="O976" s="14" t="str">
        <f t="shared" si="193"/>
        <v>00</v>
      </c>
      <c r="R976" s="6">
        <v>519</v>
      </c>
    </row>
    <row r="977" spans="10:18" hidden="1">
      <c r="J977" s="1" t="str">
        <f t="shared" si="194"/>
        <v>0</v>
      </c>
      <c r="K977" s="3">
        <f t="shared" si="190"/>
        <v>-100</v>
      </c>
      <c r="L977" s="3">
        <f t="shared" si="191"/>
        <v>1</v>
      </c>
      <c r="M977" s="3">
        <f t="shared" si="192"/>
        <v>0</v>
      </c>
      <c r="N977" s="3" t="str">
        <f t="shared" si="193"/>
        <v>01</v>
      </c>
      <c r="O977" s="14" t="str">
        <f t="shared" si="193"/>
        <v>00</v>
      </c>
      <c r="R977" s="6">
        <v>519</v>
      </c>
    </row>
    <row r="978" spans="10:18" hidden="1">
      <c r="J978" s="1" t="str">
        <f t="shared" si="194"/>
        <v>0</v>
      </c>
      <c r="K978" s="3">
        <f t="shared" si="190"/>
        <v>-100</v>
      </c>
      <c r="L978" s="3">
        <f t="shared" si="191"/>
        <v>1</v>
      </c>
      <c r="M978" s="3">
        <f t="shared" si="192"/>
        <v>0</v>
      </c>
      <c r="N978" s="3" t="str">
        <f t="shared" si="193"/>
        <v>01</v>
      </c>
      <c r="O978" s="14" t="str">
        <f t="shared" si="193"/>
        <v>00</v>
      </c>
    </row>
    <row r="979" spans="10:18" hidden="1">
      <c r="J979" s="1" t="str">
        <f t="shared" si="194"/>
        <v>0</v>
      </c>
      <c r="K979" s="3">
        <f t="shared" si="190"/>
        <v>-100</v>
      </c>
      <c r="L979" s="3">
        <f t="shared" si="191"/>
        <v>1</v>
      </c>
      <c r="M979" s="3">
        <f t="shared" si="192"/>
        <v>0</v>
      </c>
      <c r="N979" s="3" t="str">
        <f t="shared" si="193"/>
        <v>01</v>
      </c>
      <c r="O979" s="14" t="str">
        <f t="shared" si="193"/>
        <v>00</v>
      </c>
      <c r="R979" s="6">
        <v>519</v>
      </c>
    </row>
    <row r="980" spans="10:18" hidden="1">
      <c r="J980" s="1" t="str">
        <f t="shared" si="194"/>
        <v>0</v>
      </c>
      <c r="K980" s="3">
        <f t="shared" si="190"/>
        <v>-100</v>
      </c>
      <c r="L980" s="3">
        <f t="shared" si="191"/>
        <v>1</v>
      </c>
      <c r="M980" s="3">
        <f t="shared" si="192"/>
        <v>0</v>
      </c>
      <c r="N980" s="3" t="str">
        <f t="shared" si="193"/>
        <v>01</v>
      </c>
      <c r="O980" s="14" t="str">
        <f t="shared" si="193"/>
        <v>00</v>
      </c>
      <c r="R980" s="6">
        <v>519</v>
      </c>
    </row>
    <row r="981" spans="10:18" hidden="1">
      <c r="J981" s="1" t="str">
        <f t="shared" si="194"/>
        <v>0</v>
      </c>
      <c r="K981" s="3">
        <f t="shared" si="190"/>
        <v>-100</v>
      </c>
      <c r="L981" s="3">
        <f t="shared" si="191"/>
        <v>1</v>
      </c>
      <c r="M981" s="3">
        <f t="shared" si="192"/>
        <v>0</v>
      </c>
      <c r="N981" s="3" t="str">
        <f t="shared" si="193"/>
        <v>01</v>
      </c>
      <c r="O981" s="14" t="str">
        <f t="shared" si="193"/>
        <v>00</v>
      </c>
      <c r="R981" s="6">
        <v>519</v>
      </c>
    </row>
    <row r="982" spans="10:18" hidden="1">
      <c r="J982" s="1" t="str">
        <f t="shared" si="194"/>
        <v>0</v>
      </c>
      <c r="K982" s="3">
        <f t="shared" si="190"/>
        <v>-100</v>
      </c>
      <c r="L982" s="3">
        <f t="shared" si="191"/>
        <v>1</v>
      </c>
      <c r="M982" s="3">
        <f t="shared" si="192"/>
        <v>0</v>
      </c>
      <c r="N982" s="3" t="str">
        <f t="shared" si="193"/>
        <v>01</v>
      </c>
      <c r="O982" s="14" t="str">
        <f t="shared" si="193"/>
        <v>00</v>
      </c>
      <c r="R982" s="6">
        <v>519</v>
      </c>
    </row>
    <row r="983" spans="10:18" hidden="1">
      <c r="J983" s="1" t="str">
        <f t="shared" si="194"/>
        <v>0</v>
      </c>
      <c r="K983" s="3">
        <f t="shared" si="190"/>
        <v>-100</v>
      </c>
      <c r="L983" s="3">
        <f t="shared" si="191"/>
        <v>1</v>
      </c>
      <c r="M983" s="3">
        <f t="shared" si="192"/>
        <v>0</v>
      </c>
      <c r="N983" s="3" t="str">
        <f t="shared" si="193"/>
        <v>01</v>
      </c>
      <c r="O983" s="14" t="str">
        <f t="shared" si="193"/>
        <v>00</v>
      </c>
      <c r="R983" s="6">
        <v>517</v>
      </c>
    </row>
    <row r="984" spans="10:18" hidden="1">
      <c r="J984" s="1" t="str">
        <f t="shared" si="194"/>
        <v>0</v>
      </c>
      <c r="K984" s="3">
        <f t="shared" si="190"/>
        <v>-100</v>
      </c>
      <c r="L984" s="3">
        <f t="shared" si="191"/>
        <v>1</v>
      </c>
      <c r="M984" s="3">
        <f t="shared" si="192"/>
        <v>0</v>
      </c>
      <c r="N984" s="3" t="str">
        <f t="shared" si="193"/>
        <v>01</v>
      </c>
      <c r="O984" s="14" t="str">
        <f t="shared" si="193"/>
        <v>00</v>
      </c>
      <c r="R984" s="6">
        <v>517</v>
      </c>
    </row>
    <row r="985" spans="10:18" hidden="1">
      <c r="J985" s="1" t="str">
        <f t="shared" si="194"/>
        <v>0</v>
      </c>
      <c r="K985" s="3">
        <f t="shared" si="190"/>
        <v>-100</v>
      </c>
      <c r="L985" s="3">
        <f t="shared" si="191"/>
        <v>1</v>
      </c>
      <c r="M985" s="3">
        <f t="shared" si="192"/>
        <v>0</v>
      </c>
      <c r="N985" s="3" t="str">
        <f t="shared" ref="N985:O1016" si="200">+IF(L985&lt;10,_xlfn.CONCAT("0",L985),L985)</f>
        <v>01</v>
      </c>
      <c r="O985" s="14" t="str">
        <f t="shared" si="200"/>
        <v>00</v>
      </c>
      <c r="R985" s="6">
        <v>517</v>
      </c>
    </row>
    <row r="986" spans="10:18" hidden="1">
      <c r="J986" s="1" t="str">
        <f t="shared" si="194"/>
        <v>0</v>
      </c>
      <c r="K986" s="3">
        <f t="shared" si="190"/>
        <v>-100</v>
      </c>
      <c r="L986" s="3">
        <f t="shared" si="191"/>
        <v>1</v>
      </c>
      <c r="M986" s="3">
        <f t="shared" si="192"/>
        <v>0</v>
      </c>
      <c r="N986" s="3" t="str">
        <f t="shared" si="200"/>
        <v>01</v>
      </c>
      <c r="O986" s="14" t="str">
        <f t="shared" si="200"/>
        <v>00</v>
      </c>
      <c r="R986" s="6">
        <v>517</v>
      </c>
    </row>
    <row r="987" spans="10:18" ht="15.75" hidden="1" thickBot="1">
      <c r="J987" s="1" t="str">
        <f t="shared" si="194"/>
        <v>0</v>
      </c>
      <c r="K987" s="3">
        <f t="shared" si="190"/>
        <v>-100</v>
      </c>
      <c r="L987" s="3">
        <f t="shared" si="191"/>
        <v>1</v>
      </c>
      <c r="M987" s="3">
        <f t="shared" si="192"/>
        <v>0</v>
      </c>
      <c r="N987" s="3" t="str">
        <f t="shared" si="200"/>
        <v>01</v>
      </c>
      <c r="O987" s="14" t="str">
        <f t="shared" si="200"/>
        <v>00</v>
      </c>
      <c r="P987" s="64"/>
      <c r="R987" s="6">
        <v>517</v>
      </c>
    </row>
    <row r="988" spans="10:18" hidden="1">
      <c r="J988" s="1" t="str">
        <f t="shared" si="194"/>
        <v>0</v>
      </c>
      <c r="K988" s="3">
        <f t="shared" si="190"/>
        <v>-100</v>
      </c>
      <c r="L988" s="3">
        <f t="shared" si="191"/>
        <v>1</v>
      </c>
      <c r="M988" s="3">
        <f t="shared" si="192"/>
        <v>0</v>
      </c>
      <c r="N988" s="3" t="str">
        <f t="shared" si="200"/>
        <v>01</v>
      </c>
      <c r="O988" s="14" t="str">
        <f t="shared" si="200"/>
        <v>00</v>
      </c>
      <c r="R988" s="6">
        <v>517</v>
      </c>
    </row>
    <row r="989" spans="10:18" hidden="1">
      <c r="J989" s="1" t="str">
        <f t="shared" si="194"/>
        <v>0</v>
      </c>
      <c r="K989" s="3">
        <f t="shared" si="190"/>
        <v>-100</v>
      </c>
      <c r="L989" s="3">
        <f t="shared" si="191"/>
        <v>1</v>
      </c>
      <c r="M989" s="3">
        <f t="shared" si="192"/>
        <v>0</v>
      </c>
      <c r="N989" s="3" t="str">
        <f t="shared" si="200"/>
        <v>01</v>
      </c>
      <c r="O989" s="14" t="str">
        <f t="shared" si="200"/>
        <v>00</v>
      </c>
      <c r="R989" s="6">
        <v>517</v>
      </c>
    </row>
    <row r="990" spans="10:18" hidden="1">
      <c r="J990" s="1" t="str">
        <f t="shared" si="194"/>
        <v>0</v>
      </c>
      <c r="K990" s="3">
        <f t="shared" si="190"/>
        <v>-100</v>
      </c>
      <c r="L990" s="3">
        <f t="shared" si="191"/>
        <v>1</v>
      </c>
      <c r="M990" s="3">
        <f t="shared" si="192"/>
        <v>0</v>
      </c>
      <c r="N990" s="3" t="str">
        <f t="shared" si="200"/>
        <v>01</v>
      </c>
      <c r="O990" s="14" t="str">
        <f t="shared" si="200"/>
        <v>00</v>
      </c>
      <c r="R990" s="6">
        <v>517</v>
      </c>
    </row>
    <row r="991" spans="10:18" hidden="1">
      <c r="J991" s="1" t="str">
        <f t="shared" si="194"/>
        <v>0</v>
      </c>
      <c r="K991" s="3">
        <f t="shared" si="190"/>
        <v>-100</v>
      </c>
      <c r="L991" s="3">
        <f t="shared" si="191"/>
        <v>1</v>
      </c>
      <c r="M991" s="3">
        <f t="shared" si="192"/>
        <v>0</v>
      </c>
      <c r="N991" s="3" t="str">
        <f t="shared" si="200"/>
        <v>01</v>
      </c>
      <c r="O991" s="14" t="str">
        <f t="shared" si="200"/>
        <v>00</v>
      </c>
      <c r="R991" s="6">
        <v>517</v>
      </c>
    </row>
    <row r="992" spans="10:18" hidden="1">
      <c r="J992" s="1" t="str">
        <f t="shared" si="194"/>
        <v>0</v>
      </c>
      <c r="K992" s="3">
        <f t="shared" si="190"/>
        <v>-100</v>
      </c>
      <c r="L992" s="3">
        <f t="shared" si="191"/>
        <v>1</v>
      </c>
      <c r="M992" s="3">
        <f t="shared" si="192"/>
        <v>0</v>
      </c>
      <c r="N992" s="3" t="str">
        <f t="shared" si="200"/>
        <v>01</v>
      </c>
      <c r="O992" s="14" t="str">
        <f t="shared" si="200"/>
        <v>00</v>
      </c>
      <c r="R992" s="6">
        <v>517</v>
      </c>
    </row>
    <row r="993" spans="1:22" hidden="1">
      <c r="J993" s="1" t="str">
        <f t="shared" si="194"/>
        <v>0</v>
      </c>
      <c r="K993" s="3">
        <f t="shared" si="190"/>
        <v>-100</v>
      </c>
      <c r="L993" s="3">
        <f t="shared" si="191"/>
        <v>1</v>
      </c>
      <c r="M993" s="3">
        <f t="shared" si="192"/>
        <v>0</v>
      </c>
      <c r="N993" s="3" t="str">
        <f t="shared" si="200"/>
        <v>01</v>
      </c>
      <c r="O993" s="14" t="str">
        <f t="shared" si="200"/>
        <v>00</v>
      </c>
      <c r="R993" s="6">
        <v>517</v>
      </c>
    </row>
    <row r="994" spans="1:22" hidden="1">
      <c r="J994" s="1" t="str">
        <f t="shared" si="194"/>
        <v>0</v>
      </c>
      <c r="K994" s="3">
        <f t="shared" si="190"/>
        <v>-100</v>
      </c>
      <c r="L994" s="3">
        <f t="shared" si="191"/>
        <v>1</v>
      </c>
      <c r="M994" s="3">
        <f t="shared" si="192"/>
        <v>0</v>
      </c>
      <c r="N994" s="3" t="str">
        <f t="shared" si="200"/>
        <v>01</v>
      </c>
      <c r="O994" s="14" t="str">
        <f t="shared" si="200"/>
        <v>00</v>
      </c>
      <c r="R994" s="6">
        <v>517</v>
      </c>
    </row>
    <row r="995" spans="1:22" hidden="1">
      <c r="J995" s="1" t="str">
        <f t="shared" si="194"/>
        <v>0</v>
      </c>
      <c r="K995" s="3">
        <f t="shared" si="190"/>
        <v>-100</v>
      </c>
      <c r="L995" s="3">
        <f t="shared" si="191"/>
        <v>1</v>
      </c>
      <c r="M995" s="3">
        <f t="shared" si="192"/>
        <v>0</v>
      </c>
      <c r="N995" s="3" t="str">
        <f t="shared" si="200"/>
        <v>01</v>
      </c>
      <c r="O995" s="14" t="str">
        <f t="shared" si="200"/>
        <v>00</v>
      </c>
      <c r="R995" s="6">
        <v>517</v>
      </c>
    </row>
    <row r="996" spans="1:22" hidden="1">
      <c r="J996" s="1" t="str">
        <f t="shared" si="194"/>
        <v>0</v>
      </c>
      <c r="K996" s="3">
        <f t="shared" si="190"/>
        <v>-100</v>
      </c>
      <c r="L996" s="3">
        <f t="shared" si="191"/>
        <v>1</v>
      </c>
      <c r="M996" s="3">
        <f t="shared" si="192"/>
        <v>0</v>
      </c>
      <c r="N996" s="3" t="str">
        <f t="shared" si="200"/>
        <v>01</v>
      </c>
      <c r="O996" s="14" t="str">
        <f t="shared" si="200"/>
        <v>00</v>
      </c>
      <c r="R996" s="6">
        <v>517</v>
      </c>
      <c r="T996" s="16"/>
    </row>
    <row r="997" spans="1:22" hidden="1">
      <c r="J997" s="1" t="str">
        <f t="shared" si="194"/>
        <v>0</v>
      </c>
      <c r="K997" s="3">
        <f t="shared" si="190"/>
        <v>-100</v>
      </c>
      <c r="L997" s="3">
        <f t="shared" si="191"/>
        <v>1</v>
      </c>
      <c r="M997" s="3">
        <f t="shared" si="192"/>
        <v>0</v>
      </c>
      <c r="N997" s="3" t="str">
        <f t="shared" si="200"/>
        <v>01</v>
      </c>
      <c r="O997" s="14" t="str">
        <f t="shared" si="200"/>
        <v>00</v>
      </c>
      <c r="R997" s="6">
        <v>517</v>
      </c>
    </row>
    <row r="998" spans="1:22" hidden="1">
      <c r="J998" s="1" t="str">
        <f t="shared" si="194"/>
        <v>0</v>
      </c>
      <c r="K998" s="3">
        <f t="shared" si="190"/>
        <v>-100</v>
      </c>
      <c r="L998" s="3">
        <f t="shared" si="191"/>
        <v>1</v>
      </c>
      <c r="M998" s="3">
        <f t="shared" si="192"/>
        <v>0</v>
      </c>
      <c r="N998" s="3" t="str">
        <f t="shared" si="200"/>
        <v>01</v>
      </c>
      <c r="O998" s="14" t="str">
        <f t="shared" si="200"/>
        <v>00</v>
      </c>
      <c r="R998" s="6">
        <v>517</v>
      </c>
    </row>
    <row r="999" spans="1:22" hidden="1">
      <c r="J999" s="1" t="str">
        <f t="shared" si="194"/>
        <v>0</v>
      </c>
      <c r="K999" s="3">
        <f t="shared" si="190"/>
        <v>-100</v>
      </c>
      <c r="L999" s="3">
        <f t="shared" si="191"/>
        <v>1</v>
      </c>
      <c r="M999" s="3">
        <f t="shared" si="192"/>
        <v>0</v>
      </c>
      <c r="N999" s="3" t="str">
        <f t="shared" si="200"/>
        <v>01</v>
      </c>
      <c r="O999" s="14" t="str">
        <f t="shared" si="200"/>
        <v>00</v>
      </c>
      <c r="R999" s="6">
        <v>517</v>
      </c>
    </row>
    <row r="1000" spans="1:22" hidden="1">
      <c r="J1000" s="1" t="str">
        <f t="shared" si="194"/>
        <v>0</v>
      </c>
      <c r="K1000" s="3">
        <f t="shared" si="190"/>
        <v>-100</v>
      </c>
      <c r="L1000" s="3">
        <f t="shared" si="191"/>
        <v>1</v>
      </c>
      <c r="M1000" s="3">
        <f t="shared" si="192"/>
        <v>0</v>
      </c>
      <c r="N1000" s="3" t="str">
        <f t="shared" si="200"/>
        <v>01</v>
      </c>
      <c r="O1000" s="14" t="str">
        <f t="shared" si="200"/>
        <v>00</v>
      </c>
      <c r="R1000" s="6">
        <v>517</v>
      </c>
    </row>
    <row r="1001" spans="1:22">
      <c r="A1001" s="3">
        <v>994</v>
      </c>
      <c r="B1001" s="1">
        <f t="shared" ref="B1001" si="201">IF(G1001="-",0,IF(G1000=G1001,1,0))</f>
        <v>0</v>
      </c>
      <c r="C1001" s="1">
        <f t="shared" ref="C1001" si="202">+IF(G1001="-",0,IF(I1001=I1000+1,0,(IF(I1001=1,0,1))))</f>
        <v>1</v>
      </c>
      <c r="D1001" s="1">
        <f t="shared" ref="D1001" si="203">+IF(AND(P1001="",Q1001=""),1,0)</f>
        <v>0</v>
      </c>
      <c r="E1001" s="1">
        <f t="shared" ref="E1001:F1001" si="204">IF(U1001="",1,0)</f>
        <v>0</v>
      </c>
      <c r="F1001" s="1">
        <f t="shared" si="204"/>
        <v>0</v>
      </c>
      <c r="G1001" s="1" t="str">
        <f t="shared" ref="G1001" si="205">IF(H1001=0,"-",_xlfn.CONCAT(K1001,N1001,O1001,J1001))</f>
        <v>24062509</v>
      </c>
      <c r="H1001" s="2">
        <v>45468</v>
      </c>
      <c r="I1001" s="36">
        <v>9</v>
      </c>
      <c r="J1001" s="1" t="str">
        <f t="shared" si="194"/>
        <v>09</v>
      </c>
      <c r="K1001" s="3">
        <f t="shared" si="190"/>
        <v>24</v>
      </c>
      <c r="L1001" s="3">
        <f t="shared" si="191"/>
        <v>6</v>
      </c>
      <c r="M1001" s="3">
        <f t="shared" si="192"/>
        <v>25</v>
      </c>
      <c r="N1001" s="3" t="str">
        <f t="shared" si="200"/>
        <v>06</v>
      </c>
      <c r="O1001" s="14">
        <f t="shared" si="200"/>
        <v>25</v>
      </c>
      <c r="P1001" s="4">
        <v>26888.94</v>
      </c>
      <c r="R1001" s="6">
        <v>517</v>
      </c>
      <c r="T1001" s="5" t="s">
        <v>390</v>
      </c>
      <c r="U1001" s="3" t="s">
        <v>1</v>
      </c>
      <c r="V1001" s="3" t="s">
        <v>5</v>
      </c>
    </row>
    <row r="1002" spans="1:22" hidden="1">
      <c r="J1002" s="1" t="str">
        <f t="shared" si="194"/>
        <v>0</v>
      </c>
      <c r="K1002" s="3">
        <f t="shared" si="190"/>
        <v>-100</v>
      </c>
      <c r="L1002" s="3">
        <f t="shared" si="191"/>
        <v>1</v>
      </c>
      <c r="M1002" s="3">
        <f t="shared" si="192"/>
        <v>0</v>
      </c>
      <c r="N1002" s="3" t="str">
        <f t="shared" si="200"/>
        <v>01</v>
      </c>
      <c r="O1002" s="14" t="str">
        <f t="shared" si="200"/>
        <v>00</v>
      </c>
      <c r="R1002" s="6">
        <v>517</v>
      </c>
    </row>
    <row r="1003" spans="1:22" hidden="1">
      <c r="J1003" s="1" t="str">
        <f t="shared" si="194"/>
        <v>0</v>
      </c>
      <c r="K1003" s="3">
        <f t="shared" si="190"/>
        <v>-100</v>
      </c>
      <c r="L1003" s="3">
        <f t="shared" si="191"/>
        <v>1</v>
      </c>
      <c r="M1003" s="3">
        <f t="shared" si="192"/>
        <v>0</v>
      </c>
      <c r="N1003" s="3" t="str">
        <f t="shared" si="200"/>
        <v>01</v>
      </c>
      <c r="O1003" s="14" t="str">
        <f t="shared" si="200"/>
        <v>00</v>
      </c>
      <c r="R1003" s="6">
        <v>517</v>
      </c>
    </row>
    <row r="1004" spans="1:22" hidden="1">
      <c r="J1004" s="1" t="str">
        <f t="shared" si="194"/>
        <v>0</v>
      </c>
      <c r="K1004" s="3">
        <f t="shared" si="190"/>
        <v>-100</v>
      </c>
      <c r="L1004" s="3">
        <f t="shared" si="191"/>
        <v>1</v>
      </c>
      <c r="M1004" s="3">
        <f t="shared" si="192"/>
        <v>0</v>
      </c>
      <c r="N1004" s="3" t="str">
        <f t="shared" si="200"/>
        <v>01</v>
      </c>
      <c r="O1004" s="14" t="str">
        <f t="shared" si="200"/>
        <v>00</v>
      </c>
      <c r="R1004" s="6">
        <v>517</v>
      </c>
    </row>
    <row r="1005" spans="1:22" hidden="1">
      <c r="J1005" s="1" t="str">
        <f t="shared" si="194"/>
        <v>0</v>
      </c>
      <c r="K1005" s="3">
        <f t="shared" si="190"/>
        <v>-100</v>
      </c>
      <c r="L1005" s="3">
        <f t="shared" si="191"/>
        <v>1</v>
      </c>
      <c r="M1005" s="3">
        <f t="shared" si="192"/>
        <v>0</v>
      </c>
      <c r="N1005" s="3" t="str">
        <f t="shared" si="200"/>
        <v>01</v>
      </c>
      <c r="O1005" s="14" t="str">
        <f t="shared" si="200"/>
        <v>00</v>
      </c>
      <c r="R1005" s="6">
        <v>517</v>
      </c>
    </row>
    <row r="1006" spans="1:22" hidden="1">
      <c r="J1006" s="1" t="str">
        <f t="shared" si="194"/>
        <v>0</v>
      </c>
      <c r="K1006" s="3">
        <f t="shared" si="190"/>
        <v>-100</v>
      </c>
      <c r="L1006" s="3">
        <f t="shared" si="191"/>
        <v>1</v>
      </c>
      <c r="M1006" s="3">
        <f t="shared" si="192"/>
        <v>0</v>
      </c>
      <c r="N1006" s="3" t="str">
        <f t="shared" si="200"/>
        <v>01</v>
      </c>
      <c r="O1006" s="14" t="str">
        <f t="shared" si="200"/>
        <v>00</v>
      </c>
      <c r="R1006" s="6">
        <v>517</v>
      </c>
    </row>
    <row r="1007" spans="1:22" hidden="1">
      <c r="J1007" s="1" t="str">
        <f t="shared" si="194"/>
        <v>0</v>
      </c>
      <c r="K1007" s="3">
        <f t="shared" si="190"/>
        <v>-100</v>
      </c>
      <c r="L1007" s="3">
        <f t="shared" si="191"/>
        <v>1</v>
      </c>
      <c r="M1007" s="3">
        <f t="shared" si="192"/>
        <v>0</v>
      </c>
      <c r="N1007" s="3" t="str">
        <f t="shared" si="200"/>
        <v>01</v>
      </c>
      <c r="O1007" s="14" t="str">
        <f t="shared" si="200"/>
        <v>00</v>
      </c>
      <c r="R1007" s="6">
        <v>505</v>
      </c>
      <c r="S1007" s="5">
        <v>19</v>
      </c>
    </row>
    <row r="1008" spans="1:22" hidden="1">
      <c r="J1008" s="1" t="str">
        <f t="shared" si="194"/>
        <v>0</v>
      </c>
      <c r="K1008" s="3">
        <f t="shared" si="190"/>
        <v>-100</v>
      </c>
      <c r="L1008" s="3">
        <f t="shared" si="191"/>
        <v>1</v>
      </c>
      <c r="M1008" s="3">
        <f t="shared" si="192"/>
        <v>0</v>
      </c>
      <c r="N1008" s="3" t="str">
        <f t="shared" si="200"/>
        <v>01</v>
      </c>
      <c r="O1008" s="14" t="str">
        <f t="shared" si="200"/>
        <v>00</v>
      </c>
      <c r="R1008" s="6">
        <v>505</v>
      </c>
      <c r="S1008" s="5">
        <v>50</v>
      </c>
    </row>
    <row r="1009" spans="7:23" hidden="1">
      <c r="J1009" s="1" t="str">
        <f t="shared" si="194"/>
        <v>0</v>
      </c>
      <c r="K1009" s="3">
        <f t="shared" si="190"/>
        <v>-100</v>
      </c>
      <c r="L1009" s="3">
        <f t="shared" si="191"/>
        <v>1</v>
      </c>
      <c r="M1009" s="3">
        <f t="shared" si="192"/>
        <v>0</v>
      </c>
      <c r="N1009" s="3" t="str">
        <f t="shared" si="200"/>
        <v>01</v>
      </c>
      <c r="O1009" s="14" t="str">
        <f t="shared" si="200"/>
        <v>00</v>
      </c>
      <c r="R1009" s="6">
        <v>526.72</v>
      </c>
      <c r="S1009" s="5">
        <f t="shared" ref="S1009:S1037" si="206">IFERROR(P1009/R1009,"")</f>
        <v>0</v>
      </c>
    </row>
    <row r="1010" spans="7:23" hidden="1">
      <c r="J1010" s="1" t="str">
        <f t="shared" si="194"/>
        <v>0</v>
      </c>
      <c r="K1010" s="3">
        <f t="shared" si="190"/>
        <v>-100</v>
      </c>
      <c r="L1010" s="3">
        <f t="shared" si="191"/>
        <v>1</v>
      </c>
      <c r="M1010" s="3">
        <f t="shared" si="192"/>
        <v>0</v>
      </c>
      <c r="N1010" s="3" t="str">
        <f t="shared" si="200"/>
        <v>01</v>
      </c>
      <c r="O1010" s="14" t="str">
        <f t="shared" si="200"/>
        <v>00</v>
      </c>
      <c r="R1010" s="6">
        <v>519</v>
      </c>
      <c r="S1010" s="5">
        <f t="shared" si="206"/>
        <v>0</v>
      </c>
    </row>
    <row r="1011" spans="7:23" hidden="1">
      <c r="J1011" s="1" t="str">
        <f t="shared" si="194"/>
        <v>0</v>
      </c>
      <c r="K1011" s="3">
        <f t="shared" si="190"/>
        <v>-100</v>
      </c>
      <c r="L1011" s="3">
        <f t="shared" si="191"/>
        <v>1</v>
      </c>
      <c r="M1011" s="3">
        <f t="shared" si="192"/>
        <v>0</v>
      </c>
      <c r="N1011" s="3" t="str">
        <f t="shared" si="200"/>
        <v>01</v>
      </c>
      <c r="O1011" s="14" t="str">
        <f t="shared" si="200"/>
        <v>00</v>
      </c>
      <c r="R1011" s="6">
        <v>519</v>
      </c>
      <c r="S1011" s="5">
        <f t="shared" si="206"/>
        <v>0</v>
      </c>
    </row>
    <row r="1012" spans="7:23" hidden="1">
      <c r="J1012" s="1" t="str">
        <f t="shared" si="194"/>
        <v>0</v>
      </c>
      <c r="K1012" s="3">
        <f t="shared" si="190"/>
        <v>-100</v>
      </c>
      <c r="L1012" s="3">
        <f t="shared" si="191"/>
        <v>1</v>
      </c>
      <c r="M1012" s="3">
        <f t="shared" si="192"/>
        <v>0</v>
      </c>
      <c r="N1012" s="3" t="str">
        <f t="shared" si="200"/>
        <v>01</v>
      </c>
      <c r="O1012" s="14" t="str">
        <f t="shared" si="200"/>
        <v>00</v>
      </c>
      <c r="R1012" s="6">
        <v>519</v>
      </c>
      <c r="S1012" s="5">
        <f t="shared" si="206"/>
        <v>0</v>
      </c>
    </row>
    <row r="1013" spans="7:23" hidden="1">
      <c r="J1013" s="1" t="str">
        <f t="shared" si="194"/>
        <v>0</v>
      </c>
      <c r="K1013" s="3">
        <f t="shared" si="190"/>
        <v>-100</v>
      </c>
      <c r="L1013" s="3">
        <f t="shared" si="191"/>
        <v>1</v>
      </c>
      <c r="M1013" s="3">
        <f t="shared" si="192"/>
        <v>0</v>
      </c>
      <c r="N1013" s="3" t="str">
        <f t="shared" si="200"/>
        <v>01</v>
      </c>
      <c r="O1013" s="14" t="str">
        <f t="shared" si="200"/>
        <v>00</v>
      </c>
      <c r="R1013" s="6">
        <v>519</v>
      </c>
      <c r="S1013" s="5">
        <f t="shared" si="206"/>
        <v>0</v>
      </c>
    </row>
    <row r="1014" spans="7:23" hidden="1">
      <c r="J1014" s="1" t="str">
        <f t="shared" si="194"/>
        <v>0</v>
      </c>
      <c r="K1014" s="3">
        <f t="shared" si="190"/>
        <v>-100</v>
      </c>
      <c r="L1014" s="3">
        <f t="shared" si="191"/>
        <v>1</v>
      </c>
      <c r="M1014" s="3">
        <f t="shared" si="192"/>
        <v>0</v>
      </c>
      <c r="N1014" s="3" t="str">
        <f t="shared" si="200"/>
        <v>01</v>
      </c>
      <c r="O1014" s="14" t="str">
        <f t="shared" si="200"/>
        <v>00</v>
      </c>
      <c r="S1014" s="5" t="str">
        <f t="shared" si="206"/>
        <v/>
      </c>
    </row>
    <row r="1015" spans="7:23" hidden="1">
      <c r="G1015" s="65"/>
      <c r="H1015" s="15"/>
      <c r="J1015" s="1" t="str">
        <f t="shared" si="194"/>
        <v>0</v>
      </c>
      <c r="K1015" s="3">
        <f t="shared" si="190"/>
        <v>-100</v>
      </c>
      <c r="L1015" s="3">
        <f t="shared" si="191"/>
        <v>1</v>
      </c>
      <c r="M1015" s="3">
        <f t="shared" si="192"/>
        <v>0</v>
      </c>
      <c r="N1015" s="3" t="str">
        <f t="shared" si="200"/>
        <v>01</v>
      </c>
      <c r="O1015" s="14" t="str">
        <f t="shared" si="200"/>
        <v>00</v>
      </c>
      <c r="P1015" s="66"/>
      <c r="Q1015" s="67"/>
      <c r="R1015" s="68">
        <v>519</v>
      </c>
      <c r="S1015" s="5">
        <f t="shared" si="206"/>
        <v>0</v>
      </c>
      <c r="T1015" s="67"/>
      <c r="U1015" s="69"/>
      <c r="V1015" s="69"/>
    </row>
    <row r="1016" spans="7:23" hidden="1">
      <c r="J1016" s="1" t="str">
        <f t="shared" si="194"/>
        <v>0</v>
      </c>
      <c r="K1016" s="3">
        <f t="shared" si="190"/>
        <v>-100</v>
      </c>
      <c r="L1016" s="3">
        <f t="shared" si="191"/>
        <v>1</v>
      </c>
      <c r="M1016" s="3">
        <f t="shared" si="192"/>
        <v>0</v>
      </c>
      <c r="N1016" s="3" t="str">
        <f t="shared" si="200"/>
        <v>01</v>
      </c>
      <c r="O1016" s="14" t="str">
        <f t="shared" si="200"/>
        <v>00</v>
      </c>
      <c r="R1016" s="6">
        <v>520</v>
      </c>
      <c r="S1016" s="5">
        <f t="shared" si="206"/>
        <v>0</v>
      </c>
    </row>
    <row r="1017" spans="7:23" hidden="1">
      <c r="J1017" s="1" t="str">
        <f t="shared" si="194"/>
        <v>0</v>
      </c>
      <c r="K1017" s="3">
        <f t="shared" ref="K1017:K1037" si="207">+YEAR(H1017)-2000</f>
        <v>-100</v>
      </c>
      <c r="L1017" s="3">
        <f t="shared" ref="L1017:L1037" si="208">+MONTH(H1017)</f>
        <v>1</v>
      </c>
      <c r="M1017" s="3">
        <f t="shared" ref="M1017:M1037" si="209">+DAY(H1017)</f>
        <v>0</v>
      </c>
      <c r="N1017" s="3" t="str">
        <f t="shared" ref="N1017:O1037" si="210">+IF(L1017&lt;10,_xlfn.CONCAT("0",L1017),L1017)</f>
        <v>01</v>
      </c>
      <c r="O1017" s="14" t="str">
        <f t="shared" si="210"/>
        <v>00</v>
      </c>
      <c r="R1017" s="6">
        <v>520</v>
      </c>
      <c r="S1017" s="5">
        <f t="shared" si="206"/>
        <v>0</v>
      </c>
      <c r="T1017" s="7"/>
    </row>
    <row r="1018" spans="7:23" hidden="1">
      <c r="J1018" s="1" t="str">
        <f t="shared" ref="J1018:J1037" si="211">+IF(I1018&lt;10,_xlfn.CONCAT("0",I1018),I1018)</f>
        <v>0</v>
      </c>
      <c r="K1018" s="3">
        <f t="shared" si="207"/>
        <v>-100</v>
      </c>
      <c r="L1018" s="3">
        <f t="shared" si="208"/>
        <v>1</v>
      </c>
      <c r="M1018" s="3">
        <f t="shared" si="209"/>
        <v>0</v>
      </c>
      <c r="N1018" s="3" t="str">
        <f t="shared" si="210"/>
        <v>01</v>
      </c>
      <c r="O1018" s="14" t="str">
        <f t="shared" si="210"/>
        <v>00</v>
      </c>
      <c r="R1018" s="6">
        <v>520</v>
      </c>
      <c r="S1018" s="5">
        <f t="shared" si="206"/>
        <v>0</v>
      </c>
    </row>
    <row r="1019" spans="7:23" hidden="1">
      <c r="J1019" s="1" t="str">
        <f t="shared" si="211"/>
        <v>0</v>
      </c>
      <c r="K1019" s="3">
        <f t="shared" si="207"/>
        <v>-100</v>
      </c>
      <c r="L1019" s="3">
        <f t="shared" si="208"/>
        <v>1</v>
      </c>
      <c r="M1019" s="3">
        <f t="shared" si="209"/>
        <v>0</v>
      </c>
      <c r="N1019" s="3" t="str">
        <f t="shared" si="210"/>
        <v>01</v>
      </c>
      <c r="O1019" s="14" t="str">
        <f t="shared" si="210"/>
        <v>00</v>
      </c>
      <c r="R1019" s="6">
        <v>520</v>
      </c>
      <c r="S1019" s="5">
        <f t="shared" si="206"/>
        <v>0</v>
      </c>
    </row>
    <row r="1020" spans="7:23" hidden="1">
      <c r="G1020" s="52"/>
      <c r="H1020" s="9"/>
      <c r="J1020" s="52" t="str">
        <f t="shared" si="211"/>
        <v>0</v>
      </c>
      <c r="K1020" s="10">
        <f t="shared" si="207"/>
        <v>-100</v>
      </c>
      <c r="L1020" s="10">
        <f t="shared" si="208"/>
        <v>1</v>
      </c>
      <c r="M1020" s="10">
        <f t="shared" si="209"/>
        <v>0</v>
      </c>
      <c r="N1020" s="10" t="str">
        <f t="shared" si="210"/>
        <v>01</v>
      </c>
      <c r="O1020" s="70" t="str">
        <f t="shared" si="210"/>
        <v>00</v>
      </c>
      <c r="P1020" s="11"/>
      <c r="Q1020" s="12"/>
      <c r="R1020" s="13">
        <v>520</v>
      </c>
      <c r="S1020" s="5">
        <f t="shared" si="206"/>
        <v>0</v>
      </c>
      <c r="T1020" s="12"/>
      <c r="U1020" s="10"/>
      <c r="V1020" s="10"/>
      <c r="W1020" s="10"/>
    </row>
    <row r="1021" spans="7:23" hidden="1">
      <c r="J1021" s="1" t="str">
        <f t="shared" si="211"/>
        <v>0</v>
      </c>
      <c r="K1021" s="3">
        <f t="shared" si="207"/>
        <v>-100</v>
      </c>
      <c r="L1021" s="3">
        <f t="shared" si="208"/>
        <v>1</v>
      </c>
      <c r="M1021" s="3">
        <f t="shared" si="209"/>
        <v>0</v>
      </c>
      <c r="N1021" s="3" t="str">
        <f t="shared" si="210"/>
        <v>01</v>
      </c>
      <c r="O1021" s="14" t="str">
        <f t="shared" si="210"/>
        <v>00</v>
      </c>
      <c r="R1021" s="6">
        <v>520</v>
      </c>
      <c r="S1021" s="5">
        <f t="shared" si="206"/>
        <v>0</v>
      </c>
    </row>
    <row r="1022" spans="7:23" hidden="1">
      <c r="J1022" s="1" t="str">
        <f t="shared" si="211"/>
        <v>0</v>
      </c>
      <c r="K1022" s="3">
        <f t="shared" si="207"/>
        <v>-100</v>
      </c>
      <c r="L1022" s="3">
        <f t="shared" si="208"/>
        <v>1</v>
      </c>
      <c r="M1022" s="3">
        <f t="shared" si="209"/>
        <v>0</v>
      </c>
      <c r="N1022" s="3" t="str">
        <f t="shared" si="210"/>
        <v>01</v>
      </c>
      <c r="O1022" s="14" t="str">
        <f t="shared" si="210"/>
        <v>00</v>
      </c>
      <c r="R1022" s="6">
        <v>520</v>
      </c>
      <c r="S1022" s="5">
        <f t="shared" si="206"/>
        <v>0</v>
      </c>
    </row>
    <row r="1023" spans="7:23" hidden="1">
      <c r="J1023" s="1" t="str">
        <f t="shared" si="211"/>
        <v>0</v>
      </c>
      <c r="K1023" s="3">
        <f t="shared" si="207"/>
        <v>-100</v>
      </c>
      <c r="L1023" s="3">
        <f t="shared" si="208"/>
        <v>1</v>
      </c>
      <c r="M1023" s="3">
        <f t="shared" si="209"/>
        <v>0</v>
      </c>
      <c r="N1023" s="3" t="str">
        <f t="shared" si="210"/>
        <v>01</v>
      </c>
      <c r="O1023" s="14" t="str">
        <f t="shared" si="210"/>
        <v>00</v>
      </c>
      <c r="R1023" s="6">
        <v>520</v>
      </c>
      <c r="S1023" s="5">
        <f t="shared" si="206"/>
        <v>0</v>
      </c>
    </row>
    <row r="1024" spans="7:23" hidden="1">
      <c r="J1024" s="1" t="str">
        <f t="shared" si="211"/>
        <v>0</v>
      </c>
      <c r="K1024" s="3">
        <f t="shared" si="207"/>
        <v>-100</v>
      </c>
      <c r="L1024" s="3">
        <f t="shared" si="208"/>
        <v>1</v>
      </c>
      <c r="M1024" s="3">
        <f t="shared" si="209"/>
        <v>0</v>
      </c>
      <c r="N1024" s="3" t="str">
        <f t="shared" si="210"/>
        <v>01</v>
      </c>
      <c r="O1024" s="14" t="str">
        <f t="shared" si="210"/>
        <v>00</v>
      </c>
      <c r="R1024" s="6">
        <v>520</v>
      </c>
      <c r="S1024" s="5">
        <f t="shared" si="206"/>
        <v>0</v>
      </c>
    </row>
    <row r="1025" spans="1:22" hidden="1">
      <c r="J1025" s="1" t="str">
        <f t="shared" si="211"/>
        <v>0</v>
      </c>
      <c r="K1025" s="3">
        <f t="shared" si="207"/>
        <v>-100</v>
      </c>
      <c r="L1025" s="3">
        <f t="shared" si="208"/>
        <v>1</v>
      </c>
      <c r="M1025" s="3">
        <f t="shared" si="209"/>
        <v>0</v>
      </c>
      <c r="N1025" s="3" t="str">
        <f t="shared" si="210"/>
        <v>01</v>
      </c>
      <c r="O1025" s="14" t="str">
        <f t="shared" si="210"/>
        <v>00</v>
      </c>
      <c r="R1025" s="6">
        <v>520</v>
      </c>
      <c r="S1025" s="5">
        <f t="shared" si="206"/>
        <v>0</v>
      </c>
    </row>
    <row r="1026" spans="1:22" hidden="1">
      <c r="J1026" s="1" t="str">
        <f t="shared" si="211"/>
        <v>0</v>
      </c>
      <c r="K1026" s="3">
        <f t="shared" si="207"/>
        <v>-100</v>
      </c>
      <c r="L1026" s="3">
        <f t="shared" si="208"/>
        <v>1</v>
      </c>
      <c r="M1026" s="3">
        <f t="shared" si="209"/>
        <v>0</v>
      </c>
      <c r="N1026" s="3" t="str">
        <f t="shared" si="210"/>
        <v>01</v>
      </c>
      <c r="O1026" s="14" t="str">
        <f t="shared" si="210"/>
        <v>00</v>
      </c>
      <c r="R1026" s="6">
        <v>514</v>
      </c>
      <c r="S1026" s="5">
        <f t="shared" si="206"/>
        <v>0</v>
      </c>
    </row>
    <row r="1027" spans="1:22" hidden="1">
      <c r="J1027" s="1" t="str">
        <f t="shared" si="211"/>
        <v>0</v>
      </c>
      <c r="K1027" s="3">
        <f t="shared" si="207"/>
        <v>-100</v>
      </c>
      <c r="L1027" s="3">
        <f t="shared" si="208"/>
        <v>1</v>
      </c>
      <c r="M1027" s="3">
        <f t="shared" si="209"/>
        <v>0</v>
      </c>
      <c r="N1027" s="3" t="str">
        <f t="shared" si="210"/>
        <v>01</v>
      </c>
      <c r="O1027" s="14" t="str">
        <f t="shared" si="210"/>
        <v>00</v>
      </c>
      <c r="R1027" s="6">
        <v>514</v>
      </c>
      <c r="S1027" s="5">
        <f t="shared" si="206"/>
        <v>0</v>
      </c>
    </row>
    <row r="1028" spans="1:22" hidden="1">
      <c r="J1028" s="1" t="str">
        <f t="shared" si="211"/>
        <v>0</v>
      </c>
      <c r="K1028" s="3">
        <f t="shared" si="207"/>
        <v>-100</v>
      </c>
      <c r="L1028" s="3">
        <f t="shared" si="208"/>
        <v>1</v>
      </c>
      <c r="M1028" s="3">
        <f t="shared" si="209"/>
        <v>0</v>
      </c>
      <c r="N1028" s="3" t="str">
        <f t="shared" si="210"/>
        <v>01</v>
      </c>
      <c r="O1028" s="14" t="str">
        <f t="shared" si="210"/>
        <v>00</v>
      </c>
      <c r="R1028" s="6">
        <v>514</v>
      </c>
      <c r="S1028" s="5">
        <f t="shared" si="206"/>
        <v>0</v>
      </c>
    </row>
    <row r="1029" spans="1:22" hidden="1">
      <c r="J1029" s="1" t="str">
        <f t="shared" si="211"/>
        <v>0</v>
      </c>
      <c r="K1029" s="3">
        <f t="shared" si="207"/>
        <v>-100</v>
      </c>
      <c r="L1029" s="3">
        <f t="shared" si="208"/>
        <v>1</v>
      </c>
      <c r="M1029" s="3">
        <f t="shared" si="209"/>
        <v>0</v>
      </c>
      <c r="N1029" s="3" t="str">
        <f t="shared" si="210"/>
        <v>01</v>
      </c>
      <c r="O1029" s="14" t="str">
        <f t="shared" si="210"/>
        <v>00</v>
      </c>
      <c r="R1029" s="6">
        <v>514</v>
      </c>
      <c r="S1029" s="5">
        <f t="shared" si="206"/>
        <v>0</v>
      </c>
    </row>
    <row r="1030" spans="1:22" hidden="1">
      <c r="J1030" s="1" t="str">
        <f t="shared" si="211"/>
        <v>0</v>
      </c>
      <c r="K1030" s="3">
        <f t="shared" si="207"/>
        <v>-100</v>
      </c>
      <c r="L1030" s="3">
        <f t="shared" si="208"/>
        <v>1</v>
      </c>
      <c r="M1030" s="3">
        <f t="shared" si="209"/>
        <v>0</v>
      </c>
      <c r="N1030" s="3" t="str">
        <f t="shared" si="210"/>
        <v>01</v>
      </c>
      <c r="O1030" s="14" t="str">
        <f t="shared" si="210"/>
        <v>00</v>
      </c>
      <c r="R1030" s="6">
        <v>514</v>
      </c>
      <c r="S1030" s="5">
        <f t="shared" si="206"/>
        <v>0</v>
      </c>
    </row>
    <row r="1031" spans="1:22" hidden="1">
      <c r="J1031" s="1" t="str">
        <f t="shared" si="211"/>
        <v>0</v>
      </c>
      <c r="K1031" s="3">
        <f t="shared" si="207"/>
        <v>-100</v>
      </c>
      <c r="L1031" s="3">
        <f t="shared" si="208"/>
        <v>1</v>
      </c>
      <c r="M1031" s="3">
        <f t="shared" si="209"/>
        <v>0</v>
      </c>
      <c r="N1031" s="3" t="str">
        <f t="shared" si="210"/>
        <v>01</v>
      </c>
      <c r="O1031" s="14" t="str">
        <f t="shared" si="210"/>
        <v>00</v>
      </c>
      <c r="R1031" s="6">
        <v>514</v>
      </c>
      <c r="S1031" s="5">
        <f t="shared" si="206"/>
        <v>0</v>
      </c>
    </row>
    <row r="1032" spans="1:22" hidden="1">
      <c r="J1032" s="1" t="str">
        <f t="shared" si="211"/>
        <v>0</v>
      </c>
      <c r="K1032" s="3">
        <f t="shared" si="207"/>
        <v>-100</v>
      </c>
      <c r="L1032" s="3">
        <f t="shared" si="208"/>
        <v>1</v>
      </c>
      <c r="M1032" s="3">
        <f t="shared" si="209"/>
        <v>0</v>
      </c>
      <c r="N1032" s="3" t="str">
        <f t="shared" si="210"/>
        <v>01</v>
      </c>
      <c r="O1032" s="14" t="str">
        <f t="shared" si="210"/>
        <v>00</v>
      </c>
      <c r="R1032" s="6">
        <v>514</v>
      </c>
      <c r="S1032" s="5">
        <f t="shared" si="206"/>
        <v>0</v>
      </c>
    </row>
    <row r="1033" spans="1:22" hidden="1">
      <c r="J1033" s="1" t="str">
        <f t="shared" si="211"/>
        <v>0</v>
      </c>
      <c r="K1033" s="3">
        <f t="shared" si="207"/>
        <v>-100</v>
      </c>
      <c r="L1033" s="3">
        <f t="shared" si="208"/>
        <v>1</v>
      </c>
      <c r="M1033" s="3">
        <f t="shared" si="209"/>
        <v>0</v>
      </c>
      <c r="N1033" s="3" t="str">
        <f t="shared" si="210"/>
        <v>01</v>
      </c>
      <c r="O1033" s="14" t="str">
        <f t="shared" si="210"/>
        <v>00</v>
      </c>
      <c r="R1033" s="6">
        <v>514</v>
      </c>
      <c r="S1033" s="5">
        <f t="shared" si="206"/>
        <v>0</v>
      </c>
    </row>
    <row r="1034" spans="1:22" hidden="1">
      <c r="J1034" s="1" t="str">
        <f t="shared" si="211"/>
        <v>0</v>
      </c>
      <c r="K1034" s="3">
        <f t="shared" si="207"/>
        <v>-100</v>
      </c>
      <c r="L1034" s="3">
        <f t="shared" si="208"/>
        <v>1</v>
      </c>
      <c r="M1034" s="3">
        <f t="shared" si="209"/>
        <v>0</v>
      </c>
      <c r="N1034" s="3" t="str">
        <f t="shared" si="210"/>
        <v>01</v>
      </c>
      <c r="O1034" s="14" t="str">
        <f t="shared" si="210"/>
        <v>00</v>
      </c>
      <c r="R1034" s="6">
        <v>514</v>
      </c>
      <c r="S1034" s="5">
        <f t="shared" si="206"/>
        <v>0</v>
      </c>
    </row>
    <row r="1035" spans="1:22" hidden="1">
      <c r="J1035" s="1" t="str">
        <f t="shared" si="211"/>
        <v>0</v>
      </c>
      <c r="K1035" s="3">
        <f t="shared" si="207"/>
        <v>-100</v>
      </c>
      <c r="L1035" s="3">
        <f t="shared" si="208"/>
        <v>1</v>
      </c>
      <c r="M1035" s="3">
        <f t="shared" si="209"/>
        <v>0</v>
      </c>
      <c r="N1035" s="3" t="str">
        <f t="shared" si="210"/>
        <v>01</v>
      </c>
      <c r="O1035" s="14" t="str">
        <f t="shared" si="210"/>
        <v>00</v>
      </c>
      <c r="R1035" s="6">
        <v>514</v>
      </c>
      <c r="S1035" s="5">
        <f t="shared" si="206"/>
        <v>0</v>
      </c>
    </row>
    <row r="1036" spans="1:22">
      <c r="A1036" s="3">
        <v>1029</v>
      </c>
      <c r="B1036" s="1">
        <f t="shared" ref="B1036" si="212">IF(G1036="-",0,IF(G1035=G1036,1,0))</f>
        <v>0</v>
      </c>
      <c r="C1036" s="1">
        <f t="shared" ref="C1036" si="213">+IF(G1036="-",0,IF(I1036=I1035+1,0,(IF(I1036=1,0,1))))</f>
        <v>1</v>
      </c>
      <c r="D1036" s="1">
        <f t="shared" ref="D1036" si="214">+IF(AND(P1036="",Q1036=""),1,0)</f>
        <v>0</v>
      </c>
      <c r="E1036" s="1">
        <f t="shared" ref="E1036:F1036" si="215">IF(U1036="",1,0)</f>
        <v>0</v>
      </c>
      <c r="F1036" s="1">
        <f t="shared" si="215"/>
        <v>0</v>
      </c>
      <c r="G1036" s="1" t="str">
        <f t="shared" ref="G1036" si="216">IF(H1036=0,"-",_xlfn.CONCAT(K1036,N1036,O1036,J1036))</f>
        <v>24062811</v>
      </c>
      <c r="H1036" s="2">
        <v>45471</v>
      </c>
      <c r="I1036" s="36">
        <v>11</v>
      </c>
      <c r="J1036" s="1">
        <f t="shared" si="211"/>
        <v>11</v>
      </c>
      <c r="K1036" s="3">
        <f t="shared" si="207"/>
        <v>24</v>
      </c>
      <c r="L1036" s="3">
        <f t="shared" si="208"/>
        <v>6</v>
      </c>
      <c r="M1036" s="3">
        <f t="shared" si="209"/>
        <v>28</v>
      </c>
      <c r="N1036" s="3" t="str">
        <f t="shared" si="210"/>
        <v>06</v>
      </c>
      <c r="O1036" s="14">
        <f t="shared" si="210"/>
        <v>28</v>
      </c>
      <c r="P1036" s="4">
        <v>3907540</v>
      </c>
      <c r="R1036" s="6">
        <v>519</v>
      </c>
      <c r="S1036" s="5">
        <f t="shared" si="206"/>
        <v>7528.9788053949906</v>
      </c>
      <c r="T1036" s="5" t="s">
        <v>415</v>
      </c>
      <c r="U1036" s="3" t="s">
        <v>3</v>
      </c>
      <c r="V1036" s="3" t="s">
        <v>5</v>
      </c>
    </row>
    <row r="1037" spans="1:22" hidden="1">
      <c r="J1037" s="1" t="str">
        <f t="shared" si="211"/>
        <v>0</v>
      </c>
      <c r="K1037" s="3">
        <f t="shared" si="207"/>
        <v>-100</v>
      </c>
      <c r="L1037" s="3">
        <f t="shared" si="208"/>
        <v>1</v>
      </c>
      <c r="M1037" s="3">
        <f t="shared" si="209"/>
        <v>0</v>
      </c>
      <c r="N1037" s="3" t="str">
        <f t="shared" si="210"/>
        <v>01</v>
      </c>
      <c r="O1037" s="14" t="str">
        <f t="shared" si="210"/>
        <v>00</v>
      </c>
      <c r="R1037" s="6">
        <v>514</v>
      </c>
      <c r="S1037" s="5">
        <f t="shared" si="206"/>
        <v>0</v>
      </c>
    </row>
    <row r="1038" spans="1:22">
      <c r="A1038" s="3">
        <v>1030</v>
      </c>
      <c r="H1038" s="2">
        <v>45471</v>
      </c>
      <c r="Q1038" s="5">
        <v>1</v>
      </c>
      <c r="T1038" s="5" t="s">
        <v>725</v>
      </c>
      <c r="U1038" s="3" t="s">
        <v>3</v>
      </c>
      <c r="V1038" s="3" t="s">
        <v>5</v>
      </c>
    </row>
    <row r="1039" spans="1:22" s="10" customFormat="1" hidden="1">
      <c r="A1039" s="3"/>
      <c r="B1039" s="52"/>
      <c r="C1039" s="52"/>
      <c r="D1039" s="52"/>
      <c r="E1039" s="52"/>
      <c r="F1039" s="52"/>
      <c r="G1039" s="52"/>
      <c r="H1039" s="9"/>
      <c r="I1039" s="52"/>
      <c r="J1039" s="52" t="str">
        <f t="shared" ref="J1039:J1099" si="217">+IF(I1039&lt;10,_xlfn.CONCAT("0",I1039),I1039)</f>
        <v>0</v>
      </c>
      <c r="K1039" s="10">
        <f t="shared" ref="K1039:K1099" si="218">+YEAR(H1039)-2000</f>
        <v>-100</v>
      </c>
      <c r="L1039" s="10">
        <f t="shared" ref="L1039:L1099" si="219">+MONTH(H1039)</f>
        <v>1</v>
      </c>
      <c r="M1039" s="10">
        <f t="shared" ref="M1039:M1099" si="220">+DAY(H1039)</f>
        <v>0</v>
      </c>
      <c r="N1039" s="10" t="str">
        <f t="shared" ref="N1039:O1070" si="221">+IF(L1039&lt;10,_xlfn.CONCAT("0",L1039),L1039)</f>
        <v>01</v>
      </c>
      <c r="O1039" s="70" t="str">
        <f t="shared" si="221"/>
        <v>00</v>
      </c>
      <c r="P1039" s="11"/>
      <c r="Q1039" s="12"/>
      <c r="R1039" s="13">
        <v>519</v>
      </c>
      <c r="S1039" s="12">
        <f t="shared" ref="S1039:S1082" si="222">IFERROR(P1039/R1039,"")</f>
        <v>0</v>
      </c>
      <c r="T1039" s="12"/>
    </row>
    <row r="1040" spans="1:22" s="10" customFormat="1" hidden="1">
      <c r="A1040" s="3"/>
      <c r="B1040" s="52"/>
      <c r="C1040" s="52"/>
      <c r="D1040" s="52"/>
      <c r="E1040" s="52"/>
      <c r="F1040" s="52"/>
      <c r="G1040" s="52"/>
      <c r="H1040" s="9"/>
      <c r="I1040" s="52"/>
      <c r="J1040" s="52" t="str">
        <f t="shared" si="217"/>
        <v>0</v>
      </c>
      <c r="K1040" s="10">
        <f t="shared" si="218"/>
        <v>-100</v>
      </c>
      <c r="L1040" s="10">
        <f t="shared" si="219"/>
        <v>1</v>
      </c>
      <c r="M1040" s="10">
        <f t="shared" si="220"/>
        <v>0</v>
      </c>
      <c r="N1040" s="10" t="str">
        <f t="shared" si="221"/>
        <v>01</v>
      </c>
      <c r="O1040" s="70" t="str">
        <f t="shared" si="221"/>
        <v>00</v>
      </c>
      <c r="P1040" s="11"/>
      <c r="Q1040" s="12"/>
      <c r="R1040" s="13">
        <v>519</v>
      </c>
      <c r="S1040" s="12">
        <f t="shared" si="222"/>
        <v>0</v>
      </c>
      <c r="T1040" s="12"/>
    </row>
    <row r="1041" spans="1:22" s="10" customFormat="1" hidden="1">
      <c r="A1041" s="3"/>
      <c r="B1041" s="52"/>
      <c r="C1041" s="52"/>
      <c r="D1041" s="52"/>
      <c r="E1041" s="52"/>
      <c r="F1041" s="52"/>
      <c r="G1041" s="52"/>
      <c r="H1041" s="9"/>
      <c r="I1041" s="52"/>
      <c r="J1041" s="52" t="str">
        <f t="shared" si="217"/>
        <v>0</v>
      </c>
      <c r="K1041" s="10">
        <f t="shared" si="218"/>
        <v>-100</v>
      </c>
      <c r="L1041" s="10">
        <f t="shared" si="219"/>
        <v>1</v>
      </c>
      <c r="M1041" s="10">
        <f t="shared" si="220"/>
        <v>0</v>
      </c>
      <c r="N1041" s="10" t="str">
        <f t="shared" si="221"/>
        <v>01</v>
      </c>
      <c r="O1041" s="70" t="str">
        <f t="shared" si="221"/>
        <v>00</v>
      </c>
      <c r="P1041" s="11"/>
      <c r="Q1041" s="12"/>
      <c r="R1041" s="13">
        <v>519</v>
      </c>
      <c r="S1041" s="12">
        <f t="shared" si="222"/>
        <v>0</v>
      </c>
      <c r="T1041" s="12"/>
    </row>
    <row r="1042" spans="1:22" s="10" customFormat="1" hidden="1">
      <c r="A1042" s="3"/>
      <c r="B1042" s="52"/>
      <c r="C1042" s="52"/>
      <c r="D1042" s="52"/>
      <c r="E1042" s="52"/>
      <c r="F1042" s="52"/>
      <c r="G1042" s="52"/>
      <c r="H1042" s="9"/>
      <c r="I1042" s="52"/>
      <c r="J1042" s="52" t="str">
        <f t="shared" si="217"/>
        <v>0</v>
      </c>
      <c r="K1042" s="10">
        <f t="shared" si="218"/>
        <v>-100</v>
      </c>
      <c r="L1042" s="10">
        <f t="shared" si="219"/>
        <v>1</v>
      </c>
      <c r="M1042" s="10">
        <f t="shared" si="220"/>
        <v>0</v>
      </c>
      <c r="N1042" s="10" t="str">
        <f t="shared" si="221"/>
        <v>01</v>
      </c>
      <c r="O1042" s="70" t="str">
        <f t="shared" si="221"/>
        <v>00</v>
      </c>
      <c r="P1042" s="11"/>
      <c r="Q1042" s="12"/>
      <c r="R1042" s="13">
        <v>519</v>
      </c>
      <c r="S1042" s="12">
        <f t="shared" si="222"/>
        <v>0</v>
      </c>
      <c r="T1042" s="12"/>
    </row>
    <row r="1043" spans="1:22" s="10" customFormat="1" hidden="1">
      <c r="A1043" s="3"/>
      <c r="B1043" s="52"/>
      <c r="C1043" s="52"/>
      <c r="D1043" s="52"/>
      <c r="E1043" s="52"/>
      <c r="F1043" s="52"/>
      <c r="G1043" s="52"/>
      <c r="H1043" s="9"/>
      <c r="I1043" s="52"/>
      <c r="J1043" s="52" t="str">
        <f t="shared" si="217"/>
        <v>0</v>
      </c>
      <c r="K1043" s="10">
        <f t="shared" si="218"/>
        <v>-100</v>
      </c>
      <c r="L1043" s="10">
        <f t="shared" si="219"/>
        <v>1</v>
      </c>
      <c r="M1043" s="10">
        <f t="shared" si="220"/>
        <v>0</v>
      </c>
      <c r="N1043" s="10" t="str">
        <f t="shared" si="221"/>
        <v>01</v>
      </c>
      <c r="O1043" s="70" t="str">
        <f t="shared" si="221"/>
        <v>00</v>
      </c>
      <c r="P1043" s="11"/>
      <c r="Q1043" s="12"/>
      <c r="R1043" s="13">
        <v>519</v>
      </c>
      <c r="S1043" s="12">
        <f t="shared" si="222"/>
        <v>0</v>
      </c>
      <c r="T1043" s="12"/>
    </row>
    <row r="1044" spans="1:22" s="10" customFormat="1" hidden="1">
      <c r="A1044" s="3"/>
      <c r="B1044" s="52"/>
      <c r="C1044" s="52"/>
      <c r="D1044" s="52"/>
      <c r="E1044" s="52"/>
      <c r="F1044" s="52"/>
      <c r="G1044" s="52"/>
      <c r="H1044" s="9"/>
      <c r="I1044" s="52"/>
      <c r="J1044" s="52" t="str">
        <f t="shared" si="217"/>
        <v>0</v>
      </c>
      <c r="K1044" s="10">
        <f t="shared" si="218"/>
        <v>-100</v>
      </c>
      <c r="L1044" s="10">
        <f t="shared" si="219"/>
        <v>1</v>
      </c>
      <c r="M1044" s="10">
        <f t="shared" si="220"/>
        <v>0</v>
      </c>
      <c r="N1044" s="10" t="str">
        <f t="shared" si="221"/>
        <v>01</v>
      </c>
      <c r="O1044" s="70" t="str">
        <f t="shared" si="221"/>
        <v>00</v>
      </c>
      <c r="P1044" s="11"/>
      <c r="Q1044" s="12"/>
      <c r="R1044" s="13">
        <v>519</v>
      </c>
      <c r="S1044" s="12">
        <f t="shared" si="222"/>
        <v>0</v>
      </c>
      <c r="T1044" s="12"/>
    </row>
    <row r="1045" spans="1:22" s="10" customFormat="1">
      <c r="A1045" s="3">
        <v>1038</v>
      </c>
      <c r="B1045" s="52">
        <f t="shared" ref="B1045:B1060" si="223">IF(G1045="-",0,IF(G1044=G1045,1,0))</f>
        <v>0</v>
      </c>
      <c r="C1045" s="52">
        <f t="shared" ref="C1045:C1060" si="224">+IF(G1045="-",0,IF(I1045=I1044+1,0,(IF(I1045=1,0,1))))</f>
        <v>1</v>
      </c>
      <c r="D1045" s="52">
        <f t="shared" ref="D1045:D1060" si="225">+IF(AND(P1045="",Q1045=""),1,0)</f>
        <v>0</v>
      </c>
      <c r="E1045" s="52">
        <f t="shared" ref="E1045:F1060" si="226">IF(U1045="",1,0)</f>
        <v>0</v>
      </c>
      <c r="F1045" s="52">
        <f t="shared" si="226"/>
        <v>0</v>
      </c>
      <c r="G1045" s="52" t="str">
        <f t="shared" ref="G1045:G1060" si="227">IF(H1045=0,"-",_xlfn.CONCAT(K1045,N1045,O1045,J1045))</f>
        <v>24062907</v>
      </c>
      <c r="H1045" s="9">
        <v>45472</v>
      </c>
      <c r="I1045" s="52">
        <v>7</v>
      </c>
      <c r="J1045" s="52" t="str">
        <f t="shared" si="217"/>
        <v>07</v>
      </c>
      <c r="K1045" s="10">
        <f t="shared" si="218"/>
        <v>24</v>
      </c>
      <c r="L1045" s="10">
        <f t="shared" si="219"/>
        <v>6</v>
      </c>
      <c r="M1045" s="10">
        <f t="shared" si="220"/>
        <v>29</v>
      </c>
      <c r="N1045" s="10" t="str">
        <f t="shared" si="221"/>
        <v>06</v>
      </c>
      <c r="O1045" s="70">
        <f t="shared" si="221"/>
        <v>29</v>
      </c>
      <c r="P1045" s="11">
        <v>120000</v>
      </c>
      <c r="Q1045" s="12"/>
      <c r="R1045" s="13">
        <v>519</v>
      </c>
      <c r="S1045" s="12">
        <f t="shared" si="222"/>
        <v>231.21387283236993</v>
      </c>
      <c r="T1045" s="12" t="s">
        <v>377</v>
      </c>
      <c r="U1045" s="10" t="s">
        <v>1</v>
      </c>
      <c r="V1045" s="10" t="s">
        <v>5</v>
      </c>
    </row>
    <row r="1046" spans="1:22" s="10" customFormat="1" hidden="1">
      <c r="A1046" s="3"/>
      <c r="B1046" s="52"/>
      <c r="C1046" s="52"/>
      <c r="D1046" s="52"/>
      <c r="E1046" s="52"/>
      <c r="F1046" s="52"/>
      <c r="G1046" s="52"/>
      <c r="H1046" s="9"/>
      <c r="I1046" s="52"/>
      <c r="J1046" s="52" t="str">
        <f t="shared" si="217"/>
        <v>0</v>
      </c>
      <c r="K1046" s="10">
        <f t="shared" si="218"/>
        <v>-100</v>
      </c>
      <c r="L1046" s="10">
        <f t="shared" si="219"/>
        <v>1</v>
      </c>
      <c r="M1046" s="10">
        <f t="shared" si="220"/>
        <v>0</v>
      </c>
      <c r="N1046" s="10" t="str">
        <f t="shared" si="221"/>
        <v>01</v>
      </c>
      <c r="O1046" s="70" t="str">
        <f t="shared" si="221"/>
        <v>00</v>
      </c>
      <c r="P1046" s="11"/>
      <c r="Q1046" s="12"/>
      <c r="R1046" s="13">
        <v>519</v>
      </c>
      <c r="S1046" s="12">
        <f t="shared" si="222"/>
        <v>0</v>
      </c>
      <c r="T1046" s="12"/>
    </row>
    <row r="1047" spans="1:22" s="10" customFormat="1">
      <c r="A1047" s="3">
        <v>1040</v>
      </c>
      <c r="B1047" s="52">
        <f t="shared" si="223"/>
        <v>0</v>
      </c>
      <c r="C1047" s="52">
        <f t="shared" si="224"/>
        <v>1</v>
      </c>
      <c r="D1047" s="52">
        <f t="shared" si="225"/>
        <v>0</v>
      </c>
      <c r="E1047" s="52">
        <f t="shared" si="226"/>
        <v>0</v>
      </c>
      <c r="F1047" s="52">
        <f t="shared" si="226"/>
        <v>0</v>
      </c>
      <c r="G1047" s="52" t="str">
        <f t="shared" si="227"/>
        <v>24062909</v>
      </c>
      <c r="H1047" s="9">
        <v>45472</v>
      </c>
      <c r="I1047" s="52">
        <v>9</v>
      </c>
      <c r="J1047" s="52" t="str">
        <f t="shared" si="217"/>
        <v>09</v>
      </c>
      <c r="K1047" s="10">
        <f t="shared" si="218"/>
        <v>24</v>
      </c>
      <c r="L1047" s="10">
        <f t="shared" si="219"/>
        <v>6</v>
      </c>
      <c r="M1047" s="10">
        <f t="shared" si="220"/>
        <v>29</v>
      </c>
      <c r="N1047" s="10" t="str">
        <f t="shared" si="221"/>
        <v>06</v>
      </c>
      <c r="O1047" s="70">
        <f t="shared" si="221"/>
        <v>29</v>
      </c>
      <c r="P1047" s="11">
        <v>110000</v>
      </c>
      <c r="Q1047" s="12"/>
      <c r="R1047" s="13">
        <v>519</v>
      </c>
      <c r="S1047" s="12">
        <f t="shared" si="222"/>
        <v>211.94605009633912</v>
      </c>
      <c r="T1047" s="12" t="s">
        <v>379</v>
      </c>
      <c r="U1047" s="10" t="s">
        <v>1</v>
      </c>
      <c r="V1047" s="10" t="s">
        <v>5</v>
      </c>
    </row>
    <row r="1048" spans="1:22" s="10" customFormat="1">
      <c r="A1048" s="3">
        <v>1041</v>
      </c>
      <c r="B1048" s="52">
        <f t="shared" si="223"/>
        <v>0</v>
      </c>
      <c r="C1048" s="52">
        <f t="shared" si="224"/>
        <v>0</v>
      </c>
      <c r="D1048" s="52">
        <f t="shared" si="225"/>
        <v>0</v>
      </c>
      <c r="E1048" s="52">
        <f t="shared" si="226"/>
        <v>0</v>
      </c>
      <c r="F1048" s="52">
        <f t="shared" si="226"/>
        <v>0</v>
      </c>
      <c r="G1048" s="52" t="str">
        <f t="shared" si="227"/>
        <v>24062910</v>
      </c>
      <c r="H1048" s="9">
        <v>45472</v>
      </c>
      <c r="I1048" s="52">
        <v>10</v>
      </c>
      <c r="J1048" s="52">
        <f t="shared" si="217"/>
        <v>10</v>
      </c>
      <c r="K1048" s="10">
        <f t="shared" si="218"/>
        <v>24</v>
      </c>
      <c r="L1048" s="10">
        <f t="shared" si="219"/>
        <v>6</v>
      </c>
      <c r="M1048" s="10">
        <f t="shared" si="220"/>
        <v>29</v>
      </c>
      <c r="N1048" s="10" t="str">
        <f t="shared" si="221"/>
        <v>06</v>
      </c>
      <c r="O1048" s="70">
        <f t="shared" si="221"/>
        <v>29</v>
      </c>
      <c r="P1048" s="11">
        <v>150000</v>
      </c>
      <c r="Q1048" s="12"/>
      <c r="R1048" s="13">
        <v>519</v>
      </c>
      <c r="S1048" s="12">
        <f t="shared" si="222"/>
        <v>289.01734104046244</v>
      </c>
      <c r="T1048" s="12" t="s">
        <v>380</v>
      </c>
      <c r="U1048" s="10" t="s">
        <v>1</v>
      </c>
      <c r="V1048" s="10" t="s">
        <v>5</v>
      </c>
    </row>
    <row r="1049" spans="1:22" s="10" customFormat="1" hidden="1">
      <c r="A1049" s="3"/>
      <c r="B1049" s="52"/>
      <c r="C1049" s="52"/>
      <c r="D1049" s="52"/>
      <c r="E1049" s="52"/>
      <c r="F1049" s="52"/>
      <c r="G1049" s="52"/>
      <c r="H1049" s="9"/>
      <c r="I1049" s="52"/>
      <c r="J1049" s="52" t="str">
        <f t="shared" si="217"/>
        <v>0</v>
      </c>
      <c r="K1049" s="10">
        <f t="shared" si="218"/>
        <v>-100</v>
      </c>
      <c r="L1049" s="10">
        <f t="shared" si="219"/>
        <v>1</v>
      </c>
      <c r="M1049" s="10">
        <f t="shared" si="220"/>
        <v>0</v>
      </c>
      <c r="N1049" s="10" t="str">
        <f t="shared" si="221"/>
        <v>01</v>
      </c>
      <c r="O1049" s="70" t="str">
        <f t="shared" si="221"/>
        <v>00</v>
      </c>
      <c r="P1049" s="11"/>
      <c r="Q1049" s="12"/>
      <c r="R1049" s="13">
        <v>519</v>
      </c>
      <c r="S1049" s="12">
        <f t="shared" si="222"/>
        <v>0</v>
      </c>
      <c r="T1049" s="12"/>
    </row>
    <row r="1050" spans="1:22" s="10" customFormat="1">
      <c r="A1050" s="3">
        <v>1043</v>
      </c>
      <c r="B1050" s="52">
        <f t="shared" si="223"/>
        <v>0</v>
      </c>
      <c r="C1050" s="52">
        <f t="shared" si="224"/>
        <v>1</v>
      </c>
      <c r="D1050" s="52">
        <f t="shared" si="225"/>
        <v>0</v>
      </c>
      <c r="E1050" s="52">
        <f t="shared" si="226"/>
        <v>0</v>
      </c>
      <c r="F1050" s="52">
        <f t="shared" si="226"/>
        <v>0</v>
      </c>
      <c r="G1050" s="52" t="str">
        <f t="shared" si="227"/>
        <v>24062912</v>
      </c>
      <c r="H1050" s="9">
        <v>45472</v>
      </c>
      <c r="I1050" s="52">
        <v>12</v>
      </c>
      <c r="J1050" s="52">
        <f t="shared" si="217"/>
        <v>12</v>
      </c>
      <c r="K1050" s="10">
        <f t="shared" si="218"/>
        <v>24</v>
      </c>
      <c r="L1050" s="10">
        <f t="shared" si="219"/>
        <v>6</v>
      </c>
      <c r="M1050" s="10">
        <f t="shared" si="220"/>
        <v>29</v>
      </c>
      <c r="N1050" s="10" t="str">
        <f t="shared" si="221"/>
        <v>06</v>
      </c>
      <c r="O1050" s="70">
        <f t="shared" si="221"/>
        <v>29</v>
      </c>
      <c r="P1050" s="11">
        <v>120000</v>
      </c>
      <c r="Q1050" s="12"/>
      <c r="R1050" s="13">
        <v>519</v>
      </c>
      <c r="S1050" s="12">
        <f t="shared" si="222"/>
        <v>231.21387283236993</v>
      </c>
      <c r="T1050" s="12" t="s">
        <v>382</v>
      </c>
      <c r="U1050" s="10" t="s">
        <v>1</v>
      </c>
      <c r="V1050" s="10" t="s">
        <v>5</v>
      </c>
    </row>
    <row r="1051" spans="1:22" s="10" customFormat="1">
      <c r="A1051" s="3">
        <v>1044</v>
      </c>
      <c r="B1051" s="52">
        <f t="shared" si="223"/>
        <v>0</v>
      </c>
      <c r="C1051" s="52">
        <f t="shared" si="224"/>
        <v>0</v>
      </c>
      <c r="D1051" s="52">
        <f t="shared" si="225"/>
        <v>0</v>
      </c>
      <c r="E1051" s="52">
        <f t="shared" si="226"/>
        <v>0</v>
      </c>
      <c r="F1051" s="52">
        <f t="shared" si="226"/>
        <v>0</v>
      </c>
      <c r="G1051" s="52" t="str">
        <f t="shared" si="227"/>
        <v>24062913</v>
      </c>
      <c r="H1051" s="9">
        <v>45472</v>
      </c>
      <c r="I1051" s="52">
        <v>13</v>
      </c>
      <c r="J1051" s="52">
        <f t="shared" si="217"/>
        <v>13</v>
      </c>
      <c r="K1051" s="10">
        <f t="shared" si="218"/>
        <v>24</v>
      </c>
      <c r="L1051" s="10">
        <f t="shared" si="219"/>
        <v>6</v>
      </c>
      <c r="M1051" s="10">
        <f t="shared" si="220"/>
        <v>29</v>
      </c>
      <c r="N1051" s="10" t="str">
        <f t="shared" si="221"/>
        <v>06</v>
      </c>
      <c r="O1051" s="70">
        <f t="shared" si="221"/>
        <v>29</v>
      </c>
      <c r="P1051" s="11">
        <v>90000</v>
      </c>
      <c r="Q1051" s="12"/>
      <c r="R1051" s="13">
        <v>519</v>
      </c>
      <c r="S1051" s="12">
        <f t="shared" si="222"/>
        <v>173.41040462427745</v>
      </c>
      <c r="T1051" s="12" t="s">
        <v>383</v>
      </c>
      <c r="U1051" s="10" t="s">
        <v>1</v>
      </c>
      <c r="V1051" s="10" t="s">
        <v>5</v>
      </c>
    </row>
    <row r="1052" spans="1:22" s="10" customFormat="1">
      <c r="A1052" s="3">
        <v>1045</v>
      </c>
      <c r="B1052" s="52">
        <f t="shared" si="223"/>
        <v>0</v>
      </c>
      <c r="C1052" s="52">
        <f t="shared" si="224"/>
        <v>0</v>
      </c>
      <c r="D1052" s="52">
        <f t="shared" si="225"/>
        <v>0</v>
      </c>
      <c r="E1052" s="52">
        <f t="shared" si="226"/>
        <v>0</v>
      </c>
      <c r="F1052" s="52">
        <f t="shared" si="226"/>
        <v>0</v>
      </c>
      <c r="G1052" s="52" t="str">
        <f t="shared" si="227"/>
        <v>24062914</v>
      </c>
      <c r="H1052" s="9">
        <v>45472</v>
      </c>
      <c r="I1052" s="52">
        <v>14</v>
      </c>
      <c r="J1052" s="52">
        <f t="shared" si="217"/>
        <v>14</v>
      </c>
      <c r="K1052" s="10">
        <f t="shared" si="218"/>
        <v>24</v>
      </c>
      <c r="L1052" s="10">
        <f t="shared" si="219"/>
        <v>6</v>
      </c>
      <c r="M1052" s="10">
        <f t="shared" si="220"/>
        <v>29</v>
      </c>
      <c r="N1052" s="10" t="str">
        <f t="shared" si="221"/>
        <v>06</v>
      </c>
      <c r="O1052" s="70">
        <f t="shared" si="221"/>
        <v>29</v>
      </c>
      <c r="P1052" s="11">
        <v>230000</v>
      </c>
      <c r="Q1052" s="12"/>
      <c r="R1052" s="13">
        <v>519</v>
      </c>
      <c r="S1052" s="12">
        <f t="shared" si="222"/>
        <v>443.15992292870908</v>
      </c>
      <c r="T1052" s="12" t="s">
        <v>384</v>
      </c>
      <c r="U1052" s="10" t="s">
        <v>1</v>
      </c>
      <c r="V1052" s="10" t="s">
        <v>5</v>
      </c>
    </row>
    <row r="1053" spans="1:22" s="10" customFormat="1" hidden="1">
      <c r="A1053" s="3"/>
      <c r="B1053" s="52"/>
      <c r="C1053" s="52"/>
      <c r="D1053" s="52"/>
      <c r="E1053" s="52"/>
      <c r="F1053" s="52"/>
      <c r="G1053" s="52"/>
      <c r="H1053" s="9"/>
      <c r="I1053" s="52"/>
      <c r="J1053" s="52" t="str">
        <f t="shared" si="217"/>
        <v>0</v>
      </c>
      <c r="K1053" s="10">
        <f t="shared" si="218"/>
        <v>-100</v>
      </c>
      <c r="L1053" s="10">
        <f t="shared" si="219"/>
        <v>1</v>
      </c>
      <c r="M1053" s="10">
        <f t="shared" si="220"/>
        <v>0</v>
      </c>
      <c r="N1053" s="10" t="str">
        <f t="shared" si="221"/>
        <v>01</v>
      </c>
      <c r="O1053" s="70" t="str">
        <f t="shared" si="221"/>
        <v>00</v>
      </c>
      <c r="P1053" s="11"/>
      <c r="Q1053" s="12"/>
      <c r="R1053" s="13">
        <v>519</v>
      </c>
      <c r="S1053" s="12">
        <f t="shared" si="222"/>
        <v>0</v>
      </c>
      <c r="T1053" s="12"/>
    </row>
    <row r="1054" spans="1:22" s="10" customFormat="1" hidden="1">
      <c r="A1054" s="3"/>
      <c r="B1054" s="52"/>
      <c r="C1054" s="52"/>
      <c r="D1054" s="52"/>
      <c r="E1054" s="52"/>
      <c r="F1054" s="52"/>
      <c r="G1054" s="52"/>
      <c r="H1054" s="9"/>
      <c r="I1054" s="52"/>
      <c r="J1054" s="52" t="str">
        <f t="shared" si="217"/>
        <v>0</v>
      </c>
      <c r="K1054" s="10">
        <f t="shared" si="218"/>
        <v>-100</v>
      </c>
      <c r="L1054" s="10">
        <f t="shared" si="219"/>
        <v>1</v>
      </c>
      <c r="M1054" s="10">
        <f t="shared" si="220"/>
        <v>0</v>
      </c>
      <c r="N1054" s="10" t="str">
        <f t="shared" si="221"/>
        <v>01</v>
      </c>
      <c r="O1054" s="70" t="str">
        <f t="shared" si="221"/>
        <v>00</v>
      </c>
      <c r="P1054" s="11"/>
      <c r="Q1054" s="12"/>
      <c r="R1054" s="13">
        <v>519</v>
      </c>
      <c r="S1054" s="12">
        <f t="shared" si="222"/>
        <v>0</v>
      </c>
      <c r="T1054" s="12"/>
    </row>
    <row r="1055" spans="1:22" s="10" customFormat="1" hidden="1">
      <c r="A1055" s="3"/>
      <c r="B1055" s="52"/>
      <c r="C1055" s="52"/>
      <c r="D1055" s="52"/>
      <c r="E1055" s="52"/>
      <c r="F1055" s="52"/>
      <c r="G1055" s="52"/>
      <c r="H1055" s="9"/>
      <c r="I1055" s="52"/>
      <c r="J1055" s="52" t="str">
        <f t="shared" si="217"/>
        <v>0</v>
      </c>
      <c r="K1055" s="10">
        <f t="shared" si="218"/>
        <v>-100</v>
      </c>
      <c r="L1055" s="10">
        <f t="shared" si="219"/>
        <v>1</v>
      </c>
      <c r="M1055" s="10">
        <f t="shared" si="220"/>
        <v>0</v>
      </c>
      <c r="N1055" s="10" t="str">
        <f t="shared" si="221"/>
        <v>01</v>
      </c>
      <c r="O1055" s="70" t="str">
        <f t="shared" si="221"/>
        <v>00</v>
      </c>
      <c r="P1055" s="11"/>
      <c r="Q1055" s="12"/>
      <c r="R1055" s="13">
        <v>519</v>
      </c>
      <c r="S1055" s="12">
        <f t="shared" si="222"/>
        <v>0</v>
      </c>
      <c r="T1055" s="12"/>
    </row>
    <row r="1056" spans="1:22" s="10" customFormat="1" hidden="1">
      <c r="A1056" s="3"/>
      <c r="B1056" s="52"/>
      <c r="C1056" s="52"/>
      <c r="D1056" s="52"/>
      <c r="E1056" s="52"/>
      <c r="F1056" s="52"/>
      <c r="G1056" s="52"/>
      <c r="H1056" s="9"/>
      <c r="I1056" s="52"/>
      <c r="J1056" s="52" t="str">
        <f t="shared" si="217"/>
        <v>0</v>
      </c>
      <c r="K1056" s="10">
        <f t="shared" si="218"/>
        <v>-100</v>
      </c>
      <c r="L1056" s="10">
        <f t="shared" si="219"/>
        <v>1</v>
      </c>
      <c r="M1056" s="10">
        <f t="shared" si="220"/>
        <v>0</v>
      </c>
      <c r="N1056" s="10" t="str">
        <f t="shared" si="221"/>
        <v>01</v>
      </c>
      <c r="O1056" s="70" t="str">
        <f t="shared" si="221"/>
        <v>00</v>
      </c>
      <c r="P1056" s="11"/>
      <c r="Q1056" s="12"/>
      <c r="R1056" s="13">
        <v>519</v>
      </c>
      <c r="S1056" s="12">
        <f t="shared" si="222"/>
        <v>0</v>
      </c>
      <c r="T1056" s="12"/>
    </row>
    <row r="1057" spans="1:22" s="10" customFormat="1">
      <c r="A1057" s="3">
        <v>1050</v>
      </c>
      <c r="B1057" s="52">
        <f t="shared" si="223"/>
        <v>0</v>
      </c>
      <c r="C1057" s="52">
        <f t="shared" si="224"/>
        <v>1</v>
      </c>
      <c r="D1057" s="52">
        <f t="shared" si="225"/>
        <v>0</v>
      </c>
      <c r="E1057" s="52">
        <f t="shared" si="226"/>
        <v>0</v>
      </c>
      <c r="F1057" s="52">
        <f t="shared" si="226"/>
        <v>0</v>
      </c>
      <c r="G1057" s="52" t="str">
        <f t="shared" si="227"/>
        <v>24062919</v>
      </c>
      <c r="H1057" s="9">
        <v>45472</v>
      </c>
      <c r="I1057" s="52">
        <v>19</v>
      </c>
      <c r="J1057" s="52">
        <f t="shared" si="217"/>
        <v>19</v>
      </c>
      <c r="K1057" s="10">
        <f t="shared" si="218"/>
        <v>24</v>
      </c>
      <c r="L1057" s="10">
        <f t="shared" si="219"/>
        <v>6</v>
      </c>
      <c r="M1057" s="10">
        <f t="shared" si="220"/>
        <v>29</v>
      </c>
      <c r="N1057" s="10" t="str">
        <f t="shared" si="221"/>
        <v>06</v>
      </c>
      <c r="O1057" s="70">
        <f t="shared" si="221"/>
        <v>29</v>
      </c>
      <c r="P1057" s="11">
        <v>85000</v>
      </c>
      <c r="Q1057" s="12"/>
      <c r="R1057" s="13">
        <v>519</v>
      </c>
      <c r="S1057" s="12">
        <f t="shared" si="222"/>
        <v>163.77649325626203</v>
      </c>
      <c r="T1057" s="12" t="s">
        <v>388</v>
      </c>
      <c r="U1057" s="10" t="s">
        <v>1</v>
      </c>
      <c r="V1057" s="10" t="s">
        <v>5</v>
      </c>
    </row>
    <row r="1058" spans="1:22" s="10" customFormat="1">
      <c r="A1058" s="3">
        <v>1051</v>
      </c>
      <c r="B1058" s="52">
        <f t="shared" si="223"/>
        <v>0</v>
      </c>
      <c r="C1058" s="52">
        <f t="shared" si="224"/>
        <v>0</v>
      </c>
      <c r="D1058" s="52">
        <f t="shared" si="225"/>
        <v>0</v>
      </c>
      <c r="E1058" s="52">
        <f t="shared" si="226"/>
        <v>0</v>
      </c>
      <c r="F1058" s="52">
        <f t="shared" si="226"/>
        <v>0</v>
      </c>
      <c r="G1058" s="52" t="str">
        <f t="shared" si="227"/>
        <v>24062920</v>
      </c>
      <c r="H1058" s="9">
        <v>45472</v>
      </c>
      <c r="I1058" s="52">
        <v>20</v>
      </c>
      <c r="J1058" s="52">
        <f t="shared" si="217"/>
        <v>20</v>
      </c>
      <c r="K1058" s="10">
        <f t="shared" si="218"/>
        <v>24</v>
      </c>
      <c r="L1058" s="10">
        <f t="shared" si="219"/>
        <v>6</v>
      </c>
      <c r="M1058" s="10">
        <f t="shared" si="220"/>
        <v>29</v>
      </c>
      <c r="N1058" s="10" t="str">
        <f t="shared" si="221"/>
        <v>06</v>
      </c>
      <c r="O1058" s="70">
        <f t="shared" si="221"/>
        <v>29</v>
      </c>
      <c r="P1058" s="11">
        <v>70000</v>
      </c>
      <c r="Q1058" s="12"/>
      <c r="R1058" s="13">
        <v>519</v>
      </c>
      <c r="S1058" s="12">
        <f t="shared" si="222"/>
        <v>134.8747591522158</v>
      </c>
      <c r="T1058" s="12" t="s">
        <v>395</v>
      </c>
      <c r="U1058" s="10" t="s">
        <v>1</v>
      </c>
      <c r="V1058" s="10" t="s">
        <v>5</v>
      </c>
    </row>
    <row r="1059" spans="1:22" s="10" customFormat="1" hidden="1">
      <c r="A1059" s="3"/>
      <c r="B1059" s="52"/>
      <c r="C1059" s="52"/>
      <c r="D1059" s="52"/>
      <c r="E1059" s="52"/>
      <c r="F1059" s="52"/>
      <c r="G1059" s="52"/>
      <c r="H1059" s="9"/>
      <c r="I1059" s="52"/>
      <c r="J1059" s="52" t="str">
        <f t="shared" si="217"/>
        <v>0</v>
      </c>
      <c r="K1059" s="10">
        <f t="shared" si="218"/>
        <v>-100</v>
      </c>
      <c r="L1059" s="10">
        <f t="shared" si="219"/>
        <v>1</v>
      </c>
      <c r="M1059" s="10">
        <f t="shared" si="220"/>
        <v>0</v>
      </c>
      <c r="N1059" s="10" t="str">
        <f t="shared" si="221"/>
        <v>01</v>
      </c>
      <c r="O1059" s="70" t="str">
        <f t="shared" si="221"/>
        <v>00</v>
      </c>
      <c r="P1059" s="11"/>
      <c r="Q1059" s="12"/>
      <c r="R1059" s="13">
        <v>519</v>
      </c>
      <c r="S1059" s="12">
        <f t="shared" si="222"/>
        <v>0</v>
      </c>
      <c r="T1059" s="12"/>
    </row>
    <row r="1060" spans="1:22">
      <c r="A1060" s="3">
        <v>1053</v>
      </c>
      <c r="B1060" s="1">
        <f t="shared" si="223"/>
        <v>0</v>
      </c>
      <c r="C1060" s="1">
        <f t="shared" si="224"/>
        <v>1</v>
      </c>
      <c r="D1060" s="1">
        <f t="shared" si="225"/>
        <v>0</v>
      </c>
      <c r="E1060" s="1">
        <f t="shared" si="226"/>
        <v>0</v>
      </c>
      <c r="F1060" s="1">
        <f t="shared" si="226"/>
        <v>0</v>
      </c>
      <c r="G1060" s="1" t="str">
        <f t="shared" si="227"/>
        <v>24062922</v>
      </c>
      <c r="H1060" s="2">
        <v>45472</v>
      </c>
      <c r="I1060" s="1">
        <v>22</v>
      </c>
      <c r="J1060" s="1">
        <f t="shared" si="217"/>
        <v>22</v>
      </c>
      <c r="K1060" s="3">
        <f t="shared" si="218"/>
        <v>24</v>
      </c>
      <c r="L1060" s="3">
        <f t="shared" si="219"/>
        <v>6</v>
      </c>
      <c r="M1060" s="3">
        <f t="shared" si="220"/>
        <v>29</v>
      </c>
      <c r="N1060" s="3" t="str">
        <f t="shared" si="221"/>
        <v>06</v>
      </c>
      <c r="O1060" s="14">
        <f t="shared" si="221"/>
        <v>29</v>
      </c>
      <c r="P1060" s="4">
        <v>16020</v>
      </c>
      <c r="R1060" s="6">
        <v>519</v>
      </c>
      <c r="S1060" s="5">
        <f t="shared" si="222"/>
        <v>30.867052023121389</v>
      </c>
      <c r="T1060" s="5" t="s">
        <v>396</v>
      </c>
      <c r="U1060" s="3" t="s">
        <v>1</v>
      </c>
      <c r="V1060" s="3" t="s">
        <v>5</v>
      </c>
    </row>
    <row r="1061" spans="1:22" hidden="1">
      <c r="I1061" s="1"/>
      <c r="J1061" s="1" t="str">
        <f t="shared" si="217"/>
        <v>0</v>
      </c>
      <c r="K1061" s="3">
        <f t="shared" si="218"/>
        <v>-100</v>
      </c>
      <c r="L1061" s="3">
        <f t="shared" si="219"/>
        <v>1</v>
      </c>
      <c r="M1061" s="3">
        <f t="shared" si="220"/>
        <v>0</v>
      </c>
      <c r="N1061" s="3" t="str">
        <f t="shared" si="221"/>
        <v>01</v>
      </c>
      <c r="O1061" s="14" t="str">
        <f t="shared" si="221"/>
        <v>00</v>
      </c>
      <c r="R1061" s="6">
        <v>519</v>
      </c>
      <c r="S1061" s="5">
        <f t="shared" si="222"/>
        <v>0</v>
      </c>
    </row>
    <row r="1062" spans="1:22" hidden="1">
      <c r="I1062" s="1"/>
      <c r="J1062" s="1" t="str">
        <f t="shared" si="217"/>
        <v>0</v>
      </c>
      <c r="K1062" s="3">
        <f t="shared" si="218"/>
        <v>-100</v>
      </c>
      <c r="L1062" s="3">
        <f t="shared" si="219"/>
        <v>1</v>
      </c>
      <c r="M1062" s="3">
        <f t="shared" si="220"/>
        <v>0</v>
      </c>
      <c r="N1062" s="3" t="str">
        <f t="shared" si="221"/>
        <v>01</v>
      </c>
      <c r="O1062" s="14" t="str">
        <f t="shared" si="221"/>
        <v>00</v>
      </c>
      <c r="R1062" s="6">
        <v>519</v>
      </c>
      <c r="S1062" s="5">
        <f t="shared" si="222"/>
        <v>0</v>
      </c>
    </row>
    <row r="1063" spans="1:22" hidden="1">
      <c r="I1063" s="1"/>
      <c r="J1063" s="1" t="str">
        <f t="shared" si="217"/>
        <v>0</v>
      </c>
      <c r="K1063" s="3">
        <f t="shared" si="218"/>
        <v>-100</v>
      </c>
      <c r="L1063" s="3">
        <f t="shared" si="219"/>
        <v>1</v>
      </c>
      <c r="M1063" s="3">
        <f t="shared" si="220"/>
        <v>0</v>
      </c>
      <c r="N1063" s="3" t="str">
        <f t="shared" si="221"/>
        <v>01</v>
      </c>
      <c r="O1063" s="14" t="str">
        <f t="shared" si="221"/>
        <v>00</v>
      </c>
      <c r="R1063" s="6">
        <v>519</v>
      </c>
      <c r="S1063" s="5">
        <f t="shared" si="222"/>
        <v>0</v>
      </c>
    </row>
    <row r="1064" spans="1:22" hidden="1">
      <c r="I1064" s="1"/>
      <c r="J1064" s="1" t="str">
        <f t="shared" si="217"/>
        <v>0</v>
      </c>
      <c r="K1064" s="3">
        <f t="shared" si="218"/>
        <v>-100</v>
      </c>
      <c r="L1064" s="3">
        <f t="shared" si="219"/>
        <v>1</v>
      </c>
      <c r="M1064" s="3">
        <f t="shared" si="220"/>
        <v>0</v>
      </c>
      <c r="N1064" s="3" t="str">
        <f t="shared" si="221"/>
        <v>01</v>
      </c>
      <c r="O1064" s="14" t="str">
        <f t="shared" si="221"/>
        <v>00</v>
      </c>
      <c r="R1064" s="6">
        <v>519</v>
      </c>
      <c r="S1064" s="5">
        <f t="shared" si="222"/>
        <v>0</v>
      </c>
    </row>
    <row r="1065" spans="1:22" hidden="1">
      <c r="J1065" s="1" t="str">
        <f t="shared" si="217"/>
        <v>0</v>
      </c>
      <c r="K1065" s="3">
        <f t="shared" si="218"/>
        <v>-100</v>
      </c>
      <c r="L1065" s="3">
        <f t="shared" si="219"/>
        <v>1</v>
      </c>
      <c r="M1065" s="3">
        <f t="shared" si="220"/>
        <v>0</v>
      </c>
      <c r="N1065" s="3" t="str">
        <f t="shared" si="221"/>
        <v>01</v>
      </c>
      <c r="O1065" s="14" t="str">
        <f t="shared" si="221"/>
        <v>00</v>
      </c>
      <c r="R1065" s="6">
        <v>520</v>
      </c>
      <c r="S1065" s="5">
        <f t="shared" si="222"/>
        <v>0</v>
      </c>
    </row>
    <row r="1066" spans="1:22" hidden="1">
      <c r="J1066" s="1" t="str">
        <f t="shared" si="217"/>
        <v>0</v>
      </c>
      <c r="K1066" s="3">
        <f t="shared" si="218"/>
        <v>-100</v>
      </c>
      <c r="L1066" s="3">
        <f t="shared" si="219"/>
        <v>1</v>
      </c>
      <c r="M1066" s="3">
        <f t="shared" si="220"/>
        <v>0</v>
      </c>
      <c r="N1066" s="3" t="str">
        <f t="shared" si="221"/>
        <v>01</v>
      </c>
      <c r="O1066" s="14" t="str">
        <f t="shared" si="221"/>
        <v>00</v>
      </c>
      <c r="R1066" s="6">
        <v>520</v>
      </c>
      <c r="S1066" s="5">
        <f t="shared" si="222"/>
        <v>0</v>
      </c>
    </row>
    <row r="1067" spans="1:22" hidden="1">
      <c r="J1067" s="1" t="str">
        <f t="shared" si="217"/>
        <v>0</v>
      </c>
      <c r="K1067" s="3">
        <f t="shared" si="218"/>
        <v>-100</v>
      </c>
      <c r="L1067" s="3">
        <f t="shared" si="219"/>
        <v>1</v>
      </c>
      <c r="M1067" s="3">
        <f t="shared" si="220"/>
        <v>0</v>
      </c>
      <c r="N1067" s="3" t="str">
        <f t="shared" si="221"/>
        <v>01</v>
      </c>
      <c r="O1067" s="14" t="str">
        <f t="shared" si="221"/>
        <v>00</v>
      </c>
      <c r="R1067" s="6">
        <v>520</v>
      </c>
      <c r="S1067" s="5">
        <f t="shared" si="222"/>
        <v>0</v>
      </c>
    </row>
    <row r="1068" spans="1:22" hidden="1">
      <c r="J1068" s="1" t="str">
        <f t="shared" si="217"/>
        <v>0</v>
      </c>
      <c r="K1068" s="3">
        <f t="shared" si="218"/>
        <v>-100</v>
      </c>
      <c r="L1068" s="3">
        <f t="shared" si="219"/>
        <v>1</v>
      </c>
      <c r="M1068" s="3">
        <f t="shared" si="220"/>
        <v>0</v>
      </c>
      <c r="N1068" s="3" t="str">
        <f t="shared" si="221"/>
        <v>01</v>
      </c>
      <c r="O1068" s="14" t="str">
        <f t="shared" si="221"/>
        <v>00</v>
      </c>
      <c r="R1068" s="6">
        <v>520</v>
      </c>
      <c r="S1068" s="5">
        <f t="shared" si="222"/>
        <v>0</v>
      </c>
    </row>
    <row r="1069" spans="1:22" hidden="1">
      <c r="J1069" s="1" t="str">
        <f t="shared" si="217"/>
        <v>0</v>
      </c>
      <c r="K1069" s="3">
        <f t="shared" si="218"/>
        <v>-100</v>
      </c>
      <c r="L1069" s="3">
        <f t="shared" si="219"/>
        <v>1</v>
      </c>
      <c r="M1069" s="3">
        <f t="shared" si="220"/>
        <v>0</v>
      </c>
      <c r="N1069" s="3" t="str">
        <f t="shared" si="221"/>
        <v>01</v>
      </c>
      <c r="O1069" s="14" t="str">
        <f t="shared" si="221"/>
        <v>00</v>
      </c>
      <c r="R1069" s="6">
        <v>520</v>
      </c>
      <c r="S1069" s="5">
        <f t="shared" si="222"/>
        <v>0</v>
      </c>
    </row>
    <row r="1070" spans="1:22" hidden="1">
      <c r="J1070" s="1" t="str">
        <f t="shared" si="217"/>
        <v>0</v>
      </c>
      <c r="K1070" s="3">
        <f t="shared" si="218"/>
        <v>-100</v>
      </c>
      <c r="L1070" s="3">
        <f t="shared" si="219"/>
        <v>1</v>
      </c>
      <c r="M1070" s="3">
        <f t="shared" si="220"/>
        <v>0</v>
      </c>
      <c r="N1070" s="3" t="str">
        <f t="shared" si="221"/>
        <v>01</v>
      </c>
      <c r="O1070" s="14" t="str">
        <f t="shared" si="221"/>
        <v>00</v>
      </c>
      <c r="R1070" s="6">
        <v>520</v>
      </c>
      <c r="S1070" s="5">
        <f t="shared" si="222"/>
        <v>0</v>
      </c>
    </row>
    <row r="1071" spans="1:22" hidden="1">
      <c r="J1071" s="1" t="str">
        <f t="shared" si="217"/>
        <v>0</v>
      </c>
      <c r="K1071" s="3">
        <f t="shared" si="218"/>
        <v>-100</v>
      </c>
      <c r="L1071" s="3">
        <f t="shared" si="219"/>
        <v>1</v>
      </c>
      <c r="M1071" s="3">
        <f t="shared" si="220"/>
        <v>0</v>
      </c>
      <c r="N1071" s="3" t="str">
        <f t="shared" ref="N1071:O1099" si="228">+IF(L1071&lt;10,_xlfn.CONCAT("0",L1071),L1071)</f>
        <v>01</v>
      </c>
      <c r="O1071" s="14" t="str">
        <f t="shared" si="228"/>
        <v>00</v>
      </c>
      <c r="R1071" s="6">
        <v>520</v>
      </c>
      <c r="S1071" s="5">
        <f t="shared" si="222"/>
        <v>0</v>
      </c>
    </row>
    <row r="1072" spans="1:22" hidden="1">
      <c r="J1072" s="1" t="str">
        <f t="shared" si="217"/>
        <v>0</v>
      </c>
      <c r="K1072" s="3">
        <f t="shared" si="218"/>
        <v>-100</v>
      </c>
      <c r="L1072" s="3">
        <f t="shared" si="219"/>
        <v>1</v>
      </c>
      <c r="M1072" s="3">
        <f t="shared" si="220"/>
        <v>0</v>
      </c>
      <c r="N1072" s="3" t="str">
        <f t="shared" si="228"/>
        <v>01</v>
      </c>
      <c r="O1072" s="14" t="str">
        <f t="shared" si="228"/>
        <v>00</v>
      </c>
      <c r="R1072" s="6">
        <v>519</v>
      </c>
      <c r="S1072" s="5">
        <f t="shared" si="222"/>
        <v>0</v>
      </c>
    </row>
    <row r="1073" spans="10:19" hidden="1">
      <c r="J1073" s="1" t="str">
        <f t="shared" si="217"/>
        <v>0</v>
      </c>
      <c r="K1073" s="3">
        <f t="shared" si="218"/>
        <v>-100</v>
      </c>
      <c r="L1073" s="3">
        <f t="shared" si="219"/>
        <v>1</v>
      </c>
      <c r="M1073" s="3">
        <f t="shared" si="220"/>
        <v>0</v>
      </c>
      <c r="N1073" s="3" t="str">
        <f t="shared" si="228"/>
        <v>01</v>
      </c>
      <c r="O1073" s="14" t="str">
        <f t="shared" si="228"/>
        <v>00</v>
      </c>
      <c r="R1073" s="6">
        <v>519</v>
      </c>
      <c r="S1073" s="5">
        <f t="shared" si="222"/>
        <v>0</v>
      </c>
    </row>
    <row r="1074" spans="10:19" hidden="1">
      <c r="J1074" s="1" t="str">
        <f t="shared" si="217"/>
        <v>0</v>
      </c>
      <c r="K1074" s="3">
        <f t="shared" si="218"/>
        <v>-100</v>
      </c>
      <c r="L1074" s="3">
        <f t="shared" si="219"/>
        <v>1</v>
      </c>
      <c r="M1074" s="3">
        <f t="shared" si="220"/>
        <v>0</v>
      </c>
      <c r="N1074" s="3" t="str">
        <f t="shared" si="228"/>
        <v>01</v>
      </c>
      <c r="O1074" s="14" t="str">
        <f t="shared" si="228"/>
        <v>00</v>
      </c>
      <c r="R1074" s="6">
        <v>519</v>
      </c>
      <c r="S1074" s="5">
        <f t="shared" si="222"/>
        <v>0</v>
      </c>
    </row>
    <row r="1075" spans="10:19" hidden="1">
      <c r="J1075" s="1" t="str">
        <f t="shared" si="217"/>
        <v>0</v>
      </c>
      <c r="K1075" s="3">
        <f t="shared" si="218"/>
        <v>-100</v>
      </c>
      <c r="L1075" s="3">
        <f t="shared" si="219"/>
        <v>1</v>
      </c>
      <c r="M1075" s="3">
        <f t="shared" si="220"/>
        <v>0</v>
      </c>
      <c r="N1075" s="3" t="str">
        <f t="shared" si="228"/>
        <v>01</v>
      </c>
      <c r="O1075" s="14" t="str">
        <f t="shared" si="228"/>
        <v>00</v>
      </c>
      <c r="R1075" s="6">
        <v>519</v>
      </c>
      <c r="S1075" s="5">
        <f t="shared" si="222"/>
        <v>0</v>
      </c>
    </row>
    <row r="1076" spans="10:19" hidden="1">
      <c r="J1076" s="1" t="str">
        <f t="shared" si="217"/>
        <v>0</v>
      </c>
      <c r="K1076" s="3">
        <f t="shared" si="218"/>
        <v>-100</v>
      </c>
      <c r="L1076" s="3">
        <f t="shared" si="219"/>
        <v>1</v>
      </c>
      <c r="M1076" s="3">
        <f t="shared" si="220"/>
        <v>0</v>
      </c>
      <c r="N1076" s="3" t="str">
        <f t="shared" si="228"/>
        <v>01</v>
      </c>
      <c r="O1076" s="14" t="str">
        <f t="shared" si="228"/>
        <v>00</v>
      </c>
      <c r="R1076" s="6">
        <v>519</v>
      </c>
      <c r="S1076" s="5">
        <f t="shared" si="222"/>
        <v>0</v>
      </c>
    </row>
    <row r="1077" spans="10:19" hidden="1">
      <c r="J1077" s="1" t="str">
        <f t="shared" si="217"/>
        <v>0</v>
      </c>
      <c r="K1077" s="3">
        <f t="shared" si="218"/>
        <v>-100</v>
      </c>
      <c r="L1077" s="3">
        <f t="shared" si="219"/>
        <v>1</v>
      </c>
      <c r="M1077" s="3">
        <f t="shared" si="220"/>
        <v>0</v>
      </c>
      <c r="N1077" s="3" t="str">
        <f t="shared" si="228"/>
        <v>01</v>
      </c>
      <c r="O1077" s="14" t="str">
        <f t="shared" si="228"/>
        <v>00</v>
      </c>
      <c r="R1077" s="6">
        <v>519</v>
      </c>
      <c r="S1077" s="5">
        <f t="shared" si="222"/>
        <v>0</v>
      </c>
    </row>
    <row r="1078" spans="10:19" hidden="1">
      <c r="J1078" s="1" t="str">
        <f t="shared" si="217"/>
        <v>0</v>
      </c>
      <c r="K1078" s="3">
        <f t="shared" si="218"/>
        <v>-100</v>
      </c>
      <c r="L1078" s="3">
        <f t="shared" si="219"/>
        <v>1</v>
      </c>
      <c r="M1078" s="3">
        <f t="shared" si="220"/>
        <v>0</v>
      </c>
      <c r="N1078" s="3" t="str">
        <f t="shared" si="228"/>
        <v>01</v>
      </c>
      <c r="O1078" s="14" t="str">
        <f t="shared" si="228"/>
        <v>00</v>
      </c>
      <c r="R1078" s="6">
        <v>519</v>
      </c>
      <c r="S1078" s="5">
        <f t="shared" si="222"/>
        <v>0</v>
      </c>
    </row>
    <row r="1079" spans="10:19" hidden="1">
      <c r="J1079" s="1" t="str">
        <f t="shared" si="217"/>
        <v>0</v>
      </c>
      <c r="K1079" s="3">
        <f t="shared" si="218"/>
        <v>-100</v>
      </c>
      <c r="L1079" s="3">
        <f t="shared" si="219"/>
        <v>1</v>
      </c>
      <c r="M1079" s="3">
        <f t="shared" si="220"/>
        <v>0</v>
      </c>
      <c r="N1079" s="3" t="str">
        <f t="shared" si="228"/>
        <v>01</v>
      </c>
      <c r="O1079" s="14" t="str">
        <f t="shared" si="228"/>
        <v>00</v>
      </c>
      <c r="R1079" s="6">
        <v>519</v>
      </c>
      <c r="S1079" s="5">
        <f t="shared" si="222"/>
        <v>0</v>
      </c>
    </row>
    <row r="1080" spans="10:19" hidden="1">
      <c r="J1080" s="1" t="str">
        <f t="shared" si="217"/>
        <v>0</v>
      </c>
      <c r="K1080" s="3">
        <f t="shared" si="218"/>
        <v>-100</v>
      </c>
      <c r="L1080" s="3">
        <f t="shared" si="219"/>
        <v>1</v>
      </c>
      <c r="M1080" s="3">
        <f t="shared" si="220"/>
        <v>0</v>
      </c>
      <c r="N1080" s="3" t="str">
        <f t="shared" si="228"/>
        <v>01</v>
      </c>
      <c r="O1080" s="14" t="str">
        <f t="shared" si="228"/>
        <v>00</v>
      </c>
      <c r="P1080" s="11"/>
      <c r="R1080" s="6">
        <v>519</v>
      </c>
      <c r="S1080" s="5">
        <f t="shared" si="222"/>
        <v>0</v>
      </c>
    </row>
    <row r="1081" spans="10:19" hidden="1">
      <c r="J1081" s="1" t="str">
        <f t="shared" si="217"/>
        <v>0</v>
      </c>
      <c r="K1081" s="3">
        <f t="shared" si="218"/>
        <v>-100</v>
      </c>
      <c r="L1081" s="3">
        <f t="shared" si="219"/>
        <v>1</v>
      </c>
      <c r="M1081" s="3">
        <f t="shared" si="220"/>
        <v>0</v>
      </c>
      <c r="N1081" s="3" t="str">
        <f t="shared" si="228"/>
        <v>01</v>
      </c>
      <c r="O1081" s="14" t="str">
        <f t="shared" si="228"/>
        <v>00</v>
      </c>
      <c r="R1081" s="6">
        <v>519</v>
      </c>
      <c r="S1081" s="5">
        <f t="shared" si="222"/>
        <v>0</v>
      </c>
    </row>
    <row r="1082" spans="10:19" hidden="1">
      <c r="J1082" s="1" t="str">
        <f t="shared" si="217"/>
        <v>0</v>
      </c>
      <c r="K1082" s="3">
        <f t="shared" si="218"/>
        <v>-100</v>
      </c>
      <c r="L1082" s="3">
        <f t="shared" si="219"/>
        <v>1</v>
      </c>
      <c r="M1082" s="3">
        <f t="shared" si="220"/>
        <v>0</v>
      </c>
      <c r="N1082" s="3" t="str">
        <f t="shared" si="228"/>
        <v>01</v>
      </c>
      <c r="O1082" s="14" t="str">
        <f t="shared" si="228"/>
        <v>00</v>
      </c>
      <c r="R1082" s="6">
        <v>519</v>
      </c>
      <c r="S1082" s="5">
        <f t="shared" si="222"/>
        <v>0</v>
      </c>
    </row>
    <row r="1083" spans="10:19" hidden="1">
      <c r="J1083" s="1" t="str">
        <f t="shared" si="217"/>
        <v>0</v>
      </c>
      <c r="K1083" s="3">
        <f t="shared" si="218"/>
        <v>-100</v>
      </c>
      <c r="L1083" s="3">
        <f t="shared" si="219"/>
        <v>1</v>
      </c>
      <c r="M1083" s="3">
        <f t="shared" si="220"/>
        <v>0</v>
      </c>
      <c r="N1083" s="3" t="str">
        <f t="shared" si="228"/>
        <v>01</v>
      </c>
      <c r="O1083" s="14" t="str">
        <f t="shared" si="228"/>
        <v>00</v>
      </c>
    </row>
    <row r="1084" spans="10:19" hidden="1">
      <c r="J1084" s="1" t="str">
        <f t="shared" si="217"/>
        <v>0</v>
      </c>
      <c r="K1084" s="3">
        <f t="shared" si="218"/>
        <v>-100</v>
      </c>
      <c r="L1084" s="3">
        <f t="shared" si="219"/>
        <v>1</v>
      </c>
      <c r="M1084" s="3">
        <f t="shared" si="220"/>
        <v>0</v>
      </c>
      <c r="N1084" s="3" t="str">
        <f t="shared" si="228"/>
        <v>01</v>
      </c>
      <c r="O1084" s="14" t="str">
        <f t="shared" si="228"/>
        <v>00</v>
      </c>
      <c r="R1084" s="6">
        <v>519</v>
      </c>
      <c r="S1084" s="5">
        <f t="shared" ref="S1084:S1098" si="229">IFERROR(P1084/R1084,"")</f>
        <v>0</v>
      </c>
    </row>
    <row r="1085" spans="10:19" hidden="1">
      <c r="J1085" s="1" t="str">
        <f t="shared" si="217"/>
        <v>0</v>
      </c>
      <c r="K1085" s="3">
        <f t="shared" si="218"/>
        <v>-100</v>
      </c>
      <c r="L1085" s="3">
        <f t="shared" si="219"/>
        <v>1</v>
      </c>
      <c r="M1085" s="3">
        <f t="shared" si="220"/>
        <v>0</v>
      </c>
      <c r="N1085" s="3" t="str">
        <f t="shared" si="228"/>
        <v>01</v>
      </c>
      <c r="O1085" s="14" t="str">
        <f t="shared" si="228"/>
        <v>00</v>
      </c>
      <c r="R1085" s="6">
        <v>519</v>
      </c>
      <c r="S1085" s="5">
        <f t="shared" si="229"/>
        <v>0</v>
      </c>
    </row>
    <row r="1086" spans="10:19" hidden="1">
      <c r="J1086" s="1" t="str">
        <f t="shared" si="217"/>
        <v>0</v>
      </c>
      <c r="K1086" s="3">
        <f t="shared" si="218"/>
        <v>-100</v>
      </c>
      <c r="L1086" s="3">
        <f t="shared" si="219"/>
        <v>1</v>
      </c>
      <c r="M1086" s="3">
        <f t="shared" si="220"/>
        <v>0</v>
      </c>
      <c r="N1086" s="3" t="str">
        <f t="shared" si="228"/>
        <v>01</v>
      </c>
      <c r="O1086" s="14" t="str">
        <f t="shared" si="228"/>
        <v>00</v>
      </c>
      <c r="R1086" s="6">
        <v>519</v>
      </c>
      <c r="S1086" s="5">
        <f t="shared" si="229"/>
        <v>0</v>
      </c>
    </row>
    <row r="1087" spans="10:19" hidden="1">
      <c r="J1087" s="1" t="str">
        <f t="shared" si="217"/>
        <v>0</v>
      </c>
      <c r="K1087" s="3">
        <f t="shared" si="218"/>
        <v>-100</v>
      </c>
      <c r="L1087" s="3">
        <f t="shared" si="219"/>
        <v>1</v>
      </c>
      <c r="M1087" s="3">
        <f t="shared" si="220"/>
        <v>0</v>
      </c>
      <c r="N1087" s="3" t="str">
        <f t="shared" si="228"/>
        <v>01</v>
      </c>
      <c r="O1087" s="14" t="str">
        <f t="shared" si="228"/>
        <v>00</v>
      </c>
      <c r="R1087" s="6">
        <v>519</v>
      </c>
      <c r="S1087" s="5">
        <f t="shared" si="229"/>
        <v>0</v>
      </c>
    </row>
    <row r="1088" spans="10:19" hidden="1">
      <c r="J1088" s="1" t="str">
        <f t="shared" si="217"/>
        <v>0</v>
      </c>
      <c r="K1088" s="3">
        <f t="shared" si="218"/>
        <v>-100</v>
      </c>
      <c r="L1088" s="3">
        <f t="shared" si="219"/>
        <v>1</v>
      </c>
      <c r="M1088" s="3">
        <f t="shared" si="220"/>
        <v>0</v>
      </c>
      <c r="N1088" s="3" t="str">
        <f t="shared" si="228"/>
        <v>01</v>
      </c>
      <c r="O1088" s="14" t="str">
        <f t="shared" si="228"/>
        <v>00</v>
      </c>
      <c r="R1088" s="6">
        <v>519</v>
      </c>
      <c r="S1088" s="5">
        <f t="shared" si="229"/>
        <v>0</v>
      </c>
    </row>
    <row r="1089" spans="1:23" hidden="1">
      <c r="J1089" s="1" t="str">
        <f t="shared" si="217"/>
        <v>0</v>
      </c>
      <c r="K1089" s="3">
        <f t="shared" si="218"/>
        <v>-100</v>
      </c>
      <c r="L1089" s="3">
        <f t="shared" si="219"/>
        <v>1</v>
      </c>
      <c r="M1089" s="3">
        <f t="shared" si="220"/>
        <v>0</v>
      </c>
      <c r="N1089" s="3" t="str">
        <f t="shared" si="228"/>
        <v>01</v>
      </c>
      <c r="O1089" s="14" t="str">
        <f t="shared" si="228"/>
        <v>00</v>
      </c>
      <c r="R1089" s="6">
        <v>519</v>
      </c>
      <c r="S1089" s="5">
        <f t="shared" si="229"/>
        <v>0</v>
      </c>
    </row>
    <row r="1090" spans="1:23" hidden="1">
      <c r="J1090" s="1" t="str">
        <f t="shared" si="217"/>
        <v>0</v>
      </c>
      <c r="K1090" s="3">
        <f t="shared" si="218"/>
        <v>-100</v>
      </c>
      <c r="L1090" s="3">
        <f t="shared" si="219"/>
        <v>1</v>
      </c>
      <c r="M1090" s="3">
        <f t="shared" si="220"/>
        <v>0</v>
      </c>
      <c r="N1090" s="3" t="str">
        <f t="shared" si="228"/>
        <v>01</v>
      </c>
      <c r="O1090" s="14" t="str">
        <f t="shared" si="228"/>
        <v>00</v>
      </c>
      <c r="R1090" s="6">
        <v>519</v>
      </c>
      <c r="S1090" s="5">
        <f t="shared" si="229"/>
        <v>0</v>
      </c>
    </row>
    <row r="1091" spans="1:23" hidden="1">
      <c r="J1091" s="1" t="str">
        <f t="shared" si="217"/>
        <v>0</v>
      </c>
      <c r="K1091" s="3">
        <f t="shared" si="218"/>
        <v>-100</v>
      </c>
      <c r="L1091" s="3">
        <f t="shared" si="219"/>
        <v>1</v>
      </c>
      <c r="M1091" s="3">
        <f t="shared" si="220"/>
        <v>0</v>
      </c>
      <c r="N1091" s="3" t="str">
        <f t="shared" si="228"/>
        <v>01</v>
      </c>
      <c r="O1091" s="14" t="str">
        <f t="shared" si="228"/>
        <v>00</v>
      </c>
      <c r="R1091" s="6">
        <v>519</v>
      </c>
      <c r="S1091" s="5">
        <f t="shared" si="229"/>
        <v>0</v>
      </c>
    </row>
    <row r="1092" spans="1:23" hidden="1">
      <c r="J1092" s="1" t="str">
        <f t="shared" si="217"/>
        <v>0</v>
      </c>
      <c r="K1092" s="3">
        <f t="shared" si="218"/>
        <v>-100</v>
      </c>
      <c r="L1092" s="3">
        <f t="shared" si="219"/>
        <v>1</v>
      </c>
      <c r="M1092" s="3">
        <f t="shared" si="220"/>
        <v>0</v>
      </c>
      <c r="N1092" s="3" t="str">
        <f t="shared" si="228"/>
        <v>01</v>
      </c>
      <c r="O1092" s="14" t="str">
        <f t="shared" si="228"/>
        <v>00</v>
      </c>
      <c r="R1092" s="6">
        <v>519</v>
      </c>
      <c r="S1092" s="5">
        <f t="shared" si="229"/>
        <v>0</v>
      </c>
    </row>
    <row r="1093" spans="1:23" hidden="1">
      <c r="J1093" s="1" t="str">
        <f t="shared" si="217"/>
        <v>0</v>
      </c>
      <c r="K1093" s="3">
        <f t="shared" si="218"/>
        <v>-100</v>
      </c>
      <c r="L1093" s="3">
        <f t="shared" si="219"/>
        <v>1</v>
      </c>
      <c r="M1093" s="3">
        <f t="shared" si="220"/>
        <v>0</v>
      </c>
      <c r="N1093" s="3" t="str">
        <f t="shared" si="228"/>
        <v>01</v>
      </c>
      <c r="O1093" s="14" t="str">
        <f t="shared" si="228"/>
        <v>00</v>
      </c>
      <c r="R1093" s="6">
        <v>519</v>
      </c>
      <c r="S1093" s="5">
        <f t="shared" si="229"/>
        <v>0</v>
      </c>
    </row>
    <row r="1094" spans="1:23">
      <c r="A1094" s="3">
        <v>1086</v>
      </c>
      <c r="B1094" s="1">
        <f t="shared" ref="B1094" si="230">IF(G1094="-",0,IF(G1093=G1094,1,0))</f>
        <v>0</v>
      </c>
      <c r="C1094" s="1">
        <f t="shared" ref="C1094" si="231">+IF(G1094="-",0,IF(I1094=I1093+1,0,(IF(I1094=1,0,1))))</f>
        <v>1</v>
      </c>
      <c r="D1094" s="1">
        <f t="shared" ref="D1094" si="232">+IF(AND(P1094="",Q1094=""),1,0)</f>
        <v>0</v>
      </c>
      <c r="E1094" s="1">
        <f t="shared" ref="E1094:F1094" si="233">IF(U1094="",1,0)</f>
        <v>0</v>
      </c>
      <c r="F1094" s="1">
        <f t="shared" si="233"/>
        <v>0</v>
      </c>
      <c r="G1094" s="1" t="str">
        <f t="shared" ref="G1094" si="234">IF(H1094=0,"-",_xlfn.CONCAT(K1094,N1094,O1094,J1094))</f>
        <v>24070311</v>
      </c>
      <c r="H1094" s="2">
        <v>45476</v>
      </c>
      <c r="I1094" s="36">
        <v>11</v>
      </c>
      <c r="J1094" s="1">
        <f t="shared" si="217"/>
        <v>11</v>
      </c>
      <c r="K1094" s="3">
        <f t="shared" si="218"/>
        <v>24</v>
      </c>
      <c r="L1094" s="3">
        <f t="shared" si="219"/>
        <v>7</v>
      </c>
      <c r="M1094" s="3">
        <f t="shared" si="220"/>
        <v>3</v>
      </c>
      <c r="N1094" s="3" t="str">
        <f t="shared" si="228"/>
        <v>07</v>
      </c>
      <c r="O1094" s="14" t="str">
        <f t="shared" si="228"/>
        <v>03</v>
      </c>
      <c r="P1094" s="4">
        <v>1113050</v>
      </c>
      <c r="R1094" s="6">
        <v>519</v>
      </c>
      <c r="S1094" s="5">
        <f t="shared" si="229"/>
        <v>2144.6050096339113</v>
      </c>
      <c r="T1094" s="5" t="s">
        <v>414</v>
      </c>
      <c r="U1094" s="3" t="s">
        <v>3</v>
      </c>
      <c r="V1094" s="3" t="s">
        <v>5</v>
      </c>
      <c r="W1094" s="3" t="s">
        <v>1067</v>
      </c>
    </row>
    <row r="1095" spans="1:23" hidden="1">
      <c r="J1095" s="1" t="str">
        <f t="shared" si="217"/>
        <v>0</v>
      </c>
      <c r="K1095" s="3">
        <f t="shared" si="218"/>
        <v>-100</v>
      </c>
      <c r="L1095" s="3">
        <f t="shared" si="219"/>
        <v>1</v>
      </c>
      <c r="M1095" s="3">
        <f t="shared" si="220"/>
        <v>0</v>
      </c>
      <c r="N1095" s="3" t="str">
        <f t="shared" si="228"/>
        <v>01</v>
      </c>
      <c r="O1095" s="14" t="str">
        <f t="shared" si="228"/>
        <v>00</v>
      </c>
      <c r="R1095" s="6">
        <v>519</v>
      </c>
      <c r="S1095" s="5">
        <f t="shared" si="229"/>
        <v>0</v>
      </c>
    </row>
    <row r="1096" spans="1:23" s="56" customFormat="1" hidden="1">
      <c r="A1096" s="3"/>
      <c r="B1096" s="1"/>
      <c r="C1096" s="1"/>
      <c r="D1096" s="1"/>
      <c r="E1096" s="1"/>
      <c r="F1096" s="1"/>
      <c r="G1096" s="1"/>
      <c r="H1096" s="2"/>
      <c r="I1096" s="36"/>
      <c r="J1096" s="1" t="str">
        <f t="shared" si="217"/>
        <v>0</v>
      </c>
      <c r="K1096" s="3">
        <f t="shared" si="218"/>
        <v>-100</v>
      </c>
      <c r="L1096" s="3">
        <f t="shared" si="219"/>
        <v>1</v>
      </c>
      <c r="M1096" s="3">
        <f t="shared" si="220"/>
        <v>0</v>
      </c>
      <c r="N1096" s="3" t="str">
        <f t="shared" si="228"/>
        <v>01</v>
      </c>
      <c r="O1096" s="14" t="str">
        <f t="shared" si="228"/>
        <v>00</v>
      </c>
      <c r="P1096" s="4"/>
      <c r="Q1096" s="5"/>
      <c r="R1096" s="6">
        <v>519</v>
      </c>
      <c r="S1096" s="5">
        <f t="shared" si="229"/>
        <v>0</v>
      </c>
      <c r="T1096" s="5"/>
      <c r="U1096" s="3"/>
      <c r="V1096" s="3"/>
      <c r="W1096" s="3"/>
    </row>
    <row r="1097" spans="1:23" hidden="1">
      <c r="J1097" s="1" t="str">
        <f t="shared" si="217"/>
        <v>0</v>
      </c>
      <c r="K1097" s="3">
        <f t="shared" si="218"/>
        <v>-100</v>
      </c>
      <c r="L1097" s="3">
        <f t="shared" si="219"/>
        <v>1</v>
      </c>
      <c r="M1097" s="3">
        <f t="shared" si="220"/>
        <v>0</v>
      </c>
      <c r="N1097" s="3" t="str">
        <f t="shared" si="228"/>
        <v>01</v>
      </c>
      <c r="O1097" s="14" t="str">
        <f t="shared" si="228"/>
        <v>00</v>
      </c>
      <c r="R1097" s="6">
        <v>519</v>
      </c>
      <c r="S1097" s="5">
        <f t="shared" si="229"/>
        <v>0</v>
      </c>
    </row>
    <row r="1098" spans="1:23" hidden="1">
      <c r="J1098" s="1" t="str">
        <f t="shared" si="217"/>
        <v>0</v>
      </c>
      <c r="K1098" s="3">
        <f t="shared" si="218"/>
        <v>-100</v>
      </c>
      <c r="L1098" s="3">
        <f t="shared" si="219"/>
        <v>1</v>
      </c>
      <c r="M1098" s="3">
        <f t="shared" si="220"/>
        <v>0</v>
      </c>
      <c r="N1098" s="3" t="str">
        <f t="shared" si="228"/>
        <v>01</v>
      </c>
      <c r="O1098" s="14" t="str">
        <f t="shared" si="228"/>
        <v>00</v>
      </c>
      <c r="R1098" s="6">
        <v>519</v>
      </c>
      <c r="S1098" s="5">
        <f t="shared" si="229"/>
        <v>0</v>
      </c>
    </row>
    <row r="1099" spans="1:23" hidden="1">
      <c r="J1099" s="1" t="str">
        <f t="shared" si="217"/>
        <v>0</v>
      </c>
      <c r="K1099" s="3">
        <f t="shared" si="218"/>
        <v>-100</v>
      </c>
      <c r="L1099" s="3">
        <f t="shared" si="219"/>
        <v>1</v>
      </c>
      <c r="M1099" s="3">
        <f t="shared" si="220"/>
        <v>0</v>
      </c>
      <c r="N1099" s="3" t="str">
        <f t="shared" si="228"/>
        <v>01</v>
      </c>
      <c r="O1099" s="14" t="str">
        <f t="shared" si="228"/>
        <v>00</v>
      </c>
    </row>
    <row r="1100" spans="1:23">
      <c r="A1100" s="3">
        <v>1087</v>
      </c>
      <c r="H1100" s="2">
        <v>45476</v>
      </c>
      <c r="Q1100" s="5">
        <v>3</v>
      </c>
      <c r="T1100" s="5" t="s">
        <v>953</v>
      </c>
      <c r="U1100" s="3" t="s">
        <v>3</v>
      </c>
      <c r="V1100" s="3" t="s">
        <v>5</v>
      </c>
    </row>
    <row r="1101" spans="1:23" hidden="1">
      <c r="J1101" s="1" t="str">
        <f t="shared" ref="J1101:J1119" si="235">+IF(I1101&lt;10,_xlfn.CONCAT("0",I1101),I1101)</f>
        <v>0</v>
      </c>
      <c r="K1101" s="3">
        <f t="shared" ref="K1101:K1119" si="236">+YEAR(H1101)-2000</f>
        <v>-100</v>
      </c>
      <c r="L1101" s="3">
        <f t="shared" ref="L1101:L1119" si="237">+MONTH(H1101)</f>
        <v>1</v>
      </c>
      <c r="M1101" s="3">
        <f t="shared" ref="M1101:M1119" si="238">+DAY(H1101)</f>
        <v>0</v>
      </c>
      <c r="N1101" s="3" t="str">
        <f t="shared" ref="N1101:O1119" si="239">+IF(L1101&lt;10,_xlfn.CONCAT("0",L1101),L1101)</f>
        <v>01</v>
      </c>
      <c r="O1101" s="14" t="str">
        <f t="shared" si="239"/>
        <v>00</v>
      </c>
      <c r="P1101" s="71"/>
      <c r="Q1101" s="72"/>
      <c r="R1101" s="73">
        <v>523</v>
      </c>
      <c r="S1101" s="5">
        <f t="shared" ref="S1101:S1118" si="240">IFERROR(P1101/R1101,"")</f>
        <v>0</v>
      </c>
      <c r="T1101" s="72"/>
    </row>
    <row r="1102" spans="1:23" hidden="1">
      <c r="J1102" s="1" t="str">
        <f t="shared" si="235"/>
        <v>0</v>
      </c>
      <c r="K1102" s="3">
        <f t="shared" si="236"/>
        <v>-100</v>
      </c>
      <c r="L1102" s="3">
        <f t="shared" si="237"/>
        <v>1</v>
      </c>
      <c r="M1102" s="3">
        <f t="shared" si="238"/>
        <v>0</v>
      </c>
      <c r="N1102" s="3" t="str">
        <f t="shared" si="239"/>
        <v>01</v>
      </c>
      <c r="O1102" s="14" t="str">
        <f t="shared" si="239"/>
        <v>00</v>
      </c>
      <c r="P1102" s="71"/>
      <c r="Q1102" s="72"/>
      <c r="R1102" s="73">
        <v>523</v>
      </c>
      <c r="S1102" s="5">
        <f t="shared" si="240"/>
        <v>0</v>
      </c>
      <c r="T1102" s="72"/>
    </row>
    <row r="1103" spans="1:23" s="10" customFormat="1" hidden="1">
      <c r="A1103" s="3"/>
      <c r="B1103" s="1"/>
      <c r="C1103" s="1"/>
      <c r="D1103" s="1"/>
      <c r="E1103" s="1"/>
      <c r="F1103" s="1"/>
      <c r="G1103" s="1"/>
      <c r="H1103" s="2"/>
      <c r="I1103" s="36"/>
      <c r="J1103" s="1" t="str">
        <f t="shared" si="235"/>
        <v>0</v>
      </c>
      <c r="K1103" s="3">
        <f t="shared" si="236"/>
        <v>-100</v>
      </c>
      <c r="L1103" s="3">
        <f t="shared" si="237"/>
        <v>1</v>
      </c>
      <c r="M1103" s="3">
        <f t="shared" si="238"/>
        <v>0</v>
      </c>
      <c r="N1103" s="3" t="str">
        <f t="shared" si="239"/>
        <v>01</v>
      </c>
      <c r="O1103" s="14" t="str">
        <f t="shared" si="239"/>
        <v>00</v>
      </c>
      <c r="P1103" s="71"/>
      <c r="Q1103" s="72"/>
      <c r="R1103" s="73">
        <v>523</v>
      </c>
      <c r="S1103" s="5">
        <f t="shared" si="240"/>
        <v>0</v>
      </c>
      <c r="T1103" s="72"/>
      <c r="U1103" s="3"/>
      <c r="V1103" s="3"/>
      <c r="W1103" s="3"/>
    </row>
    <row r="1104" spans="1:23" hidden="1">
      <c r="J1104" s="1" t="str">
        <f t="shared" si="235"/>
        <v>0</v>
      </c>
      <c r="K1104" s="3">
        <f t="shared" si="236"/>
        <v>-100</v>
      </c>
      <c r="L1104" s="3">
        <f t="shared" si="237"/>
        <v>1</v>
      </c>
      <c r="M1104" s="3">
        <f t="shared" si="238"/>
        <v>0</v>
      </c>
      <c r="N1104" s="3" t="str">
        <f t="shared" si="239"/>
        <v>01</v>
      </c>
      <c r="O1104" s="14" t="str">
        <f t="shared" si="239"/>
        <v>00</v>
      </c>
      <c r="P1104" s="71"/>
      <c r="Q1104" s="72"/>
      <c r="R1104" s="73">
        <v>523</v>
      </c>
      <c r="S1104" s="5">
        <f t="shared" si="240"/>
        <v>0</v>
      </c>
      <c r="T1104" s="72"/>
    </row>
    <row r="1105" spans="1:22" hidden="1">
      <c r="J1105" s="1" t="str">
        <f t="shared" si="235"/>
        <v>0</v>
      </c>
      <c r="K1105" s="3">
        <f t="shared" si="236"/>
        <v>-100</v>
      </c>
      <c r="L1105" s="3">
        <f t="shared" si="237"/>
        <v>1</v>
      </c>
      <c r="M1105" s="3">
        <f t="shared" si="238"/>
        <v>0</v>
      </c>
      <c r="N1105" s="3" t="str">
        <f t="shared" si="239"/>
        <v>01</v>
      </c>
      <c r="O1105" s="14" t="str">
        <f t="shared" si="239"/>
        <v>00</v>
      </c>
      <c r="P1105" s="74"/>
      <c r="Q1105" s="75"/>
      <c r="R1105" s="76">
        <v>523</v>
      </c>
      <c r="S1105" s="5">
        <f t="shared" si="240"/>
        <v>0</v>
      </c>
      <c r="T1105" s="75"/>
    </row>
    <row r="1106" spans="1:22" hidden="1">
      <c r="J1106" s="1" t="str">
        <f t="shared" si="235"/>
        <v>0</v>
      </c>
      <c r="K1106" s="3">
        <f t="shared" si="236"/>
        <v>-100</v>
      </c>
      <c r="L1106" s="3">
        <f t="shared" si="237"/>
        <v>1</v>
      </c>
      <c r="M1106" s="3">
        <f t="shared" si="238"/>
        <v>0</v>
      </c>
      <c r="N1106" s="3" t="str">
        <f t="shared" si="239"/>
        <v>01</v>
      </c>
      <c r="O1106" s="14" t="str">
        <f t="shared" si="239"/>
        <v>00</v>
      </c>
      <c r="P1106" s="74"/>
      <c r="Q1106" s="75"/>
      <c r="R1106" s="76">
        <v>523</v>
      </c>
      <c r="S1106" s="5">
        <f t="shared" si="240"/>
        <v>0</v>
      </c>
      <c r="T1106" s="75"/>
    </row>
    <row r="1107" spans="1:22" hidden="1">
      <c r="J1107" s="1" t="str">
        <f t="shared" si="235"/>
        <v>0</v>
      </c>
      <c r="K1107" s="3">
        <f t="shared" si="236"/>
        <v>-100</v>
      </c>
      <c r="L1107" s="3">
        <f t="shared" si="237"/>
        <v>1</v>
      </c>
      <c r="M1107" s="3">
        <f t="shared" si="238"/>
        <v>0</v>
      </c>
      <c r="N1107" s="3" t="str">
        <f t="shared" si="239"/>
        <v>01</v>
      </c>
      <c r="O1107" s="14" t="str">
        <f t="shared" si="239"/>
        <v>00</v>
      </c>
      <c r="P1107" s="60"/>
      <c r="Q1107" s="61"/>
      <c r="R1107" s="62">
        <v>523</v>
      </c>
      <c r="S1107" s="5">
        <f t="shared" si="240"/>
        <v>0</v>
      </c>
      <c r="T1107" s="61"/>
    </row>
    <row r="1108" spans="1:22" hidden="1">
      <c r="J1108" s="1" t="str">
        <f t="shared" si="235"/>
        <v>0</v>
      </c>
      <c r="K1108" s="3">
        <f t="shared" si="236"/>
        <v>-100</v>
      </c>
      <c r="L1108" s="3">
        <f t="shared" si="237"/>
        <v>1</v>
      </c>
      <c r="M1108" s="3">
        <f t="shared" si="238"/>
        <v>0</v>
      </c>
      <c r="N1108" s="3" t="str">
        <f t="shared" si="239"/>
        <v>01</v>
      </c>
      <c r="O1108" s="14" t="str">
        <f t="shared" si="239"/>
        <v>00</v>
      </c>
      <c r="P1108" s="60"/>
      <c r="Q1108" s="61"/>
      <c r="R1108" s="62">
        <v>523</v>
      </c>
      <c r="S1108" s="5">
        <f t="shared" si="240"/>
        <v>0</v>
      </c>
      <c r="T1108" s="61"/>
    </row>
    <row r="1109" spans="1:22" hidden="1">
      <c r="J1109" s="1" t="str">
        <f t="shared" si="235"/>
        <v>0</v>
      </c>
      <c r="K1109" s="3">
        <f t="shared" si="236"/>
        <v>-100</v>
      </c>
      <c r="L1109" s="3">
        <f t="shared" si="237"/>
        <v>1</v>
      </c>
      <c r="M1109" s="3">
        <f t="shared" si="238"/>
        <v>0</v>
      </c>
      <c r="N1109" s="3" t="str">
        <f t="shared" si="239"/>
        <v>01</v>
      </c>
      <c r="O1109" s="14" t="str">
        <f t="shared" si="239"/>
        <v>00</v>
      </c>
      <c r="R1109" s="6">
        <v>523</v>
      </c>
      <c r="S1109" s="5">
        <f t="shared" si="240"/>
        <v>0</v>
      </c>
    </row>
    <row r="1110" spans="1:22" hidden="1">
      <c r="J1110" s="1" t="str">
        <f t="shared" si="235"/>
        <v>0</v>
      </c>
      <c r="K1110" s="3">
        <f t="shared" si="236"/>
        <v>-100</v>
      </c>
      <c r="L1110" s="3">
        <f t="shared" si="237"/>
        <v>1</v>
      </c>
      <c r="M1110" s="3">
        <f t="shared" si="238"/>
        <v>0</v>
      </c>
      <c r="N1110" s="3" t="str">
        <f t="shared" si="239"/>
        <v>01</v>
      </c>
      <c r="O1110" s="14" t="str">
        <f t="shared" si="239"/>
        <v>00</v>
      </c>
      <c r="R1110" s="6">
        <v>523</v>
      </c>
      <c r="S1110" s="5">
        <f t="shared" si="240"/>
        <v>0</v>
      </c>
    </row>
    <row r="1111" spans="1:22" hidden="1">
      <c r="J1111" s="1" t="str">
        <f t="shared" si="235"/>
        <v>0</v>
      </c>
      <c r="K1111" s="3">
        <f t="shared" si="236"/>
        <v>-100</v>
      </c>
      <c r="L1111" s="3">
        <f t="shared" si="237"/>
        <v>1</v>
      </c>
      <c r="M1111" s="3">
        <f t="shared" si="238"/>
        <v>0</v>
      </c>
      <c r="N1111" s="3" t="str">
        <f t="shared" si="239"/>
        <v>01</v>
      </c>
      <c r="O1111" s="14" t="str">
        <f t="shared" si="239"/>
        <v>00</v>
      </c>
      <c r="R1111" s="6">
        <v>523</v>
      </c>
      <c r="S1111" s="5">
        <f t="shared" si="240"/>
        <v>0</v>
      </c>
    </row>
    <row r="1112" spans="1:22" hidden="1">
      <c r="J1112" s="1" t="str">
        <f t="shared" si="235"/>
        <v>0</v>
      </c>
      <c r="K1112" s="3">
        <f t="shared" si="236"/>
        <v>-100</v>
      </c>
      <c r="L1112" s="3">
        <f t="shared" si="237"/>
        <v>1</v>
      </c>
      <c r="M1112" s="3">
        <f t="shared" si="238"/>
        <v>0</v>
      </c>
      <c r="N1112" s="3" t="str">
        <f t="shared" si="239"/>
        <v>01</v>
      </c>
      <c r="O1112" s="14" t="str">
        <f t="shared" si="239"/>
        <v>00</v>
      </c>
      <c r="R1112" s="6">
        <v>519</v>
      </c>
      <c r="S1112" s="5">
        <f t="shared" si="240"/>
        <v>0</v>
      </c>
    </row>
    <row r="1113" spans="1:22" hidden="1">
      <c r="J1113" s="1" t="str">
        <f t="shared" si="235"/>
        <v>0</v>
      </c>
      <c r="K1113" s="3">
        <f t="shared" si="236"/>
        <v>-100</v>
      </c>
      <c r="L1113" s="3">
        <f t="shared" si="237"/>
        <v>1</v>
      </c>
      <c r="M1113" s="3">
        <f t="shared" si="238"/>
        <v>0</v>
      </c>
      <c r="N1113" s="3" t="str">
        <f t="shared" si="239"/>
        <v>01</v>
      </c>
      <c r="O1113" s="14" t="str">
        <f t="shared" si="239"/>
        <v>00</v>
      </c>
      <c r="R1113" s="6">
        <v>519</v>
      </c>
      <c r="S1113" s="5">
        <f t="shared" si="240"/>
        <v>0</v>
      </c>
    </row>
    <row r="1114" spans="1:22" hidden="1">
      <c r="J1114" s="1" t="str">
        <f t="shared" si="235"/>
        <v>0</v>
      </c>
      <c r="K1114" s="3">
        <f t="shared" si="236"/>
        <v>-100</v>
      </c>
      <c r="L1114" s="3">
        <f t="shared" si="237"/>
        <v>1</v>
      </c>
      <c r="M1114" s="3">
        <f t="shared" si="238"/>
        <v>0</v>
      </c>
      <c r="N1114" s="3" t="str">
        <f t="shared" si="239"/>
        <v>01</v>
      </c>
      <c r="O1114" s="14" t="str">
        <f t="shared" si="239"/>
        <v>00</v>
      </c>
      <c r="R1114" s="6">
        <v>519</v>
      </c>
      <c r="S1114" s="5">
        <f t="shared" si="240"/>
        <v>0</v>
      </c>
    </row>
    <row r="1115" spans="1:22" hidden="1">
      <c r="J1115" s="1" t="str">
        <f t="shared" si="235"/>
        <v>0</v>
      </c>
      <c r="K1115" s="3">
        <f t="shared" si="236"/>
        <v>-100</v>
      </c>
      <c r="L1115" s="3">
        <f t="shared" si="237"/>
        <v>1</v>
      </c>
      <c r="M1115" s="3">
        <f t="shared" si="238"/>
        <v>0</v>
      </c>
      <c r="N1115" s="3" t="str">
        <f t="shared" si="239"/>
        <v>01</v>
      </c>
      <c r="O1115" s="14" t="str">
        <f t="shared" si="239"/>
        <v>00</v>
      </c>
      <c r="R1115" s="6">
        <v>519</v>
      </c>
      <c r="S1115" s="5">
        <f t="shared" si="240"/>
        <v>0</v>
      </c>
    </row>
    <row r="1116" spans="1:22" hidden="1">
      <c r="J1116" s="1" t="str">
        <f t="shared" si="235"/>
        <v>0</v>
      </c>
      <c r="K1116" s="3">
        <f t="shared" si="236"/>
        <v>-100</v>
      </c>
      <c r="L1116" s="3">
        <f t="shared" si="237"/>
        <v>1</v>
      </c>
      <c r="M1116" s="3">
        <f t="shared" si="238"/>
        <v>0</v>
      </c>
      <c r="N1116" s="3" t="str">
        <f t="shared" si="239"/>
        <v>01</v>
      </c>
      <c r="O1116" s="14" t="str">
        <f t="shared" si="239"/>
        <v>00</v>
      </c>
      <c r="R1116" s="6">
        <v>519</v>
      </c>
      <c r="S1116" s="5">
        <f t="shared" si="240"/>
        <v>0</v>
      </c>
    </row>
    <row r="1117" spans="1:22" hidden="1">
      <c r="J1117" s="1" t="str">
        <f t="shared" si="235"/>
        <v>0</v>
      </c>
      <c r="K1117" s="3">
        <f t="shared" si="236"/>
        <v>-100</v>
      </c>
      <c r="L1117" s="3">
        <f t="shared" si="237"/>
        <v>1</v>
      </c>
      <c r="M1117" s="3">
        <f t="shared" si="238"/>
        <v>0</v>
      </c>
      <c r="N1117" s="3" t="str">
        <f t="shared" si="239"/>
        <v>01</v>
      </c>
      <c r="O1117" s="14" t="str">
        <f t="shared" si="239"/>
        <v>00</v>
      </c>
      <c r="R1117" s="6">
        <v>519</v>
      </c>
      <c r="S1117" s="5">
        <f t="shared" si="240"/>
        <v>0</v>
      </c>
    </row>
    <row r="1118" spans="1:22">
      <c r="A1118" s="3">
        <v>1113</v>
      </c>
      <c r="B1118" s="1">
        <f>IF(G1118="-",0,IF(G1117=G1118,1,0))</f>
        <v>0</v>
      </c>
      <c r="C1118" s="1">
        <f>+IF(G1118="-",0,IF(I1118=I1117+1,0,(IF(I1118=1,0,1))))</f>
        <v>1</v>
      </c>
      <c r="D1118" s="1">
        <f t="shared" ref="D1118" si="241">+IF(AND(P1118="",Q1118=""),1,0)</f>
        <v>0</v>
      </c>
      <c r="E1118" s="1">
        <f t="shared" ref="E1118:F1118" si="242">IF(U1118="",1,0)</f>
        <v>0</v>
      </c>
      <c r="F1118" s="1">
        <f t="shared" si="242"/>
        <v>0</v>
      </c>
      <c r="G1118" s="1" t="str">
        <f t="shared" ref="G1118" si="243">IF(H1118=0,"-",_xlfn.CONCAT(K1118,N1118,O1118,J1118))</f>
        <v>24070418</v>
      </c>
      <c r="H1118" s="2">
        <v>45477</v>
      </c>
      <c r="I1118" s="36">
        <v>18</v>
      </c>
      <c r="J1118" s="1">
        <f t="shared" si="235"/>
        <v>18</v>
      </c>
      <c r="K1118" s="3">
        <f t="shared" si="236"/>
        <v>24</v>
      </c>
      <c r="L1118" s="3">
        <f t="shared" si="237"/>
        <v>7</v>
      </c>
      <c r="M1118" s="3">
        <f t="shared" si="238"/>
        <v>4</v>
      </c>
      <c r="N1118" s="3" t="str">
        <f t="shared" si="239"/>
        <v>07</v>
      </c>
      <c r="O1118" s="14" t="str">
        <f t="shared" si="239"/>
        <v>04</v>
      </c>
      <c r="Q1118" s="5">
        <v>6102</v>
      </c>
      <c r="R1118" s="6">
        <v>519</v>
      </c>
      <c r="S1118" s="5">
        <f t="shared" si="240"/>
        <v>0</v>
      </c>
      <c r="T1118" s="5" t="s">
        <v>1066</v>
      </c>
      <c r="U1118" s="3" t="s">
        <v>3</v>
      </c>
      <c r="V1118" s="3" t="s">
        <v>5</v>
      </c>
    </row>
    <row r="1119" spans="1:22" hidden="1">
      <c r="J1119" s="1" t="str">
        <f t="shared" si="235"/>
        <v>0</v>
      </c>
      <c r="K1119" s="3">
        <f t="shared" si="236"/>
        <v>-100</v>
      </c>
      <c r="L1119" s="3">
        <f t="shared" si="237"/>
        <v>1</v>
      </c>
      <c r="M1119" s="3">
        <f t="shared" si="238"/>
        <v>0</v>
      </c>
      <c r="N1119" s="3" t="str">
        <f t="shared" si="239"/>
        <v>01</v>
      </c>
      <c r="O1119" s="14" t="str">
        <f t="shared" si="239"/>
        <v>00</v>
      </c>
    </row>
    <row r="1120" spans="1:22" hidden="1"/>
    <row r="1121" spans="1:23" hidden="1"/>
    <row r="1122" spans="1:23" hidden="1"/>
    <row r="1123" spans="1:23" hidden="1"/>
    <row r="1124" spans="1:23" hidden="1">
      <c r="J1124" s="1" t="str">
        <f t="shared" ref="J1124:J1187" si="244">+IF(I1124&lt;10,_xlfn.CONCAT("0",I1124),I1124)</f>
        <v>0</v>
      </c>
      <c r="K1124" s="3">
        <f t="shared" ref="K1124:K1187" si="245">+YEAR(H1124)-2000</f>
        <v>-100</v>
      </c>
      <c r="L1124" s="3">
        <f t="shared" ref="L1124:L1187" si="246">+MONTH(H1124)</f>
        <v>1</v>
      </c>
      <c r="M1124" s="3">
        <f t="shared" ref="M1124:M1187" si="247">+DAY(H1124)</f>
        <v>0</v>
      </c>
      <c r="N1124" s="3" t="str">
        <f t="shared" ref="N1124:O1155" si="248">+IF(L1124&lt;10,_xlfn.CONCAT("0",L1124),L1124)</f>
        <v>01</v>
      </c>
      <c r="O1124" s="14" t="str">
        <f t="shared" si="248"/>
        <v>00</v>
      </c>
      <c r="R1124" s="6">
        <v>524</v>
      </c>
      <c r="S1124" s="5">
        <f t="shared" ref="S1124:S1173" si="249">IFERROR(P1124/R1124,"")</f>
        <v>0</v>
      </c>
    </row>
    <row r="1125" spans="1:23">
      <c r="A1125" s="3">
        <v>1115</v>
      </c>
      <c r="B1125" s="1">
        <f t="shared" ref="B1125:B1150" si="250">IF(G1125="-",0,IF(G1124=G1125,1,0))</f>
        <v>0</v>
      </c>
      <c r="C1125" s="1">
        <f t="shared" ref="C1125:C1150" si="251">+IF(G1125="-",0,IF(I1125=I1124+1,0,(IF(I1125=1,0,1))))</f>
        <v>1</v>
      </c>
      <c r="D1125" s="1">
        <f t="shared" ref="D1125:D1150" si="252">+IF(AND(P1125="",Q1125=""),1,0)</f>
        <v>0</v>
      </c>
      <c r="E1125" s="1">
        <f t="shared" ref="E1125:F1150" si="253">IF(U1125="",1,0)</f>
        <v>0</v>
      </c>
      <c r="F1125" s="1">
        <f t="shared" si="253"/>
        <v>0</v>
      </c>
      <c r="G1125" s="1" t="str">
        <f t="shared" ref="G1125:G1150" si="254">IF(H1125=0,"-",_xlfn.CONCAT(K1125,N1125,O1125,J1125))</f>
        <v>24070502</v>
      </c>
      <c r="H1125" s="2">
        <v>45478</v>
      </c>
      <c r="I1125" s="36">
        <v>2</v>
      </c>
      <c r="J1125" s="1" t="str">
        <f t="shared" si="244"/>
        <v>02</v>
      </c>
      <c r="K1125" s="3">
        <f t="shared" si="245"/>
        <v>24</v>
      </c>
      <c r="L1125" s="3">
        <f t="shared" si="246"/>
        <v>7</v>
      </c>
      <c r="M1125" s="3">
        <f t="shared" si="247"/>
        <v>5</v>
      </c>
      <c r="N1125" s="3" t="str">
        <f t="shared" si="248"/>
        <v>07</v>
      </c>
      <c r="O1125" s="14" t="str">
        <f t="shared" si="248"/>
        <v>05</v>
      </c>
      <c r="P1125" s="4">
        <v>200000</v>
      </c>
      <c r="R1125" s="6">
        <v>524</v>
      </c>
      <c r="S1125" s="5">
        <f t="shared" si="249"/>
        <v>381.67938931297709</v>
      </c>
      <c r="T1125" s="5" t="s">
        <v>39</v>
      </c>
      <c r="U1125" s="3" t="s">
        <v>2</v>
      </c>
      <c r="V1125" s="3" t="s">
        <v>5</v>
      </c>
    </row>
    <row r="1126" spans="1:23">
      <c r="A1126" s="3">
        <v>1116</v>
      </c>
      <c r="B1126" s="1">
        <f t="shared" si="250"/>
        <v>0</v>
      </c>
      <c r="C1126" s="1">
        <f t="shared" si="251"/>
        <v>0</v>
      </c>
      <c r="D1126" s="1">
        <f t="shared" si="252"/>
        <v>0</v>
      </c>
      <c r="E1126" s="1">
        <f t="shared" si="253"/>
        <v>0</v>
      </c>
      <c r="F1126" s="1">
        <f t="shared" si="253"/>
        <v>0</v>
      </c>
      <c r="G1126" s="1" t="str">
        <f t="shared" si="254"/>
        <v>24070503</v>
      </c>
      <c r="H1126" s="2">
        <v>45478</v>
      </c>
      <c r="I1126" s="36">
        <v>3</v>
      </c>
      <c r="J1126" s="1" t="str">
        <f t="shared" si="244"/>
        <v>03</v>
      </c>
      <c r="K1126" s="3">
        <f t="shared" si="245"/>
        <v>24</v>
      </c>
      <c r="L1126" s="3">
        <f t="shared" si="246"/>
        <v>7</v>
      </c>
      <c r="M1126" s="3">
        <f t="shared" si="247"/>
        <v>5</v>
      </c>
      <c r="N1126" s="3" t="str">
        <f t="shared" si="248"/>
        <v>07</v>
      </c>
      <c r="O1126" s="14" t="str">
        <f t="shared" si="248"/>
        <v>05</v>
      </c>
      <c r="P1126" s="4">
        <v>847093.24</v>
      </c>
      <c r="R1126" s="6">
        <v>525</v>
      </c>
      <c r="S1126" s="5">
        <f t="shared" si="249"/>
        <v>1613.5109333333332</v>
      </c>
      <c r="T1126" s="5" t="s">
        <v>446</v>
      </c>
      <c r="U1126" s="3" t="s">
        <v>2</v>
      </c>
      <c r="V1126" s="3" t="s">
        <v>5</v>
      </c>
    </row>
    <row r="1127" spans="1:23" hidden="1">
      <c r="J1127" s="1" t="str">
        <f t="shared" si="244"/>
        <v>0</v>
      </c>
      <c r="K1127" s="3">
        <f t="shared" si="245"/>
        <v>-100</v>
      </c>
      <c r="L1127" s="3">
        <f t="shared" si="246"/>
        <v>1</v>
      </c>
      <c r="M1127" s="3">
        <f t="shared" si="247"/>
        <v>0</v>
      </c>
      <c r="N1127" s="3" t="str">
        <f t="shared" si="248"/>
        <v>01</v>
      </c>
      <c r="O1127" s="14" t="str">
        <f t="shared" si="248"/>
        <v>00</v>
      </c>
      <c r="R1127" s="6">
        <v>525</v>
      </c>
      <c r="S1127" s="5">
        <f t="shared" si="249"/>
        <v>0</v>
      </c>
    </row>
    <row r="1128" spans="1:23" hidden="1">
      <c r="J1128" s="1" t="str">
        <f t="shared" si="244"/>
        <v>0</v>
      </c>
      <c r="K1128" s="3">
        <f t="shared" si="245"/>
        <v>-100</v>
      </c>
      <c r="L1128" s="3">
        <f t="shared" si="246"/>
        <v>1</v>
      </c>
      <c r="M1128" s="3">
        <f t="shared" si="247"/>
        <v>0</v>
      </c>
      <c r="N1128" s="3" t="str">
        <f t="shared" si="248"/>
        <v>01</v>
      </c>
      <c r="O1128" s="14" t="str">
        <f t="shared" si="248"/>
        <v>00</v>
      </c>
      <c r="R1128" s="6">
        <v>524</v>
      </c>
      <c r="S1128" s="5">
        <f t="shared" si="249"/>
        <v>0</v>
      </c>
    </row>
    <row r="1129" spans="1:23" hidden="1">
      <c r="J1129" s="1" t="str">
        <f t="shared" si="244"/>
        <v>0</v>
      </c>
      <c r="K1129" s="3">
        <f t="shared" si="245"/>
        <v>-100</v>
      </c>
      <c r="L1129" s="3">
        <f t="shared" si="246"/>
        <v>1</v>
      </c>
      <c r="M1129" s="3">
        <f t="shared" si="247"/>
        <v>0</v>
      </c>
      <c r="N1129" s="3" t="str">
        <f t="shared" si="248"/>
        <v>01</v>
      </c>
      <c r="O1129" s="14" t="str">
        <f t="shared" si="248"/>
        <v>00</v>
      </c>
      <c r="R1129" s="6">
        <v>524</v>
      </c>
      <c r="S1129" s="5">
        <f t="shared" si="249"/>
        <v>0</v>
      </c>
    </row>
    <row r="1130" spans="1:23" hidden="1">
      <c r="J1130" s="1" t="str">
        <f t="shared" si="244"/>
        <v>0</v>
      </c>
      <c r="K1130" s="3">
        <f t="shared" si="245"/>
        <v>-100</v>
      </c>
      <c r="L1130" s="3">
        <f t="shared" si="246"/>
        <v>1</v>
      </c>
      <c r="M1130" s="3">
        <f t="shared" si="247"/>
        <v>0</v>
      </c>
      <c r="N1130" s="3" t="str">
        <f t="shared" si="248"/>
        <v>01</v>
      </c>
      <c r="O1130" s="14" t="str">
        <f t="shared" si="248"/>
        <v>00</v>
      </c>
      <c r="R1130" s="6">
        <v>524</v>
      </c>
      <c r="S1130" s="5">
        <f t="shared" si="249"/>
        <v>0</v>
      </c>
    </row>
    <row r="1131" spans="1:23" hidden="1">
      <c r="G1131" s="52"/>
      <c r="H1131" s="9"/>
      <c r="I1131" s="52"/>
      <c r="J1131" s="52" t="str">
        <f t="shared" si="244"/>
        <v>0</v>
      </c>
      <c r="K1131" s="10">
        <f t="shared" si="245"/>
        <v>-100</v>
      </c>
      <c r="L1131" s="10">
        <f t="shared" si="246"/>
        <v>1</v>
      </c>
      <c r="M1131" s="10">
        <f t="shared" si="247"/>
        <v>0</v>
      </c>
      <c r="N1131" s="10" t="str">
        <f t="shared" si="248"/>
        <v>01</v>
      </c>
      <c r="O1131" s="70" t="str">
        <f t="shared" si="248"/>
        <v>00</v>
      </c>
      <c r="P1131" s="11"/>
      <c r="Q1131" s="12"/>
      <c r="R1131" s="13">
        <v>525</v>
      </c>
      <c r="S1131" s="12">
        <f t="shared" si="249"/>
        <v>0</v>
      </c>
      <c r="T1131" s="12"/>
      <c r="U1131" s="10"/>
      <c r="V1131" s="10"/>
      <c r="W1131" s="10"/>
    </row>
    <row r="1132" spans="1:23" hidden="1">
      <c r="G1132" s="52"/>
      <c r="H1132" s="9"/>
      <c r="I1132" s="52"/>
      <c r="J1132" s="52" t="str">
        <f t="shared" si="244"/>
        <v>0</v>
      </c>
      <c r="K1132" s="10">
        <f t="shared" si="245"/>
        <v>-100</v>
      </c>
      <c r="L1132" s="10">
        <f t="shared" si="246"/>
        <v>1</v>
      </c>
      <c r="M1132" s="10">
        <f t="shared" si="247"/>
        <v>0</v>
      </c>
      <c r="N1132" s="10" t="str">
        <f t="shared" si="248"/>
        <v>01</v>
      </c>
      <c r="O1132" s="70" t="str">
        <f t="shared" si="248"/>
        <v>00</v>
      </c>
      <c r="P1132" s="11"/>
      <c r="Q1132" s="12"/>
      <c r="R1132" s="13">
        <v>525</v>
      </c>
      <c r="S1132" s="12">
        <f t="shared" si="249"/>
        <v>0</v>
      </c>
      <c r="T1132" s="12"/>
      <c r="U1132" s="10"/>
      <c r="V1132" s="10"/>
      <c r="W1132" s="10"/>
    </row>
    <row r="1133" spans="1:23" hidden="1">
      <c r="G1133" s="52"/>
      <c r="H1133" s="9"/>
      <c r="I1133" s="52"/>
      <c r="J1133" s="52" t="str">
        <f t="shared" si="244"/>
        <v>0</v>
      </c>
      <c r="K1133" s="10">
        <f t="shared" si="245"/>
        <v>-100</v>
      </c>
      <c r="L1133" s="10">
        <f t="shared" si="246"/>
        <v>1</v>
      </c>
      <c r="M1133" s="10">
        <f t="shared" si="247"/>
        <v>0</v>
      </c>
      <c r="N1133" s="10" t="str">
        <f t="shared" si="248"/>
        <v>01</v>
      </c>
      <c r="O1133" s="70" t="str">
        <f t="shared" si="248"/>
        <v>00</v>
      </c>
      <c r="P1133" s="11"/>
      <c r="Q1133" s="12"/>
      <c r="R1133" s="13">
        <v>525</v>
      </c>
      <c r="S1133" s="12">
        <f t="shared" si="249"/>
        <v>0</v>
      </c>
      <c r="T1133" s="12"/>
      <c r="U1133" s="10"/>
      <c r="V1133" s="10"/>
      <c r="W1133" s="10"/>
    </row>
    <row r="1134" spans="1:23" hidden="1">
      <c r="G1134" s="52"/>
      <c r="H1134" s="9"/>
      <c r="I1134" s="52"/>
      <c r="J1134" s="52" t="str">
        <f t="shared" si="244"/>
        <v>0</v>
      </c>
      <c r="K1134" s="10">
        <f t="shared" si="245"/>
        <v>-100</v>
      </c>
      <c r="L1134" s="10">
        <f t="shared" si="246"/>
        <v>1</v>
      </c>
      <c r="M1134" s="10">
        <f t="shared" si="247"/>
        <v>0</v>
      </c>
      <c r="N1134" s="10" t="str">
        <f t="shared" si="248"/>
        <v>01</v>
      </c>
      <c r="O1134" s="70" t="str">
        <f t="shared" si="248"/>
        <v>00</v>
      </c>
      <c r="P1134" s="11"/>
      <c r="Q1134" s="12"/>
      <c r="R1134" s="13">
        <v>525</v>
      </c>
      <c r="S1134" s="12">
        <f t="shared" si="249"/>
        <v>0</v>
      </c>
      <c r="T1134" s="12"/>
      <c r="U1134" s="10"/>
      <c r="V1134" s="10"/>
      <c r="W1134" s="10"/>
    </row>
    <row r="1135" spans="1:23" hidden="1">
      <c r="G1135" s="52"/>
      <c r="H1135" s="9"/>
      <c r="I1135" s="52"/>
      <c r="J1135" s="52" t="str">
        <f t="shared" si="244"/>
        <v>0</v>
      </c>
      <c r="K1135" s="10">
        <f t="shared" si="245"/>
        <v>-100</v>
      </c>
      <c r="L1135" s="10">
        <f t="shared" si="246"/>
        <v>1</v>
      </c>
      <c r="M1135" s="10">
        <f t="shared" si="247"/>
        <v>0</v>
      </c>
      <c r="N1135" s="10" t="str">
        <f t="shared" si="248"/>
        <v>01</v>
      </c>
      <c r="O1135" s="70" t="str">
        <f t="shared" si="248"/>
        <v>00</v>
      </c>
      <c r="P1135" s="11"/>
      <c r="Q1135" s="12"/>
      <c r="R1135" s="13">
        <v>525</v>
      </c>
      <c r="S1135" s="12">
        <f t="shared" si="249"/>
        <v>0</v>
      </c>
      <c r="T1135" s="12"/>
      <c r="U1135" s="10"/>
      <c r="V1135" s="10"/>
      <c r="W1135" s="10"/>
    </row>
    <row r="1136" spans="1:23" hidden="1">
      <c r="G1136" s="52"/>
      <c r="H1136" s="9"/>
      <c r="I1136" s="52"/>
      <c r="J1136" s="52" t="str">
        <f t="shared" si="244"/>
        <v>0</v>
      </c>
      <c r="K1136" s="10">
        <f t="shared" si="245"/>
        <v>-100</v>
      </c>
      <c r="L1136" s="10">
        <f t="shared" si="246"/>
        <v>1</v>
      </c>
      <c r="M1136" s="10">
        <f t="shared" si="247"/>
        <v>0</v>
      </c>
      <c r="N1136" s="10" t="str">
        <f t="shared" si="248"/>
        <v>01</v>
      </c>
      <c r="O1136" s="70" t="str">
        <f t="shared" si="248"/>
        <v>00</v>
      </c>
      <c r="P1136" s="11"/>
      <c r="Q1136" s="12"/>
      <c r="R1136" s="13">
        <v>525</v>
      </c>
      <c r="S1136" s="12">
        <f t="shared" si="249"/>
        <v>0</v>
      </c>
      <c r="T1136" s="12"/>
      <c r="U1136" s="10"/>
      <c r="V1136" s="10"/>
      <c r="W1136" s="10"/>
    </row>
    <row r="1137" spans="1:23">
      <c r="A1137" s="3">
        <v>1127</v>
      </c>
      <c r="B1137" s="1">
        <f t="shared" si="250"/>
        <v>0</v>
      </c>
      <c r="C1137" s="1">
        <f t="shared" si="251"/>
        <v>1</v>
      </c>
      <c r="D1137" s="1">
        <f t="shared" si="252"/>
        <v>0</v>
      </c>
      <c r="E1137" s="1">
        <f t="shared" si="253"/>
        <v>0</v>
      </c>
      <c r="F1137" s="1">
        <f t="shared" si="253"/>
        <v>0</v>
      </c>
      <c r="G1137" s="52" t="str">
        <f t="shared" si="254"/>
        <v>24070607</v>
      </c>
      <c r="H1137" s="9">
        <v>45479</v>
      </c>
      <c r="I1137" s="52">
        <v>7</v>
      </c>
      <c r="J1137" s="52" t="str">
        <f t="shared" si="244"/>
        <v>07</v>
      </c>
      <c r="K1137" s="10">
        <f t="shared" si="245"/>
        <v>24</v>
      </c>
      <c r="L1137" s="10">
        <f t="shared" si="246"/>
        <v>7</v>
      </c>
      <c r="M1137" s="10">
        <f t="shared" si="247"/>
        <v>6</v>
      </c>
      <c r="N1137" s="10" t="str">
        <f t="shared" si="248"/>
        <v>07</v>
      </c>
      <c r="O1137" s="70" t="str">
        <f t="shared" si="248"/>
        <v>06</v>
      </c>
      <c r="P1137" s="11">
        <v>120000</v>
      </c>
      <c r="Q1137" s="12"/>
      <c r="R1137" s="13">
        <v>525</v>
      </c>
      <c r="S1137" s="12">
        <f t="shared" si="249"/>
        <v>228.57142857142858</v>
      </c>
      <c r="T1137" s="12" t="s">
        <v>444</v>
      </c>
      <c r="U1137" s="10" t="s">
        <v>1</v>
      </c>
      <c r="V1137" s="10" t="s">
        <v>5</v>
      </c>
      <c r="W1137" s="10"/>
    </row>
    <row r="1138" spans="1:23" hidden="1">
      <c r="G1138" s="52"/>
      <c r="H1138" s="9"/>
      <c r="I1138" s="52"/>
      <c r="J1138" s="52" t="str">
        <f t="shared" si="244"/>
        <v>0</v>
      </c>
      <c r="K1138" s="10">
        <f t="shared" si="245"/>
        <v>-100</v>
      </c>
      <c r="L1138" s="10">
        <f t="shared" si="246"/>
        <v>1</v>
      </c>
      <c r="M1138" s="10">
        <f t="shared" si="247"/>
        <v>0</v>
      </c>
      <c r="N1138" s="10" t="str">
        <f t="shared" si="248"/>
        <v>01</v>
      </c>
      <c r="O1138" s="70" t="str">
        <f t="shared" si="248"/>
        <v>00</v>
      </c>
      <c r="P1138" s="11"/>
      <c r="Q1138" s="12"/>
      <c r="R1138" s="13">
        <v>525</v>
      </c>
      <c r="S1138" s="12">
        <f t="shared" si="249"/>
        <v>0</v>
      </c>
      <c r="T1138" s="12"/>
      <c r="U1138" s="10"/>
      <c r="V1138" s="10"/>
      <c r="W1138" s="10"/>
    </row>
    <row r="1139" spans="1:23">
      <c r="A1139" s="3">
        <v>1129</v>
      </c>
      <c r="B1139" s="1">
        <f t="shared" si="250"/>
        <v>0</v>
      </c>
      <c r="C1139" s="1">
        <f t="shared" si="251"/>
        <v>1</v>
      </c>
      <c r="D1139" s="1">
        <f t="shared" si="252"/>
        <v>0</v>
      </c>
      <c r="E1139" s="1">
        <f t="shared" si="253"/>
        <v>0</v>
      </c>
      <c r="F1139" s="1">
        <f t="shared" si="253"/>
        <v>0</v>
      </c>
      <c r="G1139" s="52" t="str">
        <f t="shared" si="254"/>
        <v>24070609</v>
      </c>
      <c r="H1139" s="9">
        <v>45479</v>
      </c>
      <c r="I1139" s="52">
        <v>9</v>
      </c>
      <c r="J1139" s="52" t="str">
        <f t="shared" si="244"/>
        <v>09</v>
      </c>
      <c r="K1139" s="10">
        <f t="shared" si="245"/>
        <v>24</v>
      </c>
      <c r="L1139" s="10">
        <f t="shared" si="246"/>
        <v>7</v>
      </c>
      <c r="M1139" s="10">
        <f t="shared" si="247"/>
        <v>6</v>
      </c>
      <c r="N1139" s="10" t="str">
        <f t="shared" si="248"/>
        <v>07</v>
      </c>
      <c r="O1139" s="70" t="str">
        <f t="shared" si="248"/>
        <v>06</v>
      </c>
      <c r="P1139" s="11">
        <v>120000</v>
      </c>
      <c r="Q1139" s="12"/>
      <c r="R1139" s="13">
        <v>525</v>
      </c>
      <c r="S1139" s="12">
        <f t="shared" si="249"/>
        <v>228.57142857142858</v>
      </c>
      <c r="T1139" s="12" t="s">
        <v>431</v>
      </c>
      <c r="U1139" s="10" t="s">
        <v>1</v>
      </c>
      <c r="V1139" s="10" t="s">
        <v>5</v>
      </c>
      <c r="W1139" s="10"/>
    </row>
    <row r="1140" spans="1:23" hidden="1">
      <c r="G1140" s="52"/>
      <c r="H1140" s="9"/>
      <c r="I1140" s="52"/>
      <c r="J1140" s="52" t="str">
        <f t="shared" si="244"/>
        <v>0</v>
      </c>
      <c r="K1140" s="10">
        <f t="shared" si="245"/>
        <v>-100</v>
      </c>
      <c r="L1140" s="10">
        <f t="shared" si="246"/>
        <v>1</v>
      </c>
      <c r="M1140" s="10">
        <f t="shared" si="247"/>
        <v>0</v>
      </c>
      <c r="N1140" s="10" t="str">
        <f t="shared" si="248"/>
        <v>01</v>
      </c>
      <c r="O1140" s="70" t="str">
        <f t="shared" si="248"/>
        <v>00</v>
      </c>
      <c r="P1140" s="11"/>
      <c r="Q1140" s="12"/>
      <c r="R1140" s="13">
        <v>525</v>
      </c>
      <c r="S1140" s="12">
        <f t="shared" si="249"/>
        <v>0</v>
      </c>
      <c r="T1140" s="12"/>
      <c r="U1140" s="10"/>
      <c r="V1140" s="10"/>
      <c r="W1140" s="10"/>
    </row>
    <row r="1141" spans="1:23">
      <c r="A1141" s="3">
        <v>1131</v>
      </c>
      <c r="B1141" s="1">
        <f t="shared" si="250"/>
        <v>0</v>
      </c>
      <c r="C1141" s="1">
        <f t="shared" si="251"/>
        <v>1</v>
      </c>
      <c r="D1141" s="1">
        <f t="shared" si="252"/>
        <v>0</v>
      </c>
      <c r="E1141" s="1">
        <f t="shared" si="253"/>
        <v>0</v>
      </c>
      <c r="F1141" s="1">
        <f t="shared" si="253"/>
        <v>0</v>
      </c>
      <c r="G1141" s="52" t="str">
        <f t="shared" si="254"/>
        <v>24070611</v>
      </c>
      <c r="H1141" s="9">
        <v>45479</v>
      </c>
      <c r="I1141" s="52">
        <v>11</v>
      </c>
      <c r="J1141" s="52">
        <f t="shared" si="244"/>
        <v>11</v>
      </c>
      <c r="K1141" s="10">
        <f t="shared" si="245"/>
        <v>24</v>
      </c>
      <c r="L1141" s="10">
        <f t="shared" si="246"/>
        <v>7</v>
      </c>
      <c r="M1141" s="10">
        <f t="shared" si="247"/>
        <v>6</v>
      </c>
      <c r="N1141" s="10" t="str">
        <f t="shared" si="248"/>
        <v>07</v>
      </c>
      <c r="O1141" s="70" t="str">
        <f t="shared" si="248"/>
        <v>06</v>
      </c>
      <c r="P1141" s="11">
        <v>102000</v>
      </c>
      <c r="Q1141" s="12"/>
      <c r="R1141" s="13">
        <v>525</v>
      </c>
      <c r="S1141" s="12">
        <f t="shared" si="249"/>
        <v>194.28571428571428</v>
      </c>
      <c r="T1141" s="12" t="s">
        <v>436</v>
      </c>
      <c r="U1141" s="10" t="s">
        <v>1</v>
      </c>
      <c r="V1141" s="10" t="s">
        <v>5</v>
      </c>
      <c r="W1141" s="10"/>
    </row>
    <row r="1142" spans="1:23">
      <c r="A1142" s="3">
        <v>1132</v>
      </c>
      <c r="B1142" s="1">
        <f t="shared" si="250"/>
        <v>0</v>
      </c>
      <c r="C1142" s="1">
        <f t="shared" si="251"/>
        <v>0</v>
      </c>
      <c r="D1142" s="1">
        <f t="shared" si="252"/>
        <v>0</v>
      </c>
      <c r="E1142" s="1">
        <f t="shared" si="253"/>
        <v>0</v>
      </c>
      <c r="F1142" s="1">
        <f t="shared" si="253"/>
        <v>0</v>
      </c>
      <c r="G1142" s="52" t="str">
        <f t="shared" si="254"/>
        <v>24070612</v>
      </c>
      <c r="H1142" s="9">
        <v>45479</v>
      </c>
      <c r="I1142" s="52">
        <v>12</v>
      </c>
      <c r="J1142" s="52">
        <f t="shared" si="244"/>
        <v>12</v>
      </c>
      <c r="K1142" s="10">
        <f t="shared" si="245"/>
        <v>24</v>
      </c>
      <c r="L1142" s="10">
        <f t="shared" si="246"/>
        <v>7</v>
      </c>
      <c r="M1142" s="10">
        <f t="shared" si="247"/>
        <v>6</v>
      </c>
      <c r="N1142" s="10" t="str">
        <f t="shared" si="248"/>
        <v>07</v>
      </c>
      <c r="O1142" s="70" t="str">
        <f t="shared" si="248"/>
        <v>06</v>
      </c>
      <c r="P1142" s="11">
        <v>200000</v>
      </c>
      <c r="Q1142" s="12"/>
      <c r="R1142" s="13">
        <v>525</v>
      </c>
      <c r="S1142" s="12">
        <f t="shared" si="249"/>
        <v>380.95238095238096</v>
      </c>
      <c r="T1142" s="12" t="s">
        <v>437</v>
      </c>
      <c r="U1142" s="10" t="s">
        <v>1</v>
      </c>
      <c r="V1142" s="10" t="s">
        <v>5</v>
      </c>
      <c r="W1142" s="10"/>
    </row>
    <row r="1143" spans="1:23">
      <c r="A1143" s="3">
        <v>1133</v>
      </c>
      <c r="B1143" s="1">
        <f t="shared" si="250"/>
        <v>0</v>
      </c>
      <c r="C1143" s="1">
        <f t="shared" si="251"/>
        <v>0</v>
      </c>
      <c r="D1143" s="1">
        <f t="shared" si="252"/>
        <v>0</v>
      </c>
      <c r="E1143" s="1">
        <f t="shared" si="253"/>
        <v>0</v>
      </c>
      <c r="F1143" s="1">
        <f t="shared" si="253"/>
        <v>0</v>
      </c>
      <c r="G1143" s="52" t="str">
        <f t="shared" si="254"/>
        <v>24070613</v>
      </c>
      <c r="H1143" s="9">
        <v>45479</v>
      </c>
      <c r="I1143" s="52">
        <v>13</v>
      </c>
      <c r="J1143" s="52">
        <f t="shared" si="244"/>
        <v>13</v>
      </c>
      <c r="K1143" s="10">
        <f t="shared" si="245"/>
        <v>24</v>
      </c>
      <c r="L1143" s="10">
        <f t="shared" si="246"/>
        <v>7</v>
      </c>
      <c r="M1143" s="10">
        <f t="shared" si="247"/>
        <v>6</v>
      </c>
      <c r="N1143" s="10" t="str">
        <f t="shared" si="248"/>
        <v>07</v>
      </c>
      <c r="O1143" s="70" t="str">
        <f t="shared" si="248"/>
        <v>06</v>
      </c>
      <c r="P1143" s="11">
        <v>90000</v>
      </c>
      <c r="Q1143" s="12"/>
      <c r="R1143" s="13">
        <v>525</v>
      </c>
      <c r="S1143" s="12">
        <f t="shared" si="249"/>
        <v>171.42857142857142</v>
      </c>
      <c r="T1143" s="12" t="s">
        <v>432</v>
      </c>
      <c r="U1143" s="10" t="s">
        <v>1</v>
      </c>
      <c r="V1143" s="10" t="s">
        <v>5</v>
      </c>
      <c r="W1143" s="10"/>
    </row>
    <row r="1144" spans="1:23">
      <c r="A1144" s="3">
        <v>1134</v>
      </c>
      <c r="B1144" s="1">
        <f t="shared" si="250"/>
        <v>0</v>
      </c>
      <c r="C1144" s="1">
        <f t="shared" si="251"/>
        <v>0</v>
      </c>
      <c r="D1144" s="1">
        <f t="shared" si="252"/>
        <v>0</v>
      </c>
      <c r="E1144" s="1">
        <f t="shared" si="253"/>
        <v>0</v>
      </c>
      <c r="F1144" s="1">
        <f t="shared" si="253"/>
        <v>0</v>
      </c>
      <c r="G1144" s="52" t="str">
        <f t="shared" si="254"/>
        <v>24070614</v>
      </c>
      <c r="H1144" s="9">
        <v>45479</v>
      </c>
      <c r="I1144" s="52">
        <v>14</v>
      </c>
      <c r="J1144" s="52">
        <f t="shared" si="244"/>
        <v>14</v>
      </c>
      <c r="K1144" s="10">
        <f t="shared" si="245"/>
        <v>24</v>
      </c>
      <c r="L1144" s="10">
        <f t="shared" si="246"/>
        <v>7</v>
      </c>
      <c r="M1144" s="10">
        <f t="shared" si="247"/>
        <v>6</v>
      </c>
      <c r="N1144" s="10" t="str">
        <f t="shared" si="248"/>
        <v>07</v>
      </c>
      <c r="O1144" s="70" t="str">
        <f t="shared" si="248"/>
        <v>06</v>
      </c>
      <c r="P1144" s="11">
        <v>230000</v>
      </c>
      <c r="Q1144" s="12"/>
      <c r="R1144" s="13">
        <v>525</v>
      </c>
      <c r="S1144" s="12">
        <f t="shared" si="249"/>
        <v>438.09523809523807</v>
      </c>
      <c r="T1144" s="12" t="s">
        <v>433</v>
      </c>
      <c r="U1144" s="10" t="s">
        <v>1</v>
      </c>
      <c r="V1144" s="10" t="s">
        <v>5</v>
      </c>
      <c r="W1144" s="10"/>
    </row>
    <row r="1145" spans="1:23" hidden="1">
      <c r="G1145" s="52"/>
      <c r="H1145" s="9"/>
      <c r="I1145" s="52"/>
      <c r="J1145" s="52" t="str">
        <f t="shared" si="244"/>
        <v>0</v>
      </c>
      <c r="K1145" s="10">
        <f t="shared" si="245"/>
        <v>-100</v>
      </c>
      <c r="L1145" s="10">
        <f t="shared" si="246"/>
        <v>1</v>
      </c>
      <c r="M1145" s="10">
        <f t="shared" si="247"/>
        <v>0</v>
      </c>
      <c r="N1145" s="10" t="str">
        <f t="shared" si="248"/>
        <v>01</v>
      </c>
      <c r="O1145" s="70" t="str">
        <f t="shared" si="248"/>
        <v>00</v>
      </c>
      <c r="P1145" s="11"/>
      <c r="Q1145" s="12"/>
      <c r="R1145" s="13">
        <v>525</v>
      </c>
      <c r="S1145" s="12">
        <f t="shared" si="249"/>
        <v>0</v>
      </c>
      <c r="T1145" s="12"/>
      <c r="U1145" s="10"/>
      <c r="V1145" s="10"/>
      <c r="W1145" s="10"/>
    </row>
    <row r="1146" spans="1:23">
      <c r="A1146" s="3">
        <v>1136</v>
      </c>
      <c r="B1146" s="1">
        <f t="shared" si="250"/>
        <v>0</v>
      </c>
      <c r="C1146" s="1">
        <f t="shared" si="251"/>
        <v>1</v>
      </c>
      <c r="D1146" s="1">
        <f t="shared" si="252"/>
        <v>0</v>
      </c>
      <c r="E1146" s="1">
        <f t="shared" si="253"/>
        <v>0</v>
      </c>
      <c r="F1146" s="1">
        <f t="shared" si="253"/>
        <v>0</v>
      </c>
      <c r="G1146" s="52" t="str">
        <f t="shared" si="254"/>
        <v>24070616</v>
      </c>
      <c r="H1146" s="9">
        <v>45479</v>
      </c>
      <c r="I1146" s="52">
        <v>16</v>
      </c>
      <c r="J1146" s="52">
        <f t="shared" si="244"/>
        <v>16</v>
      </c>
      <c r="K1146" s="10">
        <f t="shared" si="245"/>
        <v>24</v>
      </c>
      <c r="L1146" s="10">
        <f t="shared" si="246"/>
        <v>7</v>
      </c>
      <c r="M1146" s="10">
        <f t="shared" si="247"/>
        <v>6</v>
      </c>
      <c r="N1146" s="10" t="str">
        <f t="shared" si="248"/>
        <v>07</v>
      </c>
      <c r="O1146" s="70" t="str">
        <f t="shared" si="248"/>
        <v>06</v>
      </c>
      <c r="P1146" s="11">
        <v>110000</v>
      </c>
      <c r="Q1146" s="12"/>
      <c r="R1146" s="13">
        <v>525</v>
      </c>
      <c r="S1146" s="12">
        <f t="shared" si="249"/>
        <v>209.52380952380952</v>
      </c>
      <c r="T1146" s="12" t="s">
        <v>429</v>
      </c>
      <c r="U1146" s="10" t="s">
        <v>1</v>
      </c>
      <c r="V1146" s="10" t="s">
        <v>5</v>
      </c>
      <c r="W1146" s="10"/>
    </row>
    <row r="1147" spans="1:23">
      <c r="A1147" s="3">
        <v>1137</v>
      </c>
      <c r="B1147" s="1">
        <f t="shared" si="250"/>
        <v>0</v>
      </c>
      <c r="C1147" s="1">
        <f t="shared" si="251"/>
        <v>0</v>
      </c>
      <c r="D1147" s="1">
        <f t="shared" si="252"/>
        <v>0</v>
      </c>
      <c r="E1147" s="1">
        <f t="shared" si="253"/>
        <v>0</v>
      </c>
      <c r="F1147" s="1">
        <f t="shared" si="253"/>
        <v>0</v>
      </c>
      <c r="G1147" s="52" t="str">
        <f t="shared" si="254"/>
        <v>24070617</v>
      </c>
      <c r="H1147" s="9">
        <v>45479</v>
      </c>
      <c r="I1147" s="52">
        <v>17</v>
      </c>
      <c r="J1147" s="52">
        <f t="shared" si="244"/>
        <v>17</v>
      </c>
      <c r="K1147" s="10">
        <f t="shared" si="245"/>
        <v>24</v>
      </c>
      <c r="L1147" s="10">
        <f t="shared" si="246"/>
        <v>7</v>
      </c>
      <c r="M1147" s="10">
        <f t="shared" si="247"/>
        <v>6</v>
      </c>
      <c r="N1147" s="10" t="str">
        <f t="shared" si="248"/>
        <v>07</v>
      </c>
      <c r="O1147" s="70" t="str">
        <f t="shared" si="248"/>
        <v>06</v>
      </c>
      <c r="P1147" s="11">
        <v>150000</v>
      </c>
      <c r="Q1147" s="12"/>
      <c r="R1147" s="13">
        <v>525</v>
      </c>
      <c r="S1147" s="12">
        <f t="shared" si="249"/>
        <v>285.71428571428572</v>
      </c>
      <c r="T1147" s="12" t="s">
        <v>430</v>
      </c>
      <c r="U1147" s="10" t="s">
        <v>1</v>
      </c>
      <c r="V1147" s="10" t="s">
        <v>5</v>
      </c>
      <c r="W1147" s="10"/>
    </row>
    <row r="1148" spans="1:23" hidden="1">
      <c r="G1148" s="52"/>
      <c r="H1148" s="9"/>
      <c r="I1148" s="52"/>
      <c r="J1148" s="52" t="str">
        <f t="shared" si="244"/>
        <v>0</v>
      </c>
      <c r="K1148" s="10">
        <f t="shared" si="245"/>
        <v>-100</v>
      </c>
      <c r="L1148" s="10">
        <f t="shared" si="246"/>
        <v>1</v>
      </c>
      <c r="M1148" s="10">
        <f t="shared" si="247"/>
        <v>0</v>
      </c>
      <c r="N1148" s="10" t="str">
        <f t="shared" si="248"/>
        <v>01</v>
      </c>
      <c r="O1148" s="70" t="str">
        <f t="shared" si="248"/>
        <v>00</v>
      </c>
      <c r="P1148" s="11"/>
      <c r="Q1148" s="12"/>
      <c r="R1148" s="13">
        <v>525</v>
      </c>
      <c r="S1148" s="12">
        <f t="shared" si="249"/>
        <v>0</v>
      </c>
      <c r="T1148" s="12"/>
      <c r="U1148" s="10"/>
      <c r="V1148" s="10"/>
      <c r="W1148" s="10"/>
    </row>
    <row r="1149" spans="1:23" hidden="1">
      <c r="G1149" s="52"/>
      <c r="H1149" s="9"/>
      <c r="I1149" s="52"/>
      <c r="J1149" s="52" t="str">
        <f t="shared" si="244"/>
        <v>0</v>
      </c>
      <c r="K1149" s="10">
        <f t="shared" si="245"/>
        <v>-100</v>
      </c>
      <c r="L1149" s="10">
        <f t="shared" si="246"/>
        <v>1</v>
      </c>
      <c r="M1149" s="10">
        <f t="shared" si="247"/>
        <v>0</v>
      </c>
      <c r="N1149" s="10" t="str">
        <f t="shared" si="248"/>
        <v>01</v>
      </c>
      <c r="O1149" s="70" t="str">
        <f t="shared" si="248"/>
        <v>00</v>
      </c>
      <c r="P1149" s="11"/>
      <c r="Q1149" s="12"/>
      <c r="R1149" s="13">
        <v>525</v>
      </c>
      <c r="S1149" s="12">
        <f t="shared" si="249"/>
        <v>0</v>
      </c>
      <c r="T1149" s="12"/>
      <c r="U1149" s="10"/>
      <c r="V1149" s="10"/>
      <c r="W1149" s="10"/>
    </row>
    <row r="1150" spans="1:23">
      <c r="A1150" s="3">
        <v>1140</v>
      </c>
      <c r="B1150" s="1">
        <f t="shared" si="250"/>
        <v>0</v>
      </c>
      <c r="C1150" s="1">
        <f t="shared" si="251"/>
        <v>1</v>
      </c>
      <c r="D1150" s="1">
        <f t="shared" si="252"/>
        <v>0</v>
      </c>
      <c r="E1150" s="1">
        <f t="shared" si="253"/>
        <v>0</v>
      </c>
      <c r="F1150" s="1">
        <f t="shared" si="253"/>
        <v>0</v>
      </c>
      <c r="G1150" s="52" t="str">
        <f t="shared" si="254"/>
        <v>24070620</v>
      </c>
      <c r="H1150" s="9">
        <v>45479</v>
      </c>
      <c r="I1150" s="52">
        <v>20</v>
      </c>
      <c r="J1150" s="52">
        <f t="shared" si="244"/>
        <v>20</v>
      </c>
      <c r="K1150" s="10">
        <f t="shared" si="245"/>
        <v>24</v>
      </c>
      <c r="L1150" s="10">
        <f t="shared" si="246"/>
        <v>7</v>
      </c>
      <c r="M1150" s="10">
        <f t="shared" si="247"/>
        <v>6</v>
      </c>
      <c r="N1150" s="10" t="str">
        <f t="shared" si="248"/>
        <v>07</v>
      </c>
      <c r="O1150" s="70" t="str">
        <f t="shared" si="248"/>
        <v>06</v>
      </c>
      <c r="P1150" s="11">
        <f>9*3*539</f>
        <v>14553</v>
      </c>
      <c r="Q1150" s="12"/>
      <c r="R1150" s="13">
        <v>525</v>
      </c>
      <c r="S1150" s="12">
        <f t="shared" si="249"/>
        <v>27.72</v>
      </c>
      <c r="T1150" s="12" t="s">
        <v>653</v>
      </c>
      <c r="U1150" s="10" t="s">
        <v>1</v>
      </c>
      <c r="V1150" s="10" t="s">
        <v>5</v>
      </c>
      <c r="W1150" s="10"/>
    </row>
    <row r="1151" spans="1:23" hidden="1">
      <c r="G1151" s="52"/>
      <c r="H1151" s="9"/>
      <c r="I1151" s="52"/>
      <c r="J1151" s="52" t="str">
        <f t="shared" si="244"/>
        <v>0</v>
      </c>
      <c r="K1151" s="10">
        <f t="shared" si="245"/>
        <v>-100</v>
      </c>
      <c r="L1151" s="10">
        <f t="shared" si="246"/>
        <v>1</v>
      </c>
      <c r="M1151" s="10">
        <f t="shared" si="247"/>
        <v>0</v>
      </c>
      <c r="N1151" s="10" t="str">
        <f t="shared" si="248"/>
        <v>01</v>
      </c>
      <c r="O1151" s="70" t="str">
        <f t="shared" si="248"/>
        <v>00</v>
      </c>
      <c r="P1151" s="11"/>
      <c r="Q1151" s="12"/>
      <c r="R1151" s="13">
        <v>525</v>
      </c>
      <c r="S1151" s="12">
        <f t="shared" si="249"/>
        <v>0</v>
      </c>
      <c r="T1151" s="12"/>
      <c r="U1151" s="10"/>
      <c r="V1151" s="10"/>
      <c r="W1151" s="10"/>
    </row>
    <row r="1152" spans="1:23" hidden="1">
      <c r="J1152" s="1" t="str">
        <f t="shared" si="244"/>
        <v>0</v>
      </c>
      <c r="K1152" s="3">
        <f t="shared" si="245"/>
        <v>-100</v>
      </c>
      <c r="L1152" s="3">
        <f t="shared" si="246"/>
        <v>1</v>
      </c>
      <c r="M1152" s="3">
        <f t="shared" si="247"/>
        <v>0</v>
      </c>
      <c r="N1152" s="3" t="str">
        <f t="shared" si="248"/>
        <v>01</v>
      </c>
      <c r="O1152" s="14" t="str">
        <f t="shared" si="248"/>
        <v>00</v>
      </c>
      <c r="R1152" s="6">
        <v>525</v>
      </c>
      <c r="S1152" s="5">
        <f t="shared" si="249"/>
        <v>0</v>
      </c>
    </row>
    <row r="1153" spans="10:19" hidden="1">
      <c r="J1153" s="1" t="str">
        <f t="shared" si="244"/>
        <v>0</v>
      </c>
      <c r="K1153" s="3">
        <f t="shared" si="245"/>
        <v>-100</v>
      </c>
      <c r="L1153" s="3">
        <f t="shared" si="246"/>
        <v>1</v>
      </c>
      <c r="M1153" s="3">
        <f t="shared" si="247"/>
        <v>0</v>
      </c>
      <c r="N1153" s="3" t="str">
        <f t="shared" si="248"/>
        <v>01</v>
      </c>
      <c r="O1153" s="14" t="str">
        <f t="shared" si="248"/>
        <v>00</v>
      </c>
      <c r="R1153" s="6">
        <v>525</v>
      </c>
      <c r="S1153" s="5">
        <f t="shared" si="249"/>
        <v>0</v>
      </c>
    </row>
    <row r="1154" spans="10:19" hidden="1">
      <c r="J1154" s="1" t="str">
        <f t="shared" si="244"/>
        <v>0</v>
      </c>
      <c r="K1154" s="3">
        <f t="shared" si="245"/>
        <v>-100</v>
      </c>
      <c r="L1154" s="3">
        <f t="shared" si="246"/>
        <v>1</v>
      </c>
      <c r="M1154" s="3">
        <f t="shared" si="247"/>
        <v>0</v>
      </c>
      <c r="N1154" s="3" t="str">
        <f t="shared" si="248"/>
        <v>01</v>
      </c>
      <c r="O1154" s="14" t="str">
        <f t="shared" si="248"/>
        <v>00</v>
      </c>
      <c r="R1154" s="6">
        <v>525</v>
      </c>
      <c r="S1154" s="5">
        <f t="shared" si="249"/>
        <v>0</v>
      </c>
    </row>
    <row r="1155" spans="10:19" hidden="1">
      <c r="J1155" s="1" t="str">
        <f t="shared" si="244"/>
        <v>0</v>
      </c>
      <c r="K1155" s="3">
        <f t="shared" si="245"/>
        <v>-100</v>
      </c>
      <c r="L1155" s="3">
        <f t="shared" si="246"/>
        <v>1</v>
      </c>
      <c r="M1155" s="3">
        <f t="shared" si="247"/>
        <v>0</v>
      </c>
      <c r="N1155" s="3" t="str">
        <f t="shared" si="248"/>
        <v>01</v>
      </c>
      <c r="O1155" s="14" t="str">
        <f t="shared" si="248"/>
        <v>00</v>
      </c>
      <c r="R1155" s="6">
        <v>525</v>
      </c>
      <c r="S1155" s="5">
        <f t="shared" si="249"/>
        <v>0</v>
      </c>
    </row>
    <row r="1156" spans="10:19" hidden="1">
      <c r="J1156" s="1" t="str">
        <f t="shared" si="244"/>
        <v>0</v>
      </c>
      <c r="K1156" s="3">
        <f t="shared" si="245"/>
        <v>-100</v>
      </c>
      <c r="L1156" s="3">
        <f t="shared" si="246"/>
        <v>1</v>
      </c>
      <c r="M1156" s="3">
        <f t="shared" si="247"/>
        <v>0</v>
      </c>
      <c r="N1156" s="3" t="str">
        <f t="shared" ref="N1156:O1187" si="255">+IF(L1156&lt;10,_xlfn.CONCAT("0",L1156),L1156)</f>
        <v>01</v>
      </c>
      <c r="O1156" s="14" t="str">
        <f t="shared" si="255"/>
        <v>00</v>
      </c>
      <c r="R1156" s="6">
        <v>525</v>
      </c>
      <c r="S1156" s="5">
        <f t="shared" si="249"/>
        <v>0</v>
      </c>
    </row>
    <row r="1157" spans="10:19" hidden="1">
      <c r="J1157" s="1" t="str">
        <f t="shared" si="244"/>
        <v>0</v>
      </c>
      <c r="K1157" s="3">
        <f t="shared" si="245"/>
        <v>-100</v>
      </c>
      <c r="L1157" s="3">
        <f t="shared" si="246"/>
        <v>1</v>
      </c>
      <c r="M1157" s="3">
        <f t="shared" si="247"/>
        <v>0</v>
      </c>
      <c r="N1157" s="3" t="str">
        <f t="shared" si="255"/>
        <v>01</v>
      </c>
      <c r="O1157" s="14" t="str">
        <f t="shared" si="255"/>
        <v>00</v>
      </c>
      <c r="R1157" s="6">
        <v>525</v>
      </c>
      <c r="S1157" s="5">
        <f t="shared" si="249"/>
        <v>0</v>
      </c>
    </row>
    <row r="1158" spans="10:19" hidden="1">
      <c r="J1158" s="1" t="str">
        <f t="shared" si="244"/>
        <v>0</v>
      </c>
      <c r="K1158" s="3">
        <f t="shared" si="245"/>
        <v>-100</v>
      </c>
      <c r="L1158" s="3">
        <f t="shared" si="246"/>
        <v>1</v>
      </c>
      <c r="M1158" s="3">
        <f t="shared" si="247"/>
        <v>0</v>
      </c>
      <c r="N1158" s="3" t="str">
        <f t="shared" si="255"/>
        <v>01</v>
      </c>
      <c r="O1158" s="14" t="str">
        <f t="shared" si="255"/>
        <v>00</v>
      </c>
      <c r="R1158" s="6">
        <v>525</v>
      </c>
      <c r="S1158" s="5">
        <f t="shared" si="249"/>
        <v>0</v>
      </c>
    </row>
    <row r="1159" spans="10:19" hidden="1">
      <c r="J1159" s="1" t="str">
        <f t="shared" si="244"/>
        <v>0</v>
      </c>
      <c r="K1159" s="3">
        <f t="shared" si="245"/>
        <v>-100</v>
      </c>
      <c r="L1159" s="3">
        <f t="shared" si="246"/>
        <v>1</v>
      </c>
      <c r="M1159" s="3">
        <f t="shared" si="247"/>
        <v>0</v>
      </c>
      <c r="N1159" s="3" t="str">
        <f t="shared" si="255"/>
        <v>01</v>
      </c>
      <c r="O1159" s="14" t="str">
        <f t="shared" si="255"/>
        <v>00</v>
      </c>
      <c r="S1159" s="5" t="str">
        <f t="shared" si="249"/>
        <v/>
      </c>
    </row>
    <row r="1160" spans="10:19" hidden="1">
      <c r="J1160" s="1" t="str">
        <f t="shared" si="244"/>
        <v>0</v>
      </c>
      <c r="K1160" s="3">
        <f t="shared" si="245"/>
        <v>-100</v>
      </c>
      <c r="L1160" s="3">
        <f t="shared" si="246"/>
        <v>1</v>
      </c>
      <c r="M1160" s="3">
        <f t="shared" si="247"/>
        <v>0</v>
      </c>
      <c r="N1160" s="3" t="str">
        <f t="shared" si="255"/>
        <v>01</v>
      </c>
      <c r="O1160" s="14" t="str">
        <f t="shared" si="255"/>
        <v>00</v>
      </c>
      <c r="R1160" s="6">
        <v>525</v>
      </c>
      <c r="S1160" s="5">
        <f t="shared" si="249"/>
        <v>0</v>
      </c>
    </row>
    <row r="1161" spans="10:19" hidden="1">
      <c r="J1161" s="1" t="str">
        <f t="shared" si="244"/>
        <v>0</v>
      </c>
      <c r="K1161" s="3">
        <f t="shared" si="245"/>
        <v>-100</v>
      </c>
      <c r="L1161" s="3">
        <f t="shared" si="246"/>
        <v>1</v>
      </c>
      <c r="M1161" s="3">
        <f t="shared" si="247"/>
        <v>0</v>
      </c>
      <c r="N1161" s="3" t="str">
        <f t="shared" si="255"/>
        <v>01</v>
      </c>
      <c r="O1161" s="14" t="str">
        <f t="shared" si="255"/>
        <v>00</v>
      </c>
      <c r="R1161" s="6">
        <v>525</v>
      </c>
      <c r="S1161" s="5">
        <f t="shared" si="249"/>
        <v>0</v>
      </c>
    </row>
    <row r="1162" spans="10:19" hidden="1">
      <c r="J1162" s="1" t="str">
        <f t="shared" si="244"/>
        <v>0</v>
      </c>
      <c r="K1162" s="3">
        <f t="shared" si="245"/>
        <v>-100</v>
      </c>
      <c r="L1162" s="3">
        <f t="shared" si="246"/>
        <v>1</v>
      </c>
      <c r="M1162" s="3">
        <f t="shared" si="247"/>
        <v>0</v>
      </c>
      <c r="N1162" s="3" t="str">
        <f t="shared" si="255"/>
        <v>01</v>
      </c>
      <c r="O1162" s="14" t="str">
        <f t="shared" si="255"/>
        <v>00</v>
      </c>
      <c r="R1162" s="6">
        <v>525</v>
      </c>
      <c r="S1162" s="5">
        <f t="shared" si="249"/>
        <v>0</v>
      </c>
    </row>
    <row r="1163" spans="10:19" hidden="1">
      <c r="J1163" s="1" t="str">
        <f t="shared" si="244"/>
        <v>0</v>
      </c>
      <c r="K1163" s="3">
        <f t="shared" si="245"/>
        <v>-100</v>
      </c>
      <c r="L1163" s="3">
        <f t="shared" si="246"/>
        <v>1</v>
      </c>
      <c r="M1163" s="3">
        <f t="shared" si="247"/>
        <v>0</v>
      </c>
      <c r="N1163" s="3" t="str">
        <f t="shared" si="255"/>
        <v>01</v>
      </c>
      <c r="O1163" s="14" t="str">
        <f t="shared" si="255"/>
        <v>00</v>
      </c>
      <c r="R1163" s="6">
        <v>525</v>
      </c>
      <c r="S1163" s="5">
        <f t="shared" si="249"/>
        <v>0</v>
      </c>
    </row>
    <row r="1164" spans="10:19" hidden="1">
      <c r="J1164" s="1" t="str">
        <f t="shared" si="244"/>
        <v>0</v>
      </c>
      <c r="K1164" s="3">
        <f t="shared" si="245"/>
        <v>-100</v>
      </c>
      <c r="L1164" s="3">
        <f t="shared" si="246"/>
        <v>1</v>
      </c>
      <c r="M1164" s="3">
        <f t="shared" si="247"/>
        <v>0</v>
      </c>
      <c r="N1164" s="3" t="str">
        <f t="shared" si="255"/>
        <v>01</v>
      </c>
      <c r="O1164" s="14" t="str">
        <f t="shared" si="255"/>
        <v>00</v>
      </c>
      <c r="R1164" s="6">
        <v>525</v>
      </c>
      <c r="S1164" s="5">
        <f t="shared" si="249"/>
        <v>0</v>
      </c>
    </row>
    <row r="1165" spans="10:19" hidden="1">
      <c r="J1165" s="1" t="str">
        <f t="shared" si="244"/>
        <v>0</v>
      </c>
      <c r="K1165" s="3">
        <f t="shared" si="245"/>
        <v>-100</v>
      </c>
      <c r="L1165" s="3">
        <f t="shared" si="246"/>
        <v>1</v>
      </c>
      <c r="M1165" s="3">
        <f t="shared" si="247"/>
        <v>0</v>
      </c>
      <c r="N1165" s="3" t="str">
        <f t="shared" si="255"/>
        <v>01</v>
      </c>
      <c r="O1165" s="14" t="str">
        <f t="shared" si="255"/>
        <v>00</v>
      </c>
      <c r="R1165" s="6">
        <v>525</v>
      </c>
      <c r="S1165" s="5">
        <f t="shared" si="249"/>
        <v>0</v>
      </c>
    </row>
    <row r="1166" spans="10:19" hidden="1">
      <c r="J1166" s="1" t="str">
        <f t="shared" si="244"/>
        <v>0</v>
      </c>
      <c r="K1166" s="3">
        <f t="shared" si="245"/>
        <v>-100</v>
      </c>
      <c r="L1166" s="3">
        <f t="shared" si="246"/>
        <v>1</v>
      </c>
      <c r="M1166" s="3">
        <f t="shared" si="247"/>
        <v>0</v>
      </c>
      <c r="N1166" s="3" t="str">
        <f t="shared" si="255"/>
        <v>01</v>
      </c>
      <c r="O1166" s="14" t="str">
        <f t="shared" si="255"/>
        <v>00</v>
      </c>
      <c r="R1166" s="6">
        <v>525</v>
      </c>
      <c r="S1166" s="5">
        <f t="shared" si="249"/>
        <v>0</v>
      </c>
    </row>
    <row r="1167" spans="10:19" hidden="1">
      <c r="J1167" s="1" t="str">
        <f t="shared" si="244"/>
        <v>0</v>
      </c>
      <c r="K1167" s="3">
        <f t="shared" si="245"/>
        <v>-100</v>
      </c>
      <c r="L1167" s="3">
        <f t="shared" si="246"/>
        <v>1</v>
      </c>
      <c r="M1167" s="3">
        <f t="shared" si="247"/>
        <v>0</v>
      </c>
      <c r="N1167" s="3" t="str">
        <f t="shared" si="255"/>
        <v>01</v>
      </c>
      <c r="O1167" s="14" t="str">
        <f t="shared" si="255"/>
        <v>00</v>
      </c>
      <c r="R1167" s="6">
        <v>525</v>
      </c>
      <c r="S1167" s="5">
        <f t="shared" si="249"/>
        <v>0</v>
      </c>
    </row>
    <row r="1168" spans="10:19" hidden="1">
      <c r="J1168" s="1" t="str">
        <f t="shared" si="244"/>
        <v>0</v>
      </c>
      <c r="K1168" s="3">
        <f t="shared" si="245"/>
        <v>-100</v>
      </c>
      <c r="L1168" s="3">
        <f t="shared" si="246"/>
        <v>1</v>
      </c>
      <c r="M1168" s="3">
        <f t="shared" si="247"/>
        <v>0</v>
      </c>
      <c r="N1168" s="3" t="str">
        <f t="shared" si="255"/>
        <v>01</v>
      </c>
      <c r="O1168" s="14" t="str">
        <f t="shared" si="255"/>
        <v>00</v>
      </c>
      <c r="P1168" s="11"/>
      <c r="S1168" s="5" t="str">
        <f t="shared" si="249"/>
        <v/>
      </c>
    </row>
    <row r="1169" spans="10:19" hidden="1">
      <c r="J1169" s="1" t="str">
        <f t="shared" si="244"/>
        <v>0</v>
      </c>
      <c r="K1169" s="3">
        <f t="shared" si="245"/>
        <v>-100</v>
      </c>
      <c r="L1169" s="3">
        <f t="shared" si="246"/>
        <v>1</v>
      </c>
      <c r="M1169" s="3">
        <f t="shared" si="247"/>
        <v>0</v>
      </c>
      <c r="N1169" s="3" t="str">
        <f t="shared" si="255"/>
        <v>01</v>
      </c>
      <c r="O1169" s="14" t="str">
        <f t="shared" si="255"/>
        <v>00</v>
      </c>
      <c r="R1169" s="6">
        <v>522</v>
      </c>
      <c r="S1169" s="5">
        <f t="shared" si="249"/>
        <v>0</v>
      </c>
    </row>
    <row r="1170" spans="10:19" hidden="1">
      <c r="J1170" s="1" t="str">
        <f t="shared" si="244"/>
        <v>0</v>
      </c>
      <c r="K1170" s="3">
        <f t="shared" si="245"/>
        <v>-100</v>
      </c>
      <c r="L1170" s="3">
        <f t="shared" si="246"/>
        <v>1</v>
      </c>
      <c r="M1170" s="3">
        <f t="shared" si="247"/>
        <v>0</v>
      </c>
      <c r="N1170" s="3" t="str">
        <f t="shared" si="255"/>
        <v>01</v>
      </c>
      <c r="O1170" s="14" t="str">
        <f t="shared" si="255"/>
        <v>00</v>
      </c>
      <c r="R1170" s="6">
        <v>522</v>
      </c>
      <c r="S1170" s="5">
        <f t="shared" si="249"/>
        <v>0</v>
      </c>
    </row>
    <row r="1171" spans="10:19" hidden="1">
      <c r="J1171" s="1" t="str">
        <f t="shared" si="244"/>
        <v>0</v>
      </c>
      <c r="K1171" s="3">
        <f t="shared" si="245"/>
        <v>-100</v>
      </c>
      <c r="L1171" s="3">
        <f t="shared" si="246"/>
        <v>1</v>
      </c>
      <c r="M1171" s="3">
        <f t="shared" si="247"/>
        <v>0</v>
      </c>
      <c r="N1171" s="3" t="str">
        <f t="shared" si="255"/>
        <v>01</v>
      </c>
      <c r="O1171" s="14" t="str">
        <f t="shared" si="255"/>
        <v>00</v>
      </c>
      <c r="R1171" s="6">
        <v>522</v>
      </c>
      <c r="S1171" s="5">
        <f t="shared" si="249"/>
        <v>0</v>
      </c>
    </row>
    <row r="1172" spans="10:19" hidden="1">
      <c r="J1172" s="1" t="str">
        <f t="shared" si="244"/>
        <v>0</v>
      </c>
      <c r="K1172" s="3">
        <f t="shared" si="245"/>
        <v>-100</v>
      </c>
      <c r="L1172" s="3">
        <f t="shared" si="246"/>
        <v>1</v>
      </c>
      <c r="M1172" s="3">
        <f t="shared" si="247"/>
        <v>0</v>
      </c>
      <c r="N1172" s="3" t="str">
        <f t="shared" si="255"/>
        <v>01</v>
      </c>
      <c r="O1172" s="14" t="str">
        <f t="shared" si="255"/>
        <v>00</v>
      </c>
      <c r="R1172" s="6">
        <v>522</v>
      </c>
      <c r="S1172" s="5">
        <f t="shared" si="249"/>
        <v>0</v>
      </c>
    </row>
    <row r="1173" spans="10:19" hidden="1">
      <c r="J1173" s="1" t="str">
        <f t="shared" si="244"/>
        <v>0</v>
      </c>
      <c r="K1173" s="3">
        <f t="shared" si="245"/>
        <v>-100</v>
      </c>
      <c r="L1173" s="3">
        <f t="shared" si="246"/>
        <v>1</v>
      </c>
      <c r="M1173" s="3">
        <f t="shared" si="247"/>
        <v>0</v>
      </c>
      <c r="N1173" s="3" t="str">
        <f t="shared" si="255"/>
        <v>01</v>
      </c>
      <c r="O1173" s="14" t="str">
        <f t="shared" si="255"/>
        <v>00</v>
      </c>
      <c r="R1173" s="6">
        <v>518</v>
      </c>
      <c r="S1173" s="5">
        <f t="shared" si="249"/>
        <v>0</v>
      </c>
    </row>
    <row r="1174" spans="10:19" hidden="1">
      <c r="J1174" s="1" t="str">
        <f t="shared" si="244"/>
        <v>0</v>
      </c>
      <c r="K1174" s="3">
        <f t="shared" si="245"/>
        <v>-100</v>
      </c>
      <c r="L1174" s="3">
        <f t="shared" si="246"/>
        <v>1</v>
      </c>
      <c r="M1174" s="3">
        <f t="shared" si="247"/>
        <v>0</v>
      </c>
      <c r="N1174" s="3" t="str">
        <f t="shared" si="255"/>
        <v>01</v>
      </c>
      <c r="O1174" s="14" t="str">
        <f t="shared" si="255"/>
        <v>00</v>
      </c>
    </row>
    <row r="1175" spans="10:19" hidden="1">
      <c r="J1175" s="1" t="str">
        <f t="shared" si="244"/>
        <v>0</v>
      </c>
      <c r="K1175" s="3">
        <f t="shared" si="245"/>
        <v>-100</v>
      </c>
      <c r="L1175" s="3">
        <f t="shared" si="246"/>
        <v>1</v>
      </c>
      <c r="M1175" s="3">
        <f t="shared" si="247"/>
        <v>0</v>
      </c>
      <c r="N1175" s="3" t="str">
        <f t="shared" si="255"/>
        <v>01</v>
      </c>
      <c r="O1175" s="14" t="str">
        <f t="shared" si="255"/>
        <v>00</v>
      </c>
      <c r="R1175" s="6">
        <v>518</v>
      </c>
      <c r="S1175" s="5">
        <f t="shared" ref="S1175:S1236" si="256">IFERROR(P1175/R1175,"")</f>
        <v>0</v>
      </c>
    </row>
    <row r="1176" spans="10:19" hidden="1">
      <c r="J1176" s="1" t="str">
        <f t="shared" si="244"/>
        <v>0</v>
      </c>
      <c r="K1176" s="3">
        <f t="shared" si="245"/>
        <v>-100</v>
      </c>
      <c r="L1176" s="3">
        <f t="shared" si="246"/>
        <v>1</v>
      </c>
      <c r="M1176" s="3">
        <f t="shared" si="247"/>
        <v>0</v>
      </c>
      <c r="N1176" s="3" t="str">
        <f t="shared" si="255"/>
        <v>01</v>
      </c>
      <c r="O1176" s="14" t="str">
        <f t="shared" si="255"/>
        <v>00</v>
      </c>
      <c r="R1176" s="6">
        <v>518</v>
      </c>
      <c r="S1176" s="5">
        <f t="shared" si="256"/>
        <v>0</v>
      </c>
    </row>
    <row r="1177" spans="10:19" hidden="1">
      <c r="J1177" s="1" t="str">
        <f t="shared" si="244"/>
        <v>0</v>
      </c>
      <c r="K1177" s="3">
        <f t="shared" si="245"/>
        <v>-100</v>
      </c>
      <c r="L1177" s="3">
        <f t="shared" si="246"/>
        <v>1</v>
      </c>
      <c r="M1177" s="3">
        <f t="shared" si="247"/>
        <v>0</v>
      </c>
      <c r="N1177" s="3" t="str">
        <f t="shared" si="255"/>
        <v>01</v>
      </c>
      <c r="O1177" s="14" t="str">
        <f t="shared" si="255"/>
        <v>00</v>
      </c>
      <c r="R1177" s="6">
        <v>518</v>
      </c>
      <c r="S1177" s="5">
        <f t="shared" si="256"/>
        <v>0</v>
      </c>
    </row>
    <row r="1178" spans="10:19" hidden="1">
      <c r="J1178" s="1" t="str">
        <f t="shared" si="244"/>
        <v>0</v>
      </c>
      <c r="K1178" s="3">
        <f t="shared" si="245"/>
        <v>-100</v>
      </c>
      <c r="L1178" s="3">
        <f t="shared" si="246"/>
        <v>1</v>
      </c>
      <c r="M1178" s="3">
        <f t="shared" si="247"/>
        <v>0</v>
      </c>
      <c r="N1178" s="3" t="str">
        <f t="shared" si="255"/>
        <v>01</v>
      </c>
      <c r="O1178" s="14" t="str">
        <f t="shared" si="255"/>
        <v>00</v>
      </c>
      <c r="R1178" s="6">
        <v>518</v>
      </c>
      <c r="S1178" s="5">
        <f t="shared" si="256"/>
        <v>0</v>
      </c>
    </row>
    <row r="1179" spans="10:19" hidden="1">
      <c r="J1179" s="1" t="str">
        <f t="shared" si="244"/>
        <v>0</v>
      </c>
      <c r="K1179" s="3">
        <f t="shared" si="245"/>
        <v>-100</v>
      </c>
      <c r="L1179" s="3">
        <f t="shared" si="246"/>
        <v>1</v>
      </c>
      <c r="M1179" s="3">
        <f t="shared" si="247"/>
        <v>0</v>
      </c>
      <c r="N1179" s="3" t="str">
        <f t="shared" si="255"/>
        <v>01</v>
      </c>
      <c r="O1179" s="14" t="str">
        <f t="shared" si="255"/>
        <v>00</v>
      </c>
      <c r="R1179" s="6">
        <v>518</v>
      </c>
      <c r="S1179" s="5">
        <f t="shared" si="256"/>
        <v>0</v>
      </c>
    </row>
    <row r="1180" spans="10:19" hidden="1">
      <c r="J1180" s="1" t="str">
        <f t="shared" si="244"/>
        <v>0</v>
      </c>
      <c r="K1180" s="3">
        <f t="shared" si="245"/>
        <v>-100</v>
      </c>
      <c r="L1180" s="3">
        <f t="shared" si="246"/>
        <v>1</v>
      </c>
      <c r="M1180" s="3">
        <f t="shared" si="247"/>
        <v>0</v>
      </c>
      <c r="N1180" s="3" t="str">
        <f t="shared" si="255"/>
        <v>01</v>
      </c>
      <c r="O1180" s="14" t="str">
        <f t="shared" si="255"/>
        <v>00</v>
      </c>
      <c r="R1180" s="6">
        <v>518</v>
      </c>
      <c r="S1180" s="5">
        <f t="shared" si="256"/>
        <v>0</v>
      </c>
    </row>
    <row r="1181" spans="10:19" hidden="1">
      <c r="J1181" s="1" t="str">
        <f t="shared" si="244"/>
        <v>0</v>
      </c>
      <c r="K1181" s="3">
        <f t="shared" si="245"/>
        <v>-100</v>
      </c>
      <c r="L1181" s="3">
        <f t="shared" si="246"/>
        <v>1</v>
      </c>
      <c r="M1181" s="3">
        <f t="shared" si="247"/>
        <v>0</v>
      </c>
      <c r="N1181" s="3" t="str">
        <f t="shared" si="255"/>
        <v>01</v>
      </c>
      <c r="O1181" s="14" t="str">
        <f t="shared" si="255"/>
        <v>00</v>
      </c>
      <c r="R1181" s="6">
        <v>518</v>
      </c>
      <c r="S1181" s="5">
        <f t="shared" si="256"/>
        <v>0</v>
      </c>
    </row>
    <row r="1182" spans="10:19" hidden="1">
      <c r="J1182" s="1" t="str">
        <f t="shared" si="244"/>
        <v>0</v>
      </c>
      <c r="K1182" s="3">
        <f t="shared" si="245"/>
        <v>-100</v>
      </c>
      <c r="L1182" s="3">
        <f t="shared" si="246"/>
        <v>1</v>
      </c>
      <c r="M1182" s="3">
        <f t="shared" si="247"/>
        <v>0</v>
      </c>
      <c r="N1182" s="3" t="str">
        <f t="shared" si="255"/>
        <v>01</v>
      </c>
      <c r="O1182" s="14" t="str">
        <f t="shared" si="255"/>
        <v>00</v>
      </c>
      <c r="R1182" s="6">
        <v>518</v>
      </c>
      <c r="S1182" s="5">
        <f t="shared" si="256"/>
        <v>0</v>
      </c>
    </row>
    <row r="1183" spans="10:19" hidden="1">
      <c r="J1183" s="1" t="str">
        <f t="shared" si="244"/>
        <v>0</v>
      </c>
      <c r="K1183" s="3">
        <f t="shared" si="245"/>
        <v>-100</v>
      </c>
      <c r="L1183" s="3">
        <f t="shared" si="246"/>
        <v>1</v>
      </c>
      <c r="M1183" s="3">
        <f t="shared" si="247"/>
        <v>0</v>
      </c>
      <c r="N1183" s="3" t="str">
        <f t="shared" si="255"/>
        <v>01</v>
      </c>
      <c r="O1183" s="14" t="str">
        <f t="shared" si="255"/>
        <v>00</v>
      </c>
      <c r="R1183" s="6">
        <v>516</v>
      </c>
      <c r="S1183" s="5">
        <f t="shared" si="256"/>
        <v>0</v>
      </c>
    </row>
    <row r="1184" spans="10:19" hidden="1">
      <c r="J1184" s="1" t="str">
        <f t="shared" si="244"/>
        <v>0</v>
      </c>
      <c r="K1184" s="3">
        <f t="shared" si="245"/>
        <v>-100</v>
      </c>
      <c r="L1184" s="3">
        <f t="shared" si="246"/>
        <v>1</v>
      </c>
      <c r="M1184" s="3">
        <f t="shared" si="247"/>
        <v>0</v>
      </c>
      <c r="N1184" s="3" t="str">
        <f t="shared" si="255"/>
        <v>01</v>
      </c>
      <c r="O1184" s="14" t="str">
        <f t="shared" si="255"/>
        <v>00</v>
      </c>
      <c r="R1184" s="6">
        <v>516</v>
      </c>
      <c r="S1184" s="5">
        <f t="shared" si="256"/>
        <v>0</v>
      </c>
    </row>
    <row r="1185" spans="10:19" hidden="1">
      <c r="J1185" s="1" t="str">
        <f t="shared" si="244"/>
        <v>0</v>
      </c>
      <c r="K1185" s="3">
        <f t="shared" si="245"/>
        <v>-100</v>
      </c>
      <c r="L1185" s="3">
        <f t="shared" si="246"/>
        <v>1</v>
      </c>
      <c r="M1185" s="3">
        <f t="shared" si="247"/>
        <v>0</v>
      </c>
      <c r="N1185" s="3" t="str">
        <f t="shared" si="255"/>
        <v>01</v>
      </c>
      <c r="O1185" s="14" t="str">
        <f t="shared" si="255"/>
        <v>00</v>
      </c>
      <c r="R1185" s="6">
        <v>516</v>
      </c>
      <c r="S1185" s="5">
        <f t="shared" si="256"/>
        <v>0</v>
      </c>
    </row>
    <row r="1186" spans="10:19" hidden="1">
      <c r="J1186" s="1" t="str">
        <f t="shared" si="244"/>
        <v>0</v>
      </c>
      <c r="K1186" s="3">
        <f t="shared" si="245"/>
        <v>-100</v>
      </c>
      <c r="L1186" s="3">
        <f t="shared" si="246"/>
        <v>1</v>
      </c>
      <c r="M1186" s="3">
        <f t="shared" si="247"/>
        <v>0</v>
      </c>
      <c r="N1186" s="3" t="str">
        <f t="shared" si="255"/>
        <v>01</v>
      </c>
      <c r="O1186" s="14" t="str">
        <f t="shared" si="255"/>
        <v>00</v>
      </c>
      <c r="R1186" s="6">
        <v>516</v>
      </c>
      <c r="S1186" s="5">
        <f t="shared" si="256"/>
        <v>0</v>
      </c>
    </row>
    <row r="1187" spans="10:19" hidden="1">
      <c r="J1187" s="1" t="str">
        <f t="shared" si="244"/>
        <v>0</v>
      </c>
      <c r="K1187" s="3">
        <f t="shared" si="245"/>
        <v>-100</v>
      </c>
      <c r="L1187" s="3">
        <f t="shared" si="246"/>
        <v>1</v>
      </c>
      <c r="M1187" s="3">
        <f t="shared" si="247"/>
        <v>0</v>
      </c>
      <c r="N1187" s="3" t="str">
        <f t="shared" si="255"/>
        <v>01</v>
      </c>
      <c r="O1187" s="14" t="str">
        <f t="shared" si="255"/>
        <v>00</v>
      </c>
      <c r="R1187" s="6">
        <v>516</v>
      </c>
      <c r="S1187" s="5">
        <f t="shared" si="256"/>
        <v>0</v>
      </c>
    </row>
    <row r="1188" spans="10:19" hidden="1">
      <c r="J1188" s="1" t="str">
        <f t="shared" ref="J1188:J1200" si="257">+IF(I1188&lt;10,_xlfn.CONCAT("0",I1188),I1188)</f>
        <v>0</v>
      </c>
      <c r="K1188" s="3">
        <f t="shared" ref="K1188:K1200" si="258">+YEAR(H1188)-2000</f>
        <v>-100</v>
      </c>
      <c r="L1188" s="3">
        <f t="shared" ref="L1188:L1200" si="259">+MONTH(H1188)</f>
        <v>1</v>
      </c>
      <c r="M1188" s="3">
        <f t="shared" ref="M1188:M1200" si="260">+DAY(H1188)</f>
        <v>0</v>
      </c>
      <c r="N1188" s="3" t="str">
        <f t="shared" ref="N1188:O1200" si="261">+IF(L1188&lt;10,_xlfn.CONCAT("0",L1188),L1188)</f>
        <v>01</v>
      </c>
      <c r="O1188" s="14" t="str">
        <f t="shared" si="261"/>
        <v>00</v>
      </c>
      <c r="R1188" s="6">
        <v>516</v>
      </c>
      <c r="S1188" s="5">
        <f t="shared" si="256"/>
        <v>0</v>
      </c>
    </row>
    <row r="1189" spans="10:19" hidden="1">
      <c r="J1189" s="1" t="str">
        <f t="shared" si="257"/>
        <v>0</v>
      </c>
      <c r="K1189" s="3">
        <f t="shared" si="258"/>
        <v>-100</v>
      </c>
      <c r="L1189" s="3">
        <f t="shared" si="259"/>
        <v>1</v>
      </c>
      <c r="M1189" s="3">
        <f t="shared" si="260"/>
        <v>0</v>
      </c>
      <c r="N1189" s="3" t="str">
        <f t="shared" si="261"/>
        <v>01</v>
      </c>
      <c r="O1189" s="14" t="str">
        <f t="shared" si="261"/>
        <v>00</v>
      </c>
      <c r="R1189" s="6">
        <v>516</v>
      </c>
      <c r="S1189" s="5">
        <f t="shared" si="256"/>
        <v>0</v>
      </c>
    </row>
    <row r="1190" spans="10:19" hidden="1">
      <c r="J1190" s="1" t="str">
        <f t="shared" si="257"/>
        <v>0</v>
      </c>
      <c r="K1190" s="3">
        <f t="shared" si="258"/>
        <v>-100</v>
      </c>
      <c r="L1190" s="3">
        <f t="shared" si="259"/>
        <v>1</v>
      </c>
      <c r="M1190" s="3">
        <f t="shared" si="260"/>
        <v>0</v>
      </c>
      <c r="N1190" s="3" t="str">
        <f t="shared" si="261"/>
        <v>01</v>
      </c>
      <c r="O1190" s="14" t="str">
        <f t="shared" si="261"/>
        <v>00</v>
      </c>
      <c r="R1190" s="6">
        <v>516</v>
      </c>
      <c r="S1190" s="5">
        <f t="shared" si="256"/>
        <v>0</v>
      </c>
    </row>
    <row r="1191" spans="10:19" hidden="1">
      <c r="J1191" s="1" t="str">
        <f t="shared" si="257"/>
        <v>0</v>
      </c>
      <c r="K1191" s="3">
        <f t="shared" si="258"/>
        <v>-100</v>
      </c>
      <c r="L1191" s="3">
        <f t="shared" si="259"/>
        <v>1</v>
      </c>
      <c r="M1191" s="3">
        <f t="shared" si="260"/>
        <v>0</v>
      </c>
      <c r="N1191" s="3" t="str">
        <f t="shared" si="261"/>
        <v>01</v>
      </c>
      <c r="O1191" s="14" t="str">
        <f t="shared" si="261"/>
        <v>00</v>
      </c>
      <c r="R1191" s="6">
        <v>516</v>
      </c>
      <c r="S1191" s="5">
        <f t="shared" si="256"/>
        <v>0</v>
      </c>
    </row>
    <row r="1192" spans="10:19" hidden="1">
      <c r="J1192" s="1" t="str">
        <f t="shared" si="257"/>
        <v>0</v>
      </c>
      <c r="K1192" s="3">
        <f t="shared" si="258"/>
        <v>-100</v>
      </c>
      <c r="L1192" s="3">
        <f t="shared" si="259"/>
        <v>1</v>
      </c>
      <c r="M1192" s="3">
        <f t="shared" si="260"/>
        <v>0</v>
      </c>
      <c r="N1192" s="3" t="str">
        <f t="shared" si="261"/>
        <v>01</v>
      </c>
      <c r="O1192" s="14" t="str">
        <f t="shared" si="261"/>
        <v>00</v>
      </c>
      <c r="S1192" s="5" t="str">
        <f t="shared" si="256"/>
        <v/>
      </c>
    </row>
    <row r="1193" spans="10:19" hidden="1">
      <c r="J1193" s="1" t="str">
        <f t="shared" si="257"/>
        <v>0</v>
      </c>
      <c r="K1193" s="3">
        <f t="shared" si="258"/>
        <v>-100</v>
      </c>
      <c r="L1193" s="3">
        <f t="shared" si="259"/>
        <v>1</v>
      </c>
      <c r="M1193" s="3">
        <f t="shared" si="260"/>
        <v>0</v>
      </c>
      <c r="N1193" s="3" t="str">
        <f t="shared" si="261"/>
        <v>01</v>
      </c>
      <c r="O1193" s="14" t="str">
        <f t="shared" si="261"/>
        <v>00</v>
      </c>
      <c r="R1193" s="6">
        <v>516</v>
      </c>
      <c r="S1193" s="5">
        <f t="shared" si="256"/>
        <v>0</v>
      </c>
    </row>
    <row r="1194" spans="10:19" hidden="1">
      <c r="J1194" s="1" t="str">
        <f t="shared" si="257"/>
        <v>0</v>
      </c>
      <c r="K1194" s="3">
        <f t="shared" si="258"/>
        <v>-100</v>
      </c>
      <c r="L1194" s="3">
        <f t="shared" si="259"/>
        <v>1</v>
      </c>
      <c r="M1194" s="3">
        <f t="shared" si="260"/>
        <v>0</v>
      </c>
      <c r="N1194" s="3" t="str">
        <f t="shared" si="261"/>
        <v>01</v>
      </c>
      <c r="O1194" s="14" t="str">
        <f t="shared" si="261"/>
        <v>00</v>
      </c>
      <c r="R1194" s="6">
        <v>516</v>
      </c>
      <c r="S1194" s="5">
        <f t="shared" si="256"/>
        <v>0</v>
      </c>
    </row>
    <row r="1195" spans="10:19" hidden="1">
      <c r="J1195" s="1" t="str">
        <f t="shared" si="257"/>
        <v>0</v>
      </c>
      <c r="K1195" s="3">
        <f t="shared" si="258"/>
        <v>-100</v>
      </c>
      <c r="L1195" s="3">
        <f t="shared" si="259"/>
        <v>1</v>
      </c>
      <c r="M1195" s="3">
        <f t="shared" si="260"/>
        <v>0</v>
      </c>
      <c r="N1195" s="3" t="str">
        <f t="shared" si="261"/>
        <v>01</v>
      </c>
      <c r="O1195" s="14" t="str">
        <f t="shared" si="261"/>
        <v>00</v>
      </c>
      <c r="R1195" s="6">
        <v>516</v>
      </c>
      <c r="S1195" s="5">
        <f t="shared" si="256"/>
        <v>0</v>
      </c>
    </row>
    <row r="1196" spans="10:19" hidden="1">
      <c r="J1196" s="1" t="str">
        <f t="shared" si="257"/>
        <v>0</v>
      </c>
      <c r="K1196" s="3">
        <f t="shared" si="258"/>
        <v>-100</v>
      </c>
      <c r="L1196" s="3">
        <f t="shared" si="259"/>
        <v>1</v>
      </c>
      <c r="M1196" s="3">
        <f t="shared" si="260"/>
        <v>0</v>
      </c>
      <c r="N1196" s="3" t="str">
        <f t="shared" si="261"/>
        <v>01</v>
      </c>
      <c r="O1196" s="14" t="str">
        <f t="shared" si="261"/>
        <v>00</v>
      </c>
      <c r="R1196" s="6">
        <v>516</v>
      </c>
      <c r="S1196" s="5">
        <f t="shared" si="256"/>
        <v>0</v>
      </c>
    </row>
    <row r="1197" spans="10:19" hidden="1">
      <c r="J1197" s="1" t="str">
        <f t="shared" si="257"/>
        <v>0</v>
      </c>
      <c r="K1197" s="3">
        <f t="shared" si="258"/>
        <v>-100</v>
      </c>
      <c r="L1197" s="3">
        <f t="shared" si="259"/>
        <v>1</v>
      </c>
      <c r="M1197" s="3">
        <f t="shared" si="260"/>
        <v>0</v>
      </c>
      <c r="N1197" s="3" t="str">
        <f t="shared" si="261"/>
        <v>01</v>
      </c>
      <c r="O1197" s="14" t="str">
        <f t="shared" si="261"/>
        <v>00</v>
      </c>
      <c r="R1197" s="6">
        <v>516</v>
      </c>
      <c r="S1197" s="5">
        <f t="shared" si="256"/>
        <v>0</v>
      </c>
    </row>
    <row r="1198" spans="10:19" hidden="1">
      <c r="J1198" s="1" t="str">
        <f t="shared" si="257"/>
        <v>0</v>
      </c>
      <c r="K1198" s="3">
        <f t="shared" si="258"/>
        <v>-100</v>
      </c>
      <c r="L1198" s="3">
        <f t="shared" si="259"/>
        <v>1</v>
      </c>
      <c r="M1198" s="3">
        <f t="shared" si="260"/>
        <v>0</v>
      </c>
      <c r="N1198" s="3" t="str">
        <f t="shared" si="261"/>
        <v>01</v>
      </c>
      <c r="O1198" s="14" t="str">
        <f t="shared" si="261"/>
        <v>00</v>
      </c>
      <c r="R1198" s="6">
        <v>516</v>
      </c>
      <c r="S1198" s="5">
        <f t="shared" si="256"/>
        <v>0</v>
      </c>
    </row>
    <row r="1199" spans="10:19" hidden="1">
      <c r="J1199" s="1" t="str">
        <f t="shared" si="257"/>
        <v>0</v>
      </c>
      <c r="K1199" s="3">
        <f t="shared" si="258"/>
        <v>-100</v>
      </c>
      <c r="L1199" s="3">
        <f t="shared" si="259"/>
        <v>1</v>
      </c>
      <c r="M1199" s="3">
        <f t="shared" si="260"/>
        <v>0</v>
      </c>
      <c r="N1199" s="3" t="str">
        <f t="shared" si="261"/>
        <v>01</v>
      </c>
      <c r="O1199" s="14" t="str">
        <f t="shared" si="261"/>
        <v>00</v>
      </c>
      <c r="R1199" s="6">
        <v>516</v>
      </c>
      <c r="S1199" s="5">
        <f t="shared" si="256"/>
        <v>0</v>
      </c>
    </row>
    <row r="1200" spans="10:19" hidden="1">
      <c r="J1200" s="1" t="str">
        <f t="shared" si="257"/>
        <v>0</v>
      </c>
      <c r="K1200" s="3">
        <f t="shared" si="258"/>
        <v>-100</v>
      </c>
      <c r="L1200" s="3">
        <f t="shared" si="259"/>
        <v>1</v>
      </c>
      <c r="M1200" s="3">
        <f t="shared" si="260"/>
        <v>0</v>
      </c>
      <c r="N1200" s="3" t="str">
        <f t="shared" si="261"/>
        <v>01</v>
      </c>
      <c r="O1200" s="14" t="str">
        <f t="shared" si="261"/>
        <v>00</v>
      </c>
      <c r="R1200" s="6">
        <v>516</v>
      </c>
      <c r="S1200" s="5">
        <f t="shared" si="256"/>
        <v>0</v>
      </c>
    </row>
    <row r="1201" spans="10:19" hidden="1">
      <c r="S1201" s="5" t="str">
        <f t="shared" si="256"/>
        <v/>
      </c>
    </row>
    <row r="1202" spans="10:19" hidden="1">
      <c r="J1202" s="1" t="str">
        <f t="shared" ref="J1202:J1265" si="262">+IF(I1202&lt;10,_xlfn.CONCAT("0",I1202),I1202)</f>
        <v>0</v>
      </c>
      <c r="K1202" s="3">
        <f t="shared" ref="K1202:K1265" si="263">+YEAR(H1202)-2000</f>
        <v>-100</v>
      </c>
      <c r="L1202" s="3">
        <f t="shared" ref="L1202:L1265" si="264">+MONTH(H1202)</f>
        <v>1</v>
      </c>
      <c r="M1202" s="3">
        <f t="shared" ref="M1202:M1265" si="265">+DAY(H1202)</f>
        <v>0</v>
      </c>
      <c r="N1202" s="3" t="str">
        <f t="shared" ref="N1202:O1233" si="266">+IF(L1202&lt;10,_xlfn.CONCAT("0",L1202),L1202)</f>
        <v>01</v>
      </c>
      <c r="O1202" s="14" t="str">
        <f t="shared" si="266"/>
        <v>00</v>
      </c>
      <c r="R1202" s="6">
        <v>518</v>
      </c>
      <c r="S1202" s="5">
        <f t="shared" si="256"/>
        <v>0</v>
      </c>
    </row>
    <row r="1203" spans="10:19" hidden="1">
      <c r="J1203" s="1" t="str">
        <f t="shared" si="262"/>
        <v>0</v>
      </c>
      <c r="K1203" s="3">
        <f t="shared" si="263"/>
        <v>-100</v>
      </c>
      <c r="L1203" s="3">
        <f t="shared" si="264"/>
        <v>1</v>
      </c>
      <c r="M1203" s="3">
        <f t="shared" si="265"/>
        <v>0</v>
      </c>
      <c r="N1203" s="3" t="str">
        <f t="shared" si="266"/>
        <v>01</v>
      </c>
      <c r="O1203" s="14" t="str">
        <f t="shared" si="266"/>
        <v>00</v>
      </c>
      <c r="R1203" s="6">
        <v>518</v>
      </c>
      <c r="S1203" s="5">
        <f t="shared" si="256"/>
        <v>0</v>
      </c>
    </row>
    <row r="1204" spans="10:19" hidden="1">
      <c r="J1204" s="1" t="str">
        <f t="shared" si="262"/>
        <v>0</v>
      </c>
      <c r="K1204" s="3">
        <f t="shared" si="263"/>
        <v>-100</v>
      </c>
      <c r="L1204" s="3">
        <f t="shared" si="264"/>
        <v>1</v>
      </c>
      <c r="M1204" s="3">
        <f t="shared" si="265"/>
        <v>0</v>
      </c>
      <c r="N1204" s="3" t="str">
        <f t="shared" si="266"/>
        <v>01</v>
      </c>
      <c r="O1204" s="14" t="str">
        <f t="shared" si="266"/>
        <v>00</v>
      </c>
      <c r="R1204" s="6">
        <v>518</v>
      </c>
      <c r="S1204" s="5">
        <f t="shared" si="256"/>
        <v>0</v>
      </c>
    </row>
    <row r="1205" spans="10:19" hidden="1">
      <c r="J1205" s="1" t="str">
        <f t="shared" si="262"/>
        <v>0</v>
      </c>
      <c r="K1205" s="3">
        <f t="shared" si="263"/>
        <v>-100</v>
      </c>
      <c r="L1205" s="3">
        <f t="shared" si="264"/>
        <v>1</v>
      </c>
      <c r="M1205" s="3">
        <f t="shared" si="265"/>
        <v>0</v>
      </c>
      <c r="N1205" s="3" t="str">
        <f t="shared" si="266"/>
        <v>01</v>
      </c>
      <c r="O1205" s="14" t="str">
        <f t="shared" si="266"/>
        <v>00</v>
      </c>
      <c r="R1205" s="6">
        <v>518</v>
      </c>
      <c r="S1205" s="5">
        <f t="shared" si="256"/>
        <v>0</v>
      </c>
    </row>
    <row r="1206" spans="10:19" hidden="1">
      <c r="J1206" s="1" t="str">
        <f t="shared" si="262"/>
        <v>0</v>
      </c>
      <c r="K1206" s="3">
        <f t="shared" si="263"/>
        <v>-100</v>
      </c>
      <c r="L1206" s="3">
        <f t="shared" si="264"/>
        <v>1</v>
      </c>
      <c r="M1206" s="3">
        <f t="shared" si="265"/>
        <v>0</v>
      </c>
      <c r="N1206" s="3" t="str">
        <f t="shared" si="266"/>
        <v>01</v>
      </c>
      <c r="O1206" s="14" t="str">
        <f t="shared" si="266"/>
        <v>00</v>
      </c>
      <c r="R1206" s="6">
        <v>518</v>
      </c>
      <c r="S1206" s="5">
        <f t="shared" si="256"/>
        <v>0</v>
      </c>
    </row>
    <row r="1207" spans="10:19" hidden="1">
      <c r="J1207" s="1" t="str">
        <f t="shared" si="262"/>
        <v>0</v>
      </c>
      <c r="K1207" s="3">
        <f t="shared" si="263"/>
        <v>-100</v>
      </c>
      <c r="L1207" s="3">
        <f t="shared" si="264"/>
        <v>1</v>
      </c>
      <c r="M1207" s="3">
        <f t="shared" si="265"/>
        <v>0</v>
      </c>
      <c r="N1207" s="3" t="str">
        <f t="shared" si="266"/>
        <v>01</v>
      </c>
      <c r="O1207" s="14" t="str">
        <f t="shared" si="266"/>
        <v>00</v>
      </c>
      <c r="R1207" s="6">
        <v>518</v>
      </c>
      <c r="S1207" s="5">
        <f t="shared" si="256"/>
        <v>0</v>
      </c>
    </row>
    <row r="1208" spans="10:19" hidden="1">
      <c r="J1208" s="1" t="str">
        <f t="shared" si="262"/>
        <v>0</v>
      </c>
      <c r="K1208" s="3">
        <f t="shared" si="263"/>
        <v>-100</v>
      </c>
      <c r="L1208" s="3">
        <f t="shared" si="264"/>
        <v>1</v>
      </c>
      <c r="M1208" s="3">
        <f t="shared" si="265"/>
        <v>0</v>
      </c>
      <c r="N1208" s="3" t="str">
        <f t="shared" si="266"/>
        <v>01</v>
      </c>
      <c r="O1208" s="14" t="str">
        <f t="shared" si="266"/>
        <v>00</v>
      </c>
      <c r="R1208" s="6">
        <v>518</v>
      </c>
      <c r="S1208" s="5">
        <f t="shared" si="256"/>
        <v>0</v>
      </c>
    </row>
    <row r="1209" spans="10:19" ht="15" hidden="1" customHeight="1">
      <c r="J1209" s="1" t="str">
        <f t="shared" si="262"/>
        <v>0</v>
      </c>
      <c r="K1209" s="3">
        <f t="shared" si="263"/>
        <v>-100</v>
      </c>
      <c r="L1209" s="3">
        <f t="shared" si="264"/>
        <v>1</v>
      </c>
      <c r="M1209" s="3">
        <f t="shared" si="265"/>
        <v>0</v>
      </c>
      <c r="N1209" s="3" t="str">
        <f t="shared" si="266"/>
        <v>01</v>
      </c>
      <c r="O1209" s="14" t="str">
        <f t="shared" si="266"/>
        <v>00</v>
      </c>
      <c r="R1209" s="6">
        <v>518</v>
      </c>
      <c r="S1209" s="5">
        <f t="shared" si="256"/>
        <v>0</v>
      </c>
    </row>
    <row r="1210" spans="10:19" ht="15" hidden="1" customHeight="1">
      <c r="J1210" s="1" t="str">
        <f t="shared" si="262"/>
        <v>0</v>
      </c>
      <c r="K1210" s="3">
        <f t="shared" si="263"/>
        <v>-100</v>
      </c>
      <c r="L1210" s="3">
        <f t="shared" si="264"/>
        <v>1</v>
      </c>
      <c r="M1210" s="3">
        <f t="shared" si="265"/>
        <v>0</v>
      </c>
      <c r="N1210" s="3" t="str">
        <f t="shared" si="266"/>
        <v>01</v>
      </c>
      <c r="O1210" s="14" t="str">
        <f t="shared" si="266"/>
        <v>00</v>
      </c>
      <c r="R1210" s="6">
        <v>518</v>
      </c>
      <c r="S1210" s="5">
        <f t="shared" si="256"/>
        <v>0</v>
      </c>
    </row>
    <row r="1211" spans="10:19" ht="15" hidden="1" customHeight="1">
      <c r="J1211" s="1" t="str">
        <f t="shared" si="262"/>
        <v>0</v>
      </c>
      <c r="K1211" s="3">
        <f t="shared" si="263"/>
        <v>-100</v>
      </c>
      <c r="L1211" s="3">
        <f t="shared" si="264"/>
        <v>1</v>
      </c>
      <c r="M1211" s="3">
        <f t="shared" si="265"/>
        <v>0</v>
      </c>
      <c r="N1211" s="3" t="str">
        <f t="shared" si="266"/>
        <v>01</v>
      </c>
      <c r="O1211" s="14" t="str">
        <f t="shared" si="266"/>
        <v>00</v>
      </c>
      <c r="R1211" s="6">
        <v>518</v>
      </c>
      <c r="S1211" s="5">
        <f t="shared" si="256"/>
        <v>0</v>
      </c>
    </row>
    <row r="1212" spans="10:19" hidden="1">
      <c r="J1212" s="1" t="str">
        <f t="shared" si="262"/>
        <v>0</v>
      </c>
      <c r="K1212" s="3">
        <f t="shared" si="263"/>
        <v>-100</v>
      </c>
      <c r="L1212" s="3">
        <f t="shared" si="264"/>
        <v>1</v>
      </c>
      <c r="M1212" s="3">
        <f t="shared" si="265"/>
        <v>0</v>
      </c>
      <c r="N1212" s="3" t="str">
        <f t="shared" si="266"/>
        <v>01</v>
      </c>
      <c r="O1212" s="14" t="str">
        <f t="shared" si="266"/>
        <v>00</v>
      </c>
      <c r="R1212" s="6">
        <v>518</v>
      </c>
      <c r="S1212" s="5">
        <f t="shared" si="256"/>
        <v>0</v>
      </c>
    </row>
    <row r="1213" spans="10:19" hidden="1">
      <c r="J1213" s="1" t="str">
        <f t="shared" si="262"/>
        <v>0</v>
      </c>
      <c r="K1213" s="3">
        <f t="shared" si="263"/>
        <v>-100</v>
      </c>
      <c r="L1213" s="3">
        <f t="shared" si="264"/>
        <v>1</v>
      </c>
      <c r="M1213" s="3">
        <f t="shared" si="265"/>
        <v>0</v>
      </c>
      <c r="N1213" s="3" t="str">
        <f t="shared" si="266"/>
        <v>01</v>
      </c>
      <c r="O1213" s="14" t="str">
        <f t="shared" si="266"/>
        <v>00</v>
      </c>
      <c r="R1213" s="6">
        <v>518</v>
      </c>
      <c r="S1213" s="5">
        <f t="shared" si="256"/>
        <v>0</v>
      </c>
    </row>
    <row r="1214" spans="10:19" hidden="1">
      <c r="J1214" s="1" t="str">
        <f t="shared" si="262"/>
        <v>0</v>
      </c>
      <c r="K1214" s="3">
        <f t="shared" si="263"/>
        <v>-100</v>
      </c>
      <c r="L1214" s="3">
        <f t="shared" si="264"/>
        <v>1</v>
      </c>
      <c r="M1214" s="3">
        <f t="shared" si="265"/>
        <v>0</v>
      </c>
      <c r="N1214" s="3" t="str">
        <f t="shared" si="266"/>
        <v>01</v>
      </c>
      <c r="O1214" s="14" t="str">
        <f t="shared" si="266"/>
        <v>00</v>
      </c>
      <c r="R1214" s="6">
        <v>518</v>
      </c>
      <c r="S1214" s="5">
        <f t="shared" si="256"/>
        <v>0</v>
      </c>
    </row>
    <row r="1215" spans="10:19" hidden="1">
      <c r="J1215" s="1" t="str">
        <f t="shared" si="262"/>
        <v>0</v>
      </c>
      <c r="K1215" s="3">
        <f t="shared" si="263"/>
        <v>-100</v>
      </c>
      <c r="L1215" s="3">
        <f t="shared" si="264"/>
        <v>1</v>
      </c>
      <c r="M1215" s="3">
        <f t="shared" si="265"/>
        <v>0</v>
      </c>
      <c r="N1215" s="3" t="str">
        <f t="shared" si="266"/>
        <v>01</v>
      </c>
      <c r="O1215" s="14" t="str">
        <f t="shared" si="266"/>
        <v>00</v>
      </c>
      <c r="R1215" s="6">
        <v>518</v>
      </c>
      <c r="S1215" s="5">
        <f t="shared" si="256"/>
        <v>0</v>
      </c>
    </row>
    <row r="1216" spans="10:19" hidden="1">
      <c r="J1216" s="1" t="str">
        <f t="shared" si="262"/>
        <v>0</v>
      </c>
      <c r="K1216" s="3">
        <f t="shared" si="263"/>
        <v>-100</v>
      </c>
      <c r="L1216" s="3">
        <f t="shared" si="264"/>
        <v>1</v>
      </c>
      <c r="M1216" s="3">
        <f t="shared" si="265"/>
        <v>0</v>
      </c>
      <c r="N1216" s="3" t="str">
        <f t="shared" si="266"/>
        <v>01</v>
      </c>
      <c r="O1216" s="14" t="str">
        <f t="shared" si="266"/>
        <v>00</v>
      </c>
      <c r="P1216" s="11"/>
      <c r="R1216" s="6">
        <v>518</v>
      </c>
      <c r="S1216" s="5">
        <f t="shared" si="256"/>
        <v>0</v>
      </c>
    </row>
    <row r="1217" spans="1:22" hidden="1">
      <c r="J1217" s="1" t="str">
        <f t="shared" si="262"/>
        <v>0</v>
      </c>
      <c r="K1217" s="3">
        <f t="shared" si="263"/>
        <v>-100</v>
      </c>
      <c r="L1217" s="3">
        <f t="shared" si="264"/>
        <v>1</v>
      </c>
      <c r="M1217" s="3">
        <f t="shared" si="265"/>
        <v>0</v>
      </c>
      <c r="N1217" s="3" t="str">
        <f t="shared" si="266"/>
        <v>01</v>
      </c>
      <c r="O1217" s="14" t="str">
        <f t="shared" si="266"/>
        <v>00</v>
      </c>
      <c r="P1217" s="11"/>
      <c r="R1217" s="6">
        <v>518</v>
      </c>
      <c r="S1217" s="5">
        <f t="shared" si="256"/>
        <v>0</v>
      </c>
    </row>
    <row r="1218" spans="1:22" hidden="1">
      <c r="J1218" s="1" t="str">
        <f t="shared" si="262"/>
        <v>0</v>
      </c>
      <c r="K1218" s="3">
        <f t="shared" si="263"/>
        <v>-100</v>
      </c>
      <c r="L1218" s="3">
        <f t="shared" si="264"/>
        <v>1</v>
      </c>
      <c r="M1218" s="3">
        <f t="shared" si="265"/>
        <v>0</v>
      </c>
      <c r="N1218" s="3" t="str">
        <f t="shared" si="266"/>
        <v>01</v>
      </c>
      <c r="O1218" s="14" t="str">
        <f t="shared" si="266"/>
        <v>00</v>
      </c>
      <c r="P1218" s="11"/>
      <c r="R1218" s="6">
        <v>518</v>
      </c>
      <c r="S1218" s="5">
        <f t="shared" si="256"/>
        <v>0</v>
      </c>
    </row>
    <row r="1219" spans="1:22" hidden="1">
      <c r="J1219" s="1" t="str">
        <f t="shared" si="262"/>
        <v>0</v>
      </c>
      <c r="K1219" s="3">
        <f t="shared" si="263"/>
        <v>-100</v>
      </c>
      <c r="L1219" s="3">
        <f t="shared" si="264"/>
        <v>1</v>
      </c>
      <c r="M1219" s="3">
        <f t="shared" si="265"/>
        <v>0</v>
      </c>
      <c r="N1219" s="3" t="str">
        <f t="shared" si="266"/>
        <v>01</v>
      </c>
      <c r="O1219" s="14" t="str">
        <f t="shared" si="266"/>
        <v>00</v>
      </c>
      <c r="P1219" s="11"/>
      <c r="R1219" s="6">
        <v>518</v>
      </c>
      <c r="S1219" s="5">
        <f t="shared" si="256"/>
        <v>0</v>
      </c>
    </row>
    <row r="1220" spans="1:22" hidden="1">
      <c r="J1220" s="1" t="str">
        <f t="shared" si="262"/>
        <v>0</v>
      </c>
      <c r="K1220" s="3">
        <f t="shared" si="263"/>
        <v>-100</v>
      </c>
      <c r="L1220" s="3">
        <f t="shared" si="264"/>
        <v>1</v>
      </c>
      <c r="M1220" s="3">
        <f t="shared" si="265"/>
        <v>0</v>
      </c>
      <c r="N1220" s="3" t="str">
        <f t="shared" si="266"/>
        <v>01</v>
      </c>
      <c r="O1220" s="14" t="str">
        <f t="shared" si="266"/>
        <v>00</v>
      </c>
      <c r="P1220" s="11"/>
      <c r="R1220" s="6">
        <v>518</v>
      </c>
      <c r="S1220" s="5">
        <f t="shared" si="256"/>
        <v>0</v>
      </c>
    </row>
    <row r="1221" spans="1:22">
      <c r="A1221" s="3">
        <v>1210</v>
      </c>
      <c r="B1221" s="1">
        <f t="shared" ref="B1221:B1236" si="267">IF(G1221="-",0,IF(G1220=G1221,1,0))</f>
        <v>0</v>
      </c>
      <c r="C1221" s="1">
        <f t="shared" ref="C1221:C1236" si="268">+IF(G1221="-",0,IF(I1221=I1220+1,0,(IF(I1221=1,0,1))))</f>
        <v>1</v>
      </c>
      <c r="D1221" s="1">
        <f t="shared" ref="D1221:D1236" si="269">+IF(AND(P1221="",Q1221=""),1,0)</f>
        <v>0</v>
      </c>
      <c r="E1221" s="1">
        <f t="shared" ref="E1221:F1236" si="270">IF(U1221="",1,0)</f>
        <v>0</v>
      </c>
      <c r="F1221" s="1">
        <f t="shared" si="270"/>
        <v>0</v>
      </c>
      <c r="G1221" s="79" t="str">
        <f t="shared" ref="G1221:G1236" si="271">IF(H1221=0,"-",_xlfn.CONCAT(K1221,N1221,O1221,J1221))</f>
        <v>24071306</v>
      </c>
      <c r="H1221" s="59">
        <v>45486</v>
      </c>
      <c r="I1221" s="36">
        <v>6</v>
      </c>
      <c r="J1221" s="1" t="str">
        <f t="shared" si="262"/>
        <v>06</v>
      </c>
      <c r="K1221" s="3">
        <f t="shared" si="263"/>
        <v>24</v>
      </c>
      <c r="L1221" s="3">
        <f t="shared" si="264"/>
        <v>7</v>
      </c>
      <c r="M1221" s="3">
        <f t="shared" si="265"/>
        <v>13</v>
      </c>
      <c r="N1221" s="3" t="str">
        <f t="shared" si="266"/>
        <v>07</v>
      </c>
      <c r="O1221" s="14">
        <f t="shared" si="266"/>
        <v>13</v>
      </c>
      <c r="P1221" s="11">
        <v>120000</v>
      </c>
      <c r="Q1221" s="61"/>
      <c r="R1221" s="6">
        <v>518</v>
      </c>
      <c r="S1221" s="5">
        <f t="shared" si="256"/>
        <v>231.66023166023166</v>
      </c>
      <c r="T1221" s="61" t="s">
        <v>459</v>
      </c>
      <c r="U1221" s="3" t="s">
        <v>1</v>
      </c>
      <c r="V1221" s="3" t="s">
        <v>5</v>
      </c>
    </row>
    <row r="1222" spans="1:22">
      <c r="A1222" s="3">
        <v>1211</v>
      </c>
      <c r="B1222" s="1">
        <f t="shared" si="267"/>
        <v>0</v>
      </c>
      <c r="C1222" s="1">
        <f t="shared" si="268"/>
        <v>0</v>
      </c>
      <c r="D1222" s="1">
        <f t="shared" si="269"/>
        <v>0</v>
      </c>
      <c r="E1222" s="1">
        <f t="shared" si="270"/>
        <v>0</v>
      </c>
      <c r="F1222" s="1">
        <f t="shared" si="270"/>
        <v>0</v>
      </c>
      <c r="G1222" s="79" t="str">
        <f t="shared" si="271"/>
        <v>24071307</v>
      </c>
      <c r="H1222" s="59">
        <v>45486</v>
      </c>
      <c r="I1222" s="36">
        <v>7</v>
      </c>
      <c r="J1222" s="1" t="str">
        <f t="shared" si="262"/>
        <v>07</v>
      </c>
      <c r="K1222" s="3">
        <f t="shared" si="263"/>
        <v>24</v>
      </c>
      <c r="L1222" s="3">
        <f t="shared" si="264"/>
        <v>7</v>
      </c>
      <c r="M1222" s="3">
        <f t="shared" si="265"/>
        <v>13</v>
      </c>
      <c r="N1222" s="3" t="str">
        <f t="shared" si="266"/>
        <v>07</v>
      </c>
      <c r="O1222" s="14">
        <f t="shared" si="266"/>
        <v>13</v>
      </c>
      <c r="P1222" s="11">
        <v>102000</v>
      </c>
      <c r="Q1222" s="61"/>
      <c r="R1222" s="6">
        <v>518</v>
      </c>
      <c r="S1222" s="5">
        <f t="shared" si="256"/>
        <v>196.91119691119692</v>
      </c>
      <c r="T1222" s="61" t="s">
        <v>460</v>
      </c>
      <c r="U1222" s="3" t="s">
        <v>1</v>
      </c>
      <c r="V1222" s="3" t="s">
        <v>5</v>
      </c>
    </row>
    <row r="1223" spans="1:22" hidden="1">
      <c r="G1223" s="79"/>
      <c r="H1223" s="59"/>
      <c r="J1223" s="1" t="str">
        <f t="shared" si="262"/>
        <v>0</v>
      </c>
      <c r="K1223" s="3">
        <f t="shared" si="263"/>
        <v>-100</v>
      </c>
      <c r="L1223" s="3">
        <f t="shared" si="264"/>
        <v>1</v>
      </c>
      <c r="M1223" s="3">
        <f t="shared" si="265"/>
        <v>0</v>
      </c>
      <c r="N1223" s="3" t="str">
        <f t="shared" si="266"/>
        <v>01</v>
      </c>
      <c r="O1223" s="14" t="str">
        <f t="shared" si="266"/>
        <v>00</v>
      </c>
      <c r="P1223" s="11"/>
      <c r="Q1223" s="61"/>
      <c r="R1223" s="6">
        <v>518</v>
      </c>
      <c r="S1223" s="5">
        <f t="shared" si="256"/>
        <v>0</v>
      </c>
      <c r="T1223" s="61"/>
    </row>
    <row r="1224" spans="1:22">
      <c r="A1224" s="3">
        <v>1213</v>
      </c>
      <c r="B1224" s="1">
        <f t="shared" si="267"/>
        <v>0</v>
      </c>
      <c r="C1224" s="1">
        <f t="shared" si="268"/>
        <v>1</v>
      </c>
      <c r="D1224" s="1">
        <f t="shared" si="269"/>
        <v>0</v>
      </c>
      <c r="E1224" s="1">
        <f t="shared" si="270"/>
        <v>0</v>
      </c>
      <c r="F1224" s="1">
        <f t="shared" si="270"/>
        <v>0</v>
      </c>
      <c r="G1224" s="79" t="str">
        <f t="shared" si="271"/>
        <v>24071309</v>
      </c>
      <c r="H1224" s="59">
        <v>45486</v>
      </c>
      <c r="I1224" s="36">
        <v>9</v>
      </c>
      <c r="J1224" s="1" t="str">
        <f t="shared" si="262"/>
        <v>09</v>
      </c>
      <c r="K1224" s="3">
        <f t="shared" si="263"/>
        <v>24</v>
      </c>
      <c r="L1224" s="3">
        <f t="shared" si="264"/>
        <v>7</v>
      </c>
      <c r="M1224" s="3">
        <f t="shared" si="265"/>
        <v>13</v>
      </c>
      <c r="N1224" s="3" t="str">
        <f t="shared" si="266"/>
        <v>07</v>
      </c>
      <c r="O1224" s="14">
        <f t="shared" si="266"/>
        <v>13</v>
      </c>
      <c r="P1224" s="11">
        <v>90000</v>
      </c>
      <c r="Q1224" s="61"/>
      <c r="R1224" s="6">
        <v>518</v>
      </c>
      <c r="S1224" s="5">
        <f t="shared" si="256"/>
        <v>173.74517374517376</v>
      </c>
      <c r="T1224" s="61" t="s">
        <v>462</v>
      </c>
      <c r="U1224" s="3" t="s">
        <v>1</v>
      </c>
      <c r="V1224" s="3" t="s">
        <v>5</v>
      </c>
    </row>
    <row r="1225" spans="1:22" hidden="1">
      <c r="G1225" s="79"/>
      <c r="H1225" s="59"/>
      <c r="J1225" s="1" t="str">
        <f t="shared" si="262"/>
        <v>0</v>
      </c>
      <c r="K1225" s="3">
        <f t="shared" si="263"/>
        <v>-100</v>
      </c>
      <c r="L1225" s="3">
        <f t="shared" si="264"/>
        <v>1</v>
      </c>
      <c r="M1225" s="3">
        <f t="shared" si="265"/>
        <v>0</v>
      </c>
      <c r="N1225" s="3" t="str">
        <f t="shared" si="266"/>
        <v>01</v>
      </c>
      <c r="O1225" s="14" t="str">
        <f t="shared" si="266"/>
        <v>00</v>
      </c>
      <c r="P1225" s="11"/>
      <c r="Q1225" s="61"/>
      <c r="R1225" s="6">
        <v>518</v>
      </c>
      <c r="S1225" s="5">
        <f t="shared" si="256"/>
        <v>0</v>
      </c>
      <c r="T1225" s="61"/>
    </row>
    <row r="1226" spans="1:22">
      <c r="A1226" s="3">
        <v>1215</v>
      </c>
      <c r="B1226" s="1">
        <f t="shared" si="267"/>
        <v>0</v>
      </c>
      <c r="C1226" s="1">
        <f t="shared" si="268"/>
        <v>1</v>
      </c>
      <c r="D1226" s="1">
        <f t="shared" si="269"/>
        <v>0</v>
      </c>
      <c r="E1226" s="1">
        <f t="shared" si="270"/>
        <v>0</v>
      </c>
      <c r="F1226" s="1">
        <f t="shared" si="270"/>
        <v>0</v>
      </c>
      <c r="G1226" s="79" t="str">
        <f t="shared" si="271"/>
        <v>24071311</v>
      </c>
      <c r="H1226" s="59">
        <v>45486</v>
      </c>
      <c r="I1226" s="36">
        <v>11</v>
      </c>
      <c r="J1226" s="1">
        <f t="shared" si="262"/>
        <v>11</v>
      </c>
      <c r="K1226" s="3">
        <f t="shared" si="263"/>
        <v>24</v>
      </c>
      <c r="L1226" s="3">
        <f t="shared" si="264"/>
        <v>7</v>
      </c>
      <c r="M1226" s="3">
        <f t="shared" si="265"/>
        <v>13</v>
      </c>
      <c r="N1226" s="3" t="str">
        <f t="shared" si="266"/>
        <v>07</v>
      </c>
      <c r="O1226" s="14">
        <f t="shared" si="266"/>
        <v>13</v>
      </c>
      <c r="P1226" s="11">
        <v>230000</v>
      </c>
      <c r="Q1226" s="61"/>
      <c r="R1226" s="6">
        <v>518</v>
      </c>
      <c r="S1226" s="5">
        <f t="shared" si="256"/>
        <v>444.01544401544402</v>
      </c>
      <c r="T1226" s="61" t="s">
        <v>463</v>
      </c>
      <c r="U1226" s="3" t="s">
        <v>1</v>
      </c>
      <c r="V1226" s="3" t="s">
        <v>5</v>
      </c>
    </row>
    <row r="1227" spans="1:22" hidden="1">
      <c r="G1227" s="80"/>
      <c r="H1227" s="81"/>
      <c r="J1227" s="1" t="str">
        <f t="shared" si="262"/>
        <v>0</v>
      </c>
      <c r="K1227" s="3">
        <f t="shared" si="263"/>
        <v>-100</v>
      </c>
      <c r="L1227" s="3">
        <f t="shared" si="264"/>
        <v>1</v>
      </c>
      <c r="M1227" s="3">
        <f t="shared" si="265"/>
        <v>0</v>
      </c>
      <c r="N1227" s="3" t="str">
        <f t="shared" si="266"/>
        <v>01</v>
      </c>
      <c r="O1227" s="14" t="str">
        <f t="shared" si="266"/>
        <v>00</v>
      </c>
      <c r="P1227" s="11"/>
      <c r="Q1227" s="77"/>
      <c r="R1227" s="6">
        <v>518</v>
      </c>
      <c r="S1227" s="5">
        <f t="shared" si="256"/>
        <v>0</v>
      </c>
      <c r="T1227" s="77"/>
    </row>
    <row r="1228" spans="1:22" hidden="1">
      <c r="G1228" s="80"/>
      <c r="H1228" s="81"/>
      <c r="J1228" s="1" t="str">
        <f t="shared" si="262"/>
        <v>0</v>
      </c>
      <c r="K1228" s="3">
        <f t="shared" si="263"/>
        <v>-100</v>
      </c>
      <c r="L1228" s="3">
        <f t="shared" si="264"/>
        <v>1</v>
      </c>
      <c r="M1228" s="3">
        <f t="shared" si="265"/>
        <v>0</v>
      </c>
      <c r="N1228" s="3" t="str">
        <f t="shared" si="266"/>
        <v>01</v>
      </c>
      <c r="O1228" s="14" t="str">
        <f t="shared" si="266"/>
        <v>00</v>
      </c>
      <c r="P1228" s="11"/>
      <c r="Q1228" s="77"/>
      <c r="R1228" s="6">
        <v>518</v>
      </c>
      <c r="S1228" s="5">
        <f t="shared" si="256"/>
        <v>0</v>
      </c>
      <c r="T1228" s="77"/>
    </row>
    <row r="1229" spans="1:22">
      <c r="A1229" s="3">
        <v>1218</v>
      </c>
      <c r="B1229" s="1">
        <f t="shared" si="267"/>
        <v>0</v>
      </c>
      <c r="C1229" s="1">
        <f t="shared" si="268"/>
        <v>1</v>
      </c>
      <c r="D1229" s="1">
        <f t="shared" si="269"/>
        <v>0</v>
      </c>
      <c r="E1229" s="1">
        <f t="shared" si="270"/>
        <v>0</v>
      </c>
      <c r="F1229" s="1">
        <f t="shared" si="270"/>
        <v>0</v>
      </c>
      <c r="G1229" s="80" t="str">
        <f t="shared" si="271"/>
        <v>24071314</v>
      </c>
      <c r="H1229" s="81">
        <v>45486</v>
      </c>
      <c r="I1229" s="36">
        <v>14</v>
      </c>
      <c r="J1229" s="1">
        <f t="shared" si="262"/>
        <v>14</v>
      </c>
      <c r="K1229" s="3">
        <f t="shared" si="263"/>
        <v>24</v>
      </c>
      <c r="L1229" s="3">
        <f t="shared" si="264"/>
        <v>7</v>
      </c>
      <c r="M1229" s="3">
        <f t="shared" si="265"/>
        <v>13</v>
      </c>
      <c r="N1229" s="3" t="str">
        <f t="shared" si="266"/>
        <v>07</v>
      </c>
      <c r="O1229" s="14">
        <f t="shared" si="266"/>
        <v>13</v>
      </c>
      <c r="P1229" s="11">
        <v>120000</v>
      </c>
      <c r="Q1229" s="77"/>
      <c r="R1229" s="6">
        <v>518</v>
      </c>
      <c r="S1229" s="5">
        <f t="shared" si="256"/>
        <v>231.66023166023166</v>
      </c>
      <c r="T1229" s="77" t="s">
        <v>471</v>
      </c>
      <c r="U1229" s="3" t="s">
        <v>1</v>
      </c>
      <c r="V1229" s="3" t="s">
        <v>5</v>
      </c>
    </row>
    <row r="1230" spans="1:22" hidden="1">
      <c r="G1230" s="82"/>
      <c r="H1230" s="83"/>
      <c r="J1230" s="1" t="str">
        <f t="shared" si="262"/>
        <v>0</v>
      </c>
      <c r="K1230" s="3">
        <f t="shared" si="263"/>
        <v>-100</v>
      </c>
      <c r="L1230" s="3">
        <f t="shared" si="264"/>
        <v>1</v>
      </c>
      <c r="M1230" s="3">
        <f t="shared" si="265"/>
        <v>0</v>
      </c>
      <c r="N1230" s="3" t="str">
        <f t="shared" si="266"/>
        <v>01</v>
      </c>
      <c r="O1230" s="14" t="str">
        <f t="shared" si="266"/>
        <v>00</v>
      </c>
      <c r="P1230" s="11"/>
      <c r="Q1230" s="84"/>
      <c r="R1230" s="6">
        <v>518</v>
      </c>
      <c r="S1230" s="5">
        <f t="shared" si="256"/>
        <v>0</v>
      </c>
      <c r="T1230" s="84"/>
    </row>
    <row r="1231" spans="1:22" hidden="1">
      <c r="G1231" s="82"/>
      <c r="H1231" s="83"/>
      <c r="J1231" s="1" t="str">
        <f t="shared" si="262"/>
        <v>0</v>
      </c>
      <c r="K1231" s="3">
        <f t="shared" si="263"/>
        <v>-100</v>
      </c>
      <c r="L1231" s="3">
        <f t="shared" si="264"/>
        <v>1</v>
      </c>
      <c r="M1231" s="3">
        <f t="shared" si="265"/>
        <v>0</v>
      </c>
      <c r="N1231" s="3" t="str">
        <f t="shared" si="266"/>
        <v>01</v>
      </c>
      <c r="O1231" s="14" t="str">
        <f t="shared" si="266"/>
        <v>00</v>
      </c>
      <c r="P1231" s="11"/>
      <c r="Q1231" s="84"/>
      <c r="R1231" s="6">
        <v>518</v>
      </c>
      <c r="S1231" s="5">
        <f t="shared" si="256"/>
        <v>0</v>
      </c>
      <c r="T1231" s="84"/>
    </row>
    <row r="1232" spans="1:22">
      <c r="A1232" s="3">
        <v>1221</v>
      </c>
      <c r="B1232" s="1">
        <f t="shared" si="267"/>
        <v>0</v>
      </c>
      <c r="C1232" s="1">
        <f t="shared" si="268"/>
        <v>1</v>
      </c>
      <c r="D1232" s="1">
        <f t="shared" si="269"/>
        <v>0</v>
      </c>
      <c r="E1232" s="1">
        <f t="shared" si="270"/>
        <v>0</v>
      </c>
      <c r="F1232" s="1">
        <f t="shared" si="270"/>
        <v>0</v>
      </c>
      <c r="G1232" s="82" t="str">
        <f t="shared" si="271"/>
        <v>24071317</v>
      </c>
      <c r="H1232" s="83">
        <v>45486</v>
      </c>
      <c r="I1232" s="36">
        <v>17</v>
      </c>
      <c r="J1232" s="1">
        <f t="shared" si="262"/>
        <v>17</v>
      </c>
      <c r="K1232" s="3">
        <f t="shared" si="263"/>
        <v>24</v>
      </c>
      <c r="L1232" s="3">
        <f t="shared" si="264"/>
        <v>7</v>
      </c>
      <c r="M1232" s="3">
        <f t="shared" si="265"/>
        <v>13</v>
      </c>
      <c r="N1232" s="3" t="str">
        <f t="shared" si="266"/>
        <v>07</v>
      </c>
      <c r="O1232" s="14">
        <f t="shared" si="266"/>
        <v>13</v>
      </c>
      <c r="P1232" s="11">
        <v>150000</v>
      </c>
      <c r="Q1232" s="84"/>
      <c r="R1232" s="6">
        <v>518</v>
      </c>
      <c r="S1232" s="5">
        <f t="shared" si="256"/>
        <v>289.57528957528956</v>
      </c>
      <c r="T1232" s="84" t="s">
        <v>458</v>
      </c>
      <c r="U1232" s="3" t="s">
        <v>1</v>
      </c>
      <c r="V1232" s="3" t="s">
        <v>5</v>
      </c>
    </row>
    <row r="1233" spans="1:22">
      <c r="A1233" s="3">
        <v>1222</v>
      </c>
      <c r="B1233" s="1">
        <f t="shared" si="267"/>
        <v>0</v>
      </c>
      <c r="C1233" s="1">
        <f t="shared" si="268"/>
        <v>0</v>
      </c>
      <c r="D1233" s="1">
        <f t="shared" si="269"/>
        <v>0</v>
      </c>
      <c r="E1233" s="1">
        <f t="shared" si="270"/>
        <v>0</v>
      </c>
      <c r="F1233" s="1">
        <f t="shared" si="270"/>
        <v>0</v>
      </c>
      <c r="G1233" s="1" t="str">
        <f t="shared" si="271"/>
        <v>24071318</v>
      </c>
      <c r="H1233" s="2">
        <v>45486</v>
      </c>
      <c r="I1233" s="36">
        <v>18</v>
      </c>
      <c r="J1233" s="1">
        <f t="shared" si="262"/>
        <v>18</v>
      </c>
      <c r="K1233" s="3">
        <f t="shared" si="263"/>
        <v>24</v>
      </c>
      <c r="L1233" s="3">
        <f t="shared" si="264"/>
        <v>7</v>
      </c>
      <c r="M1233" s="3">
        <f t="shared" si="265"/>
        <v>13</v>
      </c>
      <c r="N1233" s="3" t="str">
        <f t="shared" si="266"/>
        <v>07</v>
      </c>
      <c r="O1233" s="14">
        <f t="shared" si="266"/>
        <v>13</v>
      </c>
      <c r="P1233" s="11"/>
      <c r="Q1233" s="5">
        <v>169.5</v>
      </c>
      <c r="R1233" s="6">
        <v>518</v>
      </c>
      <c r="S1233" s="5">
        <f t="shared" si="256"/>
        <v>0</v>
      </c>
      <c r="T1233" s="5" t="s">
        <v>465</v>
      </c>
      <c r="U1233" s="3" t="s">
        <v>2</v>
      </c>
      <c r="V1233" s="3" t="s">
        <v>5</v>
      </c>
    </row>
    <row r="1234" spans="1:22" hidden="1">
      <c r="J1234" s="1" t="str">
        <f t="shared" si="262"/>
        <v>0</v>
      </c>
      <c r="K1234" s="3">
        <f t="shared" si="263"/>
        <v>-100</v>
      </c>
      <c r="L1234" s="3">
        <f t="shared" si="264"/>
        <v>1</v>
      </c>
      <c r="M1234" s="3">
        <f t="shared" si="265"/>
        <v>0</v>
      </c>
      <c r="N1234" s="3" t="str">
        <f t="shared" ref="N1234:O1265" si="272">+IF(L1234&lt;10,_xlfn.CONCAT("0",L1234),L1234)</f>
        <v>01</v>
      </c>
      <c r="O1234" s="14" t="str">
        <f t="shared" si="272"/>
        <v>00</v>
      </c>
      <c r="P1234" s="11"/>
      <c r="R1234" s="6">
        <v>518</v>
      </c>
      <c r="S1234" s="5">
        <f t="shared" si="256"/>
        <v>0</v>
      </c>
    </row>
    <row r="1235" spans="1:22">
      <c r="A1235" s="3">
        <v>1224</v>
      </c>
      <c r="B1235" s="1">
        <f t="shared" si="267"/>
        <v>0</v>
      </c>
      <c r="C1235" s="1">
        <f t="shared" si="268"/>
        <v>1</v>
      </c>
      <c r="D1235" s="1">
        <f t="shared" si="269"/>
        <v>0</v>
      </c>
      <c r="E1235" s="1">
        <f t="shared" si="270"/>
        <v>0</v>
      </c>
      <c r="F1235" s="1">
        <f t="shared" si="270"/>
        <v>0</v>
      </c>
      <c r="G1235" s="1" t="str">
        <f t="shared" si="271"/>
        <v>24071320</v>
      </c>
      <c r="H1235" s="2">
        <v>45486</v>
      </c>
      <c r="I1235" s="36">
        <v>20</v>
      </c>
      <c r="J1235" s="1">
        <f t="shared" si="262"/>
        <v>20</v>
      </c>
      <c r="K1235" s="3">
        <f t="shared" si="263"/>
        <v>24</v>
      </c>
      <c r="L1235" s="3">
        <f t="shared" si="264"/>
        <v>7</v>
      </c>
      <c r="M1235" s="3">
        <f t="shared" si="265"/>
        <v>13</v>
      </c>
      <c r="N1235" s="3" t="str">
        <f t="shared" si="272"/>
        <v>07</v>
      </c>
      <c r="O1235" s="14">
        <f t="shared" si="272"/>
        <v>13</v>
      </c>
      <c r="P1235" s="11">
        <v>378550</v>
      </c>
      <c r="R1235" s="6">
        <v>518</v>
      </c>
      <c r="S1235" s="5">
        <f t="shared" si="256"/>
        <v>730.79150579150576</v>
      </c>
      <c r="T1235" s="5" t="s">
        <v>464</v>
      </c>
      <c r="U1235" s="3" t="s">
        <v>1</v>
      </c>
      <c r="V1235" s="3" t="s">
        <v>5</v>
      </c>
    </row>
    <row r="1236" spans="1:22">
      <c r="A1236" s="3">
        <v>1225</v>
      </c>
      <c r="B1236" s="1">
        <f t="shared" si="267"/>
        <v>0</v>
      </c>
      <c r="C1236" s="1">
        <f t="shared" si="268"/>
        <v>0</v>
      </c>
      <c r="D1236" s="1">
        <f t="shared" si="269"/>
        <v>0</v>
      </c>
      <c r="E1236" s="1">
        <f t="shared" si="270"/>
        <v>0</v>
      </c>
      <c r="F1236" s="1">
        <f t="shared" si="270"/>
        <v>0</v>
      </c>
      <c r="G1236" s="1" t="str">
        <f t="shared" si="271"/>
        <v>24071321</v>
      </c>
      <c r="H1236" s="2">
        <v>45486</v>
      </c>
      <c r="I1236" s="36">
        <v>21</v>
      </c>
      <c r="J1236" s="1">
        <f t="shared" si="262"/>
        <v>21</v>
      </c>
      <c r="K1236" s="3">
        <f t="shared" si="263"/>
        <v>24</v>
      </c>
      <c r="L1236" s="3">
        <f t="shared" si="264"/>
        <v>7</v>
      </c>
      <c r="M1236" s="3">
        <f t="shared" si="265"/>
        <v>13</v>
      </c>
      <c r="N1236" s="3" t="str">
        <f t="shared" si="272"/>
        <v>07</v>
      </c>
      <c r="O1236" s="14">
        <f t="shared" si="272"/>
        <v>13</v>
      </c>
      <c r="P1236" s="11">
        <f>3*532*10</f>
        <v>15960</v>
      </c>
      <c r="R1236" s="6">
        <v>518</v>
      </c>
      <c r="S1236" s="5">
        <f t="shared" si="256"/>
        <v>30.810810810810811</v>
      </c>
      <c r="T1236" s="5" t="s">
        <v>653</v>
      </c>
      <c r="U1236" s="3" t="s">
        <v>1</v>
      </c>
      <c r="V1236" s="3" t="s">
        <v>5</v>
      </c>
    </row>
    <row r="1237" spans="1:22" hidden="1">
      <c r="J1237" s="1" t="str">
        <f t="shared" si="262"/>
        <v>0</v>
      </c>
      <c r="K1237" s="3">
        <f t="shared" si="263"/>
        <v>-100</v>
      </c>
      <c r="L1237" s="3">
        <f t="shared" si="264"/>
        <v>1</v>
      </c>
      <c r="M1237" s="3">
        <f t="shared" si="265"/>
        <v>0</v>
      </c>
      <c r="N1237" s="3" t="str">
        <f t="shared" si="272"/>
        <v>01</v>
      </c>
      <c r="O1237" s="14" t="str">
        <f t="shared" si="272"/>
        <v>00</v>
      </c>
      <c r="R1237" s="6">
        <v>518</v>
      </c>
      <c r="S1237" s="5">
        <v>30.79</v>
      </c>
    </row>
    <row r="1238" spans="1:22" hidden="1">
      <c r="J1238" s="1" t="str">
        <f t="shared" si="262"/>
        <v>0</v>
      </c>
      <c r="K1238" s="3">
        <f t="shared" si="263"/>
        <v>-100</v>
      </c>
      <c r="L1238" s="3">
        <f t="shared" si="264"/>
        <v>1</v>
      </c>
      <c r="M1238" s="3">
        <f t="shared" si="265"/>
        <v>0</v>
      </c>
      <c r="N1238" s="3" t="str">
        <f t="shared" si="272"/>
        <v>01</v>
      </c>
      <c r="O1238" s="14" t="str">
        <f t="shared" si="272"/>
        <v>00</v>
      </c>
      <c r="R1238" s="6">
        <v>518</v>
      </c>
      <c r="S1238" s="5">
        <v>30.79</v>
      </c>
    </row>
    <row r="1239" spans="1:22" hidden="1">
      <c r="J1239" s="1" t="str">
        <f t="shared" si="262"/>
        <v>0</v>
      </c>
      <c r="K1239" s="3">
        <f t="shared" si="263"/>
        <v>-100</v>
      </c>
      <c r="L1239" s="3">
        <f t="shared" si="264"/>
        <v>1</v>
      </c>
      <c r="M1239" s="3">
        <f t="shared" si="265"/>
        <v>0</v>
      </c>
      <c r="N1239" s="3" t="str">
        <f t="shared" si="272"/>
        <v>01</v>
      </c>
      <c r="O1239" s="14" t="str">
        <f t="shared" si="272"/>
        <v>00</v>
      </c>
      <c r="R1239" s="6">
        <v>518</v>
      </c>
      <c r="S1239" s="5">
        <v>30.79</v>
      </c>
    </row>
    <row r="1240" spans="1:22" hidden="1">
      <c r="J1240" s="1" t="str">
        <f t="shared" si="262"/>
        <v>0</v>
      </c>
      <c r="K1240" s="3">
        <f t="shared" si="263"/>
        <v>-100</v>
      </c>
      <c r="L1240" s="3">
        <f t="shared" si="264"/>
        <v>1</v>
      </c>
      <c r="M1240" s="3">
        <f t="shared" si="265"/>
        <v>0</v>
      </c>
      <c r="N1240" s="3" t="str">
        <f t="shared" si="272"/>
        <v>01</v>
      </c>
      <c r="O1240" s="14" t="str">
        <f t="shared" si="272"/>
        <v>00</v>
      </c>
      <c r="R1240" s="6">
        <v>518</v>
      </c>
      <c r="S1240" s="5">
        <f t="shared" ref="S1240:S1252" si="273">IFERROR(P1240/R1240,"")</f>
        <v>0</v>
      </c>
    </row>
    <row r="1241" spans="1:22" hidden="1">
      <c r="J1241" s="1" t="str">
        <f t="shared" si="262"/>
        <v>0</v>
      </c>
      <c r="K1241" s="3">
        <f t="shared" si="263"/>
        <v>-100</v>
      </c>
      <c r="L1241" s="3">
        <f t="shared" si="264"/>
        <v>1</v>
      </c>
      <c r="M1241" s="3">
        <f t="shared" si="265"/>
        <v>0</v>
      </c>
      <c r="N1241" s="3" t="str">
        <f t="shared" si="272"/>
        <v>01</v>
      </c>
      <c r="O1241" s="14" t="str">
        <f t="shared" si="272"/>
        <v>00</v>
      </c>
      <c r="R1241" s="6">
        <v>518</v>
      </c>
      <c r="S1241" s="5">
        <f t="shared" si="273"/>
        <v>0</v>
      </c>
    </row>
    <row r="1242" spans="1:22" hidden="1">
      <c r="J1242" s="1" t="str">
        <f t="shared" si="262"/>
        <v>0</v>
      </c>
      <c r="K1242" s="3">
        <f t="shared" si="263"/>
        <v>-100</v>
      </c>
      <c r="L1242" s="3">
        <f t="shared" si="264"/>
        <v>1</v>
      </c>
      <c r="M1242" s="3">
        <f t="shared" si="265"/>
        <v>0</v>
      </c>
      <c r="N1242" s="3" t="str">
        <f t="shared" si="272"/>
        <v>01</v>
      </c>
      <c r="O1242" s="14" t="str">
        <f t="shared" si="272"/>
        <v>00</v>
      </c>
      <c r="R1242" s="6">
        <v>518</v>
      </c>
      <c r="S1242" s="5">
        <f t="shared" si="273"/>
        <v>0</v>
      </c>
    </row>
    <row r="1243" spans="1:22" hidden="1">
      <c r="J1243" s="1" t="str">
        <f t="shared" si="262"/>
        <v>0</v>
      </c>
      <c r="K1243" s="3">
        <f t="shared" si="263"/>
        <v>-100</v>
      </c>
      <c r="L1243" s="3">
        <f t="shared" si="264"/>
        <v>1</v>
      </c>
      <c r="M1243" s="3">
        <f t="shared" si="265"/>
        <v>0</v>
      </c>
      <c r="N1243" s="3" t="str">
        <f t="shared" si="272"/>
        <v>01</v>
      </c>
      <c r="O1243" s="14" t="str">
        <f t="shared" si="272"/>
        <v>00</v>
      </c>
      <c r="R1243" s="6">
        <v>518</v>
      </c>
      <c r="S1243" s="5">
        <f t="shared" si="273"/>
        <v>0</v>
      </c>
    </row>
    <row r="1244" spans="1:22" hidden="1">
      <c r="J1244" s="1" t="str">
        <f t="shared" si="262"/>
        <v>0</v>
      </c>
      <c r="K1244" s="3">
        <f t="shared" si="263"/>
        <v>-100</v>
      </c>
      <c r="L1244" s="3">
        <f t="shared" si="264"/>
        <v>1</v>
      </c>
      <c r="M1244" s="3">
        <f t="shared" si="265"/>
        <v>0</v>
      </c>
      <c r="N1244" s="3" t="str">
        <f t="shared" si="272"/>
        <v>01</v>
      </c>
      <c r="O1244" s="14" t="str">
        <f t="shared" si="272"/>
        <v>00</v>
      </c>
      <c r="R1244" s="6">
        <v>518</v>
      </c>
      <c r="S1244" s="5">
        <f t="shared" si="273"/>
        <v>0</v>
      </c>
    </row>
    <row r="1245" spans="1:22" hidden="1">
      <c r="J1245" s="1" t="str">
        <f t="shared" si="262"/>
        <v>0</v>
      </c>
      <c r="K1245" s="3">
        <f t="shared" si="263"/>
        <v>-100</v>
      </c>
      <c r="L1245" s="3">
        <f t="shared" si="264"/>
        <v>1</v>
      </c>
      <c r="M1245" s="3">
        <f t="shared" si="265"/>
        <v>0</v>
      </c>
      <c r="N1245" s="3" t="str">
        <f t="shared" si="272"/>
        <v>01</v>
      </c>
      <c r="O1245" s="14" t="str">
        <f t="shared" si="272"/>
        <v>00</v>
      </c>
      <c r="R1245" s="6">
        <v>518</v>
      </c>
      <c r="S1245" s="5">
        <f t="shared" si="273"/>
        <v>0</v>
      </c>
    </row>
    <row r="1246" spans="1:22" hidden="1">
      <c r="J1246" s="1" t="str">
        <f t="shared" si="262"/>
        <v>0</v>
      </c>
      <c r="K1246" s="3">
        <f t="shared" si="263"/>
        <v>-100</v>
      </c>
      <c r="L1246" s="3">
        <f t="shared" si="264"/>
        <v>1</v>
      </c>
      <c r="M1246" s="3">
        <f t="shared" si="265"/>
        <v>0</v>
      </c>
      <c r="N1246" s="3" t="str">
        <f t="shared" si="272"/>
        <v>01</v>
      </c>
      <c r="O1246" s="14" t="str">
        <f t="shared" si="272"/>
        <v>00</v>
      </c>
      <c r="R1246" s="6">
        <v>518</v>
      </c>
      <c r="S1246" s="5">
        <f t="shared" si="273"/>
        <v>0</v>
      </c>
    </row>
    <row r="1247" spans="1:22" hidden="1">
      <c r="J1247" s="1" t="str">
        <f t="shared" si="262"/>
        <v>0</v>
      </c>
      <c r="K1247" s="3">
        <f t="shared" si="263"/>
        <v>-100</v>
      </c>
      <c r="L1247" s="3">
        <f t="shared" si="264"/>
        <v>1</v>
      </c>
      <c r="M1247" s="3">
        <f t="shared" si="265"/>
        <v>0</v>
      </c>
      <c r="N1247" s="3" t="str">
        <f t="shared" si="272"/>
        <v>01</v>
      </c>
      <c r="O1247" s="14" t="str">
        <f t="shared" si="272"/>
        <v>00</v>
      </c>
      <c r="R1247" s="6">
        <v>518</v>
      </c>
      <c r="S1247" s="5">
        <f t="shared" si="273"/>
        <v>0</v>
      </c>
    </row>
    <row r="1248" spans="1:22" hidden="1">
      <c r="J1248" s="1" t="str">
        <f t="shared" si="262"/>
        <v>0</v>
      </c>
      <c r="K1248" s="3">
        <f t="shared" si="263"/>
        <v>-100</v>
      </c>
      <c r="L1248" s="3">
        <f t="shared" si="264"/>
        <v>1</v>
      </c>
      <c r="M1248" s="3">
        <f t="shared" si="265"/>
        <v>0</v>
      </c>
      <c r="N1248" s="3" t="str">
        <f t="shared" si="272"/>
        <v>01</v>
      </c>
      <c r="O1248" s="14" t="str">
        <f t="shared" si="272"/>
        <v>00</v>
      </c>
      <c r="R1248" s="6">
        <v>518</v>
      </c>
      <c r="S1248" s="5">
        <f t="shared" si="273"/>
        <v>0</v>
      </c>
    </row>
    <row r="1249" spans="10:19" hidden="1">
      <c r="J1249" s="1" t="str">
        <f t="shared" si="262"/>
        <v>0</v>
      </c>
      <c r="K1249" s="3">
        <f t="shared" si="263"/>
        <v>-100</v>
      </c>
      <c r="L1249" s="3">
        <f t="shared" si="264"/>
        <v>1</v>
      </c>
      <c r="M1249" s="3">
        <f t="shared" si="265"/>
        <v>0</v>
      </c>
      <c r="N1249" s="3" t="str">
        <f t="shared" si="272"/>
        <v>01</v>
      </c>
      <c r="O1249" s="14" t="str">
        <f t="shared" si="272"/>
        <v>00</v>
      </c>
      <c r="R1249" s="6">
        <v>518</v>
      </c>
      <c r="S1249" s="5">
        <f t="shared" si="273"/>
        <v>0</v>
      </c>
    </row>
    <row r="1250" spans="10:19" hidden="1">
      <c r="J1250" s="1" t="str">
        <f t="shared" si="262"/>
        <v>0</v>
      </c>
      <c r="K1250" s="3">
        <f t="shared" si="263"/>
        <v>-100</v>
      </c>
      <c r="L1250" s="3">
        <f t="shared" si="264"/>
        <v>1</v>
      </c>
      <c r="M1250" s="3">
        <f t="shared" si="265"/>
        <v>0</v>
      </c>
      <c r="N1250" s="3" t="str">
        <f t="shared" si="272"/>
        <v>01</v>
      </c>
      <c r="O1250" s="14" t="str">
        <f t="shared" si="272"/>
        <v>00</v>
      </c>
      <c r="R1250" s="6">
        <v>518</v>
      </c>
      <c r="S1250" s="5">
        <f t="shared" si="273"/>
        <v>0</v>
      </c>
    </row>
    <row r="1251" spans="10:19" hidden="1">
      <c r="J1251" s="1" t="str">
        <f t="shared" si="262"/>
        <v>0</v>
      </c>
      <c r="K1251" s="3">
        <f t="shared" si="263"/>
        <v>-100</v>
      </c>
      <c r="L1251" s="3">
        <f t="shared" si="264"/>
        <v>1</v>
      </c>
      <c r="M1251" s="3">
        <f t="shared" si="265"/>
        <v>0</v>
      </c>
      <c r="N1251" s="3" t="str">
        <f t="shared" si="272"/>
        <v>01</v>
      </c>
      <c r="O1251" s="14" t="str">
        <f t="shared" si="272"/>
        <v>00</v>
      </c>
      <c r="R1251" s="6">
        <v>518</v>
      </c>
      <c r="S1251" s="5">
        <f t="shared" si="273"/>
        <v>0</v>
      </c>
    </row>
    <row r="1252" spans="10:19" hidden="1">
      <c r="J1252" s="1" t="str">
        <f t="shared" si="262"/>
        <v>0</v>
      </c>
      <c r="K1252" s="3">
        <f t="shared" si="263"/>
        <v>-100</v>
      </c>
      <c r="L1252" s="3">
        <f t="shared" si="264"/>
        <v>1</v>
      </c>
      <c r="M1252" s="3">
        <f t="shared" si="265"/>
        <v>0</v>
      </c>
      <c r="N1252" s="3" t="str">
        <f t="shared" si="272"/>
        <v>01</v>
      </c>
      <c r="O1252" s="14" t="str">
        <f t="shared" si="272"/>
        <v>00</v>
      </c>
      <c r="R1252" s="6">
        <v>518</v>
      </c>
      <c r="S1252" s="5">
        <f t="shared" si="273"/>
        <v>0</v>
      </c>
    </row>
    <row r="1253" spans="10:19" hidden="1">
      <c r="J1253" s="1" t="str">
        <f t="shared" si="262"/>
        <v>0</v>
      </c>
      <c r="K1253" s="3">
        <f t="shared" si="263"/>
        <v>-100</v>
      </c>
      <c r="L1253" s="3">
        <f t="shared" si="264"/>
        <v>1</v>
      </c>
      <c r="M1253" s="3">
        <f t="shared" si="265"/>
        <v>0</v>
      </c>
      <c r="N1253" s="3" t="str">
        <f t="shared" si="272"/>
        <v>01</v>
      </c>
      <c r="O1253" s="14" t="str">
        <f t="shared" si="272"/>
        <v>00</v>
      </c>
    </row>
    <row r="1254" spans="10:19" hidden="1">
      <c r="J1254" s="1" t="str">
        <f t="shared" si="262"/>
        <v>0</v>
      </c>
      <c r="K1254" s="3">
        <f t="shared" si="263"/>
        <v>-100</v>
      </c>
      <c r="L1254" s="3">
        <f t="shared" si="264"/>
        <v>1</v>
      </c>
      <c r="M1254" s="3">
        <f t="shared" si="265"/>
        <v>0</v>
      </c>
      <c r="N1254" s="3" t="str">
        <f t="shared" si="272"/>
        <v>01</v>
      </c>
      <c r="O1254" s="14" t="str">
        <f t="shared" si="272"/>
        <v>00</v>
      </c>
    </row>
    <row r="1255" spans="10:19" hidden="1">
      <c r="J1255" s="1" t="str">
        <f t="shared" si="262"/>
        <v>0</v>
      </c>
      <c r="K1255" s="3">
        <f t="shared" si="263"/>
        <v>-100</v>
      </c>
      <c r="L1255" s="3">
        <f t="shared" si="264"/>
        <v>1</v>
      </c>
      <c r="M1255" s="3">
        <f t="shared" si="265"/>
        <v>0</v>
      </c>
      <c r="N1255" s="3" t="str">
        <f t="shared" si="272"/>
        <v>01</v>
      </c>
      <c r="O1255" s="14" t="str">
        <f t="shared" si="272"/>
        <v>00</v>
      </c>
    </row>
    <row r="1256" spans="10:19" hidden="1">
      <c r="J1256" s="1" t="str">
        <f t="shared" si="262"/>
        <v>0</v>
      </c>
      <c r="K1256" s="3">
        <f t="shared" si="263"/>
        <v>-100</v>
      </c>
      <c r="L1256" s="3">
        <f t="shared" si="264"/>
        <v>1</v>
      </c>
      <c r="M1256" s="3">
        <f t="shared" si="265"/>
        <v>0</v>
      </c>
      <c r="N1256" s="3" t="str">
        <f t="shared" si="272"/>
        <v>01</v>
      </c>
      <c r="O1256" s="14" t="str">
        <f t="shared" si="272"/>
        <v>00</v>
      </c>
    </row>
    <row r="1257" spans="10:19" hidden="1">
      <c r="J1257" s="1" t="str">
        <f t="shared" si="262"/>
        <v>0</v>
      </c>
      <c r="K1257" s="3">
        <f t="shared" si="263"/>
        <v>-100</v>
      </c>
      <c r="L1257" s="3">
        <f t="shared" si="264"/>
        <v>1</v>
      </c>
      <c r="M1257" s="3">
        <f t="shared" si="265"/>
        <v>0</v>
      </c>
      <c r="N1257" s="3" t="str">
        <f t="shared" si="272"/>
        <v>01</v>
      </c>
      <c r="O1257" s="14" t="str">
        <f t="shared" si="272"/>
        <v>00</v>
      </c>
    </row>
    <row r="1258" spans="10:19" hidden="1">
      <c r="J1258" s="1" t="str">
        <f t="shared" si="262"/>
        <v>0</v>
      </c>
      <c r="K1258" s="3">
        <f t="shared" si="263"/>
        <v>-100</v>
      </c>
      <c r="L1258" s="3">
        <f t="shared" si="264"/>
        <v>1</v>
      </c>
      <c r="M1258" s="3">
        <f t="shared" si="265"/>
        <v>0</v>
      </c>
      <c r="N1258" s="3" t="str">
        <f t="shared" si="272"/>
        <v>01</v>
      </c>
      <c r="O1258" s="14" t="str">
        <f t="shared" si="272"/>
        <v>00</v>
      </c>
      <c r="R1258" s="6">
        <v>516</v>
      </c>
      <c r="S1258" s="5">
        <f t="shared" ref="S1258:S1293" si="274">IFERROR(P1258/R1258,"")</f>
        <v>0</v>
      </c>
    </row>
    <row r="1259" spans="10:19" hidden="1">
      <c r="J1259" s="1" t="str">
        <f t="shared" si="262"/>
        <v>0</v>
      </c>
      <c r="K1259" s="3">
        <f t="shared" si="263"/>
        <v>-100</v>
      </c>
      <c r="L1259" s="3">
        <f t="shared" si="264"/>
        <v>1</v>
      </c>
      <c r="M1259" s="3">
        <f t="shared" si="265"/>
        <v>0</v>
      </c>
      <c r="N1259" s="3" t="str">
        <f t="shared" si="272"/>
        <v>01</v>
      </c>
      <c r="O1259" s="14" t="str">
        <f t="shared" si="272"/>
        <v>00</v>
      </c>
      <c r="R1259" s="6">
        <v>516</v>
      </c>
      <c r="S1259" s="5">
        <f t="shared" si="274"/>
        <v>0</v>
      </c>
    </row>
    <row r="1260" spans="10:19" hidden="1">
      <c r="J1260" s="1" t="str">
        <f t="shared" si="262"/>
        <v>0</v>
      </c>
      <c r="K1260" s="3">
        <f t="shared" si="263"/>
        <v>-100</v>
      </c>
      <c r="L1260" s="3">
        <f t="shared" si="264"/>
        <v>1</v>
      </c>
      <c r="M1260" s="3">
        <f t="shared" si="265"/>
        <v>0</v>
      </c>
      <c r="N1260" s="3" t="str">
        <f t="shared" si="272"/>
        <v>01</v>
      </c>
      <c r="O1260" s="14" t="str">
        <f t="shared" si="272"/>
        <v>00</v>
      </c>
      <c r="R1260" s="6">
        <v>516</v>
      </c>
      <c r="S1260" s="5">
        <f t="shared" si="274"/>
        <v>0</v>
      </c>
    </row>
    <row r="1261" spans="10:19" hidden="1">
      <c r="J1261" s="1" t="str">
        <f t="shared" si="262"/>
        <v>0</v>
      </c>
      <c r="K1261" s="3">
        <f t="shared" si="263"/>
        <v>-100</v>
      </c>
      <c r="L1261" s="3">
        <f t="shared" si="264"/>
        <v>1</v>
      </c>
      <c r="M1261" s="3">
        <f t="shared" si="265"/>
        <v>0</v>
      </c>
      <c r="N1261" s="3" t="str">
        <f t="shared" si="272"/>
        <v>01</v>
      </c>
      <c r="O1261" s="14" t="str">
        <f t="shared" si="272"/>
        <v>00</v>
      </c>
      <c r="R1261" s="6">
        <v>516</v>
      </c>
      <c r="S1261" s="5">
        <f t="shared" si="274"/>
        <v>0</v>
      </c>
    </row>
    <row r="1262" spans="10:19" hidden="1">
      <c r="J1262" s="1" t="str">
        <f t="shared" si="262"/>
        <v>0</v>
      </c>
      <c r="K1262" s="3">
        <f t="shared" si="263"/>
        <v>-100</v>
      </c>
      <c r="L1262" s="3">
        <f t="shared" si="264"/>
        <v>1</v>
      </c>
      <c r="M1262" s="3">
        <f t="shared" si="265"/>
        <v>0</v>
      </c>
      <c r="N1262" s="3" t="str">
        <f t="shared" si="272"/>
        <v>01</v>
      </c>
      <c r="O1262" s="14" t="str">
        <f t="shared" si="272"/>
        <v>00</v>
      </c>
      <c r="R1262" s="6">
        <v>516</v>
      </c>
      <c r="S1262" s="5">
        <f t="shared" si="274"/>
        <v>0</v>
      </c>
    </row>
    <row r="1263" spans="10:19" hidden="1">
      <c r="J1263" s="1" t="str">
        <f t="shared" si="262"/>
        <v>0</v>
      </c>
      <c r="K1263" s="3">
        <f t="shared" si="263"/>
        <v>-100</v>
      </c>
      <c r="L1263" s="3">
        <f t="shared" si="264"/>
        <v>1</v>
      </c>
      <c r="M1263" s="3">
        <f t="shared" si="265"/>
        <v>0</v>
      </c>
      <c r="N1263" s="3" t="str">
        <f t="shared" si="272"/>
        <v>01</v>
      </c>
      <c r="O1263" s="14" t="str">
        <f t="shared" si="272"/>
        <v>00</v>
      </c>
      <c r="R1263" s="6">
        <v>516</v>
      </c>
      <c r="S1263" s="5">
        <f t="shared" si="274"/>
        <v>0</v>
      </c>
    </row>
    <row r="1264" spans="10:19" hidden="1">
      <c r="J1264" s="1" t="str">
        <f t="shared" si="262"/>
        <v>0</v>
      </c>
      <c r="K1264" s="3">
        <f t="shared" si="263"/>
        <v>-100</v>
      </c>
      <c r="L1264" s="3">
        <f t="shared" si="264"/>
        <v>1</v>
      </c>
      <c r="M1264" s="3">
        <f t="shared" si="265"/>
        <v>0</v>
      </c>
      <c r="N1264" s="3" t="str">
        <f t="shared" si="272"/>
        <v>01</v>
      </c>
      <c r="O1264" s="14" t="str">
        <f t="shared" si="272"/>
        <v>00</v>
      </c>
      <c r="R1264" s="6">
        <v>516</v>
      </c>
      <c r="S1264" s="5">
        <f t="shared" si="274"/>
        <v>0</v>
      </c>
    </row>
    <row r="1265" spans="10:19" hidden="1">
      <c r="J1265" s="1" t="str">
        <f t="shared" si="262"/>
        <v>0</v>
      </c>
      <c r="K1265" s="3">
        <f t="shared" si="263"/>
        <v>-100</v>
      </c>
      <c r="L1265" s="3">
        <f t="shared" si="264"/>
        <v>1</v>
      </c>
      <c r="M1265" s="3">
        <f t="shared" si="265"/>
        <v>0</v>
      </c>
      <c r="N1265" s="3" t="str">
        <f t="shared" si="272"/>
        <v>01</v>
      </c>
      <c r="O1265" s="14" t="str">
        <f t="shared" si="272"/>
        <v>00</v>
      </c>
      <c r="R1265" s="6">
        <v>516</v>
      </c>
      <c r="S1265" s="5">
        <f t="shared" si="274"/>
        <v>0</v>
      </c>
    </row>
    <row r="1266" spans="10:19" hidden="1">
      <c r="J1266" s="1" t="str">
        <f t="shared" ref="J1266:J1329" si="275">+IF(I1266&lt;10,_xlfn.CONCAT("0",I1266),I1266)</f>
        <v>0</v>
      </c>
      <c r="K1266" s="3">
        <f t="shared" ref="K1266:K1329" si="276">+YEAR(H1266)-2000</f>
        <v>-100</v>
      </c>
      <c r="L1266" s="3">
        <f t="shared" ref="L1266:L1329" si="277">+MONTH(H1266)</f>
        <v>1</v>
      </c>
      <c r="M1266" s="3">
        <f t="shared" ref="M1266:M1329" si="278">+DAY(H1266)</f>
        <v>0</v>
      </c>
      <c r="N1266" s="3" t="str">
        <f t="shared" ref="N1266:O1297" si="279">+IF(L1266&lt;10,_xlfn.CONCAT("0",L1266),L1266)</f>
        <v>01</v>
      </c>
      <c r="O1266" s="14" t="str">
        <f t="shared" si="279"/>
        <v>00</v>
      </c>
      <c r="R1266" s="6">
        <v>516</v>
      </c>
      <c r="S1266" s="5">
        <f t="shared" si="274"/>
        <v>0</v>
      </c>
    </row>
    <row r="1267" spans="10:19" hidden="1">
      <c r="J1267" s="1" t="str">
        <f t="shared" si="275"/>
        <v>0</v>
      </c>
      <c r="K1267" s="3">
        <f t="shared" si="276"/>
        <v>-100</v>
      </c>
      <c r="L1267" s="3">
        <f t="shared" si="277"/>
        <v>1</v>
      </c>
      <c r="M1267" s="3">
        <f t="shared" si="278"/>
        <v>0</v>
      </c>
      <c r="N1267" s="3" t="str">
        <f t="shared" si="279"/>
        <v>01</v>
      </c>
      <c r="O1267" s="14" t="str">
        <f t="shared" si="279"/>
        <v>00</v>
      </c>
      <c r="R1267" s="6">
        <v>516</v>
      </c>
      <c r="S1267" s="5">
        <f t="shared" si="274"/>
        <v>0</v>
      </c>
    </row>
    <row r="1268" spans="10:19" hidden="1">
      <c r="J1268" s="1" t="str">
        <f t="shared" si="275"/>
        <v>0</v>
      </c>
      <c r="K1268" s="3">
        <f t="shared" si="276"/>
        <v>-100</v>
      </c>
      <c r="L1268" s="3">
        <f t="shared" si="277"/>
        <v>1</v>
      </c>
      <c r="M1268" s="3">
        <f t="shared" si="278"/>
        <v>0</v>
      </c>
      <c r="N1268" s="3" t="str">
        <f t="shared" si="279"/>
        <v>01</v>
      </c>
      <c r="O1268" s="14" t="str">
        <f t="shared" si="279"/>
        <v>00</v>
      </c>
      <c r="R1268" s="6">
        <v>516</v>
      </c>
      <c r="S1268" s="5">
        <f t="shared" si="274"/>
        <v>0</v>
      </c>
    </row>
    <row r="1269" spans="10:19" hidden="1">
      <c r="J1269" s="1" t="str">
        <f t="shared" si="275"/>
        <v>0</v>
      </c>
      <c r="K1269" s="3">
        <f t="shared" si="276"/>
        <v>-100</v>
      </c>
      <c r="L1269" s="3">
        <f t="shared" si="277"/>
        <v>1</v>
      </c>
      <c r="M1269" s="3">
        <f t="shared" si="278"/>
        <v>0</v>
      </c>
      <c r="N1269" s="3" t="str">
        <f t="shared" si="279"/>
        <v>01</v>
      </c>
      <c r="O1269" s="14" t="str">
        <f t="shared" si="279"/>
        <v>00</v>
      </c>
      <c r="R1269" s="6">
        <v>516</v>
      </c>
      <c r="S1269" s="5">
        <f t="shared" si="274"/>
        <v>0</v>
      </c>
    </row>
    <row r="1270" spans="10:19" hidden="1">
      <c r="J1270" s="1" t="str">
        <f t="shared" si="275"/>
        <v>0</v>
      </c>
      <c r="K1270" s="3">
        <f t="shared" si="276"/>
        <v>-100</v>
      </c>
      <c r="L1270" s="3">
        <f t="shared" si="277"/>
        <v>1</v>
      </c>
      <c r="M1270" s="3">
        <f t="shared" si="278"/>
        <v>0</v>
      </c>
      <c r="N1270" s="3" t="str">
        <f t="shared" si="279"/>
        <v>01</v>
      </c>
      <c r="O1270" s="14" t="str">
        <f t="shared" si="279"/>
        <v>00</v>
      </c>
      <c r="R1270" s="6">
        <v>516</v>
      </c>
      <c r="S1270" s="5">
        <f t="shared" si="274"/>
        <v>0</v>
      </c>
    </row>
    <row r="1271" spans="10:19" hidden="1">
      <c r="J1271" s="1" t="str">
        <f t="shared" si="275"/>
        <v>0</v>
      </c>
      <c r="K1271" s="3">
        <f t="shared" si="276"/>
        <v>-100</v>
      </c>
      <c r="L1271" s="3">
        <f t="shared" si="277"/>
        <v>1</v>
      </c>
      <c r="M1271" s="3">
        <f t="shared" si="278"/>
        <v>0</v>
      </c>
      <c r="N1271" s="3" t="str">
        <f t="shared" si="279"/>
        <v>01</v>
      </c>
      <c r="O1271" s="14" t="str">
        <f t="shared" si="279"/>
        <v>00</v>
      </c>
      <c r="R1271" s="6">
        <v>516</v>
      </c>
      <c r="S1271" s="5">
        <f t="shared" si="274"/>
        <v>0</v>
      </c>
    </row>
    <row r="1272" spans="10:19" hidden="1">
      <c r="J1272" s="1" t="str">
        <f t="shared" si="275"/>
        <v>0</v>
      </c>
      <c r="K1272" s="3">
        <f t="shared" si="276"/>
        <v>-100</v>
      </c>
      <c r="L1272" s="3">
        <f t="shared" si="277"/>
        <v>1</v>
      </c>
      <c r="M1272" s="3">
        <f t="shared" si="278"/>
        <v>0</v>
      </c>
      <c r="N1272" s="3" t="str">
        <f t="shared" si="279"/>
        <v>01</v>
      </c>
      <c r="O1272" s="14" t="str">
        <f t="shared" si="279"/>
        <v>00</v>
      </c>
      <c r="R1272" s="6">
        <v>516</v>
      </c>
      <c r="S1272" s="5">
        <f t="shared" si="274"/>
        <v>0</v>
      </c>
    </row>
    <row r="1273" spans="10:19" hidden="1">
      <c r="J1273" s="1" t="str">
        <f t="shared" si="275"/>
        <v>0</v>
      </c>
      <c r="K1273" s="3">
        <f t="shared" si="276"/>
        <v>-100</v>
      </c>
      <c r="L1273" s="3">
        <f t="shared" si="277"/>
        <v>1</v>
      </c>
      <c r="M1273" s="3">
        <f t="shared" si="278"/>
        <v>0</v>
      </c>
      <c r="N1273" s="3" t="str">
        <f t="shared" si="279"/>
        <v>01</v>
      </c>
      <c r="O1273" s="14" t="str">
        <f t="shared" si="279"/>
        <v>00</v>
      </c>
      <c r="R1273" s="6">
        <v>516</v>
      </c>
      <c r="S1273" s="5">
        <f t="shared" si="274"/>
        <v>0</v>
      </c>
    </row>
    <row r="1274" spans="10:19" hidden="1">
      <c r="J1274" s="1" t="str">
        <f t="shared" si="275"/>
        <v>0</v>
      </c>
      <c r="K1274" s="3">
        <f t="shared" si="276"/>
        <v>-100</v>
      </c>
      <c r="L1274" s="3">
        <f t="shared" si="277"/>
        <v>1</v>
      </c>
      <c r="M1274" s="3">
        <f t="shared" si="278"/>
        <v>0</v>
      </c>
      <c r="N1274" s="3" t="str">
        <f t="shared" si="279"/>
        <v>01</v>
      </c>
      <c r="O1274" s="14" t="str">
        <f t="shared" si="279"/>
        <v>00</v>
      </c>
      <c r="R1274" s="6">
        <v>516</v>
      </c>
      <c r="S1274" s="5">
        <f t="shared" si="274"/>
        <v>0</v>
      </c>
    </row>
    <row r="1275" spans="10:19" hidden="1">
      <c r="J1275" s="1" t="str">
        <f t="shared" si="275"/>
        <v>0</v>
      </c>
      <c r="K1275" s="3">
        <f t="shared" si="276"/>
        <v>-100</v>
      </c>
      <c r="L1275" s="3">
        <f t="shared" si="277"/>
        <v>1</v>
      </c>
      <c r="M1275" s="3">
        <f t="shared" si="278"/>
        <v>0</v>
      </c>
      <c r="N1275" s="3" t="str">
        <f t="shared" si="279"/>
        <v>01</v>
      </c>
      <c r="O1275" s="14" t="str">
        <f t="shared" si="279"/>
        <v>00</v>
      </c>
      <c r="S1275" s="5" t="str">
        <f t="shared" si="274"/>
        <v/>
      </c>
    </row>
    <row r="1276" spans="10:19" hidden="1">
      <c r="J1276" s="1" t="str">
        <f t="shared" si="275"/>
        <v>0</v>
      </c>
      <c r="K1276" s="3">
        <f t="shared" si="276"/>
        <v>-100</v>
      </c>
      <c r="L1276" s="3">
        <f t="shared" si="277"/>
        <v>1</v>
      </c>
      <c r="M1276" s="3">
        <f t="shared" si="278"/>
        <v>0</v>
      </c>
      <c r="N1276" s="3" t="str">
        <f t="shared" si="279"/>
        <v>01</v>
      </c>
      <c r="O1276" s="14" t="str">
        <f t="shared" si="279"/>
        <v>00</v>
      </c>
      <c r="R1276" s="6">
        <v>515</v>
      </c>
      <c r="S1276" s="5">
        <f t="shared" si="274"/>
        <v>0</v>
      </c>
    </row>
    <row r="1277" spans="10:19" hidden="1">
      <c r="J1277" s="1" t="str">
        <f t="shared" si="275"/>
        <v>0</v>
      </c>
      <c r="K1277" s="3">
        <f t="shared" si="276"/>
        <v>-100</v>
      </c>
      <c r="L1277" s="3">
        <f t="shared" si="277"/>
        <v>1</v>
      </c>
      <c r="M1277" s="3">
        <f t="shared" si="278"/>
        <v>0</v>
      </c>
      <c r="N1277" s="3" t="str">
        <f t="shared" si="279"/>
        <v>01</v>
      </c>
      <c r="O1277" s="14" t="str">
        <f t="shared" si="279"/>
        <v>00</v>
      </c>
      <c r="R1277" s="6">
        <v>515</v>
      </c>
      <c r="S1277" s="5">
        <f t="shared" si="274"/>
        <v>0</v>
      </c>
    </row>
    <row r="1278" spans="10:19" hidden="1">
      <c r="J1278" s="1" t="str">
        <f t="shared" si="275"/>
        <v>0</v>
      </c>
      <c r="K1278" s="3">
        <f t="shared" si="276"/>
        <v>-100</v>
      </c>
      <c r="L1278" s="3">
        <f t="shared" si="277"/>
        <v>1</v>
      </c>
      <c r="M1278" s="3">
        <f t="shared" si="278"/>
        <v>0</v>
      </c>
      <c r="N1278" s="3" t="str">
        <f t="shared" si="279"/>
        <v>01</v>
      </c>
      <c r="O1278" s="14" t="str">
        <f t="shared" si="279"/>
        <v>00</v>
      </c>
      <c r="R1278" s="6">
        <v>515</v>
      </c>
      <c r="S1278" s="5">
        <f t="shared" si="274"/>
        <v>0</v>
      </c>
    </row>
    <row r="1279" spans="10:19" hidden="1">
      <c r="J1279" s="1" t="str">
        <f t="shared" si="275"/>
        <v>0</v>
      </c>
      <c r="K1279" s="3">
        <f t="shared" si="276"/>
        <v>-100</v>
      </c>
      <c r="L1279" s="3">
        <f t="shared" si="277"/>
        <v>1</v>
      </c>
      <c r="M1279" s="3">
        <f t="shared" si="278"/>
        <v>0</v>
      </c>
      <c r="N1279" s="3" t="str">
        <f t="shared" si="279"/>
        <v>01</v>
      </c>
      <c r="O1279" s="14" t="str">
        <f t="shared" si="279"/>
        <v>00</v>
      </c>
      <c r="R1279" s="6">
        <v>515</v>
      </c>
      <c r="S1279" s="5">
        <f t="shared" si="274"/>
        <v>0</v>
      </c>
    </row>
    <row r="1280" spans="10:19" hidden="1">
      <c r="J1280" s="1" t="str">
        <f t="shared" si="275"/>
        <v>0</v>
      </c>
      <c r="K1280" s="3">
        <f t="shared" si="276"/>
        <v>-100</v>
      </c>
      <c r="L1280" s="3">
        <f t="shared" si="277"/>
        <v>1</v>
      </c>
      <c r="M1280" s="3">
        <f t="shared" si="278"/>
        <v>0</v>
      </c>
      <c r="N1280" s="3" t="str">
        <f t="shared" si="279"/>
        <v>01</v>
      </c>
      <c r="O1280" s="14" t="str">
        <f t="shared" si="279"/>
        <v>00</v>
      </c>
      <c r="R1280" s="6">
        <v>521</v>
      </c>
      <c r="S1280" s="5">
        <f t="shared" si="274"/>
        <v>0</v>
      </c>
    </row>
    <row r="1281" spans="1:23" hidden="1">
      <c r="J1281" s="1" t="str">
        <f t="shared" si="275"/>
        <v>0</v>
      </c>
      <c r="K1281" s="3">
        <f t="shared" si="276"/>
        <v>-100</v>
      </c>
      <c r="L1281" s="3">
        <f t="shared" si="277"/>
        <v>1</v>
      </c>
      <c r="M1281" s="3">
        <f t="shared" si="278"/>
        <v>0</v>
      </c>
      <c r="N1281" s="3" t="str">
        <f t="shared" si="279"/>
        <v>01</v>
      </c>
      <c r="O1281" s="14" t="str">
        <f t="shared" si="279"/>
        <v>00</v>
      </c>
      <c r="R1281" s="6">
        <v>521</v>
      </c>
      <c r="S1281" s="5">
        <f t="shared" si="274"/>
        <v>0</v>
      </c>
    </row>
    <row r="1282" spans="1:23" hidden="1">
      <c r="J1282" s="1" t="str">
        <f t="shared" si="275"/>
        <v>0</v>
      </c>
      <c r="K1282" s="3">
        <f t="shared" si="276"/>
        <v>-100</v>
      </c>
      <c r="L1282" s="3">
        <f t="shared" si="277"/>
        <v>1</v>
      </c>
      <c r="M1282" s="3">
        <f t="shared" si="278"/>
        <v>0</v>
      </c>
      <c r="N1282" s="3" t="str">
        <f t="shared" si="279"/>
        <v>01</v>
      </c>
      <c r="O1282" s="14" t="str">
        <f t="shared" si="279"/>
        <v>00</v>
      </c>
      <c r="R1282" s="6">
        <v>521</v>
      </c>
      <c r="S1282" s="5">
        <f t="shared" si="274"/>
        <v>0</v>
      </c>
    </row>
    <row r="1283" spans="1:23" hidden="1">
      <c r="G1283" s="52"/>
      <c r="H1283" s="9"/>
      <c r="J1283" s="1" t="str">
        <f t="shared" si="275"/>
        <v>0</v>
      </c>
      <c r="K1283" s="3">
        <f t="shared" si="276"/>
        <v>-100</v>
      </c>
      <c r="L1283" s="3">
        <f t="shared" si="277"/>
        <v>1</v>
      </c>
      <c r="M1283" s="3">
        <f t="shared" si="278"/>
        <v>0</v>
      </c>
      <c r="N1283" s="3" t="str">
        <f t="shared" si="279"/>
        <v>01</v>
      </c>
      <c r="O1283" s="14" t="str">
        <f t="shared" si="279"/>
        <v>00</v>
      </c>
      <c r="P1283" s="11"/>
      <c r="Q1283" s="12"/>
      <c r="R1283" s="13">
        <v>521</v>
      </c>
      <c r="S1283" s="5">
        <f t="shared" si="274"/>
        <v>0</v>
      </c>
      <c r="T1283" s="12"/>
      <c r="U1283" s="10"/>
      <c r="V1283" s="10"/>
      <c r="W1283" s="10"/>
    </row>
    <row r="1284" spans="1:23" hidden="1">
      <c r="G1284" s="52"/>
      <c r="H1284" s="9"/>
      <c r="J1284" s="1" t="str">
        <f t="shared" si="275"/>
        <v>0</v>
      </c>
      <c r="K1284" s="3">
        <f t="shared" si="276"/>
        <v>-100</v>
      </c>
      <c r="L1284" s="3">
        <f t="shared" si="277"/>
        <v>1</v>
      </c>
      <c r="M1284" s="3">
        <f t="shared" si="278"/>
        <v>0</v>
      </c>
      <c r="N1284" s="3" t="str">
        <f t="shared" si="279"/>
        <v>01</v>
      </c>
      <c r="O1284" s="14" t="str">
        <f t="shared" si="279"/>
        <v>00</v>
      </c>
      <c r="P1284" s="11"/>
      <c r="Q1284" s="12"/>
      <c r="R1284" s="13">
        <v>521</v>
      </c>
      <c r="S1284" s="5">
        <f t="shared" si="274"/>
        <v>0</v>
      </c>
      <c r="T1284" s="12"/>
      <c r="U1284" s="10"/>
      <c r="V1284" s="10"/>
      <c r="W1284" s="10"/>
    </row>
    <row r="1285" spans="1:23" hidden="1">
      <c r="G1285" s="52"/>
      <c r="H1285" s="9"/>
      <c r="J1285" s="1" t="str">
        <f t="shared" si="275"/>
        <v>0</v>
      </c>
      <c r="K1285" s="3">
        <f t="shared" si="276"/>
        <v>-100</v>
      </c>
      <c r="L1285" s="3">
        <f t="shared" si="277"/>
        <v>1</v>
      </c>
      <c r="M1285" s="3">
        <f t="shared" si="278"/>
        <v>0</v>
      </c>
      <c r="N1285" s="3" t="str">
        <f t="shared" si="279"/>
        <v>01</v>
      </c>
      <c r="O1285" s="14" t="str">
        <f t="shared" si="279"/>
        <v>00</v>
      </c>
      <c r="P1285" s="11"/>
      <c r="Q1285" s="12"/>
      <c r="R1285" s="13">
        <v>521</v>
      </c>
      <c r="S1285" s="5">
        <f t="shared" si="274"/>
        <v>0</v>
      </c>
      <c r="T1285" s="12"/>
      <c r="U1285" s="10"/>
      <c r="V1285" s="10"/>
      <c r="W1285" s="10"/>
    </row>
    <row r="1286" spans="1:23">
      <c r="A1286" s="3">
        <v>1275</v>
      </c>
      <c r="B1286" s="1">
        <f t="shared" ref="B1286:B1322" si="280">IF(G1286="-",0,IF(G1285=G1286,1,0))</f>
        <v>0</v>
      </c>
      <c r="C1286" s="1">
        <f t="shared" ref="C1286:C1322" si="281">+IF(G1286="-",0,IF(I1286=I1285+1,0,(IF(I1286=1,0,1))))</f>
        <v>1</v>
      </c>
      <c r="D1286" s="1">
        <f t="shared" ref="D1286:D1330" si="282">+IF(AND(P1286="",Q1286=""),1,0)</f>
        <v>0</v>
      </c>
      <c r="E1286" s="1">
        <f t="shared" ref="E1286:F1300" si="283">IF(U1286="",1,0)</f>
        <v>0</v>
      </c>
      <c r="F1286" s="1">
        <f t="shared" si="283"/>
        <v>0</v>
      </c>
      <c r="G1286" s="1" t="str">
        <f t="shared" ref="G1286:G1322" si="284">IF(H1286=0,"-",_xlfn.CONCAT(K1286,N1286,O1286,J1286))</f>
        <v>24071807</v>
      </c>
      <c r="H1286" s="2">
        <v>45491</v>
      </c>
      <c r="I1286" s="36">
        <v>7</v>
      </c>
      <c r="J1286" s="1" t="str">
        <f t="shared" si="275"/>
        <v>07</v>
      </c>
      <c r="K1286" s="3">
        <f t="shared" si="276"/>
        <v>24</v>
      </c>
      <c r="L1286" s="3">
        <f t="shared" si="277"/>
        <v>7</v>
      </c>
      <c r="M1286" s="3">
        <f t="shared" si="278"/>
        <v>18</v>
      </c>
      <c r="N1286" s="3" t="str">
        <f t="shared" si="279"/>
        <v>07</v>
      </c>
      <c r="O1286" s="14">
        <f t="shared" si="279"/>
        <v>18</v>
      </c>
      <c r="P1286" s="4">
        <v>74667.55</v>
      </c>
      <c r="R1286" s="6">
        <v>521</v>
      </c>
      <c r="S1286" s="5">
        <f t="shared" si="274"/>
        <v>143.3158349328215</v>
      </c>
      <c r="T1286" s="5" t="s">
        <v>476</v>
      </c>
      <c r="U1286" s="3" t="s">
        <v>29</v>
      </c>
      <c r="V1286" s="3" t="s">
        <v>5</v>
      </c>
    </row>
    <row r="1287" spans="1:23" hidden="1">
      <c r="J1287" s="1" t="str">
        <f t="shared" si="275"/>
        <v>0</v>
      </c>
      <c r="K1287" s="3">
        <f t="shared" si="276"/>
        <v>-100</v>
      </c>
      <c r="L1287" s="3">
        <f t="shared" si="277"/>
        <v>1</v>
      </c>
      <c r="M1287" s="3">
        <f t="shared" si="278"/>
        <v>0</v>
      </c>
      <c r="N1287" s="3" t="str">
        <f t="shared" si="279"/>
        <v>01</v>
      </c>
      <c r="O1287" s="14" t="str">
        <f t="shared" si="279"/>
        <v>00</v>
      </c>
      <c r="R1287" s="6">
        <v>521</v>
      </c>
      <c r="S1287" s="5">
        <f t="shared" si="274"/>
        <v>0</v>
      </c>
    </row>
    <row r="1288" spans="1:23" hidden="1">
      <c r="J1288" s="1" t="str">
        <f t="shared" si="275"/>
        <v>0</v>
      </c>
      <c r="K1288" s="3">
        <f t="shared" si="276"/>
        <v>-100</v>
      </c>
      <c r="L1288" s="3">
        <f t="shared" si="277"/>
        <v>1</v>
      </c>
      <c r="M1288" s="3">
        <f t="shared" si="278"/>
        <v>0</v>
      </c>
      <c r="N1288" s="3" t="str">
        <f t="shared" si="279"/>
        <v>01</v>
      </c>
      <c r="O1288" s="14" t="str">
        <f t="shared" si="279"/>
        <v>00</v>
      </c>
      <c r="R1288" s="6">
        <v>521</v>
      </c>
      <c r="S1288" s="5">
        <f t="shared" si="274"/>
        <v>0</v>
      </c>
    </row>
    <row r="1289" spans="1:23" hidden="1">
      <c r="J1289" s="1" t="str">
        <f t="shared" si="275"/>
        <v>0</v>
      </c>
      <c r="K1289" s="3">
        <f t="shared" si="276"/>
        <v>-100</v>
      </c>
      <c r="L1289" s="3">
        <f t="shared" si="277"/>
        <v>1</v>
      </c>
      <c r="M1289" s="3">
        <f t="shared" si="278"/>
        <v>0</v>
      </c>
      <c r="N1289" s="3" t="str">
        <f t="shared" si="279"/>
        <v>01</v>
      </c>
      <c r="O1289" s="14" t="str">
        <f t="shared" si="279"/>
        <v>00</v>
      </c>
      <c r="R1289" s="6">
        <v>521</v>
      </c>
      <c r="S1289" s="5">
        <f t="shared" si="274"/>
        <v>0</v>
      </c>
    </row>
    <row r="1290" spans="1:23" hidden="1">
      <c r="J1290" s="1" t="str">
        <f t="shared" si="275"/>
        <v>0</v>
      </c>
      <c r="K1290" s="3">
        <f t="shared" si="276"/>
        <v>-100</v>
      </c>
      <c r="L1290" s="3">
        <f t="shared" si="277"/>
        <v>1</v>
      </c>
      <c r="M1290" s="3">
        <f t="shared" si="278"/>
        <v>0</v>
      </c>
      <c r="N1290" s="3" t="str">
        <f t="shared" si="279"/>
        <v>01</v>
      </c>
      <c r="O1290" s="14" t="str">
        <f t="shared" si="279"/>
        <v>00</v>
      </c>
      <c r="R1290" s="6">
        <v>521</v>
      </c>
      <c r="S1290" s="5">
        <f t="shared" si="274"/>
        <v>0</v>
      </c>
    </row>
    <row r="1291" spans="1:23">
      <c r="A1291" s="3">
        <v>1280</v>
      </c>
      <c r="B1291" s="1">
        <f t="shared" si="280"/>
        <v>0</v>
      </c>
      <c r="C1291" s="1">
        <f t="shared" si="281"/>
        <v>1</v>
      </c>
      <c r="D1291" s="1">
        <f t="shared" si="282"/>
        <v>0</v>
      </c>
      <c r="E1291" s="1">
        <f t="shared" si="283"/>
        <v>0</v>
      </c>
      <c r="F1291" s="1">
        <f t="shared" si="283"/>
        <v>0</v>
      </c>
      <c r="G1291" s="1" t="str">
        <f t="shared" si="284"/>
        <v>24071812</v>
      </c>
      <c r="H1291" s="2">
        <v>45491</v>
      </c>
      <c r="I1291" s="36">
        <v>12</v>
      </c>
      <c r="J1291" s="1">
        <f t="shared" si="275"/>
        <v>12</v>
      </c>
      <c r="K1291" s="3">
        <f t="shared" si="276"/>
        <v>24</v>
      </c>
      <c r="L1291" s="3">
        <f t="shared" si="277"/>
        <v>7</v>
      </c>
      <c r="M1291" s="3">
        <f t="shared" si="278"/>
        <v>18</v>
      </c>
      <c r="N1291" s="3" t="str">
        <f t="shared" si="279"/>
        <v>07</v>
      </c>
      <c r="O1291" s="14">
        <f t="shared" si="279"/>
        <v>18</v>
      </c>
      <c r="P1291" s="4">
        <v>20753.41</v>
      </c>
      <c r="R1291" s="6">
        <v>521</v>
      </c>
      <c r="S1291" s="5">
        <f t="shared" si="274"/>
        <v>39.833800383877161</v>
      </c>
      <c r="T1291" s="5" t="s">
        <v>1169</v>
      </c>
      <c r="U1291" s="3" t="s">
        <v>29</v>
      </c>
      <c r="V1291" s="3" t="s">
        <v>5</v>
      </c>
    </row>
    <row r="1292" spans="1:23" hidden="1">
      <c r="J1292" s="1" t="str">
        <f t="shared" si="275"/>
        <v>0</v>
      </c>
      <c r="K1292" s="3">
        <f t="shared" si="276"/>
        <v>-100</v>
      </c>
      <c r="L1292" s="3">
        <f t="shared" si="277"/>
        <v>1</v>
      </c>
      <c r="M1292" s="3">
        <f t="shared" si="278"/>
        <v>0</v>
      </c>
      <c r="N1292" s="3" t="str">
        <f t="shared" si="279"/>
        <v>01</v>
      </c>
      <c r="O1292" s="14" t="str">
        <f t="shared" si="279"/>
        <v>00</v>
      </c>
      <c r="R1292" s="6">
        <v>522</v>
      </c>
      <c r="S1292" s="5">
        <f t="shared" si="274"/>
        <v>0</v>
      </c>
    </row>
    <row r="1293" spans="1:23" hidden="1">
      <c r="J1293" s="1" t="str">
        <f t="shared" si="275"/>
        <v>0</v>
      </c>
      <c r="K1293" s="3">
        <f t="shared" si="276"/>
        <v>-100</v>
      </c>
      <c r="L1293" s="3">
        <f t="shared" si="277"/>
        <v>1</v>
      </c>
      <c r="M1293" s="3">
        <f t="shared" si="278"/>
        <v>0</v>
      </c>
      <c r="N1293" s="3" t="str">
        <f t="shared" si="279"/>
        <v>01</v>
      </c>
      <c r="O1293" s="14" t="str">
        <f t="shared" si="279"/>
        <v>00</v>
      </c>
      <c r="R1293" s="6">
        <v>522</v>
      </c>
      <c r="S1293" s="5">
        <f t="shared" si="274"/>
        <v>0</v>
      </c>
    </row>
    <row r="1294" spans="1:23" hidden="1">
      <c r="J1294" s="1" t="str">
        <f t="shared" si="275"/>
        <v>0</v>
      </c>
      <c r="K1294" s="3">
        <f t="shared" si="276"/>
        <v>-100</v>
      </c>
      <c r="L1294" s="3">
        <f t="shared" si="277"/>
        <v>1</v>
      </c>
      <c r="M1294" s="3">
        <f t="shared" si="278"/>
        <v>0</v>
      </c>
      <c r="N1294" s="3" t="str">
        <f t="shared" si="279"/>
        <v>01</v>
      </c>
      <c r="O1294" s="14" t="str">
        <f t="shared" si="279"/>
        <v>00</v>
      </c>
      <c r="R1294" s="6">
        <v>522</v>
      </c>
      <c r="S1294" s="5">
        <f>IFERROR(P1294/R1295,"")</f>
        <v>0</v>
      </c>
    </row>
    <row r="1295" spans="1:23" hidden="1">
      <c r="J1295" s="1" t="str">
        <f t="shared" si="275"/>
        <v>0</v>
      </c>
      <c r="K1295" s="3">
        <f t="shared" si="276"/>
        <v>-100</v>
      </c>
      <c r="L1295" s="3">
        <f t="shared" si="277"/>
        <v>1</v>
      </c>
      <c r="M1295" s="3">
        <f t="shared" si="278"/>
        <v>0</v>
      </c>
      <c r="N1295" s="3" t="str">
        <f t="shared" si="279"/>
        <v>01</v>
      </c>
      <c r="O1295" s="14" t="str">
        <f t="shared" si="279"/>
        <v>00</v>
      </c>
      <c r="R1295" s="6">
        <v>522</v>
      </c>
      <c r="S1295" s="5" t="str">
        <f>IFERROR(P1295/R1296,"")</f>
        <v/>
      </c>
    </row>
    <row r="1296" spans="1:23">
      <c r="A1296" s="3">
        <v>2812</v>
      </c>
      <c r="B1296" s="1">
        <f t="shared" si="280"/>
        <v>0</v>
      </c>
      <c r="C1296" s="1">
        <f t="shared" si="281"/>
        <v>1</v>
      </c>
      <c r="D1296" s="1">
        <f t="shared" si="282"/>
        <v>0</v>
      </c>
      <c r="E1296" s="1">
        <f t="shared" si="283"/>
        <v>0</v>
      </c>
      <c r="F1296" s="1">
        <f t="shared" si="283"/>
        <v>0</v>
      </c>
      <c r="G1296" s="1" t="str">
        <f t="shared" si="284"/>
        <v>24071905</v>
      </c>
      <c r="H1296" s="2">
        <v>45492</v>
      </c>
      <c r="I1296" s="36">
        <v>5</v>
      </c>
      <c r="J1296" s="1" t="str">
        <f t="shared" si="275"/>
        <v>05</v>
      </c>
      <c r="K1296" s="3">
        <f t="shared" si="276"/>
        <v>24</v>
      </c>
      <c r="L1296" s="3">
        <f t="shared" si="277"/>
        <v>7</v>
      </c>
      <c r="M1296" s="3">
        <f t="shared" si="278"/>
        <v>19</v>
      </c>
      <c r="N1296" s="3" t="str">
        <f t="shared" si="279"/>
        <v>07</v>
      </c>
      <c r="O1296" s="14">
        <f t="shared" si="279"/>
        <v>19</v>
      </c>
      <c r="P1296" s="4">
        <v>21723.33</v>
      </c>
      <c r="T1296" s="5" t="s">
        <v>1233</v>
      </c>
      <c r="U1296" s="3" t="s">
        <v>29</v>
      </c>
      <c r="V1296" s="3" t="s">
        <v>5</v>
      </c>
    </row>
    <row r="1297" spans="1:22" hidden="1">
      <c r="J1297" s="1" t="str">
        <f t="shared" si="275"/>
        <v>0</v>
      </c>
      <c r="K1297" s="3">
        <f t="shared" si="276"/>
        <v>-100</v>
      </c>
      <c r="L1297" s="3">
        <f t="shared" si="277"/>
        <v>1</v>
      </c>
      <c r="M1297" s="3">
        <f t="shared" si="278"/>
        <v>0</v>
      </c>
      <c r="N1297" s="3" t="str">
        <f t="shared" si="279"/>
        <v>01</v>
      </c>
      <c r="O1297" s="14" t="str">
        <f t="shared" si="279"/>
        <v>00</v>
      </c>
      <c r="P1297" s="85"/>
      <c r="R1297" s="6">
        <v>522</v>
      </c>
      <c r="S1297" s="5">
        <f t="shared" ref="S1297:S1332" si="285">IFERROR(P1297/R1297,"")</f>
        <v>0</v>
      </c>
    </row>
    <row r="1298" spans="1:22">
      <c r="A1298" s="3">
        <v>1286</v>
      </c>
      <c r="B1298" s="1">
        <f t="shared" si="280"/>
        <v>0</v>
      </c>
      <c r="C1298" s="1">
        <f t="shared" si="281"/>
        <v>1</v>
      </c>
      <c r="D1298" s="1">
        <f t="shared" si="282"/>
        <v>0</v>
      </c>
      <c r="E1298" s="1">
        <f t="shared" si="283"/>
        <v>0</v>
      </c>
      <c r="F1298" s="1">
        <f t="shared" si="283"/>
        <v>0</v>
      </c>
      <c r="G1298" s="1" t="str">
        <f t="shared" si="284"/>
        <v>24072002</v>
      </c>
      <c r="H1298" s="2">
        <v>45493</v>
      </c>
      <c r="I1298" s="36">
        <v>2</v>
      </c>
      <c r="J1298" s="1" t="str">
        <f t="shared" si="275"/>
        <v>02</v>
      </c>
      <c r="K1298" s="3">
        <f t="shared" si="276"/>
        <v>24</v>
      </c>
      <c r="L1298" s="3">
        <f t="shared" si="277"/>
        <v>7</v>
      </c>
      <c r="M1298" s="3">
        <f t="shared" si="278"/>
        <v>20</v>
      </c>
      <c r="N1298" s="3" t="str">
        <f t="shared" ref="N1298:O1333" si="286">+IF(L1298&lt;10,_xlfn.CONCAT("0",L1298),L1298)</f>
        <v>07</v>
      </c>
      <c r="O1298" s="14">
        <f t="shared" si="286"/>
        <v>20</v>
      </c>
      <c r="P1298" s="85">
        <v>85000</v>
      </c>
      <c r="R1298" s="6">
        <v>522</v>
      </c>
      <c r="S1298" s="5">
        <f t="shared" si="285"/>
        <v>162.83524904214559</v>
      </c>
      <c r="T1298" s="5" t="s">
        <v>499</v>
      </c>
      <c r="U1298" s="3" t="s">
        <v>1</v>
      </c>
      <c r="V1298" s="3" t="s">
        <v>5</v>
      </c>
    </row>
    <row r="1299" spans="1:22" hidden="1">
      <c r="J1299" s="1" t="str">
        <f t="shared" si="275"/>
        <v>0</v>
      </c>
      <c r="K1299" s="3">
        <f t="shared" si="276"/>
        <v>-100</v>
      </c>
      <c r="L1299" s="3">
        <f t="shared" si="277"/>
        <v>1</v>
      </c>
      <c r="M1299" s="3">
        <f t="shared" si="278"/>
        <v>0</v>
      </c>
      <c r="N1299" s="3" t="str">
        <f t="shared" si="286"/>
        <v>01</v>
      </c>
      <c r="O1299" s="14" t="str">
        <f t="shared" si="286"/>
        <v>00</v>
      </c>
      <c r="P1299" s="86"/>
      <c r="R1299" s="6">
        <v>522</v>
      </c>
      <c r="S1299" s="5">
        <f t="shared" si="285"/>
        <v>0</v>
      </c>
    </row>
    <row r="1300" spans="1:22">
      <c r="A1300" s="3">
        <v>1288</v>
      </c>
      <c r="B1300" s="1">
        <f t="shared" si="280"/>
        <v>0</v>
      </c>
      <c r="C1300" s="1">
        <f t="shared" si="281"/>
        <v>1</v>
      </c>
      <c r="D1300" s="1">
        <f t="shared" si="282"/>
        <v>0</v>
      </c>
      <c r="E1300" s="1">
        <f t="shared" si="283"/>
        <v>0</v>
      </c>
      <c r="F1300" s="1">
        <f t="shared" si="283"/>
        <v>0</v>
      </c>
      <c r="G1300" s="1" t="str">
        <f t="shared" si="284"/>
        <v>24072004</v>
      </c>
      <c r="H1300" s="2">
        <v>45493</v>
      </c>
      <c r="I1300" s="36">
        <v>4</v>
      </c>
      <c r="J1300" s="1" t="str">
        <f t="shared" si="275"/>
        <v>04</v>
      </c>
      <c r="K1300" s="3">
        <f t="shared" si="276"/>
        <v>24</v>
      </c>
      <c r="L1300" s="3">
        <f t="shared" si="277"/>
        <v>7</v>
      </c>
      <c r="M1300" s="3">
        <f t="shared" si="278"/>
        <v>20</v>
      </c>
      <c r="N1300" s="3" t="str">
        <f t="shared" si="286"/>
        <v>07</v>
      </c>
      <c r="O1300" s="14">
        <f t="shared" si="286"/>
        <v>20</v>
      </c>
      <c r="P1300" s="86">
        <v>150000</v>
      </c>
      <c r="R1300" s="6">
        <v>522</v>
      </c>
      <c r="S1300" s="5">
        <f t="shared" si="285"/>
        <v>287.35632183908046</v>
      </c>
      <c r="T1300" s="5" t="s">
        <v>494</v>
      </c>
      <c r="U1300" s="3" t="s">
        <v>1</v>
      </c>
      <c r="V1300" s="3" t="s">
        <v>5</v>
      </c>
    </row>
    <row r="1301" spans="1:22">
      <c r="A1301" s="3">
        <v>1289</v>
      </c>
      <c r="B1301" s="1">
        <f t="shared" si="280"/>
        <v>0</v>
      </c>
      <c r="C1301" s="1">
        <f t="shared" si="281"/>
        <v>0</v>
      </c>
      <c r="D1301" s="1">
        <f t="shared" si="282"/>
        <v>0</v>
      </c>
      <c r="E1301" s="1">
        <f t="shared" ref="E1301:F1330" si="287">IF(U1301="",1,0)</f>
        <v>0</v>
      </c>
      <c r="F1301" s="1">
        <f t="shared" si="287"/>
        <v>0</v>
      </c>
      <c r="G1301" s="1" t="str">
        <f t="shared" si="284"/>
        <v>24072005</v>
      </c>
      <c r="H1301" s="2">
        <v>45493</v>
      </c>
      <c r="I1301" s="36">
        <v>5</v>
      </c>
      <c r="J1301" s="1" t="str">
        <f t="shared" si="275"/>
        <v>05</v>
      </c>
      <c r="K1301" s="3">
        <f t="shared" si="276"/>
        <v>24</v>
      </c>
      <c r="L1301" s="3">
        <f t="shared" si="277"/>
        <v>7</v>
      </c>
      <c r="M1301" s="3">
        <f t="shared" si="278"/>
        <v>20</v>
      </c>
      <c r="N1301" s="3" t="str">
        <f t="shared" si="286"/>
        <v>07</v>
      </c>
      <c r="O1301" s="14">
        <f t="shared" si="286"/>
        <v>20</v>
      </c>
      <c r="P1301" s="86">
        <v>150000</v>
      </c>
      <c r="R1301" s="6">
        <v>522</v>
      </c>
      <c r="S1301" s="5">
        <f t="shared" si="285"/>
        <v>287.35632183908046</v>
      </c>
      <c r="T1301" s="5" t="s">
        <v>500</v>
      </c>
      <c r="U1301" s="3" t="s">
        <v>1</v>
      </c>
      <c r="V1301" s="3" t="s">
        <v>5</v>
      </c>
    </row>
    <row r="1302" spans="1:22" hidden="1">
      <c r="J1302" s="1" t="str">
        <f t="shared" si="275"/>
        <v>0</v>
      </c>
      <c r="K1302" s="3">
        <f t="shared" si="276"/>
        <v>-100</v>
      </c>
      <c r="L1302" s="3">
        <f t="shared" si="277"/>
        <v>1</v>
      </c>
      <c r="M1302" s="3">
        <f t="shared" si="278"/>
        <v>0</v>
      </c>
      <c r="N1302" s="3" t="str">
        <f t="shared" si="286"/>
        <v>01</v>
      </c>
      <c r="O1302" s="14" t="str">
        <f t="shared" si="286"/>
        <v>00</v>
      </c>
      <c r="P1302" s="87"/>
      <c r="R1302" s="6">
        <v>522</v>
      </c>
      <c r="S1302" s="5">
        <f t="shared" si="285"/>
        <v>0</v>
      </c>
    </row>
    <row r="1303" spans="1:22" hidden="1">
      <c r="J1303" s="1" t="str">
        <f t="shared" si="275"/>
        <v>0</v>
      </c>
      <c r="K1303" s="3">
        <f t="shared" si="276"/>
        <v>-100</v>
      </c>
      <c r="L1303" s="3">
        <f t="shared" si="277"/>
        <v>1</v>
      </c>
      <c r="M1303" s="3">
        <f t="shared" si="278"/>
        <v>0</v>
      </c>
      <c r="N1303" s="3" t="str">
        <f t="shared" si="286"/>
        <v>01</v>
      </c>
      <c r="O1303" s="14" t="str">
        <f t="shared" si="286"/>
        <v>00</v>
      </c>
      <c r="P1303" s="87"/>
      <c r="R1303" s="6">
        <v>522</v>
      </c>
      <c r="S1303" s="5">
        <f t="shared" si="285"/>
        <v>0</v>
      </c>
    </row>
    <row r="1304" spans="1:22">
      <c r="A1304" s="3">
        <v>1292</v>
      </c>
      <c r="B1304" s="1">
        <f t="shared" si="280"/>
        <v>0</v>
      </c>
      <c r="C1304" s="1">
        <f t="shared" si="281"/>
        <v>1</v>
      </c>
      <c r="D1304" s="1">
        <f t="shared" si="282"/>
        <v>0</v>
      </c>
      <c r="E1304" s="1">
        <f t="shared" si="287"/>
        <v>0</v>
      </c>
      <c r="F1304" s="1">
        <f t="shared" si="287"/>
        <v>0</v>
      </c>
      <c r="G1304" s="1" t="str">
        <f t="shared" si="284"/>
        <v>24072008</v>
      </c>
      <c r="H1304" s="2">
        <v>45493</v>
      </c>
      <c r="I1304" s="36">
        <v>8</v>
      </c>
      <c r="J1304" s="1" t="str">
        <f t="shared" si="275"/>
        <v>08</v>
      </c>
      <c r="K1304" s="3">
        <f t="shared" si="276"/>
        <v>24</v>
      </c>
      <c r="L1304" s="3">
        <f t="shared" si="277"/>
        <v>7</v>
      </c>
      <c r="M1304" s="3">
        <f t="shared" si="278"/>
        <v>20</v>
      </c>
      <c r="N1304" s="3" t="str">
        <f t="shared" si="286"/>
        <v>07</v>
      </c>
      <c r="O1304" s="14">
        <f t="shared" si="286"/>
        <v>20</v>
      </c>
      <c r="P1304" s="87">
        <v>120000</v>
      </c>
      <c r="R1304" s="6">
        <v>522</v>
      </c>
      <c r="S1304" s="5">
        <f t="shared" si="285"/>
        <v>229.88505747126436</v>
      </c>
      <c r="T1304" s="5" t="s">
        <v>495</v>
      </c>
      <c r="U1304" s="3" t="s">
        <v>1</v>
      </c>
      <c r="V1304" s="3" t="s">
        <v>5</v>
      </c>
    </row>
    <row r="1305" spans="1:22" hidden="1">
      <c r="J1305" s="1" t="str">
        <f t="shared" si="275"/>
        <v>0</v>
      </c>
      <c r="K1305" s="3">
        <f t="shared" si="276"/>
        <v>-100</v>
      </c>
      <c r="L1305" s="3">
        <f t="shared" si="277"/>
        <v>1</v>
      </c>
      <c r="M1305" s="3">
        <f t="shared" si="278"/>
        <v>0</v>
      </c>
      <c r="N1305" s="3" t="str">
        <f t="shared" si="286"/>
        <v>01</v>
      </c>
      <c r="O1305" s="14" t="str">
        <f t="shared" si="286"/>
        <v>00</v>
      </c>
      <c r="P1305" s="88"/>
      <c r="R1305" s="6">
        <v>522</v>
      </c>
      <c r="S1305" s="5">
        <f t="shared" si="285"/>
        <v>0</v>
      </c>
    </row>
    <row r="1306" spans="1:22" hidden="1">
      <c r="J1306" s="1" t="str">
        <f t="shared" si="275"/>
        <v>0</v>
      </c>
      <c r="K1306" s="3">
        <f t="shared" si="276"/>
        <v>-100</v>
      </c>
      <c r="L1306" s="3">
        <f t="shared" si="277"/>
        <v>1</v>
      </c>
      <c r="M1306" s="3">
        <f t="shared" si="278"/>
        <v>0</v>
      </c>
      <c r="N1306" s="3" t="str">
        <f t="shared" si="286"/>
        <v>01</v>
      </c>
      <c r="O1306" s="14" t="str">
        <f t="shared" si="286"/>
        <v>00</v>
      </c>
      <c r="P1306" s="88"/>
      <c r="R1306" s="6">
        <v>522</v>
      </c>
      <c r="S1306" s="5">
        <f t="shared" si="285"/>
        <v>0</v>
      </c>
    </row>
    <row r="1307" spans="1:22">
      <c r="A1307" s="3">
        <v>1295</v>
      </c>
      <c r="B1307" s="1">
        <f t="shared" si="280"/>
        <v>0</v>
      </c>
      <c r="C1307" s="1">
        <f t="shared" si="281"/>
        <v>1</v>
      </c>
      <c r="D1307" s="1">
        <f t="shared" si="282"/>
        <v>0</v>
      </c>
      <c r="E1307" s="1">
        <f t="shared" si="287"/>
        <v>0</v>
      </c>
      <c r="F1307" s="1">
        <f t="shared" si="287"/>
        <v>0</v>
      </c>
      <c r="G1307" s="1" t="str">
        <f t="shared" si="284"/>
        <v>24072011</v>
      </c>
      <c r="H1307" s="2">
        <v>45493</v>
      </c>
      <c r="I1307" s="36">
        <v>11</v>
      </c>
      <c r="J1307" s="1">
        <f t="shared" si="275"/>
        <v>11</v>
      </c>
      <c r="K1307" s="3">
        <f t="shared" si="276"/>
        <v>24</v>
      </c>
      <c r="L1307" s="3">
        <f t="shared" si="277"/>
        <v>7</v>
      </c>
      <c r="M1307" s="3">
        <f t="shared" si="278"/>
        <v>20</v>
      </c>
      <c r="N1307" s="3" t="str">
        <f t="shared" si="286"/>
        <v>07</v>
      </c>
      <c r="O1307" s="14">
        <f t="shared" si="286"/>
        <v>20</v>
      </c>
      <c r="P1307" s="88">
        <v>120000</v>
      </c>
      <c r="R1307" s="6">
        <v>522</v>
      </c>
      <c r="S1307" s="5">
        <f t="shared" si="285"/>
        <v>229.88505747126436</v>
      </c>
      <c r="T1307" s="5" t="s">
        <v>497</v>
      </c>
      <c r="U1307" s="3" t="s">
        <v>1</v>
      </c>
      <c r="V1307" s="3" t="s">
        <v>5</v>
      </c>
    </row>
    <row r="1308" spans="1:22">
      <c r="A1308" s="3">
        <v>1296</v>
      </c>
      <c r="B1308" s="1">
        <f t="shared" si="280"/>
        <v>0</v>
      </c>
      <c r="C1308" s="1">
        <f t="shared" si="281"/>
        <v>0</v>
      </c>
      <c r="D1308" s="1">
        <f t="shared" si="282"/>
        <v>0</v>
      </c>
      <c r="E1308" s="1">
        <f t="shared" si="287"/>
        <v>0</v>
      </c>
      <c r="F1308" s="1">
        <f t="shared" si="287"/>
        <v>0</v>
      </c>
      <c r="G1308" s="1" t="str">
        <f t="shared" si="284"/>
        <v>24072012</v>
      </c>
      <c r="H1308" s="2">
        <v>45493</v>
      </c>
      <c r="I1308" s="36">
        <v>12</v>
      </c>
      <c r="J1308" s="1">
        <f t="shared" si="275"/>
        <v>12</v>
      </c>
      <c r="K1308" s="3">
        <f t="shared" si="276"/>
        <v>24</v>
      </c>
      <c r="L1308" s="3">
        <f t="shared" si="277"/>
        <v>7</v>
      </c>
      <c r="M1308" s="3">
        <f t="shared" si="278"/>
        <v>20</v>
      </c>
      <c r="N1308" s="3" t="str">
        <f t="shared" si="286"/>
        <v>07</v>
      </c>
      <c r="O1308" s="14">
        <f t="shared" si="286"/>
        <v>20</v>
      </c>
      <c r="P1308" s="88">
        <v>102000</v>
      </c>
      <c r="R1308" s="6">
        <v>522</v>
      </c>
      <c r="S1308" s="5">
        <f t="shared" si="285"/>
        <v>195.40229885057471</v>
      </c>
      <c r="T1308" s="5" t="s">
        <v>498</v>
      </c>
      <c r="U1308" s="3" t="s">
        <v>1</v>
      </c>
      <c r="V1308" s="3" t="s">
        <v>5</v>
      </c>
    </row>
    <row r="1309" spans="1:22">
      <c r="A1309" s="3">
        <v>1297</v>
      </c>
      <c r="B1309" s="1">
        <f t="shared" si="280"/>
        <v>0</v>
      </c>
      <c r="C1309" s="1">
        <f t="shared" si="281"/>
        <v>0</v>
      </c>
      <c r="D1309" s="1">
        <f t="shared" si="282"/>
        <v>0</v>
      </c>
      <c r="E1309" s="1">
        <f t="shared" si="287"/>
        <v>0</v>
      </c>
      <c r="F1309" s="1">
        <f t="shared" si="287"/>
        <v>0</v>
      </c>
      <c r="G1309" s="1" t="str">
        <f t="shared" si="284"/>
        <v>24072013</v>
      </c>
      <c r="H1309" s="2">
        <v>45493</v>
      </c>
      <c r="I1309" s="36">
        <v>13</v>
      </c>
      <c r="J1309" s="1">
        <f t="shared" si="275"/>
        <v>13</v>
      </c>
      <c r="K1309" s="3">
        <f t="shared" si="276"/>
        <v>24</v>
      </c>
      <c r="L1309" s="3">
        <f t="shared" si="277"/>
        <v>7</v>
      </c>
      <c r="M1309" s="3">
        <f t="shared" si="278"/>
        <v>20</v>
      </c>
      <c r="N1309" s="3" t="str">
        <f t="shared" si="286"/>
        <v>07</v>
      </c>
      <c r="O1309" s="14">
        <f t="shared" si="286"/>
        <v>20</v>
      </c>
      <c r="P1309" s="88">
        <v>230000</v>
      </c>
      <c r="R1309" s="6">
        <v>522</v>
      </c>
      <c r="S1309" s="5">
        <f t="shared" si="285"/>
        <v>440.61302681992339</v>
      </c>
      <c r="T1309" s="5" t="s">
        <v>501</v>
      </c>
      <c r="U1309" s="3" t="s">
        <v>1</v>
      </c>
      <c r="V1309" s="3" t="s">
        <v>5</v>
      </c>
    </row>
    <row r="1310" spans="1:22">
      <c r="A1310" s="3">
        <v>1298</v>
      </c>
      <c r="B1310" s="1">
        <f t="shared" si="280"/>
        <v>0</v>
      </c>
      <c r="C1310" s="1">
        <f t="shared" si="281"/>
        <v>0</v>
      </c>
      <c r="D1310" s="1">
        <f t="shared" si="282"/>
        <v>0</v>
      </c>
      <c r="E1310" s="1">
        <f t="shared" si="287"/>
        <v>0</v>
      </c>
      <c r="F1310" s="1">
        <f t="shared" si="287"/>
        <v>0</v>
      </c>
      <c r="G1310" s="1" t="str">
        <f t="shared" si="284"/>
        <v>24072014</v>
      </c>
      <c r="H1310" s="2">
        <v>45493</v>
      </c>
      <c r="I1310" s="36">
        <v>14</v>
      </c>
      <c r="J1310" s="1">
        <f t="shared" si="275"/>
        <v>14</v>
      </c>
      <c r="K1310" s="3">
        <f t="shared" si="276"/>
        <v>24</v>
      </c>
      <c r="L1310" s="3">
        <f t="shared" si="277"/>
        <v>7</v>
      </c>
      <c r="M1310" s="3">
        <f t="shared" si="278"/>
        <v>20</v>
      </c>
      <c r="N1310" s="3" t="str">
        <f t="shared" si="286"/>
        <v>07</v>
      </c>
      <c r="O1310" s="14">
        <f t="shared" si="286"/>
        <v>20</v>
      </c>
      <c r="P1310" s="88">
        <v>90000</v>
      </c>
      <c r="R1310" s="6">
        <v>522</v>
      </c>
      <c r="S1310" s="5">
        <f t="shared" si="285"/>
        <v>172.41379310344828</v>
      </c>
      <c r="T1310" s="5" t="s">
        <v>502</v>
      </c>
      <c r="U1310" s="3" t="s">
        <v>1</v>
      </c>
      <c r="V1310" s="3" t="s">
        <v>5</v>
      </c>
    </row>
    <row r="1311" spans="1:22" hidden="1">
      <c r="J1311" s="1" t="str">
        <f t="shared" si="275"/>
        <v>0</v>
      </c>
      <c r="K1311" s="3">
        <f t="shared" si="276"/>
        <v>-100</v>
      </c>
      <c r="L1311" s="3">
        <f t="shared" si="277"/>
        <v>1</v>
      </c>
      <c r="M1311" s="3">
        <f t="shared" si="278"/>
        <v>0</v>
      </c>
      <c r="N1311" s="3" t="str">
        <f t="shared" si="286"/>
        <v>01</v>
      </c>
      <c r="O1311" s="14" t="str">
        <f t="shared" si="286"/>
        <v>00</v>
      </c>
      <c r="P1311" s="89"/>
      <c r="R1311" s="6">
        <v>522</v>
      </c>
      <c r="S1311" s="5">
        <f t="shared" si="285"/>
        <v>0</v>
      </c>
    </row>
    <row r="1312" spans="1:22" hidden="1">
      <c r="J1312" s="1" t="str">
        <f t="shared" si="275"/>
        <v>0</v>
      </c>
      <c r="K1312" s="3">
        <f t="shared" si="276"/>
        <v>-100</v>
      </c>
      <c r="L1312" s="3">
        <f t="shared" si="277"/>
        <v>1</v>
      </c>
      <c r="M1312" s="3">
        <f t="shared" si="278"/>
        <v>0</v>
      </c>
      <c r="N1312" s="3" t="str">
        <f t="shared" si="286"/>
        <v>01</v>
      </c>
      <c r="O1312" s="14" t="str">
        <f t="shared" si="286"/>
        <v>00</v>
      </c>
      <c r="P1312" s="89"/>
      <c r="R1312" s="6">
        <v>522</v>
      </c>
      <c r="S1312" s="5">
        <f t="shared" si="285"/>
        <v>0</v>
      </c>
    </row>
    <row r="1313" spans="1:22" hidden="1">
      <c r="J1313" s="1" t="str">
        <f t="shared" si="275"/>
        <v>0</v>
      </c>
      <c r="K1313" s="3">
        <f t="shared" si="276"/>
        <v>-100</v>
      </c>
      <c r="L1313" s="3">
        <f t="shared" si="277"/>
        <v>1</v>
      </c>
      <c r="M1313" s="3">
        <f t="shared" si="278"/>
        <v>0</v>
      </c>
      <c r="N1313" s="3" t="str">
        <f t="shared" si="286"/>
        <v>01</v>
      </c>
      <c r="O1313" s="14" t="str">
        <f t="shared" si="286"/>
        <v>00</v>
      </c>
      <c r="P1313" s="89"/>
      <c r="R1313" s="6">
        <v>522</v>
      </c>
      <c r="S1313" s="5">
        <f t="shared" si="285"/>
        <v>0</v>
      </c>
    </row>
    <row r="1314" spans="1:22" hidden="1">
      <c r="J1314" s="1" t="str">
        <f t="shared" si="275"/>
        <v>0</v>
      </c>
      <c r="K1314" s="3">
        <f t="shared" si="276"/>
        <v>-100</v>
      </c>
      <c r="L1314" s="3">
        <f t="shared" si="277"/>
        <v>1</v>
      </c>
      <c r="M1314" s="3">
        <f t="shared" si="278"/>
        <v>0</v>
      </c>
      <c r="N1314" s="3" t="str">
        <f t="shared" si="286"/>
        <v>01</v>
      </c>
      <c r="O1314" s="14" t="str">
        <f t="shared" si="286"/>
        <v>00</v>
      </c>
      <c r="P1314" s="89"/>
      <c r="R1314" s="6">
        <v>522</v>
      </c>
      <c r="S1314" s="5">
        <f t="shared" si="285"/>
        <v>0</v>
      </c>
    </row>
    <row r="1315" spans="1:22">
      <c r="A1315" s="3">
        <v>1303</v>
      </c>
      <c r="B1315" s="1">
        <f t="shared" si="280"/>
        <v>0</v>
      </c>
      <c r="C1315" s="1">
        <f t="shared" si="281"/>
        <v>1</v>
      </c>
      <c r="D1315" s="1">
        <f t="shared" si="282"/>
        <v>0</v>
      </c>
      <c r="E1315" s="1">
        <f t="shared" si="287"/>
        <v>0</v>
      </c>
      <c r="F1315" s="1">
        <f t="shared" si="287"/>
        <v>0</v>
      </c>
      <c r="G1315" s="1" t="str">
        <f t="shared" si="284"/>
        <v>24072019</v>
      </c>
      <c r="H1315" s="2">
        <v>45493</v>
      </c>
      <c r="I1315" s="36">
        <v>19</v>
      </c>
      <c r="J1315" s="1">
        <f t="shared" si="275"/>
        <v>19</v>
      </c>
      <c r="K1315" s="3">
        <f t="shared" si="276"/>
        <v>24</v>
      </c>
      <c r="L1315" s="3">
        <f t="shared" si="277"/>
        <v>7</v>
      </c>
      <c r="M1315" s="3">
        <f t="shared" si="278"/>
        <v>20</v>
      </c>
      <c r="N1315" s="3" t="str">
        <f t="shared" si="286"/>
        <v>07</v>
      </c>
      <c r="O1315" s="14">
        <f t="shared" si="286"/>
        <v>20</v>
      </c>
      <c r="P1315" s="89">
        <v>30000</v>
      </c>
      <c r="R1315" s="6">
        <v>522</v>
      </c>
      <c r="S1315" s="5">
        <f t="shared" si="285"/>
        <v>57.47126436781609</v>
      </c>
      <c r="T1315" s="5" t="s">
        <v>496</v>
      </c>
      <c r="U1315" s="3" t="s">
        <v>1</v>
      </c>
      <c r="V1315" s="3" t="s">
        <v>5</v>
      </c>
    </row>
    <row r="1316" spans="1:22" hidden="1">
      <c r="J1316" s="1" t="str">
        <f t="shared" si="275"/>
        <v>0</v>
      </c>
      <c r="K1316" s="3">
        <f t="shared" si="276"/>
        <v>-100</v>
      </c>
      <c r="L1316" s="3">
        <f t="shared" si="277"/>
        <v>1</v>
      </c>
      <c r="M1316" s="3">
        <f t="shared" si="278"/>
        <v>0</v>
      </c>
      <c r="N1316" s="3" t="str">
        <f t="shared" si="286"/>
        <v>01</v>
      </c>
      <c r="O1316" s="14" t="str">
        <f t="shared" si="286"/>
        <v>00</v>
      </c>
      <c r="R1316" s="6">
        <v>522</v>
      </c>
      <c r="S1316" s="5">
        <f t="shared" si="285"/>
        <v>0</v>
      </c>
    </row>
    <row r="1317" spans="1:22">
      <c r="A1317" s="3">
        <v>1305</v>
      </c>
      <c r="B1317" s="1">
        <f t="shared" si="280"/>
        <v>0</v>
      </c>
      <c r="C1317" s="1">
        <f t="shared" si="281"/>
        <v>1</v>
      </c>
      <c r="D1317" s="1">
        <f t="shared" si="282"/>
        <v>0</v>
      </c>
      <c r="E1317" s="1">
        <f t="shared" si="287"/>
        <v>0</v>
      </c>
      <c r="F1317" s="1">
        <f t="shared" si="287"/>
        <v>0</v>
      </c>
      <c r="G1317" s="1" t="str">
        <f t="shared" si="284"/>
        <v>24072021</v>
      </c>
      <c r="H1317" s="2">
        <v>45493</v>
      </c>
      <c r="I1317" s="36">
        <v>21</v>
      </c>
      <c r="J1317" s="1">
        <f t="shared" si="275"/>
        <v>21</v>
      </c>
      <c r="K1317" s="3">
        <f t="shared" si="276"/>
        <v>24</v>
      </c>
      <c r="L1317" s="3">
        <f t="shared" si="277"/>
        <v>7</v>
      </c>
      <c r="M1317" s="3">
        <f t="shared" si="278"/>
        <v>20</v>
      </c>
      <c r="N1317" s="3" t="str">
        <f t="shared" si="286"/>
        <v>07</v>
      </c>
      <c r="O1317" s="14">
        <f t="shared" si="286"/>
        <v>20</v>
      </c>
      <c r="P1317" s="4">
        <f>3*10*536</f>
        <v>16080</v>
      </c>
      <c r="R1317" s="6">
        <v>522</v>
      </c>
      <c r="S1317" s="5">
        <f t="shared" si="285"/>
        <v>30.804597701149426</v>
      </c>
      <c r="T1317" s="5" t="s">
        <v>503</v>
      </c>
      <c r="U1317" s="3" t="s">
        <v>1</v>
      </c>
      <c r="V1317" s="3" t="s">
        <v>5</v>
      </c>
    </row>
    <row r="1318" spans="1:22" hidden="1">
      <c r="J1318" s="1" t="str">
        <f t="shared" si="275"/>
        <v>0</v>
      </c>
      <c r="K1318" s="3">
        <f t="shared" si="276"/>
        <v>-100</v>
      </c>
      <c r="L1318" s="3">
        <f t="shared" si="277"/>
        <v>1</v>
      </c>
      <c r="M1318" s="3">
        <f t="shared" si="278"/>
        <v>0</v>
      </c>
      <c r="N1318" s="3" t="str">
        <f t="shared" si="286"/>
        <v>01</v>
      </c>
      <c r="O1318" s="14" t="str">
        <f t="shared" si="286"/>
        <v>00</v>
      </c>
      <c r="R1318" s="6">
        <v>522</v>
      </c>
      <c r="S1318" s="5">
        <f t="shared" si="285"/>
        <v>0</v>
      </c>
    </row>
    <row r="1319" spans="1:22" hidden="1">
      <c r="J1319" s="1" t="str">
        <f t="shared" si="275"/>
        <v>0</v>
      </c>
      <c r="K1319" s="3">
        <f t="shared" si="276"/>
        <v>-100</v>
      </c>
      <c r="L1319" s="3">
        <f t="shared" si="277"/>
        <v>1</v>
      </c>
      <c r="M1319" s="3">
        <f t="shared" si="278"/>
        <v>0</v>
      </c>
      <c r="N1319" s="3" t="str">
        <f t="shared" si="286"/>
        <v>01</v>
      </c>
      <c r="O1319" s="14" t="str">
        <f t="shared" si="286"/>
        <v>00</v>
      </c>
      <c r="R1319" s="6">
        <v>522</v>
      </c>
      <c r="S1319" s="5">
        <f t="shared" si="285"/>
        <v>0</v>
      </c>
    </row>
    <row r="1320" spans="1:22" hidden="1">
      <c r="J1320" s="1" t="str">
        <f t="shared" si="275"/>
        <v>0</v>
      </c>
      <c r="K1320" s="3">
        <f t="shared" si="276"/>
        <v>-100</v>
      </c>
      <c r="L1320" s="3">
        <f t="shared" si="277"/>
        <v>1</v>
      </c>
      <c r="M1320" s="3">
        <f t="shared" si="278"/>
        <v>0</v>
      </c>
      <c r="N1320" s="3" t="str">
        <f t="shared" si="286"/>
        <v>01</v>
      </c>
      <c r="O1320" s="14" t="str">
        <f t="shared" si="286"/>
        <v>00</v>
      </c>
      <c r="R1320" s="6">
        <v>522</v>
      </c>
      <c r="S1320" s="5">
        <f t="shared" si="285"/>
        <v>0</v>
      </c>
    </row>
    <row r="1321" spans="1:22" hidden="1">
      <c r="J1321" s="1" t="str">
        <f t="shared" si="275"/>
        <v>0</v>
      </c>
      <c r="K1321" s="3">
        <f t="shared" si="276"/>
        <v>-100</v>
      </c>
      <c r="L1321" s="3">
        <f t="shared" si="277"/>
        <v>1</v>
      </c>
      <c r="M1321" s="3">
        <f t="shared" si="278"/>
        <v>0</v>
      </c>
      <c r="N1321" s="3" t="str">
        <f t="shared" si="286"/>
        <v>01</v>
      </c>
      <c r="O1321" s="14" t="str">
        <f t="shared" si="286"/>
        <v>00</v>
      </c>
      <c r="R1321" s="6">
        <v>522</v>
      </c>
      <c r="S1321" s="5">
        <f t="shared" si="285"/>
        <v>0</v>
      </c>
    </row>
    <row r="1322" spans="1:22">
      <c r="A1322" s="3">
        <v>1310</v>
      </c>
      <c r="B1322" s="1">
        <f t="shared" si="280"/>
        <v>0</v>
      </c>
      <c r="C1322" s="1">
        <f t="shared" si="281"/>
        <v>0</v>
      </c>
      <c r="D1322" s="1">
        <f t="shared" si="282"/>
        <v>0</v>
      </c>
      <c r="E1322" s="1">
        <f t="shared" si="287"/>
        <v>0</v>
      </c>
      <c r="F1322" s="1">
        <f t="shared" si="287"/>
        <v>0</v>
      </c>
      <c r="G1322" s="1" t="str">
        <f t="shared" si="284"/>
        <v>24072101</v>
      </c>
      <c r="H1322" s="2">
        <v>45494</v>
      </c>
      <c r="I1322" s="36">
        <v>1</v>
      </c>
      <c r="J1322" s="1" t="str">
        <f t="shared" si="275"/>
        <v>01</v>
      </c>
      <c r="K1322" s="3">
        <f t="shared" si="276"/>
        <v>24</v>
      </c>
      <c r="L1322" s="3">
        <f t="shared" si="277"/>
        <v>7</v>
      </c>
      <c r="M1322" s="3">
        <f t="shared" si="278"/>
        <v>21</v>
      </c>
      <c r="N1322" s="3" t="str">
        <f t="shared" si="286"/>
        <v>07</v>
      </c>
      <c r="O1322" s="14">
        <f t="shared" si="286"/>
        <v>21</v>
      </c>
      <c r="P1322" s="4">
        <v>10000</v>
      </c>
      <c r="R1322" s="6">
        <v>522</v>
      </c>
      <c r="S1322" s="5">
        <f t="shared" si="285"/>
        <v>19.157088122605366</v>
      </c>
      <c r="T1322" s="5" t="s">
        <v>448</v>
      </c>
      <c r="U1322" s="3" t="s">
        <v>29</v>
      </c>
      <c r="V1322" s="3" t="s">
        <v>5</v>
      </c>
    </row>
    <row r="1323" spans="1:22" hidden="1">
      <c r="J1323" s="1" t="str">
        <f t="shared" si="275"/>
        <v>0</v>
      </c>
      <c r="K1323" s="3">
        <f t="shared" si="276"/>
        <v>-100</v>
      </c>
      <c r="L1323" s="3">
        <f t="shared" si="277"/>
        <v>1</v>
      </c>
      <c r="M1323" s="3">
        <f t="shared" si="278"/>
        <v>0</v>
      </c>
      <c r="N1323" s="3" t="str">
        <f t="shared" si="286"/>
        <v>01</v>
      </c>
      <c r="O1323" s="14" t="str">
        <f t="shared" si="286"/>
        <v>00</v>
      </c>
      <c r="R1323" s="6">
        <v>522</v>
      </c>
      <c r="S1323" s="5">
        <f t="shared" si="285"/>
        <v>0</v>
      </c>
    </row>
    <row r="1324" spans="1:22" hidden="1">
      <c r="J1324" s="1" t="str">
        <f t="shared" si="275"/>
        <v>0</v>
      </c>
      <c r="K1324" s="3">
        <f t="shared" si="276"/>
        <v>-100</v>
      </c>
      <c r="L1324" s="3">
        <f t="shared" si="277"/>
        <v>1</v>
      </c>
      <c r="M1324" s="3">
        <f t="shared" si="278"/>
        <v>0</v>
      </c>
      <c r="N1324" s="3" t="str">
        <f t="shared" si="286"/>
        <v>01</v>
      </c>
      <c r="O1324" s="14" t="str">
        <f t="shared" si="286"/>
        <v>00</v>
      </c>
      <c r="R1324" s="6">
        <v>522</v>
      </c>
      <c r="S1324" s="5">
        <f t="shared" si="285"/>
        <v>0</v>
      </c>
    </row>
    <row r="1325" spans="1:22" hidden="1">
      <c r="J1325" s="1" t="str">
        <f t="shared" si="275"/>
        <v>0</v>
      </c>
      <c r="K1325" s="3">
        <f t="shared" si="276"/>
        <v>-100</v>
      </c>
      <c r="L1325" s="3">
        <f t="shared" si="277"/>
        <v>1</v>
      </c>
      <c r="M1325" s="3">
        <f t="shared" si="278"/>
        <v>0</v>
      </c>
      <c r="N1325" s="3" t="str">
        <f t="shared" si="286"/>
        <v>01</v>
      </c>
      <c r="O1325" s="14" t="str">
        <f t="shared" si="286"/>
        <v>00</v>
      </c>
      <c r="R1325" s="6">
        <v>522</v>
      </c>
      <c r="S1325" s="5">
        <f t="shared" si="285"/>
        <v>0</v>
      </c>
    </row>
    <row r="1326" spans="1:22" hidden="1">
      <c r="J1326" s="1" t="str">
        <f t="shared" si="275"/>
        <v>0</v>
      </c>
      <c r="K1326" s="3">
        <f t="shared" si="276"/>
        <v>-100</v>
      </c>
      <c r="L1326" s="3">
        <f t="shared" si="277"/>
        <v>1</v>
      </c>
      <c r="M1326" s="3">
        <f t="shared" si="278"/>
        <v>0</v>
      </c>
      <c r="N1326" s="3" t="str">
        <f t="shared" si="286"/>
        <v>01</v>
      </c>
      <c r="O1326" s="14" t="str">
        <f t="shared" si="286"/>
        <v>00</v>
      </c>
      <c r="R1326" s="6">
        <v>522</v>
      </c>
      <c r="S1326" s="5">
        <f t="shared" si="285"/>
        <v>0</v>
      </c>
    </row>
    <row r="1327" spans="1:22" hidden="1">
      <c r="J1327" s="1" t="str">
        <f t="shared" si="275"/>
        <v>0</v>
      </c>
      <c r="K1327" s="3">
        <f t="shared" si="276"/>
        <v>-100</v>
      </c>
      <c r="L1327" s="3">
        <f t="shared" si="277"/>
        <v>1</v>
      </c>
      <c r="M1327" s="3">
        <f t="shared" si="278"/>
        <v>0</v>
      </c>
      <c r="N1327" s="3" t="str">
        <f t="shared" si="286"/>
        <v>01</v>
      </c>
      <c r="O1327" s="14" t="str">
        <f t="shared" si="286"/>
        <v>00</v>
      </c>
      <c r="R1327" s="6">
        <v>522</v>
      </c>
      <c r="S1327" s="5">
        <f t="shared" si="285"/>
        <v>0</v>
      </c>
    </row>
    <row r="1328" spans="1:22" hidden="1">
      <c r="J1328" s="1" t="str">
        <f t="shared" si="275"/>
        <v>0</v>
      </c>
      <c r="K1328" s="3">
        <f t="shared" si="276"/>
        <v>-100</v>
      </c>
      <c r="L1328" s="3">
        <f t="shared" si="277"/>
        <v>1</v>
      </c>
      <c r="M1328" s="3">
        <f t="shared" si="278"/>
        <v>0</v>
      </c>
      <c r="N1328" s="3" t="str">
        <f t="shared" si="286"/>
        <v>01</v>
      </c>
      <c r="O1328" s="14" t="str">
        <f t="shared" si="286"/>
        <v>00</v>
      </c>
      <c r="R1328" s="6">
        <v>522</v>
      </c>
      <c r="S1328" s="5">
        <f t="shared" si="285"/>
        <v>0</v>
      </c>
    </row>
    <row r="1329" spans="1:22" hidden="1">
      <c r="J1329" s="1" t="str">
        <f t="shared" si="275"/>
        <v>0</v>
      </c>
      <c r="K1329" s="3">
        <f t="shared" si="276"/>
        <v>-100</v>
      </c>
      <c r="L1329" s="3">
        <f t="shared" si="277"/>
        <v>1</v>
      </c>
      <c r="M1329" s="3">
        <f t="shared" si="278"/>
        <v>0</v>
      </c>
      <c r="N1329" s="3" t="str">
        <f t="shared" si="286"/>
        <v>01</v>
      </c>
      <c r="O1329" s="14" t="str">
        <f t="shared" si="286"/>
        <v>00</v>
      </c>
      <c r="R1329" s="6">
        <v>522</v>
      </c>
      <c r="S1329" s="5">
        <f t="shared" si="285"/>
        <v>0</v>
      </c>
    </row>
    <row r="1330" spans="1:22">
      <c r="A1330" s="3">
        <v>1319</v>
      </c>
      <c r="B1330" s="1">
        <f>IF(G1330="-",0,IF(G1329=G1330,1,0))</f>
        <v>0</v>
      </c>
      <c r="C1330" s="1">
        <f>+IF(G1330="-",0,IF(I1330=I1329+1,0,(IF(I1330=1,0,1))))</f>
        <v>1</v>
      </c>
      <c r="D1330" s="1">
        <f t="shared" si="282"/>
        <v>0</v>
      </c>
      <c r="E1330" s="1">
        <f t="shared" si="287"/>
        <v>0</v>
      </c>
      <c r="F1330" s="1">
        <f t="shared" si="287"/>
        <v>0</v>
      </c>
      <c r="G1330" s="1" t="str">
        <f t="shared" ref="G1330" si="288">IF(H1330=0,"-",_xlfn.CONCAT(K1330,N1330,O1330,J1330))</f>
        <v>24072203</v>
      </c>
      <c r="H1330" s="2">
        <v>45495</v>
      </c>
      <c r="I1330" s="36">
        <v>3</v>
      </c>
      <c r="J1330" s="1" t="str">
        <f t="shared" ref="J1330:J1333" si="289">+IF(I1330&lt;10,_xlfn.CONCAT("0",I1330),I1330)</f>
        <v>03</v>
      </c>
      <c r="K1330" s="3">
        <f t="shared" ref="K1330:K1333" si="290">+YEAR(H1330)-2000</f>
        <v>24</v>
      </c>
      <c r="L1330" s="3">
        <f t="shared" ref="L1330:L1333" si="291">+MONTH(H1330)</f>
        <v>7</v>
      </c>
      <c r="M1330" s="3">
        <f t="shared" ref="M1330:M1333" si="292">+DAY(H1330)</f>
        <v>22</v>
      </c>
      <c r="N1330" s="3" t="str">
        <f t="shared" si="286"/>
        <v>07</v>
      </c>
      <c r="O1330" s="14">
        <f t="shared" si="286"/>
        <v>22</v>
      </c>
      <c r="P1330" s="4">
        <v>622865.78</v>
      </c>
      <c r="R1330" s="6">
        <v>522</v>
      </c>
      <c r="S1330" s="5">
        <f t="shared" si="285"/>
        <v>1193.2294636015326</v>
      </c>
      <c r="T1330" s="5" t="s">
        <v>1176</v>
      </c>
      <c r="U1330" s="3" t="s">
        <v>2</v>
      </c>
      <c r="V1330" s="3" t="s">
        <v>5</v>
      </c>
    </row>
    <row r="1331" spans="1:22" hidden="1">
      <c r="J1331" s="1" t="str">
        <f t="shared" si="289"/>
        <v>0</v>
      </c>
      <c r="K1331" s="3">
        <f t="shared" si="290"/>
        <v>-100</v>
      </c>
      <c r="L1331" s="3">
        <f t="shared" si="291"/>
        <v>1</v>
      </c>
      <c r="M1331" s="3">
        <f t="shared" si="292"/>
        <v>0</v>
      </c>
      <c r="N1331" s="3" t="str">
        <f t="shared" si="286"/>
        <v>01</v>
      </c>
      <c r="O1331" s="14" t="str">
        <f t="shared" si="286"/>
        <v>00</v>
      </c>
      <c r="R1331" s="6">
        <v>522</v>
      </c>
      <c r="S1331" s="5">
        <f t="shared" si="285"/>
        <v>0</v>
      </c>
    </row>
    <row r="1332" spans="1:22" hidden="1">
      <c r="J1332" s="1" t="str">
        <f t="shared" si="289"/>
        <v>0</v>
      </c>
      <c r="K1332" s="3">
        <f t="shared" si="290"/>
        <v>-100</v>
      </c>
      <c r="L1332" s="3">
        <f t="shared" si="291"/>
        <v>1</v>
      </c>
      <c r="M1332" s="3">
        <f t="shared" si="292"/>
        <v>0</v>
      </c>
      <c r="N1332" s="3" t="str">
        <f t="shared" si="286"/>
        <v>01</v>
      </c>
      <c r="O1332" s="14" t="str">
        <f t="shared" si="286"/>
        <v>00</v>
      </c>
      <c r="R1332" s="6">
        <v>522</v>
      </c>
      <c r="S1332" s="5">
        <f t="shared" si="285"/>
        <v>0</v>
      </c>
    </row>
    <row r="1333" spans="1:22" hidden="1">
      <c r="J1333" s="1" t="str">
        <f t="shared" si="289"/>
        <v>0</v>
      </c>
      <c r="K1333" s="3">
        <f t="shared" si="290"/>
        <v>-100</v>
      </c>
      <c r="L1333" s="3">
        <f t="shared" si="291"/>
        <v>1</v>
      </c>
      <c r="M1333" s="3">
        <f t="shared" si="292"/>
        <v>0</v>
      </c>
      <c r="N1333" s="3" t="str">
        <f t="shared" si="286"/>
        <v>01</v>
      </c>
      <c r="O1333" s="14" t="str">
        <f t="shared" si="286"/>
        <v>00</v>
      </c>
    </row>
    <row r="1334" spans="1:22" hidden="1"/>
    <row r="1335" spans="1:22">
      <c r="A1335" s="3">
        <v>1322</v>
      </c>
      <c r="B1335" s="1">
        <f t="shared" ref="B1335" si="293">IF(G1335="-",0,IF(G1334=G1335,1,0))</f>
        <v>0</v>
      </c>
      <c r="C1335" s="1">
        <f t="shared" ref="C1335" si="294">+IF(G1335="-",0,IF(I1335=I1334+1,0,(IF(I1335=1,0,1))))</f>
        <v>0</v>
      </c>
      <c r="D1335" s="1">
        <f t="shared" ref="D1335:D1372" si="295">+IF(AND(P1335="",Q1335=""),1,0)</f>
        <v>0</v>
      </c>
      <c r="E1335" s="1">
        <f t="shared" ref="E1335:F1372" si="296">IF(U1335="",1,0)</f>
        <v>0</v>
      </c>
      <c r="F1335" s="1">
        <f t="shared" si="296"/>
        <v>0</v>
      </c>
      <c r="G1335" s="1" t="str">
        <f t="shared" ref="G1335:G1372" si="297">IF(H1335=0,"-",_xlfn.CONCAT(K1335,N1335,O1335,J1335))</f>
        <v>24072301</v>
      </c>
      <c r="H1335" s="2">
        <v>45496</v>
      </c>
      <c r="I1335" s="36">
        <v>1</v>
      </c>
      <c r="J1335" s="1" t="str">
        <f t="shared" ref="J1335:J1372" si="298">+IF(I1335&lt;10,_xlfn.CONCAT("0",I1335),I1335)</f>
        <v>01</v>
      </c>
      <c r="K1335" s="3">
        <f t="shared" ref="K1335:K1372" si="299">+YEAR(H1335)-2000</f>
        <v>24</v>
      </c>
      <c r="L1335" s="3">
        <f t="shared" ref="L1335:L1372" si="300">+MONTH(H1335)</f>
        <v>7</v>
      </c>
      <c r="M1335" s="3">
        <f t="shared" ref="M1335:M1372" si="301">+DAY(H1335)</f>
        <v>23</v>
      </c>
      <c r="N1335" s="3" t="str">
        <f t="shared" ref="N1335:O1372" si="302">+IF(L1335&lt;10,_xlfn.CONCAT("0",L1335),L1335)</f>
        <v>07</v>
      </c>
      <c r="O1335" s="14">
        <f t="shared" si="302"/>
        <v>23</v>
      </c>
      <c r="Q1335" s="5">
        <v>175.15</v>
      </c>
      <c r="R1335" s="6">
        <v>522</v>
      </c>
      <c r="S1335" s="5">
        <f t="shared" ref="S1335:S1344" si="303">IFERROR(P1335/R1335,"")</f>
        <v>0</v>
      </c>
      <c r="T1335" s="5" t="s">
        <v>505</v>
      </c>
      <c r="U1335" s="3" t="s">
        <v>2</v>
      </c>
      <c r="V1335" s="3" t="s">
        <v>5</v>
      </c>
    </row>
    <row r="1336" spans="1:22" hidden="1">
      <c r="J1336" s="1" t="str">
        <f t="shared" si="298"/>
        <v>0</v>
      </c>
      <c r="K1336" s="3">
        <f t="shared" si="299"/>
        <v>-100</v>
      </c>
      <c r="L1336" s="3">
        <f t="shared" si="300"/>
        <v>1</v>
      </c>
      <c r="M1336" s="3">
        <f t="shared" si="301"/>
        <v>0</v>
      </c>
      <c r="N1336" s="3" t="str">
        <f t="shared" si="302"/>
        <v>01</v>
      </c>
      <c r="O1336" s="14" t="str">
        <f t="shared" si="302"/>
        <v>00</v>
      </c>
      <c r="R1336" s="6">
        <v>519</v>
      </c>
      <c r="S1336" s="5">
        <f t="shared" si="303"/>
        <v>0</v>
      </c>
    </row>
    <row r="1337" spans="1:22" hidden="1">
      <c r="J1337" s="1" t="str">
        <f t="shared" si="298"/>
        <v>0</v>
      </c>
      <c r="K1337" s="3">
        <f t="shared" si="299"/>
        <v>-100</v>
      </c>
      <c r="L1337" s="3">
        <f t="shared" si="300"/>
        <v>1</v>
      </c>
      <c r="M1337" s="3">
        <f t="shared" si="301"/>
        <v>0</v>
      </c>
      <c r="N1337" s="3" t="str">
        <f t="shared" si="302"/>
        <v>01</v>
      </c>
      <c r="O1337" s="14" t="str">
        <f t="shared" si="302"/>
        <v>00</v>
      </c>
      <c r="R1337" s="6">
        <v>519</v>
      </c>
      <c r="S1337" s="5">
        <f t="shared" si="303"/>
        <v>0</v>
      </c>
    </row>
    <row r="1338" spans="1:22" hidden="1">
      <c r="J1338" s="1" t="str">
        <f t="shared" si="298"/>
        <v>0</v>
      </c>
      <c r="K1338" s="3">
        <f t="shared" si="299"/>
        <v>-100</v>
      </c>
      <c r="L1338" s="3">
        <f t="shared" si="300"/>
        <v>1</v>
      </c>
      <c r="M1338" s="3">
        <f t="shared" si="301"/>
        <v>0</v>
      </c>
      <c r="N1338" s="3" t="str">
        <f t="shared" si="302"/>
        <v>01</v>
      </c>
      <c r="O1338" s="14" t="str">
        <f t="shared" si="302"/>
        <v>00</v>
      </c>
      <c r="R1338" s="6">
        <v>519</v>
      </c>
      <c r="S1338" s="5">
        <f t="shared" si="303"/>
        <v>0</v>
      </c>
    </row>
    <row r="1339" spans="1:22" hidden="1">
      <c r="J1339" s="1" t="str">
        <f t="shared" si="298"/>
        <v>0</v>
      </c>
      <c r="K1339" s="3">
        <f t="shared" si="299"/>
        <v>-100</v>
      </c>
      <c r="L1339" s="3">
        <f t="shared" si="300"/>
        <v>1</v>
      </c>
      <c r="M1339" s="3">
        <f t="shared" si="301"/>
        <v>0</v>
      </c>
      <c r="N1339" s="3" t="str">
        <f t="shared" si="302"/>
        <v>01</v>
      </c>
      <c r="O1339" s="14" t="str">
        <f t="shared" si="302"/>
        <v>00</v>
      </c>
      <c r="R1339" s="6">
        <v>519</v>
      </c>
      <c r="S1339" s="5">
        <f t="shared" si="303"/>
        <v>0</v>
      </c>
    </row>
    <row r="1340" spans="1:22" hidden="1">
      <c r="J1340" s="1" t="str">
        <f t="shared" si="298"/>
        <v>0</v>
      </c>
      <c r="K1340" s="3">
        <f t="shared" si="299"/>
        <v>-100</v>
      </c>
      <c r="L1340" s="3">
        <f t="shared" si="300"/>
        <v>1</v>
      </c>
      <c r="M1340" s="3">
        <f t="shared" si="301"/>
        <v>0</v>
      </c>
      <c r="N1340" s="3" t="str">
        <f t="shared" si="302"/>
        <v>01</v>
      </c>
      <c r="O1340" s="14" t="str">
        <f t="shared" si="302"/>
        <v>00</v>
      </c>
      <c r="R1340" s="6">
        <v>519</v>
      </c>
      <c r="S1340" s="5">
        <f t="shared" si="303"/>
        <v>0</v>
      </c>
    </row>
    <row r="1341" spans="1:22" hidden="1">
      <c r="J1341" s="1" t="str">
        <f t="shared" si="298"/>
        <v>0</v>
      </c>
      <c r="K1341" s="3">
        <f t="shared" si="299"/>
        <v>-100</v>
      </c>
      <c r="L1341" s="3">
        <f t="shared" si="300"/>
        <v>1</v>
      </c>
      <c r="M1341" s="3">
        <f t="shared" si="301"/>
        <v>0</v>
      </c>
      <c r="N1341" s="3" t="str">
        <f t="shared" si="302"/>
        <v>01</v>
      </c>
      <c r="O1341" s="14" t="str">
        <f t="shared" si="302"/>
        <v>00</v>
      </c>
      <c r="R1341" s="6">
        <v>519</v>
      </c>
      <c r="S1341" s="5">
        <f t="shared" si="303"/>
        <v>0</v>
      </c>
    </row>
    <row r="1342" spans="1:22" hidden="1">
      <c r="J1342" s="1" t="str">
        <f t="shared" si="298"/>
        <v>0</v>
      </c>
      <c r="K1342" s="3">
        <f t="shared" si="299"/>
        <v>-100</v>
      </c>
      <c r="L1342" s="3">
        <f t="shared" si="300"/>
        <v>1</v>
      </c>
      <c r="M1342" s="3">
        <f t="shared" si="301"/>
        <v>0</v>
      </c>
      <c r="N1342" s="3" t="str">
        <f t="shared" si="302"/>
        <v>01</v>
      </c>
      <c r="O1342" s="14" t="str">
        <f t="shared" si="302"/>
        <v>00</v>
      </c>
      <c r="R1342" s="6">
        <v>519</v>
      </c>
      <c r="S1342" s="5">
        <f t="shared" si="303"/>
        <v>0</v>
      </c>
    </row>
    <row r="1343" spans="1:22" hidden="1">
      <c r="J1343" s="1" t="str">
        <f t="shared" si="298"/>
        <v>0</v>
      </c>
      <c r="K1343" s="3">
        <f t="shared" si="299"/>
        <v>-100</v>
      </c>
      <c r="L1343" s="3">
        <f t="shared" si="300"/>
        <v>1</v>
      </c>
      <c r="M1343" s="3">
        <f t="shared" si="301"/>
        <v>0</v>
      </c>
      <c r="N1343" s="3" t="str">
        <f t="shared" si="302"/>
        <v>01</v>
      </c>
      <c r="O1343" s="14" t="str">
        <f t="shared" si="302"/>
        <v>00</v>
      </c>
      <c r="R1343" s="6">
        <v>519</v>
      </c>
      <c r="S1343" s="5">
        <f t="shared" si="303"/>
        <v>0</v>
      </c>
    </row>
    <row r="1344" spans="1:22" hidden="1">
      <c r="J1344" s="1" t="str">
        <f t="shared" si="298"/>
        <v>0</v>
      </c>
      <c r="K1344" s="3">
        <f t="shared" si="299"/>
        <v>-100</v>
      </c>
      <c r="L1344" s="3">
        <f t="shared" si="300"/>
        <v>1</v>
      </c>
      <c r="M1344" s="3">
        <f t="shared" si="301"/>
        <v>0</v>
      </c>
      <c r="N1344" s="3" t="str">
        <f t="shared" si="302"/>
        <v>01</v>
      </c>
      <c r="O1344" s="14" t="str">
        <f t="shared" si="302"/>
        <v>00</v>
      </c>
      <c r="S1344" s="5" t="str">
        <f t="shared" si="303"/>
        <v/>
      </c>
    </row>
    <row r="1345" spans="10:19" hidden="1">
      <c r="J1345" s="1" t="str">
        <f t="shared" si="298"/>
        <v>0</v>
      </c>
      <c r="K1345" s="3">
        <f t="shared" si="299"/>
        <v>-100</v>
      </c>
      <c r="L1345" s="3">
        <f t="shared" si="300"/>
        <v>1</v>
      </c>
      <c r="M1345" s="3">
        <f t="shared" si="301"/>
        <v>0</v>
      </c>
      <c r="N1345" s="3" t="str">
        <f t="shared" si="302"/>
        <v>01</v>
      </c>
      <c r="O1345" s="14" t="str">
        <f t="shared" si="302"/>
        <v>00</v>
      </c>
    </row>
    <row r="1346" spans="10:19" ht="15" hidden="1" customHeight="1">
      <c r="J1346" s="1" t="str">
        <f t="shared" si="298"/>
        <v>0</v>
      </c>
      <c r="K1346" s="3">
        <f t="shared" si="299"/>
        <v>-100</v>
      </c>
      <c r="L1346" s="3">
        <f t="shared" si="300"/>
        <v>1</v>
      </c>
      <c r="M1346" s="3">
        <f t="shared" si="301"/>
        <v>0</v>
      </c>
      <c r="N1346" s="3" t="str">
        <f t="shared" si="302"/>
        <v>01</v>
      </c>
      <c r="O1346" s="14" t="str">
        <f t="shared" si="302"/>
        <v>00</v>
      </c>
      <c r="R1346" s="6">
        <v>518</v>
      </c>
      <c r="S1346" s="5">
        <f t="shared" ref="S1346:S1372" si="304">IFERROR(P1346/R1346,"")</f>
        <v>0</v>
      </c>
    </row>
    <row r="1347" spans="10:19" hidden="1">
      <c r="J1347" s="1" t="str">
        <f t="shared" si="298"/>
        <v>0</v>
      </c>
      <c r="K1347" s="3">
        <f t="shared" si="299"/>
        <v>-100</v>
      </c>
      <c r="L1347" s="3">
        <f t="shared" si="300"/>
        <v>1</v>
      </c>
      <c r="M1347" s="3">
        <f t="shared" si="301"/>
        <v>0</v>
      </c>
      <c r="N1347" s="3" t="str">
        <f t="shared" si="302"/>
        <v>01</v>
      </c>
      <c r="O1347" s="14" t="str">
        <f t="shared" si="302"/>
        <v>00</v>
      </c>
      <c r="R1347" s="6">
        <v>518</v>
      </c>
      <c r="S1347" s="5">
        <f t="shared" si="304"/>
        <v>0</v>
      </c>
    </row>
    <row r="1348" spans="10:19" hidden="1">
      <c r="J1348" s="1" t="str">
        <f t="shared" si="298"/>
        <v>0</v>
      </c>
      <c r="K1348" s="3">
        <f t="shared" si="299"/>
        <v>-100</v>
      </c>
      <c r="L1348" s="3">
        <f t="shared" si="300"/>
        <v>1</v>
      </c>
      <c r="M1348" s="3">
        <f t="shared" si="301"/>
        <v>0</v>
      </c>
      <c r="N1348" s="3" t="str">
        <f t="shared" si="302"/>
        <v>01</v>
      </c>
      <c r="O1348" s="14" t="str">
        <f t="shared" si="302"/>
        <v>00</v>
      </c>
      <c r="S1348" s="5" t="str">
        <f t="shared" si="304"/>
        <v/>
      </c>
    </row>
    <row r="1349" spans="10:19" hidden="1">
      <c r="J1349" s="1" t="str">
        <f t="shared" si="298"/>
        <v>0</v>
      </c>
      <c r="K1349" s="3">
        <f t="shared" si="299"/>
        <v>-100</v>
      </c>
      <c r="L1349" s="3">
        <f t="shared" si="300"/>
        <v>1</v>
      </c>
      <c r="M1349" s="3">
        <f t="shared" si="301"/>
        <v>0</v>
      </c>
      <c r="N1349" s="3" t="str">
        <f t="shared" si="302"/>
        <v>01</v>
      </c>
      <c r="O1349" s="14" t="str">
        <f t="shared" si="302"/>
        <v>00</v>
      </c>
      <c r="R1349" s="6">
        <v>518</v>
      </c>
      <c r="S1349" s="5">
        <f t="shared" si="304"/>
        <v>0</v>
      </c>
    </row>
    <row r="1350" spans="10:19" hidden="1">
      <c r="J1350" s="1" t="str">
        <f t="shared" si="298"/>
        <v>0</v>
      </c>
      <c r="K1350" s="3">
        <f t="shared" si="299"/>
        <v>-100</v>
      </c>
      <c r="L1350" s="3">
        <f t="shared" si="300"/>
        <v>1</v>
      </c>
      <c r="M1350" s="3">
        <f t="shared" si="301"/>
        <v>0</v>
      </c>
      <c r="N1350" s="3" t="str">
        <f t="shared" si="302"/>
        <v>01</v>
      </c>
      <c r="O1350" s="14" t="str">
        <f t="shared" si="302"/>
        <v>00</v>
      </c>
      <c r="R1350" s="6">
        <v>518</v>
      </c>
      <c r="S1350" s="5">
        <f t="shared" si="304"/>
        <v>0</v>
      </c>
    </row>
    <row r="1351" spans="10:19" hidden="1">
      <c r="J1351" s="1" t="str">
        <f t="shared" si="298"/>
        <v>0</v>
      </c>
      <c r="K1351" s="3">
        <f t="shared" si="299"/>
        <v>-100</v>
      </c>
      <c r="L1351" s="3">
        <f t="shared" si="300"/>
        <v>1</v>
      </c>
      <c r="M1351" s="3">
        <f t="shared" si="301"/>
        <v>0</v>
      </c>
      <c r="N1351" s="3" t="str">
        <f t="shared" si="302"/>
        <v>01</v>
      </c>
      <c r="O1351" s="14" t="str">
        <f t="shared" si="302"/>
        <v>00</v>
      </c>
      <c r="R1351" s="6">
        <v>518</v>
      </c>
      <c r="S1351" s="5">
        <f t="shared" si="304"/>
        <v>0</v>
      </c>
    </row>
    <row r="1352" spans="10:19" hidden="1">
      <c r="J1352" s="1" t="str">
        <f t="shared" si="298"/>
        <v>0</v>
      </c>
      <c r="K1352" s="3">
        <f t="shared" si="299"/>
        <v>-100</v>
      </c>
      <c r="L1352" s="3">
        <f t="shared" si="300"/>
        <v>1</v>
      </c>
      <c r="M1352" s="3">
        <f t="shared" si="301"/>
        <v>0</v>
      </c>
      <c r="N1352" s="3" t="str">
        <f t="shared" si="302"/>
        <v>01</v>
      </c>
      <c r="O1352" s="14" t="str">
        <f t="shared" si="302"/>
        <v>00</v>
      </c>
      <c r="R1352" s="6">
        <v>518</v>
      </c>
      <c r="S1352" s="5">
        <f t="shared" si="304"/>
        <v>0</v>
      </c>
    </row>
    <row r="1353" spans="10:19" hidden="1">
      <c r="J1353" s="1" t="str">
        <f t="shared" si="298"/>
        <v>0</v>
      </c>
      <c r="K1353" s="3">
        <f t="shared" si="299"/>
        <v>-100</v>
      </c>
      <c r="L1353" s="3">
        <f t="shared" si="300"/>
        <v>1</v>
      </c>
      <c r="M1353" s="3">
        <f t="shared" si="301"/>
        <v>0</v>
      </c>
      <c r="N1353" s="3" t="str">
        <f t="shared" si="302"/>
        <v>01</v>
      </c>
      <c r="O1353" s="14" t="str">
        <f t="shared" si="302"/>
        <v>00</v>
      </c>
      <c r="R1353" s="6">
        <v>518</v>
      </c>
      <c r="S1353" s="5">
        <f t="shared" si="304"/>
        <v>0</v>
      </c>
    </row>
    <row r="1354" spans="10:19" hidden="1">
      <c r="J1354" s="1" t="str">
        <f t="shared" si="298"/>
        <v>0</v>
      </c>
      <c r="K1354" s="3">
        <f t="shared" si="299"/>
        <v>-100</v>
      </c>
      <c r="L1354" s="3">
        <f t="shared" si="300"/>
        <v>1</v>
      </c>
      <c r="M1354" s="3">
        <f t="shared" si="301"/>
        <v>0</v>
      </c>
      <c r="N1354" s="3" t="str">
        <f t="shared" si="302"/>
        <v>01</v>
      </c>
      <c r="O1354" s="14" t="str">
        <f t="shared" si="302"/>
        <v>00</v>
      </c>
      <c r="R1354" s="6">
        <v>518</v>
      </c>
      <c r="S1354" s="5">
        <f t="shared" si="304"/>
        <v>0</v>
      </c>
    </row>
    <row r="1355" spans="10:19" hidden="1">
      <c r="J1355" s="1" t="str">
        <f t="shared" si="298"/>
        <v>0</v>
      </c>
      <c r="K1355" s="3">
        <f t="shared" si="299"/>
        <v>-100</v>
      </c>
      <c r="L1355" s="3">
        <f t="shared" si="300"/>
        <v>1</v>
      </c>
      <c r="M1355" s="3">
        <f t="shared" si="301"/>
        <v>0</v>
      </c>
      <c r="N1355" s="3" t="str">
        <f t="shared" si="302"/>
        <v>01</v>
      </c>
      <c r="O1355" s="14" t="str">
        <f t="shared" si="302"/>
        <v>00</v>
      </c>
      <c r="R1355" s="6">
        <v>518</v>
      </c>
      <c r="S1355" s="5">
        <f t="shared" si="304"/>
        <v>0</v>
      </c>
    </row>
    <row r="1356" spans="10:19" hidden="1">
      <c r="J1356" s="1" t="str">
        <f t="shared" si="298"/>
        <v>0</v>
      </c>
      <c r="K1356" s="3">
        <f t="shared" si="299"/>
        <v>-100</v>
      </c>
      <c r="L1356" s="3">
        <f t="shared" si="300"/>
        <v>1</v>
      </c>
      <c r="M1356" s="3">
        <f t="shared" si="301"/>
        <v>0</v>
      </c>
      <c r="N1356" s="3" t="str">
        <f t="shared" si="302"/>
        <v>01</v>
      </c>
      <c r="O1356" s="14" t="str">
        <f t="shared" si="302"/>
        <v>00</v>
      </c>
      <c r="R1356" s="6">
        <v>518</v>
      </c>
      <c r="S1356" s="5">
        <f t="shared" si="304"/>
        <v>0</v>
      </c>
    </row>
    <row r="1357" spans="10:19" hidden="1">
      <c r="J1357" s="1" t="str">
        <f t="shared" si="298"/>
        <v>0</v>
      </c>
      <c r="K1357" s="3">
        <f t="shared" si="299"/>
        <v>-100</v>
      </c>
      <c r="L1357" s="3">
        <f t="shared" si="300"/>
        <v>1</v>
      </c>
      <c r="M1357" s="3">
        <f t="shared" si="301"/>
        <v>0</v>
      </c>
      <c r="N1357" s="3" t="str">
        <f t="shared" si="302"/>
        <v>01</v>
      </c>
      <c r="O1357" s="14" t="str">
        <f t="shared" si="302"/>
        <v>00</v>
      </c>
      <c r="R1357" s="6">
        <v>518</v>
      </c>
      <c r="S1357" s="5">
        <f t="shared" si="304"/>
        <v>0</v>
      </c>
    </row>
    <row r="1358" spans="10:19" hidden="1">
      <c r="J1358" s="1" t="str">
        <f t="shared" si="298"/>
        <v>0</v>
      </c>
      <c r="K1358" s="3">
        <f t="shared" si="299"/>
        <v>-100</v>
      </c>
      <c r="L1358" s="3">
        <f t="shared" si="300"/>
        <v>1</v>
      </c>
      <c r="M1358" s="3">
        <f t="shared" si="301"/>
        <v>0</v>
      </c>
      <c r="N1358" s="3" t="str">
        <f t="shared" si="302"/>
        <v>01</v>
      </c>
      <c r="O1358" s="14" t="str">
        <f t="shared" si="302"/>
        <v>00</v>
      </c>
      <c r="R1358" s="6">
        <v>518</v>
      </c>
      <c r="S1358" s="5">
        <f t="shared" si="304"/>
        <v>0</v>
      </c>
    </row>
    <row r="1359" spans="10:19" ht="15.75" hidden="1" customHeight="1">
      <c r="J1359" s="1" t="str">
        <f t="shared" si="298"/>
        <v>0</v>
      </c>
      <c r="K1359" s="3">
        <f t="shared" si="299"/>
        <v>-100</v>
      </c>
      <c r="L1359" s="3">
        <f t="shared" si="300"/>
        <v>1</v>
      </c>
      <c r="M1359" s="3">
        <f t="shared" si="301"/>
        <v>0</v>
      </c>
      <c r="N1359" s="3" t="str">
        <f t="shared" si="302"/>
        <v>01</v>
      </c>
      <c r="O1359" s="14" t="str">
        <f t="shared" si="302"/>
        <v>00</v>
      </c>
      <c r="R1359" s="6">
        <v>518</v>
      </c>
      <c r="S1359" s="5">
        <f t="shared" si="304"/>
        <v>0</v>
      </c>
    </row>
    <row r="1360" spans="10:19" hidden="1">
      <c r="J1360" s="1" t="str">
        <f t="shared" si="298"/>
        <v>0</v>
      </c>
      <c r="K1360" s="3">
        <f t="shared" si="299"/>
        <v>-100</v>
      </c>
      <c r="L1360" s="3">
        <f t="shared" si="300"/>
        <v>1</v>
      </c>
      <c r="M1360" s="3">
        <f t="shared" si="301"/>
        <v>0</v>
      </c>
      <c r="N1360" s="3" t="str">
        <f t="shared" si="302"/>
        <v>01</v>
      </c>
      <c r="O1360" s="14" t="str">
        <f t="shared" si="302"/>
        <v>00</v>
      </c>
      <c r="R1360" s="6">
        <v>515</v>
      </c>
      <c r="S1360" s="5">
        <f t="shared" si="304"/>
        <v>0</v>
      </c>
    </row>
    <row r="1361" spans="1:22" hidden="1">
      <c r="J1361" s="1" t="str">
        <f t="shared" si="298"/>
        <v>0</v>
      </c>
      <c r="K1361" s="3">
        <f t="shared" si="299"/>
        <v>-100</v>
      </c>
      <c r="L1361" s="3">
        <f t="shared" si="300"/>
        <v>1</v>
      </c>
      <c r="M1361" s="3">
        <f t="shared" si="301"/>
        <v>0</v>
      </c>
      <c r="N1361" s="3" t="str">
        <f t="shared" si="302"/>
        <v>01</v>
      </c>
      <c r="O1361" s="14" t="str">
        <f t="shared" si="302"/>
        <v>00</v>
      </c>
      <c r="R1361" s="6">
        <v>518</v>
      </c>
      <c r="S1361" s="5">
        <f t="shared" si="304"/>
        <v>0</v>
      </c>
    </row>
    <row r="1362" spans="1:22" hidden="1">
      <c r="J1362" s="1" t="str">
        <f t="shared" si="298"/>
        <v>0</v>
      </c>
      <c r="K1362" s="3">
        <f t="shared" si="299"/>
        <v>-100</v>
      </c>
      <c r="L1362" s="3">
        <f t="shared" si="300"/>
        <v>1</v>
      </c>
      <c r="M1362" s="3">
        <f t="shared" si="301"/>
        <v>0</v>
      </c>
      <c r="N1362" s="3" t="str">
        <f t="shared" si="302"/>
        <v>01</v>
      </c>
      <c r="O1362" s="14" t="str">
        <f t="shared" si="302"/>
        <v>00</v>
      </c>
      <c r="R1362" s="6">
        <v>518</v>
      </c>
      <c r="S1362" s="5">
        <f t="shared" si="304"/>
        <v>0</v>
      </c>
    </row>
    <row r="1363" spans="1:22">
      <c r="A1363" s="3">
        <v>1350</v>
      </c>
      <c r="B1363" s="1">
        <f t="shared" ref="B1363:B1372" si="305">IF(G1363="-",0,IF(G1362=G1363,1,0))</f>
        <v>0</v>
      </c>
      <c r="C1363" s="1">
        <f t="shared" ref="C1363:C1372" si="306">+IF(G1363="-",0,IF(I1363=I1362+1,0,(IF(I1363=1,0,1))))</f>
        <v>1</v>
      </c>
      <c r="D1363" s="1">
        <f t="shared" si="295"/>
        <v>0</v>
      </c>
      <c r="E1363" s="1">
        <f t="shared" si="296"/>
        <v>0</v>
      </c>
      <c r="F1363" s="1">
        <f t="shared" si="296"/>
        <v>0</v>
      </c>
      <c r="G1363" s="1" t="str">
        <f t="shared" si="297"/>
        <v>24072604</v>
      </c>
      <c r="H1363" s="2">
        <v>45499</v>
      </c>
      <c r="I1363" s="36">
        <v>4</v>
      </c>
      <c r="J1363" s="1" t="str">
        <f t="shared" si="298"/>
        <v>04</v>
      </c>
      <c r="K1363" s="3">
        <f t="shared" si="299"/>
        <v>24</v>
      </c>
      <c r="L1363" s="3">
        <f t="shared" si="300"/>
        <v>7</v>
      </c>
      <c r="M1363" s="3">
        <f t="shared" si="301"/>
        <v>26</v>
      </c>
      <c r="N1363" s="3" t="str">
        <f t="shared" si="302"/>
        <v>07</v>
      </c>
      <c r="O1363" s="14">
        <f t="shared" si="302"/>
        <v>26</v>
      </c>
      <c r="Q1363" s="5">
        <v>350.3</v>
      </c>
      <c r="R1363" s="6">
        <v>518</v>
      </c>
      <c r="S1363" s="5">
        <f t="shared" si="304"/>
        <v>0</v>
      </c>
      <c r="T1363" s="5" t="s">
        <v>538</v>
      </c>
      <c r="U1363" s="3" t="s">
        <v>2</v>
      </c>
      <c r="V1363" s="3" t="s">
        <v>5</v>
      </c>
    </row>
    <row r="1364" spans="1:22" hidden="1">
      <c r="J1364" s="1" t="str">
        <f t="shared" si="298"/>
        <v>0</v>
      </c>
      <c r="K1364" s="3">
        <f t="shared" si="299"/>
        <v>-100</v>
      </c>
      <c r="L1364" s="3">
        <f t="shared" si="300"/>
        <v>1</v>
      </c>
      <c r="M1364" s="3">
        <f t="shared" si="301"/>
        <v>0</v>
      </c>
      <c r="N1364" s="3" t="str">
        <f t="shared" si="302"/>
        <v>01</v>
      </c>
      <c r="O1364" s="14" t="str">
        <f t="shared" si="302"/>
        <v>00</v>
      </c>
      <c r="R1364" s="6">
        <v>518</v>
      </c>
      <c r="S1364" s="5">
        <f t="shared" si="304"/>
        <v>0</v>
      </c>
    </row>
    <row r="1365" spans="1:22" hidden="1">
      <c r="J1365" s="1" t="str">
        <f t="shared" si="298"/>
        <v>0</v>
      </c>
      <c r="K1365" s="3">
        <f t="shared" si="299"/>
        <v>-100</v>
      </c>
      <c r="L1365" s="3">
        <f t="shared" si="300"/>
        <v>1</v>
      </c>
      <c r="M1365" s="3">
        <f t="shared" si="301"/>
        <v>0</v>
      </c>
      <c r="N1365" s="3" t="str">
        <f t="shared" si="302"/>
        <v>01</v>
      </c>
      <c r="O1365" s="14" t="str">
        <f t="shared" si="302"/>
        <v>00</v>
      </c>
      <c r="R1365" s="6">
        <v>518</v>
      </c>
      <c r="S1365" s="5">
        <f t="shared" si="304"/>
        <v>0</v>
      </c>
    </row>
    <row r="1366" spans="1:22" hidden="1">
      <c r="J1366" s="1" t="str">
        <f t="shared" si="298"/>
        <v>0</v>
      </c>
      <c r="K1366" s="3">
        <f t="shared" si="299"/>
        <v>-100</v>
      </c>
      <c r="L1366" s="3">
        <f t="shared" si="300"/>
        <v>1</v>
      </c>
      <c r="M1366" s="3">
        <f t="shared" si="301"/>
        <v>0</v>
      </c>
      <c r="N1366" s="3" t="str">
        <f t="shared" si="302"/>
        <v>01</v>
      </c>
      <c r="O1366" s="14" t="str">
        <f t="shared" si="302"/>
        <v>00</v>
      </c>
      <c r="R1366" s="6">
        <v>518</v>
      </c>
      <c r="S1366" s="5">
        <f t="shared" si="304"/>
        <v>0</v>
      </c>
    </row>
    <row r="1367" spans="1:22">
      <c r="A1367" s="3">
        <v>1354</v>
      </c>
      <c r="B1367" s="1">
        <f t="shared" si="305"/>
        <v>0</v>
      </c>
      <c r="C1367" s="1">
        <f t="shared" si="306"/>
        <v>1</v>
      </c>
      <c r="D1367" s="1">
        <f t="shared" si="295"/>
        <v>0</v>
      </c>
      <c r="E1367" s="1">
        <f t="shared" si="296"/>
        <v>0</v>
      </c>
      <c r="F1367" s="1">
        <f t="shared" si="296"/>
        <v>0</v>
      </c>
      <c r="G1367" s="1" t="str">
        <f t="shared" si="297"/>
        <v>24072608</v>
      </c>
      <c r="H1367" s="2">
        <v>45499</v>
      </c>
      <c r="I1367" s="36">
        <v>8</v>
      </c>
      <c r="J1367" s="1" t="str">
        <f t="shared" si="298"/>
        <v>08</v>
      </c>
      <c r="K1367" s="3">
        <f t="shared" si="299"/>
        <v>24</v>
      </c>
      <c r="L1367" s="3">
        <f t="shared" si="300"/>
        <v>7</v>
      </c>
      <c r="M1367" s="3">
        <f t="shared" si="301"/>
        <v>26</v>
      </c>
      <c r="N1367" s="3" t="str">
        <f t="shared" si="302"/>
        <v>07</v>
      </c>
      <c r="O1367" s="14">
        <f t="shared" si="302"/>
        <v>26</v>
      </c>
      <c r="P1367" s="4">
        <v>23929.91</v>
      </c>
      <c r="R1367" s="6">
        <v>518</v>
      </c>
      <c r="S1367" s="5">
        <f t="shared" si="304"/>
        <v>46.196737451737448</v>
      </c>
      <c r="T1367" s="5" t="s">
        <v>542</v>
      </c>
      <c r="U1367" s="3" t="s">
        <v>1</v>
      </c>
      <c r="V1367" s="3" t="s">
        <v>5</v>
      </c>
    </row>
    <row r="1368" spans="1:22" hidden="1">
      <c r="J1368" s="1" t="str">
        <f t="shared" si="298"/>
        <v>0</v>
      </c>
      <c r="K1368" s="3">
        <f t="shared" si="299"/>
        <v>-100</v>
      </c>
      <c r="L1368" s="3">
        <f t="shared" si="300"/>
        <v>1</v>
      </c>
      <c r="M1368" s="3">
        <f t="shared" si="301"/>
        <v>0</v>
      </c>
      <c r="N1368" s="3" t="str">
        <f t="shared" si="302"/>
        <v>01</v>
      </c>
      <c r="O1368" s="14" t="str">
        <f t="shared" si="302"/>
        <v>00</v>
      </c>
      <c r="R1368" s="6">
        <v>518</v>
      </c>
      <c r="S1368" s="5">
        <f t="shared" si="304"/>
        <v>0</v>
      </c>
    </row>
    <row r="1369" spans="1:22">
      <c r="A1369" s="3">
        <v>1356</v>
      </c>
      <c r="B1369" s="1">
        <f t="shared" si="305"/>
        <v>0</v>
      </c>
      <c r="C1369" s="1">
        <f t="shared" si="306"/>
        <v>1</v>
      </c>
      <c r="D1369" s="1">
        <f t="shared" si="295"/>
        <v>0</v>
      </c>
      <c r="E1369" s="1">
        <f t="shared" si="296"/>
        <v>0</v>
      </c>
      <c r="F1369" s="1">
        <f t="shared" si="296"/>
        <v>0</v>
      </c>
      <c r="G1369" s="1" t="str">
        <f t="shared" si="297"/>
        <v>24072610</v>
      </c>
      <c r="H1369" s="2">
        <v>45499</v>
      </c>
      <c r="I1369" s="36">
        <v>10</v>
      </c>
      <c r="J1369" s="1">
        <f t="shared" si="298"/>
        <v>10</v>
      </c>
      <c r="K1369" s="3">
        <f t="shared" si="299"/>
        <v>24</v>
      </c>
      <c r="L1369" s="3">
        <f t="shared" si="300"/>
        <v>7</v>
      </c>
      <c r="M1369" s="3">
        <f t="shared" si="301"/>
        <v>26</v>
      </c>
      <c r="N1369" s="3" t="str">
        <f t="shared" si="302"/>
        <v>07</v>
      </c>
      <c r="O1369" s="14">
        <f t="shared" si="302"/>
        <v>26</v>
      </c>
      <c r="P1369" s="4">
        <v>109108</v>
      </c>
      <c r="R1369" s="6">
        <v>518</v>
      </c>
      <c r="S1369" s="5">
        <f t="shared" si="304"/>
        <v>210.63320463320463</v>
      </c>
      <c r="T1369" s="5" t="s">
        <v>543</v>
      </c>
      <c r="U1369" s="3" t="s">
        <v>2</v>
      </c>
      <c r="V1369" s="3" t="s">
        <v>5</v>
      </c>
    </row>
    <row r="1370" spans="1:22" hidden="1">
      <c r="J1370" s="1" t="str">
        <f t="shared" si="298"/>
        <v>0</v>
      </c>
      <c r="K1370" s="3">
        <f t="shared" si="299"/>
        <v>-100</v>
      </c>
      <c r="L1370" s="3">
        <f t="shared" si="300"/>
        <v>1</v>
      </c>
      <c r="M1370" s="3">
        <f t="shared" si="301"/>
        <v>0</v>
      </c>
      <c r="N1370" s="3" t="str">
        <f t="shared" si="302"/>
        <v>01</v>
      </c>
      <c r="O1370" s="14" t="str">
        <f t="shared" si="302"/>
        <v>00</v>
      </c>
      <c r="R1370" s="6">
        <v>518</v>
      </c>
      <c r="S1370" s="5">
        <f t="shared" si="304"/>
        <v>0</v>
      </c>
    </row>
    <row r="1371" spans="1:22" hidden="1">
      <c r="J1371" s="1" t="str">
        <f t="shared" si="298"/>
        <v>0</v>
      </c>
      <c r="K1371" s="3">
        <f t="shared" si="299"/>
        <v>-100</v>
      </c>
      <c r="L1371" s="3">
        <f t="shared" si="300"/>
        <v>1</v>
      </c>
      <c r="M1371" s="3">
        <f t="shared" si="301"/>
        <v>0</v>
      </c>
      <c r="N1371" s="3" t="str">
        <f t="shared" si="302"/>
        <v>01</v>
      </c>
      <c r="O1371" s="14" t="str">
        <f t="shared" si="302"/>
        <v>00</v>
      </c>
      <c r="R1371" s="6">
        <v>518</v>
      </c>
      <c r="S1371" s="5">
        <f t="shared" si="304"/>
        <v>0</v>
      </c>
    </row>
    <row r="1372" spans="1:22">
      <c r="A1372" s="3">
        <v>1359</v>
      </c>
      <c r="B1372" s="1">
        <f t="shared" si="305"/>
        <v>0</v>
      </c>
      <c r="C1372" s="1">
        <f t="shared" si="306"/>
        <v>1</v>
      </c>
      <c r="D1372" s="1">
        <f t="shared" si="295"/>
        <v>0</v>
      </c>
      <c r="E1372" s="1">
        <f t="shared" si="296"/>
        <v>0</v>
      </c>
      <c r="F1372" s="1">
        <f t="shared" si="296"/>
        <v>0</v>
      </c>
      <c r="G1372" s="1" t="str">
        <f t="shared" si="297"/>
        <v>24072613</v>
      </c>
      <c r="H1372" s="2">
        <v>45499</v>
      </c>
      <c r="I1372" s="36">
        <v>13</v>
      </c>
      <c r="J1372" s="1">
        <f t="shared" si="298"/>
        <v>13</v>
      </c>
      <c r="K1372" s="3">
        <f t="shared" si="299"/>
        <v>24</v>
      </c>
      <c r="L1372" s="3">
        <f t="shared" si="300"/>
        <v>7</v>
      </c>
      <c r="M1372" s="3">
        <f t="shared" si="301"/>
        <v>26</v>
      </c>
      <c r="N1372" s="3" t="str">
        <f t="shared" si="302"/>
        <v>07</v>
      </c>
      <c r="O1372" s="14">
        <f t="shared" si="302"/>
        <v>26</v>
      </c>
      <c r="P1372" s="4">
        <v>509.01</v>
      </c>
      <c r="R1372" s="6">
        <v>518</v>
      </c>
      <c r="S1372" s="5">
        <f t="shared" si="304"/>
        <v>0.98264478764478758</v>
      </c>
      <c r="T1372" s="5" t="s">
        <v>1032</v>
      </c>
      <c r="U1372" s="3" t="s">
        <v>29</v>
      </c>
      <c r="V1372" s="3" t="s">
        <v>5</v>
      </c>
    </row>
    <row r="1373" spans="1:22" hidden="1"/>
    <row r="1374" spans="1:22" hidden="1">
      <c r="J1374" s="1" t="str">
        <f t="shared" ref="J1374:J1401" si="307">+IF(I1374&lt;10,_xlfn.CONCAT("0",I1374),I1374)</f>
        <v>0</v>
      </c>
      <c r="K1374" s="3">
        <f t="shared" ref="K1374:K1401" si="308">+YEAR(H1374)-2000</f>
        <v>-100</v>
      </c>
      <c r="L1374" s="3">
        <f t="shared" ref="L1374:L1401" si="309">+MONTH(H1374)</f>
        <v>1</v>
      </c>
      <c r="M1374" s="3">
        <f t="shared" ref="M1374:M1401" si="310">+DAY(H1374)</f>
        <v>0</v>
      </c>
      <c r="N1374" s="3" t="str">
        <f t="shared" ref="N1374:O1401" si="311">+IF(L1374&lt;10,_xlfn.CONCAT("0",L1374),L1374)</f>
        <v>01</v>
      </c>
      <c r="O1374" s="14" t="str">
        <f t="shared" si="311"/>
        <v>00</v>
      </c>
      <c r="R1374" s="6">
        <v>518</v>
      </c>
      <c r="S1374" s="5">
        <f t="shared" ref="S1374:S1401" si="312">IFERROR(P1374/R1374,"")</f>
        <v>0</v>
      </c>
    </row>
    <row r="1375" spans="1:22" hidden="1">
      <c r="J1375" s="1" t="str">
        <f t="shared" si="307"/>
        <v>0</v>
      </c>
      <c r="K1375" s="3">
        <f t="shared" si="308"/>
        <v>-100</v>
      </c>
      <c r="L1375" s="3">
        <f t="shared" si="309"/>
        <v>1</v>
      </c>
      <c r="M1375" s="3">
        <f t="shared" si="310"/>
        <v>0</v>
      </c>
      <c r="N1375" s="3" t="str">
        <f t="shared" si="311"/>
        <v>01</v>
      </c>
      <c r="O1375" s="14" t="str">
        <f t="shared" si="311"/>
        <v>00</v>
      </c>
      <c r="R1375" s="6">
        <v>518</v>
      </c>
      <c r="S1375" s="5">
        <f t="shared" si="312"/>
        <v>0</v>
      </c>
    </row>
    <row r="1376" spans="1:22" hidden="1">
      <c r="J1376" s="1" t="str">
        <f t="shared" si="307"/>
        <v>0</v>
      </c>
      <c r="K1376" s="3">
        <f t="shared" si="308"/>
        <v>-100</v>
      </c>
      <c r="L1376" s="3">
        <f t="shared" si="309"/>
        <v>1</v>
      </c>
      <c r="M1376" s="3">
        <f t="shared" si="310"/>
        <v>0</v>
      </c>
      <c r="N1376" s="3" t="str">
        <f t="shared" si="311"/>
        <v>01</v>
      </c>
      <c r="O1376" s="14" t="str">
        <f t="shared" si="311"/>
        <v>00</v>
      </c>
      <c r="P1376" s="11"/>
      <c r="R1376" s="6">
        <v>518</v>
      </c>
      <c r="S1376" s="5">
        <f t="shared" si="312"/>
        <v>0</v>
      </c>
    </row>
    <row r="1377" spans="1:22">
      <c r="A1377" s="3">
        <v>1364</v>
      </c>
      <c r="B1377" s="1">
        <f t="shared" ref="B1377:B1399" si="313">IF(G1377="-",0,IF(G1376=G1377,1,0))</f>
        <v>0</v>
      </c>
      <c r="C1377" s="1">
        <f t="shared" ref="C1377:C1399" si="314">+IF(G1377="-",0,IF(I1377=I1376+1,0,(IF(I1377=1,0,1))))</f>
        <v>1</v>
      </c>
      <c r="D1377" s="1">
        <f t="shared" ref="D1377:D1399" si="315">+IF(AND(P1377="",Q1377=""),1,0)</f>
        <v>0</v>
      </c>
      <c r="E1377" s="1">
        <f t="shared" ref="E1377:F1399" si="316">IF(U1377="",1,0)</f>
        <v>1</v>
      </c>
      <c r="F1377" s="1">
        <f t="shared" si="316"/>
        <v>0</v>
      </c>
      <c r="G1377" s="1" t="str">
        <f t="shared" ref="G1377:G1399" si="317">IF(H1377=0,"-",_xlfn.CONCAT(K1377,N1377,O1377,J1377))</f>
        <v>24072704</v>
      </c>
      <c r="H1377" s="2">
        <v>45500</v>
      </c>
      <c r="I1377" s="36">
        <v>4</v>
      </c>
      <c r="J1377" s="1" t="str">
        <f t="shared" si="307"/>
        <v>04</v>
      </c>
      <c r="K1377" s="3">
        <f t="shared" si="308"/>
        <v>24</v>
      </c>
      <c r="L1377" s="3">
        <f t="shared" si="309"/>
        <v>7</v>
      </c>
      <c r="M1377" s="3">
        <f t="shared" si="310"/>
        <v>27</v>
      </c>
      <c r="N1377" s="3" t="str">
        <f t="shared" si="311"/>
        <v>07</v>
      </c>
      <c r="O1377" s="14">
        <f t="shared" si="311"/>
        <v>27</v>
      </c>
      <c r="P1377" s="11">
        <v>102000</v>
      </c>
      <c r="R1377" s="6">
        <v>518</v>
      </c>
      <c r="S1377" s="5">
        <f t="shared" si="312"/>
        <v>196.91119691119692</v>
      </c>
      <c r="T1377" s="5" t="s">
        <v>523</v>
      </c>
      <c r="V1377" s="3" t="s">
        <v>5</v>
      </c>
    </row>
    <row r="1378" spans="1:22">
      <c r="A1378" s="3">
        <v>1365</v>
      </c>
      <c r="B1378" s="1">
        <f t="shared" si="313"/>
        <v>0</v>
      </c>
      <c r="C1378" s="1">
        <f t="shared" si="314"/>
        <v>0</v>
      </c>
      <c r="D1378" s="1">
        <f t="shared" si="315"/>
        <v>0</v>
      </c>
      <c r="E1378" s="1">
        <f t="shared" si="316"/>
        <v>1</v>
      </c>
      <c r="F1378" s="1">
        <f t="shared" si="316"/>
        <v>0</v>
      </c>
      <c r="G1378" s="1" t="str">
        <f t="shared" si="317"/>
        <v>24072705</v>
      </c>
      <c r="H1378" s="2">
        <v>45500</v>
      </c>
      <c r="I1378" s="36">
        <v>5</v>
      </c>
      <c r="J1378" s="1" t="str">
        <f t="shared" si="307"/>
        <v>05</v>
      </c>
      <c r="K1378" s="3">
        <f t="shared" si="308"/>
        <v>24</v>
      </c>
      <c r="L1378" s="3">
        <f t="shared" si="309"/>
        <v>7</v>
      </c>
      <c r="M1378" s="3">
        <f t="shared" si="310"/>
        <v>27</v>
      </c>
      <c r="N1378" s="3" t="str">
        <f t="shared" si="311"/>
        <v>07</v>
      </c>
      <c r="O1378" s="14">
        <f t="shared" si="311"/>
        <v>27</v>
      </c>
      <c r="P1378" s="11">
        <v>170000</v>
      </c>
      <c r="R1378" s="6">
        <v>518</v>
      </c>
      <c r="S1378" s="5">
        <f t="shared" si="312"/>
        <v>328.18532818532816</v>
      </c>
      <c r="T1378" s="5" t="s">
        <v>519</v>
      </c>
      <c r="V1378" s="3" t="s">
        <v>5</v>
      </c>
    </row>
    <row r="1379" spans="1:22">
      <c r="A1379" s="3">
        <v>1366</v>
      </c>
      <c r="B1379" s="1">
        <f t="shared" si="313"/>
        <v>0</v>
      </c>
      <c r="C1379" s="1">
        <f t="shared" si="314"/>
        <v>0</v>
      </c>
      <c r="D1379" s="1">
        <f t="shared" si="315"/>
        <v>0</v>
      </c>
      <c r="E1379" s="1">
        <f t="shared" si="316"/>
        <v>1</v>
      </c>
      <c r="F1379" s="1">
        <f t="shared" si="316"/>
        <v>0</v>
      </c>
      <c r="G1379" s="1" t="str">
        <f t="shared" si="317"/>
        <v>24072706</v>
      </c>
      <c r="H1379" s="2">
        <v>45500</v>
      </c>
      <c r="I1379" s="36">
        <v>6</v>
      </c>
      <c r="J1379" s="1" t="str">
        <f t="shared" si="307"/>
        <v>06</v>
      </c>
      <c r="K1379" s="3">
        <f t="shared" si="308"/>
        <v>24</v>
      </c>
      <c r="L1379" s="3">
        <f t="shared" si="309"/>
        <v>7</v>
      </c>
      <c r="M1379" s="3">
        <f t="shared" si="310"/>
        <v>27</v>
      </c>
      <c r="N1379" s="3" t="str">
        <f t="shared" si="311"/>
        <v>07</v>
      </c>
      <c r="O1379" s="14">
        <f t="shared" si="311"/>
        <v>27</v>
      </c>
      <c r="P1379" s="11">
        <v>115000</v>
      </c>
      <c r="R1379" s="6">
        <v>518</v>
      </c>
      <c r="S1379" s="5">
        <f t="shared" si="312"/>
        <v>222.00772200772201</v>
      </c>
      <c r="T1379" s="5" t="s">
        <v>522</v>
      </c>
      <c r="V1379" s="3" t="s">
        <v>5</v>
      </c>
    </row>
    <row r="1380" spans="1:22">
      <c r="A1380" s="3">
        <v>1367</v>
      </c>
      <c r="B1380" s="1">
        <f t="shared" si="313"/>
        <v>0</v>
      </c>
      <c r="C1380" s="1">
        <f t="shared" si="314"/>
        <v>0</v>
      </c>
      <c r="D1380" s="1">
        <f t="shared" si="315"/>
        <v>0</v>
      </c>
      <c r="E1380" s="1">
        <f t="shared" si="316"/>
        <v>1</v>
      </c>
      <c r="F1380" s="1">
        <f t="shared" si="316"/>
        <v>0</v>
      </c>
      <c r="G1380" s="1" t="str">
        <f t="shared" si="317"/>
        <v>24072707</v>
      </c>
      <c r="H1380" s="2">
        <v>45500</v>
      </c>
      <c r="I1380" s="36">
        <v>7</v>
      </c>
      <c r="J1380" s="1" t="str">
        <f t="shared" si="307"/>
        <v>07</v>
      </c>
      <c r="K1380" s="3">
        <f t="shared" si="308"/>
        <v>24</v>
      </c>
      <c r="L1380" s="3">
        <f t="shared" si="309"/>
        <v>7</v>
      </c>
      <c r="M1380" s="3">
        <f t="shared" si="310"/>
        <v>27</v>
      </c>
      <c r="N1380" s="3" t="str">
        <f t="shared" si="311"/>
        <v>07</v>
      </c>
      <c r="O1380" s="14">
        <f t="shared" si="311"/>
        <v>27</v>
      </c>
      <c r="P1380" s="11">
        <v>150000</v>
      </c>
      <c r="R1380" s="6">
        <v>518</v>
      </c>
      <c r="S1380" s="5">
        <f t="shared" si="312"/>
        <v>289.57528957528956</v>
      </c>
      <c r="T1380" s="5" t="s">
        <v>524</v>
      </c>
      <c r="V1380" s="3" t="s">
        <v>5</v>
      </c>
    </row>
    <row r="1381" spans="1:22">
      <c r="A1381" s="3">
        <v>1368</v>
      </c>
      <c r="B1381" s="1">
        <f t="shared" si="313"/>
        <v>0</v>
      </c>
      <c r="C1381" s="1">
        <f t="shared" si="314"/>
        <v>0</v>
      </c>
      <c r="D1381" s="1">
        <f t="shared" si="315"/>
        <v>0</v>
      </c>
      <c r="E1381" s="1">
        <f t="shared" si="316"/>
        <v>1</v>
      </c>
      <c r="F1381" s="1">
        <f t="shared" si="316"/>
        <v>0</v>
      </c>
      <c r="G1381" s="1" t="str">
        <f t="shared" si="317"/>
        <v>24072708</v>
      </c>
      <c r="H1381" s="2">
        <v>45500</v>
      </c>
      <c r="I1381" s="36">
        <v>8</v>
      </c>
      <c r="J1381" s="1" t="str">
        <f t="shared" si="307"/>
        <v>08</v>
      </c>
      <c r="K1381" s="3">
        <f t="shared" si="308"/>
        <v>24</v>
      </c>
      <c r="L1381" s="3">
        <f t="shared" si="309"/>
        <v>7</v>
      </c>
      <c r="M1381" s="3">
        <f t="shared" si="310"/>
        <v>27</v>
      </c>
      <c r="N1381" s="3" t="str">
        <f t="shared" si="311"/>
        <v>07</v>
      </c>
      <c r="O1381" s="14">
        <f t="shared" si="311"/>
        <v>27</v>
      </c>
      <c r="P1381" s="11">
        <f>230000*(1.16666666666667)</f>
        <v>268333.33333333413</v>
      </c>
      <c r="R1381" s="6">
        <v>518</v>
      </c>
      <c r="S1381" s="5">
        <f t="shared" si="312"/>
        <v>518.01801801801957</v>
      </c>
      <c r="T1381" s="5" t="s">
        <v>525</v>
      </c>
      <c r="V1381" s="3" t="s">
        <v>5</v>
      </c>
    </row>
    <row r="1382" spans="1:22">
      <c r="A1382" s="3">
        <v>1369</v>
      </c>
      <c r="B1382" s="1">
        <f t="shared" si="313"/>
        <v>0</v>
      </c>
      <c r="C1382" s="1">
        <f t="shared" si="314"/>
        <v>0</v>
      </c>
      <c r="D1382" s="1">
        <f t="shared" si="315"/>
        <v>0</v>
      </c>
      <c r="E1382" s="1">
        <f t="shared" si="316"/>
        <v>1</v>
      </c>
      <c r="F1382" s="1">
        <f t="shared" si="316"/>
        <v>0</v>
      </c>
      <c r="G1382" s="1" t="str">
        <f t="shared" si="317"/>
        <v>24072709</v>
      </c>
      <c r="H1382" s="2">
        <v>45500</v>
      </c>
      <c r="I1382" s="36">
        <v>9</v>
      </c>
      <c r="J1382" s="1" t="str">
        <f t="shared" si="307"/>
        <v>09</v>
      </c>
      <c r="K1382" s="3">
        <f t="shared" si="308"/>
        <v>24</v>
      </c>
      <c r="L1382" s="3">
        <f t="shared" si="309"/>
        <v>7</v>
      </c>
      <c r="M1382" s="3">
        <f t="shared" si="310"/>
        <v>27</v>
      </c>
      <c r="N1382" s="3" t="str">
        <f t="shared" si="311"/>
        <v>07</v>
      </c>
      <c r="O1382" s="14">
        <f t="shared" si="311"/>
        <v>27</v>
      </c>
      <c r="P1382" s="11">
        <v>90000</v>
      </c>
      <c r="R1382" s="6">
        <v>518</v>
      </c>
      <c r="S1382" s="5">
        <f t="shared" si="312"/>
        <v>173.74517374517376</v>
      </c>
      <c r="T1382" s="5" t="s">
        <v>526</v>
      </c>
      <c r="V1382" s="3" t="s">
        <v>5</v>
      </c>
    </row>
    <row r="1383" spans="1:22" hidden="1">
      <c r="J1383" s="1" t="str">
        <f t="shared" si="307"/>
        <v>0</v>
      </c>
      <c r="K1383" s="3">
        <f t="shared" si="308"/>
        <v>-100</v>
      </c>
      <c r="L1383" s="3">
        <f t="shared" si="309"/>
        <v>1</v>
      </c>
      <c r="M1383" s="3">
        <f t="shared" si="310"/>
        <v>0</v>
      </c>
      <c r="N1383" s="3" t="str">
        <f t="shared" si="311"/>
        <v>01</v>
      </c>
      <c r="O1383" s="14" t="str">
        <f t="shared" si="311"/>
        <v>00</v>
      </c>
      <c r="P1383" s="11"/>
      <c r="R1383" s="6">
        <v>518</v>
      </c>
      <c r="S1383" s="5">
        <f t="shared" si="312"/>
        <v>0</v>
      </c>
    </row>
    <row r="1384" spans="1:22" hidden="1">
      <c r="J1384" s="1" t="str">
        <f t="shared" si="307"/>
        <v>0</v>
      </c>
      <c r="K1384" s="3">
        <f t="shared" si="308"/>
        <v>-100</v>
      </c>
      <c r="L1384" s="3">
        <f t="shared" si="309"/>
        <v>1</v>
      </c>
      <c r="M1384" s="3">
        <f t="shared" si="310"/>
        <v>0</v>
      </c>
      <c r="N1384" s="3" t="str">
        <f t="shared" si="311"/>
        <v>01</v>
      </c>
      <c r="O1384" s="14" t="str">
        <f t="shared" si="311"/>
        <v>00</v>
      </c>
      <c r="P1384" s="11"/>
      <c r="R1384" s="6">
        <v>518</v>
      </c>
      <c r="S1384" s="5">
        <f t="shared" si="312"/>
        <v>0</v>
      </c>
    </row>
    <row r="1385" spans="1:22" hidden="1">
      <c r="J1385" s="1" t="str">
        <f t="shared" si="307"/>
        <v>0</v>
      </c>
      <c r="K1385" s="3">
        <f t="shared" si="308"/>
        <v>-100</v>
      </c>
      <c r="L1385" s="3">
        <f t="shared" si="309"/>
        <v>1</v>
      </c>
      <c r="M1385" s="3">
        <f t="shared" si="310"/>
        <v>0</v>
      </c>
      <c r="N1385" s="3" t="str">
        <f t="shared" si="311"/>
        <v>01</v>
      </c>
      <c r="O1385" s="14" t="str">
        <f t="shared" si="311"/>
        <v>00</v>
      </c>
      <c r="P1385" s="11"/>
      <c r="R1385" s="6">
        <v>518</v>
      </c>
      <c r="S1385" s="5">
        <f t="shared" si="312"/>
        <v>0</v>
      </c>
    </row>
    <row r="1386" spans="1:22" hidden="1">
      <c r="J1386" s="1" t="str">
        <f t="shared" si="307"/>
        <v>0</v>
      </c>
      <c r="K1386" s="3">
        <f t="shared" si="308"/>
        <v>-100</v>
      </c>
      <c r="L1386" s="3">
        <f t="shared" si="309"/>
        <v>1</v>
      </c>
      <c r="M1386" s="3">
        <f t="shared" si="310"/>
        <v>0</v>
      </c>
      <c r="N1386" s="3" t="str">
        <f t="shared" si="311"/>
        <v>01</v>
      </c>
      <c r="O1386" s="14" t="str">
        <f t="shared" si="311"/>
        <v>00</v>
      </c>
      <c r="P1386" s="11"/>
      <c r="R1386" s="6">
        <v>518</v>
      </c>
      <c r="S1386" s="5">
        <f t="shared" si="312"/>
        <v>0</v>
      </c>
    </row>
    <row r="1387" spans="1:22">
      <c r="A1387" s="3">
        <v>1374</v>
      </c>
      <c r="B1387" s="1">
        <f t="shared" si="313"/>
        <v>0</v>
      </c>
      <c r="C1387" s="1">
        <f t="shared" si="314"/>
        <v>1</v>
      </c>
      <c r="D1387" s="1">
        <f t="shared" si="315"/>
        <v>0</v>
      </c>
      <c r="E1387" s="1">
        <f t="shared" si="316"/>
        <v>1</v>
      </c>
      <c r="F1387" s="1">
        <f t="shared" si="316"/>
        <v>0</v>
      </c>
      <c r="G1387" s="1" t="str">
        <f t="shared" si="317"/>
        <v>24072714</v>
      </c>
      <c r="H1387" s="2">
        <v>45500</v>
      </c>
      <c r="I1387" s="36">
        <v>14</v>
      </c>
      <c r="J1387" s="1">
        <f t="shared" si="307"/>
        <v>14</v>
      </c>
      <c r="K1387" s="3">
        <f t="shared" si="308"/>
        <v>24</v>
      </c>
      <c r="L1387" s="3">
        <f t="shared" si="309"/>
        <v>7</v>
      </c>
      <c r="M1387" s="3">
        <f t="shared" si="310"/>
        <v>27</v>
      </c>
      <c r="N1387" s="3" t="str">
        <f t="shared" si="311"/>
        <v>07</v>
      </c>
      <c r="O1387" s="14">
        <f t="shared" si="311"/>
        <v>27</v>
      </c>
      <c r="P1387" s="11">
        <v>136000</v>
      </c>
      <c r="R1387" s="6">
        <v>518</v>
      </c>
      <c r="S1387" s="5">
        <f t="shared" si="312"/>
        <v>262.54826254826253</v>
      </c>
      <c r="T1387" s="5" t="s">
        <v>521</v>
      </c>
      <c r="V1387" s="3" t="s">
        <v>5</v>
      </c>
    </row>
    <row r="1388" spans="1:22" hidden="1">
      <c r="J1388" s="1" t="str">
        <f t="shared" si="307"/>
        <v>0</v>
      </c>
      <c r="K1388" s="3">
        <f t="shared" si="308"/>
        <v>-100</v>
      </c>
      <c r="L1388" s="3">
        <f t="shared" si="309"/>
        <v>1</v>
      </c>
      <c r="M1388" s="3">
        <f t="shared" si="310"/>
        <v>0</v>
      </c>
      <c r="N1388" s="3" t="str">
        <f t="shared" si="311"/>
        <v>01</v>
      </c>
      <c r="O1388" s="14" t="str">
        <f t="shared" si="311"/>
        <v>00</v>
      </c>
      <c r="P1388" s="11"/>
      <c r="R1388" s="6">
        <v>518</v>
      </c>
      <c r="S1388" s="5">
        <f t="shared" si="312"/>
        <v>0</v>
      </c>
    </row>
    <row r="1389" spans="1:22" hidden="1">
      <c r="J1389" s="1" t="str">
        <f t="shared" si="307"/>
        <v>0</v>
      </c>
      <c r="K1389" s="3">
        <f t="shared" si="308"/>
        <v>-100</v>
      </c>
      <c r="L1389" s="3">
        <f t="shared" si="309"/>
        <v>1</v>
      </c>
      <c r="M1389" s="3">
        <f t="shared" si="310"/>
        <v>0</v>
      </c>
      <c r="N1389" s="3" t="str">
        <f t="shared" si="311"/>
        <v>01</v>
      </c>
      <c r="O1389" s="14" t="str">
        <f t="shared" si="311"/>
        <v>00</v>
      </c>
      <c r="P1389" s="11"/>
      <c r="R1389" s="6">
        <v>518</v>
      </c>
      <c r="S1389" s="5">
        <f t="shared" si="312"/>
        <v>0</v>
      </c>
    </row>
    <row r="1390" spans="1:22" hidden="1">
      <c r="J1390" s="1" t="str">
        <f t="shared" si="307"/>
        <v>0</v>
      </c>
      <c r="K1390" s="3">
        <f t="shared" si="308"/>
        <v>-100</v>
      </c>
      <c r="L1390" s="3">
        <f t="shared" si="309"/>
        <v>1</v>
      </c>
      <c r="M1390" s="3">
        <f t="shared" si="310"/>
        <v>0</v>
      </c>
      <c r="N1390" s="3" t="str">
        <f t="shared" si="311"/>
        <v>01</v>
      </c>
      <c r="O1390" s="14" t="str">
        <f t="shared" si="311"/>
        <v>00</v>
      </c>
      <c r="P1390" s="11"/>
      <c r="R1390" s="6">
        <v>518</v>
      </c>
      <c r="S1390" s="5">
        <f t="shared" si="312"/>
        <v>0</v>
      </c>
    </row>
    <row r="1391" spans="1:22" hidden="1">
      <c r="J1391" s="1" t="str">
        <f t="shared" si="307"/>
        <v>0</v>
      </c>
      <c r="K1391" s="3">
        <f t="shared" si="308"/>
        <v>-100</v>
      </c>
      <c r="L1391" s="3">
        <f t="shared" si="309"/>
        <v>1</v>
      </c>
      <c r="M1391" s="3">
        <f t="shared" si="310"/>
        <v>0</v>
      </c>
      <c r="N1391" s="3" t="str">
        <f t="shared" si="311"/>
        <v>01</v>
      </c>
      <c r="O1391" s="14" t="str">
        <f t="shared" si="311"/>
        <v>00</v>
      </c>
      <c r="P1391" s="11"/>
      <c r="R1391" s="6">
        <v>518</v>
      </c>
      <c r="S1391" s="5">
        <f t="shared" si="312"/>
        <v>0</v>
      </c>
    </row>
    <row r="1392" spans="1:22" hidden="1">
      <c r="J1392" s="1" t="str">
        <f t="shared" si="307"/>
        <v>0</v>
      </c>
      <c r="K1392" s="3">
        <f t="shared" si="308"/>
        <v>-100</v>
      </c>
      <c r="L1392" s="3">
        <f t="shared" si="309"/>
        <v>1</v>
      </c>
      <c r="M1392" s="3">
        <f t="shared" si="310"/>
        <v>0</v>
      </c>
      <c r="N1392" s="3" t="str">
        <f t="shared" si="311"/>
        <v>01</v>
      </c>
      <c r="O1392" s="14" t="str">
        <f t="shared" si="311"/>
        <v>00</v>
      </c>
      <c r="P1392" s="11"/>
      <c r="R1392" s="6">
        <v>518</v>
      </c>
      <c r="S1392" s="5">
        <f t="shared" si="312"/>
        <v>0</v>
      </c>
    </row>
    <row r="1393" spans="1:22" hidden="1">
      <c r="J1393" s="1" t="str">
        <f t="shared" si="307"/>
        <v>0</v>
      </c>
      <c r="K1393" s="3">
        <f t="shared" si="308"/>
        <v>-100</v>
      </c>
      <c r="L1393" s="3">
        <f t="shared" si="309"/>
        <v>1</v>
      </c>
      <c r="M1393" s="3">
        <f t="shared" si="310"/>
        <v>0</v>
      </c>
      <c r="N1393" s="3" t="str">
        <f t="shared" si="311"/>
        <v>01</v>
      </c>
      <c r="O1393" s="14" t="str">
        <f t="shared" si="311"/>
        <v>00</v>
      </c>
      <c r="P1393" s="11"/>
      <c r="R1393" s="6">
        <v>518</v>
      </c>
      <c r="S1393" s="5">
        <f t="shared" si="312"/>
        <v>0</v>
      </c>
    </row>
    <row r="1394" spans="1:22" hidden="1">
      <c r="J1394" s="1" t="str">
        <f t="shared" si="307"/>
        <v>0</v>
      </c>
      <c r="K1394" s="3">
        <f t="shared" si="308"/>
        <v>-100</v>
      </c>
      <c r="L1394" s="3">
        <f t="shared" si="309"/>
        <v>1</v>
      </c>
      <c r="M1394" s="3">
        <f t="shared" si="310"/>
        <v>0</v>
      </c>
      <c r="N1394" s="3" t="str">
        <f t="shared" si="311"/>
        <v>01</v>
      </c>
      <c r="O1394" s="14" t="str">
        <f t="shared" si="311"/>
        <v>00</v>
      </c>
      <c r="P1394" s="11"/>
      <c r="R1394" s="6">
        <v>518</v>
      </c>
      <c r="S1394" s="5">
        <f t="shared" si="312"/>
        <v>0</v>
      </c>
    </row>
    <row r="1395" spans="1:22">
      <c r="A1395" s="3">
        <v>1382</v>
      </c>
      <c r="B1395" s="1">
        <f t="shared" si="313"/>
        <v>0</v>
      </c>
      <c r="C1395" s="1">
        <f t="shared" si="314"/>
        <v>1</v>
      </c>
      <c r="D1395" s="1">
        <f t="shared" si="315"/>
        <v>0</v>
      </c>
      <c r="E1395" s="1">
        <f t="shared" si="316"/>
        <v>1</v>
      </c>
      <c r="F1395" s="1">
        <f t="shared" si="316"/>
        <v>0</v>
      </c>
      <c r="G1395" s="1" t="str">
        <f t="shared" si="317"/>
        <v>24072722</v>
      </c>
      <c r="H1395" s="2">
        <v>45500</v>
      </c>
      <c r="I1395" s="36">
        <v>22</v>
      </c>
      <c r="J1395" s="1">
        <f t="shared" si="307"/>
        <v>22</v>
      </c>
      <c r="K1395" s="3">
        <f t="shared" si="308"/>
        <v>24</v>
      </c>
      <c r="L1395" s="3">
        <f t="shared" si="309"/>
        <v>7</v>
      </c>
      <c r="M1395" s="3">
        <f t="shared" si="310"/>
        <v>27</v>
      </c>
      <c r="N1395" s="3" t="str">
        <f t="shared" si="311"/>
        <v>07</v>
      </c>
      <c r="O1395" s="14">
        <f t="shared" si="311"/>
        <v>27</v>
      </c>
      <c r="P1395" s="11">
        <v>136000</v>
      </c>
      <c r="R1395" s="6">
        <v>518</v>
      </c>
      <c r="S1395" s="5">
        <f t="shared" si="312"/>
        <v>262.54826254826253</v>
      </c>
      <c r="T1395" s="5" t="s">
        <v>520</v>
      </c>
      <c r="V1395" s="3" t="s">
        <v>5</v>
      </c>
    </row>
    <row r="1396" spans="1:22" hidden="1">
      <c r="J1396" s="1" t="str">
        <f t="shared" si="307"/>
        <v>0</v>
      </c>
      <c r="K1396" s="3">
        <f t="shared" si="308"/>
        <v>-100</v>
      </c>
      <c r="L1396" s="3">
        <f t="shared" si="309"/>
        <v>1</v>
      </c>
      <c r="M1396" s="3">
        <f t="shared" si="310"/>
        <v>0</v>
      </c>
      <c r="N1396" s="3" t="str">
        <f t="shared" si="311"/>
        <v>01</v>
      </c>
      <c r="O1396" s="14" t="str">
        <f t="shared" si="311"/>
        <v>00</v>
      </c>
      <c r="P1396" s="11"/>
      <c r="R1396" s="6">
        <v>518</v>
      </c>
      <c r="S1396" s="5">
        <f t="shared" si="312"/>
        <v>0</v>
      </c>
    </row>
    <row r="1397" spans="1:22" hidden="1">
      <c r="J1397" s="1" t="str">
        <f t="shared" si="307"/>
        <v>0</v>
      </c>
      <c r="K1397" s="3">
        <f t="shared" si="308"/>
        <v>-100</v>
      </c>
      <c r="L1397" s="3">
        <f t="shared" si="309"/>
        <v>1</v>
      </c>
      <c r="M1397" s="3">
        <f t="shared" si="310"/>
        <v>0</v>
      </c>
      <c r="N1397" s="3" t="str">
        <f t="shared" si="311"/>
        <v>01</v>
      </c>
      <c r="O1397" s="14" t="str">
        <f t="shared" si="311"/>
        <v>00</v>
      </c>
      <c r="P1397" s="11"/>
      <c r="R1397" s="6">
        <v>518</v>
      </c>
      <c r="S1397" s="5">
        <f t="shared" si="312"/>
        <v>0</v>
      </c>
    </row>
    <row r="1398" spans="1:22" hidden="1">
      <c r="J1398" s="1" t="str">
        <f t="shared" si="307"/>
        <v>0</v>
      </c>
      <c r="K1398" s="3">
        <f t="shared" si="308"/>
        <v>-100</v>
      </c>
      <c r="L1398" s="3">
        <f t="shared" si="309"/>
        <v>1</v>
      </c>
      <c r="M1398" s="3">
        <f t="shared" si="310"/>
        <v>0</v>
      </c>
      <c r="N1398" s="3" t="str">
        <f t="shared" si="311"/>
        <v>01</v>
      </c>
      <c r="O1398" s="14" t="str">
        <f t="shared" si="311"/>
        <v>00</v>
      </c>
      <c r="P1398" s="11"/>
      <c r="R1398" s="6">
        <v>518</v>
      </c>
      <c r="S1398" s="5">
        <f t="shared" si="312"/>
        <v>0</v>
      </c>
    </row>
    <row r="1399" spans="1:22">
      <c r="A1399" s="3">
        <v>1386</v>
      </c>
      <c r="B1399" s="1">
        <f t="shared" si="313"/>
        <v>0</v>
      </c>
      <c r="C1399" s="1">
        <f t="shared" si="314"/>
        <v>1</v>
      </c>
      <c r="D1399" s="1">
        <f t="shared" si="315"/>
        <v>0</v>
      </c>
      <c r="E1399" s="1">
        <f t="shared" si="316"/>
        <v>1</v>
      </c>
      <c r="F1399" s="1">
        <f t="shared" si="316"/>
        <v>0</v>
      </c>
      <c r="G1399" s="1" t="str">
        <f t="shared" si="317"/>
        <v>24072726</v>
      </c>
      <c r="H1399" s="2">
        <v>45500</v>
      </c>
      <c r="I1399" s="36">
        <v>26</v>
      </c>
      <c r="J1399" s="1">
        <f t="shared" si="307"/>
        <v>26</v>
      </c>
      <c r="K1399" s="3">
        <f t="shared" si="308"/>
        <v>24</v>
      </c>
      <c r="L1399" s="3">
        <f t="shared" si="309"/>
        <v>7</v>
      </c>
      <c r="M1399" s="3">
        <f t="shared" si="310"/>
        <v>27</v>
      </c>
      <c r="N1399" s="3" t="str">
        <f t="shared" si="311"/>
        <v>07</v>
      </c>
      <c r="O1399" s="14">
        <f t="shared" si="311"/>
        <v>27</v>
      </c>
      <c r="P1399" s="11">
        <f>12*3*532</f>
        <v>19152</v>
      </c>
      <c r="R1399" s="6">
        <v>518</v>
      </c>
      <c r="S1399" s="5">
        <f t="shared" si="312"/>
        <v>36.972972972972975</v>
      </c>
      <c r="T1399" s="5" t="s">
        <v>532</v>
      </c>
      <c r="V1399" s="3" t="s">
        <v>5</v>
      </c>
    </row>
    <row r="1400" spans="1:22" hidden="1">
      <c r="J1400" s="1" t="str">
        <f t="shared" si="307"/>
        <v>0</v>
      </c>
      <c r="K1400" s="3">
        <f t="shared" si="308"/>
        <v>-100</v>
      </c>
      <c r="L1400" s="3">
        <f t="shared" si="309"/>
        <v>1</v>
      </c>
      <c r="M1400" s="3">
        <f t="shared" si="310"/>
        <v>0</v>
      </c>
      <c r="N1400" s="3" t="str">
        <f t="shared" si="311"/>
        <v>01</v>
      </c>
      <c r="O1400" s="14" t="str">
        <f t="shared" si="311"/>
        <v>00</v>
      </c>
      <c r="R1400" s="6">
        <v>518</v>
      </c>
      <c r="S1400" s="5">
        <f t="shared" si="312"/>
        <v>0</v>
      </c>
    </row>
    <row r="1401" spans="1:22" hidden="1">
      <c r="J1401" s="1" t="str">
        <f t="shared" si="307"/>
        <v>0</v>
      </c>
      <c r="K1401" s="3">
        <f t="shared" si="308"/>
        <v>-100</v>
      </c>
      <c r="L1401" s="3">
        <f t="shared" si="309"/>
        <v>1</v>
      </c>
      <c r="M1401" s="3">
        <f t="shared" si="310"/>
        <v>0</v>
      </c>
      <c r="N1401" s="3" t="str">
        <f t="shared" si="311"/>
        <v>01</v>
      </c>
      <c r="O1401" s="14" t="str">
        <f t="shared" si="311"/>
        <v>00</v>
      </c>
      <c r="R1401" s="6">
        <v>518</v>
      </c>
      <c r="S1401" s="5">
        <f t="shared" si="312"/>
        <v>0</v>
      </c>
    </row>
    <row r="1402" spans="1:22" hidden="1"/>
    <row r="1403" spans="1:22" hidden="1">
      <c r="J1403" s="1" t="str">
        <f t="shared" ref="J1403:J1466" si="318">+IF(I1403&lt;10,_xlfn.CONCAT("0",I1403),I1403)</f>
        <v>0</v>
      </c>
      <c r="K1403" s="3">
        <f t="shared" ref="K1403:K1466" si="319">+YEAR(H1403)-2000</f>
        <v>-100</v>
      </c>
      <c r="L1403" s="3">
        <f t="shared" ref="L1403:L1466" si="320">+MONTH(H1403)</f>
        <v>1</v>
      </c>
      <c r="M1403" s="3">
        <f t="shared" ref="M1403:M1466" si="321">+DAY(H1403)</f>
        <v>0</v>
      </c>
      <c r="N1403" s="3" t="str">
        <f t="shared" ref="N1403:O1434" si="322">+IF(L1403&lt;10,_xlfn.CONCAT("0",L1403),L1403)</f>
        <v>01</v>
      </c>
      <c r="O1403" s="14" t="str">
        <f t="shared" si="322"/>
        <v>00</v>
      </c>
      <c r="R1403" s="6">
        <v>518</v>
      </c>
      <c r="S1403" s="5">
        <f t="shared" ref="S1403:S1431" si="323">IFERROR(P1403/R1403,"")</f>
        <v>0</v>
      </c>
    </row>
    <row r="1404" spans="1:22" hidden="1">
      <c r="J1404" s="1" t="str">
        <f t="shared" si="318"/>
        <v>0</v>
      </c>
      <c r="K1404" s="3">
        <f t="shared" si="319"/>
        <v>-100</v>
      </c>
      <c r="L1404" s="3">
        <f t="shared" si="320"/>
        <v>1</v>
      </c>
      <c r="M1404" s="3">
        <f t="shared" si="321"/>
        <v>0</v>
      </c>
      <c r="N1404" s="3" t="str">
        <f t="shared" si="322"/>
        <v>01</v>
      </c>
      <c r="O1404" s="14" t="str">
        <f t="shared" si="322"/>
        <v>00</v>
      </c>
      <c r="R1404" s="6">
        <v>518</v>
      </c>
      <c r="S1404" s="5">
        <f t="shared" si="323"/>
        <v>0</v>
      </c>
    </row>
    <row r="1405" spans="1:22" hidden="1">
      <c r="J1405" s="1" t="str">
        <f t="shared" si="318"/>
        <v>0</v>
      </c>
      <c r="K1405" s="3">
        <f t="shared" si="319"/>
        <v>-100</v>
      </c>
      <c r="L1405" s="3">
        <f t="shared" si="320"/>
        <v>1</v>
      </c>
      <c r="M1405" s="3">
        <f t="shared" si="321"/>
        <v>0</v>
      </c>
      <c r="N1405" s="3" t="str">
        <f t="shared" si="322"/>
        <v>01</v>
      </c>
      <c r="O1405" s="14" t="str">
        <f t="shared" si="322"/>
        <v>00</v>
      </c>
      <c r="R1405" s="6">
        <v>518</v>
      </c>
      <c r="S1405" s="5">
        <f t="shared" si="323"/>
        <v>0</v>
      </c>
    </row>
    <row r="1406" spans="1:22" hidden="1">
      <c r="J1406" s="1" t="str">
        <f t="shared" si="318"/>
        <v>0</v>
      </c>
      <c r="K1406" s="3">
        <f t="shared" si="319"/>
        <v>-100</v>
      </c>
      <c r="L1406" s="3">
        <f t="shared" si="320"/>
        <v>1</v>
      </c>
      <c r="M1406" s="3">
        <f t="shared" si="321"/>
        <v>0</v>
      </c>
      <c r="N1406" s="3" t="str">
        <f t="shared" si="322"/>
        <v>01</v>
      </c>
      <c r="O1406" s="14" t="str">
        <f t="shared" si="322"/>
        <v>00</v>
      </c>
      <c r="R1406" s="6">
        <v>518</v>
      </c>
      <c r="S1406" s="5">
        <f t="shared" si="323"/>
        <v>0</v>
      </c>
    </row>
    <row r="1407" spans="1:22" hidden="1">
      <c r="J1407" s="1" t="str">
        <f t="shared" si="318"/>
        <v>0</v>
      </c>
      <c r="K1407" s="3">
        <f t="shared" si="319"/>
        <v>-100</v>
      </c>
      <c r="L1407" s="3">
        <f t="shared" si="320"/>
        <v>1</v>
      </c>
      <c r="M1407" s="3">
        <f t="shared" si="321"/>
        <v>0</v>
      </c>
      <c r="N1407" s="3" t="str">
        <f t="shared" si="322"/>
        <v>01</v>
      </c>
      <c r="O1407" s="14" t="str">
        <f t="shared" si="322"/>
        <v>00</v>
      </c>
      <c r="R1407" s="6">
        <v>518</v>
      </c>
      <c r="S1407" s="5">
        <f t="shared" si="323"/>
        <v>0</v>
      </c>
    </row>
    <row r="1408" spans="1:22" hidden="1">
      <c r="J1408" s="1" t="str">
        <f t="shared" si="318"/>
        <v>0</v>
      </c>
      <c r="K1408" s="3">
        <f t="shared" si="319"/>
        <v>-100</v>
      </c>
      <c r="L1408" s="3">
        <f t="shared" si="320"/>
        <v>1</v>
      </c>
      <c r="M1408" s="3">
        <f t="shared" si="321"/>
        <v>0</v>
      </c>
      <c r="N1408" s="3" t="str">
        <f t="shared" si="322"/>
        <v>01</v>
      </c>
      <c r="O1408" s="14" t="str">
        <f t="shared" si="322"/>
        <v>00</v>
      </c>
      <c r="R1408" s="6">
        <v>518</v>
      </c>
      <c r="S1408" s="5">
        <f t="shared" si="323"/>
        <v>0</v>
      </c>
    </row>
    <row r="1409" spans="1:22" hidden="1">
      <c r="J1409" s="1" t="str">
        <f t="shared" si="318"/>
        <v>0</v>
      </c>
      <c r="K1409" s="3">
        <f t="shared" si="319"/>
        <v>-100</v>
      </c>
      <c r="L1409" s="3">
        <f t="shared" si="320"/>
        <v>1</v>
      </c>
      <c r="M1409" s="3">
        <f t="shared" si="321"/>
        <v>0</v>
      </c>
      <c r="N1409" s="3" t="str">
        <f t="shared" si="322"/>
        <v>01</v>
      </c>
      <c r="O1409" s="14" t="str">
        <f t="shared" si="322"/>
        <v>00</v>
      </c>
      <c r="R1409" s="6">
        <v>518</v>
      </c>
      <c r="S1409" s="5">
        <f t="shared" si="323"/>
        <v>0</v>
      </c>
    </row>
    <row r="1410" spans="1:22" hidden="1">
      <c r="J1410" s="1" t="str">
        <f t="shared" si="318"/>
        <v>0</v>
      </c>
      <c r="K1410" s="3">
        <f t="shared" si="319"/>
        <v>-100</v>
      </c>
      <c r="L1410" s="3">
        <f t="shared" si="320"/>
        <v>1</v>
      </c>
      <c r="M1410" s="3">
        <f t="shared" si="321"/>
        <v>0</v>
      </c>
      <c r="N1410" s="3" t="str">
        <f t="shared" si="322"/>
        <v>01</v>
      </c>
      <c r="O1410" s="14" t="str">
        <f t="shared" si="322"/>
        <v>00</v>
      </c>
      <c r="R1410" s="6">
        <v>518</v>
      </c>
      <c r="S1410" s="5">
        <f t="shared" si="323"/>
        <v>0</v>
      </c>
    </row>
    <row r="1411" spans="1:22" hidden="1">
      <c r="J1411" s="1" t="str">
        <f t="shared" si="318"/>
        <v>0</v>
      </c>
      <c r="K1411" s="3">
        <f t="shared" si="319"/>
        <v>-100</v>
      </c>
      <c r="L1411" s="3">
        <f t="shared" si="320"/>
        <v>1</v>
      </c>
      <c r="M1411" s="3">
        <f t="shared" si="321"/>
        <v>0</v>
      </c>
      <c r="N1411" s="3" t="str">
        <f t="shared" si="322"/>
        <v>01</v>
      </c>
      <c r="O1411" s="14" t="str">
        <f t="shared" si="322"/>
        <v>00</v>
      </c>
      <c r="R1411" s="6">
        <v>518</v>
      </c>
      <c r="S1411" s="5">
        <f t="shared" si="323"/>
        <v>0</v>
      </c>
    </row>
    <row r="1412" spans="1:22" hidden="1">
      <c r="J1412" s="1" t="str">
        <f t="shared" si="318"/>
        <v>0</v>
      </c>
      <c r="K1412" s="3">
        <f t="shared" si="319"/>
        <v>-100</v>
      </c>
      <c r="L1412" s="3">
        <f t="shared" si="320"/>
        <v>1</v>
      </c>
      <c r="M1412" s="3">
        <f t="shared" si="321"/>
        <v>0</v>
      </c>
      <c r="N1412" s="3" t="str">
        <f t="shared" si="322"/>
        <v>01</v>
      </c>
      <c r="O1412" s="14" t="str">
        <f t="shared" si="322"/>
        <v>00</v>
      </c>
      <c r="R1412" s="6">
        <v>518</v>
      </c>
      <c r="S1412" s="5">
        <f t="shared" si="323"/>
        <v>0</v>
      </c>
    </row>
    <row r="1413" spans="1:22" hidden="1">
      <c r="J1413" s="1" t="str">
        <f t="shared" si="318"/>
        <v>0</v>
      </c>
      <c r="K1413" s="3">
        <f t="shared" si="319"/>
        <v>-100</v>
      </c>
      <c r="L1413" s="3">
        <f t="shared" si="320"/>
        <v>1</v>
      </c>
      <c r="M1413" s="3">
        <f t="shared" si="321"/>
        <v>0</v>
      </c>
      <c r="N1413" s="3" t="str">
        <f t="shared" si="322"/>
        <v>01</v>
      </c>
      <c r="O1413" s="14" t="str">
        <f t="shared" si="322"/>
        <v>00</v>
      </c>
      <c r="R1413" s="6">
        <v>518</v>
      </c>
      <c r="S1413" s="5">
        <f t="shared" si="323"/>
        <v>0</v>
      </c>
    </row>
    <row r="1414" spans="1:22" hidden="1">
      <c r="J1414" s="1" t="str">
        <f t="shared" si="318"/>
        <v>0</v>
      </c>
      <c r="K1414" s="3">
        <f t="shared" si="319"/>
        <v>-100</v>
      </c>
      <c r="L1414" s="3">
        <f t="shared" si="320"/>
        <v>1</v>
      </c>
      <c r="M1414" s="3">
        <f t="shared" si="321"/>
        <v>0</v>
      </c>
      <c r="N1414" s="3" t="str">
        <f t="shared" si="322"/>
        <v>01</v>
      </c>
      <c r="O1414" s="14" t="str">
        <f t="shared" si="322"/>
        <v>00</v>
      </c>
      <c r="R1414" s="6">
        <v>518</v>
      </c>
      <c r="S1414" s="5">
        <f t="shared" si="323"/>
        <v>0</v>
      </c>
    </row>
    <row r="1415" spans="1:22" hidden="1">
      <c r="J1415" s="1" t="str">
        <f t="shared" si="318"/>
        <v>0</v>
      </c>
      <c r="K1415" s="3">
        <f t="shared" si="319"/>
        <v>-100</v>
      </c>
      <c r="L1415" s="3">
        <f t="shared" si="320"/>
        <v>1</v>
      </c>
      <c r="M1415" s="3">
        <f t="shared" si="321"/>
        <v>0</v>
      </c>
      <c r="N1415" s="3" t="str">
        <f t="shared" si="322"/>
        <v>01</v>
      </c>
      <c r="O1415" s="14" t="str">
        <f t="shared" si="322"/>
        <v>00</v>
      </c>
      <c r="R1415" s="6">
        <v>518</v>
      </c>
      <c r="S1415" s="5">
        <f t="shared" si="323"/>
        <v>0</v>
      </c>
    </row>
    <row r="1416" spans="1:22" hidden="1">
      <c r="J1416" s="1" t="str">
        <f t="shared" si="318"/>
        <v>0</v>
      </c>
      <c r="K1416" s="3">
        <f t="shared" si="319"/>
        <v>-100</v>
      </c>
      <c r="L1416" s="3">
        <f t="shared" si="320"/>
        <v>1</v>
      </c>
      <c r="M1416" s="3">
        <f t="shared" si="321"/>
        <v>0</v>
      </c>
      <c r="N1416" s="3" t="str">
        <f t="shared" si="322"/>
        <v>01</v>
      </c>
      <c r="O1416" s="14" t="str">
        <f t="shared" si="322"/>
        <v>00</v>
      </c>
      <c r="R1416" s="6">
        <v>518</v>
      </c>
      <c r="S1416" s="5">
        <f t="shared" si="323"/>
        <v>0</v>
      </c>
    </row>
    <row r="1417" spans="1:22" hidden="1">
      <c r="J1417" s="1" t="str">
        <f t="shared" si="318"/>
        <v>0</v>
      </c>
      <c r="K1417" s="3">
        <f t="shared" si="319"/>
        <v>-100</v>
      </c>
      <c r="L1417" s="3">
        <f t="shared" si="320"/>
        <v>1</v>
      </c>
      <c r="M1417" s="3">
        <f t="shared" si="321"/>
        <v>0</v>
      </c>
      <c r="N1417" s="3" t="str">
        <f t="shared" si="322"/>
        <v>01</v>
      </c>
      <c r="O1417" s="14" t="str">
        <f t="shared" si="322"/>
        <v>00</v>
      </c>
      <c r="R1417" s="6">
        <v>518</v>
      </c>
      <c r="S1417" s="5">
        <f t="shared" si="323"/>
        <v>0</v>
      </c>
    </row>
    <row r="1418" spans="1:22">
      <c r="A1418" s="3">
        <v>1404</v>
      </c>
      <c r="B1418" s="1">
        <f t="shared" ref="B1418" si="324">IF(G1418="-",0,IF(G1417=G1418,1,0))</f>
        <v>0</v>
      </c>
      <c r="C1418" s="1">
        <f t="shared" ref="C1418" si="325">+IF(G1418="-",0,IF(I1418=I1417+1,0,(IF(I1418=1,0,1))))</f>
        <v>1</v>
      </c>
      <c r="D1418" s="1">
        <f t="shared" ref="D1418" si="326">+IF(AND(P1418="",Q1418=""),1,0)</f>
        <v>0</v>
      </c>
      <c r="E1418" s="1">
        <f t="shared" ref="E1418:F1418" si="327">IF(U1418="",1,0)</f>
        <v>1</v>
      </c>
      <c r="F1418" s="1">
        <f t="shared" si="327"/>
        <v>0</v>
      </c>
      <c r="G1418" s="1" t="str">
        <f t="shared" ref="G1418" si="328">IF(H1418=0,"-",_xlfn.CONCAT(K1418,N1418,O1418,J1418))</f>
        <v>24072909</v>
      </c>
      <c r="H1418" s="2">
        <v>45502</v>
      </c>
      <c r="I1418" s="36">
        <v>9</v>
      </c>
      <c r="J1418" s="1" t="str">
        <f t="shared" si="318"/>
        <v>09</v>
      </c>
      <c r="K1418" s="3">
        <f t="shared" si="319"/>
        <v>24</v>
      </c>
      <c r="L1418" s="3">
        <f t="shared" si="320"/>
        <v>7</v>
      </c>
      <c r="M1418" s="3">
        <f t="shared" si="321"/>
        <v>29</v>
      </c>
      <c r="N1418" s="3" t="str">
        <f t="shared" si="322"/>
        <v>07</v>
      </c>
      <c r="O1418" s="14">
        <f t="shared" si="322"/>
        <v>29</v>
      </c>
      <c r="P1418" s="4">
        <v>47400</v>
      </c>
      <c r="R1418" s="6">
        <v>518</v>
      </c>
      <c r="S1418" s="5">
        <f t="shared" si="323"/>
        <v>91.505791505791507</v>
      </c>
      <c r="T1418" s="5" t="s">
        <v>786</v>
      </c>
      <c r="V1418" s="3" t="s">
        <v>5</v>
      </c>
    </row>
    <row r="1419" spans="1:22" hidden="1">
      <c r="J1419" s="1" t="str">
        <f t="shared" si="318"/>
        <v>0</v>
      </c>
      <c r="K1419" s="3">
        <f t="shared" si="319"/>
        <v>-100</v>
      </c>
      <c r="L1419" s="3">
        <f t="shared" si="320"/>
        <v>1</v>
      </c>
      <c r="M1419" s="3">
        <f t="shared" si="321"/>
        <v>0</v>
      </c>
      <c r="N1419" s="3" t="str">
        <f t="shared" si="322"/>
        <v>01</v>
      </c>
      <c r="O1419" s="14" t="str">
        <f t="shared" si="322"/>
        <v>00</v>
      </c>
      <c r="S1419" s="5" t="str">
        <f t="shared" si="323"/>
        <v/>
      </c>
    </row>
    <row r="1420" spans="1:22" hidden="1">
      <c r="J1420" s="1" t="str">
        <f t="shared" si="318"/>
        <v>0</v>
      </c>
      <c r="K1420" s="3">
        <f t="shared" si="319"/>
        <v>-100</v>
      </c>
      <c r="L1420" s="3">
        <f t="shared" si="320"/>
        <v>1</v>
      </c>
      <c r="M1420" s="3">
        <f t="shared" si="321"/>
        <v>0</v>
      </c>
      <c r="N1420" s="3" t="str">
        <f t="shared" si="322"/>
        <v>01</v>
      </c>
      <c r="O1420" s="14" t="str">
        <f t="shared" si="322"/>
        <v>00</v>
      </c>
      <c r="S1420" s="5" t="str">
        <f t="shared" si="323"/>
        <v/>
      </c>
    </row>
    <row r="1421" spans="1:22" hidden="1">
      <c r="J1421" s="1" t="str">
        <f t="shared" si="318"/>
        <v>0</v>
      </c>
      <c r="K1421" s="3">
        <f t="shared" si="319"/>
        <v>-100</v>
      </c>
      <c r="L1421" s="3">
        <f t="shared" si="320"/>
        <v>1</v>
      </c>
      <c r="M1421" s="3">
        <f t="shared" si="321"/>
        <v>0</v>
      </c>
      <c r="N1421" s="3" t="str">
        <f t="shared" si="322"/>
        <v>01</v>
      </c>
      <c r="O1421" s="14" t="str">
        <f t="shared" si="322"/>
        <v>00</v>
      </c>
      <c r="S1421" s="5" t="str">
        <f t="shared" si="323"/>
        <v/>
      </c>
    </row>
    <row r="1422" spans="1:22" hidden="1">
      <c r="J1422" s="1" t="str">
        <f t="shared" si="318"/>
        <v>0</v>
      </c>
      <c r="K1422" s="3">
        <f t="shared" si="319"/>
        <v>-100</v>
      </c>
      <c r="L1422" s="3">
        <f t="shared" si="320"/>
        <v>1</v>
      </c>
      <c r="M1422" s="3">
        <f t="shared" si="321"/>
        <v>0</v>
      </c>
      <c r="N1422" s="3" t="str">
        <f t="shared" si="322"/>
        <v>01</v>
      </c>
      <c r="O1422" s="14" t="str">
        <f t="shared" si="322"/>
        <v>00</v>
      </c>
      <c r="S1422" s="5" t="str">
        <f t="shared" si="323"/>
        <v/>
      </c>
    </row>
    <row r="1423" spans="1:22" hidden="1">
      <c r="J1423" s="1" t="str">
        <f t="shared" si="318"/>
        <v>0</v>
      </c>
      <c r="K1423" s="3">
        <f t="shared" si="319"/>
        <v>-100</v>
      </c>
      <c r="L1423" s="3">
        <f t="shared" si="320"/>
        <v>1</v>
      </c>
      <c r="M1423" s="3">
        <f t="shared" si="321"/>
        <v>0</v>
      </c>
      <c r="N1423" s="3" t="str">
        <f t="shared" si="322"/>
        <v>01</v>
      </c>
      <c r="O1423" s="14" t="str">
        <f t="shared" si="322"/>
        <v>00</v>
      </c>
      <c r="S1423" s="5" t="str">
        <f t="shared" si="323"/>
        <v/>
      </c>
    </row>
    <row r="1424" spans="1:22" hidden="1">
      <c r="J1424" s="1" t="str">
        <f t="shared" si="318"/>
        <v>0</v>
      </c>
      <c r="K1424" s="3">
        <f t="shared" si="319"/>
        <v>-100</v>
      </c>
      <c r="L1424" s="3">
        <f t="shared" si="320"/>
        <v>1</v>
      </c>
      <c r="M1424" s="3">
        <f t="shared" si="321"/>
        <v>0</v>
      </c>
      <c r="N1424" s="3" t="str">
        <f t="shared" si="322"/>
        <v>01</v>
      </c>
      <c r="O1424" s="14" t="str">
        <f t="shared" si="322"/>
        <v>00</v>
      </c>
      <c r="S1424" s="5" t="str">
        <f t="shared" si="323"/>
        <v/>
      </c>
    </row>
    <row r="1425" spans="10:19" hidden="1">
      <c r="J1425" s="1" t="str">
        <f t="shared" si="318"/>
        <v>0</v>
      </c>
      <c r="K1425" s="3">
        <f t="shared" si="319"/>
        <v>-100</v>
      </c>
      <c r="L1425" s="3">
        <f t="shared" si="320"/>
        <v>1</v>
      </c>
      <c r="M1425" s="3">
        <f t="shared" si="321"/>
        <v>0</v>
      </c>
      <c r="N1425" s="3" t="str">
        <f t="shared" si="322"/>
        <v>01</v>
      </c>
      <c r="O1425" s="14" t="str">
        <f t="shared" si="322"/>
        <v>00</v>
      </c>
      <c r="S1425" s="5" t="str">
        <f t="shared" si="323"/>
        <v/>
      </c>
    </row>
    <row r="1426" spans="10:19" hidden="1">
      <c r="J1426" s="1" t="str">
        <f t="shared" si="318"/>
        <v>0</v>
      </c>
      <c r="K1426" s="3">
        <f t="shared" si="319"/>
        <v>-100</v>
      </c>
      <c r="L1426" s="3">
        <f t="shared" si="320"/>
        <v>1</v>
      </c>
      <c r="M1426" s="3">
        <f t="shared" si="321"/>
        <v>0</v>
      </c>
      <c r="N1426" s="3" t="str">
        <f t="shared" si="322"/>
        <v>01</v>
      </c>
      <c r="O1426" s="14" t="str">
        <f t="shared" si="322"/>
        <v>00</v>
      </c>
      <c r="S1426" s="5" t="str">
        <f t="shared" si="323"/>
        <v/>
      </c>
    </row>
    <row r="1427" spans="10:19" hidden="1">
      <c r="J1427" s="1" t="str">
        <f t="shared" si="318"/>
        <v>0</v>
      </c>
      <c r="K1427" s="3">
        <f t="shared" si="319"/>
        <v>-100</v>
      </c>
      <c r="L1427" s="3">
        <f t="shared" si="320"/>
        <v>1</v>
      </c>
      <c r="M1427" s="3">
        <f t="shared" si="321"/>
        <v>0</v>
      </c>
      <c r="N1427" s="3" t="str">
        <f t="shared" si="322"/>
        <v>01</v>
      </c>
      <c r="O1427" s="14" t="str">
        <f t="shared" si="322"/>
        <v>00</v>
      </c>
      <c r="S1427" s="5" t="str">
        <f t="shared" si="323"/>
        <v/>
      </c>
    </row>
    <row r="1428" spans="10:19" hidden="1">
      <c r="J1428" s="1" t="str">
        <f t="shared" si="318"/>
        <v>0</v>
      </c>
      <c r="K1428" s="3">
        <f t="shared" si="319"/>
        <v>-100</v>
      </c>
      <c r="L1428" s="3">
        <f t="shared" si="320"/>
        <v>1</v>
      </c>
      <c r="M1428" s="3">
        <f t="shared" si="321"/>
        <v>0</v>
      </c>
      <c r="N1428" s="3" t="str">
        <f t="shared" si="322"/>
        <v>01</v>
      </c>
      <c r="O1428" s="14" t="str">
        <f t="shared" si="322"/>
        <v>00</v>
      </c>
      <c r="S1428" s="5" t="str">
        <f t="shared" si="323"/>
        <v/>
      </c>
    </row>
    <row r="1429" spans="10:19" hidden="1">
      <c r="J1429" s="1" t="str">
        <f t="shared" si="318"/>
        <v>0</v>
      </c>
      <c r="K1429" s="3">
        <f t="shared" si="319"/>
        <v>-100</v>
      </c>
      <c r="L1429" s="3">
        <f t="shared" si="320"/>
        <v>1</v>
      </c>
      <c r="M1429" s="3">
        <f t="shared" si="321"/>
        <v>0</v>
      </c>
      <c r="N1429" s="3" t="str">
        <f t="shared" si="322"/>
        <v>01</v>
      </c>
      <c r="O1429" s="14" t="str">
        <f t="shared" si="322"/>
        <v>00</v>
      </c>
      <c r="S1429" s="5" t="str">
        <f t="shared" si="323"/>
        <v/>
      </c>
    </row>
    <row r="1430" spans="10:19" hidden="1">
      <c r="J1430" s="1" t="str">
        <f t="shared" si="318"/>
        <v>0</v>
      </c>
      <c r="K1430" s="3">
        <f t="shared" si="319"/>
        <v>-100</v>
      </c>
      <c r="L1430" s="3">
        <f t="shared" si="320"/>
        <v>1</v>
      </c>
      <c r="M1430" s="3">
        <f t="shared" si="321"/>
        <v>0</v>
      </c>
      <c r="N1430" s="3" t="str">
        <f t="shared" si="322"/>
        <v>01</v>
      </c>
      <c r="O1430" s="14" t="str">
        <f t="shared" si="322"/>
        <v>00</v>
      </c>
      <c r="S1430" s="5" t="str">
        <f t="shared" si="323"/>
        <v/>
      </c>
    </row>
    <row r="1431" spans="10:19" hidden="1">
      <c r="J1431" s="1" t="str">
        <f t="shared" si="318"/>
        <v>0</v>
      </c>
      <c r="K1431" s="3">
        <f t="shared" si="319"/>
        <v>-100</v>
      </c>
      <c r="L1431" s="3">
        <f t="shared" si="320"/>
        <v>1</v>
      </c>
      <c r="M1431" s="3">
        <f t="shared" si="321"/>
        <v>0</v>
      </c>
      <c r="N1431" s="3" t="str">
        <f t="shared" si="322"/>
        <v>01</v>
      </c>
      <c r="O1431" s="14" t="str">
        <f t="shared" si="322"/>
        <v>00</v>
      </c>
      <c r="S1431" s="5" t="str">
        <f t="shared" si="323"/>
        <v/>
      </c>
    </row>
    <row r="1432" spans="10:19" hidden="1">
      <c r="J1432" s="1" t="str">
        <f t="shared" si="318"/>
        <v>0</v>
      </c>
      <c r="K1432" s="3">
        <f t="shared" si="319"/>
        <v>-100</v>
      </c>
      <c r="L1432" s="3">
        <f t="shared" si="320"/>
        <v>1</v>
      </c>
      <c r="M1432" s="3">
        <f t="shared" si="321"/>
        <v>0</v>
      </c>
      <c r="N1432" s="3" t="str">
        <f t="shared" si="322"/>
        <v>01</v>
      </c>
      <c r="O1432" s="14" t="str">
        <f t="shared" si="322"/>
        <v>00</v>
      </c>
    </row>
    <row r="1433" spans="10:19" hidden="1">
      <c r="J1433" s="1" t="str">
        <f t="shared" si="318"/>
        <v>0</v>
      </c>
      <c r="K1433" s="3">
        <f t="shared" si="319"/>
        <v>-100</v>
      </c>
      <c r="L1433" s="3">
        <f t="shared" si="320"/>
        <v>1</v>
      </c>
      <c r="M1433" s="3">
        <f t="shared" si="321"/>
        <v>0</v>
      </c>
      <c r="N1433" s="3" t="str">
        <f t="shared" si="322"/>
        <v>01</v>
      </c>
      <c r="O1433" s="14" t="str">
        <f t="shared" si="322"/>
        <v>00</v>
      </c>
      <c r="R1433" s="6">
        <v>516</v>
      </c>
      <c r="S1433" s="5">
        <f t="shared" ref="S1433:S1472" si="329">IFERROR(P1433/R1433,"")</f>
        <v>0</v>
      </c>
    </row>
    <row r="1434" spans="10:19" hidden="1">
      <c r="J1434" s="1" t="str">
        <f t="shared" si="318"/>
        <v>0</v>
      </c>
      <c r="K1434" s="3">
        <f t="shared" si="319"/>
        <v>-100</v>
      </c>
      <c r="L1434" s="3">
        <f t="shared" si="320"/>
        <v>1</v>
      </c>
      <c r="M1434" s="3">
        <f t="shared" si="321"/>
        <v>0</v>
      </c>
      <c r="N1434" s="3" t="str">
        <f t="shared" si="322"/>
        <v>01</v>
      </c>
      <c r="O1434" s="14" t="str">
        <f t="shared" si="322"/>
        <v>00</v>
      </c>
      <c r="R1434" s="6">
        <v>516</v>
      </c>
      <c r="S1434" s="5">
        <f t="shared" si="329"/>
        <v>0</v>
      </c>
    </row>
    <row r="1435" spans="10:19" hidden="1">
      <c r="J1435" s="1" t="str">
        <f t="shared" si="318"/>
        <v>0</v>
      </c>
      <c r="K1435" s="3">
        <f t="shared" si="319"/>
        <v>-100</v>
      </c>
      <c r="L1435" s="3">
        <f t="shared" si="320"/>
        <v>1</v>
      </c>
      <c r="M1435" s="3">
        <f t="shared" si="321"/>
        <v>0</v>
      </c>
      <c r="N1435" s="3" t="str">
        <f t="shared" ref="N1435:O1466" si="330">+IF(L1435&lt;10,_xlfn.CONCAT("0",L1435),L1435)</f>
        <v>01</v>
      </c>
      <c r="O1435" s="14" t="str">
        <f t="shared" si="330"/>
        <v>00</v>
      </c>
      <c r="R1435" s="6">
        <v>516</v>
      </c>
      <c r="S1435" s="5">
        <f t="shared" si="329"/>
        <v>0</v>
      </c>
    </row>
    <row r="1436" spans="10:19" hidden="1">
      <c r="J1436" s="1" t="str">
        <f t="shared" si="318"/>
        <v>0</v>
      </c>
      <c r="K1436" s="3">
        <f t="shared" si="319"/>
        <v>-100</v>
      </c>
      <c r="L1436" s="3">
        <f t="shared" si="320"/>
        <v>1</v>
      </c>
      <c r="M1436" s="3">
        <f t="shared" si="321"/>
        <v>0</v>
      </c>
      <c r="N1436" s="3" t="str">
        <f t="shared" si="330"/>
        <v>01</v>
      </c>
      <c r="O1436" s="14" t="str">
        <f t="shared" si="330"/>
        <v>00</v>
      </c>
      <c r="R1436" s="6">
        <v>516</v>
      </c>
      <c r="S1436" s="5">
        <f t="shared" si="329"/>
        <v>0</v>
      </c>
    </row>
    <row r="1437" spans="10:19" hidden="1">
      <c r="J1437" s="1" t="str">
        <f t="shared" si="318"/>
        <v>0</v>
      </c>
      <c r="K1437" s="3">
        <f t="shared" si="319"/>
        <v>-100</v>
      </c>
      <c r="L1437" s="3">
        <f t="shared" si="320"/>
        <v>1</v>
      </c>
      <c r="M1437" s="3">
        <f t="shared" si="321"/>
        <v>0</v>
      </c>
      <c r="N1437" s="3" t="str">
        <f t="shared" si="330"/>
        <v>01</v>
      </c>
      <c r="O1437" s="14" t="str">
        <f t="shared" si="330"/>
        <v>00</v>
      </c>
      <c r="R1437" s="6">
        <v>516</v>
      </c>
      <c r="S1437" s="5">
        <f t="shared" si="329"/>
        <v>0</v>
      </c>
    </row>
    <row r="1438" spans="10:19" hidden="1">
      <c r="J1438" s="1" t="str">
        <f t="shared" si="318"/>
        <v>0</v>
      </c>
      <c r="K1438" s="3">
        <f t="shared" si="319"/>
        <v>-100</v>
      </c>
      <c r="L1438" s="3">
        <f t="shared" si="320"/>
        <v>1</v>
      </c>
      <c r="M1438" s="3">
        <f t="shared" si="321"/>
        <v>0</v>
      </c>
      <c r="N1438" s="3" t="str">
        <f t="shared" si="330"/>
        <v>01</v>
      </c>
      <c r="O1438" s="14" t="str">
        <f t="shared" si="330"/>
        <v>00</v>
      </c>
      <c r="R1438" s="6">
        <v>516</v>
      </c>
      <c r="S1438" s="5">
        <f t="shared" si="329"/>
        <v>0</v>
      </c>
    </row>
    <row r="1439" spans="10:19" hidden="1">
      <c r="J1439" s="1" t="str">
        <f t="shared" si="318"/>
        <v>0</v>
      </c>
      <c r="K1439" s="3">
        <f t="shared" si="319"/>
        <v>-100</v>
      </c>
      <c r="L1439" s="3">
        <f t="shared" si="320"/>
        <v>1</v>
      </c>
      <c r="M1439" s="3">
        <f t="shared" si="321"/>
        <v>0</v>
      </c>
      <c r="N1439" s="3" t="str">
        <f t="shared" si="330"/>
        <v>01</v>
      </c>
      <c r="O1439" s="14" t="str">
        <f t="shared" si="330"/>
        <v>00</v>
      </c>
      <c r="R1439" s="6">
        <v>516</v>
      </c>
      <c r="S1439" s="5">
        <f t="shared" si="329"/>
        <v>0</v>
      </c>
    </row>
    <row r="1440" spans="10:19" hidden="1">
      <c r="J1440" s="1" t="str">
        <f t="shared" si="318"/>
        <v>0</v>
      </c>
      <c r="K1440" s="3">
        <f t="shared" si="319"/>
        <v>-100</v>
      </c>
      <c r="L1440" s="3">
        <f t="shared" si="320"/>
        <v>1</v>
      </c>
      <c r="M1440" s="3">
        <f t="shared" si="321"/>
        <v>0</v>
      </c>
      <c r="N1440" s="3" t="str">
        <f t="shared" si="330"/>
        <v>01</v>
      </c>
      <c r="O1440" s="14" t="str">
        <f t="shared" si="330"/>
        <v>00</v>
      </c>
      <c r="R1440" s="6">
        <v>516</v>
      </c>
      <c r="S1440" s="5">
        <f t="shared" si="329"/>
        <v>0</v>
      </c>
    </row>
    <row r="1441" spans="1:22" hidden="1">
      <c r="J1441" s="1" t="str">
        <f t="shared" si="318"/>
        <v>0</v>
      </c>
      <c r="K1441" s="3">
        <f t="shared" si="319"/>
        <v>-100</v>
      </c>
      <c r="L1441" s="3">
        <f t="shared" si="320"/>
        <v>1</v>
      </c>
      <c r="M1441" s="3">
        <f t="shared" si="321"/>
        <v>0</v>
      </c>
      <c r="N1441" s="3" t="str">
        <f t="shared" si="330"/>
        <v>01</v>
      </c>
      <c r="O1441" s="14" t="str">
        <f t="shared" si="330"/>
        <v>00</v>
      </c>
      <c r="R1441" s="6">
        <v>516</v>
      </c>
      <c r="S1441" s="5">
        <f t="shared" si="329"/>
        <v>0</v>
      </c>
    </row>
    <row r="1442" spans="1:22">
      <c r="A1442" s="3">
        <v>1428</v>
      </c>
      <c r="B1442" s="1">
        <f t="shared" ref="B1442:B1496" si="331">IF(G1442="-",0,IF(G1441=G1442,1,0))</f>
        <v>0</v>
      </c>
      <c r="C1442" s="1">
        <f t="shared" ref="C1442:C1496" si="332">+IF(G1442="-",0,IF(I1442=I1441+1,0,(IF(I1442=1,0,1))))</f>
        <v>1</v>
      </c>
      <c r="D1442" s="1">
        <f t="shared" ref="D1442:D1496" si="333">+IF(AND(P1442="",Q1442=""),1,0)</f>
        <v>0</v>
      </c>
      <c r="E1442" s="1">
        <f t="shared" ref="E1442:F1469" si="334">IF(U1442="",1,0)</f>
        <v>0</v>
      </c>
      <c r="F1442" s="1">
        <f t="shared" si="334"/>
        <v>0</v>
      </c>
      <c r="G1442" s="1" t="str">
        <f t="shared" ref="G1442:G1496" si="335">IF(H1442=0,"-",_xlfn.CONCAT(K1442,N1442,O1442,J1442))</f>
        <v>24080110</v>
      </c>
      <c r="H1442" s="2">
        <v>45505</v>
      </c>
      <c r="I1442" s="36">
        <v>10</v>
      </c>
      <c r="J1442" s="1">
        <f t="shared" si="318"/>
        <v>10</v>
      </c>
      <c r="K1442" s="3">
        <f t="shared" si="319"/>
        <v>24</v>
      </c>
      <c r="L1442" s="3">
        <f t="shared" si="320"/>
        <v>8</v>
      </c>
      <c r="M1442" s="3">
        <f t="shared" si="321"/>
        <v>1</v>
      </c>
      <c r="N1442" s="3" t="str">
        <f t="shared" si="330"/>
        <v>08</v>
      </c>
      <c r="O1442" s="14" t="str">
        <f t="shared" si="330"/>
        <v>01</v>
      </c>
      <c r="P1442" s="4">
        <v>14751</v>
      </c>
      <c r="S1442" s="5" t="str">
        <f t="shared" si="329"/>
        <v/>
      </c>
      <c r="T1442" s="5" t="s">
        <v>788</v>
      </c>
      <c r="U1442" s="3" t="s">
        <v>29</v>
      </c>
      <c r="V1442" s="3" t="s">
        <v>5</v>
      </c>
    </row>
    <row r="1443" spans="1:22" hidden="1">
      <c r="J1443" s="1" t="str">
        <f t="shared" si="318"/>
        <v>0</v>
      </c>
      <c r="K1443" s="3">
        <f t="shared" si="319"/>
        <v>-100</v>
      </c>
      <c r="L1443" s="3">
        <f t="shared" si="320"/>
        <v>1</v>
      </c>
      <c r="M1443" s="3">
        <f t="shared" si="321"/>
        <v>0</v>
      </c>
      <c r="N1443" s="3" t="str">
        <f t="shared" si="330"/>
        <v>01</v>
      </c>
      <c r="O1443" s="14" t="str">
        <f t="shared" si="330"/>
        <v>00</v>
      </c>
      <c r="R1443" s="6">
        <v>516</v>
      </c>
      <c r="S1443" s="5">
        <f t="shared" si="329"/>
        <v>0</v>
      </c>
    </row>
    <row r="1444" spans="1:22" hidden="1">
      <c r="J1444" s="1" t="str">
        <f t="shared" si="318"/>
        <v>0</v>
      </c>
      <c r="K1444" s="3">
        <f t="shared" si="319"/>
        <v>-100</v>
      </c>
      <c r="L1444" s="3">
        <f t="shared" si="320"/>
        <v>1</v>
      </c>
      <c r="M1444" s="3">
        <f t="shared" si="321"/>
        <v>0</v>
      </c>
      <c r="N1444" s="3" t="str">
        <f t="shared" si="330"/>
        <v>01</v>
      </c>
      <c r="O1444" s="14" t="str">
        <f t="shared" si="330"/>
        <v>00</v>
      </c>
      <c r="R1444" s="6">
        <v>516</v>
      </c>
      <c r="S1444" s="5">
        <f t="shared" si="329"/>
        <v>0</v>
      </c>
    </row>
    <row r="1445" spans="1:22" hidden="1">
      <c r="J1445" s="1" t="str">
        <f t="shared" si="318"/>
        <v>0</v>
      </c>
      <c r="K1445" s="3">
        <f t="shared" si="319"/>
        <v>-100</v>
      </c>
      <c r="L1445" s="3">
        <f t="shared" si="320"/>
        <v>1</v>
      </c>
      <c r="M1445" s="3">
        <f t="shared" si="321"/>
        <v>0</v>
      </c>
      <c r="N1445" s="3" t="str">
        <f t="shared" si="330"/>
        <v>01</v>
      </c>
      <c r="O1445" s="14" t="str">
        <f t="shared" si="330"/>
        <v>00</v>
      </c>
      <c r="R1445" s="6">
        <v>516</v>
      </c>
      <c r="S1445" s="5">
        <f t="shared" si="329"/>
        <v>0</v>
      </c>
    </row>
    <row r="1446" spans="1:22" hidden="1">
      <c r="J1446" s="1" t="str">
        <f t="shared" si="318"/>
        <v>0</v>
      </c>
      <c r="K1446" s="3">
        <f t="shared" si="319"/>
        <v>-100</v>
      </c>
      <c r="L1446" s="3">
        <f t="shared" si="320"/>
        <v>1</v>
      </c>
      <c r="M1446" s="3">
        <f t="shared" si="321"/>
        <v>0</v>
      </c>
      <c r="N1446" s="3" t="str">
        <f t="shared" si="330"/>
        <v>01</v>
      </c>
      <c r="O1446" s="14" t="str">
        <f t="shared" si="330"/>
        <v>00</v>
      </c>
      <c r="P1446" s="11"/>
      <c r="R1446" s="6">
        <v>516</v>
      </c>
      <c r="S1446" s="5">
        <f t="shared" si="329"/>
        <v>0</v>
      </c>
    </row>
    <row r="1447" spans="1:22">
      <c r="A1447" s="3">
        <v>1433</v>
      </c>
      <c r="B1447" s="1">
        <f t="shared" si="331"/>
        <v>0</v>
      </c>
      <c r="C1447" s="1">
        <f t="shared" si="332"/>
        <v>1</v>
      </c>
      <c r="D1447" s="1">
        <f t="shared" si="333"/>
        <v>0</v>
      </c>
      <c r="E1447" s="1">
        <f t="shared" si="334"/>
        <v>0</v>
      </c>
      <c r="F1447" s="1">
        <f t="shared" si="334"/>
        <v>0</v>
      </c>
      <c r="G1447" s="1" t="str">
        <f t="shared" si="335"/>
        <v>24080302</v>
      </c>
      <c r="H1447" s="2">
        <v>45507</v>
      </c>
      <c r="I1447" s="36">
        <v>2</v>
      </c>
      <c r="J1447" s="1" t="str">
        <f t="shared" si="318"/>
        <v>02</v>
      </c>
      <c r="K1447" s="3">
        <f t="shared" si="319"/>
        <v>24</v>
      </c>
      <c r="L1447" s="3">
        <f t="shared" si="320"/>
        <v>8</v>
      </c>
      <c r="M1447" s="3">
        <f t="shared" si="321"/>
        <v>3</v>
      </c>
      <c r="N1447" s="3" t="str">
        <f t="shared" si="330"/>
        <v>08</v>
      </c>
      <c r="O1447" s="14" t="str">
        <f t="shared" si="330"/>
        <v>03</v>
      </c>
      <c r="P1447" s="11">
        <v>102000</v>
      </c>
      <c r="R1447" s="6">
        <v>516</v>
      </c>
      <c r="S1447" s="5">
        <f t="shared" si="329"/>
        <v>197.67441860465115</v>
      </c>
      <c r="T1447" s="5" t="s">
        <v>558</v>
      </c>
      <c r="U1447" s="3" t="s">
        <v>1</v>
      </c>
      <c r="V1447" s="3" t="s">
        <v>5</v>
      </c>
    </row>
    <row r="1448" spans="1:22" hidden="1">
      <c r="J1448" s="1" t="str">
        <f t="shared" si="318"/>
        <v>0</v>
      </c>
      <c r="K1448" s="3">
        <f t="shared" si="319"/>
        <v>-100</v>
      </c>
      <c r="L1448" s="3">
        <f t="shared" si="320"/>
        <v>1</v>
      </c>
      <c r="M1448" s="3">
        <f t="shared" si="321"/>
        <v>0</v>
      </c>
      <c r="N1448" s="3" t="str">
        <f t="shared" si="330"/>
        <v>01</v>
      </c>
      <c r="O1448" s="14" t="str">
        <f t="shared" si="330"/>
        <v>00</v>
      </c>
      <c r="P1448" s="11"/>
      <c r="R1448" s="6">
        <v>516</v>
      </c>
      <c r="S1448" s="5">
        <f t="shared" si="329"/>
        <v>0</v>
      </c>
    </row>
    <row r="1449" spans="1:22">
      <c r="A1449" s="3">
        <v>1435</v>
      </c>
      <c r="B1449" s="1">
        <f t="shared" si="331"/>
        <v>0</v>
      </c>
      <c r="C1449" s="1">
        <f t="shared" si="332"/>
        <v>1</v>
      </c>
      <c r="D1449" s="1">
        <f t="shared" si="333"/>
        <v>0</v>
      </c>
      <c r="E1449" s="1">
        <f t="shared" si="334"/>
        <v>0</v>
      </c>
      <c r="F1449" s="1">
        <f t="shared" si="334"/>
        <v>0</v>
      </c>
      <c r="G1449" s="1" t="str">
        <f t="shared" si="335"/>
        <v>24080304</v>
      </c>
      <c r="H1449" s="2">
        <v>45507</v>
      </c>
      <c r="I1449" s="36">
        <v>4</v>
      </c>
      <c r="J1449" s="1" t="str">
        <f t="shared" si="318"/>
        <v>04</v>
      </c>
      <c r="K1449" s="3">
        <f t="shared" si="319"/>
        <v>24</v>
      </c>
      <c r="L1449" s="3">
        <f t="shared" si="320"/>
        <v>8</v>
      </c>
      <c r="M1449" s="3">
        <f t="shared" si="321"/>
        <v>3</v>
      </c>
      <c r="N1449" s="3" t="str">
        <f t="shared" si="330"/>
        <v>08</v>
      </c>
      <c r="O1449" s="14" t="str">
        <f t="shared" si="330"/>
        <v>03</v>
      </c>
      <c r="P1449" s="11">
        <v>150000</v>
      </c>
      <c r="R1449" s="6">
        <v>516</v>
      </c>
      <c r="S1449" s="5">
        <f t="shared" si="329"/>
        <v>290.69767441860466</v>
      </c>
      <c r="T1449" s="5" t="s">
        <v>559</v>
      </c>
      <c r="U1449" s="3" t="s">
        <v>1</v>
      </c>
      <c r="V1449" s="3" t="s">
        <v>5</v>
      </c>
    </row>
    <row r="1450" spans="1:22">
      <c r="A1450" s="3">
        <v>1436</v>
      </c>
      <c r="B1450" s="1">
        <f t="shared" si="331"/>
        <v>0</v>
      </c>
      <c r="C1450" s="1">
        <f t="shared" si="332"/>
        <v>0</v>
      </c>
      <c r="D1450" s="1">
        <f t="shared" si="333"/>
        <v>0</v>
      </c>
      <c r="E1450" s="1">
        <f t="shared" si="334"/>
        <v>0</v>
      </c>
      <c r="F1450" s="1">
        <f t="shared" si="334"/>
        <v>0</v>
      </c>
      <c r="G1450" s="1" t="str">
        <f t="shared" si="335"/>
        <v>24080305</v>
      </c>
      <c r="H1450" s="2">
        <v>45507</v>
      </c>
      <c r="I1450" s="36">
        <v>5</v>
      </c>
      <c r="J1450" s="1" t="str">
        <f t="shared" si="318"/>
        <v>05</v>
      </c>
      <c r="K1450" s="3">
        <f t="shared" si="319"/>
        <v>24</v>
      </c>
      <c r="L1450" s="3">
        <f t="shared" si="320"/>
        <v>8</v>
      </c>
      <c r="M1450" s="3">
        <f t="shared" si="321"/>
        <v>3</v>
      </c>
      <c r="N1450" s="3" t="str">
        <f t="shared" si="330"/>
        <v>08</v>
      </c>
      <c r="O1450" s="14" t="str">
        <f t="shared" si="330"/>
        <v>03</v>
      </c>
      <c r="P1450" s="11">
        <v>150000</v>
      </c>
      <c r="R1450" s="6">
        <v>516</v>
      </c>
      <c r="S1450" s="5">
        <f t="shared" si="329"/>
        <v>290.69767441860466</v>
      </c>
      <c r="T1450" s="5" t="s">
        <v>555</v>
      </c>
      <c r="U1450" s="3" t="s">
        <v>1</v>
      </c>
      <c r="V1450" s="3" t="s">
        <v>5</v>
      </c>
    </row>
    <row r="1451" spans="1:22">
      <c r="A1451" s="3">
        <v>1437</v>
      </c>
      <c r="B1451" s="1">
        <f t="shared" si="331"/>
        <v>0</v>
      </c>
      <c r="C1451" s="1">
        <f t="shared" si="332"/>
        <v>0</v>
      </c>
      <c r="D1451" s="1">
        <f t="shared" si="333"/>
        <v>0</v>
      </c>
      <c r="E1451" s="1">
        <f t="shared" si="334"/>
        <v>0</v>
      </c>
      <c r="F1451" s="1">
        <f t="shared" si="334"/>
        <v>0</v>
      </c>
      <c r="G1451" s="1" t="str">
        <f t="shared" si="335"/>
        <v>24080306</v>
      </c>
      <c r="H1451" s="2">
        <v>45507</v>
      </c>
      <c r="I1451" s="36">
        <v>6</v>
      </c>
      <c r="J1451" s="1" t="str">
        <f t="shared" si="318"/>
        <v>06</v>
      </c>
      <c r="K1451" s="3">
        <f t="shared" si="319"/>
        <v>24</v>
      </c>
      <c r="L1451" s="3">
        <f t="shared" si="320"/>
        <v>8</v>
      </c>
      <c r="M1451" s="3">
        <f t="shared" si="321"/>
        <v>3</v>
      </c>
      <c r="N1451" s="3" t="str">
        <f t="shared" si="330"/>
        <v>08</v>
      </c>
      <c r="O1451" s="14" t="str">
        <f t="shared" si="330"/>
        <v>03</v>
      </c>
      <c r="P1451" s="11">
        <v>120000</v>
      </c>
      <c r="R1451" s="6">
        <v>516</v>
      </c>
      <c r="S1451" s="5">
        <f t="shared" si="329"/>
        <v>232.55813953488371</v>
      </c>
      <c r="T1451" s="5" t="s">
        <v>556</v>
      </c>
      <c r="U1451" s="3" t="s">
        <v>1</v>
      </c>
      <c r="V1451" s="3" t="s">
        <v>5</v>
      </c>
    </row>
    <row r="1452" spans="1:22">
      <c r="A1452" s="3">
        <v>1438</v>
      </c>
      <c r="B1452" s="1">
        <f t="shared" si="331"/>
        <v>0</v>
      </c>
      <c r="C1452" s="1">
        <f t="shared" si="332"/>
        <v>0</v>
      </c>
      <c r="D1452" s="1">
        <f t="shared" si="333"/>
        <v>0</v>
      </c>
      <c r="E1452" s="1">
        <f t="shared" si="334"/>
        <v>0</v>
      </c>
      <c r="F1452" s="1">
        <f t="shared" si="334"/>
        <v>0</v>
      </c>
      <c r="G1452" s="1" t="str">
        <f t="shared" si="335"/>
        <v>24080307</v>
      </c>
      <c r="H1452" s="2">
        <v>45507</v>
      </c>
      <c r="I1452" s="36">
        <v>7</v>
      </c>
      <c r="J1452" s="1" t="str">
        <f t="shared" si="318"/>
        <v>07</v>
      </c>
      <c r="K1452" s="3">
        <f t="shared" si="319"/>
        <v>24</v>
      </c>
      <c r="L1452" s="3">
        <f t="shared" si="320"/>
        <v>8</v>
      </c>
      <c r="M1452" s="3">
        <f t="shared" si="321"/>
        <v>3</v>
      </c>
      <c r="N1452" s="3" t="str">
        <f t="shared" si="330"/>
        <v>08</v>
      </c>
      <c r="O1452" s="14" t="str">
        <f t="shared" si="330"/>
        <v>03</v>
      </c>
      <c r="P1452" s="11">
        <v>102000</v>
      </c>
      <c r="R1452" s="6">
        <v>516</v>
      </c>
      <c r="S1452" s="5">
        <f t="shared" si="329"/>
        <v>197.67441860465115</v>
      </c>
      <c r="T1452" s="5" t="s">
        <v>557</v>
      </c>
      <c r="U1452" s="3" t="s">
        <v>1</v>
      </c>
      <c r="V1452" s="3" t="s">
        <v>5</v>
      </c>
    </row>
    <row r="1453" spans="1:22" hidden="1">
      <c r="J1453" s="1" t="str">
        <f t="shared" si="318"/>
        <v>0</v>
      </c>
      <c r="K1453" s="3">
        <f t="shared" si="319"/>
        <v>-100</v>
      </c>
      <c r="L1453" s="3">
        <f t="shared" si="320"/>
        <v>1</v>
      </c>
      <c r="M1453" s="3">
        <f t="shared" si="321"/>
        <v>0</v>
      </c>
      <c r="N1453" s="3" t="str">
        <f t="shared" si="330"/>
        <v>01</v>
      </c>
      <c r="O1453" s="14" t="str">
        <f t="shared" si="330"/>
        <v>00</v>
      </c>
      <c r="P1453" s="11"/>
      <c r="R1453" s="6">
        <v>516</v>
      </c>
      <c r="S1453" s="5">
        <f t="shared" si="329"/>
        <v>0</v>
      </c>
    </row>
    <row r="1454" spans="1:22" hidden="1">
      <c r="J1454" s="1" t="str">
        <f t="shared" si="318"/>
        <v>0</v>
      </c>
      <c r="K1454" s="3">
        <f t="shared" si="319"/>
        <v>-100</v>
      </c>
      <c r="L1454" s="3">
        <f t="shared" si="320"/>
        <v>1</v>
      </c>
      <c r="M1454" s="3">
        <f t="shared" si="321"/>
        <v>0</v>
      </c>
      <c r="N1454" s="3" t="str">
        <f t="shared" si="330"/>
        <v>01</v>
      </c>
      <c r="O1454" s="14" t="str">
        <f t="shared" si="330"/>
        <v>00</v>
      </c>
      <c r="P1454" s="11"/>
      <c r="R1454" s="6">
        <v>516</v>
      </c>
      <c r="S1454" s="5">
        <f t="shared" si="329"/>
        <v>0</v>
      </c>
    </row>
    <row r="1455" spans="1:22" hidden="1">
      <c r="J1455" s="1" t="str">
        <f t="shared" si="318"/>
        <v>0</v>
      </c>
      <c r="K1455" s="3">
        <f t="shared" si="319"/>
        <v>-100</v>
      </c>
      <c r="L1455" s="3">
        <f t="shared" si="320"/>
        <v>1</v>
      </c>
      <c r="M1455" s="3">
        <f t="shared" si="321"/>
        <v>0</v>
      </c>
      <c r="N1455" s="3" t="str">
        <f t="shared" si="330"/>
        <v>01</v>
      </c>
      <c r="O1455" s="14" t="str">
        <f t="shared" si="330"/>
        <v>00</v>
      </c>
      <c r="P1455" s="11"/>
      <c r="R1455" s="6">
        <v>516</v>
      </c>
      <c r="S1455" s="5">
        <f t="shared" si="329"/>
        <v>0</v>
      </c>
    </row>
    <row r="1456" spans="1:22" hidden="1">
      <c r="J1456" s="1" t="str">
        <f t="shared" si="318"/>
        <v>0</v>
      </c>
      <c r="K1456" s="3">
        <f t="shared" si="319"/>
        <v>-100</v>
      </c>
      <c r="L1456" s="3">
        <f t="shared" si="320"/>
        <v>1</v>
      </c>
      <c r="M1456" s="3">
        <f t="shared" si="321"/>
        <v>0</v>
      </c>
      <c r="N1456" s="3" t="str">
        <f t="shared" si="330"/>
        <v>01</v>
      </c>
      <c r="O1456" s="14" t="str">
        <f t="shared" si="330"/>
        <v>00</v>
      </c>
      <c r="P1456" s="11"/>
      <c r="R1456" s="6">
        <v>516</v>
      </c>
      <c r="S1456" s="5">
        <f t="shared" si="329"/>
        <v>0</v>
      </c>
    </row>
    <row r="1457" spans="1:23" hidden="1">
      <c r="J1457" s="1" t="str">
        <f t="shared" si="318"/>
        <v>0</v>
      </c>
      <c r="K1457" s="3">
        <f t="shared" si="319"/>
        <v>-100</v>
      </c>
      <c r="L1457" s="3">
        <f t="shared" si="320"/>
        <v>1</v>
      </c>
      <c r="M1457" s="3">
        <f t="shared" si="321"/>
        <v>0</v>
      </c>
      <c r="N1457" s="3" t="str">
        <f t="shared" si="330"/>
        <v>01</v>
      </c>
      <c r="O1457" s="14" t="str">
        <f t="shared" si="330"/>
        <v>00</v>
      </c>
      <c r="P1457" s="11"/>
      <c r="R1457" s="6">
        <v>516</v>
      </c>
      <c r="S1457" s="5">
        <f t="shared" si="329"/>
        <v>0</v>
      </c>
    </row>
    <row r="1458" spans="1:23">
      <c r="A1458" s="3">
        <v>1444</v>
      </c>
      <c r="B1458" s="1">
        <f t="shared" si="331"/>
        <v>0</v>
      </c>
      <c r="C1458" s="1">
        <f t="shared" si="332"/>
        <v>1</v>
      </c>
      <c r="D1458" s="1">
        <f t="shared" si="333"/>
        <v>0</v>
      </c>
      <c r="E1458" s="1">
        <f t="shared" si="334"/>
        <v>0</v>
      </c>
      <c r="F1458" s="1">
        <f t="shared" si="334"/>
        <v>0</v>
      </c>
      <c r="G1458" s="1" t="str">
        <f t="shared" si="335"/>
        <v>24080313</v>
      </c>
      <c r="H1458" s="2">
        <v>45507</v>
      </c>
      <c r="I1458" s="36">
        <v>13</v>
      </c>
      <c r="J1458" s="1">
        <f t="shared" si="318"/>
        <v>13</v>
      </c>
      <c r="K1458" s="3">
        <f t="shared" si="319"/>
        <v>24</v>
      </c>
      <c r="L1458" s="3">
        <f t="shared" si="320"/>
        <v>8</v>
      </c>
      <c r="M1458" s="3">
        <f t="shared" si="321"/>
        <v>3</v>
      </c>
      <c r="N1458" s="3" t="str">
        <f t="shared" si="330"/>
        <v>08</v>
      </c>
      <c r="O1458" s="14" t="str">
        <f t="shared" si="330"/>
        <v>03</v>
      </c>
      <c r="P1458" s="11">
        <v>90000</v>
      </c>
      <c r="R1458" s="6">
        <v>516</v>
      </c>
      <c r="S1458" s="5">
        <f t="shared" si="329"/>
        <v>174.41860465116278</v>
      </c>
      <c r="T1458" s="5" t="s">
        <v>561</v>
      </c>
      <c r="U1458" s="3" t="s">
        <v>1</v>
      </c>
      <c r="V1458" s="3" t="s">
        <v>5</v>
      </c>
    </row>
    <row r="1459" spans="1:23">
      <c r="A1459" s="3">
        <v>1445</v>
      </c>
      <c r="B1459" s="1">
        <f t="shared" si="331"/>
        <v>0</v>
      </c>
      <c r="C1459" s="1">
        <f t="shared" si="332"/>
        <v>0</v>
      </c>
      <c r="D1459" s="1">
        <f t="shared" si="333"/>
        <v>0</v>
      </c>
      <c r="E1459" s="1">
        <f t="shared" si="334"/>
        <v>0</v>
      </c>
      <c r="F1459" s="1">
        <f t="shared" si="334"/>
        <v>0</v>
      </c>
      <c r="G1459" s="1" t="str">
        <f t="shared" si="335"/>
        <v>24080314</v>
      </c>
      <c r="H1459" s="2">
        <v>45507</v>
      </c>
      <c r="I1459" s="36">
        <v>14</v>
      </c>
      <c r="J1459" s="1">
        <f t="shared" si="318"/>
        <v>14</v>
      </c>
      <c r="K1459" s="3">
        <f t="shared" si="319"/>
        <v>24</v>
      </c>
      <c r="L1459" s="3">
        <f t="shared" si="320"/>
        <v>8</v>
      </c>
      <c r="M1459" s="3">
        <f t="shared" si="321"/>
        <v>3</v>
      </c>
      <c r="N1459" s="3" t="str">
        <f t="shared" si="330"/>
        <v>08</v>
      </c>
      <c r="O1459" s="14" t="str">
        <f t="shared" si="330"/>
        <v>03</v>
      </c>
      <c r="P1459" s="11">
        <v>230000</v>
      </c>
      <c r="R1459" s="6">
        <v>516</v>
      </c>
      <c r="S1459" s="5">
        <f t="shared" si="329"/>
        <v>445.73643410852713</v>
      </c>
      <c r="T1459" s="5" t="s">
        <v>560</v>
      </c>
      <c r="U1459" s="3" t="s">
        <v>1</v>
      </c>
      <c r="V1459" s="3" t="s">
        <v>5</v>
      </c>
    </row>
    <row r="1460" spans="1:23" hidden="1">
      <c r="J1460" s="1" t="str">
        <f t="shared" si="318"/>
        <v>0</v>
      </c>
      <c r="K1460" s="3">
        <f t="shared" si="319"/>
        <v>-100</v>
      </c>
      <c r="L1460" s="3">
        <f t="shared" si="320"/>
        <v>1</v>
      </c>
      <c r="M1460" s="3">
        <f t="shared" si="321"/>
        <v>0</v>
      </c>
      <c r="N1460" s="3" t="str">
        <f t="shared" si="330"/>
        <v>01</v>
      </c>
      <c r="O1460" s="14" t="str">
        <f t="shared" si="330"/>
        <v>00</v>
      </c>
      <c r="P1460" s="11"/>
      <c r="R1460" s="6">
        <v>516</v>
      </c>
      <c r="S1460" s="5">
        <f t="shared" si="329"/>
        <v>0</v>
      </c>
    </row>
    <row r="1461" spans="1:23" hidden="1">
      <c r="J1461" s="1" t="str">
        <f t="shared" si="318"/>
        <v>0</v>
      </c>
      <c r="K1461" s="3">
        <f t="shared" si="319"/>
        <v>-100</v>
      </c>
      <c r="L1461" s="3">
        <f t="shared" si="320"/>
        <v>1</v>
      </c>
      <c r="M1461" s="3">
        <f t="shared" si="321"/>
        <v>0</v>
      </c>
      <c r="N1461" s="3" t="str">
        <f t="shared" si="330"/>
        <v>01</v>
      </c>
      <c r="O1461" s="14" t="str">
        <f t="shared" si="330"/>
        <v>00</v>
      </c>
      <c r="P1461" s="11"/>
      <c r="R1461" s="6">
        <v>516</v>
      </c>
      <c r="S1461" s="5">
        <f t="shared" si="329"/>
        <v>0</v>
      </c>
    </row>
    <row r="1462" spans="1:23" hidden="1">
      <c r="J1462" s="1" t="str">
        <f t="shared" si="318"/>
        <v>0</v>
      </c>
      <c r="K1462" s="3">
        <f t="shared" si="319"/>
        <v>-100</v>
      </c>
      <c r="L1462" s="3">
        <f t="shared" si="320"/>
        <v>1</v>
      </c>
      <c r="M1462" s="3">
        <f t="shared" si="321"/>
        <v>0</v>
      </c>
      <c r="N1462" s="3" t="str">
        <f t="shared" si="330"/>
        <v>01</v>
      </c>
      <c r="O1462" s="14" t="str">
        <f t="shared" si="330"/>
        <v>00</v>
      </c>
      <c r="P1462" s="11"/>
      <c r="R1462" s="6">
        <v>516</v>
      </c>
      <c r="S1462" s="5">
        <f t="shared" si="329"/>
        <v>0</v>
      </c>
    </row>
    <row r="1463" spans="1:23" hidden="1">
      <c r="J1463" s="1" t="str">
        <f t="shared" si="318"/>
        <v>0</v>
      </c>
      <c r="K1463" s="3">
        <f t="shared" si="319"/>
        <v>-100</v>
      </c>
      <c r="L1463" s="3">
        <f t="shared" si="320"/>
        <v>1</v>
      </c>
      <c r="M1463" s="3">
        <f t="shared" si="321"/>
        <v>0</v>
      </c>
      <c r="N1463" s="3" t="str">
        <f t="shared" si="330"/>
        <v>01</v>
      </c>
      <c r="O1463" s="14" t="str">
        <f t="shared" si="330"/>
        <v>00</v>
      </c>
      <c r="P1463" s="11"/>
      <c r="R1463" s="6">
        <v>516</v>
      </c>
      <c r="S1463" s="5">
        <f t="shared" si="329"/>
        <v>0</v>
      </c>
    </row>
    <row r="1464" spans="1:23">
      <c r="A1464" s="3">
        <v>1450</v>
      </c>
      <c r="B1464" s="1">
        <f t="shared" si="331"/>
        <v>0</v>
      </c>
      <c r="C1464" s="1">
        <f t="shared" si="332"/>
        <v>1</v>
      </c>
      <c r="D1464" s="1">
        <f t="shared" si="333"/>
        <v>0</v>
      </c>
      <c r="E1464" s="1">
        <f t="shared" si="334"/>
        <v>0</v>
      </c>
      <c r="F1464" s="1">
        <f t="shared" si="334"/>
        <v>0</v>
      </c>
      <c r="G1464" s="1" t="str">
        <f t="shared" si="335"/>
        <v>24080319</v>
      </c>
      <c r="H1464" s="2">
        <v>45507</v>
      </c>
      <c r="I1464" s="36">
        <v>19</v>
      </c>
      <c r="J1464" s="1">
        <f t="shared" si="318"/>
        <v>19</v>
      </c>
      <c r="K1464" s="3">
        <f t="shared" si="319"/>
        <v>24</v>
      </c>
      <c r="L1464" s="3">
        <f t="shared" si="320"/>
        <v>8</v>
      </c>
      <c r="M1464" s="3">
        <f t="shared" si="321"/>
        <v>3</v>
      </c>
      <c r="N1464" s="3" t="str">
        <f t="shared" si="330"/>
        <v>08</v>
      </c>
      <c r="O1464" s="14" t="str">
        <f t="shared" si="330"/>
        <v>03</v>
      </c>
      <c r="P1464" s="11">
        <v>120000</v>
      </c>
      <c r="R1464" s="6">
        <v>516</v>
      </c>
      <c r="S1464" s="5">
        <f t="shared" si="329"/>
        <v>232.55813953488371</v>
      </c>
      <c r="T1464" s="5" t="s">
        <v>563</v>
      </c>
      <c r="U1464" s="3" t="s">
        <v>1</v>
      </c>
      <c r="V1464" s="3" t="s">
        <v>5</v>
      </c>
    </row>
    <row r="1465" spans="1:23" hidden="1">
      <c r="J1465" s="1" t="str">
        <f t="shared" si="318"/>
        <v>0</v>
      </c>
      <c r="K1465" s="3">
        <f t="shared" si="319"/>
        <v>-100</v>
      </c>
      <c r="L1465" s="3">
        <f t="shared" si="320"/>
        <v>1</v>
      </c>
      <c r="M1465" s="3">
        <f t="shared" si="321"/>
        <v>0</v>
      </c>
      <c r="N1465" s="3" t="str">
        <f t="shared" si="330"/>
        <v>01</v>
      </c>
      <c r="O1465" s="14" t="str">
        <f t="shared" si="330"/>
        <v>00</v>
      </c>
      <c r="P1465" s="11"/>
      <c r="R1465" s="6">
        <v>516</v>
      </c>
      <c r="S1465" s="5">
        <f t="shared" si="329"/>
        <v>0</v>
      </c>
    </row>
    <row r="1466" spans="1:23" hidden="1">
      <c r="J1466" s="1" t="str">
        <f t="shared" si="318"/>
        <v>0</v>
      </c>
      <c r="K1466" s="3">
        <f t="shared" si="319"/>
        <v>-100</v>
      </c>
      <c r="L1466" s="3">
        <f t="shared" si="320"/>
        <v>1</v>
      </c>
      <c r="M1466" s="3">
        <f t="shared" si="321"/>
        <v>0</v>
      </c>
      <c r="N1466" s="3" t="str">
        <f t="shared" si="330"/>
        <v>01</v>
      </c>
      <c r="O1466" s="14" t="str">
        <f t="shared" si="330"/>
        <v>00</v>
      </c>
      <c r="P1466" s="11"/>
      <c r="R1466" s="6">
        <v>516</v>
      </c>
      <c r="S1466" s="5">
        <f t="shared" si="329"/>
        <v>0</v>
      </c>
    </row>
    <row r="1467" spans="1:23">
      <c r="A1467" s="3">
        <v>1453</v>
      </c>
      <c r="B1467" s="1">
        <f t="shared" si="331"/>
        <v>0</v>
      </c>
      <c r="C1467" s="1">
        <f t="shared" si="332"/>
        <v>1</v>
      </c>
      <c r="D1467" s="1">
        <f t="shared" si="333"/>
        <v>0</v>
      </c>
      <c r="E1467" s="1">
        <f t="shared" si="334"/>
        <v>0</v>
      </c>
      <c r="F1467" s="1">
        <f t="shared" si="334"/>
        <v>0</v>
      </c>
      <c r="G1467" s="1" t="str">
        <f t="shared" si="335"/>
        <v>24080322</v>
      </c>
      <c r="H1467" s="2">
        <v>45507</v>
      </c>
      <c r="I1467" s="36">
        <v>22</v>
      </c>
      <c r="J1467" s="1">
        <f t="shared" ref="J1467:J1526" si="336">+IF(I1467&lt;10,_xlfn.CONCAT("0",I1467),I1467)</f>
        <v>22</v>
      </c>
      <c r="K1467" s="3">
        <f t="shared" ref="K1467:K1526" si="337">+YEAR(H1467)-2000</f>
        <v>24</v>
      </c>
      <c r="L1467" s="3">
        <f t="shared" ref="L1467:L1526" si="338">+MONTH(H1467)</f>
        <v>8</v>
      </c>
      <c r="M1467" s="3">
        <f t="shared" ref="M1467:M1526" si="339">+DAY(H1467)</f>
        <v>3</v>
      </c>
      <c r="N1467" s="3" t="str">
        <f t="shared" ref="N1467:O1498" si="340">+IF(L1467&lt;10,_xlfn.CONCAT("0",L1467),L1467)</f>
        <v>08</v>
      </c>
      <c r="O1467" s="14" t="str">
        <f t="shared" si="340"/>
        <v>03</v>
      </c>
      <c r="P1467" s="11">
        <v>112500</v>
      </c>
      <c r="R1467" s="6">
        <v>516</v>
      </c>
      <c r="S1467" s="5">
        <f t="shared" si="329"/>
        <v>218.02325581395348</v>
      </c>
      <c r="T1467" s="5" t="s">
        <v>562</v>
      </c>
      <c r="U1467" s="3" t="s">
        <v>1</v>
      </c>
      <c r="V1467" s="3" t="s">
        <v>5</v>
      </c>
    </row>
    <row r="1468" spans="1:23" hidden="1">
      <c r="J1468" s="1" t="str">
        <f t="shared" si="336"/>
        <v>0</v>
      </c>
      <c r="K1468" s="3">
        <f t="shared" si="337"/>
        <v>-100</v>
      </c>
      <c r="L1468" s="3">
        <f t="shared" si="338"/>
        <v>1</v>
      </c>
      <c r="M1468" s="3">
        <f t="shared" si="339"/>
        <v>0</v>
      </c>
      <c r="N1468" s="3" t="str">
        <f t="shared" si="340"/>
        <v>01</v>
      </c>
      <c r="O1468" s="14" t="str">
        <f t="shared" si="340"/>
        <v>00</v>
      </c>
      <c r="P1468" s="11"/>
      <c r="R1468" s="6">
        <v>516</v>
      </c>
      <c r="S1468" s="5">
        <f t="shared" si="329"/>
        <v>0</v>
      </c>
    </row>
    <row r="1469" spans="1:23">
      <c r="A1469" s="3">
        <v>1455</v>
      </c>
      <c r="B1469" s="1">
        <f t="shared" si="331"/>
        <v>0</v>
      </c>
      <c r="C1469" s="1">
        <f t="shared" si="332"/>
        <v>1</v>
      </c>
      <c r="D1469" s="1">
        <f t="shared" si="333"/>
        <v>0</v>
      </c>
      <c r="E1469" s="1">
        <f t="shared" si="334"/>
        <v>0</v>
      </c>
      <c r="F1469" s="1">
        <f t="shared" si="334"/>
        <v>0</v>
      </c>
      <c r="G1469" s="1" t="str">
        <f t="shared" si="335"/>
        <v>24080324</v>
      </c>
      <c r="H1469" s="2">
        <v>45507</v>
      </c>
      <c r="I1469" s="36">
        <v>24</v>
      </c>
      <c r="J1469" s="1">
        <f t="shared" si="336"/>
        <v>24</v>
      </c>
      <c r="K1469" s="3">
        <f t="shared" si="337"/>
        <v>24</v>
      </c>
      <c r="L1469" s="3">
        <f t="shared" si="338"/>
        <v>8</v>
      </c>
      <c r="M1469" s="3">
        <f t="shared" si="339"/>
        <v>3</v>
      </c>
      <c r="N1469" s="3" t="str">
        <f t="shared" si="340"/>
        <v>08</v>
      </c>
      <c r="O1469" s="14" t="str">
        <f t="shared" si="340"/>
        <v>03</v>
      </c>
      <c r="P1469" s="11">
        <f>12*3*530</f>
        <v>19080</v>
      </c>
      <c r="R1469" s="6">
        <v>516</v>
      </c>
      <c r="S1469" s="5">
        <f t="shared" si="329"/>
        <v>36.97674418604651</v>
      </c>
      <c r="T1469" s="5" t="s">
        <v>226</v>
      </c>
      <c r="U1469" s="3" t="s">
        <v>1</v>
      </c>
      <c r="V1469" s="3" t="s">
        <v>5</v>
      </c>
    </row>
    <row r="1470" spans="1:23" hidden="1">
      <c r="J1470" s="1" t="str">
        <f t="shared" si="336"/>
        <v>0</v>
      </c>
      <c r="K1470" s="3">
        <f t="shared" si="337"/>
        <v>-100</v>
      </c>
      <c r="L1470" s="3">
        <f t="shared" si="338"/>
        <v>1</v>
      </c>
      <c r="M1470" s="3">
        <f t="shared" si="339"/>
        <v>0</v>
      </c>
      <c r="N1470" s="3" t="str">
        <f t="shared" si="340"/>
        <v>01</v>
      </c>
      <c r="O1470" s="14" t="str">
        <f t="shared" si="340"/>
        <v>00</v>
      </c>
      <c r="R1470" s="6">
        <v>516</v>
      </c>
      <c r="S1470" s="5">
        <f t="shared" si="329"/>
        <v>0</v>
      </c>
    </row>
    <row r="1471" spans="1:23" hidden="1">
      <c r="J1471" s="1" t="str">
        <f t="shared" si="336"/>
        <v>0</v>
      </c>
      <c r="K1471" s="3">
        <f t="shared" si="337"/>
        <v>-100</v>
      </c>
      <c r="L1471" s="3">
        <f t="shared" si="338"/>
        <v>1</v>
      </c>
      <c r="M1471" s="3">
        <f t="shared" si="339"/>
        <v>0</v>
      </c>
      <c r="N1471" s="3" t="str">
        <f t="shared" si="340"/>
        <v>01</v>
      </c>
      <c r="O1471" s="14" t="str">
        <f t="shared" si="340"/>
        <v>00</v>
      </c>
      <c r="R1471" s="6">
        <v>516</v>
      </c>
      <c r="S1471" s="5">
        <f t="shared" si="329"/>
        <v>0</v>
      </c>
    </row>
    <row r="1472" spans="1:23" hidden="1">
      <c r="G1472" s="90"/>
      <c r="H1472" s="91"/>
      <c r="J1472" s="90" t="str">
        <f t="shared" si="336"/>
        <v>0</v>
      </c>
      <c r="K1472" s="92">
        <f t="shared" si="337"/>
        <v>-100</v>
      </c>
      <c r="L1472" s="92">
        <f t="shared" si="338"/>
        <v>1</v>
      </c>
      <c r="M1472" s="92">
        <f t="shared" si="339"/>
        <v>0</v>
      </c>
      <c r="N1472" s="92" t="str">
        <f t="shared" si="340"/>
        <v>01</v>
      </c>
      <c r="O1472" s="93" t="str">
        <f t="shared" si="340"/>
        <v>00</v>
      </c>
      <c r="P1472" s="94"/>
      <c r="Q1472" s="95"/>
      <c r="R1472" s="96">
        <v>516</v>
      </c>
      <c r="S1472" s="95">
        <f t="shared" si="329"/>
        <v>0</v>
      </c>
      <c r="T1472" s="95"/>
      <c r="U1472" s="92"/>
      <c r="V1472" s="92"/>
      <c r="W1472" s="92"/>
    </row>
    <row r="1473" spans="1:23" hidden="1">
      <c r="J1473" s="1" t="str">
        <f t="shared" si="336"/>
        <v>0</v>
      </c>
      <c r="K1473" s="3">
        <f t="shared" si="337"/>
        <v>-100</v>
      </c>
      <c r="L1473" s="3">
        <f t="shared" si="338"/>
        <v>1</v>
      </c>
      <c r="M1473" s="3">
        <f t="shared" si="339"/>
        <v>0</v>
      </c>
      <c r="N1473" s="3" t="str">
        <f t="shared" si="340"/>
        <v>01</v>
      </c>
      <c r="O1473" s="14" t="str">
        <f t="shared" si="340"/>
        <v>00</v>
      </c>
      <c r="R1473" s="6">
        <v>516</v>
      </c>
    </row>
    <row r="1474" spans="1:23" hidden="1">
      <c r="J1474" s="1" t="str">
        <f t="shared" si="336"/>
        <v>0</v>
      </c>
      <c r="K1474" s="3">
        <f t="shared" si="337"/>
        <v>-100</v>
      </c>
      <c r="L1474" s="3">
        <f t="shared" si="338"/>
        <v>1</v>
      </c>
      <c r="M1474" s="3">
        <f t="shared" si="339"/>
        <v>0</v>
      </c>
      <c r="N1474" s="3" t="str">
        <f t="shared" si="340"/>
        <v>01</v>
      </c>
      <c r="O1474" s="14" t="str">
        <f t="shared" si="340"/>
        <v>00</v>
      </c>
      <c r="R1474" s="6">
        <v>516</v>
      </c>
      <c r="S1474" s="5">
        <f t="shared" ref="S1474:S1501" si="341">IFERROR(P1474/R1474,"")</f>
        <v>0</v>
      </c>
    </row>
    <row r="1475" spans="1:23" s="97" customFormat="1" hidden="1">
      <c r="A1475" s="3"/>
      <c r="B1475" s="1"/>
      <c r="C1475" s="1"/>
      <c r="D1475" s="1"/>
      <c r="E1475" s="1"/>
      <c r="F1475" s="1"/>
      <c r="G1475" s="1"/>
      <c r="H1475" s="2"/>
      <c r="I1475" s="36"/>
      <c r="J1475" s="1" t="str">
        <f t="shared" si="336"/>
        <v>0</v>
      </c>
      <c r="K1475" s="3">
        <f t="shared" si="337"/>
        <v>-100</v>
      </c>
      <c r="L1475" s="3">
        <f t="shared" si="338"/>
        <v>1</v>
      </c>
      <c r="M1475" s="3">
        <f t="shared" si="339"/>
        <v>0</v>
      </c>
      <c r="N1475" s="3" t="str">
        <f t="shared" si="340"/>
        <v>01</v>
      </c>
      <c r="O1475" s="14" t="str">
        <f t="shared" si="340"/>
        <v>00</v>
      </c>
      <c r="P1475" s="4"/>
      <c r="Q1475" s="5"/>
      <c r="R1475" s="6">
        <v>516</v>
      </c>
      <c r="S1475" s="5">
        <f t="shared" si="341"/>
        <v>0</v>
      </c>
      <c r="T1475" s="5"/>
      <c r="U1475" s="3"/>
      <c r="V1475" s="3"/>
      <c r="W1475" s="3"/>
    </row>
    <row r="1476" spans="1:23" hidden="1">
      <c r="J1476" s="1" t="str">
        <f t="shared" si="336"/>
        <v>0</v>
      </c>
      <c r="K1476" s="3">
        <f t="shared" si="337"/>
        <v>-100</v>
      </c>
      <c r="L1476" s="3">
        <f t="shared" si="338"/>
        <v>1</v>
      </c>
      <c r="M1476" s="3">
        <f t="shared" si="339"/>
        <v>0</v>
      </c>
      <c r="N1476" s="3" t="str">
        <f t="shared" si="340"/>
        <v>01</v>
      </c>
      <c r="O1476" s="14" t="str">
        <f t="shared" si="340"/>
        <v>00</v>
      </c>
      <c r="R1476" s="6">
        <v>516</v>
      </c>
      <c r="S1476" s="5">
        <f t="shared" si="341"/>
        <v>0</v>
      </c>
    </row>
    <row r="1477" spans="1:23" s="104" customFormat="1" hidden="1">
      <c r="A1477" s="3"/>
      <c r="B1477" s="1"/>
      <c r="C1477" s="1"/>
      <c r="D1477" s="1"/>
      <c r="E1477" s="1"/>
      <c r="F1477" s="1"/>
      <c r="G1477" s="1"/>
      <c r="H1477" s="2"/>
      <c r="I1477" s="36"/>
      <c r="J1477" s="1" t="str">
        <f t="shared" si="336"/>
        <v>0</v>
      </c>
      <c r="K1477" s="3">
        <f t="shared" si="337"/>
        <v>-100</v>
      </c>
      <c r="L1477" s="3">
        <f t="shared" si="338"/>
        <v>1</v>
      </c>
      <c r="M1477" s="3">
        <f t="shared" si="339"/>
        <v>0</v>
      </c>
      <c r="N1477" s="3" t="str">
        <f t="shared" si="340"/>
        <v>01</v>
      </c>
      <c r="O1477" s="14" t="str">
        <f t="shared" si="340"/>
        <v>00</v>
      </c>
      <c r="P1477" s="4"/>
      <c r="Q1477" s="5"/>
      <c r="R1477" s="6"/>
      <c r="S1477" s="5" t="str">
        <f t="shared" si="341"/>
        <v/>
      </c>
      <c r="T1477" s="5"/>
      <c r="U1477" s="3"/>
      <c r="V1477" s="3"/>
      <c r="W1477" s="3"/>
    </row>
    <row r="1478" spans="1:23" hidden="1">
      <c r="J1478" s="1" t="str">
        <f t="shared" si="336"/>
        <v>0</v>
      </c>
      <c r="K1478" s="3">
        <f t="shared" si="337"/>
        <v>-100</v>
      </c>
      <c r="L1478" s="3">
        <f t="shared" si="338"/>
        <v>1</v>
      </c>
      <c r="M1478" s="3">
        <f t="shared" si="339"/>
        <v>0</v>
      </c>
      <c r="N1478" s="3" t="str">
        <f t="shared" si="340"/>
        <v>01</v>
      </c>
      <c r="O1478" s="14" t="str">
        <f t="shared" si="340"/>
        <v>00</v>
      </c>
      <c r="R1478" s="6">
        <v>516</v>
      </c>
      <c r="S1478" s="5">
        <f t="shared" si="341"/>
        <v>0</v>
      </c>
    </row>
    <row r="1479" spans="1:23" hidden="1">
      <c r="J1479" s="1" t="str">
        <f t="shared" si="336"/>
        <v>0</v>
      </c>
      <c r="K1479" s="3">
        <f t="shared" si="337"/>
        <v>-100</v>
      </c>
      <c r="L1479" s="3">
        <f t="shared" si="338"/>
        <v>1</v>
      </c>
      <c r="M1479" s="3">
        <f t="shared" si="339"/>
        <v>0</v>
      </c>
      <c r="N1479" s="3" t="str">
        <f t="shared" si="340"/>
        <v>01</v>
      </c>
      <c r="O1479" s="14" t="str">
        <f t="shared" si="340"/>
        <v>00</v>
      </c>
      <c r="R1479" s="6">
        <v>516</v>
      </c>
      <c r="S1479" s="5">
        <f t="shared" si="341"/>
        <v>0</v>
      </c>
    </row>
    <row r="1480" spans="1:23" hidden="1">
      <c r="J1480" s="1" t="str">
        <f t="shared" si="336"/>
        <v>0</v>
      </c>
      <c r="K1480" s="3">
        <f t="shared" si="337"/>
        <v>-100</v>
      </c>
      <c r="L1480" s="3">
        <f t="shared" si="338"/>
        <v>1</v>
      </c>
      <c r="M1480" s="3">
        <f t="shared" si="339"/>
        <v>0</v>
      </c>
      <c r="N1480" s="3" t="str">
        <f t="shared" si="340"/>
        <v>01</v>
      </c>
      <c r="O1480" s="14" t="str">
        <f t="shared" si="340"/>
        <v>00</v>
      </c>
      <c r="R1480" s="6">
        <v>516</v>
      </c>
      <c r="S1480" s="5">
        <f t="shared" si="341"/>
        <v>0</v>
      </c>
    </row>
    <row r="1481" spans="1:23" hidden="1">
      <c r="J1481" s="1" t="str">
        <f t="shared" si="336"/>
        <v>0</v>
      </c>
      <c r="K1481" s="3">
        <f t="shared" si="337"/>
        <v>-100</v>
      </c>
      <c r="L1481" s="3">
        <f t="shared" si="338"/>
        <v>1</v>
      </c>
      <c r="M1481" s="3">
        <f t="shared" si="339"/>
        <v>0</v>
      </c>
      <c r="N1481" s="3" t="str">
        <f t="shared" si="340"/>
        <v>01</v>
      </c>
      <c r="O1481" s="14" t="str">
        <f t="shared" si="340"/>
        <v>00</v>
      </c>
      <c r="R1481" s="6">
        <v>516</v>
      </c>
      <c r="S1481" s="5">
        <f t="shared" si="341"/>
        <v>0</v>
      </c>
    </row>
    <row r="1482" spans="1:23">
      <c r="A1482" s="3">
        <v>1468</v>
      </c>
      <c r="B1482" s="1">
        <f t="shared" si="331"/>
        <v>0</v>
      </c>
      <c r="C1482" s="1">
        <f t="shared" si="332"/>
        <v>1</v>
      </c>
      <c r="D1482" s="1">
        <f t="shared" si="333"/>
        <v>0</v>
      </c>
      <c r="E1482" s="1">
        <f t="shared" ref="E1482:F1496" si="342">IF(U1482="",1,0)</f>
        <v>0</v>
      </c>
      <c r="F1482" s="1">
        <f t="shared" si="342"/>
        <v>0</v>
      </c>
      <c r="G1482" s="1" t="str">
        <f t="shared" si="335"/>
        <v>24080505</v>
      </c>
      <c r="H1482" s="2">
        <v>45509</v>
      </c>
      <c r="I1482" s="36">
        <v>5</v>
      </c>
      <c r="J1482" s="1" t="str">
        <f t="shared" si="336"/>
        <v>05</v>
      </c>
      <c r="K1482" s="3">
        <f t="shared" si="337"/>
        <v>24</v>
      </c>
      <c r="L1482" s="3">
        <f t="shared" si="338"/>
        <v>8</v>
      </c>
      <c r="M1482" s="3">
        <f t="shared" si="339"/>
        <v>5</v>
      </c>
      <c r="N1482" s="3" t="str">
        <f t="shared" si="340"/>
        <v>08</v>
      </c>
      <c r="O1482" s="14" t="str">
        <f t="shared" si="340"/>
        <v>05</v>
      </c>
      <c r="P1482" s="4">
        <v>10000</v>
      </c>
      <c r="R1482" s="6">
        <v>516</v>
      </c>
      <c r="S1482" s="5">
        <f t="shared" si="341"/>
        <v>19.379844961240309</v>
      </c>
      <c r="T1482" s="5" t="s">
        <v>784</v>
      </c>
      <c r="U1482" s="3" t="s">
        <v>29</v>
      </c>
      <c r="V1482" s="3" t="s">
        <v>5</v>
      </c>
    </row>
    <row r="1483" spans="1:23">
      <c r="A1483" s="3">
        <v>1469</v>
      </c>
      <c r="B1483" s="1">
        <f t="shared" si="331"/>
        <v>0</v>
      </c>
      <c r="C1483" s="1">
        <f t="shared" si="332"/>
        <v>0</v>
      </c>
      <c r="D1483" s="1">
        <f t="shared" si="333"/>
        <v>0</v>
      </c>
      <c r="E1483" s="1">
        <f t="shared" si="342"/>
        <v>0</v>
      </c>
      <c r="F1483" s="1">
        <f t="shared" si="342"/>
        <v>0</v>
      </c>
      <c r="G1483" s="98" t="str">
        <f t="shared" si="335"/>
        <v>24080506</v>
      </c>
      <c r="H1483" s="99">
        <v>45509</v>
      </c>
      <c r="I1483" s="36">
        <v>6</v>
      </c>
      <c r="J1483" s="98" t="str">
        <f t="shared" si="336"/>
        <v>06</v>
      </c>
      <c r="K1483" s="97">
        <f t="shared" si="337"/>
        <v>24</v>
      </c>
      <c r="L1483" s="97">
        <f t="shared" si="338"/>
        <v>8</v>
      </c>
      <c r="M1483" s="97">
        <f t="shared" si="339"/>
        <v>5</v>
      </c>
      <c r="N1483" s="97" t="str">
        <f t="shared" si="340"/>
        <v>08</v>
      </c>
      <c r="O1483" s="100" t="str">
        <f t="shared" si="340"/>
        <v>05</v>
      </c>
      <c r="P1483" s="101">
        <v>5000</v>
      </c>
      <c r="Q1483" s="102"/>
      <c r="R1483" s="103">
        <v>516</v>
      </c>
      <c r="S1483" s="102">
        <f t="shared" si="341"/>
        <v>9.6899224806201545</v>
      </c>
      <c r="T1483" s="102" t="s">
        <v>361</v>
      </c>
      <c r="U1483" s="97" t="s">
        <v>29</v>
      </c>
      <c r="V1483" s="97" t="s">
        <v>5</v>
      </c>
      <c r="W1483" s="97"/>
    </row>
    <row r="1484" spans="1:23">
      <c r="A1484" s="3">
        <v>1470</v>
      </c>
      <c r="B1484" s="1">
        <f t="shared" si="331"/>
        <v>0</v>
      </c>
      <c r="C1484" s="1">
        <f t="shared" si="332"/>
        <v>0</v>
      </c>
      <c r="D1484" s="1">
        <f t="shared" si="333"/>
        <v>0</v>
      </c>
      <c r="E1484" s="1">
        <f t="shared" si="342"/>
        <v>0</v>
      </c>
      <c r="F1484" s="1">
        <f t="shared" si="342"/>
        <v>0</v>
      </c>
      <c r="G1484" s="1" t="str">
        <f t="shared" si="335"/>
        <v>24080601</v>
      </c>
      <c r="H1484" s="2">
        <v>45510</v>
      </c>
      <c r="I1484" s="36">
        <v>1</v>
      </c>
      <c r="J1484" s="1" t="str">
        <f t="shared" si="336"/>
        <v>01</v>
      </c>
      <c r="K1484" s="3">
        <f t="shared" si="337"/>
        <v>24</v>
      </c>
      <c r="L1484" s="3">
        <f t="shared" si="338"/>
        <v>8</v>
      </c>
      <c r="M1484" s="3">
        <f t="shared" si="339"/>
        <v>6</v>
      </c>
      <c r="N1484" s="3" t="str">
        <f t="shared" si="340"/>
        <v>08</v>
      </c>
      <c r="O1484" s="14" t="str">
        <f t="shared" si="340"/>
        <v>06</v>
      </c>
      <c r="P1484" s="4">
        <v>639812.63</v>
      </c>
      <c r="R1484" s="6">
        <v>516</v>
      </c>
      <c r="S1484" s="5">
        <f t="shared" si="341"/>
        <v>1239.9469573643412</v>
      </c>
      <c r="T1484" s="5" t="s">
        <v>1199</v>
      </c>
      <c r="U1484" s="3" t="s">
        <v>2</v>
      </c>
      <c r="V1484" s="3" t="s">
        <v>5</v>
      </c>
    </row>
    <row r="1485" spans="1:23" hidden="1">
      <c r="J1485" s="1" t="str">
        <f t="shared" si="336"/>
        <v>0</v>
      </c>
      <c r="K1485" s="3">
        <f t="shared" si="337"/>
        <v>-100</v>
      </c>
      <c r="L1485" s="3">
        <f t="shared" si="338"/>
        <v>1</v>
      </c>
      <c r="M1485" s="3">
        <f t="shared" si="339"/>
        <v>0</v>
      </c>
      <c r="N1485" s="3" t="str">
        <f t="shared" si="340"/>
        <v>01</v>
      </c>
      <c r="O1485" s="14" t="str">
        <f t="shared" si="340"/>
        <v>00</v>
      </c>
      <c r="R1485" s="6">
        <v>516</v>
      </c>
      <c r="S1485" s="5">
        <f t="shared" si="341"/>
        <v>0</v>
      </c>
    </row>
    <row r="1486" spans="1:23" hidden="1">
      <c r="J1486" s="1" t="str">
        <f t="shared" si="336"/>
        <v>0</v>
      </c>
      <c r="K1486" s="3">
        <f t="shared" si="337"/>
        <v>-100</v>
      </c>
      <c r="L1486" s="3">
        <f t="shared" si="338"/>
        <v>1</v>
      </c>
      <c r="M1486" s="3">
        <f t="shared" si="339"/>
        <v>0</v>
      </c>
      <c r="N1486" s="3" t="str">
        <f t="shared" si="340"/>
        <v>01</v>
      </c>
      <c r="O1486" s="14" t="str">
        <f t="shared" si="340"/>
        <v>00</v>
      </c>
      <c r="R1486" s="6">
        <v>516</v>
      </c>
      <c r="S1486" s="5">
        <f t="shared" si="341"/>
        <v>0</v>
      </c>
    </row>
    <row r="1487" spans="1:23" hidden="1">
      <c r="J1487" s="1" t="str">
        <f t="shared" si="336"/>
        <v>0</v>
      </c>
      <c r="K1487" s="3">
        <f t="shared" si="337"/>
        <v>-100</v>
      </c>
      <c r="L1487" s="3">
        <f t="shared" si="338"/>
        <v>1</v>
      </c>
      <c r="M1487" s="3">
        <f t="shared" si="339"/>
        <v>0</v>
      </c>
      <c r="N1487" s="3" t="str">
        <f t="shared" si="340"/>
        <v>01</v>
      </c>
      <c r="O1487" s="14" t="str">
        <f t="shared" si="340"/>
        <v>00</v>
      </c>
      <c r="R1487" s="6">
        <v>516</v>
      </c>
      <c r="S1487" s="5">
        <f t="shared" si="341"/>
        <v>0</v>
      </c>
    </row>
    <row r="1488" spans="1:23" hidden="1">
      <c r="J1488" s="1" t="str">
        <f t="shared" si="336"/>
        <v>0</v>
      </c>
      <c r="K1488" s="3">
        <f t="shared" si="337"/>
        <v>-100</v>
      </c>
      <c r="L1488" s="3">
        <f t="shared" si="338"/>
        <v>1</v>
      </c>
      <c r="M1488" s="3">
        <f t="shared" si="339"/>
        <v>0</v>
      </c>
      <c r="N1488" s="3" t="str">
        <f t="shared" si="340"/>
        <v>01</v>
      </c>
      <c r="O1488" s="14" t="str">
        <f t="shared" si="340"/>
        <v>00</v>
      </c>
      <c r="R1488" s="6">
        <v>516</v>
      </c>
      <c r="S1488" s="5">
        <f t="shared" si="341"/>
        <v>0</v>
      </c>
    </row>
    <row r="1489" spans="1:23" hidden="1">
      <c r="J1489" s="1" t="str">
        <f t="shared" si="336"/>
        <v>0</v>
      </c>
      <c r="K1489" s="3">
        <f t="shared" si="337"/>
        <v>-100</v>
      </c>
      <c r="L1489" s="3">
        <f t="shared" si="338"/>
        <v>1</v>
      </c>
      <c r="M1489" s="3">
        <f t="shared" si="339"/>
        <v>0</v>
      </c>
      <c r="N1489" s="3" t="str">
        <f t="shared" si="340"/>
        <v>01</v>
      </c>
      <c r="O1489" s="14" t="str">
        <f t="shared" si="340"/>
        <v>00</v>
      </c>
      <c r="R1489" s="6">
        <v>516</v>
      </c>
      <c r="S1489" s="5">
        <f t="shared" si="341"/>
        <v>0</v>
      </c>
    </row>
    <row r="1490" spans="1:23" hidden="1">
      <c r="J1490" s="1" t="str">
        <f t="shared" si="336"/>
        <v>0</v>
      </c>
      <c r="K1490" s="3">
        <f t="shared" si="337"/>
        <v>-100</v>
      </c>
      <c r="L1490" s="3">
        <f t="shared" si="338"/>
        <v>1</v>
      </c>
      <c r="M1490" s="3">
        <f t="shared" si="339"/>
        <v>0</v>
      </c>
      <c r="N1490" s="3" t="str">
        <f t="shared" si="340"/>
        <v>01</v>
      </c>
      <c r="O1490" s="14" t="str">
        <f t="shared" si="340"/>
        <v>00</v>
      </c>
      <c r="R1490" s="6">
        <v>516</v>
      </c>
      <c r="S1490" s="5">
        <f t="shared" si="341"/>
        <v>0</v>
      </c>
    </row>
    <row r="1491" spans="1:23" hidden="1">
      <c r="J1491" s="1" t="str">
        <f t="shared" si="336"/>
        <v>0</v>
      </c>
      <c r="K1491" s="3">
        <f t="shared" si="337"/>
        <v>-100</v>
      </c>
      <c r="L1491" s="3">
        <f t="shared" si="338"/>
        <v>1</v>
      </c>
      <c r="M1491" s="3">
        <f t="shared" si="339"/>
        <v>0</v>
      </c>
      <c r="N1491" s="3" t="str">
        <f t="shared" si="340"/>
        <v>01</v>
      </c>
      <c r="O1491" s="14" t="str">
        <f t="shared" si="340"/>
        <v>00</v>
      </c>
      <c r="R1491" s="6">
        <v>516</v>
      </c>
      <c r="S1491" s="5">
        <f t="shared" si="341"/>
        <v>0</v>
      </c>
    </row>
    <row r="1492" spans="1:23" hidden="1">
      <c r="J1492" s="1" t="str">
        <f t="shared" si="336"/>
        <v>0</v>
      </c>
      <c r="K1492" s="3">
        <f t="shared" si="337"/>
        <v>-100</v>
      </c>
      <c r="L1492" s="3">
        <f t="shared" si="338"/>
        <v>1</v>
      </c>
      <c r="M1492" s="3">
        <f t="shared" si="339"/>
        <v>0</v>
      </c>
      <c r="N1492" s="3" t="str">
        <f t="shared" si="340"/>
        <v>01</v>
      </c>
      <c r="O1492" s="14" t="str">
        <f t="shared" si="340"/>
        <v>00</v>
      </c>
      <c r="R1492" s="6">
        <v>516</v>
      </c>
      <c r="S1492" s="5">
        <f t="shared" si="341"/>
        <v>0</v>
      </c>
    </row>
    <row r="1493" spans="1:23" hidden="1">
      <c r="J1493" s="1" t="str">
        <f t="shared" si="336"/>
        <v>0</v>
      </c>
      <c r="K1493" s="3">
        <f t="shared" si="337"/>
        <v>-100</v>
      </c>
      <c r="L1493" s="3">
        <f t="shared" si="338"/>
        <v>1</v>
      </c>
      <c r="M1493" s="3">
        <f t="shared" si="339"/>
        <v>0</v>
      </c>
      <c r="N1493" s="3" t="str">
        <f t="shared" si="340"/>
        <v>01</v>
      </c>
      <c r="O1493" s="14" t="str">
        <f t="shared" si="340"/>
        <v>00</v>
      </c>
      <c r="R1493" s="6">
        <v>516</v>
      </c>
      <c r="S1493" s="5">
        <f t="shared" si="341"/>
        <v>0</v>
      </c>
    </row>
    <row r="1494" spans="1:23">
      <c r="A1494" s="3">
        <v>1480</v>
      </c>
      <c r="B1494" s="1">
        <f t="shared" si="331"/>
        <v>0</v>
      </c>
      <c r="C1494" s="1">
        <f t="shared" si="332"/>
        <v>1</v>
      </c>
      <c r="D1494" s="1">
        <f t="shared" si="333"/>
        <v>0</v>
      </c>
      <c r="E1494" s="1">
        <f t="shared" si="342"/>
        <v>0</v>
      </c>
      <c r="F1494" s="1">
        <f t="shared" si="342"/>
        <v>0</v>
      </c>
      <c r="G1494" s="1" t="str">
        <f t="shared" si="335"/>
        <v>24080611</v>
      </c>
      <c r="H1494" s="2">
        <v>45510</v>
      </c>
      <c r="I1494" s="36">
        <v>11</v>
      </c>
      <c r="J1494" s="1">
        <f t="shared" si="336"/>
        <v>11</v>
      </c>
      <c r="K1494" s="3">
        <f t="shared" si="337"/>
        <v>24</v>
      </c>
      <c r="L1494" s="3">
        <f t="shared" si="338"/>
        <v>8</v>
      </c>
      <c r="M1494" s="3">
        <f t="shared" si="339"/>
        <v>6</v>
      </c>
      <c r="N1494" s="3" t="str">
        <f t="shared" si="340"/>
        <v>08</v>
      </c>
      <c r="O1494" s="14" t="str">
        <f t="shared" si="340"/>
        <v>06</v>
      </c>
      <c r="P1494" s="4">
        <v>80210.06</v>
      </c>
      <c r="R1494" s="6">
        <v>516</v>
      </c>
      <c r="S1494" s="5">
        <f t="shared" si="341"/>
        <v>155.44585271317828</v>
      </c>
      <c r="T1494" s="5" t="s">
        <v>780</v>
      </c>
      <c r="U1494" s="3" t="s">
        <v>29</v>
      </c>
      <c r="V1494" s="3" t="s">
        <v>5</v>
      </c>
    </row>
    <row r="1495" spans="1:23">
      <c r="A1495" s="3">
        <v>1481</v>
      </c>
      <c r="B1495" s="1">
        <f t="shared" si="331"/>
        <v>0</v>
      </c>
      <c r="C1495" s="1">
        <f t="shared" si="332"/>
        <v>0</v>
      </c>
      <c r="D1495" s="1">
        <f t="shared" si="333"/>
        <v>0</v>
      </c>
      <c r="E1495" s="1">
        <f t="shared" si="342"/>
        <v>0</v>
      </c>
      <c r="F1495" s="1">
        <f t="shared" si="342"/>
        <v>0</v>
      </c>
      <c r="G1495" s="1" t="str">
        <f t="shared" si="335"/>
        <v>24080612</v>
      </c>
      <c r="H1495" s="2">
        <v>45510</v>
      </c>
      <c r="I1495" s="36">
        <v>12</v>
      </c>
      <c r="J1495" s="1">
        <f t="shared" si="336"/>
        <v>12</v>
      </c>
      <c r="K1495" s="3">
        <f t="shared" si="337"/>
        <v>24</v>
      </c>
      <c r="L1495" s="3">
        <f t="shared" si="338"/>
        <v>8</v>
      </c>
      <c r="M1495" s="3">
        <f t="shared" si="339"/>
        <v>6</v>
      </c>
      <c r="N1495" s="3" t="str">
        <f t="shared" si="340"/>
        <v>08</v>
      </c>
      <c r="O1495" s="14" t="str">
        <f t="shared" si="340"/>
        <v>06</v>
      </c>
      <c r="P1495" s="4">
        <v>10000</v>
      </c>
      <c r="R1495" s="6">
        <v>516</v>
      </c>
      <c r="S1495" s="5">
        <f t="shared" si="341"/>
        <v>19.379844961240309</v>
      </c>
      <c r="T1495" s="5" t="s">
        <v>361</v>
      </c>
      <c r="U1495" s="3" t="s">
        <v>29</v>
      </c>
      <c r="V1495" s="3" t="s">
        <v>5</v>
      </c>
    </row>
    <row r="1496" spans="1:23">
      <c r="A1496" s="3">
        <v>1482</v>
      </c>
      <c r="B1496" s="1">
        <f t="shared" si="331"/>
        <v>0</v>
      </c>
      <c r="C1496" s="1">
        <f t="shared" si="332"/>
        <v>0</v>
      </c>
      <c r="D1496" s="1">
        <f t="shared" si="333"/>
        <v>0</v>
      </c>
      <c r="E1496" s="1">
        <f t="shared" si="342"/>
        <v>0</v>
      </c>
      <c r="F1496" s="1">
        <f t="shared" si="342"/>
        <v>0</v>
      </c>
      <c r="G1496" s="1" t="str">
        <f t="shared" si="335"/>
        <v>24080613</v>
      </c>
      <c r="H1496" s="2">
        <v>45510</v>
      </c>
      <c r="I1496" s="36">
        <v>13</v>
      </c>
      <c r="J1496" s="1">
        <f t="shared" si="336"/>
        <v>13</v>
      </c>
      <c r="K1496" s="3">
        <f t="shared" si="337"/>
        <v>24</v>
      </c>
      <c r="L1496" s="3">
        <f t="shared" si="338"/>
        <v>8</v>
      </c>
      <c r="M1496" s="3">
        <f t="shared" si="339"/>
        <v>6</v>
      </c>
      <c r="N1496" s="3" t="str">
        <f t="shared" si="340"/>
        <v>08</v>
      </c>
      <c r="O1496" s="14" t="str">
        <f t="shared" si="340"/>
        <v>06</v>
      </c>
      <c r="P1496" s="4">
        <v>5400</v>
      </c>
      <c r="R1496" s="6">
        <v>516</v>
      </c>
      <c r="S1496" s="5">
        <f t="shared" si="341"/>
        <v>10.465116279069768</v>
      </c>
      <c r="T1496" s="5" t="s">
        <v>781</v>
      </c>
      <c r="U1496" s="3" t="s">
        <v>29</v>
      </c>
      <c r="V1496" s="3" t="s">
        <v>5</v>
      </c>
    </row>
    <row r="1497" spans="1:23" hidden="1">
      <c r="G1497" s="105"/>
      <c r="H1497" s="106"/>
      <c r="J1497" s="105" t="str">
        <f t="shared" si="336"/>
        <v>0</v>
      </c>
      <c r="K1497" s="104">
        <f t="shared" si="337"/>
        <v>-100</v>
      </c>
      <c r="L1497" s="104">
        <f t="shared" si="338"/>
        <v>1</v>
      </c>
      <c r="M1497" s="104">
        <f t="shared" si="339"/>
        <v>0</v>
      </c>
      <c r="N1497" s="104" t="str">
        <f t="shared" si="340"/>
        <v>01</v>
      </c>
      <c r="O1497" s="107" t="str">
        <f t="shared" si="340"/>
        <v>00</v>
      </c>
      <c r="P1497" s="108"/>
      <c r="Q1497" s="109"/>
      <c r="R1497" s="110">
        <v>516</v>
      </c>
      <c r="S1497" s="109">
        <f t="shared" si="341"/>
        <v>0</v>
      </c>
      <c r="T1497" s="109"/>
      <c r="U1497" s="104"/>
      <c r="V1497" s="104"/>
      <c r="W1497" s="104"/>
    </row>
    <row r="1498" spans="1:23" hidden="1">
      <c r="J1498" s="1" t="str">
        <f t="shared" si="336"/>
        <v>0</v>
      </c>
      <c r="K1498" s="3">
        <f t="shared" si="337"/>
        <v>-100</v>
      </c>
      <c r="L1498" s="3">
        <f t="shared" si="338"/>
        <v>1</v>
      </c>
      <c r="M1498" s="3">
        <f t="shared" si="339"/>
        <v>0</v>
      </c>
      <c r="N1498" s="3" t="str">
        <f t="shared" si="340"/>
        <v>01</v>
      </c>
      <c r="O1498" s="14" t="str">
        <f t="shared" si="340"/>
        <v>00</v>
      </c>
      <c r="R1498" s="6">
        <v>521</v>
      </c>
      <c r="S1498" s="5">
        <f t="shared" si="341"/>
        <v>0</v>
      </c>
    </row>
    <row r="1499" spans="1:23" hidden="1">
      <c r="J1499" s="1" t="str">
        <f t="shared" si="336"/>
        <v>0</v>
      </c>
      <c r="K1499" s="3">
        <f t="shared" si="337"/>
        <v>-100</v>
      </c>
      <c r="L1499" s="3">
        <f t="shared" si="338"/>
        <v>1</v>
      </c>
      <c r="M1499" s="3">
        <f t="shared" si="339"/>
        <v>0</v>
      </c>
      <c r="N1499" s="3" t="str">
        <f t="shared" ref="N1499:O1526" si="343">+IF(L1499&lt;10,_xlfn.CONCAT("0",L1499),L1499)</f>
        <v>01</v>
      </c>
      <c r="O1499" s="14" t="str">
        <f t="shared" si="343"/>
        <v>00</v>
      </c>
      <c r="R1499" s="6">
        <v>521</v>
      </c>
      <c r="S1499" s="5">
        <f t="shared" si="341"/>
        <v>0</v>
      </c>
    </row>
    <row r="1500" spans="1:23" hidden="1">
      <c r="J1500" s="1" t="str">
        <f t="shared" si="336"/>
        <v>0</v>
      </c>
      <c r="K1500" s="3">
        <f t="shared" si="337"/>
        <v>-100</v>
      </c>
      <c r="L1500" s="3">
        <f t="shared" si="338"/>
        <v>1</v>
      </c>
      <c r="M1500" s="3">
        <f t="shared" si="339"/>
        <v>0</v>
      </c>
      <c r="N1500" s="3" t="str">
        <f t="shared" si="343"/>
        <v>01</v>
      </c>
      <c r="O1500" s="14" t="str">
        <f t="shared" si="343"/>
        <v>00</v>
      </c>
      <c r="R1500" s="6">
        <v>521</v>
      </c>
      <c r="S1500" s="5">
        <f t="shared" si="341"/>
        <v>0</v>
      </c>
    </row>
    <row r="1501" spans="1:23" hidden="1">
      <c r="J1501" s="1" t="str">
        <f t="shared" si="336"/>
        <v>0</v>
      </c>
      <c r="K1501" s="3">
        <f t="shared" si="337"/>
        <v>-100</v>
      </c>
      <c r="L1501" s="3">
        <f t="shared" si="338"/>
        <v>1</v>
      </c>
      <c r="M1501" s="3">
        <f t="shared" si="339"/>
        <v>0</v>
      </c>
      <c r="N1501" s="3" t="str">
        <f t="shared" si="343"/>
        <v>01</v>
      </c>
      <c r="O1501" s="14" t="str">
        <f t="shared" si="343"/>
        <v>00</v>
      </c>
      <c r="R1501" s="6">
        <v>521</v>
      </c>
      <c r="S1501" s="5">
        <f t="shared" si="341"/>
        <v>0</v>
      </c>
    </row>
    <row r="1502" spans="1:23" hidden="1">
      <c r="J1502" s="1" t="str">
        <f t="shared" si="336"/>
        <v>0</v>
      </c>
      <c r="K1502" s="3">
        <f t="shared" si="337"/>
        <v>-100</v>
      </c>
      <c r="L1502" s="3">
        <f t="shared" si="338"/>
        <v>1</v>
      </c>
      <c r="M1502" s="3">
        <f t="shared" si="339"/>
        <v>0</v>
      </c>
      <c r="N1502" s="3" t="str">
        <f t="shared" si="343"/>
        <v>01</v>
      </c>
      <c r="O1502" s="14" t="str">
        <f t="shared" si="343"/>
        <v>00</v>
      </c>
    </row>
    <row r="1503" spans="1:23" hidden="1">
      <c r="J1503" s="1" t="str">
        <f t="shared" si="336"/>
        <v>0</v>
      </c>
      <c r="K1503" s="3">
        <f t="shared" si="337"/>
        <v>-100</v>
      </c>
      <c r="L1503" s="3">
        <f t="shared" si="338"/>
        <v>1</v>
      </c>
      <c r="M1503" s="3">
        <f t="shared" si="339"/>
        <v>0</v>
      </c>
      <c r="N1503" s="3" t="str">
        <f t="shared" si="343"/>
        <v>01</v>
      </c>
      <c r="O1503" s="14" t="str">
        <f t="shared" si="343"/>
        <v>00</v>
      </c>
      <c r="R1503" s="6">
        <v>521</v>
      </c>
      <c r="S1503" s="5">
        <f t="shared" ref="S1503:S1516" si="344">IFERROR(P1503/R1503,"")</f>
        <v>0</v>
      </c>
    </row>
    <row r="1504" spans="1:23" hidden="1">
      <c r="J1504" s="1" t="str">
        <f t="shared" si="336"/>
        <v>0</v>
      </c>
      <c r="K1504" s="3">
        <f t="shared" si="337"/>
        <v>-100</v>
      </c>
      <c r="L1504" s="3">
        <f t="shared" si="338"/>
        <v>1</v>
      </c>
      <c r="M1504" s="3">
        <f t="shared" si="339"/>
        <v>0</v>
      </c>
      <c r="N1504" s="3" t="str">
        <f t="shared" si="343"/>
        <v>01</v>
      </c>
      <c r="O1504" s="14" t="str">
        <f t="shared" si="343"/>
        <v>00</v>
      </c>
      <c r="S1504" s="5" t="str">
        <f t="shared" si="344"/>
        <v/>
      </c>
    </row>
    <row r="1505" spans="1:23" hidden="1">
      <c r="J1505" s="1" t="str">
        <f t="shared" si="336"/>
        <v>0</v>
      </c>
      <c r="K1505" s="3">
        <f t="shared" si="337"/>
        <v>-100</v>
      </c>
      <c r="L1505" s="3">
        <f t="shared" si="338"/>
        <v>1</v>
      </c>
      <c r="M1505" s="3">
        <f t="shared" si="339"/>
        <v>0</v>
      </c>
      <c r="N1505" s="3" t="str">
        <f t="shared" si="343"/>
        <v>01</v>
      </c>
      <c r="O1505" s="14" t="str">
        <f t="shared" si="343"/>
        <v>00</v>
      </c>
      <c r="R1505" s="6">
        <v>521</v>
      </c>
      <c r="S1505" s="5">
        <f t="shared" si="344"/>
        <v>0</v>
      </c>
    </row>
    <row r="1506" spans="1:23" hidden="1">
      <c r="J1506" s="1" t="str">
        <f t="shared" si="336"/>
        <v>0</v>
      </c>
      <c r="K1506" s="3">
        <f t="shared" si="337"/>
        <v>-100</v>
      </c>
      <c r="L1506" s="3">
        <f t="shared" si="338"/>
        <v>1</v>
      </c>
      <c r="M1506" s="3">
        <f t="shared" si="339"/>
        <v>0</v>
      </c>
      <c r="N1506" s="3" t="str">
        <f t="shared" si="343"/>
        <v>01</v>
      </c>
      <c r="O1506" s="14" t="str">
        <f t="shared" si="343"/>
        <v>00</v>
      </c>
      <c r="R1506" s="6">
        <v>521</v>
      </c>
      <c r="S1506" s="5">
        <f t="shared" si="344"/>
        <v>0</v>
      </c>
    </row>
    <row r="1507" spans="1:23" hidden="1">
      <c r="J1507" s="1" t="str">
        <f t="shared" si="336"/>
        <v>0</v>
      </c>
      <c r="K1507" s="3">
        <f t="shared" si="337"/>
        <v>-100</v>
      </c>
      <c r="L1507" s="3">
        <f t="shared" si="338"/>
        <v>1</v>
      </c>
      <c r="M1507" s="3">
        <f t="shared" si="339"/>
        <v>0</v>
      </c>
      <c r="N1507" s="3" t="str">
        <f t="shared" si="343"/>
        <v>01</v>
      </c>
      <c r="O1507" s="14" t="str">
        <f t="shared" si="343"/>
        <v>00</v>
      </c>
      <c r="R1507" s="6">
        <v>521</v>
      </c>
      <c r="S1507" s="5">
        <f t="shared" si="344"/>
        <v>0</v>
      </c>
    </row>
    <row r="1508" spans="1:23" hidden="1">
      <c r="J1508" s="1" t="str">
        <f t="shared" si="336"/>
        <v>0</v>
      </c>
      <c r="K1508" s="3">
        <f t="shared" si="337"/>
        <v>-100</v>
      </c>
      <c r="L1508" s="3">
        <f t="shared" si="338"/>
        <v>1</v>
      </c>
      <c r="M1508" s="3">
        <f t="shared" si="339"/>
        <v>0</v>
      </c>
      <c r="N1508" s="3" t="str">
        <f t="shared" si="343"/>
        <v>01</v>
      </c>
      <c r="O1508" s="14" t="str">
        <f t="shared" si="343"/>
        <v>00</v>
      </c>
      <c r="P1508" s="111"/>
      <c r="R1508" s="6">
        <v>521</v>
      </c>
      <c r="S1508" s="5">
        <f t="shared" si="344"/>
        <v>0</v>
      </c>
    </row>
    <row r="1509" spans="1:23" hidden="1">
      <c r="J1509" s="1" t="str">
        <f t="shared" si="336"/>
        <v>0</v>
      </c>
      <c r="K1509" s="3">
        <f t="shared" si="337"/>
        <v>-100</v>
      </c>
      <c r="L1509" s="3">
        <f t="shared" si="338"/>
        <v>1</v>
      </c>
      <c r="M1509" s="3">
        <f t="shared" si="339"/>
        <v>0</v>
      </c>
      <c r="N1509" s="3" t="str">
        <f t="shared" si="343"/>
        <v>01</v>
      </c>
      <c r="O1509" s="14" t="str">
        <f t="shared" si="343"/>
        <v>00</v>
      </c>
      <c r="P1509" s="111"/>
      <c r="R1509" s="6">
        <v>521</v>
      </c>
      <c r="S1509" s="5">
        <f t="shared" si="344"/>
        <v>0</v>
      </c>
    </row>
    <row r="1510" spans="1:23" hidden="1">
      <c r="J1510" s="1" t="str">
        <f t="shared" si="336"/>
        <v>0</v>
      </c>
      <c r="K1510" s="3">
        <f t="shared" si="337"/>
        <v>-100</v>
      </c>
      <c r="L1510" s="3">
        <f t="shared" si="338"/>
        <v>1</v>
      </c>
      <c r="M1510" s="3">
        <f t="shared" si="339"/>
        <v>0</v>
      </c>
      <c r="N1510" s="3" t="str">
        <f t="shared" si="343"/>
        <v>01</v>
      </c>
      <c r="O1510" s="14" t="str">
        <f t="shared" si="343"/>
        <v>00</v>
      </c>
      <c r="P1510" s="111"/>
      <c r="R1510" s="6">
        <v>521</v>
      </c>
      <c r="S1510" s="5">
        <f t="shared" si="344"/>
        <v>0</v>
      </c>
    </row>
    <row r="1511" spans="1:23" hidden="1">
      <c r="J1511" s="1" t="str">
        <f t="shared" si="336"/>
        <v>0</v>
      </c>
      <c r="K1511" s="3">
        <f t="shared" si="337"/>
        <v>-100</v>
      </c>
      <c r="L1511" s="3">
        <f t="shared" si="338"/>
        <v>1</v>
      </c>
      <c r="M1511" s="3">
        <f t="shared" si="339"/>
        <v>0</v>
      </c>
      <c r="N1511" s="3" t="str">
        <f t="shared" si="343"/>
        <v>01</v>
      </c>
      <c r="O1511" s="14" t="str">
        <f t="shared" si="343"/>
        <v>00</v>
      </c>
      <c r="P1511" s="111"/>
      <c r="R1511" s="6">
        <v>521</v>
      </c>
      <c r="S1511" s="5">
        <f t="shared" si="344"/>
        <v>0</v>
      </c>
    </row>
    <row r="1512" spans="1:23" hidden="1">
      <c r="J1512" s="1" t="str">
        <f t="shared" si="336"/>
        <v>0</v>
      </c>
      <c r="K1512" s="3">
        <f t="shared" si="337"/>
        <v>-100</v>
      </c>
      <c r="L1512" s="3">
        <f t="shared" si="338"/>
        <v>1</v>
      </c>
      <c r="M1512" s="3">
        <f t="shared" si="339"/>
        <v>0</v>
      </c>
      <c r="N1512" s="3" t="str">
        <f t="shared" si="343"/>
        <v>01</v>
      </c>
      <c r="O1512" s="14" t="str">
        <f t="shared" si="343"/>
        <v>00</v>
      </c>
      <c r="R1512" s="6">
        <v>521</v>
      </c>
      <c r="S1512" s="5">
        <f t="shared" si="344"/>
        <v>0</v>
      </c>
    </row>
    <row r="1513" spans="1:23" hidden="1">
      <c r="J1513" s="1" t="str">
        <f t="shared" si="336"/>
        <v>0</v>
      </c>
      <c r="K1513" s="3">
        <f t="shared" si="337"/>
        <v>-100</v>
      </c>
      <c r="L1513" s="3">
        <f t="shared" si="338"/>
        <v>1</v>
      </c>
      <c r="M1513" s="3">
        <f t="shared" si="339"/>
        <v>0</v>
      </c>
      <c r="N1513" s="3" t="str">
        <f t="shared" si="343"/>
        <v>01</v>
      </c>
      <c r="O1513" s="14" t="str">
        <f t="shared" si="343"/>
        <v>00</v>
      </c>
      <c r="R1513" s="6">
        <v>521</v>
      </c>
      <c r="S1513" s="5">
        <f t="shared" si="344"/>
        <v>0</v>
      </c>
    </row>
    <row r="1514" spans="1:23" hidden="1">
      <c r="J1514" s="1" t="str">
        <f t="shared" si="336"/>
        <v>0</v>
      </c>
      <c r="K1514" s="3">
        <f t="shared" si="337"/>
        <v>-100</v>
      </c>
      <c r="L1514" s="3">
        <f t="shared" si="338"/>
        <v>1</v>
      </c>
      <c r="M1514" s="3">
        <f t="shared" si="339"/>
        <v>0</v>
      </c>
      <c r="N1514" s="3" t="str">
        <f t="shared" si="343"/>
        <v>01</v>
      </c>
      <c r="O1514" s="14" t="str">
        <f t="shared" si="343"/>
        <v>00</v>
      </c>
      <c r="R1514" s="6">
        <v>521</v>
      </c>
      <c r="S1514" s="5">
        <f t="shared" si="344"/>
        <v>0</v>
      </c>
    </row>
    <row r="1515" spans="1:23" hidden="1">
      <c r="J1515" s="1" t="str">
        <f t="shared" si="336"/>
        <v>0</v>
      </c>
      <c r="K1515" s="3">
        <f t="shared" si="337"/>
        <v>-100</v>
      </c>
      <c r="L1515" s="3">
        <f t="shared" si="338"/>
        <v>1</v>
      </c>
      <c r="M1515" s="3">
        <f t="shared" si="339"/>
        <v>0</v>
      </c>
      <c r="N1515" s="3" t="str">
        <f t="shared" si="343"/>
        <v>01</v>
      </c>
      <c r="O1515" s="14" t="str">
        <f t="shared" si="343"/>
        <v>00</v>
      </c>
      <c r="R1515" s="6">
        <v>521</v>
      </c>
      <c r="S1515" s="5">
        <f t="shared" si="344"/>
        <v>0</v>
      </c>
    </row>
    <row r="1516" spans="1:23">
      <c r="A1516" s="3">
        <v>1502</v>
      </c>
      <c r="B1516" s="1">
        <f t="shared" ref="B1516:B1518" si="345">IF(G1516="-",0,IF(G1515=G1516,1,0))</f>
        <v>0</v>
      </c>
      <c r="C1516" s="1">
        <f t="shared" ref="C1516:C1518" si="346">+IF(G1516="-",0,IF(I1516=I1515+1,0,(IF(I1516=1,0,1))))</f>
        <v>1</v>
      </c>
      <c r="D1516" s="1">
        <f t="shared" ref="D1516:D1525" si="347">+IF(AND(P1516="",Q1516=""),1,0)</f>
        <v>0</v>
      </c>
      <c r="E1516" s="1">
        <f t="shared" ref="E1516:F1525" si="348">IF(U1516="",1,0)</f>
        <v>0</v>
      </c>
      <c r="F1516" s="1">
        <f t="shared" si="348"/>
        <v>0</v>
      </c>
      <c r="G1516" s="1" t="str">
        <f t="shared" ref="G1516:G1525" si="349">IF(H1516=0,"-",_xlfn.CONCAT(K1516,N1516,O1516,J1516))</f>
        <v>24080719</v>
      </c>
      <c r="H1516" s="2">
        <v>45511</v>
      </c>
      <c r="I1516" s="36">
        <v>19</v>
      </c>
      <c r="J1516" s="1">
        <f t="shared" si="336"/>
        <v>19</v>
      </c>
      <c r="K1516" s="3">
        <f t="shared" si="337"/>
        <v>24</v>
      </c>
      <c r="L1516" s="3">
        <f t="shared" si="338"/>
        <v>8</v>
      </c>
      <c r="M1516" s="3">
        <f t="shared" si="339"/>
        <v>7</v>
      </c>
      <c r="N1516" s="3" t="str">
        <f t="shared" si="343"/>
        <v>08</v>
      </c>
      <c r="O1516" s="14" t="str">
        <f t="shared" si="343"/>
        <v>07</v>
      </c>
      <c r="P1516" s="4">
        <v>5807.27</v>
      </c>
      <c r="R1516" s="6">
        <v>521</v>
      </c>
      <c r="S1516" s="5">
        <f t="shared" si="344"/>
        <v>11.146391554702497</v>
      </c>
      <c r="T1516" s="5" t="s">
        <v>829</v>
      </c>
      <c r="U1516" s="3" t="s">
        <v>29</v>
      </c>
      <c r="V1516" s="3" t="s">
        <v>5</v>
      </c>
    </row>
    <row r="1517" spans="1:23" hidden="1">
      <c r="J1517" s="1" t="str">
        <f t="shared" si="336"/>
        <v>0</v>
      </c>
      <c r="K1517" s="3">
        <f t="shared" si="337"/>
        <v>-100</v>
      </c>
      <c r="L1517" s="3">
        <f t="shared" si="338"/>
        <v>1</v>
      </c>
      <c r="M1517" s="3">
        <f t="shared" si="339"/>
        <v>0</v>
      </c>
      <c r="N1517" s="3" t="str">
        <f t="shared" si="343"/>
        <v>01</v>
      </c>
      <c r="O1517" s="14" t="str">
        <f t="shared" si="343"/>
        <v>00</v>
      </c>
    </row>
    <row r="1518" spans="1:23">
      <c r="A1518" s="3">
        <v>1503</v>
      </c>
      <c r="B1518" s="1">
        <f t="shared" si="345"/>
        <v>0</v>
      </c>
      <c r="C1518" s="1">
        <f t="shared" si="346"/>
        <v>0</v>
      </c>
      <c r="D1518" s="1">
        <f t="shared" si="347"/>
        <v>0</v>
      </c>
      <c r="E1518" s="1">
        <f t="shared" si="348"/>
        <v>0</v>
      </c>
      <c r="F1518" s="1">
        <f t="shared" si="348"/>
        <v>0</v>
      </c>
      <c r="G1518" s="1" t="str">
        <f t="shared" si="349"/>
        <v>24080801</v>
      </c>
      <c r="H1518" s="2">
        <v>45512</v>
      </c>
      <c r="I1518" s="36">
        <v>1</v>
      </c>
      <c r="J1518" s="1" t="str">
        <f t="shared" si="336"/>
        <v>01</v>
      </c>
      <c r="K1518" s="3">
        <f t="shared" si="337"/>
        <v>24</v>
      </c>
      <c r="L1518" s="3">
        <f t="shared" si="338"/>
        <v>8</v>
      </c>
      <c r="M1518" s="3">
        <f t="shared" si="339"/>
        <v>8</v>
      </c>
      <c r="N1518" s="3" t="str">
        <f t="shared" si="343"/>
        <v>08</v>
      </c>
      <c r="O1518" s="14" t="str">
        <f t="shared" si="343"/>
        <v>08</v>
      </c>
      <c r="P1518" s="4">
        <v>576300</v>
      </c>
      <c r="R1518" s="6">
        <v>522</v>
      </c>
      <c r="S1518" s="5">
        <f t="shared" ref="S1518:S1526" si="350">IFERROR(P1518/R1518,"")</f>
        <v>1104.0229885057472</v>
      </c>
      <c r="T1518" s="5" t="s">
        <v>619</v>
      </c>
      <c r="U1518" s="3" t="s">
        <v>1</v>
      </c>
      <c r="V1518" s="3" t="s">
        <v>5</v>
      </c>
    </row>
    <row r="1519" spans="1:23" s="104" customFormat="1" hidden="1">
      <c r="A1519" s="3"/>
      <c r="B1519" s="1"/>
      <c r="C1519" s="1"/>
      <c r="D1519" s="1"/>
      <c r="E1519" s="1"/>
      <c r="F1519" s="1"/>
      <c r="G1519" s="1"/>
      <c r="H1519" s="2"/>
      <c r="I1519" s="36"/>
      <c r="J1519" s="1" t="str">
        <f t="shared" si="336"/>
        <v>0</v>
      </c>
      <c r="K1519" s="3">
        <f t="shared" si="337"/>
        <v>-100</v>
      </c>
      <c r="L1519" s="3">
        <f t="shared" si="338"/>
        <v>1</v>
      </c>
      <c r="M1519" s="3">
        <f t="shared" si="339"/>
        <v>0</v>
      </c>
      <c r="N1519" s="3" t="str">
        <f t="shared" si="343"/>
        <v>01</v>
      </c>
      <c r="O1519" s="14" t="str">
        <f t="shared" si="343"/>
        <v>00</v>
      </c>
      <c r="P1519" s="4"/>
      <c r="Q1519" s="5"/>
      <c r="R1519" s="6">
        <v>522</v>
      </c>
      <c r="S1519" s="5">
        <f t="shared" si="350"/>
        <v>0</v>
      </c>
      <c r="T1519" s="5"/>
      <c r="U1519" s="3"/>
      <c r="V1519" s="3"/>
      <c r="W1519" s="3"/>
    </row>
    <row r="1520" spans="1:23" hidden="1">
      <c r="J1520" s="1" t="str">
        <f t="shared" si="336"/>
        <v>0</v>
      </c>
      <c r="K1520" s="3">
        <f t="shared" si="337"/>
        <v>-100</v>
      </c>
      <c r="L1520" s="3">
        <f t="shared" si="338"/>
        <v>1</v>
      </c>
      <c r="M1520" s="3">
        <f t="shared" si="339"/>
        <v>0</v>
      </c>
      <c r="N1520" s="3" t="str">
        <f t="shared" si="343"/>
        <v>01</v>
      </c>
      <c r="O1520" s="14" t="str">
        <f t="shared" si="343"/>
        <v>00</v>
      </c>
      <c r="R1520" s="6">
        <v>522</v>
      </c>
      <c r="S1520" s="5">
        <f t="shared" si="350"/>
        <v>0</v>
      </c>
    </row>
    <row r="1521" spans="1:23" hidden="1">
      <c r="J1521" s="1" t="str">
        <f t="shared" si="336"/>
        <v>0</v>
      </c>
      <c r="K1521" s="3">
        <f t="shared" si="337"/>
        <v>-100</v>
      </c>
      <c r="L1521" s="3">
        <f t="shared" si="338"/>
        <v>1</v>
      </c>
      <c r="M1521" s="3">
        <f t="shared" si="339"/>
        <v>0</v>
      </c>
      <c r="N1521" s="3" t="str">
        <f t="shared" si="343"/>
        <v>01</v>
      </c>
      <c r="O1521" s="14" t="str">
        <f t="shared" si="343"/>
        <v>00</v>
      </c>
      <c r="R1521" s="6">
        <v>522</v>
      </c>
      <c r="S1521" s="5">
        <f t="shared" si="350"/>
        <v>0</v>
      </c>
    </row>
    <row r="1522" spans="1:23" hidden="1">
      <c r="J1522" s="1" t="str">
        <f t="shared" si="336"/>
        <v>0</v>
      </c>
      <c r="K1522" s="3">
        <f t="shared" si="337"/>
        <v>-100</v>
      </c>
      <c r="L1522" s="3">
        <f t="shared" si="338"/>
        <v>1</v>
      </c>
      <c r="M1522" s="3">
        <f t="shared" si="339"/>
        <v>0</v>
      </c>
      <c r="N1522" s="3" t="str">
        <f t="shared" si="343"/>
        <v>01</v>
      </c>
      <c r="O1522" s="14" t="str">
        <f t="shared" si="343"/>
        <v>00</v>
      </c>
      <c r="R1522" s="6">
        <v>522</v>
      </c>
      <c r="S1522" s="5">
        <f t="shared" si="350"/>
        <v>0</v>
      </c>
    </row>
    <row r="1523" spans="1:23" hidden="1">
      <c r="J1523" s="1" t="str">
        <f t="shared" si="336"/>
        <v>0</v>
      </c>
      <c r="K1523" s="3">
        <f t="shared" si="337"/>
        <v>-100</v>
      </c>
      <c r="L1523" s="3">
        <f t="shared" si="338"/>
        <v>1</v>
      </c>
      <c r="M1523" s="3">
        <f t="shared" si="339"/>
        <v>0</v>
      </c>
      <c r="N1523" s="3" t="str">
        <f t="shared" si="343"/>
        <v>01</v>
      </c>
      <c r="O1523" s="14" t="str">
        <f t="shared" si="343"/>
        <v>00</v>
      </c>
      <c r="R1523" s="6">
        <v>522</v>
      </c>
      <c r="S1523" s="5">
        <f t="shared" si="350"/>
        <v>0</v>
      </c>
    </row>
    <row r="1524" spans="1:23" hidden="1">
      <c r="J1524" s="1" t="str">
        <f t="shared" si="336"/>
        <v>0</v>
      </c>
      <c r="K1524" s="3">
        <f t="shared" si="337"/>
        <v>-100</v>
      </c>
      <c r="L1524" s="3">
        <f t="shared" si="338"/>
        <v>1</v>
      </c>
      <c r="M1524" s="3">
        <f t="shared" si="339"/>
        <v>0</v>
      </c>
      <c r="N1524" s="3" t="str">
        <f t="shared" si="343"/>
        <v>01</v>
      </c>
      <c r="O1524" s="14" t="str">
        <f t="shared" si="343"/>
        <v>00</v>
      </c>
      <c r="R1524" s="6">
        <v>522</v>
      </c>
      <c r="S1524" s="5">
        <f t="shared" si="350"/>
        <v>0</v>
      </c>
      <c r="T1524" s="3"/>
    </row>
    <row r="1525" spans="1:23">
      <c r="A1525" s="3">
        <v>1511</v>
      </c>
      <c r="B1525" s="1">
        <f t="shared" ref="B1525" si="351">IF(G1525="-",0,IF(G1524=G1525,1,0))</f>
        <v>0</v>
      </c>
      <c r="C1525" s="1">
        <f t="shared" ref="C1525" si="352">+IF(G1525="-",0,IF(I1525=I1524+1,0,(IF(I1525=1,0,1))))</f>
        <v>1</v>
      </c>
      <c r="D1525" s="1">
        <f t="shared" si="347"/>
        <v>0</v>
      </c>
      <c r="E1525" s="1">
        <f t="shared" si="348"/>
        <v>0</v>
      </c>
      <c r="F1525" s="1">
        <f t="shared" si="348"/>
        <v>0</v>
      </c>
      <c r="G1525" s="1" t="str">
        <f t="shared" si="349"/>
        <v>24080808</v>
      </c>
      <c r="H1525" s="2">
        <v>45512</v>
      </c>
      <c r="I1525" s="36">
        <v>8</v>
      </c>
      <c r="J1525" s="1" t="str">
        <f t="shared" si="336"/>
        <v>08</v>
      </c>
      <c r="K1525" s="3">
        <f t="shared" si="337"/>
        <v>24</v>
      </c>
      <c r="L1525" s="3">
        <f t="shared" si="338"/>
        <v>8</v>
      </c>
      <c r="M1525" s="3">
        <f t="shared" si="339"/>
        <v>8</v>
      </c>
      <c r="N1525" s="3" t="str">
        <f t="shared" si="343"/>
        <v>08</v>
      </c>
      <c r="O1525" s="14" t="str">
        <f t="shared" si="343"/>
        <v>08</v>
      </c>
      <c r="P1525" s="4">
        <v>10000</v>
      </c>
      <c r="R1525" s="6">
        <v>522</v>
      </c>
      <c r="S1525" s="5">
        <f t="shared" si="350"/>
        <v>19.157088122605366</v>
      </c>
      <c r="T1525" s="5" t="s">
        <v>784</v>
      </c>
      <c r="U1525" s="3" t="s">
        <v>29</v>
      </c>
      <c r="V1525" s="3" t="s">
        <v>5</v>
      </c>
    </row>
    <row r="1526" spans="1:23" hidden="1">
      <c r="G1526" s="105"/>
      <c r="H1526" s="106"/>
      <c r="J1526" s="105" t="str">
        <f t="shared" si="336"/>
        <v>0</v>
      </c>
      <c r="K1526" s="104">
        <f t="shared" si="337"/>
        <v>-100</v>
      </c>
      <c r="L1526" s="104">
        <f t="shared" si="338"/>
        <v>1</v>
      </c>
      <c r="M1526" s="104">
        <f t="shared" si="339"/>
        <v>0</v>
      </c>
      <c r="N1526" s="104" t="str">
        <f t="shared" si="343"/>
        <v>01</v>
      </c>
      <c r="O1526" s="107" t="str">
        <f t="shared" si="343"/>
        <v>00</v>
      </c>
      <c r="P1526" s="108"/>
      <c r="Q1526" s="109"/>
      <c r="R1526" s="110">
        <v>522</v>
      </c>
      <c r="S1526" s="109">
        <f t="shared" si="350"/>
        <v>0</v>
      </c>
      <c r="T1526" s="109"/>
      <c r="U1526" s="104"/>
      <c r="V1526" s="104"/>
      <c r="W1526" s="104"/>
    </row>
    <row r="1527" spans="1:23" hidden="1"/>
    <row r="1528" spans="1:23" hidden="1">
      <c r="J1528" s="1" t="str">
        <f t="shared" ref="J1528:J1557" si="353">+IF(I1528&lt;10,_xlfn.CONCAT("0",I1528),I1528)</f>
        <v>0</v>
      </c>
      <c r="K1528" s="3">
        <f t="shared" ref="K1528:K1557" si="354">+YEAR(H1528)-2000</f>
        <v>-100</v>
      </c>
      <c r="L1528" s="3">
        <f t="shared" ref="L1528:L1557" si="355">+MONTH(H1528)</f>
        <v>1</v>
      </c>
      <c r="M1528" s="3">
        <f t="shared" ref="M1528:M1557" si="356">+DAY(H1528)</f>
        <v>0</v>
      </c>
      <c r="N1528" s="3" t="str">
        <f t="shared" ref="N1528:O1557" si="357">+IF(L1528&lt;10,_xlfn.CONCAT("0",L1528),L1528)</f>
        <v>01</v>
      </c>
      <c r="O1528" s="14" t="str">
        <f t="shared" si="357"/>
        <v>00</v>
      </c>
      <c r="R1528" s="6">
        <v>522</v>
      </c>
      <c r="S1528" s="5">
        <f t="shared" ref="S1528:S1557" si="358">IFERROR(P1528/R1528,"")</f>
        <v>0</v>
      </c>
      <c r="T1528" s="3"/>
    </row>
    <row r="1529" spans="1:23" hidden="1">
      <c r="J1529" s="1" t="str">
        <f t="shared" si="353"/>
        <v>0</v>
      </c>
      <c r="K1529" s="3">
        <f t="shared" si="354"/>
        <v>-100</v>
      </c>
      <c r="L1529" s="3">
        <f t="shared" si="355"/>
        <v>1</v>
      </c>
      <c r="M1529" s="3">
        <f t="shared" si="356"/>
        <v>0</v>
      </c>
      <c r="N1529" s="3" t="str">
        <f t="shared" si="357"/>
        <v>01</v>
      </c>
      <c r="O1529" s="14" t="str">
        <f t="shared" si="357"/>
        <v>00</v>
      </c>
      <c r="R1529" s="6">
        <v>522</v>
      </c>
      <c r="S1529" s="5">
        <f t="shared" si="358"/>
        <v>0</v>
      </c>
      <c r="T1529" s="3"/>
    </row>
    <row r="1530" spans="1:23" hidden="1">
      <c r="J1530" s="1" t="str">
        <f t="shared" si="353"/>
        <v>0</v>
      </c>
      <c r="K1530" s="3">
        <f t="shared" si="354"/>
        <v>-100</v>
      </c>
      <c r="L1530" s="3">
        <f t="shared" si="355"/>
        <v>1</v>
      </c>
      <c r="M1530" s="3">
        <f t="shared" si="356"/>
        <v>0</v>
      </c>
      <c r="N1530" s="3" t="str">
        <f t="shared" si="357"/>
        <v>01</v>
      </c>
      <c r="O1530" s="14" t="str">
        <f t="shared" si="357"/>
        <v>00</v>
      </c>
      <c r="R1530" s="6">
        <v>522</v>
      </c>
      <c r="S1530" s="5">
        <f t="shared" si="358"/>
        <v>0</v>
      </c>
      <c r="T1530" s="3"/>
    </row>
    <row r="1531" spans="1:23" hidden="1">
      <c r="J1531" s="1" t="str">
        <f t="shared" si="353"/>
        <v>0</v>
      </c>
      <c r="K1531" s="3">
        <f t="shared" si="354"/>
        <v>-100</v>
      </c>
      <c r="L1531" s="3">
        <f t="shared" si="355"/>
        <v>1</v>
      </c>
      <c r="M1531" s="3">
        <f t="shared" si="356"/>
        <v>0</v>
      </c>
      <c r="N1531" s="3" t="str">
        <f t="shared" si="357"/>
        <v>01</v>
      </c>
      <c r="O1531" s="14" t="str">
        <f t="shared" si="357"/>
        <v>00</v>
      </c>
      <c r="R1531" s="6">
        <v>522</v>
      </c>
      <c r="S1531" s="5">
        <f t="shared" si="358"/>
        <v>0</v>
      </c>
    </row>
    <row r="1532" spans="1:23" hidden="1">
      <c r="J1532" s="1" t="str">
        <f t="shared" si="353"/>
        <v>0</v>
      </c>
      <c r="K1532" s="3">
        <f t="shared" si="354"/>
        <v>-100</v>
      </c>
      <c r="L1532" s="3">
        <f t="shared" si="355"/>
        <v>1</v>
      </c>
      <c r="M1532" s="3">
        <f t="shared" si="356"/>
        <v>0</v>
      </c>
      <c r="N1532" s="3" t="str">
        <f t="shared" si="357"/>
        <v>01</v>
      </c>
      <c r="O1532" s="14" t="str">
        <f t="shared" si="357"/>
        <v>00</v>
      </c>
      <c r="R1532" s="6">
        <v>520</v>
      </c>
      <c r="S1532" s="5">
        <f t="shared" si="358"/>
        <v>0</v>
      </c>
    </row>
    <row r="1533" spans="1:23" hidden="1">
      <c r="J1533" s="1" t="str">
        <f t="shared" si="353"/>
        <v>0</v>
      </c>
      <c r="K1533" s="3">
        <f t="shared" si="354"/>
        <v>-100</v>
      </c>
      <c r="L1533" s="3">
        <f t="shared" si="355"/>
        <v>1</v>
      </c>
      <c r="M1533" s="3">
        <f t="shared" si="356"/>
        <v>0</v>
      </c>
      <c r="N1533" s="3" t="str">
        <f t="shared" si="357"/>
        <v>01</v>
      </c>
      <c r="O1533" s="14" t="str">
        <f t="shared" si="357"/>
        <v>00</v>
      </c>
      <c r="S1533" s="5" t="str">
        <f t="shared" si="358"/>
        <v/>
      </c>
    </row>
    <row r="1534" spans="1:23" hidden="1">
      <c r="J1534" s="1" t="str">
        <f t="shared" si="353"/>
        <v>0</v>
      </c>
      <c r="K1534" s="3">
        <f t="shared" si="354"/>
        <v>-100</v>
      </c>
      <c r="L1534" s="3">
        <f t="shared" si="355"/>
        <v>1</v>
      </c>
      <c r="M1534" s="3">
        <f t="shared" si="356"/>
        <v>0</v>
      </c>
      <c r="N1534" s="3" t="str">
        <f t="shared" si="357"/>
        <v>01</v>
      </c>
      <c r="O1534" s="14" t="str">
        <f t="shared" si="357"/>
        <v>00</v>
      </c>
      <c r="S1534" s="5" t="str">
        <f t="shared" si="358"/>
        <v/>
      </c>
    </row>
    <row r="1535" spans="1:23" hidden="1">
      <c r="H1535" s="112"/>
      <c r="J1535" s="113" t="str">
        <f t="shared" si="353"/>
        <v>0</v>
      </c>
      <c r="K1535" s="34">
        <f t="shared" si="354"/>
        <v>-100</v>
      </c>
      <c r="L1535" s="34">
        <f t="shared" si="355"/>
        <v>1</v>
      </c>
      <c r="M1535" s="34">
        <f t="shared" si="356"/>
        <v>0</v>
      </c>
      <c r="N1535" s="34" t="str">
        <f t="shared" si="357"/>
        <v>01</v>
      </c>
      <c r="O1535" s="114" t="str">
        <f t="shared" si="357"/>
        <v>00</v>
      </c>
      <c r="P1535" s="132"/>
      <c r="Q1535" s="115"/>
      <c r="R1535" s="116">
        <v>520</v>
      </c>
      <c r="S1535" s="5">
        <f t="shared" si="358"/>
        <v>0</v>
      </c>
      <c r="T1535" s="34"/>
      <c r="U1535" s="34"/>
      <c r="V1535" s="34"/>
    </row>
    <row r="1536" spans="1:23">
      <c r="A1536" s="3">
        <v>1522</v>
      </c>
      <c r="B1536" s="1">
        <f t="shared" ref="B1536:B1556" si="359">IF(G1536="-",0,IF(G1535=G1536,1,0))</f>
        <v>0</v>
      </c>
      <c r="C1536" s="1">
        <f t="shared" ref="C1536:C1556" si="360">+IF(G1536="-",0,IF(I1536=I1535+1,0,(IF(I1536=1,0,1))))</f>
        <v>1</v>
      </c>
      <c r="D1536" s="1">
        <f t="shared" ref="D1536:D1556" si="361">+IF(AND(P1536="",Q1536=""),1,0)</f>
        <v>0</v>
      </c>
      <c r="E1536" s="1">
        <f t="shared" ref="E1536:F1556" si="362">IF(U1536="",1,0)</f>
        <v>0</v>
      </c>
      <c r="F1536" s="1">
        <f t="shared" si="362"/>
        <v>0</v>
      </c>
      <c r="G1536" s="1" t="str">
        <f t="shared" ref="G1536:G1556" si="363">IF(H1536=0,"-",_xlfn.CONCAT(K1536,N1536,O1536,J1536))</f>
        <v>24081005</v>
      </c>
      <c r="H1536" s="112">
        <v>45514</v>
      </c>
      <c r="I1536" s="36">
        <v>5</v>
      </c>
      <c r="J1536" s="113" t="str">
        <f t="shared" si="353"/>
        <v>05</v>
      </c>
      <c r="K1536" s="34">
        <f t="shared" si="354"/>
        <v>24</v>
      </c>
      <c r="L1536" s="34">
        <f t="shared" si="355"/>
        <v>8</v>
      </c>
      <c r="M1536" s="34">
        <f t="shared" si="356"/>
        <v>10</v>
      </c>
      <c r="N1536" s="34" t="str">
        <f t="shared" si="357"/>
        <v>08</v>
      </c>
      <c r="O1536" s="114">
        <f t="shared" si="357"/>
        <v>10</v>
      </c>
      <c r="P1536" s="132">
        <v>102000</v>
      </c>
      <c r="Q1536" s="115"/>
      <c r="R1536" s="116">
        <v>520</v>
      </c>
      <c r="S1536" s="5">
        <f t="shared" si="358"/>
        <v>196.15384615384616</v>
      </c>
      <c r="T1536" s="34" t="s">
        <v>593</v>
      </c>
      <c r="U1536" s="34" t="s">
        <v>1</v>
      </c>
      <c r="V1536" s="34" t="s">
        <v>5</v>
      </c>
    </row>
    <row r="1537" spans="1:22" hidden="1">
      <c r="J1537" s="1" t="str">
        <f t="shared" si="353"/>
        <v>0</v>
      </c>
      <c r="K1537" s="3">
        <f t="shared" si="354"/>
        <v>-100</v>
      </c>
      <c r="L1537" s="3">
        <f t="shared" si="355"/>
        <v>1</v>
      </c>
      <c r="M1537" s="3">
        <f t="shared" si="356"/>
        <v>0</v>
      </c>
      <c r="N1537" s="3" t="str">
        <f t="shared" si="357"/>
        <v>01</v>
      </c>
      <c r="O1537" s="14" t="str">
        <f t="shared" si="357"/>
        <v>00</v>
      </c>
      <c r="P1537" s="132"/>
      <c r="R1537" s="6">
        <v>520</v>
      </c>
      <c r="S1537" s="5">
        <f t="shared" si="358"/>
        <v>0</v>
      </c>
      <c r="T1537" s="3"/>
    </row>
    <row r="1538" spans="1:22" hidden="1">
      <c r="J1538" s="1" t="str">
        <f t="shared" si="353"/>
        <v>0</v>
      </c>
      <c r="K1538" s="3">
        <f t="shared" si="354"/>
        <v>-100</v>
      </c>
      <c r="L1538" s="3">
        <f t="shared" si="355"/>
        <v>1</v>
      </c>
      <c r="M1538" s="3">
        <f t="shared" si="356"/>
        <v>0</v>
      </c>
      <c r="N1538" s="3" t="str">
        <f t="shared" si="357"/>
        <v>01</v>
      </c>
      <c r="O1538" s="14" t="str">
        <f t="shared" si="357"/>
        <v>00</v>
      </c>
      <c r="P1538" s="132"/>
      <c r="R1538" s="6">
        <v>520</v>
      </c>
      <c r="S1538" s="5">
        <f t="shared" si="358"/>
        <v>0</v>
      </c>
      <c r="T1538" s="3"/>
    </row>
    <row r="1539" spans="1:22" hidden="1">
      <c r="J1539" s="1" t="str">
        <f t="shared" si="353"/>
        <v>0</v>
      </c>
      <c r="K1539" s="3">
        <f t="shared" si="354"/>
        <v>-100</v>
      </c>
      <c r="L1539" s="3">
        <f t="shared" si="355"/>
        <v>1</v>
      </c>
      <c r="M1539" s="3">
        <f t="shared" si="356"/>
        <v>0</v>
      </c>
      <c r="N1539" s="3" t="str">
        <f t="shared" si="357"/>
        <v>01</v>
      </c>
      <c r="O1539" s="14" t="str">
        <f t="shared" si="357"/>
        <v>00</v>
      </c>
      <c r="P1539" s="132"/>
      <c r="R1539" s="6">
        <v>520</v>
      </c>
      <c r="S1539" s="5">
        <f t="shared" si="358"/>
        <v>0</v>
      </c>
      <c r="T1539" s="3"/>
    </row>
    <row r="1540" spans="1:22" hidden="1">
      <c r="J1540" s="1" t="str">
        <f t="shared" si="353"/>
        <v>0</v>
      </c>
      <c r="K1540" s="3">
        <f t="shared" si="354"/>
        <v>-100</v>
      </c>
      <c r="L1540" s="3">
        <f t="shared" si="355"/>
        <v>1</v>
      </c>
      <c r="M1540" s="3">
        <f t="shared" si="356"/>
        <v>0</v>
      </c>
      <c r="N1540" s="3" t="str">
        <f t="shared" si="357"/>
        <v>01</v>
      </c>
      <c r="O1540" s="14" t="str">
        <f t="shared" si="357"/>
        <v>00</v>
      </c>
      <c r="P1540" s="132"/>
      <c r="R1540" s="6">
        <v>520</v>
      </c>
      <c r="S1540" s="5">
        <f t="shared" si="358"/>
        <v>0</v>
      </c>
      <c r="T1540" s="3"/>
    </row>
    <row r="1541" spans="1:22">
      <c r="A1541" s="3">
        <v>1527</v>
      </c>
      <c r="B1541" s="1">
        <f t="shared" si="359"/>
        <v>0</v>
      </c>
      <c r="C1541" s="1">
        <f t="shared" si="360"/>
        <v>1</v>
      </c>
      <c r="D1541" s="1">
        <f t="shared" si="361"/>
        <v>0</v>
      </c>
      <c r="E1541" s="1">
        <f t="shared" si="362"/>
        <v>0</v>
      </c>
      <c r="F1541" s="1">
        <f t="shared" si="362"/>
        <v>0</v>
      </c>
      <c r="G1541" s="1" t="str">
        <f t="shared" si="363"/>
        <v>24081010</v>
      </c>
      <c r="H1541" s="2">
        <v>45514</v>
      </c>
      <c r="I1541" s="36">
        <v>10</v>
      </c>
      <c r="J1541" s="1">
        <f t="shared" si="353"/>
        <v>10</v>
      </c>
      <c r="K1541" s="3">
        <f t="shared" si="354"/>
        <v>24</v>
      </c>
      <c r="L1541" s="3">
        <f t="shared" si="355"/>
        <v>8</v>
      </c>
      <c r="M1541" s="3">
        <f t="shared" si="356"/>
        <v>10</v>
      </c>
      <c r="N1541" s="3" t="str">
        <f t="shared" si="357"/>
        <v>08</v>
      </c>
      <c r="O1541" s="14">
        <f t="shared" si="357"/>
        <v>10</v>
      </c>
      <c r="P1541" s="132">
        <v>150000</v>
      </c>
      <c r="R1541" s="6">
        <v>520</v>
      </c>
      <c r="S1541" s="5">
        <f t="shared" si="358"/>
        <v>288.46153846153845</v>
      </c>
      <c r="T1541" s="3" t="s">
        <v>577</v>
      </c>
      <c r="U1541" s="3" t="s">
        <v>1</v>
      </c>
      <c r="V1541" s="3" t="s">
        <v>5</v>
      </c>
    </row>
    <row r="1542" spans="1:22">
      <c r="A1542" s="3">
        <v>1528</v>
      </c>
      <c r="B1542" s="1">
        <f t="shared" si="359"/>
        <v>0</v>
      </c>
      <c r="C1542" s="1">
        <f t="shared" si="360"/>
        <v>0</v>
      </c>
      <c r="D1542" s="1">
        <f t="shared" si="361"/>
        <v>0</v>
      </c>
      <c r="E1542" s="1">
        <f t="shared" si="362"/>
        <v>0</v>
      </c>
      <c r="F1542" s="1">
        <f t="shared" si="362"/>
        <v>0</v>
      </c>
      <c r="G1542" s="1" t="str">
        <f t="shared" si="363"/>
        <v>24081011</v>
      </c>
      <c r="H1542" s="2">
        <v>45514</v>
      </c>
      <c r="I1542" s="36">
        <v>11</v>
      </c>
      <c r="J1542" s="1">
        <f t="shared" si="353"/>
        <v>11</v>
      </c>
      <c r="K1542" s="3">
        <f t="shared" si="354"/>
        <v>24</v>
      </c>
      <c r="L1542" s="3">
        <f t="shared" si="355"/>
        <v>8</v>
      </c>
      <c r="M1542" s="3">
        <f t="shared" si="356"/>
        <v>10</v>
      </c>
      <c r="N1542" s="3" t="str">
        <f t="shared" si="357"/>
        <v>08</v>
      </c>
      <c r="O1542" s="14">
        <f t="shared" si="357"/>
        <v>10</v>
      </c>
      <c r="P1542" s="132">
        <v>150000</v>
      </c>
      <c r="R1542" s="6">
        <v>520</v>
      </c>
      <c r="S1542" s="5">
        <f t="shared" si="358"/>
        <v>288.46153846153845</v>
      </c>
      <c r="T1542" s="3" t="s">
        <v>592</v>
      </c>
      <c r="U1542" s="3" t="s">
        <v>1</v>
      </c>
      <c r="V1542" s="3" t="s">
        <v>5</v>
      </c>
    </row>
    <row r="1543" spans="1:22">
      <c r="A1543" s="3">
        <v>1529</v>
      </c>
      <c r="B1543" s="1">
        <f t="shared" si="359"/>
        <v>0</v>
      </c>
      <c r="C1543" s="1">
        <f t="shared" si="360"/>
        <v>0</v>
      </c>
      <c r="D1543" s="1">
        <f t="shared" si="361"/>
        <v>0</v>
      </c>
      <c r="E1543" s="1">
        <f t="shared" si="362"/>
        <v>0</v>
      </c>
      <c r="F1543" s="1">
        <f t="shared" si="362"/>
        <v>0</v>
      </c>
      <c r="G1543" s="1" t="str">
        <f t="shared" si="363"/>
        <v>24081012</v>
      </c>
      <c r="H1543" s="81">
        <v>45514</v>
      </c>
      <c r="I1543" s="36">
        <v>12</v>
      </c>
      <c r="J1543" s="80">
        <f t="shared" si="353"/>
        <v>12</v>
      </c>
      <c r="K1543" s="117">
        <f t="shared" si="354"/>
        <v>24</v>
      </c>
      <c r="L1543" s="117">
        <f t="shared" si="355"/>
        <v>8</v>
      </c>
      <c r="M1543" s="117">
        <f t="shared" si="356"/>
        <v>10</v>
      </c>
      <c r="N1543" s="117" t="str">
        <f t="shared" si="357"/>
        <v>08</v>
      </c>
      <c r="O1543" s="118">
        <f t="shared" si="357"/>
        <v>10</v>
      </c>
      <c r="P1543" s="132">
        <v>230000</v>
      </c>
      <c r="Q1543" s="77"/>
      <c r="R1543" s="78">
        <v>520</v>
      </c>
      <c r="S1543" s="5">
        <f t="shared" si="358"/>
        <v>442.30769230769232</v>
      </c>
      <c r="T1543" s="117" t="s">
        <v>576</v>
      </c>
      <c r="U1543" s="3" t="s">
        <v>1</v>
      </c>
      <c r="V1543" s="3" t="s">
        <v>5</v>
      </c>
    </row>
    <row r="1544" spans="1:22">
      <c r="A1544" s="3">
        <v>1530</v>
      </c>
      <c r="B1544" s="1">
        <f t="shared" si="359"/>
        <v>0</v>
      </c>
      <c r="C1544" s="1">
        <f t="shared" si="360"/>
        <v>0</v>
      </c>
      <c r="D1544" s="1">
        <f t="shared" si="361"/>
        <v>0</v>
      </c>
      <c r="E1544" s="1">
        <f t="shared" si="362"/>
        <v>0</v>
      </c>
      <c r="F1544" s="1">
        <f t="shared" si="362"/>
        <v>0</v>
      </c>
      <c r="G1544" s="1" t="str">
        <f t="shared" si="363"/>
        <v>24081013</v>
      </c>
      <c r="H1544" s="81">
        <v>45514</v>
      </c>
      <c r="I1544" s="36">
        <v>13</v>
      </c>
      <c r="J1544" s="80">
        <f t="shared" si="353"/>
        <v>13</v>
      </c>
      <c r="K1544" s="117">
        <f t="shared" si="354"/>
        <v>24</v>
      </c>
      <c r="L1544" s="117">
        <f t="shared" si="355"/>
        <v>8</v>
      </c>
      <c r="M1544" s="117">
        <f t="shared" si="356"/>
        <v>10</v>
      </c>
      <c r="N1544" s="117" t="str">
        <f t="shared" si="357"/>
        <v>08</v>
      </c>
      <c r="O1544" s="118">
        <f t="shared" si="357"/>
        <v>10</v>
      </c>
      <c r="P1544" s="132">
        <v>90000</v>
      </c>
      <c r="Q1544" s="77"/>
      <c r="R1544" s="78">
        <v>520</v>
      </c>
      <c r="S1544" s="5">
        <f t="shared" si="358"/>
        <v>173.07692307692307</v>
      </c>
      <c r="T1544" s="117" t="s">
        <v>578</v>
      </c>
      <c r="U1544" s="3" t="s">
        <v>1</v>
      </c>
      <c r="V1544" s="3" t="s">
        <v>5</v>
      </c>
    </row>
    <row r="1545" spans="1:22" hidden="1">
      <c r="H1545" s="81"/>
      <c r="J1545" s="80" t="str">
        <f t="shared" si="353"/>
        <v>0</v>
      </c>
      <c r="K1545" s="117">
        <f t="shared" si="354"/>
        <v>-100</v>
      </c>
      <c r="L1545" s="117">
        <f t="shared" si="355"/>
        <v>1</v>
      </c>
      <c r="M1545" s="117">
        <f t="shared" si="356"/>
        <v>0</v>
      </c>
      <c r="N1545" s="117" t="str">
        <f t="shared" si="357"/>
        <v>01</v>
      </c>
      <c r="O1545" s="118" t="str">
        <f t="shared" si="357"/>
        <v>00</v>
      </c>
      <c r="P1545" s="132"/>
      <c r="Q1545" s="77"/>
      <c r="R1545" s="78">
        <v>520</v>
      </c>
      <c r="S1545" s="5">
        <f t="shared" si="358"/>
        <v>0</v>
      </c>
      <c r="T1545" s="117"/>
    </row>
    <row r="1546" spans="1:22" hidden="1">
      <c r="H1546" s="81"/>
      <c r="J1546" s="80" t="str">
        <f t="shared" si="353"/>
        <v>0</v>
      </c>
      <c r="K1546" s="117">
        <f t="shared" si="354"/>
        <v>-100</v>
      </c>
      <c r="L1546" s="117">
        <f t="shared" si="355"/>
        <v>1</v>
      </c>
      <c r="M1546" s="117">
        <f t="shared" si="356"/>
        <v>0</v>
      </c>
      <c r="N1546" s="117" t="str">
        <f t="shared" si="357"/>
        <v>01</v>
      </c>
      <c r="O1546" s="118" t="str">
        <f t="shared" si="357"/>
        <v>00</v>
      </c>
      <c r="P1546" s="132"/>
      <c r="Q1546" s="77"/>
      <c r="R1546" s="78">
        <v>520</v>
      </c>
      <c r="S1546" s="5">
        <f t="shared" si="358"/>
        <v>0</v>
      </c>
      <c r="T1546" s="117"/>
    </row>
    <row r="1547" spans="1:22" hidden="1">
      <c r="H1547" s="81"/>
      <c r="J1547" s="80" t="str">
        <f t="shared" si="353"/>
        <v>0</v>
      </c>
      <c r="K1547" s="117">
        <f t="shared" si="354"/>
        <v>-100</v>
      </c>
      <c r="L1547" s="117">
        <f t="shared" si="355"/>
        <v>1</v>
      </c>
      <c r="M1547" s="117">
        <f t="shared" si="356"/>
        <v>0</v>
      </c>
      <c r="N1547" s="117" t="str">
        <f t="shared" si="357"/>
        <v>01</v>
      </c>
      <c r="O1547" s="118" t="str">
        <f t="shared" si="357"/>
        <v>00</v>
      </c>
      <c r="P1547" s="132"/>
      <c r="Q1547" s="77"/>
      <c r="R1547" s="78">
        <v>520</v>
      </c>
      <c r="S1547" s="5">
        <f t="shared" si="358"/>
        <v>0</v>
      </c>
      <c r="T1547" s="117"/>
    </row>
    <row r="1548" spans="1:22" hidden="1">
      <c r="H1548" s="81"/>
      <c r="J1548" s="80" t="str">
        <f t="shared" si="353"/>
        <v>0</v>
      </c>
      <c r="K1548" s="117">
        <f t="shared" si="354"/>
        <v>-100</v>
      </c>
      <c r="L1548" s="117">
        <f t="shared" si="355"/>
        <v>1</v>
      </c>
      <c r="M1548" s="117">
        <f t="shared" si="356"/>
        <v>0</v>
      </c>
      <c r="N1548" s="117" t="str">
        <f t="shared" si="357"/>
        <v>01</v>
      </c>
      <c r="O1548" s="118" t="str">
        <f t="shared" si="357"/>
        <v>00</v>
      </c>
      <c r="P1548" s="132"/>
      <c r="Q1548" s="77"/>
      <c r="R1548" s="78">
        <v>520</v>
      </c>
      <c r="S1548" s="5">
        <f t="shared" si="358"/>
        <v>0</v>
      </c>
      <c r="T1548" s="117"/>
    </row>
    <row r="1549" spans="1:22" hidden="1">
      <c r="H1549" s="81"/>
      <c r="J1549" s="80" t="str">
        <f t="shared" si="353"/>
        <v>0</v>
      </c>
      <c r="K1549" s="117">
        <f t="shared" si="354"/>
        <v>-100</v>
      </c>
      <c r="L1549" s="117">
        <f t="shared" si="355"/>
        <v>1</v>
      </c>
      <c r="M1549" s="117">
        <f t="shared" si="356"/>
        <v>0</v>
      </c>
      <c r="N1549" s="117" t="str">
        <f t="shared" si="357"/>
        <v>01</v>
      </c>
      <c r="O1549" s="118" t="str">
        <f t="shared" si="357"/>
        <v>00</v>
      </c>
      <c r="P1549" s="132"/>
      <c r="Q1549" s="77"/>
      <c r="R1549" s="78">
        <v>520</v>
      </c>
      <c r="S1549" s="5">
        <f t="shared" si="358"/>
        <v>0</v>
      </c>
      <c r="T1549" s="117"/>
    </row>
    <row r="1550" spans="1:22" hidden="1">
      <c r="H1550" s="81"/>
      <c r="J1550" s="80" t="str">
        <f t="shared" si="353"/>
        <v>0</v>
      </c>
      <c r="K1550" s="117">
        <f t="shared" si="354"/>
        <v>-100</v>
      </c>
      <c r="L1550" s="117">
        <f t="shared" si="355"/>
        <v>1</v>
      </c>
      <c r="M1550" s="117">
        <f t="shared" si="356"/>
        <v>0</v>
      </c>
      <c r="N1550" s="117" t="str">
        <f t="shared" si="357"/>
        <v>01</v>
      </c>
      <c r="O1550" s="118" t="str">
        <f t="shared" si="357"/>
        <v>00</v>
      </c>
      <c r="P1550" s="132"/>
      <c r="Q1550" s="77"/>
      <c r="R1550" s="78">
        <v>520</v>
      </c>
      <c r="S1550" s="5">
        <f t="shared" si="358"/>
        <v>0</v>
      </c>
      <c r="T1550" s="117"/>
    </row>
    <row r="1551" spans="1:22">
      <c r="A1551" s="3">
        <v>1537</v>
      </c>
      <c r="B1551" s="1">
        <f t="shared" si="359"/>
        <v>0</v>
      </c>
      <c r="C1551" s="1">
        <f t="shared" si="360"/>
        <v>1</v>
      </c>
      <c r="D1551" s="1">
        <f t="shared" si="361"/>
        <v>0</v>
      </c>
      <c r="E1551" s="1">
        <f t="shared" si="362"/>
        <v>0</v>
      </c>
      <c r="F1551" s="1">
        <f t="shared" si="362"/>
        <v>0</v>
      </c>
      <c r="G1551" s="1" t="str">
        <f t="shared" si="363"/>
        <v>24081020</v>
      </c>
      <c r="H1551" s="81">
        <v>45514</v>
      </c>
      <c r="I1551" s="36">
        <v>20</v>
      </c>
      <c r="J1551" s="80">
        <f t="shared" si="353"/>
        <v>20</v>
      </c>
      <c r="K1551" s="117">
        <f t="shared" si="354"/>
        <v>24</v>
      </c>
      <c r="L1551" s="117">
        <f t="shared" si="355"/>
        <v>8</v>
      </c>
      <c r="M1551" s="117">
        <f t="shared" si="356"/>
        <v>10</v>
      </c>
      <c r="N1551" s="117" t="str">
        <f t="shared" si="357"/>
        <v>08</v>
      </c>
      <c r="O1551" s="118">
        <f t="shared" si="357"/>
        <v>10</v>
      </c>
      <c r="P1551" s="132">
        <v>120000</v>
      </c>
      <c r="Q1551" s="77"/>
      <c r="R1551" s="78">
        <v>520</v>
      </c>
      <c r="S1551" s="5">
        <f t="shared" si="358"/>
        <v>230.76923076923077</v>
      </c>
      <c r="T1551" s="117" t="s">
        <v>585</v>
      </c>
      <c r="U1551" s="3" t="s">
        <v>1</v>
      </c>
      <c r="V1551" s="3" t="s">
        <v>5</v>
      </c>
    </row>
    <row r="1552" spans="1:22">
      <c r="A1552" s="3">
        <v>1538</v>
      </c>
      <c r="B1552" s="1">
        <f t="shared" si="359"/>
        <v>0</v>
      </c>
      <c r="C1552" s="1">
        <f t="shared" si="360"/>
        <v>0</v>
      </c>
      <c r="D1552" s="1">
        <f t="shared" si="361"/>
        <v>0</v>
      </c>
      <c r="E1552" s="1">
        <f t="shared" si="362"/>
        <v>0</v>
      </c>
      <c r="F1552" s="1">
        <f t="shared" si="362"/>
        <v>0</v>
      </c>
      <c r="G1552" s="1" t="str">
        <f t="shared" si="363"/>
        <v>24081021</v>
      </c>
      <c r="H1552" s="81">
        <v>45514</v>
      </c>
      <c r="I1552" s="36">
        <v>21</v>
      </c>
      <c r="J1552" s="80">
        <f t="shared" si="353"/>
        <v>21</v>
      </c>
      <c r="K1552" s="117">
        <f t="shared" si="354"/>
        <v>24</v>
      </c>
      <c r="L1552" s="117">
        <f t="shared" si="355"/>
        <v>8</v>
      </c>
      <c r="M1552" s="117">
        <f t="shared" si="356"/>
        <v>10</v>
      </c>
      <c r="N1552" s="117" t="str">
        <f t="shared" si="357"/>
        <v>08</v>
      </c>
      <c r="O1552" s="118">
        <f t="shared" si="357"/>
        <v>10</v>
      </c>
      <c r="P1552" s="132">
        <v>102000</v>
      </c>
      <c r="Q1552" s="77"/>
      <c r="R1552" s="78">
        <v>520</v>
      </c>
      <c r="S1552" s="5">
        <f t="shared" si="358"/>
        <v>196.15384615384616</v>
      </c>
      <c r="T1552" s="117" t="s">
        <v>586</v>
      </c>
      <c r="U1552" s="3" t="s">
        <v>1</v>
      </c>
      <c r="V1552" s="3" t="s">
        <v>5</v>
      </c>
    </row>
    <row r="1553" spans="1:22">
      <c r="A1553" s="3">
        <v>1539</v>
      </c>
      <c r="B1553" s="1">
        <f t="shared" si="359"/>
        <v>0</v>
      </c>
      <c r="C1553" s="1">
        <f t="shared" si="360"/>
        <v>0</v>
      </c>
      <c r="D1553" s="1">
        <f t="shared" si="361"/>
        <v>0</v>
      </c>
      <c r="E1553" s="1">
        <f t="shared" si="362"/>
        <v>0</v>
      </c>
      <c r="F1553" s="1">
        <f t="shared" si="362"/>
        <v>0</v>
      </c>
      <c r="G1553" s="1" t="str">
        <f t="shared" si="363"/>
        <v>24081022</v>
      </c>
      <c r="H1553" s="81">
        <v>45514</v>
      </c>
      <c r="I1553" s="36">
        <v>22</v>
      </c>
      <c r="J1553" s="80">
        <f t="shared" si="353"/>
        <v>22</v>
      </c>
      <c r="K1553" s="117">
        <f t="shared" si="354"/>
        <v>24</v>
      </c>
      <c r="L1553" s="117">
        <f t="shared" si="355"/>
        <v>8</v>
      </c>
      <c r="M1553" s="117">
        <f t="shared" si="356"/>
        <v>10</v>
      </c>
      <c r="N1553" s="117" t="str">
        <f t="shared" si="357"/>
        <v>08</v>
      </c>
      <c r="O1553" s="118">
        <f t="shared" si="357"/>
        <v>10</v>
      </c>
      <c r="P1553" s="132">
        <v>78000</v>
      </c>
      <c r="Q1553" s="77"/>
      <c r="R1553" s="78">
        <v>520</v>
      </c>
      <c r="S1553" s="5">
        <f t="shared" si="358"/>
        <v>150</v>
      </c>
      <c r="T1553" s="117" t="s">
        <v>587</v>
      </c>
      <c r="U1553" s="3" t="s">
        <v>1</v>
      </c>
      <c r="V1553" s="3" t="s">
        <v>5</v>
      </c>
    </row>
    <row r="1554" spans="1:22" hidden="1">
      <c r="J1554" s="1" t="str">
        <f t="shared" si="353"/>
        <v>0</v>
      </c>
      <c r="K1554" s="3">
        <f t="shared" si="354"/>
        <v>-100</v>
      </c>
      <c r="L1554" s="3">
        <f t="shared" si="355"/>
        <v>1</v>
      </c>
      <c r="M1554" s="3">
        <f t="shared" si="356"/>
        <v>0</v>
      </c>
      <c r="N1554" s="3" t="str">
        <f t="shared" si="357"/>
        <v>01</v>
      </c>
      <c r="O1554" s="14" t="str">
        <f t="shared" si="357"/>
        <v>00</v>
      </c>
      <c r="P1554" s="11"/>
      <c r="R1554" s="6">
        <v>520</v>
      </c>
      <c r="S1554" s="5">
        <f t="shared" si="358"/>
        <v>0</v>
      </c>
    </row>
    <row r="1555" spans="1:22">
      <c r="A1555" s="3">
        <v>1541</v>
      </c>
      <c r="B1555" s="1">
        <f t="shared" si="359"/>
        <v>0</v>
      </c>
      <c r="C1555" s="1">
        <f t="shared" si="360"/>
        <v>1</v>
      </c>
      <c r="D1555" s="1">
        <f t="shared" si="361"/>
        <v>0</v>
      </c>
      <c r="E1555" s="1">
        <f t="shared" si="362"/>
        <v>0</v>
      </c>
      <c r="F1555" s="1">
        <f t="shared" si="362"/>
        <v>0</v>
      </c>
      <c r="G1555" s="1" t="str">
        <f t="shared" si="363"/>
        <v>24081024</v>
      </c>
      <c r="H1555" s="2">
        <v>45514</v>
      </c>
      <c r="I1555" s="36">
        <v>24</v>
      </c>
      <c r="J1555" s="1">
        <f t="shared" si="353"/>
        <v>24</v>
      </c>
      <c r="K1555" s="3">
        <f t="shared" si="354"/>
        <v>24</v>
      </c>
      <c r="L1555" s="3">
        <f t="shared" si="355"/>
        <v>8</v>
      </c>
      <c r="M1555" s="3">
        <f t="shared" si="356"/>
        <v>10</v>
      </c>
      <c r="N1555" s="3" t="str">
        <f t="shared" si="357"/>
        <v>08</v>
      </c>
      <c r="O1555" s="14">
        <f t="shared" si="357"/>
        <v>10</v>
      </c>
      <c r="P1555" s="11">
        <v>30000</v>
      </c>
      <c r="R1555" s="6">
        <v>520</v>
      </c>
      <c r="S1555" s="5">
        <f t="shared" si="358"/>
        <v>57.692307692307693</v>
      </c>
      <c r="T1555" s="5" t="s">
        <v>842</v>
      </c>
      <c r="U1555" s="3" t="s">
        <v>1</v>
      </c>
      <c r="V1555" s="3" t="s">
        <v>5</v>
      </c>
    </row>
    <row r="1556" spans="1:22">
      <c r="A1556" s="3">
        <v>1542</v>
      </c>
      <c r="B1556" s="1">
        <f t="shared" si="359"/>
        <v>0</v>
      </c>
      <c r="C1556" s="1">
        <f t="shared" si="360"/>
        <v>0</v>
      </c>
      <c r="D1556" s="1">
        <f t="shared" si="361"/>
        <v>0</v>
      </c>
      <c r="E1556" s="1">
        <f t="shared" si="362"/>
        <v>0</v>
      </c>
      <c r="F1556" s="1">
        <f t="shared" si="362"/>
        <v>0</v>
      </c>
      <c r="G1556" s="1" t="str">
        <f t="shared" si="363"/>
        <v>24081025</v>
      </c>
      <c r="H1556" s="2">
        <v>45514</v>
      </c>
      <c r="I1556" s="36">
        <v>25</v>
      </c>
      <c r="J1556" s="1">
        <f t="shared" si="353"/>
        <v>25</v>
      </c>
      <c r="K1556" s="3">
        <f t="shared" si="354"/>
        <v>24</v>
      </c>
      <c r="L1556" s="3">
        <f t="shared" si="355"/>
        <v>8</v>
      </c>
      <c r="M1556" s="3">
        <f t="shared" si="356"/>
        <v>10</v>
      </c>
      <c r="N1556" s="3" t="str">
        <f t="shared" si="357"/>
        <v>08</v>
      </c>
      <c r="O1556" s="14">
        <f t="shared" si="357"/>
        <v>10</v>
      </c>
      <c r="P1556" s="11">
        <f>8*3*536</f>
        <v>12864</v>
      </c>
      <c r="R1556" s="6">
        <v>520</v>
      </c>
      <c r="S1556" s="5">
        <f t="shared" si="358"/>
        <v>24.738461538461539</v>
      </c>
      <c r="T1556" s="5" t="s">
        <v>594</v>
      </c>
      <c r="U1556" s="3" t="s">
        <v>1</v>
      </c>
      <c r="V1556" s="3" t="s">
        <v>5</v>
      </c>
    </row>
    <row r="1557" spans="1:22" hidden="1">
      <c r="J1557" s="1" t="str">
        <f t="shared" si="353"/>
        <v>0</v>
      </c>
      <c r="K1557" s="3">
        <f t="shared" si="354"/>
        <v>-100</v>
      </c>
      <c r="L1557" s="3">
        <f t="shared" si="355"/>
        <v>1</v>
      </c>
      <c r="M1557" s="3">
        <f t="shared" si="356"/>
        <v>0</v>
      </c>
      <c r="N1557" s="3" t="str">
        <f t="shared" si="357"/>
        <v>01</v>
      </c>
      <c r="O1557" s="14" t="str">
        <f t="shared" si="357"/>
        <v>00</v>
      </c>
      <c r="R1557" s="6">
        <v>520</v>
      </c>
      <c r="S1557" s="5">
        <f t="shared" si="358"/>
        <v>0</v>
      </c>
    </row>
    <row r="1558" spans="1:22" hidden="1"/>
    <row r="1559" spans="1:22" hidden="1">
      <c r="J1559" s="1" t="str">
        <f t="shared" ref="J1559:J1589" si="364">+IF(I1559&lt;10,_xlfn.CONCAT("0",I1559),I1559)</f>
        <v>0</v>
      </c>
      <c r="K1559" s="3">
        <f t="shared" ref="K1559:K1589" si="365">+YEAR(H1559)-2000</f>
        <v>-100</v>
      </c>
      <c r="L1559" s="3">
        <f t="shared" ref="L1559:L1589" si="366">+MONTH(H1559)</f>
        <v>1</v>
      </c>
      <c r="M1559" s="3">
        <f t="shared" ref="M1559:M1589" si="367">+DAY(H1559)</f>
        <v>0</v>
      </c>
      <c r="N1559" s="3" t="str">
        <f t="shared" ref="N1559:O1589" si="368">+IF(L1559&lt;10,_xlfn.CONCAT("0",L1559),L1559)</f>
        <v>01</v>
      </c>
      <c r="O1559" s="14" t="str">
        <f t="shared" si="368"/>
        <v>00</v>
      </c>
      <c r="R1559" s="6">
        <v>522</v>
      </c>
      <c r="S1559" s="5">
        <f t="shared" ref="S1559:S1572" si="369">IFERROR(P1559/R1559,"")</f>
        <v>0</v>
      </c>
    </row>
    <row r="1560" spans="1:22" hidden="1">
      <c r="J1560" s="1" t="str">
        <f t="shared" si="364"/>
        <v>0</v>
      </c>
      <c r="K1560" s="3">
        <f t="shared" si="365"/>
        <v>-100</v>
      </c>
      <c r="L1560" s="3">
        <f t="shared" si="366"/>
        <v>1</v>
      </c>
      <c r="M1560" s="3">
        <f t="shared" si="367"/>
        <v>0</v>
      </c>
      <c r="N1560" s="3" t="str">
        <f t="shared" si="368"/>
        <v>01</v>
      </c>
      <c r="O1560" s="14" t="str">
        <f t="shared" si="368"/>
        <v>00</v>
      </c>
      <c r="R1560" s="6">
        <v>522</v>
      </c>
      <c r="S1560" s="5">
        <f t="shared" si="369"/>
        <v>0</v>
      </c>
    </row>
    <row r="1561" spans="1:22" hidden="1">
      <c r="J1561" s="1" t="str">
        <f t="shared" si="364"/>
        <v>0</v>
      </c>
      <c r="K1561" s="3">
        <f t="shared" si="365"/>
        <v>-100</v>
      </c>
      <c r="L1561" s="3">
        <f t="shared" si="366"/>
        <v>1</v>
      </c>
      <c r="M1561" s="3">
        <f t="shared" si="367"/>
        <v>0</v>
      </c>
      <c r="N1561" s="3" t="str">
        <f t="shared" si="368"/>
        <v>01</v>
      </c>
      <c r="O1561" s="14" t="str">
        <f t="shared" si="368"/>
        <v>00</v>
      </c>
      <c r="R1561" s="6">
        <v>522</v>
      </c>
      <c r="S1561" s="5">
        <f t="shared" si="369"/>
        <v>0</v>
      </c>
    </row>
    <row r="1562" spans="1:22" hidden="1">
      <c r="J1562" s="1" t="str">
        <f t="shared" si="364"/>
        <v>0</v>
      </c>
      <c r="K1562" s="3">
        <f t="shared" si="365"/>
        <v>-100</v>
      </c>
      <c r="L1562" s="3">
        <f t="shared" si="366"/>
        <v>1</v>
      </c>
      <c r="M1562" s="3">
        <f t="shared" si="367"/>
        <v>0</v>
      </c>
      <c r="N1562" s="3" t="str">
        <f t="shared" si="368"/>
        <v>01</v>
      </c>
      <c r="O1562" s="14" t="str">
        <f t="shared" si="368"/>
        <v>00</v>
      </c>
      <c r="R1562" s="6">
        <v>522</v>
      </c>
      <c r="S1562" s="5">
        <f t="shared" si="369"/>
        <v>0</v>
      </c>
    </row>
    <row r="1563" spans="1:22" hidden="1">
      <c r="J1563" s="1" t="str">
        <f t="shared" si="364"/>
        <v>0</v>
      </c>
      <c r="K1563" s="3">
        <f t="shared" si="365"/>
        <v>-100</v>
      </c>
      <c r="L1563" s="3">
        <f t="shared" si="366"/>
        <v>1</v>
      </c>
      <c r="M1563" s="3">
        <f t="shared" si="367"/>
        <v>0</v>
      </c>
      <c r="N1563" s="3" t="str">
        <f t="shared" si="368"/>
        <v>01</v>
      </c>
      <c r="O1563" s="14" t="str">
        <f t="shared" si="368"/>
        <v>00</v>
      </c>
      <c r="R1563" s="6">
        <v>522</v>
      </c>
      <c r="S1563" s="5">
        <f t="shared" si="369"/>
        <v>0</v>
      </c>
    </row>
    <row r="1564" spans="1:22">
      <c r="A1564" s="3">
        <v>1549</v>
      </c>
      <c r="B1564" s="1">
        <f t="shared" ref="B1564" si="370">IF(G1564="-",0,IF(G1563=G1564,1,0))</f>
        <v>0</v>
      </c>
      <c r="C1564" s="1">
        <f t="shared" ref="C1564" si="371">+IF(G1564="-",0,IF(I1564=I1563+1,0,(IF(I1564=1,0,1))))</f>
        <v>1</v>
      </c>
      <c r="D1564" s="1">
        <f t="shared" ref="D1564:D1583" si="372">+IF(AND(P1564="",Q1564=""),1,0)</f>
        <v>0</v>
      </c>
      <c r="E1564" s="1">
        <f t="shared" ref="E1564:F1583" si="373">IF(U1564="",1,0)</f>
        <v>0</v>
      </c>
      <c r="F1564" s="1">
        <f t="shared" si="373"/>
        <v>0</v>
      </c>
      <c r="G1564" s="1" t="str">
        <f t="shared" ref="G1564:G1583" si="374">IF(H1564=0,"-",_xlfn.CONCAT(K1564,N1564,O1564,J1564))</f>
        <v>24081106</v>
      </c>
      <c r="H1564" s="2">
        <v>45515</v>
      </c>
      <c r="I1564" s="36">
        <v>6</v>
      </c>
      <c r="J1564" s="1" t="str">
        <f t="shared" si="364"/>
        <v>06</v>
      </c>
      <c r="K1564" s="3">
        <f t="shared" si="365"/>
        <v>24</v>
      </c>
      <c r="L1564" s="3">
        <f t="shared" si="366"/>
        <v>8</v>
      </c>
      <c r="M1564" s="3">
        <f t="shared" si="367"/>
        <v>11</v>
      </c>
      <c r="N1564" s="3" t="str">
        <f t="shared" si="368"/>
        <v>08</v>
      </c>
      <c r="O1564" s="14">
        <f t="shared" si="368"/>
        <v>11</v>
      </c>
      <c r="P1564" s="4">
        <v>12700</v>
      </c>
      <c r="R1564" s="6">
        <v>522</v>
      </c>
      <c r="S1564" s="5">
        <f t="shared" si="369"/>
        <v>24.329501915708811</v>
      </c>
      <c r="T1564" s="5" t="s">
        <v>361</v>
      </c>
      <c r="U1564" s="3" t="s">
        <v>29</v>
      </c>
      <c r="V1564" s="3" t="s">
        <v>5</v>
      </c>
    </row>
    <row r="1565" spans="1:22" hidden="1">
      <c r="J1565" s="1" t="str">
        <f t="shared" si="364"/>
        <v>0</v>
      </c>
      <c r="K1565" s="3">
        <f t="shared" si="365"/>
        <v>-100</v>
      </c>
      <c r="L1565" s="3">
        <f t="shared" si="366"/>
        <v>1</v>
      </c>
      <c r="M1565" s="3">
        <f t="shared" si="367"/>
        <v>0</v>
      </c>
      <c r="N1565" s="3" t="str">
        <f t="shared" si="368"/>
        <v>01</v>
      </c>
      <c r="O1565" s="14" t="str">
        <f t="shared" si="368"/>
        <v>00</v>
      </c>
      <c r="R1565" s="6">
        <v>522</v>
      </c>
      <c r="S1565" s="5">
        <f t="shared" si="369"/>
        <v>0</v>
      </c>
    </row>
    <row r="1566" spans="1:22" hidden="1">
      <c r="J1566" s="1" t="str">
        <f t="shared" si="364"/>
        <v>0</v>
      </c>
      <c r="K1566" s="3">
        <f t="shared" si="365"/>
        <v>-100</v>
      </c>
      <c r="L1566" s="3">
        <f t="shared" si="366"/>
        <v>1</v>
      </c>
      <c r="M1566" s="3">
        <f t="shared" si="367"/>
        <v>0</v>
      </c>
      <c r="N1566" s="3" t="str">
        <f t="shared" si="368"/>
        <v>01</v>
      </c>
      <c r="O1566" s="14" t="str">
        <f t="shared" si="368"/>
        <v>00</v>
      </c>
      <c r="R1566" s="6">
        <v>519</v>
      </c>
      <c r="S1566" s="5">
        <f t="shared" si="369"/>
        <v>0</v>
      </c>
    </row>
    <row r="1567" spans="1:22" hidden="1">
      <c r="J1567" s="1" t="str">
        <f t="shared" si="364"/>
        <v>0</v>
      </c>
      <c r="K1567" s="3">
        <f t="shared" si="365"/>
        <v>-100</v>
      </c>
      <c r="L1567" s="3">
        <f t="shared" si="366"/>
        <v>1</v>
      </c>
      <c r="M1567" s="3">
        <f t="shared" si="367"/>
        <v>0</v>
      </c>
      <c r="N1567" s="3" t="str">
        <f t="shared" si="368"/>
        <v>01</v>
      </c>
      <c r="O1567" s="14" t="str">
        <f t="shared" si="368"/>
        <v>00</v>
      </c>
      <c r="R1567" s="6">
        <v>519</v>
      </c>
      <c r="S1567" s="5">
        <f t="shared" si="369"/>
        <v>0</v>
      </c>
    </row>
    <row r="1568" spans="1:22" hidden="1">
      <c r="J1568" s="1" t="str">
        <f t="shared" si="364"/>
        <v>0</v>
      </c>
      <c r="K1568" s="3">
        <f t="shared" si="365"/>
        <v>-100</v>
      </c>
      <c r="L1568" s="3">
        <f t="shared" si="366"/>
        <v>1</v>
      </c>
      <c r="M1568" s="3">
        <f t="shared" si="367"/>
        <v>0</v>
      </c>
      <c r="N1568" s="3" t="str">
        <f t="shared" si="368"/>
        <v>01</v>
      </c>
      <c r="O1568" s="14" t="str">
        <f t="shared" si="368"/>
        <v>00</v>
      </c>
      <c r="R1568" s="6">
        <v>519</v>
      </c>
      <c r="S1568" s="5">
        <f t="shared" si="369"/>
        <v>0</v>
      </c>
    </row>
    <row r="1569" spans="1:22" hidden="1">
      <c r="J1569" s="1" t="str">
        <f t="shared" si="364"/>
        <v>0</v>
      </c>
      <c r="K1569" s="3">
        <f t="shared" si="365"/>
        <v>-100</v>
      </c>
      <c r="L1569" s="3">
        <f t="shared" si="366"/>
        <v>1</v>
      </c>
      <c r="M1569" s="3">
        <f t="shared" si="367"/>
        <v>0</v>
      </c>
      <c r="N1569" s="3" t="str">
        <f t="shared" si="368"/>
        <v>01</v>
      </c>
      <c r="O1569" s="14" t="str">
        <f t="shared" si="368"/>
        <v>00</v>
      </c>
      <c r="R1569" s="6">
        <v>519</v>
      </c>
      <c r="S1569" s="5">
        <f t="shared" si="369"/>
        <v>0</v>
      </c>
    </row>
    <row r="1570" spans="1:22" hidden="1">
      <c r="G1570" s="52"/>
      <c r="H1570" s="9"/>
      <c r="J1570" s="52" t="str">
        <f t="shared" si="364"/>
        <v>0</v>
      </c>
      <c r="K1570" s="10">
        <f t="shared" si="365"/>
        <v>-100</v>
      </c>
      <c r="L1570" s="10">
        <f t="shared" si="366"/>
        <v>1</v>
      </c>
      <c r="M1570" s="10">
        <f t="shared" si="367"/>
        <v>0</v>
      </c>
      <c r="N1570" s="10" t="str">
        <f t="shared" si="368"/>
        <v>01</v>
      </c>
      <c r="O1570" s="70" t="str">
        <f t="shared" si="368"/>
        <v>00</v>
      </c>
      <c r="P1570" s="11"/>
      <c r="Q1570" s="12"/>
      <c r="R1570" s="6">
        <v>519</v>
      </c>
      <c r="S1570" s="5">
        <f t="shared" si="369"/>
        <v>0</v>
      </c>
      <c r="T1570" s="12"/>
      <c r="U1570" s="10"/>
      <c r="V1570" s="10"/>
    </row>
    <row r="1571" spans="1:22" hidden="1">
      <c r="J1571" s="1" t="str">
        <f t="shared" si="364"/>
        <v>0</v>
      </c>
      <c r="K1571" s="3">
        <f t="shared" si="365"/>
        <v>-100</v>
      </c>
      <c r="L1571" s="3">
        <f t="shared" si="366"/>
        <v>1</v>
      </c>
      <c r="M1571" s="3">
        <f t="shared" si="367"/>
        <v>0</v>
      </c>
      <c r="N1571" s="3" t="str">
        <f t="shared" si="368"/>
        <v>01</v>
      </c>
      <c r="O1571" s="14" t="str">
        <f t="shared" si="368"/>
        <v>00</v>
      </c>
      <c r="R1571" s="6">
        <v>519</v>
      </c>
      <c r="S1571" s="5">
        <f t="shared" si="369"/>
        <v>0</v>
      </c>
    </row>
    <row r="1572" spans="1:22" hidden="1">
      <c r="J1572" s="1" t="str">
        <f t="shared" si="364"/>
        <v>0</v>
      </c>
      <c r="K1572" s="3">
        <f t="shared" si="365"/>
        <v>-100</v>
      </c>
      <c r="L1572" s="3">
        <f t="shared" si="366"/>
        <v>1</v>
      </c>
      <c r="M1572" s="3">
        <f t="shared" si="367"/>
        <v>0</v>
      </c>
      <c r="N1572" s="3" t="str">
        <f t="shared" si="368"/>
        <v>01</v>
      </c>
      <c r="O1572" s="14" t="str">
        <f t="shared" si="368"/>
        <v>00</v>
      </c>
      <c r="R1572" s="6">
        <v>519</v>
      </c>
      <c r="S1572" s="5">
        <f t="shared" si="369"/>
        <v>0</v>
      </c>
    </row>
    <row r="1573" spans="1:22" hidden="1">
      <c r="J1573" s="1" t="str">
        <f t="shared" si="364"/>
        <v>0</v>
      </c>
      <c r="K1573" s="3">
        <f t="shared" si="365"/>
        <v>-100</v>
      </c>
      <c r="L1573" s="3">
        <f t="shared" si="366"/>
        <v>1</v>
      </c>
      <c r="M1573" s="3">
        <f t="shared" si="367"/>
        <v>0</v>
      </c>
      <c r="N1573" s="3" t="str">
        <f t="shared" si="368"/>
        <v>01</v>
      </c>
      <c r="O1573" s="14" t="str">
        <f t="shared" si="368"/>
        <v>00</v>
      </c>
    </row>
    <row r="1574" spans="1:22" hidden="1">
      <c r="J1574" s="1" t="str">
        <f t="shared" si="364"/>
        <v>0</v>
      </c>
      <c r="K1574" s="3">
        <f t="shared" si="365"/>
        <v>-100</v>
      </c>
      <c r="L1574" s="3">
        <f t="shared" si="366"/>
        <v>1</v>
      </c>
      <c r="M1574" s="3">
        <f t="shared" si="367"/>
        <v>0</v>
      </c>
      <c r="N1574" s="3" t="str">
        <f t="shared" si="368"/>
        <v>01</v>
      </c>
      <c r="O1574" s="14" t="str">
        <f t="shared" si="368"/>
        <v>00</v>
      </c>
      <c r="R1574" s="6">
        <v>515</v>
      </c>
      <c r="S1574" s="5">
        <f t="shared" ref="S1574:S1588" si="375">IFERROR(P1574/R1574,"")</f>
        <v>0</v>
      </c>
    </row>
    <row r="1575" spans="1:22" hidden="1">
      <c r="J1575" s="1" t="str">
        <f t="shared" si="364"/>
        <v>0</v>
      </c>
      <c r="K1575" s="3">
        <f t="shared" si="365"/>
        <v>-100</v>
      </c>
      <c r="L1575" s="3">
        <f t="shared" si="366"/>
        <v>1</v>
      </c>
      <c r="M1575" s="3">
        <f t="shared" si="367"/>
        <v>0</v>
      </c>
      <c r="N1575" s="3" t="str">
        <f t="shared" si="368"/>
        <v>01</v>
      </c>
      <c r="O1575" s="14" t="str">
        <f t="shared" si="368"/>
        <v>00</v>
      </c>
      <c r="R1575" s="6">
        <v>515</v>
      </c>
      <c r="S1575" s="5">
        <f t="shared" si="375"/>
        <v>0</v>
      </c>
    </row>
    <row r="1576" spans="1:22" hidden="1">
      <c r="J1576" s="1" t="str">
        <f t="shared" si="364"/>
        <v>0</v>
      </c>
      <c r="K1576" s="3">
        <f t="shared" si="365"/>
        <v>-100</v>
      </c>
      <c r="L1576" s="3">
        <f t="shared" si="366"/>
        <v>1</v>
      </c>
      <c r="M1576" s="3">
        <f t="shared" si="367"/>
        <v>0</v>
      </c>
      <c r="N1576" s="3" t="str">
        <f t="shared" si="368"/>
        <v>01</v>
      </c>
      <c r="O1576" s="14" t="str">
        <f t="shared" si="368"/>
        <v>00</v>
      </c>
      <c r="R1576" s="6">
        <v>515</v>
      </c>
      <c r="S1576" s="5">
        <f t="shared" si="375"/>
        <v>0</v>
      </c>
    </row>
    <row r="1577" spans="1:22" hidden="1">
      <c r="J1577" s="1" t="str">
        <f t="shared" si="364"/>
        <v>0</v>
      </c>
      <c r="K1577" s="3">
        <f t="shared" si="365"/>
        <v>-100</v>
      </c>
      <c r="L1577" s="3">
        <f t="shared" si="366"/>
        <v>1</v>
      </c>
      <c r="M1577" s="3">
        <f t="shared" si="367"/>
        <v>0</v>
      </c>
      <c r="N1577" s="3" t="str">
        <f t="shared" si="368"/>
        <v>01</v>
      </c>
      <c r="O1577" s="14" t="str">
        <f t="shared" si="368"/>
        <v>00</v>
      </c>
      <c r="R1577" s="6">
        <v>515</v>
      </c>
      <c r="S1577" s="5">
        <f t="shared" si="375"/>
        <v>0</v>
      </c>
    </row>
    <row r="1578" spans="1:22" hidden="1">
      <c r="J1578" s="1" t="str">
        <f t="shared" si="364"/>
        <v>0</v>
      </c>
      <c r="K1578" s="3">
        <f t="shared" si="365"/>
        <v>-100</v>
      </c>
      <c r="L1578" s="3">
        <f t="shared" si="366"/>
        <v>1</v>
      </c>
      <c r="M1578" s="3">
        <f t="shared" si="367"/>
        <v>0</v>
      </c>
      <c r="N1578" s="3" t="str">
        <f t="shared" si="368"/>
        <v>01</v>
      </c>
      <c r="O1578" s="14" t="str">
        <f t="shared" si="368"/>
        <v>00</v>
      </c>
      <c r="R1578" s="6">
        <v>515</v>
      </c>
      <c r="S1578" s="5">
        <f t="shared" si="375"/>
        <v>0</v>
      </c>
      <c r="T1578" s="16"/>
    </row>
    <row r="1579" spans="1:22" hidden="1">
      <c r="J1579" s="1" t="str">
        <f t="shared" si="364"/>
        <v>0</v>
      </c>
      <c r="K1579" s="3">
        <f t="shared" si="365"/>
        <v>-100</v>
      </c>
      <c r="L1579" s="3">
        <f t="shared" si="366"/>
        <v>1</v>
      </c>
      <c r="M1579" s="3">
        <f t="shared" si="367"/>
        <v>0</v>
      </c>
      <c r="N1579" s="3" t="str">
        <f t="shared" si="368"/>
        <v>01</v>
      </c>
      <c r="O1579" s="14" t="str">
        <f t="shared" si="368"/>
        <v>00</v>
      </c>
      <c r="R1579" s="6">
        <v>515</v>
      </c>
      <c r="S1579" s="5">
        <f t="shared" si="375"/>
        <v>0</v>
      </c>
      <c r="T1579" s="16"/>
    </row>
    <row r="1580" spans="1:22" hidden="1">
      <c r="J1580" s="1" t="str">
        <f t="shared" si="364"/>
        <v>0</v>
      </c>
      <c r="K1580" s="3">
        <f t="shared" si="365"/>
        <v>-100</v>
      </c>
      <c r="L1580" s="3">
        <f t="shared" si="366"/>
        <v>1</v>
      </c>
      <c r="M1580" s="3">
        <f t="shared" si="367"/>
        <v>0</v>
      </c>
      <c r="N1580" s="3" t="str">
        <f t="shared" si="368"/>
        <v>01</v>
      </c>
      <c r="O1580" s="14" t="str">
        <f t="shared" si="368"/>
        <v>00</v>
      </c>
      <c r="R1580" s="6">
        <v>515</v>
      </c>
      <c r="S1580" s="5">
        <f t="shared" si="375"/>
        <v>0</v>
      </c>
    </row>
    <row r="1581" spans="1:22" hidden="1">
      <c r="J1581" s="1" t="str">
        <f t="shared" si="364"/>
        <v>0</v>
      </c>
      <c r="K1581" s="3">
        <f t="shared" si="365"/>
        <v>-100</v>
      </c>
      <c r="L1581" s="3">
        <f t="shared" si="366"/>
        <v>1</v>
      </c>
      <c r="M1581" s="3">
        <f t="shared" si="367"/>
        <v>0</v>
      </c>
      <c r="N1581" s="3" t="str">
        <f t="shared" si="368"/>
        <v>01</v>
      </c>
      <c r="O1581" s="14" t="str">
        <f t="shared" si="368"/>
        <v>00</v>
      </c>
      <c r="R1581" s="6">
        <v>515</v>
      </c>
      <c r="S1581" s="5">
        <f t="shared" si="375"/>
        <v>0</v>
      </c>
    </row>
    <row r="1582" spans="1:22" hidden="1">
      <c r="J1582" s="1" t="str">
        <f t="shared" si="364"/>
        <v>0</v>
      </c>
      <c r="K1582" s="3">
        <f t="shared" si="365"/>
        <v>-100</v>
      </c>
      <c r="L1582" s="3">
        <f t="shared" si="366"/>
        <v>1</v>
      </c>
      <c r="M1582" s="3">
        <f t="shared" si="367"/>
        <v>0</v>
      </c>
      <c r="N1582" s="3" t="str">
        <f t="shared" si="368"/>
        <v>01</v>
      </c>
      <c r="O1582" s="14" t="str">
        <f t="shared" si="368"/>
        <v>00</v>
      </c>
      <c r="R1582" s="6">
        <v>515</v>
      </c>
      <c r="S1582" s="5">
        <f t="shared" si="375"/>
        <v>0</v>
      </c>
    </row>
    <row r="1583" spans="1:22">
      <c r="A1583" s="3">
        <v>1567</v>
      </c>
      <c r="B1583" s="1">
        <f t="shared" ref="B1583" si="376">IF(G1583="-",0,IF(G1582=G1583,1,0))</f>
        <v>0</v>
      </c>
      <c r="C1583" s="1">
        <f t="shared" ref="C1583" si="377">+IF(G1583="-",0,IF(I1583=I1582+1,0,(IF(I1583=1,0,1))))</f>
        <v>1</v>
      </c>
      <c r="D1583" s="1">
        <f t="shared" si="372"/>
        <v>0</v>
      </c>
      <c r="E1583" s="1">
        <f t="shared" si="373"/>
        <v>0</v>
      </c>
      <c r="F1583" s="1">
        <f t="shared" si="373"/>
        <v>0</v>
      </c>
      <c r="G1583" s="1" t="str">
        <f t="shared" si="374"/>
        <v>24081310</v>
      </c>
      <c r="H1583" s="2">
        <v>45517</v>
      </c>
      <c r="I1583" s="36">
        <v>10</v>
      </c>
      <c r="J1583" s="1">
        <f t="shared" si="364"/>
        <v>10</v>
      </c>
      <c r="K1583" s="3">
        <f t="shared" si="365"/>
        <v>24</v>
      </c>
      <c r="L1583" s="3">
        <f t="shared" si="366"/>
        <v>8</v>
      </c>
      <c r="M1583" s="3">
        <f t="shared" si="367"/>
        <v>13</v>
      </c>
      <c r="N1583" s="3" t="str">
        <f t="shared" si="368"/>
        <v>08</v>
      </c>
      <c r="O1583" s="14">
        <f t="shared" si="368"/>
        <v>13</v>
      </c>
      <c r="P1583" s="4">
        <v>10000</v>
      </c>
      <c r="R1583" s="6">
        <v>515</v>
      </c>
      <c r="S1583" s="5">
        <f t="shared" si="375"/>
        <v>19.417475728155338</v>
      </c>
      <c r="T1583" s="5" t="s">
        <v>784</v>
      </c>
      <c r="U1583" s="3" t="s">
        <v>29</v>
      </c>
      <c r="V1583" s="3" t="s">
        <v>5</v>
      </c>
    </row>
    <row r="1584" spans="1:22" hidden="1">
      <c r="J1584" s="1" t="str">
        <f t="shared" si="364"/>
        <v>0</v>
      </c>
      <c r="K1584" s="3">
        <f t="shared" si="365"/>
        <v>-100</v>
      </c>
      <c r="L1584" s="3">
        <f t="shared" si="366"/>
        <v>1</v>
      </c>
      <c r="M1584" s="3">
        <f t="shared" si="367"/>
        <v>0</v>
      </c>
      <c r="N1584" s="3" t="str">
        <f t="shared" si="368"/>
        <v>01</v>
      </c>
      <c r="O1584" s="14" t="str">
        <f t="shared" si="368"/>
        <v>00</v>
      </c>
      <c r="S1584" s="5" t="str">
        <f t="shared" si="375"/>
        <v/>
      </c>
    </row>
    <row r="1585" spans="1:23" hidden="1">
      <c r="J1585" s="1" t="str">
        <f t="shared" si="364"/>
        <v>0</v>
      </c>
      <c r="K1585" s="3">
        <f t="shared" si="365"/>
        <v>-100</v>
      </c>
      <c r="L1585" s="3">
        <f t="shared" si="366"/>
        <v>1</v>
      </c>
      <c r="M1585" s="3">
        <f t="shared" si="367"/>
        <v>0</v>
      </c>
      <c r="N1585" s="3" t="str">
        <f t="shared" si="368"/>
        <v>01</v>
      </c>
      <c r="O1585" s="14" t="str">
        <f t="shared" si="368"/>
        <v>00</v>
      </c>
      <c r="S1585" s="5" t="str">
        <f t="shared" si="375"/>
        <v/>
      </c>
    </row>
    <row r="1586" spans="1:23" hidden="1">
      <c r="J1586" s="1" t="str">
        <f t="shared" si="364"/>
        <v>0</v>
      </c>
      <c r="K1586" s="3">
        <f t="shared" si="365"/>
        <v>-100</v>
      </c>
      <c r="L1586" s="3">
        <f t="shared" si="366"/>
        <v>1</v>
      </c>
      <c r="M1586" s="3">
        <f t="shared" si="367"/>
        <v>0</v>
      </c>
      <c r="N1586" s="3" t="str">
        <f t="shared" si="368"/>
        <v>01</v>
      </c>
      <c r="O1586" s="14" t="str">
        <f t="shared" si="368"/>
        <v>00</v>
      </c>
      <c r="S1586" s="5" t="str">
        <f t="shared" si="375"/>
        <v/>
      </c>
    </row>
    <row r="1587" spans="1:23" hidden="1">
      <c r="J1587" s="1" t="str">
        <f t="shared" si="364"/>
        <v>0</v>
      </c>
      <c r="K1587" s="3">
        <f t="shared" si="365"/>
        <v>-100</v>
      </c>
      <c r="L1587" s="3">
        <f t="shared" si="366"/>
        <v>1</v>
      </c>
      <c r="M1587" s="3">
        <f t="shared" si="367"/>
        <v>0</v>
      </c>
      <c r="N1587" s="3" t="str">
        <f t="shared" si="368"/>
        <v>01</v>
      </c>
      <c r="O1587" s="14" t="str">
        <f t="shared" si="368"/>
        <v>00</v>
      </c>
      <c r="S1587" s="5" t="str">
        <f t="shared" si="375"/>
        <v/>
      </c>
    </row>
    <row r="1588" spans="1:23" hidden="1">
      <c r="J1588" s="1" t="str">
        <f t="shared" si="364"/>
        <v>0</v>
      </c>
      <c r="K1588" s="3">
        <f t="shared" si="365"/>
        <v>-100</v>
      </c>
      <c r="L1588" s="3">
        <f t="shared" si="366"/>
        <v>1</v>
      </c>
      <c r="M1588" s="3">
        <f t="shared" si="367"/>
        <v>0</v>
      </c>
      <c r="N1588" s="3" t="str">
        <f t="shared" si="368"/>
        <v>01</v>
      </c>
      <c r="O1588" s="14" t="str">
        <f t="shared" si="368"/>
        <v>00</v>
      </c>
      <c r="S1588" s="5" t="str">
        <f t="shared" si="375"/>
        <v/>
      </c>
    </row>
    <row r="1589" spans="1:23" hidden="1">
      <c r="J1589" s="1" t="str">
        <f t="shared" si="364"/>
        <v>0</v>
      </c>
      <c r="K1589" s="3">
        <f t="shared" si="365"/>
        <v>-100</v>
      </c>
      <c r="L1589" s="3">
        <f t="shared" si="366"/>
        <v>1</v>
      </c>
      <c r="M1589" s="3">
        <f t="shared" si="367"/>
        <v>0</v>
      </c>
      <c r="N1589" s="3" t="str">
        <f t="shared" si="368"/>
        <v>01</v>
      </c>
      <c r="O1589" s="14" t="str">
        <f t="shared" si="368"/>
        <v>00</v>
      </c>
    </row>
    <row r="1590" spans="1:23" hidden="1"/>
    <row r="1591" spans="1:23" hidden="1">
      <c r="J1591" s="1" t="str">
        <f t="shared" ref="J1591:J1654" si="378">+IF(I1591&lt;10,_xlfn.CONCAT("0",I1591),I1591)</f>
        <v>0</v>
      </c>
      <c r="K1591" s="3">
        <f t="shared" ref="K1591:K1654" si="379">+YEAR(H1591)-2000</f>
        <v>-100</v>
      </c>
      <c r="L1591" s="3">
        <f t="shared" ref="L1591:L1654" si="380">+MONTH(H1591)</f>
        <v>1</v>
      </c>
      <c r="M1591" s="3">
        <f t="shared" ref="M1591:M1654" si="381">+DAY(H1591)</f>
        <v>0</v>
      </c>
      <c r="N1591" s="3" t="str">
        <f t="shared" ref="N1591:O1622" si="382">+IF(L1591&lt;10,_xlfn.CONCAT("0",L1591),L1591)</f>
        <v>01</v>
      </c>
      <c r="O1591" s="14" t="str">
        <f t="shared" si="382"/>
        <v>00</v>
      </c>
      <c r="S1591" s="5" t="str">
        <f>IFERROR(P1591/R1591,"")</f>
        <v/>
      </c>
    </row>
    <row r="1592" spans="1:23" hidden="1">
      <c r="J1592" s="1" t="str">
        <f t="shared" si="378"/>
        <v>0</v>
      </c>
      <c r="K1592" s="3">
        <f t="shared" si="379"/>
        <v>-100</v>
      </c>
      <c r="L1592" s="3">
        <f t="shared" si="380"/>
        <v>1</v>
      </c>
      <c r="M1592" s="3">
        <f t="shared" si="381"/>
        <v>0</v>
      </c>
      <c r="N1592" s="3" t="str">
        <f t="shared" si="382"/>
        <v>01</v>
      </c>
      <c r="O1592" s="14" t="str">
        <f t="shared" si="382"/>
        <v>00</v>
      </c>
      <c r="S1592" s="5" t="str">
        <f>IFERROR(P1592/R1592,"")</f>
        <v/>
      </c>
    </row>
    <row r="1593" spans="1:23" s="97" customFormat="1" hidden="1">
      <c r="A1593" s="3"/>
      <c r="B1593" s="1"/>
      <c r="C1593" s="1"/>
      <c r="D1593" s="1"/>
      <c r="E1593" s="1"/>
      <c r="F1593" s="1"/>
      <c r="G1593" s="1"/>
      <c r="H1593" s="2"/>
      <c r="I1593" s="36"/>
      <c r="J1593" s="1" t="str">
        <f t="shared" si="378"/>
        <v>0</v>
      </c>
      <c r="K1593" s="3">
        <f t="shared" si="379"/>
        <v>-100</v>
      </c>
      <c r="L1593" s="3">
        <f t="shared" si="380"/>
        <v>1</v>
      </c>
      <c r="M1593" s="3">
        <f t="shared" si="381"/>
        <v>0</v>
      </c>
      <c r="N1593" s="3" t="str">
        <f t="shared" si="382"/>
        <v>01</v>
      </c>
      <c r="O1593" s="14" t="str">
        <f t="shared" si="382"/>
        <v>00</v>
      </c>
      <c r="P1593" s="4"/>
      <c r="Q1593" s="5"/>
      <c r="R1593" s="6"/>
      <c r="S1593" s="5" t="str">
        <f>IFERROR(P1593/R1593,"")</f>
        <v/>
      </c>
      <c r="T1593" s="5"/>
      <c r="U1593" s="3"/>
      <c r="V1593" s="3"/>
      <c r="W1593" s="3"/>
    </row>
    <row r="1594" spans="1:23" hidden="1">
      <c r="J1594" s="1" t="str">
        <f t="shared" si="378"/>
        <v>0</v>
      </c>
      <c r="K1594" s="3">
        <f t="shared" si="379"/>
        <v>-100</v>
      </c>
      <c r="L1594" s="3">
        <f t="shared" si="380"/>
        <v>1</v>
      </c>
      <c r="M1594" s="3">
        <f t="shared" si="381"/>
        <v>0</v>
      </c>
      <c r="N1594" s="3" t="str">
        <f t="shared" si="382"/>
        <v>01</v>
      </c>
      <c r="O1594" s="14" t="str">
        <f t="shared" si="382"/>
        <v>00</v>
      </c>
      <c r="S1594" s="5" t="str">
        <f>IFERROR(P1594/R1594,"")</f>
        <v/>
      </c>
    </row>
    <row r="1595" spans="1:23" hidden="1">
      <c r="J1595" s="1" t="str">
        <f t="shared" si="378"/>
        <v>0</v>
      </c>
      <c r="K1595" s="3">
        <f t="shared" si="379"/>
        <v>-100</v>
      </c>
      <c r="L1595" s="3">
        <f t="shared" si="380"/>
        <v>1</v>
      </c>
      <c r="M1595" s="3">
        <f t="shared" si="381"/>
        <v>0</v>
      </c>
      <c r="N1595" s="3" t="str">
        <f t="shared" si="382"/>
        <v>01</v>
      </c>
      <c r="O1595" s="14" t="str">
        <f t="shared" si="382"/>
        <v>00</v>
      </c>
      <c r="S1595" s="5" t="str">
        <f>IFERROR(P1595/R1595,"")</f>
        <v/>
      </c>
    </row>
    <row r="1596" spans="1:23" hidden="1">
      <c r="J1596" s="1" t="str">
        <f t="shared" si="378"/>
        <v>0</v>
      </c>
      <c r="K1596" s="3">
        <f t="shared" si="379"/>
        <v>-100</v>
      </c>
      <c r="L1596" s="3">
        <f t="shared" si="380"/>
        <v>1</v>
      </c>
      <c r="M1596" s="3">
        <f t="shared" si="381"/>
        <v>0</v>
      </c>
      <c r="N1596" s="3" t="str">
        <f t="shared" si="382"/>
        <v>01</v>
      </c>
      <c r="O1596" s="14" t="str">
        <f t="shared" si="382"/>
        <v>00</v>
      </c>
    </row>
    <row r="1597" spans="1:23" hidden="1">
      <c r="J1597" s="1" t="str">
        <f t="shared" si="378"/>
        <v>0</v>
      </c>
      <c r="K1597" s="3">
        <f t="shared" si="379"/>
        <v>-100</v>
      </c>
      <c r="L1597" s="3">
        <f t="shared" si="380"/>
        <v>1</v>
      </c>
      <c r="M1597" s="3">
        <f t="shared" si="381"/>
        <v>0</v>
      </c>
      <c r="N1597" s="3" t="str">
        <f t="shared" si="382"/>
        <v>01</v>
      </c>
      <c r="O1597" s="14" t="str">
        <f t="shared" si="382"/>
        <v>00</v>
      </c>
    </row>
    <row r="1598" spans="1:23" hidden="1">
      <c r="J1598" s="1" t="str">
        <f t="shared" si="378"/>
        <v>0</v>
      </c>
      <c r="K1598" s="3">
        <f t="shared" si="379"/>
        <v>-100</v>
      </c>
      <c r="L1598" s="3">
        <f t="shared" si="380"/>
        <v>1</v>
      </c>
      <c r="M1598" s="3">
        <f t="shared" si="381"/>
        <v>0</v>
      </c>
      <c r="N1598" s="3" t="str">
        <f t="shared" si="382"/>
        <v>01</v>
      </c>
      <c r="O1598" s="14" t="str">
        <f t="shared" si="382"/>
        <v>00</v>
      </c>
      <c r="R1598" s="6">
        <v>512</v>
      </c>
      <c r="S1598" s="5">
        <f>IFERROR(P1598/R1598,"")</f>
        <v>0</v>
      </c>
    </row>
    <row r="1599" spans="1:23" hidden="1">
      <c r="J1599" s="1" t="str">
        <f t="shared" si="378"/>
        <v>0</v>
      </c>
      <c r="K1599" s="3">
        <f t="shared" si="379"/>
        <v>-100</v>
      </c>
      <c r="L1599" s="3">
        <f t="shared" si="380"/>
        <v>1</v>
      </c>
      <c r="M1599" s="3">
        <f t="shared" si="381"/>
        <v>0</v>
      </c>
      <c r="N1599" s="3" t="str">
        <f t="shared" si="382"/>
        <v>01</v>
      </c>
      <c r="O1599" s="14" t="str">
        <f t="shared" si="382"/>
        <v>00</v>
      </c>
      <c r="R1599" s="6">
        <v>512</v>
      </c>
      <c r="S1599" s="5">
        <f>IFERROR(P1599/R1599,"")</f>
        <v>0</v>
      </c>
    </row>
    <row r="1600" spans="1:23" hidden="1">
      <c r="J1600" s="1" t="str">
        <f t="shared" si="378"/>
        <v>0</v>
      </c>
      <c r="K1600" s="3">
        <f t="shared" si="379"/>
        <v>-100</v>
      </c>
      <c r="L1600" s="3">
        <f t="shared" si="380"/>
        <v>1</v>
      </c>
      <c r="M1600" s="3">
        <f t="shared" si="381"/>
        <v>0</v>
      </c>
      <c r="N1600" s="3" t="str">
        <f t="shared" si="382"/>
        <v>01</v>
      </c>
      <c r="O1600" s="14" t="str">
        <f t="shared" si="382"/>
        <v>00</v>
      </c>
      <c r="R1600" s="6">
        <v>512</v>
      </c>
      <c r="S1600" s="5">
        <f>IFERROR(P1600/R1600,"")</f>
        <v>0</v>
      </c>
    </row>
    <row r="1601" spans="1:23" hidden="1">
      <c r="G1601" s="98"/>
      <c r="H1601" s="99"/>
      <c r="I1601" s="98"/>
      <c r="J1601" s="98" t="str">
        <f t="shared" si="378"/>
        <v>0</v>
      </c>
      <c r="K1601" s="97">
        <f t="shared" si="379"/>
        <v>-100</v>
      </c>
      <c r="L1601" s="97">
        <f t="shared" si="380"/>
        <v>1</v>
      </c>
      <c r="M1601" s="97">
        <f t="shared" si="381"/>
        <v>0</v>
      </c>
      <c r="N1601" s="97" t="str">
        <f t="shared" si="382"/>
        <v>01</v>
      </c>
      <c r="O1601" s="100" t="str">
        <f t="shared" si="382"/>
        <v>00</v>
      </c>
      <c r="P1601" s="101"/>
      <c r="Q1601" s="102"/>
      <c r="R1601" s="103"/>
      <c r="S1601" s="102" t="str">
        <f>IFERROR(P1601/R1601,"")</f>
        <v/>
      </c>
      <c r="T1601" s="102"/>
      <c r="U1601" s="97"/>
      <c r="V1601" s="97"/>
      <c r="W1601" s="97"/>
    </row>
    <row r="1602" spans="1:23" hidden="1">
      <c r="J1602" s="1" t="str">
        <f t="shared" si="378"/>
        <v>0</v>
      </c>
      <c r="K1602" s="3">
        <f t="shared" si="379"/>
        <v>-100</v>
      </c>
      <c r="L1602" s="3">
        <f t="shared" si="380"/>
        <v>1</v>
      </c>
      <c r="M1602" s="3">
        <f t="shared" si="381"/>
        <v>0</v>
      </c>
      <c r="N1602" s="3" t="str">
        <f t="shared" si="382"/>
        <v>01</v>
      </c>
      <c r="O1602" s="14" t="str">
        <f t="shared" si="382"/>
        <v>00</v>
      </c>
      <c r="R1602" s="6">
        <v>512</v>
      </c>
      <c r="S1602" s="5">
        <f>IFERROR(P1602/R1602,"")</f>
        <v>0</v>
      </c>
    </row>
    <row r="1603" spans="1:23" hidden="1">
      <c r="J1603" s="1" t="str">
        <f t="shared" si="378"/>
        <v>0</v>
      </c>
      <c r="K1603" s="3">
        <f t="shared" si="379"/>
        <v>-100</v>
      </c>
      <c r="L1603" s="3">
        <f t="shared" si="380"/>
        <v>1</v>
      </c>
      <c r="M1603" s="3">
        <f t="shared" si="381"/>
        <v>0</v>
      </c>
      <c r="N1603" s="3" t="str">
        <f t="shared" si="382"/>
        <v>01</v>
      </c>
      <c r="O1603" s="14" t="str">
        <f t="shared" si="382"/>
        <v>00</v>
      </c>
    </row>
    <row r="1604" spans="1:23" hidden="1">
      <c r="J1604" s="1" t="str">
        <f t="shared" si="378"/>
        <v>0</v>
      </c>
      <c r="K1604" s="3">
        <f t="shared" si="379"/>
        <v>-100</v>
      </c>
      <c r="L1604" s="3">
        <f t="shared" si="380"/>
        <v>1</v>
      </c>
      <c r="M1604" s="3">
        <f t="shared" si="381"/>
        <v>0</v>
      </c>
      <c r="N1604" s="3" t="str">
        <f t="shared" si="382"/>
        <v>01</v>
      </c>
      <c r="O1604" s="14" t="str">
        <f t="shared" si="382"/>
        <v>00</v>
      </c>
      <c r="R1604" s="6">
        <v>515</v>
      </c>
      <c r="S1604" s="5">
        <f t="shared" ref="S1604:S1637" si="383">IFERROR(P1604/R1604,"")</f>
        <v>0</v>
      </c>
    </row>
    <row r="1605" spans="1:23" hidden="1">
      <c r="G1605" s="90"/>
      <c r="J1605" s="1" t="str">
        <f t="shared" si="378"/>
        <v>0</v>
      </c>
      <c r="K1605" s="3">
        <f t="shared" si="379"/>
        <v>-100</v>
      </c>
      <c r="L1605" s="3">
        <f t="shared" si="380"/>
        <v>1</v>
      </c>
      <c r="M1605" s="3">
        <f t="shared" si="381"/>
        <v>0</v>
      </c>
      <c r="N1605" s="3" t="str">
        <f t="shared" si="382"/>
        <v>01</v>
      </c>
      <c r="O1605" s="14" t="str">
        <f t="shared" si="382"/>
        <v>00</v>
      </c>
      <c r="R1605" s="6">
        <v>512</v>
      </c>
      <c r="S1605" s="5">
        <f t="shared" si="383"/>
        <v>0</v>
      </c>
    </row>
    <row r="1606" spans="1:23">
      <c r="A1606" s="3">
        <v>1590</v>
      </c>
      <c r="B1606" s="1">
        <f t="shared" ref="B1606:B1649" si="384">IF(G1606="-",0,IF(G1605=G1606,1,0))</f>
        <v>0</v>
      </c>
      <c r="C1606" s="1">
        <f t="shared" ref="C1606:C1649" si="385">+IF(G1606="-",0,IF(I1606=I1605+1,0,(IF(I1606=1,0,1))))</f>
        <v>1</v>
      </c>
      <c r="D1606" s="1">
        <f t="shared" ref="D1606:D1653" si="386">+IF(AND(P1606="",Q1606=""),1,0)</f>
        <v>0</v>
      </c>
      <c r="E1606" s="1">
        <f t="shared" ref="E1606:F1627" si="387">IF(U1606="",1,0)</f>
        <v>0</v>
      </c>
      <c r="F1606" s="1">
        <f t="shared" si="387"/>
        <v>0</v>
      </c>
      <c r="G1606" s="90" t="str">
        <f t="shared" ref="G1606:G1653" si="388">IF(H1606=0,"-",_xlfn.CONCAT(K1606,N1606,O1606,J1606))</f>
        <v>24081609</v>
      </c>
      <c r="H1606" s="2">
        <v>45520</v>
      </c>
      <c r="I1606" s="36">
        <v>9</v>
      </c>
      <c r="J1606" s="1" t="str">
        <f t="shared" si="378"/>
        <v>09</v>
      </c>
      <c r="K1606" s="3">
        <f t="shared" si="379"/>
        <v>24</v>
      </c>
      <c r="L1606" s="3">
        <f t="shared" si="380"/>
        <v>8</v>
      </c>
      <c r="M1606" s="3">
        <f t="shared" si="381"/>
        <v>16</v>
      </c>
      <c r="N1606" s="3" t="str">
        <f t="shared" si="382"/>
        <v>08</v>
      </c>
      <c r="O1606" s="14">
        <f t="shared" si="382"/>
        <v>16</v>
      </c>
      <c r="P1606" s="4">
        <v>652939.31999999995</v>
      </c>
      <c r="R1606" s="6">
        <v>512</v>
      </c>
      <c r="S1606" s="5">
        <f t="shared" si="383"/>
        <v>1275.2721093749999</v>
      </c>
      <c r="T1606" s="5" t="s">
        <v>1033</v>
      </c>
      <c r="U1606" s="3" t="s">
        <v>2</v>
      </c>
      <c r="V1606" s="3" t="s">
        <v>5</v>
      </c>
    </row>
    <row r="1607" spans="1:23" hidden="1">
      <c r="J1607" s="1" t="str">
        <f t="shared" si="378"/>
        <v>0</v>
      </c>
      <c r="K1607" s="3">
        <f t="shared" si="379"/>
        <v>-100</v>
      </c>
      <c r="L1607" s="3">
        <f t="shared" si="380"/>
        <v>1</v>
      </c>
      <c r="M1607" s="3">
        <f t="shared" si="381"/>
        <v>0</v>
      </c>
      <c r="N1607" s="3" t="str">
        <f t="shared" si="382"/>
        <v>01</v>
      </c>
      <c r="O1607" s="14" t="str">
        <f t="shared" si="382"/>
        <v>00</v>
      </c>
      <c r="P1607" s="28"/>
      <c r="R1607" s="6">
        <v>512</v>
      </c>
      <c r="S1607" s="5">
        <f t="shared" si="383"/>
        <v>0</v>
      </c>
    </row>
    <row r="1608" spans="1:23" hidden="1">
      <c r="J1608" s="1" t="str">
        <f t="shared" si="378"/>
        <v>0</v>
      </c>
      <c r="K1608" s="3">
        <f t="shared" si="379"/>
        <v>-100</v>
      </c>
      <c r="L1608" s="3">
        <f t="shared" si="380"/>
        <v>1</v>
      </c>
      <c r="M1608" s="3">
        <f t="shared" si="381"/>
        <v>0</v>
      </c>
      <c r="N1608" s="3" t="str">
        <f t="shared" si="382"/>
        <v>01</v>
      </c>
      <c r="O1608" s="14" t="str">
        <f t="shared" si="382"/>
        <v>00</v>
      </c>
      <c r="R1608" s="6">
        <v>512</v>
      </c>
      <c r="S1608" s="5">
        <f t="shared" si="383"/>
        <v>0</v>
      </c>
    </row>
    <row r="1609" spans="1:23" hidden="1">
      <c r="J1609" s="1" t="str">
        <f t="shared" si="378"/>
        <v>0</v>
      </c>
      <c r="K1609" s="3">
        <f t="shared" si="379"/>
        <v>-100</v>
      </c>
      <c r="L1609" s="3">
        <f t="shared" si="380"/>
        <v>1</v>
      </c>
      <c r="M1609" s="3">
        <f t="shared" si="381"/>
        <v>0</v>
      </c>
      <c r="N1609" s="3" t="str">
        <f t="shared" si="382"/>
        <v>01</v>
      </c>
      <c r="O1609" s="14" t="str">
        <f t="shared" si="382"/>
        <v>00</v>
      </c>
      <c r="R1609" s="6">
        <v>512</v>
      </c>
      <c r="S1609" s="5">
        <f t="shared" si="383"/>
        <v>0</v>
      </c>
    </row>
    <row r="1610" spans="1:23">
      <c r="A1610" s="3">
        <v>1594</v>
      </c>
      <c r="B1610" s="1">
        <f t="shared" si="384"/>
        <v>0</v>
      </c>
      <c r="C1610" s="1">
        <f t="shared" si="385"/>
        <v>1</v>
      </c>
      <c r="D1610" s="1">
        <f t="shared" si="386"/>
        <v>0</v>
      </c>
      <c r="E1610" s="1">
        <f t="shared" si="387"/>
        <v>0</v>
      </c>
      <c r="F1610" s="1">
        <f t="shared" si="387"/>
        <v>0</v>
      </c>
      <c r="G1610" s="1" t="str">
        <f t="shared" si="388"/>
        <v>24081613</v>
      </c>
      <c r="H1610" s="2">
        <v>45520</v>
      </c>
      <c r="I1610" s="36">
        <v>13</v>
      </c>
      <c r="J1610" s="1">
        <f t="shared" si="378"/>
        <v>13</v>
      </c>
      <c r="K1610" s="3">
        <f t="shared" si="379"/>
        <v>24</v>
      </c>
      <c r="L1610" s="3">
        <f t="shared" si="380"/>
        <v>8</v>
      </c>
      <c r="M1610" s="3">
        <f t="shared" si="381"/>
        <v>16</v>
      </c>
      <c r="N1610" s="3" t="str">
        <f t="shared" si="382"/>
        <v>08</v>
      </c>
      <c r="O1610" s="14">
        <f t="shared" si="382"/>
        <v>16</v>
      </c>
      <c r="P1610" s="4">
        <v>12184.58</v>
      </c>
      <c r="R1610" s="6">
        <v>512</v>
      </c>
      <c r="S1610" s="5">
        <f t="shared" si="383"/>
        <v>23.7980078125</v>
      </c>
      <c r="T1610" s="5" t="s">
        <v>782</v>
      </c>
      <c r="U1610" s="3" t="s">
        <v>29</v>
      </c>
      <c r="V1610" s="3" t="s">
        <v>5</v>
      </c>
    </row>
    <row r="1611" spans="1:23">
      <c r="A1611" s="3">
        <v>1595</v>
      </c>
      <c r="B1611" s="1">
        <f t="shared" si="384"/>
        <v>0</v>
      </c>
      <c r="C1611" s="1">
        <f t="shared" si="385"/>
        <v>0</v>
      </c>
      <c r="D1611" s="1">
        <f t="shared" si="386"/>
        <v>0</v>
      </c>
      <c r="E1611" s="1">
        <f t="shared" si="387"/>
        <v>0</v>
      </c>
      <c r="F1611" s="1">
        <f t="shared" si="387"/>
        <v>0</v>
      </c>
      <c r="G1611" s="1" t="str">
        <f t="shared" si="388"/>
        <v>24081614</v>
      </c>
      <c r="H1611" s="2">
        <v>45520</v>
      </c>
      <c r="I1611" s="36">
        <v>14</v>
      </c>
      <c r="J1611" s="1">
        <f t="shared" si="378"/>
        <v>14</v>
      </c>
      <c r="K1611" s="3">
        <f t="shared" si="379"/>
        <v>24</v>
      </c>
      <c r="L1611" s="3">
        <f t="shared" si="380"/>
        <v>8</v>
      </c>
      <c r="M1611" s="3">
        <f t="shared" si="381"/>
        <v>16</v>
      </c>
      <c r="N1611" s="3" t="str">
        <f t="shared" si="382"/>
        <v>08</v>
      </c>
      <c r="O1611" s="14">
        <f t="shared" si="382"/>
        <v>16</v>
      </c>
      <c r="P1611" s="4">
        <v>10000</v>
      </c>
      <c r="R1611" s="6">
        <v>512</v>
      </c>
      <c r="S1611" s="5">
        <f t="shared" si="383"/>
        <v>19.53125</v>
      </c>
      <c r="T1611" s="5" t="s">
        <v>783</v>
      </c>
      <c r="U1611" s="3" t="s">
        <v>29</v>
      </c>
      <c r="V1611" s="3" t="s">
        <v>5</v>
      </c>
    </row>
    <row r="1612" spans="1:23" hidden="1">
      <c r="J1612" s="1" t="str">
        <f t="shared" si="378"/>
        <v>0</v>
      </c>
      <c r="K1612" s="3">
        <f t="shared" si="379"/>
        <v>-100</v>
      </c>
      <c r="L1612" s="3">
        <f t="shared" si="380"/>
        <v>1</v>
      </c>
      <c r="M1612" s="3">
        <f t="shared" si="381"/>
        <v>0</v>
      </c>
      <c r="N1612" s="3" t="str">
        <f t="shared" si="382"/>
        <v>01</v>
      </c>
      <c r="O1612" s="14" t="str">
        <f t="shared" si="382"/>
        <v>00</v>
      </c>
      <c r="R1612" s="6">
        <v>512</v>
      </c>
      <c r="S1612" s="5">
        <f t="shared" si="383"/>
        <v>0</v>
      </c>
    </row>
    <row r="1613" spans="1:23" hidden="1">
      <c r="J1613" s="1" t="str">
        <f t="shared" si="378"/>
        <v>0</v>
      </c>
      <c r="K1613" s="3">
        <f t="shared" si="379"/>
        <v>-100</v>
      </c>
      <c r="L1613" s="3">
        <f t="shared" si="380"/>
        <v>1</v>
      </c>
      <c r="M1613" s="3">
        <f t="shared" si="381"/>
        <v>0</v>
      </c>
      <c r="N1613" s="3" t="str">
        <f t="shared" si="382"/>
        <v>01</v>
      </c>
      <c r="O1613" s="14" t="str">
        <f t="shared" si="382"/>
        <v>00</v>
      </c>
      <c r="P1613" s="132"/>
      <c r="R1613" s="6">
        <v>512</v>
      </c>
      <c r="S1613" s="5">
        <f t="shared" si="383"/>
        <v>0</v>
      </c>
      <c r="T1613" s="3"/>
    </row>
    <row r="1614" spans="1:23" hidden="1">
      <c r="J1614" s="1" t="str">
        <f t="shared" si="378"/>
        <v>0</v>
      </c>
      <c r="K1614" s="3">
        <f t="shared" si="379"/>
        <v>-100</v>
      </c>
      <c r="L1614" s="3">
        <f t="shared" si="380"/>
        <v>1</v>
      </c>
      <c r="M1614" s="3">
        <f t="shared" si="381"/>
        <v>0</v>
      </c>
      <c r="N1614" s="3" t="str">
        <f t="shared" si="382"/>
        <v>01</v>
      </c>
      <c r="O1614" s="14" t="str">
        <f t="shared" si="382"/>
        <v>00</v>
      </c>
      <c r="P1614" s="132"/>
      <c r="R1614" s="6">
        <v>512</v>
      </c>
      <c r="S1614" s="5">
        <f t="shared" si="383"/>
        <v>0</v>
      </c>
      <c r="T1614" s="3"/>
    </row>
    <row r="1615" spans="1:23" hidden="1">
      <c r="J1615" s="1" t="str">
        <f t="shared" si="378"/>
        <v>0</v>
      </c>
      <c r="K1615" s="3">
        <f t="shared" si="379"/>
        <v>-100</v>
      </c>
      <c r="L1615" s="3">
        <f t="shared" si="380"/>
        <v>1</v>
      </c>
      <c r="M1615" s="3">
        <f t="shared" si="381"/>
        <v>0</v>
      </c>
      <c r="N1615" s="3" t="str">
        <f t="shared" si="382"/>
        <v>01</v>
      </c>
      <c r="O1615" s="14" t="str">
        <f t="shared" si="382"/>
        <v>00</v>
      </c>
      <c r="P1615" s="132"/>
      <c r="R1615" s="6">
        <v>512</v>
      </c>
      <c r="S1615" s="5">
        <f t="shared" si="383"/>
        <v>0</v>
      </c>
      <c r="T1615" s="3"/>
    </row>
    <row r="1616" spans="1:23" hidden="1">
      <c r="J1616" s="1" t="str">
        <f t="shared" si="378"/>
        <v>0</v>
      </c>
      <c r="K1616" s="3">
        <f t="shared" si="379"/>
        <v>-100</v>
      </c>
      <c r="L1616" s="3">
        <f t="shared" si="380"/>
        <v>1</v>
      </c>
      <c r="M1616" s="3">
        <f t="shared" si="381"/>
        <v>0</v>
      </c>
      <c r="N1616" s="3" t="str">
        <f t="shared" si="382"/>
        <v>01</v>
      </c>
      <c r="O1616" s="14" t="str">
        <f t="shared" si="382"/>
        <v>00</v>
      </c>
      <c r="P1616" s="132"/>
      <c r="R1616" s="6">
        <v>512</v>
      </c>
      <c r="S1616" s="5">
        <f t="shared" si="383"/>
        <v>0</v>
      </c>
      <c r="T1616" s="3"/>
    </row>
    <row r="1617" spans="1:23" hidden="1">
      <c r="J1617" s="1" t="str">
        <f t="shared" si="378"/>
        <v>0</v>
      </c>
      <c r="K1617" s="3">
        <f t="shared" si="379"/>
        <v>-100</v>
      </c>
      <c r="L1617" s="3">
        <f t="shared" si="380"/>
        <v>1</v>
      </c>
      <c r="M1617" s="3">
        <f t="shared" si="381"/>
        <v>0</v>
      </c>
      <c r="N1617" s="3" t="str">
        <f t="shared" si="382"/>
        <v>01</v>
      </c>
      <c r="O1617" s="14" t="str">
        <f t="shared" si="382"/>
        <v>00</v>
      </c>
      <c r="P1617" s="132"/>
      <c r="R1617" s="6">
        <v>512</v>
      </c>
      <c r="S1617" s="5">
        <f t="shared" si="383"/>
        <v>0</v>
      </c>
      <c r="T1617" s="3"/>
    </row>
    <row r="1618" spans="1:23">
      <c r="A1618" s="3">
        <v>1602</v>
      </c>
      <c r="B1618" s="1">
        <f t="shared" si="384"/>
        <v>0</v>
      </c>
      <c r="C1618" s="1">
        <f t="shared" si="385"/>
        <v>1</v>
      </c>
      <c r="D1618" s="1">
        <f t="shared" si="386"/>
        <v>0</v>
      </c>
      <c r="E1618" s="1">
        <f t="shared" si="387"/>
        <v>1</v>
      </c>
      <c r="F1618" s="1">
        <f t="shared" si="387"/>
        <v>0</v>
      </c>
      <c r="G1618" s="1" t="str">
        <f t="shared" si="388"/>
        <v>24081706</v>
      </c>
      <c r="H1618" s="2">
        <v>45521</v>
      </c>
      <c r="I1618" s="36">
        <v>6</v>
      </c>
      <c r="J1618" s="1" t="str">
        <f t="shared" si="378"/>
        <v>06</v>
      </c>
      <c r="K1618" s="3">
        <f t="shared" si="379"/>
        <v>24</v>
      </c>
      <c r="L1618" s="3">
        <f t="shared" si="380"/>
        <v>8</v>
      </c>
      <c r="M1618" s="3">
        <f t="shared" si="381"/>
        <v>17</v>
      </c>
      <c r="N1618" s="3" t="str">
        <f t="shared" si="382"/>
        <v>08</v>
      </c>
      <c r="O1618" s="14">
        <f t="shared" si="382"/>
        <v>17</v>
      </c>
      <c r="P1618" s="132">
        <v>136000</v>
      </c>
      <c r="R1618" s="6">
        <v>512</v>
      </c>
      <c r="S1618" s="5">
        <f t="shared" si="383"/>
        <v>265.625</v>
      </c>
      <c r="T1618" s="3" t="s">
        <v>605</v>
      </c>
      <c r="V1618" s="3" t="s">
        <v>5</v>
      </c>
    </row>
    <row r="1619" spans="1:23">
      <c r="A1619" s="3">
        <v>1603</v>
      </c>
      <c r="B1619" s="1">
        <f t="shared" si="384"/>
        <v>0</v>
      </c>
      <c r="C1619" s="1">
        <f t="shared" si="385"/>
        <v>0</v>
      </c>
      <c r="D1619" s="1">
        <f t="shared" si="386"/>
        <v>0</v>
      </c>
      <c r="E1619" s="1">
        <f t="shared" si="387"/>
        <v>1</v>
      </c>
      <c r="F1619" s="1">
        <f t="shared" si="387"/>
        <v>0</v>
      </c>
      <c r="G1619" s="1" t="str">
        <f t="shared" si="388"/>
        <v>24081707</v>
      </c>
      <c r="H1619" s="2">
        <v>45521</v>
      </c>
      <c r="I1619" s="36">
        <v>7</v>
      </c>
      <c r="J1619" s="1" t="str">
        <f t="shared" si="378"/>
        <v>07</v>
      </c>
      <c r="K1619" s="3">
        <f t="shared" si="379"/>
        <v>24</v>
      </c>
      <c r="L1619" s="3">
        <f t="shared" si="380"/>
        <v>8</v>
      </c>
      <c r="M1619" s="3">
        <f t="shared" si="381"/>
        <v>17</v>
      </c>
      <c r="N1619" s="3" t="str">
        <f t="shared" si="382"/>
        <v>08</v>
      </c>
      <c r="O1619" s="14">
        <f t="shared" si="382"/>
        <v>17</v>
      </c>
      <c r="P1619" s="132">
        <v>115600</v>
      </c>
      <c r="R1619" s="6">
        <v>512</v>
      </c>
      <c r="S1619" s="5">
        <f t="shared" si="383"/>
        <v>225.78125</v>
      </c>
      <c r="T1619" s="3" t="s">
        <v>606</v>
      </c>
      <c r="V1619" s="3" t="s">
        <v>5</v>
      </c>
    </row>
    <row r="1620" spans="1:23">
      <c r="A1620" s="3">
        <v>1604</v>
      </c>
      <c r="B1620" s="1">
        <f t="shared" si="384"/>
        <v>0</v>
      </c>
      <c r="C1620" s="1">
        <f t="shared" si="385"/>
        <v>0</v>
      </c>
      <c r="D1620" s="1">
        <f t="shared" si="386"/>
        <v>0</v>
      </c>
      <c r="E1620" s="1">
        <f t="shared" si="387"/>
        <v>1</v>
      </c>
      <c r="F1620" s="1">
        <f t="shared" si="387"/>
        <v>0</v>
      </c>
      <c r="G1620" s="1" t="str">
        <f t="shared" si="388"/>
        <v>24081708</v>
      </c>
      <c r="H1620" s="2">
        <v>45521</v>
      </c>
      <c r="I1620" s="36">
        <v>8</v>
      </c>
      <c r="J1620" s="1" t="str">
        <f t="shared" si="378"/>
        <v>08</v>
      </c>
      <c r="K1620" s="3">
        <f t="shared" si="379"/>
        <v>24</v>
      </c>
      <c r="L1620" s="3">
        <f t="shared" si="380"/>
        <v>8</v>
      </c>
      <c r="M1620" s="3">
        <f t="shared" si="381"/>
        <v>17</v>
      </c>
      <c r="N1620" s="3" t="str">
        <f t="shared" si="382"/>
        <v>08</v>
      </c>
      <c r="O1620" s="14">
        <f t="shared" si="382"/>
        <v>17</v>
      </c>
      <c r="P1620" s="132">
        <v>115600</v>
      </c>
      <c r="R1620" s="6">
        <v>512</v>
      </c>
      <c r="S1620" s="5">
        <f t="shared" si="383"/>
        <v>225.78125</v>
      </c>
      <c r="T1620" s="3" t="s">
        <v>607</v>
      </c>
      <c r="V1620" s="3" t="s">
        <v>5</v>
      </c>
    </row>
    <row r="1621" spans="1:23">
      <c r="A1621" s="3">
        <v>1605</v>
      </c>
      <c r="B1621" s="1">
        <f t="shared" si="384"/>
        <v>0</v>
      </c>
      <c r="C1621" s="1">
        <f t="shared" si="385"/>
        <v>0</v>
      </c>
      <c r="D1621" s="1">
        <f t="shared" si="386"/>
        <v>0</v>
      </c>
      <c r="E1621" s="1">
        <f t="shared" si="387"/>
        <v>1</v>
      </c>
      <c r="F1621" s="1">
        <f t="shared" si="387"/>
        <v>0</v>
      </c>
      <c r="G1621" s="1" t="str">
        <f t="shared" si="388"/>
        <v>24081709</v>
      </c>
      <c r="H1621" s="2">
        <v>45521</v>
      </c>
      <c r="I1621" s="36">
        <v>9</v>
      </c>
      <c r="J1621" s="1" t="str">
        <f t="shared" si="378"/>
        <v>09</v>
      </c>
      <c r="K1621" s="3">
        <f t="shared" si="379"/>
        <v>24</v>
      </c>
      <c r="L1621" s="3">
        <f t="shared" si="380"/>
        <v>8</v>
      </c>
      <c r="M1621" s="3">
        <f t="shared" si="381"/>
        <v>17</v>
      </c>
      <c r="N1621" s="3" t="str">
        <f t="shared" si="382"/>
        <v>08</v>
      </c>
      <c r="O1621" s="14">
        <f t="shared" si="382"/>
        <v>17</v>
      </c>
      <c r="P1621" s="132">
        <f>230000*(1.16666666666667)</f>
        <v>268333.33333333413</v>
      </c>
      <c r="R1621" s="6">
        <v>512</v>
      </c>
      <c r="S1621" s="5">
        <f t="shared" si="383"/>
        <v>524.08854166666822</v>
      </c>
      <c r="T1621" s="3" t="s">
        <v>615</v>
      </c>
      <c r="V1621" s="3" t="s">
        <v>5</v>
      </c>
    </row>
    <row r="1622" spans="1:23" s="92" customFormat="1">
      <c r="A1622" s="3">
        <v>1606</v>
      </c>
      <c r="B1622" s="1">
        <f t="shared" si="384"/>
        <v>0</v>
      </c>
      <c r="C1622" s="1">
        <f t="shared" si="385"/>
        <v>0</v>
      </c>
      <c r="D1622" s="1">
        <f t="shared" si="386"/>
        <v>0</v>
      </c>
      <c r="E1622" s="1">
        <f t="shared" si="387"/>
        <v>1</v>
      </c>
      <c r="F1622" s="1">
        <f t="shared" si="387"/>
        <v>0</v>
      </c>
      <c r="G1622" s="1" t="str">
        <f t="shared" si="388"/>
        <v>24081710</v>
      </c>
      <c r="H1622" s="2">
        <v>45521</v>
      </c>
      <c r="I1622" s="36">
        <v>10</v>
      </c>
      <c r="J1622" s="1">
        <f t="shared" si="378"/>
        <v>10</v>
      </c>
      <c r="K1622" s="3">
        <f t="shared" si="379"/>
        <v>24</v>
      </c>
      <c r="L1622" s="3">
        <f t="shared" si="380"/>
        <v>8</v>
      </c>
      <c r="M1622" s="3">
        <f t="shared" si="381"/>
        <v>17</v>
      </c>
      <c r="N1622" s="3" t="str">
        <f t="shared" si="382"/>
        <v>08</v>
      </c>
      <c r="O1622" s="14">
        <f t="shared" si="382"/>
        <v>17</v>
      </c>
      <c r="P1622" s="132">
        <v>90000</v>
      </c>
      <c r="Q1622" s="5"/>
      <c r="R1622" s="6">
        <v>512</v>
      </c>
      <c r="S1622" s="5">
        <f t="shared" si="383"/>
        <v>175.78125</v>
      </c>
      <c r="T1622" s="3" t="s">
        <v>614</v>
      </c>
      <c r="U1622" s="3"/>
      <c r="V1622" s="3" t="s">
        <v>5</v>
      </c>
      <c r="W1622" s="3"/>
    </row>
    <row r="1623" spans="1:23" s="92" customFormat="1">
      <c r="A1623" s="3">
        <v>1607</v>
      </c>
      <c r="B1623" s="1">
        <f t="shared" si="384"/>
        <v>0</v>
      </c>
      <c r="C1623" s="1">
        <f t="shared" si="385"/>
        <v>0</v>
      </c>
      <c r="D1623" s="1">
        <f t="shared" si="386"/>
        <v>0</v>
      </c>
      <c r="E1623" s="1">
        <f t="shared" si="387"/>
        <v>1</v>
      </c>
      <c r="F1623" s="1">
        <f t="shared" si="387"/>
        <v>0</v>
      </c>
      <c r="G1623" s="1" t="str">
        <f t="shared" si="388"/>
        <v>24081711</v>
      </c>
      <c r="H1623" s="2">
        <v>45521</v>
      </c>
      <c r="I1623" s="36">
        <v>11</v>
      </c>
      <c r="J1623" s="1">
        <f t="shared" si="378"/>
        <v>11</v>
      </c>
      <c r="K1623" s="3">
        <f t="shared" si="379"/>
        <v>24</v>
      </c>
      <c r="L1623" s="3">
        <f t="shared" si="380"/>
        <v>8</v>
      </c>
      <c r="M1623" s="3">
        <f t="shared" si="381"/>
        <v>17</v>
      </c>
      <c r="N1623" s="3" t="str">
        <f t="shared" ref="N1623:O1654" si="389">+IF(L1623&lt;10,_xlfn.CONCAT("0",L1623),L1623)</f>
        <v>08</v>
      </c>
      <c r="O1623" s="14">
        <f t="shared" si="389"/>
        <v>17</v>
      </c>
      <c r="P1623" s="132">
        <v>115600</v>
      </c>
      <c r="Q1623" s="5"/>
      <c r="R1623" s="6">
        <v>512</v>
      </c>
      <c r="S1623" s="5">
        <f t="shared" si="383"/>
        <v>225.78125</v>
      </c>
      <c r="T1623" s="3" t="s">
        <v>612</v>
      </c>
      <c r="U1623" s="3"/>
      <c r="V1623" s="3" t="s">
        <v>5</v>
      </c>
      <c r="W1623" s="3"/>
    </row>
    <row r="1624" spans="1:23" hidden="1">
      <c r="J1624" s="1" t="str">
        <f t="shared" si="378"/>
        <v>0</v>
      </c>
      <c r="K1624" s="3">
        <f t="shared" si="379"/>
        <v>-100</v>
      </c>
      <c r="L1624" s="3">
        <f t="shared" si="380"/>
        <v>1</v>
      </c>
      <c r="M1624" s="3">
        <f t="shared" si="381"/>
        <v>0</v>
      </c>
      <c r="N1624" s="3" t="str">
        <f t="shared" si="389"/>
        <v>01</v>
      </c>
      <c r="O1624" s="14" t="str">
        <f t="shared" si="389"/>
        <v>00</v>
      </c>
      <c r="P1624" s="132"/>
      <c r="R1624" s="6">
        <v>512</v>
      </c>
      <c r="S1624" s="5">
        <f t="shared" si="383"/>
        <v>0</v>
      </c>
      <c r="T1624" s="3"/>
    </row>
    <row r="1625" spans="1:23">
      <c r="A1625" s="3">
        <v>1609</v>
      </c>
      <c r="B1625" s="1">
        <f t="shared" si="384"/>
        <v>0</v>
      </c>
      <c r="C1625" s="1">
        <f t="shared" si="385"/>
        <v>1</v>
      </c>
      <c r="D1625" s="1">
        <f t="shared" si="386"/>
        <v>0</v>
      </c>
      <c r="E1625" s="1">
        <f t="shared" si="387"/>
        <v>1</v>
      </c>
      <c r="F1625" s="1">
        <f t="shared" si="387"/>
        <v>0</v>
      </c>
      <c r="G1625" s="1" t="str">
        <f t="shared" si="388"/>
        <v>24081713</v>
      </c>
      <c r="H1625" s="2">
        <v>45521</v>
      </c>
      <c r="I1625" s="36">
        <v>13</v>
      </c>
      <c r="J1625" s="1">
        <f t="shared" si="378"/>
        <v>13</v>
      </c>
      <c r="K1625" s="3">
        <f t="shared" si="379"/>
        <v>24</v>
      </c>
      <c r="L1625" s="3">
        <f t="shared" si="380"/>
        <v>8</v>
      </c>
      <c r="M1625" s="3">
        <f t="shared" si="381"/>
        <v>17</v>
      </c>
      <c r="N1625" s="3" t="str">
        <f t="shared" si="389"/>
        <v>08</v>
      </c>
      <c r="O1625" s="14">
        <f t="shared" si="389"/>
        <v>17</v>
      </c>
      <c r="P1625" s="132">
        <v>170000</v>
      </c>
      <c r="R1625" s="6">
        <v>512</v>
      </c>
      <c r="S1625" s="5">
        <f t="shared" si="383"/>
        <v>332.03125</v>
      </c>
      <c r="T1625" s="3" t="s">
        <v>608</v>
      </c>
      <c r="V1625" s="3" t="s">
        <v>5</v>
      </c>
    </row>
    <row r="1626" spans="1:23" hidden="1">
      <c r="J1626" s="1" t="str">
        <f t="shared" si="378"/>
        <v>0</v>
      </c>
      <c r="K1626" s="3">
        <f t="shared" si="379"/>
        <v>-100</v>
      </c>
      <c r="L1626" s="3">
        <f t="shared" si="380"/>
        <v>1</v>
      </c>
      <c r="M1626" s="3">
        <f t="shared" si="381"/>
        <v>0</v>
      </c>
      <c r="N1626" s="3" t="str">
        <f t="shared" si="389"/>
        <v>01</v>
      </c>
      <c r="O1626" s="14" t="str">
        <f t="shared" si="389"/>
        <v>00</v>
      </c>
      <c r="P1626" s="132"/>
      <c r="R1626" s="6">
        <v>512</v>
      </c>
      <c r="S1626" s="5">
        <f t="shared" si="383"/>
        <v>0</v>
      </c>
      <c r="T1626" s="3"/>
    </row>
    <row r="1627" spans="1:23">
      <c r="A1627" s="3">
        <v>1611</v>
      </c>
      <c r="B1627" s="1">
        <f t="shared" si="384"/>
        <v>0</v>
      </c>
      <c r="C1627" s="1">
        <f t="shared" si="385"/>
        <v>1</v>
      </c>
      <c r="D1627" s="1">
        <f t="shared" si="386"/>
        <v>0</v>
      </c>
      <c r="E1627" s="1">
        <f t="shared" si="387"/>
        <v>1</v>
      </c>
      <c r="F1627" s="1">
        <f t="shared" si="387"/>
        <v>0</v>
      </c>
      <c r="G1627" s="1" t="str">
        <f t="shared" si="388"/>
        <v>24081715</v>
      </c>
      <c r="H1627" s="2">
        <v>45521</v>
      </c>
      <c r="I1627" s="36">
        <v>15</v>
      </c>
      <c r="J1627" s="1">
        <f t="shared" si="378"/>
        <v>15</v>
      </c>
      <c r="K1627" s="3">
        <f t="shared" si="379"/>
        <v>24</v>
      </c>
      <c r="L1627" s="3">
        <f t="shared" si="380"/>
        <v>8</v>
      </c>
      <c r="M1627" s="3">
        <f t="shared" si="381"/>
        <v>17</v>
      </c>
      <c r="N1627" s="3" t="str">
        <f t="shared" si="389"/>
        <v>08</v>
      </c>
      <c r="O1627" s="14">
        <f t="shared" si="389"/>
        <v>17</v>
      </c>
      <c r="P1627" s="132">
        <v>150000</v>
      </c>
      <c r="R1627" s="6">
        <v>512</v>
      </c>
      <c r="S1627" s="5">
        <f t="shared" si="383"/>
        <v>292.96875</v>
      </c>
      <c r="T1627" s="3" t="s">
        <v>610</v>
      </c>
      <c r="V1627" s="3" t="s">
        <v>5</v>
      </c>
    </row>
    <row r="1628" spans="1:23" ht="15.6" hidden="1" customHeight="1">
      <c r="J1628" s="1" t="str">
        <f t="shared" si="378"/>
        <v>0</v>
      </c>
      <c r="K1628" s="3">
        <f t="shared" si="379"/>
        <v>-100</v>
      </c>
      <c r="L1628" s="3">
        <f t="shared" si="380"/>
        <v>1</v>
      </c>
      <c r="M1628" s="3">
        <f t="shared" si="381"/>
        <v>0</v>
      </c>
      <c r="N1628" s="3" t="str">
        <f t="shared" si="389"/>
        <v>01</v>
      </c>
      <c r="O1628" s="14" t="str">
        <f t="shared" si="389"/>
        <v>00</v>
      </c>
      <c r="P1628" s="132"/>
      <c r="R1628" s="6">
        <v>512</v>
      </c>
      <c r="S1628" s="5">
        <f t="shared" si="383"/>
        <v>0</v>
      </c>
      <c r="T1628" s="3"/>
    </row>
    <row r="1629" spans="1:23" hidden="1">
      <c r="J1629" s="1" t="str">
        <f t="shared" si="378"/>
        <v>0</v>
      </c>
      <c r="K1629" s="3">
        <f t="shared" si="379"/>
        <v>-100</v>
      </c>
      <c r="L1629" s="3">
        <f t="shared" si="380"/>
        <v>1</v>
      </c>
      <c r="M1629" s="3">
        <f t="shared" si="381"/>
        <v>0</v>
      </c>
      <c r="N1629" s="3" t="str">
        <f t="shared" si="389"/>
        <v>01</v>
      </c>
      <c r="O1629" s="14" t="str">
        <f t="shared" si="389"/>
        <v>00</v>
      </c>
      <c r="P1629" s="132"/>
      <c r="R1629" s="6">
        <v>512</v>
      </c>
      <c r="S1629" s="5">
        <f t="shared" si="383"/>
        <v>0</v>
      </c>
      <c r="T1629" s="3"/>
    </row>
    <row r="1630" spans="1:23" hidden="1">
      <c r="J1630" s="1" t="str">
        <f t="shared" si="378"/>
        <v>0</v>
      </c>
      <c r="K1630" s="3">
        <f t="shared" si="379"/>
        <v>-100</v>
      </c>
      <c r="L1630" s="3">
        <f t="shared" si="380"/>
        <v>1</v>
      </c>
      <c r="M1630" s="3">
        <f t="shared" si="381"/>
        <v>0</v>
      </c>
      <c r="N1630" s="3" t="str">
        <f t="shared" si="389"/>
        <v>01</v>
      </c>
      <c r="O1630" s="14" t="str">
        <f t="shared" si="389"/>
        <v>00</v>
      </c>
      <c r="P1630" s="132"/>
      <c r="R1630" s="6">
        <v>512</v>
      </c>
      <c r="S1630" s="5">
        <f t="shared" si="383"/>
        <v>0</v>
      </c>
      <c r="T1630" s="3"/>
    </row>
    <row r="1631" spans="1:23" hidden="1">
      <c r="J1631" s="1" t="str">
        <f t="shared" si="378"/>
        <v>0</v>
      </c>
      <c r="K1631" s="3">
        <f t="shared" si="379"/>
        <v>-100</v>
      </c>
      <c r="L1631" s="3">
        <f t="shared" si="380"/>
        <v>1</v>
      </c>
      <c r="M1631" s="3">
        <f t="shared" si="381"/>
        <v>0</v>
      </c>
      <c r="N1631" s="3" t="str">
        <f t="shared" si="389"/>
        <v>01</v>
      </c>
      <c r="O1631" s="14" t="str">
        <f t="shared" si="389"/>
        <v>00</v>
      </c>
      <c r="P1631" s="132"/>
      <c r="R1631" s="6">
        <v>512</v>
      </c>
      <c r="S1631" s="5">
        <f t="shared" si="383"/>
        <v>0</v>
      </c>
      <c r="T1631" s="3"/>
    </row>
    <row r="1632" spans="1:23">
      <c r="A1632" s="3">
        <v>1616</v>
      </c>
      <c r="B1632" s="1">
        <f t="shared" si="384"/>
        <v>0</v>
      </c>
      <c r="C1632" s="1">
        <f t="shared" si="385"/>
        <v>1</v>
      </c>
      <c r="D1632" s="1">
        <f t="shared" si="386"/>
        <v>0</v>
      </c>
      <c r="E1632" s="1">
        <f t="shared" ref="E1632:F1653" si="390">IF(U1632="",1,0)</f>
        <v>1</v>
      </c>
      <c r="F1632" s="1">
        <f t="shared" si="390"/>
        <v>0</v>
      </c>
      <c r="G1632" s="1" t="str">
        <f t="shared" si="388"/>
        <v>24081720</v>
      </c>
      <c r="H1632" s="2">
        <v>45521</v>
      </c>
      <c r="I1632" s="36">
        <v>20</v>
      </c>
      <c r="J1632" s="1">
        <f t="shared" si="378"/>
        <v>20</v>
      </c>
      <c r="K1632" s="3">
        <f t="shared" si="379"/>
        <v>24</v>
      </c>
      <c r="L1632" s="3">
        <f t="shared" si="380"/>
        <v>8</v>
      </c>
      <c r="M1632" s="3">
        <f t="shared" si="381"/>
        <v>17</v>
      </c>
      <c r="N1632" s="3" t="str">
        <f t="shared" si="389"/>
        <v>08</v>
      </c>
      <c r="O1632" s="14">
        <f t="shared" si="389"/>
        <v>17</v>
      </c>
      <c r="P1632" s="132">
        <v>270000</v>
      </c>
      <c r="R1632" s="6">
        <v>512</v>
      </c>
      <c r="S1632" s="5">
        <f t="shared" si="383"/>
        <v>527.34375</v>
      </c>
      <c r="T1632" s="5" t="s">
        <v>611</v>
      </c>
      <c r="V1632" s="3" t="s">
        <v>5</v>
      </c>
    </row>
    <row r="1633" spans="10:19" hidden="1">
      <c r="J1633" s="1" t="str">
        <f t="shared" si="378"/>
        <v>0</v>
      </c>
      <c r="K1633" s="3">
        <f t="shared" si="379"/>
        <v>-100</v>
      </c>
      <c r="L1633" s="3">
        <f t="shared" si="380"/>
        <v>1</v>
      </c>
      <c r="M1633" s="3">
        <f t="shared" si="381"/>
        <v>0</v>
      </c>
      <c r="N1633" s="3" t="str">
        <f t="shared" si="389"/>
        <v>01</v>
      </c>
      <c r="O1633" s="14" t="str">
        <f t="shared" si="389"/>
        <v>00</v>
      </c>
      <c r="R1633" s="6">
        <v>512</v>
      </c>
      <c r="S1633" s="5">
        <f t="shared" si="383"/>
        <v>0</v>
      </c>
    </row>
    <row r="1634" spans="10:19" hidden="1">
      <c r="J1634" s="1" t="str">
        <f t="shared" si="378"/>
        <v>0</v>
      </c>
      <c r="K1634" s="3">
        <f t="shared" si="379"/>
        <v>-100</v>
      </c>
      <c r="L1634" s="3">
        <f t="shared" si="380"/>
        <v>1</v>
      </c>
      <c r="M1634" s="3">
        <f t="shared" si="381"/>
        <v>0</v>
      </c>
      <c r="N1634" s="3" t="str">
        <f t="shared" si="389"/>
        <v>01</v>
      </c>
      <c r="O1634" s="14" t="str">
        <f t="shared" si="389"/>
        <v>00</v>
      </c>
      <c r="R1634" s="6">
        <v>512</v>
      </c>
      <c r="S1634" s="5">
        <f t="shared" si="383"/>
        <v>0</v>
      </c>
    </row>
    <row r="1635" spans="10:19" hidden="1">
      <c r="J1635" s="1" t="str">
        <f t="shared" si="378"/>
        <v>0</v>
      </c>
      <c r="K1635" s="3">
        <f t="shared" si="379"/>
        <v>-100</v>
      </c>
      <c r="L1635" s="3">
        <f t="shared" si="380"/>
        <v>1</v>
      </c>
      <c r="M1635" s="3">
        <f t="shared" si="381"/>
        <v>0</v>
      </c>
      <c r="N1635" s="3" t="str">
        <f t="shared" si="389"/>
        <v>01</v>
      </c>
      <c r="O1635" s="14" t="str">
        <f t="shared" si="389"/>
        <v>00</v>
      </c>
      <c r="P1635" s="11"/>
      <c r="R1635" s="6">
        <v>512</v>
      </c>
      <c r="S1635" s="5">
        <f t="shared" si="383"/>
        <v>0</v>
      </c>
    </row>
    <row r="1636" spans="10:19" hidden="1">
      <c r="J1636" s="1" t="str">
        <f t="shared" si="378"/>
        <v>0</v>
      </c>
      <c r="K1636" s="3">
        <f t="shared" si="379"/>
        <v>-100</v>
      </c>
      <c r="L1636" s="3">
        <f t="shared" si="380"/>
        <v>1</v>
      </c>
      <c r="M1636" s="3">
        <f t="shared" si="381"/>
        <v>0</v>
      </c>
      <c r="N1636" s="3" t="str">
        <f t="shared" si="389"/>
        <v>01</v>
      </c>
      <c r="O1636" s="14" t="str">
        <f t="shared" si="389"/>
        <v>00</v>
      </c>
      <c r="R1636" s="6">
        <v>512</v>
      </c>
      <c r="S1636" s="5">
        <f t="shared" si="383"/>
        <v>0</v>
      </c>
    </row>
    <row r="1637" spans="10:19" hidden="1">
      <c r="J1637" s="1" t="str">
        <f t="shared" si="378"/>
        <v>0</v>
      </c>
      <c r="K1637" s="3">
        <f t="shared" si="379"/>
        <v>-100</v>
      </c>
      <c r="L1637" s="3">
        <f t="shared" si="380"/>
        <v>1</v>
      </c>
      <c r="M1637" s="3">
        <f t="shared" si="381"/>
        <v>0</v>
      </c>
      <c r="N1637" s="3" t="str">
        <f t="shared" si="389"/>
        <v>01</v>
      </c>
      <c r="O1637" s="14" t="str">
        <f t="shared" si="389"/>
        <v>00</v>
      </c>
      <c r="R1637" s="6">
        <v>512</v>
      </c>
      <c r="S1637" s="5">
        <f t="shared" si="383"/>
        <v>0</v>
      </c>
    </row>
    <row r="1638" spans="10:19" hidden="1">
      <c r="J1638" s="1" t="str">
        <f t="shared" si="378"/>
        <v>0</v>
      </c>
      <c r="K1638" s="3">
        <f t="shared" si="379"/>
        <v>-100</v>
      </c>
      <c r="L1638" s="3">
        <f t="shared" si="380"/>
        <v>1</v>
      </c>
      <c r="M1638" s="3">
        <f t="shared" si="381"/>
        <v>0</v>
      </c>
      <c r="N1638" s="3" t="str">
        <f t="shared" si="389"/>
        <v>01</v>
      </c>
      <c r="O1638" s="14" t="str">
        <f t="shared" si="389"/>
        <v>00</v>
      </c>
      <c r="R1638" s="6">
        <v>512</v>
      </c>
    </row>
    <row r="1639" spans="10:19" hidden="1">
      <c r="J1639" s="1" t="str">
        <f t="shared" si="378"/>
        <v>0</v>
      </c>
      <c r="K1639" s="3">
        <f t="shared" si="379"/>
        <v>-100</v>
      </c>
      <c r="L1639" s="3">
        <f t="shared" si="380"/>
        <v>1</v>
      </c>
      <c r="M1639" s="3">
        <f t="shared" si="381"/>
        <v>0</v>
      </c>
      <c r="N1639" s="3" t="str">
        <f t="shared" si="389"/>
        <v>01</v>
      </c>
      <c r="O1639" s="14" t="str">
        <f t="shared" si="389"/>
        <v>00</v>
      </c>
      <c r="R1639" s="6">
        <v>512</v>
      </c>
      <c r="S1639" s="5">
        <f>IFERROR(P1639/R1639,"")</f>
        <v>0</v>
      </c>
    </row>
    <row r="1640" spans="10:19" hidden="1">
      <c r="J1640" s="1" t="str">
        <f t="shared" si="378"/>
        <v>0</v>
      </c>
      <c r="K1640" s="3">
        <f t="shared" si="379"/>
        <v>-100</v>
      </c>
      <c r="L1640" s="3">
        <f t="shared" si="380"/>
        <v>1</v>
      </c>
      <c r="M1640" s="3">
        <f t="shared" si="381"/>
        <v>0</v>
      </c>
      <c r="N1640" s="3" t="str">
        <f t="shared" si="389"/>
        <v>01</v>
      </c>
      <c r="O1640" s="14" t="str">
        <f t="shared" si="389"/>
        <v>00</v>
      </c>
      <c r="R1640" s="6">
        <v>512</v>
      </c>
      <c r="S1640" s="5">
        <f>IFERROR(P1640/R1640,"")</f>
        <v>0</v>
      </c>
    </row>
    <row r="1641" spans="10:19" hidden="1">
      <c r="J1641" s="1" t="str">
        <f t="shared" si="378"/>
        <v>0</v>
      </c>
      <c r="K1641" s="3">
        <f t="shared" si="379"/>
        <v>-100</v>
      </c>
      <c r="L1641" s="3">
        <f t="shared" si="380"/>
        <v>1</v>
      </c>
      <c r="M1641" s="3">
        <f t="shared" si="381"/>
        <v>0</v>
      </c>
      <c r="N1641" s="3" t="str">
        <f t="shared" si="389"/>
        <v>01</v>
      </c>
      <c r="O1641" s="14" t="str">
        <f t="shared" si="389"/>
        <v>00</v>
      </c>
      <c r="R1641" s="6">
        <v>512</v>
      </c>
    </row>
    <row r="1642" spans="10:19" hidden="1">
      <c r="J1642" s="1" t="str">
        <f t="shared" si="378"/>
        <v>0</v>
      </c>
      <c r="K1642" s="3">
        <f t="shared" si="379"/>
        <v>-100</v>
      </c>
      <c r="L1642" s="3">
        <f t="shared" si="380"/>
        <v>1</v>
      </c>
      <c r="M1642" s="3">
        <f t="shared" si="381"/>
        <v>0</v>
      </c>
      <c r="N1642" s="3" t="str">
        <f t="shared" si="389"/>
        <v>01</v>
      </c>
      <c r="O1642" s="14" t="str">
        <f t="shared" si="389"/>
        <v>00</v>
      </c>
      <c r="R1642" s="6">
        <v>514</v>
      </c>
      <c r="S1642" s="5">
        <f t="shared" ref="S1642:S1672" si="391">IFERROR(P1642/R1642,"")</f>
        <v>0</v>
      </c>
    </row>
    <row r="1643" spans="10:19" hidden="1">
      <c r="J1643" s="1" t="str">
        <f t="shared" si="378"/>
        <v>0</v>
      </c>
      <c r="K1643" s="3">
        <f t="shared" si="379"/>
        <v>-100</v>
      </c>
      <c r="L1643" s="3">
        <f t="shared" si="380"/>
        <v>1</v>
      </c>
      <c r="M1643" s="3">
        <f t="shared" si="381"/>
        <v>0</v>
      </c>
      <c r="N1643" s="3" t="str">
        <f t="shared" si="389"/>
        <v>01</v>
      </c>
      <c r="O1643" s="14" t="str">
        <f t="shared" si="389"/>
        <v>00</v>
      </c>
      <c r="R1643" s="6">
        <v>514</v>
      </c>
      <c r="S1643" s="5">
        <f t="shared" si="391"/>
        <v>0</v>
      </c>
    </row>
    <row r="1644" spans="10:19" hidden="1">
      <c r="J1644" s="1" t="str">
        <f t="shared" si="378"/>
        <v>0</v>
      </c>
      <c r="K1644" s="3">
        <f t="shared" si="379"/>
        <v>-100</v>
      </c>
      <c r="L1644" s="3">
        <f t="shared" si="380"/>
        <v>1</v>
      </c>
      <c r="M1644" s="3">
        <f t="shared" si="381"/>
        <v>0</v>
      </c>
      <c r="N1644" s="3" t="str">
        <f t="shared" si="389"/>
        <v>01</v>
      </c>
      <c r="O1644" s="14" t="str">
        <f t="shared" si="389"/>
        <v>00</v>
      </c>
      <c r="R1644" s="6">
        <v>514</v>
      </c>
      <c r="S1644" s="5">
        <f t="shared" si="391"/>
        <v>0</v>
      </c>
    </row>
    <row r="1645" spans="10:19" hidden="1">
      <c r="J1645" s="1" t="str">
        <f t="shared" si="378"/>
        <v>0</v>
      </c>
      <c r="K1645" s="3">
        <f t="shared" si="379"/>
        <v>-100</v>
      </c>
      <c r="L1645" s="3">
        <f t="shared" si="380"/>
        <v>1</v>
      </c>
      <c r="M1645" s="3">
        <f t="shared" si="381"/>
        <v>0</v>
      </c>
      <c r="N1645" s="3" t="str">
        <f t="shared" si="389"/>
        <v>01</v>
      </c>
      <c r="O1645" s="14" t="str">
        <f t="shared" si="389"/>
        <v>00</v>
      </c>
      <c r="R1645" s="6">
        <v>514</v>
      </c>
      <c r="S1645" s="5">
        <f t="shared" si="391"/>
        <v>0</v>
      </c>
    </row>
    <row r="1646" spans="10:19" hidden="1">
      <c r="J1646" s="1" t="str">
        <f t="shared" si="378"/>
        <v>0</v>
      </c>
      <c r="K1646" s="3">
        <f t="shared" si="379"/>
        <v>-100</v>
      </c>
      <c r="L1646" s="3">
        <f t="shared" si="380"/>
        <v>1</v>
      </c>
      <c r="M1646" s="3">
        <f t="shared" si="381"/>
        <v>0</v>
      </c>
      <c r="N1646" s="3" t="str">
        <f t="shared" si="389"/>
        <v>01</v>
      </c>
      <c r="O1646" s="14" t="str">
        <f t="shared" si="389"/>
        <v>00</v>
      </c>
      <c r="R1646" s="6">
        <v>514</v>
      </c>
      <c r="S1646" s="5">
        <f t="shared" si="391"/>
        <v>0</v>
      </c>
    </row>
    <row r="1647" spans="10:19" hidden="1">
      <c r="J1647" s="1" t="str">
        <f t="shared" si="378"/>
        <v>0</v>
      </c>
      <c r="K1647" s="3">
        <f t="shared" si="379"/>
        <v>-100</v>
      </c>
      <c r="L1647" s="3">
        <f t="shared" si="380"/>
        <v>1</v>
      </c>
      <c r="M1647" s="3">
        <f t="shared" si="381"/>
        <v>0</v>
      </c>
      <c r="N1647" s="3" t="str">
        <f t="shared" si="389"/>
        <v>01</v>
      </c>
      <c r="O1647" s="14" t="str">
        <f t="shared" si="389"/>
        <v>00</v>
      </c>
      <c r="R1647" s="6">
        <v>514</v>
      </c>
      <c r="S1647" s="5">
        <f t="shared" si="391"/>
        <v>0</v>
      </c>
    </row>
    <row r="1648" spans="10:19" hidden="1">
      <c r="J1648" s="1" t="str">
        <f t="shared" si="378"/>
        <v>0</v>
      </c>
      <c r="K1648" s="3">
        <f t="shared" si="379"/>
        <v>-100</v>
      </c>
      <c r="L1648" s="3">
        <f t="shared" si="380"/>
        <v>1</v>
      </c>
      <c r="M1648" s="3">
        <f t="shared" si="381"/>
        <v>0</v>
      </c>
      <c r="N1648" s="3" t="str">
        <f t="shared" si="389"/>
        <v>01</v>
      </c>
      <c r="O1648" s="14" t="str">
        <f t="shared" si="389"/>
        <v>00</v>
      </c>
      <c r="R1648" s="6">
        <v>514</v>
      </c>
      <c r="S1648" s="5">
        <f t="shared" si="391"/>
        <v>0</v>
      </c>
    </row>
    <row r="1649" spans="1:23">
      <c r="A1649" s="3">
        <v>1633</v>
      </c>
      <c r="B1649" s="1">
        <f t="shared" si="384"/>
        <v>0</v>
      </c>
      <c r="C1649" s="1">
        <f t="shared" si="385"/>
        <v>1</v>
      </c>
      <c r="D1649" s="1">
        <f t="shared" si="386"/>
        <v>0</v>
      </c>
      <c r="E1649" s="1">
        <f t="shared" si="390"/>
        <v>0</v>
      </c>
      <c r="F1649" s="1">
        <f t="shared" si="390"/>
        <v>0</v>
      </c>
      <c r="G1649" s="1" t="str">
        <f t="shared" si="388"/>
        <v>24081908</v>
      </c>
      <c r="H1649" s="2">
        <v>45523</v>
      </c>
      <c r="I1649" s="36">
        <v>8</v>
      </c>
      <c r="J1649" s="1" t="str">
        <f t="shared" si="378"/>
        <v>08</v>
      </c>
      <c r="K1649" s="3">
        <f t="shared" si="379"/>
        <v>24</v>
      </c>
      <c r="L1649" s="3">
        <f t="shared" si="380"/>
        <v>8</v>
      </c>
      <c r="M1649" s="3">
        <f t="shared" si="381"/>
        <v>19</v>
      </c>
      <c r="N1649" s="3" t="str">
        <f t="shared" si="389"/>
        <v>08</v>
      </c>
      <c r="O1649" s="14">
        <f t="shared" si="389"/>
        <v>19</v>
      </c>
      <c r="P1649" s="4">
        <v>10000</v>
      </c>
      <c r="R1649" s="6">
        <v>514</v>
      </c>
      <c r="S1649" s="5">
        <f t="shared" si="391"/>
        <v>19.455252918287936</v>
      </c>
      <c r="T1649" s="5" t="s">
        <v>783</v>
      </c>
      <c r="U1649" s="3" t="s">
        <v>29</v>
      </c>
      <c r="V1649" s="3" t="s">
        <v>5</v>
      </c>
    </row>
    <row r="1650" spans="1:23" hidden="1">
      <c r="J1650" s="1" t="str">
        <f t="shared" si="378"/>
        <v>0</v>
      </c>
      <c r="K1650" s="3">
        <f t="shared" si="379"/>
        <v>-100</v>
      </c>
      <c r="L1650" s="3">
        <f t="shared" si="380"/>
        <v>1</v>
      </c>
      <c r="M1650" s="3">
        <f t="shared" si="381"/>
        <v>0</v>
      </c>
      <c r="N1650" s="3" t="str">
        <f t="shared" si="389"/>
        <v>01</v>
      </c>
      <c r="O1650" s="14" t="str">
        <f t="shared" si="389"/>
        <v>00</v>
      </c>
      <c r="S1650" s="5" t="str">
        <f t="shared" si="391"/>
        <v/>
      </c>
    </row>
    <row r="1651" spans="1:23" hidden="1">
      <c r="J1651" s="1" t="str">
        <f t="shared" si="378"/>
        <v>0</v>
      </c>
      <c r="K1651" s="3">
        <f t="shared" si="379"/>
        <v>-100</v>
      </c>
      <c r="L1651" s="3">
        <f t="shared" si="380"/>
        <v>1</v>
      </c>
      <c r="M1651" s="3">
        <f t="shared" si="381"/>
        <v>0</v>
      </c>
      <c r="N1651" s="3" t="str">
        <f t="shared" si="389"/>
        <v>01</v>
      </c>
      <c r="O1651" s="14" t="str">
        <f t="shared" si="389"/>
        <v>00</v>
      </c>
      <c r="R1651" s="6">
        <v>516</v>
      </c>
      <c r="S1651" s="5">
        <f t="shared" si="391"/>
        <v>0</v>
      </c>
    </row>
    <row r="1652" spans="1:23" hidden="1">
      <c r="J1652" s="1" t="str">
        <f t="shared" si="378"/>
        <v>0</v>
      </c>
      <c r="K1652" s="3">
        <f t="shared" si="379"/>
        <v>-100</v>
      </c>
      <c r="L1652" s="3">
        <f t="shared" si="380"/>
        <v>1</v>
      </c>
      <c r="M1652" s="3">
        <f t="shared" si="381"/>
        <v>0</v>
      </c>
      <c r="N1652" s="3" t="str">
        <f t="shared" si="389"/>
        <v>01</v>
      </c>
      <c r="O1652" s="14" t="str">
        <f t="shared" si="389"/>
        <v>00</v>
      </c>
      <c r="R1652" s="6">
        <v>516</v>
      </c>
      <c r="S1652" s="5">
        <f t="shared" si="391"/>
        <v>0</v>
      </c>
    </row>
    <row r="1653" spans="1:23">
      <c r="A1653" s="3">
        <v>1638</v>
      </c>
      <c r="B1653" s="1">
        <f t="shared" ref="B1653:B1672" si="392">IF(G1653="-",0,IF(G1652=G1653,1,0))</f>
        <v>0</v>
      </c>
      <c r="C1653" s="1">
        <f t="shared" ref="C1653:C1672" si="393">+IF(G1653="-",0,IF(I1653=I1652+1,0,(IF(I1653=1,0,1))))</f>
        <v>1</v>
      </c>
      <c r="D1653" s="1">
        <f t="shared" si="386"/>
        <v>0</v>
      </c>
      <c r="E1653" s="1">
        <f t="shared" si="390"/>
        <v>0</v>
      </c>
      <c r="F1653" s="1">
        <f t="shared" si="390"/>
        <v>0</v>
      </c>
      <c r="G1653" s="1" t="str">
        <f t="shared" si="388"/>
        <v>24082004</v>
      </c>
      <c r="H1653" s="2">
        <v>45524</v>
      </c>
      <c r="I1653" s="36">
        <v>4</v>
      </c>
      <c r="J1653" s="1" t="str">
        <f t="shared" si="378"/>
        <v>04</v>
      </c>
      <c r="K1653" s="3">
        <f t="shared" si="379"/>
        <v>24</v>
      </c>
      <c r="L1653" s="3">
        <f t="shared" si="380"/>
        <v>8</v>
      </c>
      <c r="M1653" s="3">
        <f t="shared" si="381"/>
        <v>20</v>
      </c>
      <c r="N1653" s="3" t="str">
        <f t="shared" si="389"/>
        <v>08</v>
      </c>
      <c r="O1653" s="14">
        <f t="shared" si="389"/>
        <v>20</v>
      </c>
      <c r="P1653" s="4">
        <v>200000</v>
      </c>
      <c r="R1653" s="6">
        <v>516</v>
      </c>
      <c r="S1653" s="5">
        <f t="shared" si="391"/>
        <v>387.59689922480618</v>
      </c>
      <c r="T1653" s="5" t="s">
        <v>39</v>
      </c>
      <c r="U1653" s="3" t="s">
        <v>2</v>
      </c>
      <c r="V1653" s="3" t="s">
        <v>5</v>
      </c>
      <c r="W1653" s="3" t="s">
        <v>630</v>
      </c>
    </row>
    <row r="1654" spans="1:23" hidden="1">
      <c r="J1654" s="1" t="str">
        <f t="shared" si="378"/>
        <v>0</v>
      </c>
      <c r="K1654" s="3">
        <f t="shared" si="379"/>
        <v>-100</v>
      </c>
      <c r="L1654" s="3">
        <f t="shared" si="380"/>
        <v>1</v>
      </c>
      <c r="M1654" s="3">
        <f t="shared" si="381"/>
        <v>0</v>
      </c>
      <c r="N1654" s="3" t="str">
        <f t="shared" si="389"/>
        <v>01</v>
      </c>
      <c r="O1654" s="14" t="str">
        <f t="shared" si="389"/>
        <v>00</v>
      </c>
      <c r="S1654" s="5" t="str">
        <f t="shared" si="391"/>
        <v/>
      </c>
    </row>
    <row r="1655" spans="1:23" hidden="1">
      <c r="J1655" s="1" t="str">
        <f t="shared" ref="J1655:J1672" si="394">+IF(I1655&lt;10,_xlfn.CONCAT("0",I1655),I1655)</f>
        <v>0</v>
      </c>
      <c r="K1655" s="3">
        <f t="shared" ref="K1655:K1672" si="395">+YEAR(H1655)-2000</f>
        <v>-100</v>
      </c>
      <c r="L1655" s="3">
        <f t="shared" ref="L1655:L1672" si="396">+MONTH(H1655)</f>
        <v>1</v>
      </c>
      <c r="M1655" s="3">
        <f t="shared" ref="M1655:M1672" si="397">+DAY(H1655)</f>
        <v>0</v>
      </c>
      <c r="N1655" s="3" t="str">
        <f t="shared" ref="N1655:O1672" si="398">+IF(L1655&lt;10,_xlfn.CONCAT("0",L1655),L1655)</f>
        <v>01</v>
      </c>
      <c r="O1655" s="14" t="str">
        <f t="shared" si="398"/>
        <v>00</v>
      </c>
      <c r="R1655" s="6">
        <v>516</v>
      </c>
      <c r="S1655" s="5">
        <f t="shared" si="391"/>
        <v>0</v>
      </c>
    </row>
    <row r="1656" spans="1:23" hidden="1">
      <c r="J1656" s="1" t="str">
        <f t="shared" si="394"/>
        <v>0</v>
      </c>
      <c r="K1656" s="3">
        <f t="shared" si="395"/>
        <v>-100</v>
      </c>
      <c r="L1656" s="3">
        <f t="shared" si="396"/>
        <v>1</v>
      </c>
      <c r="M1656" s="3">
        <f t="shared" si="397"/>
        <v>0</v>
      </c>
      <c r="N1656" s="3" t="str">
        <f t="shared" si="398"/>
        <v>01</v>
      </c>
      <c r="O1656" s="14" t="str">
        <f t="shared" si="398"/>
        <v>00</v>
      </c>
      <c r="R1656" s="6">
        <v>516</v>
      </c>
      <c r="S1656" s="5">
        <f t="shared" si="391"/>
        <v>0</v>
      </c>
    </row>
    <row r="1657" spans="1:23" hidden="1">
      <c r="J1657" s="1" t="str">
        <f t="shared" si="394"/>
        <v>0</v>
      </c>
      <c r="K1657" s="3">
        <f t="shared" si="395"/>
        <v>-100</v>
      </c>
      <c r="L1657" s="3">
        <f t="shared" si="396"/>
        <v>1</v>
      </c>
      <c r="M1657" s="3">
        <f t="shared" si="397"/>
        <v>0</v>
      </c>
      <c r="N1657" s="3" t="str">
        <f t="shared" si="398"/>
        <v>01</v>
      </c>
      <c r="O1657" s="14" t="str">
        <f t="shared" si="398"/>
        <v>00</v>
      </c>
      <c r="R1657" s="6">
        <v>516</v>
      </c>
      <c r="S1657" s="5">
        <f t="shared" si="391"/>
        <v>0</v>
      </c>
    </row>
    <row r="1658" spans="1:23" hidden="1">
      <c r="J1658" s="1" t="str">
        <f t="shared" si="394"/>
        <v>0</v>
      </c>
      <c r="K1658" s="3">
        <f t="shared" si="395"/>
        <v>-100</v>
      </c>
      <c r="L1658" s="3">
        <f t="shared" si="396"/>
        <v>1</v>
      </c>
      <c r="M1658" s="3">
        <f t="shared" si="397"/>
        <v>0</v>
      </c>
      <c r="N1658" s="3" t="str">
        <f t="shared" si="398"/>
        <v>01</v>
      </c>
      <c r="O1658" s="14" t="str">
        <f t="shared" si="398"/>
        <v>00</v>
      </c>
      <c r="R1658" s="6">
        <v>516</v>
      </c>
      <c r="S1658" s="5">
        <f t="shared" si="391"/>
        <v>0</v>
      </c>
    </row>
    <row r="1659" spans="1:23" hidden="1">
      <c r="J1659" s="1" t="str">
        <f t="shared" si="394"/>
        <v>0</v>
      </c>
      <c r="K1659" s="3">
        <f t="shared" si="395"/>
        <v>-100</v>
      </c>
      <c r="L1659" s="3">
        <f t="shared" si="396"/>
        <v>1</v>
      </c>
      <c r="M1659" s="3">
        <f t="shared" si="397"/>
        <v>0</v>
      </c>
      <c r="N1659" s="3" t="str">
        <f t="shared" si="398"/>
        <v>01</v>
      </c>
      <c r="O1659" s="14" t="str">
        <f t="shared" si="398"/>
        <v>00</v>
      </c>
      <c r="R1659" s="6">
        <v>516</v>
      </c>
      <c r="S1659" s="5">
        <f t="shared" si="391"/>
        <v>0</v>
      </c>
      <c r="T1659" s="16"/>
    </row>
    <row r="1660" spans="1:23" hidden="1">
      <c r="J1660" s="1" t="str">
        <f t="shared" si="394"/>
        <v>0</v>
      </c>
      <c r="K1660" s="3">
        <f t="shared" si="395"/>
        <v>-100</v>
      </c>
      <c r="L1660" s="3">
        <f t="shared" si="396"/>
        <v>1</v>
      </c>
      <c r="M1660" s="3">
        <f t="shared" si="397"/>
        <v>0</v>
      </c>
      <c r="N1660" s="3" t="str">
        <f t="shared" si="398"/>
        <v>01</v>
      </c>
      <c r="O1660" s="14" t="str">
        <f t="shared" si="398"/>
        <v>00</v>
      </c>
      <c r="R1660" s="6">
        <v>516</v>
      </c>
      <c r="S1660" s="5">
        <f t="shared" si="391"/>
        <v>0</v>
      </c>
      <c r="T1660" s="16"/>
    </row>
    <row r="1661" spans="1:23" hidden="1">
      <c r="J1661" s="1" t="str">
        <f t="shared" si="394"/>
        <v>0</v>
      </c>
      <c r="K1661" s="3">
        <f t="shared" si="395"/>
        <v>-100</v>
      </c>
      <c r="L1661" s="3">
        <f t="shared" si="396"/>
        <v>1</v>
      </c>
      <c r="M1661" s="3">
        <f t="shared" si="397"/>
        <v>0</v>
      </c>
      <c r="N1661" s="3" t="str">
        <f t="shared" si="398"/>
        <v>01</v>
      </c>
      <c r="O1661" s="14" t="str">
        <f t="shared" si="398"/>
        <v>00</v>
      </c>
      <c r="R1661" s="6">
        <v>516</v>
      </c>
      <c r="S1661" s="5">
        <f t="shared" si="391"/>
        <v>0</v>
      </c>
    </row>
    <row r="1662" spans="1:23" hidden="1">
      <c r="J1662" s="1" t="str">
        <f t="shared" si="394"/>
        <v>0</v>
      </c>
      <c r="K1662" s="3">
        <f t="shared" si="395"/>
        <v>-100</v>
      </c>
      <c r="L1662" s="3">
        <f t="shared" si="396"/>
        <v>1</v>
      </c>
      <c r="M1662" s="3">
        <f t="shared" si="397"/>
        <v>0</v>
      </c>
      <c r="N1662" s="3" t="str">
        <f t="shared" si="398"/>
        <v>01</v>
      </c>
      <c r="O1662" s="14" t="str">
        <f t="shared" si="398"/>
        <v>00</v>
      </c>
      <c r="R1662" s="6">
        <v>516</v>
      </c>
      <c r="S1662" s="5">
        <f t="shared" si="391"/>
        <v>0</v>
      </c>
    </row>
    <row r="1663" spans="1:23" hidden="1">
      <c r="J1663" s="1" t="str">
        <f t="shared" si="394"/>
        <v>0</v>
      </c>
      <c r="K1663" s="3">
        <f t="shared" si="395"/>
        <v>-100</v>
      </c>
      <c r="L1663" s="3">
        <f t="shared" si="396"/>
        <v>1</v>
      </c>
      <c r="M1663" s="3">
        <f t="shared" si="397"/>
        <v>0</v>
      </c>
      <c r="N1663" s="3" t="str">
        <f t="shared" si="398"/>
        <v>01</v>
      </c>
      <c r="O1663" s="14" t="str">
        <f t="shared" si="398"/>
        <v>00</v>
      </c>
      <c r="R1663" s="6">
        <v>516</v>
      </c>
      <c r="S1663" s="5">
        <f t="shared" si="391"/>
        <v>0</v>
      </c>
    </row>
    <row r="1664" spans="1:23" hidden="1">
      <c r="J1664" s="1" t="str">
        <f t="shared" si="394"/>
        <v>0</v>
      </c>
      <c r="K1664" s="3">
        <f t="shared" si="395"/>
        <v>-100</v>
      </c>
      <c r="L1664" s="3">
        <f t="shared" si="396"/>
        <v>1</v>
      </c>
      <c r="M1664" s="3">
        <f t="shared" si="397"/>
        <v>0</v>
      </c>
      <c r="N1664" s="3" t="str">
        <f t="shared" si="398"/>
        <v>01</v>
      </c>
      <c r="O1664" s="14" t="str">
        <f t="shared" si="398"/>
        <v>00</v>
      </c>
      <c r="R1664" s="6">
        <v>516</v>
      </c>
      <c r="S1664" s="5">
        <f t="shared" si="391"/>
        <v>0</v>
      </c>
    </row>
    <row r="1665" spans="1:23" hidden="1">
      <c r="J1665" s="1" t="str">
        <f t="shared" si="394"/>
        <v>0</v>
      </c>
      <c r="K1665" s="3">
        <f t="shared" si="395"/>
        <v>-100</v>
      </c>
      <c r="L1665" s="3">
        <f t="shared" si="396"/>
        <v>1</v>
      </c>
      <c r="M1665" s="3">
        <f t="shared" si="397"/>
        <v>0</v>
      </c>
      <c r="N1665" s="3" t="str">
        <f t="shared" si="398"/>
        <v>01</v>
      </c>
      <c r="O1665" s="14" t="str">
        <f t="shared" si="398"/>
        <v>00</v>
      </c>
      <c r="R1665" s="6">
        <v>516</v>
      </c>
      <c r="S1665" s="5">
        <f t="shared" si="391"/>
        <v>0</v>
      </c>
    </row>
    <row r="1666" spans="1:23" hidden="1">
      <c r="J1666" s="1" t="str">
        <f t="shared" si="394"/>
        <v>0</v>
      </c>
      <c r="K1666" s="3">
        <f t="shared" si="395"/>
        <v>-100</v>
      </c>
      <c r="L1666" s="3">
        <f t="shared" si="396"/>
        <v>1</v>
      </c>
      <c r="M1666" s="3">
        <f t="shared" si="397"/>
        <v>0</v>
      </c>
      <c r="N1666" s="3" t="str">
        <f t="shared" si="398"/>
        <v>01</v>
      </c>
      <c r="O1666" s="14" t="str">
        <f t="shared" si="398"/>
        <v>00</v>
      </c>
      <c r="R1666" s="6">
        <v>516</v>
      </c>
      <c r="S1666" s="5">
        <f t="shared" si="391"/>
        <v>0</v>
      </c>
    </row>
    <row r="1667" spans="1:23" hidden="1">
      <c r="J1667" s="1" t="str">
        <f t="shared" si="394"/>
        <v>0</v>
      </c>
      <c r="K1667" s="3">
        <f t="shared" si="395"/>
        <v>-100</v>
      </c>
      <c r="L1667" s="3">
        <f t="shared" si="396"/>
        <v>1</v>
      </c>
      <c r="M1667" s="3">
        <f t="shared" si="397"/>
        <v>0</v>
      </c>
      <c r="N1667" s="3" t="str">
        <f t="shared" si="398"/>
        <v>01</v>
      </c>
      <c r="O1667" s="14" t="str">
        <f t="shared" si="398"/>
        <v>00</v>
      </c>
      <c r="R1667" s="6">
        <v>516</v>
      </c>
      <c r="S1667" s="5">
        <f t="shared" si="391"/>
        <v>0</v>
      </c>
    </row>
    <row r="1668" spans="1:23" hidden="1">
      <c r="J1668" s="1" t="str">
        <f t="shared" si="394"/>
        <v>0</v>
      </c>
      <c r="K1668" s="3">
        <f t="shared" si="395"/>
        <v>-100</v>
      </c>
      <c r="L1668" s="3">
        <f t="shared" si="396"/>
        <v>1</v>
      </c>
      <c r="M1668" s="3">
        <f t="shared" si="397"/>
        <v>0</v>
      </c>
      <c r="N1668" s="3" t="str">
        <f t="shared" si="398"/>
        <v>01</v>
      </c>
      <c r="O1668" s="14" t="str">
        <f t="shared" si="398"/>
        <v>00</v>
      </c>
      <c r="R1668" s="6">
        <v>516</v>
      </c>
      <c r="S1668" s="5">
        <f t="shared" si="391"/>
        <v>0</v>
      </c>
    </row>
    <row r="1669" spans="1:23" hidden="1">
      <c r="J1669" s="1" t="str">
        <f t="shared" si="394"/>
        <v>0</v>
      </c>
      <c r="K1669" s="3">
        <f t="shared" si="395"/>
        <v>-100</v>
      </c>
      <c r="L1669" s="3">
        <f t="shared" si="396"/>
        <v>1</v>
      </c>
      <c r="M1669" s="3">
        <f t="shared" si="397"/>
        <v>0</v>
      </c>
      <c r="N1669" s="3" t="str">
        <f t="shared" si="398"/>
        <v>01</v>
      </c>
      <c r="O1669" s="14" t="str">
        <f t="shared" si="398"/>
        <v>00</v>
      </c>
      <c r="S1669" s="5" t="str">
        <f t="shared" si="391"/>
        <v/>
      </c>
    </row>
    <row r="1670" spans="1:23" hidden="1">
      <c r="J1670" s="1" t="str">
        <f t="shared" si="394"/>
        <v>0</v>
      </c>
      <c r="K1670" s="3">
        <f t="shared" si="395"/>
        <v>-100</v>
      </c>
      <c r="L1670" s="3">
        <f t="shared" si="396"/>
        <v>1</v>
      </c>
      <c r="M1670" s="3">
        <f t="shared" si="397"/>
        <v>0</v>
      </c>
      <c r="N1670" s="3" t="str">
        <f t="shared" si="398"/>
        <v>01</v>
      </c>
      <c r="O1670" s="14" t="str">
        <f t="shared" si="398"/>
        <v>00</v>
      </c>
      <c r="R1670" s="6">
        <v>516</v>
      </c>
      <c r="S1670" s="5">
        <f t="shared" si="391"/>
        <v>0</v>
      </c>
    </row>
    <row r="1671" spans="1:23" hidden="1">
      <c r="J1671" s="1" t="str">
        <f t="shared" si="394"/>
        <v>0</v>
      </c>
      <c r="K1671" s="3">
        <f t="shared" si="395"/>
        <v>-100</v>
      </c>
      <c r="L1671" s="3">
        <f t="shared" si="396"/>
        <v>1</v>
      </c>
      <c r="M1671" s="3">
        <f t="shared" si="397"/>
        <v>0</v>
      </c>
      <c r="N1671" s="3" t="str">
        <f t="shared" si="398"/>
        <v>01</v>
      </c>
      <c r="O1671" s="14" t="str">
        <f t="shared" si="398"/>
        <v>00</v>
      </c>
      <c r="R1671" s="6">
        <v>516</v>
      </c>
      <c r="S1671" s="5">
        <f t="shared" si="391"/>
        <v>0</v>
      </c>
    </row>
    <row r="1672" spans="1:23">
      <c r="A1672" s="3">
        <v>1657</v>
      </c>
      <c r="B1672" s="1">
        <f t="shared" si="392"/>
        <v>0</v>
      </c>
      <c r="C1672" s="1">
        <f t="shared" si="393"/>
        <v>1</v>
      </c>
      <c r="D1672" s="1">
        <f t="shared" ref="D1672" si="399">+IF(AND(P1672="",Q1672=""),1,0)</f>
        <v>0</v>
      </c>
      <c r="E1672" s="1">
        <f t="shared" ref="E1672:F1672" si="400">IF(U1672="",1,0)</f>
        <v>0</v>
      </c>
      <c r="F1672" s="1">
        <f t="shared" si="400"/>
        <v>0</v>
      </c>
      <c r="G1672" s="1" t="str">
        <f t="shared" ref="G1672" si="401">IF(H1672=0,"-",_xlfn.CONCAT(K1672,N1672,O1672,J1672))</f>
        <v>24082023</v>
      </c>
      <c r="H1672" s="2">
        <v>45524</v>
      </c>
      <c r="I1672" s="36">
        <v>23</v>
      </c>
      <c r="J1672" s="1">
        <f t="shared" si="394"/>
        <v>23</v>
      </c>
      <c r="K1672" s="3">
        <f t="shared" si="395"/>
        <v>24</v>
      </c>
      <c r="L1672" s="3">
        <f t="shared" si="396"/>
        <v>8</v>
      </c>
      <c r="M1672" s="3">
        <f t="shared" si="397"/>
        <v>20</v>
      </c>
      <c r="N1672" s="3" t="str">
        <f t="shared" si="398"/>
        <v>08</v>
      </c>
      <c r="O1672" s="14">
        <f t="shared" si="398"/>
        <v>20</v>
      </c>
      <c r="P1672" s="4">
        <v>10000</v>
      </c>
      <c r="R1672" s="6">
        <v>516</v>
      </c>
      <c r="S1672" s="5">
        <f t="shared" si="391"/>
        <v>19.379844961240309</v>
      </c>
      <c r="T1672" s="5" t="s">
        <v>784</v>
      </c>
      <c r="U1672" s="3" t="s">
        <v>29</v>
      </c>
      <c r="V1672" s="3" t="s">
        <v>5</v>
      </c>
    </row>
    <row r="1673" spans="1:23" hidden="1"/>
    <row r="1674" spans="1:23" hidden="1">
      <c r="J1674" s="1" t="str">
        <f t="shared" ref="J1674:J1737" si="402">+IF(I1674&lt;10,_xlfn.CONCAT("0",I1674),I1674)</f>
        <v>0</v>
      </c>
      <c r="K1674" s="3">
        <f t="shared" ref="K1674:K1737" si="403">+YEAR(H1674)-2000</f>
        <v>-100</v>
      </c>
      <c r="L1674" s="3">
        <f t="shared" ref="L1674:L1737" si="404">+MONTH(H1674)</f>
        <v>1</v>
      </c>
      <c r="M1674" s="3">
        <f t="shared" ref="M1674:M1737" si="405">+DAY(H1674)</f>
        <v>0</v>
      </c>
      <c r="N1674" s="3" t="str">
        <f t="shared" ref="N1674:O1705" si="406">+IF(L1674&lt;10,_xlfn.CONCAT("0",L1674),L1674)</f>
        <v>01</v>
      </c>
      <c r="O1674" s="14" t="str">
        <f t="shared" si="406"/>
        <v>00</v>
      </c>
      <c r="R1674" s="6">
        <v>516</v>
      </c>
      <c r="S1674" s="5">
        <f t="shared" ref="S1674:S1686" si="407">IFERROR(P1674/R1674,"")</f>
        <v>0</v>
      </c>
    </row>
    <row r="1675" spans="1:23" hidden="1">
      <c r="J1675" s="1" t="str">
        <f t="shared" si="402"/>
        <v>0</v>
      </c>
      <c r="K1675" s="3">
        <f t="shared" si="403"/>
        <v>-100</v>
      </c>
      <c r="L1675" s="3">
        <f t="shared" si="404"/>
        <v>1</v>
      </c>
      <c r="M1675" s="3">
        <f t="shared" si="405"/>
        <v>0</v>
      </c>
      <c r="N1675" s="3" t="str">
        <f t="shared" si="406"/>
        <v>01</v>
      </c>
      <c r="O1675" s="14" t="str">
        <f t="shared" si="406"/>
        <v>00</v>
      </c>
      <c r="R1675" s="6">
        <v>516</v>
      </c>
      <c r="S1675" s="5">
        <f t="shared" si="407"/>
        <v>0</v>
      </c>
    </row>
    <row r="1676" spans="1:23" s="42" customFormat="1" hidden="1">
      <c r="A1676" s="3"/>
      <c r="B1676" s="1"/>
      <c r="C1676" s="1"/>
      <c r="D1676" s="1"/>
      <c r="E1676" s="1"/>
      <c r="F1676" s="1"/>
      <c r="G1676" s="1"/>
      <c r="H1676" s="2"/>
      <c r="I1676" s="36"/>
      <c r="J1676" s="1" t="str">
        <f t="shared" si="402"/>
        <v>0</v>
      </c>
      <c r="K1676" s="3">
        <f t="shared" si="403"/>
        <v>-100</v>
      </c>
      <c r="L1676" s="3">
        <f t="shared" si="404"/>
        <v>1</v>
      </c>
      <c r="M1676" s="3">
        <f t="shared" si="405"/>
        <v>0</v>
      </c>
      <c r="N1676" s="3" t="str">
        <f t="shared" si="406"/>
        <v>01</v>
      </c>
      <c r="O1676" s="14" t="str">
        <f t="shared" si="406"/>
        <v>00</v>
      </c>
      <c r="P1676" s="119"/>
      <c r="Q1676" s="5"/>
      <c r="R1676" s="6">
        <v>516</v>
      </c>
      <c r="S1676" s="5">
        <f t="shared" si="407"/>
        <v>0</v>
      </c>
      <c r="T1676" s="5"/>
      <c r="U1676" s="3"/>
      <c r="V1676" s="3"/>
      <c r="W1676" s="92"/>
    </row>
    <row r="1677" spans="1:23" hidden="1">
      <c r="J1677" s="1" t="str">
        <f t="shared" si="402"/>
        <v>0</v>
      </c>
      <c r="K1677" s="3">
        <f t="shared" si="403"/>
        <v>-100</v>
      </c>
      <c r="L1677" s="3">
        <f t="shared" si="404"/>
        <v>1</v>
      </c>
      <c r="M1677" s="3">
        <f t="shared" si="405"/>
        <v>0</v>
      </c>
      <c r="N1677" s="3" t="str">
        <f t="shared" si="406"/>
        <v>01</v>
      </c>
      <c r="O1677" s="14" t="str">
        <f t="shared" si="406"/>
        <v>00</v>
      </c>
      <c r="R1677" s="6">
        <v>516</v>
      </c>
      <c r="S1677" s="5">
        <f t="shared" si="407"/>
        <v>0</v>
      </c>
    </row>
    <row r="1678" spans="1:23" hidden="1">
      <c r="J1678" s="1" t="str">
        <f t="shared" si="402"/>
        <v>0</v>
      </c>
      <c r="K1678" s="3">
        <f t="shared" si="403"/>
        <v>-100</v>
      </c>
      <c r="L1678" s="3">
        <f t="shared" si="404"/>
        <v>1</v>
      </c>
      <c r="M1678" s="3">
        <f t="shared" si="405"/>
        <v>0</v>
      </c>
      <c r="N1678" s="3" t="str">
        <f t="shared" si="406"/>
        <v>01</v>
      </c>
      <c r="O1678" s="14" t="str">
        <f t="shared" si="406"/>
        <v>00</v>
      </c>
      <c r="R1678" s="6">
        <v>516</v>
      </c>
      <c r="S1678" s="5">
        <f t="shared" si="407"/>
        <v>0</v>
      </c>
    </row>
    <row r="1679" spans="1:23" s="42" customFormat="1" hidden="1">
      <c r="A1679" s="3"/>
      <c r="B1679" s="1"/>
      <c r="C1679" s="1"/>
      <c r="D1679" s="1"/>
      <c r="E1679" s="1"/>
      <c r="F1679" s="1"/>
      <c r="G1679" s="1"/>
      <c r="H1679" s="2"/>
      <c r="I1679" s="36"/>
      <c r="J1679" s="1" t="str">
        <f t="shared" si="402"/>
        <v>0</v>
      </c>
      <c r="K1679" s="3">
        <f t="shared" si="403"/>
        <v>-100</v>
      </c>
      <c r="L1679" s="3">
        <f t="shared" si="404"/>
        <v>1</v>
      </c>
      <c r="M1679" s="3">
        <f t="shared" si="405"/>
        <v>0</v>
      </c>
      <c r="N1679" s="3" t="str">
        <f t="shared" si="406"/>
        <v>01</v>
      </c>
      <c r="O1679" s="14" t="str">
        <f t="shared" si="406"/>
        <v>00</v>
      </c>
      <c r="P1679" s="4"/>
      <c r="Q1679" s="5"/>
      <c r="R1679" s="6">
        <v>516</v>
      </c>
      <c r="S1679" s="5">
        <f t="shared" si="407"/>
        <v>0</v>
      </c>
      <c r="T1679" s="95"/>
      <c r="U1679" s="3"/>
      <c r="V1679" s="3"/>
      <c r="W1679" s="3"/>
    </row>
    <row r="1680" spans="1:23" hidden="1">
      <c r="J1680" s="1" t="str">
        <f t="shared" si="402"/>
        <v>0</v>
      </c>
      <c r="K1680" s="3">
        <f t="shared" si="403"/>
        <v>-100</v>
      </c>
      <c r="L1680" s="3">
        <f t="shared" si="404"/>
        <v>1</v>
      </c>
      <c r="M1680" s="3">
        <f t="shared" si="405"/>
        <v>0</v>
      </c>
      <c r="N1680" s="3" t="str">
        <f t="shared" si="406"/>
        <v>01</v>
      </c>
      <c r="O1680" s="14" t="str">
        <f t="shared" si="406"/>
        <v>00</v>
      </c>
      <c r="R1680" s="6">
        <v>516</v>
      </c>
      <c r="S1680" s="5">
        <f t="shared" si="407"/>
        <v>0</v>
      </c>
      <c r="T1680" s="95"/>
    </row>
    <row r="1681" spans="1:23" hidden="1">
      <c r="J1681" s="1" t="str">
        <f t="shared" si="402"/>
        <v>0</v>
      </c>
      <c r="K1681" s="3">
        <f t="shared" si="403"/>
        <v>-100</v>
      </c>
      <c r="L1681" s="3">
        <f t="shared" si="404"/>
        <v>1</v>
      </c>
      <c r="M1681" s="3">
        <f t="shared" si="405"/>
        <v>0</v>
      </c>
      <c r="N1681" s="3" t="str">
        <f t="shared" si="406"/>
        <v>01</v>
      </c>
      <c r="O1681" s="14" t="str">
        <f t="shared" si="406"/>
        <v>00</v>
      </c>
      <c r="R1681" s="6">
        <v>516</v>
      </c>
      <c r="S1681" s="5">
        <f t="shared" si="407"/>
        <v>0</v>
      </c>
    </row>
    <row r="1682" spans="1:23" hidden="1">
      <c r="J1682" s="1" t="str">
        <f t="shared" si="402"/>
        <v>0</v>
      </c>
      <c r="K1682" s="3">
        <f t="shared" si="403"/>
        <v>-100</v>
      </c>
      <c r="L1682" s="3">
        <f t="shared" si="404"/>
        <v>1</v>
      </c>
      <c r="M1682" s="3">
        <f t="shared" si="405"/>
        <v>0</v>
      </c>
      <c r="N1682" s="3" t="str">
        <f t="shared" si="406"/>
        <v>01</v>
      </c>
      <c r="O1682" s="14" t="str">
        <f t="shared" si="406"/>
        <v>00</v>
      </c>
      <c r="R1682" s="6">
        <v>516</v>
      </c>
      <c r="S1682" s="5">
        <f t="shared" si="407"/>
        <v>0</v>
      </c>
    </row>
    <row r="1683" spans="1:23" hidden="1">
      <c r="J1683" s="1" t="str">
        <f t="shared" si="402"/>
        <v>0</v>
      </c>
      <c r="K1683" s="3">
        <f t="shared" si="403"/>
        <v>-100</v>
      </c>
      <c r="L1683" s="3">
        <f t="shared" si="404"/>
        <v>1</v>
      </c>
      <c r="M1683" s="3">
        <f t="shared" si="405"/>
        <v>0</v>
      </c>
      <c r="N1683" s="3" t="str">
        <f t="shared" si="406"/>
        <v>01</v>
      </c>
      <c r="O1683" s="14" t="str">
        <f t="shared" si="406"/>
        <v>00</v>
      </c>
      <c r="R1683" s="6">
        <v>516</v>
      </c>
      <c r="S1683" s="5">
        <f t="shared" si="407"/>
        <v>0</v>
      </c>
    </row>
    <row r="1684" spans="1:23" hidden="1">
      <c r="I1684" s="1"/>
      <c r="J1684" s="1" t="str">
        <f t="shared" si="402"/>
        <v>0</v>
      </c>
      <c r="K1684" s="3">
        <f t="shared" si="403"/>
        <v>-100</v>
      </c>
      <c r="L1684" s="3">
        <f t="shared" si="404"/>
        <v>1</v>
      </c>
      <c r="M1684" s="3">
        <f t="shared" si="405"/>
        <v>0</v>
      </c>
      <c r="N1684" s="3" t="str">
        <f t="shared" si="406"/>
        <v>01</v>
      </c>
      <c r="O1684" s="14" t="str">
        <f t="shared" si="406"/>
        <v>00</v>
      </c>
      <c r="R1684" s="6">
        <v>512</v>
      </c>
      <c r="S1684" s="5">
        <f t="shared" si="407"/>
        <v>0</v>
      </c>
    </row>
    <row r="1685" spans="1:23" hidden="1">
      <c r="I1685" s="1"/>
      <c r="J1685" s="1" t="str">
        <f t="shared" si="402"/>
        <v>0</v>
      </c>
      <c r="K1685" s="3">
        <f t="shared" si="403"/>
        <v>-100</v>
      </c>
      <c r="L1685" s="3">
        <f t="shared" si="404"/>
        <v>1</v>
      </c>
      <c r="M1685" s="3">
        <f t="shared" si="405"/>
        <v>0</v>
      </c>
      <c r="N1685" s="3" t="str">
        <f t="shared" si="406"/>
        <v>01</v>
      </c>
      <c r="O1685" s="14" t="str">
        <f t="shared" si="406"/>
        <v>00</v>
      </c>
      <c r="R1685" s="6">
        <v>512</v>
      </c>
      <c r="S1685" s="5">
        <f t="shared" si="407"/>
        <v>0</v>
      </c>
    </row>
    <row r="1686" spans="1:23">
      <c r="A1686" s="3">
        <v>1670</v>
      </c>
      <c r="B1686" s="1">
        <f t="shared" ref="B1686:B1723" si="408">IF(G1686="-",0,IF(G1685=G1686,1,0))</f>
        <v>0</v>
      </c>
      <c r="C1686" s="1">
        <f t="shared" ref="C1686:C1723" si="409">+IF(G1686="-",0,IF(I1686=I1685+1,0,(IF(I1686=1,0,1))))</f>
        <v>1</v>
      </c>
      <c r="D1686" s="1">
        <f t="shared" ref="D1686:D1723" si="410">+IF(AND(P1686="",Q1686=""),1,0)</f>
        <v>0</v>
      </c>
      <c r="E1686" s="1">
        <f t="shared" ref="E1686:F1713" si="411">IF(U1686="",1,0)</f>
        <v>0</v>
      </c>
      <c r="F1686" s="1">
        <f t="shared" si="411"/>
        <v>0</v>
      </c>
      <c r="G1686" s="38" t="str">
        <f t="shared" ref="G1686:G1723" si="412">IF(H1686=0,"-",_xlfn.CONCAT(K1686,N1686,O1686,J1686))</f>
        <v>24082203</v>
      </c>
      <c r="H1686" s="37">
        <v>45526</v>
      </c>
      <c r="I1686" s="38">
        <v>3</v>
      </c>
      <c r="J1686" s="38" t="str">
        <f t="shared" si="402"/>
        <v>03</v>
      </c>
      <c r="K1686" s="42">
        <f t="shared" si="403"/>
        <v>24</v>
      </c>
      <c r="L1686" s="42">
        <f t="shared" si="404"/>
        <v>8</v>
      </c>
      <c r="M1686" s="42">
        <f t="shared" si="405"/>
        <v>22</v>
      </c>
      <c r="N1686" s="42" t="str">
        <f t="shared" si="406"/>
        <v>08</v>
      </c>
      <c r="O1686" s="50">
        <f t="shared" si="406"/>
        <v>22</v>
      </c>
      <c r="P1686" s="39">
        <v>20000</v>
      </c>
      <c r="Q1686" s="40"/>
      <c r="R1686" s="41">
        <v>512</v>
      </c>
      <c r="S1686" s="40">
        <f t="shared" si="407"/>
        <v>39.0625</v>
      </c>
      <c r="T1686" s="40" t="s">
        <v>784</v>
      </c>
      <c r="U1686" s="42" t="s">
        <v>29</v>
      </c>
      <c r="V1686" s="42" t="s">
        <v>5</v>
      </c>
      <c r="W1686" s="42"/>
    </row>
    <row r="1687" spans="1:23" s="104" customFormat="1" hidden="1">
      <c r="A1687" s="3"/>
      <c r="B1687" s="1"/>
      <c r="C1687" s="1"/>
      <c r="D1687" s="1"/>
      <c r="E1687" s="1"/>
      <c r="F1687" s="1"/>
      <c r="G1687" s="1"/>
      <c r="H1687" s="2"/>
      <c r="I1687" s="1"/>
      <c r="J1687" s="1" t="str">
        <f t="shared" si="402"/>
        <v>0</v>
      </c>
      <c r="K1687" s="3">
        <f t="shared" si="403"/>
        <v>-100</v>
      </c>
      <c r="L1687" s="3">
        <f t="shared" si="404"/>
        <v>1</v>
      </c>
      <c r="M1687" s="3">
        <f t="shared" si="405"/>
        <v>0</v>
      </c>
      <c r="N1687" s="3" t="str">
        <f t="shared" si="406"/>
        <v>01</v>
      </c>
      <c r="O1687" s="14" t="str">
        <f t="shared" si="406"/>
        <v>00</v>
      </c>
      <c r="P1687" s="4"/>
      <c r="Q1687" s="5"/>
      <c r="R1687" s="6"/>
      <c r="S1687" s="5"/>
      <c r="T1687" s="5"/>
      <c r="U1687" s="3"/>
      <c r="V1687" s="3"/>
      <c r="W1687" s="3"/>
    </row>
    <row r="1688" spans="1:23" hidden="1">
      <c r="I1688" s="1"/>
      <c r="J1688" s="1" t="str">
        <f t="shared" si="402"/>
        <v>0</v>
      </c>
      <c r="K1688" s="3">
        <f t="shared" si="403"/>
        <v>-100</v>
      </c>
      <c r="L1688" s="3">
        <f t="shared" si="404"/>
        <v>1</v>
      </c>
      <c r="M1688" s="3">
        <f t="shared" si="405"/>
        <v>0</v>
      </c>
      <c r="N1688" s="3" t="str">
        <f t="shared" si="406"/>
        <v>01</v>
      </c>
      <c r="O1688" s="14" t="str">
        <f t="shared" si="406"/>
        <v>00</v>
      </c>
      <c r="R1688" s="6">
        <v>512</v>
      </c>
      <c r="S1688" s="5">
        <f t="shared" ref="S1688:S1730" si="413">IFERROR(P1688/R1688,"")</f>
        <v>0</v>
      </c>
    </row>
    <row r="1689" spans="1:23" hidden="1">
      <c r="G1689" s="38"/>
      <c r="H1689" s="37"/>
      <c r="I1689" s="38"/>
      <c r="J1689" s="38" t="str">
        <f t="shared" si="402"/>
        <v>0</v>
      </c>
      <c r="K1689" s="42">
        <f t="shared" si="403"/>
        <v>-100</v>
      </c>
      <c r="L1689" s="42">
        <f t="shared" si="404"/>
        <v>1</v>
      </c>
      <c r="M1689" s="42">
        <f t="shared" si="405"/>
        <v>0</v>
      </c>
      <c r="N1689" s="42" t="str">
        <f t="shared" si="406"/>
        <v>01</v>
      </c>
      <c r="O1689" s="50" t="str">
        <f t="shared" si="406"/>
        <v>00</v>
      </c>
      <c r="P1689" s="39"/>
      <c r="Q1689" s="40"/>
      <c r="R1689" s="41">
        <v>512</v>
      </c>
      <c r="S1689" s="40">
        <f t="shared" si="413"/>
        <v>0</v>
      </c>
      <c r="T1689" s="40"/>
      <c r="U1689" s="42"/>
      <c r="V1689" s="42"/>
      <c r="W1689" s="42"/>
    </row>
    <row r="1690" spans="1:23" ht="15.6" hidden="1" customHeight="1">
      <c r="J1690" s="1" t="str">
        <f t="shared" si="402"/>
        <v>0</v>
      </c>
      <c r="K1690" s="3">
        <f t="shared" si="403"/>
        <v>-100</v>
      </c>
      <c r="L1690" s="3">
        <f t="shared" si="404"/>
        <v>1</v>
      </c>
      <c r="M1690" s="3">
        <f t="shared" si="405"/>
        <v>0</v>
      </c>
      <c r="N1690" s="3" t="str">
        <f t="shared" si="406"/>
        <v>01</v>
      </c>
      <c r="O1690" s="14" t="str">
        <f t="shared" si="406"/>
        <v>00</v>
      </c>
      <c r="R1690" s="6">
        <v>519</v>
      </c>
      <c r="S1690" s="5">
        <f t="shared" si="413"/>
        <v>0</v>
      </c>
    </row>
    <row r="1691" spans="1:23" hidden="1">
      <c r="J1691" s="1" t="str">
        <f t="shared" si="402"/>
        <v>0</v>
      </c>
      <c r="K1691" s="3">
        <f t="shared" si="403"/>
        <v>-100</v>
      </c>
      <c r="L1691" s="3">
        <f t="shared" si="404"/>
        <v>1</v>
      </c>
      <c r="M1691" s="3">
        <f t="shared" si="405"/>
        <v>0</v>
      </c>
      <c r="N1691" s="3" t="str">
        <f t="shared" si="406"/>
        <v>01</v>
      </c>
      <c r="O1691" s="14" t="str">
        <f t="shared" si="406"/>
        <v>00</v>
      </c>
      <c r="R1691" s="6">
        <v>519</v>
      </c>
      <c r="S1691" s="5">
        <f t="shared" si="413"/>
        <v>0</v>
      </c>
    </row>
    <row r="1692" spans="1:23" hidden="1">
      <c r="J1692" s="1" t="str">
        <f t="shared" si="402"/>
        <v>0</v>
      </c>
      <c r="K1692" s="3">
        <f t="shared" si="403"/>
        <v>-100</v>
      </c>
      <c r="L1692" s="3">
        <f t="shared" si="404"/>
        <v>1</v>
      </c>
      <c r="M1692" s="3">
        <f t="shared" si="405"/>
        <v>0</v>
      </c>
      <c r="N1692" s="3" t="str">
        <f t="shared" si="406"/>
        <v>01</v>
      </c>
      <c r="O1692" s="14" t="str">
        <f t="shared" si="406"/>
        <v>00</v>
      </c>
      <c r="R1692" s="6">
        <v>519</v>
      </c>
      <c r="S1692" s="5">
        <f t="shared" si="413"/>
        <v>0</v>
      </c>
    </row>
    <row r="1693" spans="1:23" hidden="1">
      <c r="J1693" s="1" t="str">
        <f t="shared" si="402"/>
        <v>0</v>
      </c>
      <c r="K1693" s="3">
        <f t="shared" si="403"/>
        <v>-100</v>
      </c>
      <c r="L1693" s="3">
        <f t="shared" si="404"/>
        <v>1</v>
      </c>
      <c r="M1693" s="3">
        <f t="shared" si="405"/>
        <v>0</v>
      </c>
      <c r="N1693" s="3" t="str">
        <f t="shared" si="406"/>
        <v>01</v>
      </c>
      <c r="O1693" s="14" t="str">
        <f t="shared" si="406"/>
        <v>00</v>
      </c>
      <c r="R1693" s="6">
        <v>519</v>
      </c>
      <c r="S1693" s="5">
        <f t="shared" si="413"/>
        <v>0</v>
      </c>
    </row>
    <row r="1694" spans="1:23" hidden="1">
      <c r="J1694" s="1" t="str">
        <f t="shared" si="402"/>
        <v>0</v>
      </c>
      <c r="K1694" s="3">
        <f t="shared" si="403"/>
        <v>-100</v>
      </c>
      <c r="L1694" s="3">
        <f t="shared" si="404"/>
        <v>1</v>
      </c>
      <c r="M1694" s="3">
        <f t="shared" si="405"/>
        <v>0</v>
      </c>
      <c r="N1694" s="3" t="str">
        <f t="shared" si="406"/>
        <v>01</v>
      </c>
      <c r="O1694" s="14" t="str">
        <f t="shared" si="406"/>
        <v>00</v>
      </c>
      <c r="R1694" s="6">
        <v>519</v>
      </c>
      <c r="S1694" s="5">
        <f t="shared" si="413"/>
        <v>0</v>
      </c>
    </row>
    <row r="1695" spans="1:23" hidden="1">
      <c r="G1695" s="105"/>
      <c r="H1695" s="106"/>
      <c r="J1695" s="105" t="str">
        <f t="shared" si="402"/>
        <v>0</v>
      </c>
      <c r="K1695" s="104">
        <f t="shared" si="403"/>
        <v>-100</v>
      </c>
      <c r="L1695" s="104">
        <f t="shared" si="404"/>
        <v>1</v>
      </c>
      <c r="M1695" s="104">
        <f t="shared" si="405"/>
        <v>0</v>
      </c>
      <c r="N1695" s="104" t="str">
        <f t="shared" si="406"/>
        <v>01</v>
      </c>
      <c r="O1695" s="107" t="str">
        <f t="shared" si="406"/>
        <v>00</v>
      </c>
      <c r="P1695" s="108"/>
      <c r="Q1695" s="109"/>
      <c r="R1695" s="110">
        <v>519</v>
      </c>
      <c r="S1695" s="109">
        <f t="shared" si="413"/>
        <v>0</v>
      </c>
      <c r="T1695" s="109"/>
      <c r="U1695" s="104"/>
      <c r="V1695" s="104"/>
      <c r="W1695" s="104"/>
    </row>
    <row r="1696" spans="1:23" hidden="1">
      <c r="J1696" s="1" t="str">
        <f t="shared" si="402"/>
        <v>0</v>
      </c>
      <c r="K1696" s="3">
        <f t="shared" si="403"/>
        <v>-100</v>
      </c>
      <c r="L1696" s="3">
        <f t="shared" si="404"/>
        <v>1</v>
      </c>
      <c r="M1696" s="3">
        <f t="shared" si="405"/>
        <v>0</v>
      </c>
      <c r="N1696" s="3" t="str">
        <f t="shared" si="406"/>
        <v>01</v>
      </c>
      <c r="O1696" s="14" t="str">
        <f t="shared" si="406"/>
        <v>00</v>
      </c>
      <c r="R1696" s="6">
        <v>519</v>
      </c>
      <c r="S1696" s="5">
        <f t="shared" si="413"/>
        <v>0</v>
      </c>
    </row>
    <row r="1697" spans="1:23">
      <c r="A1697" s="3">
        <v>1681</v>
      </c>
      <c r="B1697" s="1">
        <f t="shared" si="408"/>
        <v>0</v>
      </c>
      <c r="C1697" s="1">
        <f t="shared" si="409"/>
        <v>1</v>
      </c>
      <c r="D1697" s="1">
        <f t="shared" si="410"/>
        <v>0</v>
      </c>
      <c r="E1697" s="1">
        <f t="shared" si="411"/>
        <v>0</v>
      </c>
      <c r="F1697" s="1">
        <f t="shared" si="411"/>
        <v>0</v>
      </c>
      <c r="G1697" s="1" t="str">
        <f t="shared" si="412"/>
        <v>24082402</v>
      </c>
      <c r="H1697" s="2">
        <v>45528</v>
      </c>
      <c r="I1697" s="36">
        <v>2</v>
      </c>
      <c r="J1697" s="1" t="str">
        <f t="shared" si="402"/>
        <v>02</v>
      </c>
      <c r="K1697" s="3">
        <f t="shared" si="403"/>
        <v>24</v>
      </c>
      <c r="L1697" s="3">
        <f t="shared" si="404"/>
        <v>8</v>
      </c>
      <c r="M1697" s="3">
        <f t="shared" si="405"/>
        <v>24</v>
      </c>
      <c r="N1697" s="3" t="str">
        <f t="shared" si="406"/>
        <v>08</v>
      </c>
      <c r="O1697" s="14">
        <f t="shared" si="406"/>
        <v>24</v>
      </c>
      <c r="P1697" s="11">
        <v>29204.77</v>
      </c>
      <c r="R1697" s="6">
        <v>528</v>
      </c>
      <c r="S1697" s="5">
        <f t="shared" si="413"/>
        <v>55.312064393939394</v>
      </c>
      <c r="T1697" s="5" t="s">
        <v>147</v>
      </c>
      <c r="U1697" s="3" t="s">
        <v>1</v>
      </c>
      <c r="V1697" s="3" t="s">
        <v>5</v>
      </c>
      <c r="W1697" s="3" t="s">
        <v>1074</v>
      </c>
    </row>
    <row r="1698" spans="1:23" hidden="1">
      <c r="J1698" s="1" t="str">
        <f t="shared" si="402"/>
        <v>0</v>
      </c>
      <c r="K1698" s="3">
        <f t="shared" si="403"/>
        <v>-100</v>
      </c>
      <c r="L1698" s="3">
        <f t="shared" si="404"/>
        <v>1</v>
      </c>
      <c r="M1698" s="3">
        <f t="shared" si="405"/>
        <v>0</v>
      </c>
      <c r="N1698" s="3" t="str">
        <f t="shared" si="406"/>
        <v>01</v>
      </c>
      <c r="O1698" s="14" t="str">
        <f t="shared" si="406"/>
        <v>00</v>
      </c>
      <c r="P1698" s="11"/>
      <c r="R1698" s="6">
        <v>528</v>
      </c>
      <c r="S1698" s="5">
        <f t="shared" si="413"/>
        <v>0</v>
      </c>
    </row>
    <row r="1699" spans="1:23" hidden="1">
      <c r="J1699" s="1" t="str">
        <f t="shared" si="402"/>
        <v>0</v>
      </c>
      <c r="K1699" s="3">
        <f t="shared" si="403"/>
        <v>-100</v>
      </c>
      <c r="L1699" s="3">
        <f t="shared" si="404"/>
        <v>1</v>
      </c>
      <c r="M1699" s="3">
        <f t="shared" si="405"/>
        <v>0</v>
      </c>
      <c r="N1699" s="3" t="str">
        <f t="shared" si="406"/>
        <v>01</v>
      </c>
      <c r="O1699" s="14" t="str">
        <f t="shared" si="406"/>
        <v>00</v>
      </c>
      <c r="P1699" s="11"/>
      <c r="R1699" s="6">
        <v>528</v>
      </c>
      <c r="S1699" s="5">
        <f t="shared" si="413"/>
        <v>0</v>
      </c>
    </row>
    <row r="1700" spans="1:23" hidden="1">
      <c r="J1700" s="1" t="str">
        <f t="shared" si="402"/>
        <v>0</v>
      </c>
      <c r="K1700" s="3">
        <f t="shared" si="403"/>
        <v>-100</v>
      </c>
      <c r="L1700" s="3">
        <f t="shared" si="404"/>
        <v>1</v>
      </c>
      <c r="M1700" s="3">
        <f t="shared" si="405"/>
        <v>0</v>
      </c>
      <c r="N1700" s="3" t="str">
        <f t="shared" si="406"/>
        <v>01</v>
      </c>
      <c r="O1700" s="14" t="str">
        <f t="shared" si="406"/>
        <v>00</v>
      </c>
      <c r="P1700" s="11"/>
      <c r="R1700" s="6">
        <v>528</v>
      </c>
      <c r="S1700" s="5">
        <f t="shared" si="413"/>
        <v>0</v>
      </c>
    </row>
    <row r="1701" spans="1:23">
      <c r="A1701" s="3">
        <v>1685</v>
      </c>
      <c r="B1701" s="1">
        <f t="shared" si="408"/>
        <v>0</v>
      </c>
      <c r="C1701" s="1">
        <f t="shared" si="409"/>
        <v>1</v>
      </c>
      <c r="D1701" s="1">
        <f t="shared" si="410"/>
        <v>0</v>
      </c>
      <c r="E1701" s="1">
        <f t="shared" si="411"/>
        <v>0</v>
      </c>
      <c r="F1701" s="1">
        <f t="shared" si="411"/>
        <v>0</v>
      </c>
      <c r="G1701" s="1" t="str">
        <f t="shared" si="412"/>
        <v>24082406</v>
      </c>
      <c r="H1701" s="2">
        <v>45528</v>
      </c>
      <c r="I1701" s="36">
        <v>6</v>
      </c>
      <c r="J1701" s="1" t="str">
        <f t="shared" si="402"/>
        <v>06</v>
      </c>
      <c r="K1701" s="3">
        <f t="shared" si="403"/>
        <v>24</v>
      </c>
      <c r="L1701" s="3">
        <f t="shared" si="404"/>
        <v>8</v>
      </c>
      <c r="M1701" s="3">
        <f t="shared" si="405"/>
        <v>24</v>
      </c>
      <c r="N1701" s="3" t="str">
        <f t="shared" si="406"/>
        <v>08</v>
      </c>
      <c r="O1701" s="14">
        <f t="shared" si="406"/>
        <v>24</v>
      </c>
      <c r="P1701" s="11">
        <v>120000</v>
      </c>
      <c r="R1701" s="6">
        <v>528</v>
      </c>
      <c r="S1701" s="5">
        <f t="shared" si="413"/>
        <v>227.27272727272728</v>
      </c>
      <c r="T1701" s="3" t="s">
        <v>644</v>
      </c>
      <c r="U1701" s="3" t="s">
        <v>1</v>
      </c>
      <c r="V1701" s="3" t="s">
        <v>5</v>
      </c>
    </row>
    <row r="1702" spans="1:23" hidden="1">
      <c r="J1702" s="1" t="str">
        <f t="shared" si="402"/>
        <v>0</v>
      </c>
      <c r="K1702" s="3">
        <f t="shared" si="403"/>
        <v>-100</v>
      </c>
      <c r="L1702" s="3">
        <f t="shared" si="404"/>
        <v>1</v>
      </c>
      <c r="M1702" s="3">
        <f t="shared" si="405"/>
        <v>0</v>
      </c>
      <c r="N1702" s="3" t="str">
        <f t="shared" si="406"/>
        <v>01</v>
      </c>
      <c r="O1702" s="14" t="str">
        <f t="shared" si="406"/>
        <v>00</v>
      </c>
      <c r="P1702" s="132"/>
      <c r="R1702" s="6">
        <v>528</v>
      </c>
      <c r="S1702" s="5">
        <f t="shared" si="413"/>
        <v>0</v>
      </c>
      <c r="T1702" s="3"/>
    </row>
    <row r="1703" spans="1:23" hidden="1">
      <c r="J1703" s="1" t="str">
        <f t="shared" si="402"/>
        <v>0</v>
      </c>
      <c r="K1703" s="3">
        <f t="shared" si="403"/>
        <v>-100</v>
      </c>
      <c r="L1703" s="3">
        <f t="shared" si="404"/>
        <v>1</v>
      </c>
      <c r="M1703" s="3">
        <f t="shared" si="405"/>
        <v>0</v>
      </c>
      <c r="N1703" s="3" t="str">
        <f t="shared" si="406"/>
        <v>01</v>
      </c>
      <c r="O1703" s="14" t="str">
        <f t="shared" si="406"/>
        <v>00</v>
      </c>
      <c r="P1703" s="132"/>
      <c r="R1703" s="6">
        <v>528</v>
      </c>
      <c r="S1703" s="5">
        <f t="shared" si="413"/>
        <v>0</v>
      </c>
      <c r="T1703" s="3"/>
    </row>
    <row r="1704" spans="1:23" hidden="1">
      <c r="J1704" s="1" t="str">
        <f t="shared" si="402"/>
        <v>0</v>
      </c>
      <c r="K1704" s="3">
        <f t="shared" si="403"/>
        <v>-100</v>
      </c>
      <c r="L1704" s="3">
        <f t="shared" si="404"/>
        <v>1</v>
      </c>
      <c r="M1704" s="3">
        <f t="shared" si="405"/>
        <v>0</v>
      </c>
      <c r="N1704" s="3" t="str">
        <f t="shared" si="406"/>
        <v>01</v>
      </c>
      <c r="O1704" s="14" t="str">
        <f t="shared" si="406"/>
        <v>00</v>
      </c>
      <c r="P1704" s="132"/>
      <c r="R1704" s="6">
        <v>528</v>
      </c>
      <c r="S1704" s="5">
        <f t="shared" si="413"/>
        <v>0</v>
      </c>
      <c r="T1704" s="3"/>
    </row>
    <row r="1705" spans="1:23" hidden="1">
      <c r="J1705" s="1" t="str">
        <f t="shared" si="402"/>
        <v>0</v>
      </c>
      <c r="K1705" s="3">
        <f t="shared" si="403"/>
        <v>-100</v>
      </c>
      <c r="L1705" s="3">
        <f t="shared" si="404"/>
        <v>1</v>
      </c>
      <c r="M1705" s="3">
        <f t="shared" si="405"/>
        <v>0</v>
      </c>
      <c r="N1705" s="3" t="str">
        <f t="shared" si="406"/>
        <v>01</v>
      </c>
      <c r="O1705" s="14" t="str">
        <f t="shared" si="406"/>
        <v>00</v>
      </c>
      <c r="P1705" s="132"/>
      <c r="R1705" s="6">
        <v>528</v>
      </c>
      <c r="S1705" s="5">
        <f t="shared" si="413"/>
        <v>0</v>
      </c>
      <c r="T1705" s="3"/>
    </row>
    <row r="1706" spans="1:23">
      <c r="A1706" s="3">
        <v>1690</v>
      </c>
      <c r="B1706" s="1">
        <f t="shared" si="408"/>
        <v>0</v>
      </c>
      <c r="C1706" s="1">
        <f t="shared" si="409"/>
        <v>1</v>
      </c>
      <c r="D1706" s="1">
        <f t="shared" si="410"/>
        <v>0</v>
      </c>
      <c r="E1706" s="1">
        <f t="shared" si="411"/>
        <v>0</v>
      </c>
      <c r="F1706" s="1">
        <f t="shared" si="411"/>
        <v>0</v>
      </c>
      <c r="G1706" s="1" t="str">
        <f t="shared" si="412"/>
        <v>24082411</v>
      </c>
      <c r="H1706" s="2">
        <v>45528</v>
      </c>
      <c r="I1706" s="36">
        <v>11</v>
      </c>
      <c r="J1706" s="1">
        <f t="shared" si="402"/>
        <v>11</v>
      </c>
      <c r="K1706" s="3">
        <f t="shared" si="403"/>
        <v>24</v>
      </c>
      <c r="L1706" s="3">
        <f t="shared" si="404"/>
        <v>8</v>
      </c>
      <c r="M1706" s="3">
        <f t="shared" si="405"/>
        <v>24</v>
      </c>
      <c r="N1706" s="3" t="str">
        <f t="shared" ref="N1706:O1737" si="414">+IF(L1706&lt;10,_xlfn.CONCAT("0",L1706),L1706)</f>
        <v>08</v>
      </c>
      <c r="O1706" s="14">
        <f t="shared" si="414"/>
        <v>24</v>
      </c>
      <c r="P1706" s="132">
        <v>30000</v>
      </c>
      <c r="R1706" s="6">
        <v>528</v>
      </c>
      <c r="S1706" s="5">
        <f t="shared" si="413"/>
        <v>56.81818181818182</v>
      </c>
      <c r="T1706" s="3" t="s">
        <v>841</v>
      </c>
      <c r="U1706" s="3" t="s">
        <v>1</v>
      </c>
      <c r="V1706" s="3" t="s">
        <v>5</v>
      </c>
    </row>
    <row r="1707" spans="1:23">
      <c r="A1707" s="3">
        <v>1691</v>
      </c>
      <c r="B1707" s="1">
        <f t="shared" si="408"/>
        <v>0</v>
      </c>
      <c r="C1707" s="1">
        <f t="shared" si="409"/>
        <v>0</v>
      </c>
      <c r="D1707" s="1">
        <f t="shared" si="410"/>
        <v>0</v>
      </c>
      <c r="E1707" s="1">
        <f t="shared" si="411"/>
        <v>0</v>
      </c>
      <c r="F1707" s="1">
        <f t="shared" si="411"/>
        <v>0</v>
      </c>
      <c r="G1707" s="1" t="str">
        <f t="shared" si="412"/>
        <v>24082412</v>
      </c>
      <c r="H1707" s="2">
        <v>45528</v>
      </c>
      <c r="I1707" s="36">
        <v>12</v>
      </c>
      <c r="J1707" s="1">
        <f t="shared" si="402"/>
        <v>12</v>
      </c>
      <c r="K1707" s="3">
        <f t="shared" si="403"/>
        <v>24</v>
      </c>
      <c r="L1707" s="3">
        <f t="shared" si="404"/>
        <v>8</v>
      </c>
      <c r="M1707" s="3">
        <f t="shared" si="405"/>
        <v>24</v>
      </c>
      <c r="N1707" s="3" t="str">
        <f t="shared" si="414"/>
        <v>08</v>
      </c>
      <c r="O1707" s="14">
        <f t="shared" si="414"/>
        <v>24</v>
      </c>
      <c r="P1707" s="132">
        <v>542400</v>
      </c>
      <c r="R1707" s="6">
        <v>528</v>
      </c>
      <c r="S1707" s="5">
        <f t="shared" si="413"/>
        <v>1027.2727272727273</v>
      </c>
      <c r="T1707" s="3" t="s">
        <v>652</v>
      </c>
      <c r="U1707" s="3" t="s">
        <v>1</v>
      </c>
      <c r="V1707" s="3" t="s">
        <v>5</v>
      </c>
    </row>
    <row r="1708" spans="1:23" hidden="1">
      <c r="J1708" s="1" t="str">
        <f t="shared" si="402"/>
        <v>0</v>
      </c>
      <c r="K1708" s="3">
        <f t="shared" si="403"/>
        <v>-100</v>
      </c>
      <c r="L1708" s="3">
        <f t="shared" si="404"/>
        <v>1</v>
      </c>
      <c r="M1708" s="3">
        <f t="shared" si="405"/>
        <v>0</v>
      </c>
      <c r="N1708" s="3" t="str">
        <f t="shared" si="414"/>
        <v>01</v>
      </c>
      <c r="O1708" s="14" t="str">
        <f t="shared" si="414"/>
        <v>00</v>
      </c>
      <c r="P1708" s="11"/>
      <c r="R1708" s="6">
        <v>528</v>
      </c>
      <c r="S1708" s="5">
        <f t="shared" si="413"/>
        <v>0</v>
      </c>
    </row>
    <row r="1709" spans="1:23" hidden="1">
      <c r="J1709" s="1" t="str">
        <f t="shared" si="402"/>
        <v>0</v>
      </c>
      <c r="K1709" s="3">
        <f t="shared" si="403"/>
        <v>-100</v>
      </c>
      <c r="L1709" s="3">
        <f t="shared" si="404"/>
        <v>1</v>
      </c>
      <c r="M1709" s="3">
        <f t="shared" si="405"/>
        <v>0</v>
      </c>
      <c r="N1709" s="3" t="str">
        <f t="shared" si="414"/>
        <v>01</v>
      </c>
      <c r="O1709" s="14" t="str">
        <f t="shared" si="414"/>
        <v>00</v>
      </c>
      <c r="P1709" s="132"/>
      <c r="R1709" s="6">
        <v>528</v>
      </c>
      <c r="S1709" s="5">
        <f t="shared" si="413"/>
        <v>0</v>
      </c>
      <c r="T1709" s="3"/>
    </row>
    <row r="1710" spans="1:23">
      <c r="A1710" s="3">
        <v>1694</v>
      </c>
      <c r="B1710" s="1">
        <f t="shared" si="408"/>
        <v>0</v>
      </c>
      <c r="C1710" s="1">
        <f t="shared" si="409"/>
        <v>1</v>
      </c>
      <c r="D1710" s="1">
        <f t="shared" si="410"/>
        <v>0</v>
      </c>
      <c r="E1710" s="1">
        <f t="shared" si="411"/>
        <v>0</v>
      </c>
      <c r="F1710" s="1">
        <f t="shared" si="411"/>
        <v>0</v>
      </c>
      <c r="G1710" s="1" t="str">
        <f t="shared" si="412"/>
        <v>24082415</v>
      </c>
      <c r="H1710" s="2">
        <v>45528</v>
      </c>
      <c r="I1710" s="36">
        <v>15</v>
      </c>
      <c r="J1710" s="1">
        <f t="shared" si="402"/>
        <v>15</v>
      </c>
      <c r="K1710" s="3">
        <f t="shared" si="403"/>
        <v>24</v>
      </c>
      <c r="L1710" s="3">
        <f t="shared" si="404"/>
        <v>8</v>
      </c>
      <c r="M1710" s="3">
        <f t="shared" si="405"/>
        <v>24</v>
      </c>
      <c r="N1710" s="3" t="str">
        <f t="shared" si="414"/>
        <v>08</v>
      </c>
      <c r="O1710" s="14">
        <f t="shared" si="414"/>
        <v>24</v>
      </c>
      <c r="P1710" s="132">
        <v>102000</v>
      </c>
      <c r="R1710" s="6">
        <v>528</v>
      </c>
      <c r="S1710" s="5">
        <f t="shared" si="413"/>
        <v>193.18181818181819</v>
      </c>
      <c r="T1710" s="3" t="s">
        <v>643</v>
      </c>
      <c r="U1710" s="3" t="s">
        <v>1</v>
      </c>
      <c r="V1710" s="3" t="s">
        <v>5</v>
      </c>
    </row>
    <row r="1711" spans="1:23">
      <c r="A1711" s="3">
        <v>1695</v>
      </c>
      <c r="B1711" s="1">
        <f t="shared" si="408"/>
        <v>0</v>
      </c>
      <c r="C1711" s="1">
        <f t="shared" si="409"/>
        <v>0</v>
      </c>
      <c r="D1711" s="1">
        <f t="shared" si="410"/>
        <v>0</v>
      </c>
      <c r="E1711" s="1">
        <f t="shared" si="411"/>
        <v>0</v>
      </c>
      <c r="F1711" s="1">
        <f t="shared" si="411"/>
        <v>0</v>
      </c>
      <c r="G1711" s="1" t="str">
        <f t="shared" si="412"/>
        <v>24082416</v>
      </c>
      <c r="H1711" s="2">
        <v>45528</v>
      </c>
      <c r="I1711" s="36">
        <v>16</v>
      </c>
      <c r="J1711" s="1">
        <f t="shared" si="402"/>
        <v>16</v>
      </c>
      <c r="K1711" s="3">
        <f t="shared" si="403"/>
        <v>24</v>
      </c>
      <c r="L1711" s="3">
        <f t="shared" si="404"/>
        <v>8</v>
      </c>
      <c r="M1711" s="3">
        <f t="shared" si="405"/>
        <v>24</v>
      </c>
      <c r="N1711" s="3" t="str">
        <f t="shared" si="414"/>
        <v>08</v>
      </c>
      <c r="O1711" s="14">
        <f t="shared" si="414"/>
        <v>24</v>
      </c>
      <c r="P1711" s="132">
        <v>150000</v>
      </c>
      <c r="R1711" s="6">
        <v>528</v>
      </c>
      <c r="S1711" s="5">
        <f t="shared" si="413"/>
        <v>284.09090909090907</v>
      </c>
      <c r="T1711" s="3" t="s">
        <v>639</v>
      </c>
      <c r="U1711" s="3" t="s">
        <v>1</v>
      </c>
      <c r="V1711" s="3" t="s">
        <v>5</v>
      </c>
    </row>
    <row r="1712" spans="1:23">
      <c r="A1712" s="3">
        <v>1696</v>
      </c>
      <c r="B1712" s="1">
        <f t="shared" si="408"/>
        <v>0</v>
      </c>
      <c r="C1712" s="1">
        <f t="shared" si="409"/>
        <v>0</v>
      </c>
      <c r="D1712" s="1">
        <f t="shared" si="410"/>
        <v>0</v>
      </c>
      <c r="E1712" s="1">
        <f t="shared" si="411"/>
        <v>0</v>
      </c>
      <c r="F1712" s="1">
        <f t="shared" si="411"/>
        <v>0</v>
      </c>
      <c r="G1712" s="1" t="str">
        <f t="shared" si="412"/>
        <v>24082417</v>
      </c>
      <c r="H1712" s="2">
        <v>45528</v>
      </c>
      <c r="I1712" s="36">
        <v>17</v>
      </c>
      <c r="J1712" s="1">
        <f t="shared" si="402"/>
        <v>17</v>
      </c>
      <c r="K1712" s="3">
        <f t="shared" si="403"/>
        <v>24</v>
      </c>
      <c r="L1712" s="3">
        <f t="shared" si="404"/>
        <v>8</v>
      </c>
      <c r="M1712" s="3">
        <f t="shared" si="405"/>
        <v>24</v>
      </c>
      <c r="N1712" s="3" t="str">
        <f t="shared" si="414"/>
        <v>08</v>
      </c>
      <c r="O1712" s="14">
        <f t="shared" si="414"/>
        <v>24</v>
      </c>
      <c r="P1712" s="132">
        <v>150000</v>
      </c>
      <c r="R1712" s="6">
        <v>528</v>
      </c>
      <c r="S1712" s="5">
        <f t="shared" si="413"/>
        <v>284.09090909090907</v>
      </c>
      <c r="T1712" s="3" t="s">
        <v>640</v>
      </c>
      <c r="U1712" s="3" t="s">
        <v>1</v>
      </c>
      <c r="V1712" s="3" t="s">
        <v>5</v>
      </c>
    </row>
    <row r="1713" spans="1:22">
      <c r="A1713" s="3">
        <v>1697</v>
      </c>
      <c r="B1713" s="1">
        <f t="shared" si="408"/>
        <v>0</v>
      </c>
      <c r="C1713" s="1">
        <f t="shared" si="409"/>
        <v>0</v>
      </c>
      <c r="D1713" s="1">
        <f t="shared" si="410"/>
        <v>0</v>
      </c>
      <c r="E1713" s="1">
        <f t="shared" si="411"/>
        <v>0</v>
      </c>
      <c r="F1713" s="1">
        <f t="shared" si="411"/>
        <v>0</v>
      </c>
      <c r="G1713" s="1" t="str">
        <f t="shared" si="412"/>
        <v>24082418</v>
      </c>
      <c r="H1713" s="2">
        <v>45528</v>
      </c>
      <c r="I1713" s="36">
        <v>18</v>
      </c>
      <c r="J1713" s="1">
        <f t="shared" si="402"/>
        <v>18</v>
      </c>
      <c r="K1713" s="3">
        <f t="shared" si="403"/>
        <v>24</v>
      </c>
      <c r="L1713" s="3">
        <f t="shared" si="404"/>
        <v>8</v>
      </c>
      <c r="M1713" s="3">
        <f t="shared" si="405"/>
        <v>24</v>
      </c>
      <c r="N1713" s="3" t="str">
        <f t="shared" si="414"/>
        <v>08</v>
      </c>
      <c r="O1713" s="14">
        <f t="shared" si="414"/>
        <v>24</v>
      </c>
      <c r="P1713" s="132">
        <v>102000</v>
      </c>
      <c r="R1713" s="6">
        <v>528</v>
      </c>
      <c r="S1713" s="5">
        <f t="shared" si="413"/>
        <v>193.18181818181819</v>
      </c>
      <c r="T1713" s="3" t="s">
        <v>641</v>
      </c>
      <c r="U1713" s="3" t="s">
        <v>1</v>
      </c>
      <c r="V1713" s="3" t="s">
        <v>5</v>
      </c>
    </row>
    <row r="1714" spans="1:22" hidden="1">
      <c r="J1714" s="1" t="str">
        <f t="shared" si="402"/>
        <v>0</v>
      </c>
      <c r="K1714" s="3">
        <f t="shared" si="403"/>
        <v>-100</v>
      </c>
      <c r="L1714" s="3">
        <f t="shared" si="404"/>
        <v>1</v>
      </c>
      <c r="M1714" s="3">
        <f t="shared" si="405"/>
        <v>0</v>
      </c>
      <c r="N1714" s="3" t="str">
        <f t="shared" si="414"/>
        <v>01</v>
      </c>
      <c r="O1714" s="14" t="str">
        <f t="shared" si="414"/>
        <v>00</v>
      </c>
      <c r="P1714" s="132"/>
      <c r="R1714" s="6">
        <v>528</v>
      </c>
      <c r="S1714" s="5">
        <f t="shared" si="413"/>
        <v>0</v>
      </c>
      <c r="T1714" s="3"/>
    </row>
    <row r="1715" spans="1:22" hidden="1">
      <c r="J1715" s="1" t="str">
        <f t="shared" si="402"/>
        <v>0</v>
      </c>
      <c r="K1715" s="3">
        <f t="shared" si="403"/>
        <v>-100</v>
      </c>
      <c r="L1715" s="3">
        <f t="shared" si="404"/>
        <v>1</v>
      </c>
      <c r="M1715" s="3">
        <f t="shared" si="405"/>
        <v>0</v>
      </c>
      <c r="N1715" s="3" t="str">
        <f t="shared" si="414"/>
        <v>01</v>
      </c>
      <c r="O1715" s="14" t="str">
        <f t="shared" si="414"/>
        <v>00</v>
      </c>
      <c r="P1715" s="132"/>
      <c r="R1715" s="6">
        <v>528</v>
      </c>
      <c r="S1715" s="5">
        <f t="shared" si="413"/>
        <v>0</v>
      </c>
      <c r="T1715" s="3"/>
    </row>
    <row r="1716" spans="1:22" hidden="1">
      <c r="J1716" s="1" t="str">
        <f t="shared" si="402"/>
        <v>0</v>
      </c>
      <c r="K1716" s="3">
        <f t="shared" si="403"/>
        <v>-100</v>
      </c>
      <c r="L1716" s="3">
        <f t="shared" si="404"/>
        <v>1</v>
      </c>
      <c r="M1716" s="3">
        <f t="shared" si="405"/>
        <v>0</v>
      </c>
      <c r="N1716" s="3" t="str">
        <f t="shared" si="414"/>
        <v>01</v>
      </c>
      <c r="O1716" s="14" t="str">
        <f t="shared" si="414"/>
        <v>00</v>
      </c>
      <c r="P1716" s="132"/>
      <c r="R1716" s="6">
        <v>528</v>
      </c>
      <c r="S1716" s="5">
        <f t="shared" si="413"/>
        <v>0</v>
      </c>
      <c r="T1716" s="3"/>
    </row>
    <row r="1717" spans="1:22" hidden="1">
      <c r="J1717" s="1" t="str">
        <f t="shared" si="402"/>
        <v>0</v>
      </c>
      <c r="K1717" s="3">
        <f t="shared" si="403"/>
        <v>-100</v>
      </c>
      <c r="L1717" s="3">
        <f t="shared" si="404"/>
        <v>1</v>
      </c>
      <c r="M1717" s="3">
        <f t="shared" si="405"/>
        <v>0</v>
      </c>
      <c r="N1717" s="3" t="str">
        <f t="shared" si="414"/>
        <v>01</v>
      </c>
      <c r="O1717" s="14" t="str">
        <f t="shared" si="414"/>
        <v>00</v>
      </c>
      <c r="P1717" s="132"/>
      <c r="R1717" s="6">
        <v>528</v>
      </c>
      <c r="S1717" s="5">
        <f t="shared" si="413"/>
        <v>0</v>
      </c>
      <c r="T1717" s="3"/>
    </row>
    <row r="1718" spans="1:22" hidden="1">
      <c r="J1718" s="1" t="str">
        <f t="shared" si="402"/>
        <v>0</v>
      </c>
      <c r="K1718" s="3">
        <f t="shared" si="403"/>
        <v>-100</v>
      </c>
      <c r="L1718" s="3">
        <f t="shared" si="404"/>
        <v>1</v>
      </c>
      <c r="M1718" s="3">
        <f t="shared" si="405"/>
        <v>0</v>
      </c>
      <c r="N1718" s="3" t="str">
        <f t="shared" si="414"/>
        <v>01</v>
      </c>
      <c r="O1718" s="14" t="str">
        <f t="shared" si="414"/>
        <v>00</v>
      </c>
      <c r="P1718" s="132"/>
      <c r="R1718" s="6">
        <v>528</v>
      </c>
      <c r="S1718" s="5">
        <f t="shared" si="413"/>
        <v>0</v>
      </c>
      <c r="T1718" s="3"/>
    </row>
    <row r="1719" spans="1:22">
      <c r="A1719" s="3">
        <v>1703</v>
      </c>
      <c r="B1719" s="1">
        <f t="shared" si="408"/>
        <v>0</v>
      </c>
      <c r="C1719" s="1">
        <f t="shared" si="409"/>
        <v>1</v>
      </c>
      <c r="D1719" s="1">
        <f t="shared" si="410"/>
        <v>0</v>
      </c>
      <c r="E1719" s="1">
        <f t="shared" ref="E1719:F1723" si="415">IF(U1719="",1,0)</f>
        <v>0</v>
      </c>
      <c r="F1719" s="1">
        <f t="shared" si="415"/>
        <v>0</v>
      </c>
      <c r="G1719" s="1" t="str">
        <f t="shared" si="412"/>
        <v>24082424</v>
      </c>
      <c r="H1719" s="2">
        <v>45528</v>
      </c>
      <c r="I1719" s="36">
        <v>24</v>
      </c>
      <c r="J1719" s="1">
        <f t="shared" si="402"/>
        <v>24</v>
      </c>
      <c r="K1719" s="3">
        <f t="shared" si="403"/>
        <v>24</v>
      </c>
      <c r="L1719" s="3">
        <f t="shared" si="404"/>
        <v>8</v>
      </c>
      <c r="M1719" s="3">
        <f t="shared" si="405"/>
        <v>24</v>
      </c>
      <c r="N1719" s="3" t="str">
        <f t="shared" si="414"/>
        <v>08</v>
      </c>
      <c r="O1719" s="14">
        <f t="shared" si="414"/>
        <v>24</v>
      </c>
      <c r="P1719" s="132">
        <v>120000</v>
      </c>
      <c r="R1719" s="6">
        <v>528</v>
      </c>
      <c r="S1719" s="5">
        <f t="shared" si="413"/>
        <v>227.27272727272728</v>
      </c>
      <c r="T1719" s="3" t="s">
        <v>637</v>
      </c>
      <c r="U1719" s="3" t="s">
        <v>1</v>
      </c>
      <c r="V1719" s="3" t="s">
        <v>5</v>
      </c>
    </row>
    <row r="1720" spans="1:22">
      <c r="A1720" s="3">
        <v>1704</v>
      </c>
      <c r="B1720" s="1">
        <f t="shared" si="408"/>
        <v>0</v>
      </c>
      <c r="C1720" s="1">
        <f t="shared" si="409"/>
        <v>0</v>
      </c>
      <c r="D1720" s="1">
        <f t="shared" si="410"/>
        <v>0</v>
      </c>
      <c r="E1720" s="1">
        <f t="shared" si="415"/>
        <v>0</v>
      </c>
      <c r="F1720" s="1">
        <f t="shared" si="415"/>
        <v>0</v>
      </c>
      <c r="G1720" s="1" t="str">
        <f t="shared" si="412"/>
        <v>24082425</v>
      </c>
      <c r="H1720" s="2">
        <v>45528</v>
      </c>
      <c r="I1720" s="36">
        <v>25</v>
      </c>
      <c r="J1720" s="1">
        <f t="shared" si="402"/>
        <v>25</v>
      </c>
      <c r="K1720" s="3">
        <f t="shared" si="403"/>
        <v>24</v>
      </c>
      <c r="L1720" s="3">
        <f t="shared" si="404"/>
        <v>8</v>
      </c>
      <c r="M1720" s="3">
        <f t="shared" si="405"/>
        <v>24</v>
      </c>
      <c r="N1720" s="3" t="str">
        <f t="shared" si="414"/>
        <v>08</v>
      </c>
      <c r="O1720" s="14">
        <f t="shared" si="414"/>
        <v>24</v>
      </c>
      <c r="P1720" s="132">
        <v>102000</v>
      </c>
      <c r="R1720" s="6">
        <v>528</v>
      </c>
      <c r="S1720" s="5">
        <f t="shared" si="413"/>
        <v>193.18181818181819</v>
      </c>
      <c r="T1720" s="3" t="s">
        <v>638</v>
      </c>
      <c r="U1720" s="3" t="s">
        <v>1</v>
      </c>
      <c r="V1720" s="3" t="s">
        <v>5</v>
      </c>
    </row>
    <row r="1721" spans="1:22">
      <c r="A1721" s="3">
        <v>1705</v>
      </c>
      <c r="B1721" s="1">
        <f t="shared" si="408"/>
        <v>0</v>
      </c>
      <c r="C1721" s="1">
        <f t="shared" si="409"/>
        <v>0</v>
      </c>
      <c r="D1721" s="1">
        <f t="shared" si="410"/>
        <v>0</v>
      </c>
      <c r="E1721" s="1">
        <f t="shared" si="415"/>
        <v>0</v>
      </c>
      <c r="F1721" s="1">
        <f t="shared" si="415"/>
        <v>0</v>
      </c>
      <c r="G1721" s="1" t="str">
        <f t="shared" si="412"/>
        <v>24082426</v>
      </c>
      <c r="H1721" s="2">
        <v>45528</v>
      </c>
      <c r="I1721" s="36">
        <v>26</v>
      </c>
      <c r="J1721" s="1">
        <f t="shared" si="402"/>
        <v>26</v>
      </c>
      <c r="K1721" s="3">
        <f t="shared" si="403"/>
        <v>24</v>
      </c>
      <c r="L1721" s="3">
        <f t="shared" si="404"/>
        <v>8</v>
      </c>
      <c r="M1721" s="3">
        <f t="shared" si="405"/>
        <v>24</v>
      </c>
      <c r="N1721" s="3" t="str">
        <f t="shared" si="414"/>
        <v>08</v>
      </c>
      <c r="O1721" s="14">
        <f t="shared" si="414"/>
        <v>24</v>
      </c>
      <c r="P1721" s="132">
        <v>230000</v>
      </c>
      <c r="R1721" s="6">
        <v>528</v>
      </c>
      <c r="S1721" s="5">
        <f t="shared" si="413"/>
        <v>435.60606060606062</v>
      </c>
      <c r="T1721" s="3" t="s">
        <v>649</v>
      </c>
      <c r="U1721" s="3" t="s">
        <v>1</v>
      </c>
      <c r="V1721" s="3" t="s">
        <v>5</v>
      </c>
    </row>
    <row r="1722" spans="1:22">
      <c r="A1722" s="3">
        <v>1706</v>
      </c>
      <c r="B1722" s="1">
        <f t="shared" si="408"/>
        <v>0</v>
      </c>
      <c r="C1722" s="1">
        <f t="shared" si="409"/>
        <v>0</v>
      </c>
      <c r="D1722" s="1">
        <f t="shared" si="410"/>
        <v>0</v>
      </c>
      <c r="E1722" s="1">
        <f t="shared" si="415"/>
        <v>0</v>
      </c>
      <c r="F1722" s="1">
        <f t="shared" si="415"/>
        <v>0</v>
      </c>
      <c r="G1722" s="1" t="str">
        <f t="shared" si="412"/>
        <v>24082427</v>
      </c>
      <c r="H1722" s="2">
        <v>45528</v>
      </c>
      <c r="I1722" s="36">
        <v>27</v>
      </c>
      <c r="J1722" s="1">
        <f t="shared" si="402"/>
        <v>27</v>
      </c>
      <c r="K1722" s="3">
        <f t="shared" si="403"/>
        <v>24</v>
      </c>
      <c r="L1722" s="3">
        <f t="shared" si="404"/>
        <v>8</v>
      </c>
      <c r="M1722" s="3">
        <f t="shared" si="405"/>
        <v>24</v>
      </c>
      <c r="N1722" s="3" t="str">
        <f t="shared" si="414"/>
        <v>08</v>
      </c>
      <c r="O1722" s="14">
        <f t="shared" si="414"/>
        <v>24</v>
      </c>
      <c r="P1722" s="132">
        <v>90000</v>
      </c>
      <c r="R1722" s="6">
        <v>528</v>
      </c>
      <c r="S1722" s="5">
        <f t="shared" si="413"/>
        <v>170.45454545454547</v>
      </c>
      <c r="T1722" s="3" t="s">
        <v>650</v>
      </c>
      <c r="U1722" s="3" t="s">
        <v>1</v>
      </c>
      <c r="V1722" s="3" t="s">
        <v>5</v>
      </c>
    </row>
    <row r="1723" spans="1:22">
      <c r="A1723" s="3">
        <v>1707</v>
      </c>
      <c r="B1723" s="1">
        <f t="shared" si="408"/>
        <v>0</v>
      </c>
      <c r="C1723" s="1">
        <f t="shared" si="409"/>
        <v>0</v>
      </c>
      <c r="D1723" s="1">
        <f t="shared" si="410"/>
        <v>0</v>
      </c>
      <c r="E1723" s="1">
        <f t="shared" si="415"/>
        <v>0</v>
      </c>
      <c r="F1723" s="1">
        <f t="shared" si="415"/>
        <v>0</v>
      </c>
      <c r="G1723" s="1" t="str">
        <f t="shared" si="412"/>
        <v>24082428</v>
      </c>
      <c r="H1723" s="2">
        <v>45528</v>
      </c>
      <c r="I1723" s="36">
        <v>28</v>
      </c>
      <c r="J1723" s="1">
        <f t="shared" si="402"/>
        <v>28</v>
      </c>
      <c r="K1723" s="3">
        <f t="shared" si="403"/>
        <v>24</v>
      </c>
      <c r="L1723" s="3">
        <f t="shared" si="404"/>
        <v>8</v>
      </c>
      <c r="M1723" s="3">
        <f t="shared" si="405"/>
        <v>24</v>
      </c>
      <c r="N1723" s="3" t="str">
        <f t="shared" si="414"/>
        <v>08</v>
      </c>
      <c r="O1723" s="14">
        <f t="shared" si="414"/>
        <v>24</v>
      </c>
      <c r="P1723" s="133">
        <f>11*3*533</f>
        <v>17589</v>
      </c>
      <c r="R1723" s="6">
        <v>528</v>
      </c>
      <c r="S1723" s="5">
        <f t="shared" si="413"/>
        <v>33.3125</v>
      </c>
      <c r="T1723" s="3" t="s">
        <v>651</v>
      </c>
      <c r="U1723" s="3" t="s">
        <v>1</v>
      </c>
      <c r="V1723" s="3" t="s">
        <v>5</v>
      </c>
    </row>
    <row r="1724" spans="1:22" hidden="1">
      <c r="J1724" s="1" t="str">
        <f t="shared" si="402"/>
        <v>0</v>
      </c>
      <c r="K1724" s="3">
        <f t="shared" si="403"/>
        <v>-100</v>
      </c>
      <c r="L1724" s="3">
        <f t="shared" si="404"/>
        <v>1</v>
      </c>
      <c r="M1724" s="3">
        <f t="shared" si="405"/>
        <v>0</v>
      </c>
      <c r="N1724" s="3" t="str">
        <f t="shared" si="414"/>
        <v>01</v>
      </c>
      <c r="O1724" s="14" t="str">
        <f t="shared" si="414"/>
        <v>00</v>
      </c>
      <c r="R1724" s="6">
        <v>519</v>
      </c>
      <c r="S1724" s="5">
        <f t="shared" si="413"/>
        <v>0</v>
      </c>
    </row>
    <row r="1725" spans="1:22" hidden="1">
      <c r="J1725" s="1" t="str">
        <f t="shared" si="402"/>
        <v>0</v>
      </c>
      <c r="K1725" s="3">
        <f t="shared" si="403"/>
        <v>-100</v>
      </c>
      <c r="L1725" s="3">
        <f t="shared" si="404"/>
        <v>1</v>
      </c>
      <c r="M1725" s="3">
        <f t="shared" si="405"/>
        <v>0</v>
      </c>
      <c r="N1725" s="3" t="str">
        <f t="shared" si="414"/>
        <v>01</v>
      </c>
      <c r="O1725" s="14" t="str">
        <f t="shared" si="414"/>
        <v>00</v>
      </c>
      <c r="R1725" s="6">
        <v>519</v>
      </c>
      <c r="S1725" s="5">
        <f t="shared" si="413"/>
        <v>0</v>
      </c>
    </row>
    <row r="1726" spans="1:22" hidden="1">
      <c r="J1726" s="1" t="str">
        <f t="shared" si="402"/>
        <v>0</v>
      </c>
      <c r="K1726" s="3">
        <f t="shared" si="403"/>
        <v>-100</v>
      </c>
      <c r="L1726" s="3">
        <f t="shared" si="404"/>
        <v>1</v>
      </c>
      <c r="M1726" s="3">
        <f t="shared" si="405"/>
        <v>0</v>
      </c>
      <c r="N1726" s="3" t="str">
        <f t="shared" si="414"/>
        <v>01</v>
      </c>
      <c r="O1726" s="14" t="str">
        <f t="shared" si="414"/>
        <v>00</v>
      </c>
      <c r="R1726" s="6">
        <v>519</v>
      </c>
      <c r="S1726" s="5">
        <f t="shared" si="413"/>
        <v>0</v>
      </c>
    </row>
    <row r="1727" spans="1:22" hidden="1">
      <c r="J1727" s="1" t="str">
        <f t="shared" si="402"/>
        <v>0</v>
      </c>
      <c r="K1727" s="3">
        <f t="shared" si="403"/>
        <v>-100</v>
      </c>
      <c r="L1727" s="3">
        <f t="shared" si="404"/>
        <v>1</v>
      </c>
      <c r="M1727" s="3">
        <f t="shared" si="405"/>
        <v>0</v>
      </c>
      <c r="N1727" s="3" t="str">
        <f t="shared" si="414"/>
        <v>01</v>
      </c>
      <c r="O1727" s="14" t="str">
        <f t="shared" si="414"/>
        <v>00</v>
      </c>
      <c r="R1727" s="6">
        <v>519</v>
      </c>
      <c r="S1727" s="5">
        <f t="shared" si="413"/>
        <v>0</v>
      </c>
    </row>
    <row r="1728" spans="1:22" hidden="1">
      <c r="J1728" s="1" t="str">
        <f t="shared" si="402"/>
        <v>0</v>
      </c>
      <c r="K1728" s="3">
        <f t="shared" si="403"/>
        <v>-100</v>
      </c>
      <c r="L1728" s="3">
        <f t="shared" si="404"/>
        <v>1</v>
      </c>
      <c r="M1728" s="3">
        <f t="shared" si="405"/>
        <v>0</v>
      </c>
      <c r="N1728" s="3" t="str">
        <f t="shared" si="414"/>
        <v>01</v>
      </c>
      <c r="O1728" s="14" t="str">
        <f t="shared" si="414"/>
        <v>00</v>
      </c>
      <c r="R1728" s="6">
        <v>519</v>
      </c>
      <c r="S1728" s="5">
        <f t="shared" si="413"/>
        <v>0</v>
      </c>
    </row>
    <row r="1729" spans="1:22" hidden="1">
      <c r="J1729" s="1" t="str">
        <f t="shared" si="402"/>
        <v>0</v>
      </c>
      <c r="K1729" s="3">
        <f t="shared" si="403"/>
        <v>-100</v>
      </c>
      <c r="L1729" s="3">
        <f t="shared" si="404"/>
        <v>1</v>
      </c>
      <c r="M1729" s="3">
        <f t="shared" si="405"/>
        <v>0</v>
      </c>
      <c r="N1729" s="3" t="str">
        <f t="shared" si="414"/>
        <v>01</v>
      </c>
      <c r="O1729" s="14" t="str">
        <f t="shared" si="414"/>
        <v>00</v>
      </c>
      <c r="R1729" s="6">
        <v>519</v>
      </c>
      <c r="S1729" s="5">
        <f t="shared" si="413"/>
        <v>0</v>
      </c>
    </row>
    <row r="1730" spans="1:22" hidden="1">
      <c r="J1730" s="1" t="str">
        <f t="shared" si="402"/>
        <v>0</v>
      </c>
      <c r="K1730" s="3">
        <f t="shared" si="403"/>
        <v>-100</v>
      </c>
      <c r="L1730" s="3">
        <f t="shared" si="404"/>
        <v>1</v>
      </c>
      <c r="M1730" s="3">
        <f t="shared" si="405"/>
        <v>0</v>
      </c>
      <c r="N1730" s="3" t="str">
        <f t="shared" si="414"/>
        <v>01</v>
      </c>
      <c r="O1730" s="14" t="str">
        <f t="shared" si="414"/>
        <v>00</v>
      </c>
      <c r="R1730" s="6">
        <v>519</v>
      </c>
      <c r="S1730" s="5">
        <f t="shared" si="413"/>
        <v>0</v>
      </c>
    </row>
    <row r="1731" spans="1:22" hidden="1">
      <c r="J1731" s="1" t="str">
        <f t="shared" si="402"/>
        <v>0</v>
      </c>
      <c r="K1731" s="3">
        <f t="shared" si="403"/>
        <v>-100</v>
      </c>
      <c r="L1731" s="3">
        <f t="shared" si="404"/>
        <v>1</v>
      </c>
      <c r="M1731" s="3">
        <f t="shared" si="405"/>
        <v>0</v>
      </c>
      <c r="N1731" s="3" t="str">
        <f t="shared" si="414"/>
        <v>01</v>
      </c>
      <c r="O1731" s="14" t="str">
        <f t="shared" si="414"/>
        <v>00</v>
      </c>
    </row>
    <row r="1732" spans="1:22" hidden="1">
      <c r="J1732" s="1" t="str">
        <f t="shared" si="402"/>
        <v>0</v>
      </c>
      <c r="K1732" s="3">
        <f t="shared" si="403"/>
        <v>-100</v>
      </c>
      <c r="L1732" s="3">
        <f t="shared" si="404"/>
        <v>1</v>
      </c>
      <c r="M1732" s="3">
        <f t="shared" si="405"/>
        <v>0</v>
      </c>
      <c r="N1732" s="3" t="str">
        <f t="shared" si="414"/>
        <v>01</v>
      </c>
      <c r="O1732" s="14" t="str">
        <f t="shared" si="414"/>
        <v>00</v>
      </c>
      <c r="R1732" s="6">
        <v>517</v>
      </c>
      <c r="S1732" s="5">
        <f t="shared" ref="S1732:S1737" si="416">IFERROR(P1732/R1732,"")</f>
        <v>0</v>
      </c>
    </row>
    <row r="1733" spans="1:22" hidden="1">
      <c r="J1733" s="1" t="str">
        <f t="shared" si="402"/>
        <v>0</v>
      </c>
      <c r="K1733" s="3">
        <f t="shared" si="403"/>
        <v>-100</v>
      </c>
      <c r="L1733" s="3">
        <f t="shared" si="404"/>
        <v>1</v>
      </c>
      <c r="M1733" s="3">
        <f t="shared" si="405"/>
        <v>0</v>
      </c>
      <c r="N1733" s="3" t="str">
        <f t="shared" si="414"/>
        <v>01</v>
      </c>
      <c r="O1733" s="14" t="str">
        <f t="shared" si="414"/>
        <v>00</v>
      </c>
      <c r="R1733" s="6">
        <v>517</v>
      </c>
      <c r="S1733" s="5">
        <f t="shared" si="416"/>
        <v>0</v>
      </c>
    </row>
    <row r="1734" spans="1:22" hidden="1">
      <c r="J1734" s="1" t="str">
        <f t="shared" si="402"/>
        <v>0</v>
      </c>
      <c r="K1734" s="3">
        <f t="shared" si="403"/>
        <v>-100</v>
      </c>
      <c r="L1734" s="3">
        <f t="shared" si="404"/>
        <v>1</v>
      </c>
      <c r="M1734" s="3">
        <f t="shared" si="405"/>
        <v>0</v>
      </c>
      <c r="N1734" s="3" t="str">
        <f t="shared" si="414"/>
        <v>01</v>
      </c>
      <c r="O1734" s="14" t="str">
        <f t="shared" si="414"/>
        <v>00</v>
      </c>
      <c r="R1734" s="6">
        <v>517</v>
      </c>
      <c r="S1734" s="5">
        <f t="shared" si="416"/>
        <v>0</v>
      </c>
    </row>
    <row r="1735" spans="1:22" hidden="1">
      <c r="J1735" s="1" t="str">
        <f t="shared" si="402"/>
        <v>0</v>
      </c>
      <c r="K1735" s="3">
        <f t="shared" si="403"/>
        <v>-100</v>
      </c>
      <c r="L1735" s="3">
        <f t="shared" si="404"/>
        <v>1</v>
      </c>
      <c r="M1735" s="3">
        <f t="shared" si="405"/>
        <v>0</v>
      </c>
      <c r="N1735" s="3" t="str">
        <f t="shared" si="414"/>
        <v>01</v>
      </c>
      <c r="O1735" s="14" t="str">
        <f t="shared" si="414"/>
        <v>00</v>
      </c>
      <c r="R1735" s="6">
        <v>517</v>
      </c>
      <c r="S1735" s="5">
        <f t="shared" si="416"/>
        <v>0</v>
      </c>
    </row>
    <row r="1736" spans="1:22" hidden="1">
      <c r="J1736" s="1" t="str">
        <f t="shared" si="402"/>
        <v>0</v>
      </c>
      <c r="K1736" s="3">
        <f t="shared" si="403"/>
        <v>-100</v>
      </c>
      <c r="L1736" s="3">
        <f t="shared" si="404"/>
        <v>1</v>
      </c>
      <c r="M1736" s="3">
        <f t="shared" si="405"/>
        <v>0</v>
      </c>
      <c r="N1736" s="3" t="str">
        <f t="shared" si="414"/>
        <v>01</v>
      </c>
      <c r="O1736" s="14" t="str">
        <f t="shared" si="414"/>
        <v>00</v>
      </c>
      <c r="R1736" s="6">
        <v>517</v>
      </c>
      <c r="S1736" s="5">
        <f t="shared" si="416"/>
        <v>0</v>
      </c>
    </row>
    <row r="1737" spans="1:22" hidden="1">
      <c r="J1737" s="1" t="str">
        <f t="shared" si="402"/>
        <v>0</v>
      </c>
      <c r="K1737" s="3">
        <f t="shared" si="403"/>
        <v>-100</v>
      </c>
      <c r="L1737" s="3">
        <f t="shared" si="404"/>
        <v>1</v>
      </c>
      <c r="M1737" s="3">
        <f t="shared" si="405"/>
        <v>0</v>
      </c>
      <c r="N1737" s="3" t="str">
        <f t="shared" si="414"/>
        <v>01</v>
      </c>
      <c r="O1737" s="14" t="str">
        <f t="shared" si="414"/>
        <v>00</v>
      </c>
      <c r="S1737" s="5" t="str">
        <f t="shared" si="416"/>
        <v/>
      </c>
    </row>
    <row r="1738" spans="1:22" hidden="1"/>
    <row r="1739" spans="1:22" hidden="1">
      <c r="J1739" s="1" t="str">
        <f t="shared" ref="J1739:J1802" si="417">+IF(I1739&lt;10,_xlfn.CONCAT("0",I1739),I1739)</f>
        <v>0</v>
      </c>
      <c r="K1739" s="3">
        <f t="shared" ref="K1739:K1802" si="418">+YEAR(H1739)-2000</f>
        <v>-100</v>
      </c>
      <c r="L1739" s="3">
        <f t="shared" ref="L1739:L1802" si="419">+MONTH(H1739)</f>
        <v>1</v>
      </c>
      <c r="M1739" s="3">
        <f t="shared" ref="M1739:M1802" si="420">+DAY(H1739)</f>
        <v>0</v>
      </c>
      <c r="N1739" s="3" t="str">
        <f t="shared" ref="N1739:O1770" si="421">+IF(L1739&lt;10,_xlfn.CONCAT("0",L1739),L1739)</f>
        <v>01</v>
      </c>
      <c r="O1739" s="14" t="str">
        <f t="shared" si="421"/>
        <v>00</v>
      </c>
      <c r="R1739" s="6">
        <v>512</v>
      </c>
      <c r="S1739" s="5">
        <f>IFERROR(P1739/R1739,"")</f>
        <v>0</v>
      </c>
    </row>
    <row r="1740" spans="1:22" hidden="1">
      <c r="J1740" s="1" t="str">
        <f t="shared" si="417"/>
        <v>0</v>
      </c>
      <c r="K1740" s="3">
        <f t="shared" si="418"/>
        <v>-100</v>
      </c>
      <c r="L1740" s="3">
        <f t="shared" si="419"/>
        <v>1</v>
      </c>
      <c r="M1740" s="3">
        <f t="shared" si="420"/>
        <v>0</v>
      </c>
      <c r="N1740" s="3" t="str">
        <f t="shared" si="421"/>
        <v>01</v>
      </c>
      <c r="O1740" s="14" t="str">
        <f t="shared" si="421"/>
        <v>00</v>
      </c>
      <c r="R1740" s="6">
        <v>512</v>
      </c>
      <c r="S1740" s="5">
        <f>IFERROR(P1740/R1740,"")</f>
        <v>0</v>
      </c>
    </row>
    <row r="1741" spans="1:22" hidden="1">
      <c r="J1741" s="1" t="str">
        <f t="shared" si="417"/>
        <v>0</v>
      </c>
      <c r="K1741" s="3">
        <f t="shared" si="418"/>
        <v>-100</v>
      </c>
      <c r="L1741" s="3">
        <f t="shared" si="419"/>
        <v>1</v>
      </c>
      <c r="M1741" s="3">
        <f t="shared" si="420"/>
        <v>0</v>
      </c>
      <c r="N1741" s="3" t="str">
        <f t="shared" si="421"/>
        <v>01</v>
      </c>
      <c r="O1741" s="14" t="str">
        <f t="shared" si="421"/>
        <v>00</v>
      </c>
      <c r="R1741" s="6">
        <v>512</v>
      </c>
      <c r="S1741" s="5">
        <f>IFERROR(P1741/R1741,"")</f>
        <v>0</v>
      </c>
    </row>
    <row r="1742" spans="1:22" hidden="1">
      <c r="J1742" s="1" t="str">
        <f t="shared" si="417"/>
        <v>0</v>
      </c>
      <c r="K1742" s="3">
        <f t="shared" si="418"/>
        <v>-100</v>
      </c>
      <c r="L1742" s="3">
        <f t="shared" si="419"/>
        <v>1</v>
      </c>
      <c r="M1742" s="3">
        <f t="shared" si="420"/>
        <v>0</v>
      </c>
      <c r="N1742" s="3" t="str">
        <f t="shared" si="421"/>
        <v>01</v>
      </c>
      <c r="O1742" s="14" t="str">
        <f t="shared" si="421"/>
        <v>00</v>
      </c>
      <c r="R1742" s="6">
        <v>512</v>
      </c>
      <c r="S1742" s="5">
        <f>IFERROR(P1742/R1742,"")</f>
        <v>0</v>
      </c>
    </row>
    <row r="1743" spans="1:22">
      <c r="A1743" s="3">
        <v>1727</v>
      </c>
      <c r="B1743" s="1">
        <f t="shared" ref="B1743:B1769" si="422">IF(G1743="-",0,IF(G1742=G1743,1,0))</f>
        <v>0</v>
      </c>
      <c r="C1743" s="1">
        <f t="shared" ref="C1743:C1769" si="423">+IF(G1743="-",0,IF(I1743=I1742+1,0,(IF(I1743=1,0,1))))</f>
        <v>1</v>
      </c>
      <c r="D1743" s="1">
        <f t="shared" ref="D1743:D1769" si="424">+IF(AND(P1743="",Q1743=""),1,0)</f>
        <v>0</v>
      </c>
      <c r="E1743" s="1">
        <f t="shared" ref="E1743:F1769" si="425">IF(U1743="",1,0)</f>
        <v>0</v>
      </c>
      <c r="F1743" s="1">
        <f t="shared" si="425"/>
        <v>0</v>
      </c>
      <c r="G1743" s="1" t="str">
        <f t="shared" ref="G1743:G1769" si="426">IF(H1743=0,"-",_xlfn.CONCAT(K1743,N1743,O1743,J1743))</f>
        <v>24082705</v>
      </c>
      <c r="H1743" s="2">
        <v>45531</v>
      </c>
      <c r="I1743" s="36">
        <v>5</v>
      </c>
      <c r="J1743" s="1" t="str">
        <f t="shared" si="417"/>
        <v>05</v>
      </c>
      <c r="K1743" s="3">
        <f t="shared" si="418"/>
        <v>24</v>
      </c>
      <c r="L1743" s="3">
        <f t="shared" si="419"/>
        <v>8</v>
      </c>
      <c r="M1743" s="3">
        <f t="shared" si="420"/>
        <v>27</v>
      </c>
      <c r="N1743" s="3" t="str">
        <f t="shared" si="421"/>
        <v>08</v>
      </c>
      <c r="O1743" s="14">
        <f t="shared" si="421"/>
        <v>27</v>
      </c>
      <c r="P1743" s="4">
        <v>14606</v>
      </c>
      <c r="R1743" s="6">
        <v>512</v>
      </c>
      <c r="S1743" s="5">
        <f>IFERROR(P1743/R1743,"")</f>
        <v>28.52734375</v>
      </c>
      <c r="T1743" s="5" t="s">
        <v>784</v>
      </c>
      <c r="U1743" s="3" t="s">
        <v>29</v>
      </c>
      <c r="V1743" s="3" t="s">
        <v>5</v>
      </c>
    </row>
    <row r="1744" spans="1:22" hidden="1">
      <c r="J1744" s="1" t="str">
        <f t="shared" si="417"/>
        <v>0</v>
      </c>
      <c r="K1744" s="3">
        <f t="shared" si="418"/>
        <v>-100</v>
      </c>
      <c r="L1744" s="3">
        <f t="shared" si="419"/>
        <v>1</v>
      </c>
      <c r="M1744" s="3">
        <f t="shared" si="420"/>
        <v>0</v>
      </c>
      <c r="N1744" s="3" t="str">
        <f t="shared" si="421"/>
        <v>01</v>
      </c>
      <c r="O1744" s="14" t="str">
        <f t="shared" si="421"/>
        <v>00</v>
      </c>
    </row>
    <row r="1745" spans="1:22" hidden="1">
      <c r="J1745" s="1" t="str">
        <f t="shared" si="417"/>
        <v>0</v>
      </c>
      <c r="K1745" s="3">
        <f t="shared" si="418"/>
        <v>-100</v>
      </c>
      <c r="L1745" s="3">
        <f t="shared" si="419"/>
        <v>1</v>
      </c>
      <c r="M1745" s="3">
        <f t="shared" si="420"/>
        <v>0</v>
      </c>
      <c r="N1745" s="3" t="str">
        <f t="shared" si="421"/>
        <v>01</v>
      </c>
      <c r="O1745" s="14" t="str">
        <f t="shared" si="421"/>
        <v>00</v>
      </c>
      <c r="R1745" s="6">
        <v>512</v>
      </c>
      <c r="S1745" s="5">
        <f t="shared" ref="S1745:S1775" si="427">IFERROR(P1745/R1745,"")</f>
        <v>0</v>
      </c>
    </row>
    <row r="1746" spans="1:22" hidden="1">
      <c r="J1746" s="1" t="str">
        <f t="shared" si="417"/>
        <v>0</v>
      </c>
      <c r="K1746" s="3">
        <f t="shared" si="418"/>
        <v>-100</v>
      </c>
      <c r="L1746" s="3">
        <f t="shared" si="419"/>
        <v>1</v>
      </c>
      <c r="M1746" s="3">
        <f t="shared" si="420"/>
        <v>0</v>
      </c>
      <c r="N1746" s="3" t="str">
        <f t="shared" si="421"/>
        <v>01</v>
      </c>
      <c r="O1746" s="14" t="str">
        <f t="shared" si="421"/>
        <v>00</v>
      </c>
      <c r="R1746" s="6">
        <v>512</v>
      </c>
      <c r="S1746" s="5">
        <f t="shared" si="427"/>
        <v>0</v>
      </c>
    </row>
    <row r="1747" spans="1:22" hidden="1">
      <c r="J1747" s="1" t="str">
        <f t="shared" si="417"/>
        <v>0</v>
      </c>
      <c r="K1747" s="3">
        <f t="shared" si="418"/>
        <v>-100</v>
      </c>
      <c r="L1747" s="3">
        <f t="shared" si="419"/>
        <v>1</v>
      </c>
      <c r="M1747" s="3">
        <f t="shared" si="420"/>
        <v>0</v>
      </c>
      <c r="N1747" s="3" t="str">
        <f t="shared" si="421"/>
        <v>01</v>
      </c>
      <c r="O1747" s="14" t="str">
        <f t="shared" si="421"/>
        <v>00</v>
      </c>
      <c r="R1747" s="6">
        <v>512</v>
      </c>
      <c r="S1747" s="5">
        <f t="shared" si="427"/>
        <v>0</v>
      </c>
    </row>
    <row r="1748" spans="1:22" hidden="1">
      <c r="J1748" s="1" t="str">
        <f t="shared" si="417"/>
        <v>0</v>
      </c>
      <c r="K1748" s="3">
        <f t="shared" si="418"/>
        <v>-100</v>
      </c>
      <c r="L1748" s="3">
        <f t="shared" si="419"/>
        <v>1</v>
      </c>
      <c r="M1748" s="3">
        <f t="shared" si="420"/>
        <v>0</v>
      </c>
      <c r="N1748" s="3" t="str">
        <f t="shared" si="421"/>
        <v>01</v>
      </c>
      <c r="O1748" s="14" t="str">
        <f t="shared" si="421"/>
        <v>00</v>
      </c>
      <c r="R1748" s="6">
        <v>512</v>
      </c>
      <c r="S1748" s="5">
        <f t="shared" si="427"/>
        <v>0</v>
      </c>
    </row>
    <row r="1749" spans="1:22" hidden="1">
      <c r="J1749" s="1" t="str">
        <f t="shared" si="417"/>
        <v>0</v>
      </c>
      <c r="K1749" s="3">
        <f t="shared" si="418"/>
        <v>-100</v>
      </c>
      <c r="L1749" s="3">
        <f t="shared" si="419"/>
        <v>1</v>
      </c>
      <c r="M1749" s="3">
        <f t="shared" si="420"/>
        <v>0</v>
      </c>
      <c r="N1749" s="3" t="str">
        <f t="shared" si="421"/>
        <v>01</v>
      </c>
      <c r="O1749" s="14" t="str">
        <f t="shared" si="421"/>
        <v>00</v>
      </c>
      <c r="R1749" s="6">
        <v>512</v>
      </c>
      <c r="S1749" s="5">
        <f t="shared" si="427"/>
        <v>0</v>
      </c>
    </row>
    <row r="1750" spans="1:22" hidden="1">
      <c r="J1750" s="1" t="str">
        <f t="shared" si="417"/>
        <v>0</v>
      </c>
      <c r="K1750" s="3">
        <f t="shared" si="418"/>
        <v>-100</v>
      </c>
      <c r="L1750" s="3">
        <f t="shared" si="419"/>
        <v>1</v>
      </c>
      <c r="M1750" s="3">
        <f t="shared" si="420"/>
        <v>0</v>
      </c>
      <c r="N1750" s="3" t="str">
        <f t="shared" si="421"/>
        <v>01</v>
      </c>
      <c r="O1750" s="14" t="str">
        <f t="shared" si="421"/>
        <v>00</v>
      </c>
      <c r="R1750" s="6">
        <v>512</v>
      </c>
      <c r="S1750" s="5">
        <f t="shared" si="427"/>
        <v>0</v>
      </c>
    </row>
    <row r="1751" spans="1:22">
      <c r="A1751" s="3">
        <v>1735</v>
      </c>
      <c r="B1751" s="1">
        <f t="shared" si="422"/>
        <v>0</v>
      </c>
      <c r="C1751" s="1">
        <f t="shared" si="423"/>
        <v>1</v>
      </c>
      <c r="D1751" s="1">
        <f t="shared" si="424"/>
        <v>0</v>
      </c>
      <c r="E1751" s="1">
        <f t="shared" si="425"/>
        <v>1</v>
      </c>
      <c r="F1751" s="1">
        <f t="shared" si="425"/>
        <v>0</v>
      </c>
      <c r="G1751" s="1" t="str">
        <f t="shared" si="426"/>
        <v>24082807</v>
      </c>
      <c r="H1751" s="2">
        <v>45532</v>
      </c>
      <c r="I1751" s="36">
        <v>7</v>
      </c>
      <c r="J1751" s="1" t="str">
        <f t="shared" si="417"/>
        <v>07</v>
      </c>
      <c r="K1751" s="3">
        <f t="shared" si="418"/>
        <v>24</v>
      </c>
      <c r="L1751" s="3">
        <f t="shared" si="419"/>
        <v>8</v>
      </c>
      <c r="M1751" s="3">
        <f t="shared" si="420"/>
        <v>28</v>
      </c>
      <c r="N1751" s="3" t="str">
        <f t="shared" si="421"/>
        <v>08</v>
      </c>
      <c r="O1751" s="14">
        <f t="shared" si="421"/>
        <v>28</v>
      </c>
      <c r="P1751" s="4">
        <v>983100</v>
      </c>
      <c r="R1751" s="6">
        <v>512</v>
      </c>
      <c r="S1751" s="5">
        <f t="shared" si="427"/>
        <v>1920.1171875</v>
      </c>
      <c r="T1751" s="5" t="s">
        <v>785</v>
      </c>
      <c r="V1751" s="3" t="s">
        <v>5</v>
      </c>
    </row>
    <row r="1752" spans="1:22" hidden="1">
      <c r="J1752" s="1" t="str">
        <f t="shared" si="417"/>
        <v>0</v>
      </c>
      <c r="K1752" s="3">
        <f t="shared" si="418"/>
        <v>-100</v>
      </c>
      <c r="L1752" s="3">
        <f t="shared" si="419"/>
        <v>1</v>
      </c>
      <c r="M1752" s="3">
        <f t="shared" si="420"/>
        <v>0</v>
      </c>
      <c r="N1752" s="3" t="str">
        <f t="shared" si="421"/>
        <v>01</v>
      </c>
      <c r="O1752" s="14" t="str">
        <f t="shared" si="421"/>
        <v>00</v>
      </c>
      <c r="R1752" s="6">
        <v>512</v>
      </c>
      <c r="S1752" s="5">
        <f t="shared" si="427"/>
        <v>0</v>
      </c>
    </row>
    <row r="1753" spans="1:22" hidden="1">
      <c r="J1753" s="1" t="str">
        <f t="shared" si="417"/>
        <v>0</v>
      </c>
      <c r="K1753" s="3">
        <f t="shared" si="418"/>
        <v>-100</v>
      </c>
      <c r="L1753" s="3">
        <f t="shared" si="419"/>
        <v>1</v>
      </c>
      <c r="M1753" s="3">
        <f t="shared" si="420"/>
        <v>0</v>
      </c>
      <c r="N1753" s="3" t="str">
        <f t="shared" si="421"/>
        <v>01</v>
      </c>
      <c r="O1753" s="14" t="str">
        <f t="shared" si="421"/>
        <v>00</v>
      </c>
      <c r="R1753" s="6">
        <v>512</v>
      </c>
      <c r="S1753" s="5">
        <f t="shared" si="427"/>
        <v>0</v>
      </c>
    </row>
    <row r="1754" spans="1:22" hidden="1">
      <c r="J1754" s="1" t="str">
        <f t="shared" si="417"/>
        <v>0</v>
      </c>
      <c r="K1754" s="3">
        <f t="shared" si="418"/>
        <v>-100</v>
      </c>
      <c r="L1754" s="3">
        <f t="shared" si="419"/>
        <v>1</v>
      </c>
      <c r="M1754" s="3">
        <f t="shared" si="420"/>
        <v>0</v>
      </c>
      <c r="N1754" s="3" t="str">
        <f t="shared" si="421"/>
        <v>01</v>
      </c>
      <c r="O1754" s="14" t="str">
        <f t="shared" si="421"/>
        <v>00</v>
      </c>
      <c r="R1754" s="6">
        <v>512</v>
      </c>
      <c r="S1754" s="5">
        <f t="shared" si="427"/>
        <v>0</v>
      </c>
    </row>
    <row r="1755" spans="1:22" hidden="1">
      <c r="J1755" s="1" t="str">
        <f t="shared" si="417"/>
        <v>0</v>
      </c>
      <c r="K1755" s="3">
        <f t="shared" si="418"/>
        <v>-100</v>
      </c>
      <c r="L1755" s="3">
        <f t="shared" si="419"/>
        <v>1</v>
      </c>
      <c r="M1755" s="3">
        <f t="shared" si="420"/>
        <v>0</v>
      </c>
      <c r="N1755" s="3" t="str">
        <f t="shared" si="421"/>
        <v>01</v>
      </c>
      <c r="O1755" s="14" t="str">
        <f t="shared" si="421"/>
        <v>00</v>
      </c>
      <c r="R1755" s="6">
        <v>512</v>
      </c>
      <c r="S1755" s="5">
        <f t="shared" si="427"/>
        <v>0</v>
      </c>
    </row>
    <row r="1756" spans="1:22" hidden="1">
      <c r="J1756" s="1" t="str">
        <f t="shared" si="417"/>
        <v>0</v>
      </c>
      <c r="K1756" s="3">
        <f t="shared" si="418"/>
        <v>-100</v>
      </c>
      <c r="L1756" s="3">
        <f t="shared" si="419"/>
        <v>1</v>
      </c>
      <c r="M1756" s="3">
        <f t="shared" si="420"/>
        <v>0</v>
      </c>
      <c r="N1756" s="3" t="str">
        <f t="shared" si="421"/>
        <v>01</v>
      </c>
      <c r="O1756" s="14" t="str">
        <f t="shared" si="421"/>
        <v>00</v>
      </c>
      <c r="R1756" s="6">
        <v>512</v>
      </c>
      <c r="S1756" s="5">
        <f t="shared" si="427"/>
        <v>0</v>
      </c>
    </row>
    <row r="1757" spans="1:22" hidden="1">
      <c r="J1757" s="1" t="str">
        <f t="shared" si="417"/>
        <v>0</v>
      </c>
      <c r="K1757" s="3">
        <f t="shared" si="418"/>
        <v>-100</v>
      </c>
      <c r="L1757" s="3">
        <f t="shared" si="419"/>
        <v>1</v>
      </c>
      <c r="M1757" s="3">
        <f t="shared" si="420"/>
        <v>0</v>
      </c>
      <c r="N1757" s="3" t="str">
        <f t="shared" si="421"/>
        <v>01</v>
      </c>
      <c r="O1757" s="14" t="str">
        <f t="shared" si="421"/>
        <v>00</v>
      </c>
      <c r="R1757" s="6">
        <v>512</v>
      </c>
      <c r="S1757" s="5">
        <f t="shared" si="427"/>
        <v>0</v>
      </c>
    </row>
    <row r="1758" spans="1:22" hidden="1">
      <c r="J1758" s="1" t="str">
        <f t="shared" si="417"/>
        <v>0</v>
      </c>
      <c r="K1758" s="3">
        <f t="shared" si="418"/>
        <v>-100</v>
      </c>
      <c r="L1758" s="3">
        <f t="shared" si="419"/>
        <v>1</v>
      </c>
      <c r="M1758" s="3">
        <f t="shared" si="420"/>
        <v>0</v>
      </c>
      <c r="N1758" s="3" t="str">
        <f t="shared" si="421"/>
        <v>01</v>
      </c>
      <c r="O1758" s="14" t="str">
        <f t="shared" si="421"/>
        <v>00</v>
      </c>
      <c r="R1758" s="6">
        <v>512</v>
      </c>
      <c r="S1758" s="5">
        <f t="shared" si="427"/>
        <v>0</v>
      </c>
    </row>
    <row r="1759" spans="1:22" hidden="1">
      <c r="J1759" s="1" t="str">
        <f t="shared" si="417"/>
        <v>0</v>
      </c>
      <c r="K1759" s="3">
        <f t="shared" si="418"/>
        <v>-100</v>
      </c>
      <c r="L1759" s="3">
        <f t="shared" si="419"/>
        <v>1</v>
      </c>
      <c r="M1759" s="3">
        <f t="shared" si="420"/>
        <v>0</v>
      </c>
      <c r="N1759" s="3" t="str">
        <f t="shared" si="421"/>
        <v>01</v>
      </c>
      <c r="O1759" s="14" t="str">
        <f t="shared" si="421"/>
        <v>00</v>
      </c>
      <c r="R1759" s="6">
        <v>512</v>
      </c>
      <c r="S1759" s="5">
        <f t="shared" si="427"/>
        <v>0</v>
      </c>
      <c r="T1759" s="7"/>
    </row>
    <row r="1760" spans="1:22" hidden="1">
      <c r="J1760" s="1" t="str">
        <f t="shared" si="417"/>
        <v>0</v>
      </c>
      <c r="K1760" s="3">
        <f t="shared" si="418"/>
        <v>-100</v>
      </c>
      <c r="L1760" s="3">
        <f t="shared" si="419"/>
        <v>1</v>
      </c>
      <c r="M1760" s="3">
        <f t="shared" si="420"/>
        <v>0</v>
      </c>
      <c r="N1760" s="3" t="str">
        <f t="shared" si="421"/>
        <v>01</v>
      </c>
      <c r="O1760" s="14" t="str">
        <f t="shared" si="421"/>
        <v>00</v>
      </c>
      <c r="R1760" s="6">
        <v>512</v>
      </c>
      <c r="S1760" s="5">
        <f t="shared" si="427"/>
        <v>0</v>
      </c>
    </row>
    <row r="1761" spans="1:23" hidden="1">
      <c r="J1761" s="1" t="str">
        <f t="shared" si="417"/>
        <v>0</v>
      </c>
      <c r="K1761" s="3">
        <f t="shared" si="418"/>
        <v>-100</v>
      </c>
      <c r="L1761" s="3">
        <f t="shared" si="419"/>
        <v>1</v>
      </c>
      <c r="M1761" s="3">
        <f t="shared" si="420"/>
        <v>0</v>
      </c>
      <c r="N1761" s="3" t="str">
        <f t="shared" si="421"/>
        <v>01</v>
      </c>
      <c r="O1761" s="14" t="str">
        <f t="shared" si="421"/>
        <v>00</v>
      </c>
      <c r="R1761" s="6">
        <v>512</v>
      </c>
      <c r="S1761" s="5">
        <f t="shared" si="427"/>
        <v>0</v>
      </c>
    </row>
    <row r="1762" spans="1:23" hidden="1">
      <c r="J1762" s="1" t="str">
        <f t="shared" si="417"/>
        <v>0</v>
      </c>
      <c r="K1762" s="3">
        <f t="shared" si="418"/>
        <v>-100</v>
      </c>
      <c r="L1762" s="3">
        <f t="shared" si="419"/>
        <v>1</v>
      </c>
      <c r="M1762" s="3">
        <f t="shared" si="420"/>
        <v>0</v>
      </c>
      <c r="N1762" s="3" t="str">
        <f t="shared" si="421"/>
        <v>01</v>
      </c>
      <c r="O1762" s="14" t="str">
        <f t="shared" si="421"/>
        <v>00</v>
      </c>
      <c r="R1762" s="6">
        <v>512</v>
      </c>
      <c r="S1762" s="5">
        <f t="shared" si="427"/>
        <v>0</v>
      </c>
    </row>
    <row r="1763" spans="1:23">
      <c r="A1763" s="3">
        <v>1747</v>
      </c>
      <c r="B1763" s="1">
        <f t="shared" si="422"/>
        <v>0</v>
      </c>
      <c r="C1763" s="1">
        <f t="shared" si="423"/>
        <v>1</v>
      </c>
      <c r="D1763" s="1">
        <f t="shared" si="424"/>
        <v>0</v>
      </c>
      <c r="E1763" s="1">
        <f t="shared" si="425"/>
        <v>0</v>
      </c>
      <c r="F1763" s="1">
        <f t="shared" si="425"/>
        <v>0</v>
      </c>
      <c r="G1763" s="1" t="str">
        <f t="shared" si="426"/>
        <v>24082911</v>
      </c>
      <c r="H1763" s="2">
        <v>45533</v>
      </c>
      <c r="I1763" s="36">
        <v>11</v>
      </c>
      <c r="J1763" s="1">
        <f t="shared" si="417"/>
        <v>11</v>
      </c>
      <c r="K1763" s="3">
        <f t="shared" si="418"/>
        <v>24</v>
      </c>
      <c r="L1763" s="3">
        <f t="shared" si="419"/>
        <v>8</v>
      </c>
      <c r="M1763" s="3">
        <f t="shared" si="420"/>
        <v>29</v>
      </c>
      <c r="N1763" s="3" t="str">
        <f t="shared" si="421"/>
        <v>08</v>
      </c>
      <c r="O1763" s="14">
        <f t="shared" si="421"/>
        <v>29</v>
      </c>
      <c r="P1763" s="4">
        <v>38305.410000000003</v>
      </c>
      <c r="R1763" s="6">
        <v>512</v>
      </c>
      <c r="S1763" s="5">
        <f t="shared" si="427"/>
        <v>74.815253906250007</v>
      </c>
      <c r="T1763" s="5" t="s">
        <v>827</v>
      </c>
      <c r="U1763" s="3" t="s">
        <v>29</v>
      </c>
      <c r="V1763" s="3" t="s">
        <v>5</v>
      </c>
    </row>
    <row r="1764" spans="1:23" hidden="1">
      <c r="J1764" s="1" t="str">
        <f t="shared" si="417"/>
        <v>0</v>
      </c>
      <c r="K1764" s="3">
        <f t="shared" si="418"/>
        <v>-100</v>
      </c>
      <c r="L1764" s="3">
        <f t="shared" si="419"/>
        <v>1</v>
      </c>
      <c r="M1764" s="3">
        <f t="shared" si="420"/>
        <v>0</v>
      </c>
      <c r="N1764" s="3" t="str">
        <f t="shared" si="421"/>
        <v>01</v>
      </c>
      <c r="O1764" s="14" t="str">
        <f t="shared" si="421"/>
        <v>00</v>
      </c>
      <c r="R1764" s="6">
        <v>513</v>
      </c>
      <c r="S1764" s="5">
        <f t="shared" si="427"/>
        <v>0</v>
      </c>
    </row>
    <row r="1765" spans="1:23" hidden="1">
      <c r="J1765" s="1" t="str">
        <f t="shared" si="417"/>
        <v>0</v>
      </c>
      <c r="K1765" s="3">
        <f t="shared" si="418"/>
        <v>-100</v>
      </c>
      <c r="L1765" s="3">
        <f t="shared" si="419"/>
        <v>1</v>
      </c>
      <c r="M1765" s="3">
        <f t="shared" si="420"/>
        <v>0</v>
      </c>
      <c r="N1765" s="3" t="str">
        <f t="shared" si="421"/>
        <v>01</v>
      </c>
      <c r="O1765" s="14" t="str">
        <f t="shared" si="421"/>
        <v>00</v>
      </c>
      <c r="R1765" s="6">
        <v>513</v>
      </c>
      <c r="S1765" s="5">
        <f t="shared" si="427"/>
        <v>0</v>
      </c>
    </row>
    <row r="1766" spans="1:23">
      <c r="A1766" s="3">
        <v>1750</v>
      </c>
      <c r="B1766" s="1">
        <f t="shared" si="422"/>
        <v>0</v>
      </c>
      <c r="C1766" s="1">
        <f t="shared" si="423"/>
        <v>1</v>
      </c>
      <c r="D1766" s="1">
        <f t="shared" si="424"/>
        <v>0</v>
      </c>
      <c r="E1766" s="1">
        <f t="shared" si="425"/>
        <v>0</v>
      </c>
      <c r="F1766" s="1">
        <f t="shared" si="425"/>
        <v>0</v>
      </c>
      <c r="G1766" s="1" t="str">
        <f t="shared" si="426"/>
        <v>24083003</v>
      </c>
      <c r="H1766" s="2">
        <v>45534</v>
      </c>
      <c r="I1766" s="36">
        <v>3</v>
      </c>
      <c r="J1766" s="1" t="str">
        <f t="shared" si="417"/>
        <v>03</v>
      </c>
      <c r="K1766" s="3">
        <f t="shared" si="418"/>
        <v>24</v>
      </c>
      <c r="L1766" s="3">
        <f t="shared" si="419"/>
        <v>8</v>
      </c>
      <c r="M1766" s="3">
        <f t="shared" si="420"/>
        <v>30</v>
      </c>
      <c r="N1766" s="3" t="str">
        <f t="shared" si="421"/>
        <v>08</v>
      </c>
      <c r="O1766" s="14">
        <f t="shared" si="421"/>
        <v>30</v>
      </c>
      <c r="P1766" s="4">
        <v>200000</v>
      </c>
      <c r="R1766" s="6">
        <v>513</v>
      </c>
      <c r="S1766" s="5">
        <f t="shared" si="427"/>
        <v>389.8635477582846</v>
      </c>
      <c r="T1766" s="5" t="s">
        <v>679</v>
      </c>
      <c r="U1766" s="3" t="s">
        <v>2</v>
      </c>
      <c r="V1766" s="3" t="s">
        <v>5</v>
      </c>
    </row>
    <row r="1767" spans="1:23" hidden="1">
      <c r="J1767" s="1" t="str">
        <f t="shared" si="417"/>
        <v>0</v>
      </c>
      <c r="K1767" s="3">
        <f t="shared" si="418"/>
        <v>-100</v>
      </c>
      <c r="L1767" s="3">
        <f t="shared" si="419"/>
        <v>1</v>
      </c>
      <c r="M1767" s="3">
        <f t="shared" si="420"/>
        <v>0</v>
      </c>
      <c r="N1767" s="3" t="str">
        <f t="shared" si="421"/>
        <v>01</v>
      </c>
      <c r="O1767" s="14" t="str">
        <f t="shared" si="421"/>
        <v>00</v>
      </c>
      <c r="R1767" s="6">
        <v>513</v>
      </c>
      <c r="S1767" s="5">
        <f t="shared" si="427"/>
        <v>0</v>
      </c>
    </row>
    <row r="1768" spans="1:23" s="97" customFormat="1" hidden="1">
      <c r="A1768" s="3"/>
      <c r="B1768" s="1"/>
      <c r="C1768" s="1"/>
      <c r="D1768" s="1"/>
      <c r="E1768" s="1"/>
      <c r="F1768" s="1"/>
      <c r="G1768" s="1"/>
      <c r="H1768" s="2"/>
      <c r="I1768" s="36"/>
      <c r="J1768" s="1" t="str">
        <f t="shared" si="417"/>
        <v>0</v>
      </c>
      <c r="K1768" s="3">
        <f t="shared" si="418"/>
        <v>-100</v>
      </c>
      <c r="L1768" s="3">
        <f t="shared" si="419"/>
        <v>1</v>
      </c>
      <c r="M1768" s="3">
        <f t="shared" si="420"/>
        <v>0</v>
      </c>
      <c r="N1768" s="3" t="str">
        <f t="shared" si="421"/>
        <v>01</v>
      </c>
      <c r="O1768" s="14" t="str">
        <f t="shared" si="421"/>
        <v>00</v>
      </c>
      <c r="P1768" s="4"/>
      <c r="Q1768" s="5"/>
      <c r="R1768" s="6">
        <v>513</v>
      </c>
      <c r="S1768" s="5">
        <f t="shared" si="427"/>
        <v>0</v>
      </c>
      <c r="T1768" s="5"/>
      <c r="U1768" s="3"/>
      <c r="V1768" s="3"/>
      <c r="W1768" s="3"/>
    </row>
    <row r="1769" spans="1:23" s="97" customFormat="1">
      <c r="A1769" s="3">
        <v>1753</v>
      </c>
      <c r="B1769" s="1">
        <f t="shared" si="422"/>
        <v>0</v>
      </c>
      <c r="C1769" s="1">
        <f t="shared" si="423"/>
        <v>1</v>
      </c>
      <c r="D1769" s="1">
        <f t="shared" si="424"/>
        <v>0</v>
      </c>
      <c r="E1769" s="1">
        <f t="shared" si="425"/>
        <v>0</v>
      </c>
      <c r="F1769" s="1">
        <f t="shared" si="425"/>
        <v>0</v>
      </c>
      <c r="G1769" s="1" t="str">
        <f t="shared" si="426"/>
        <v>24083006</v>
      </c>
      <c r="H1769" s="2">
        <v>45534</v>
      </c>
      <c r="I1769" s="36">
        <v>6</v>
      </c>
      <c r="J1769" s="1" t="str">
        <f t="shared" si="417"/>
        <v>06</v>
      </c>
      <c r="K1769" s="3">
        <f t="shared" si="418"/>
        <v>24</v>
      </c>
      <c r="L1769" s="3">
        <f t="shared" si="419"/>
        <v>8</v>
      </c>
      <c r="M1769" s="3">
        <f t="shared" si="420"/>
        <v>30</v>
      </c>
      <c r="N1769" s="3" t="str">
        <f t="shared" si="421"/>
        <v>08</v>
      </c>
      <c r="O1769" s="14">
        <f t="shared" si="421"/>
        <v>30</v>
      </c>
      <c r="P1769" s="4">
        <v>546033.98</v>
      </c>
      <c r="Q1769" s="5"/>
      <c r="R1769" s="6">
        <v>513</v>
      </c>
      <c r="S1769" s="5">
        <f t="shared" si="427"/>
        <v>1064.393723196881</v>
      </c>
      <c r="T1769" s="5" t="s">
        <v>1200</v>
      </c>
      <c r="U1769" s="3" t="s">
        <v>2</v>
      </c>
      <c r="V1769" s="3" t="s">
        <v>5</v>
      </c>
      <c r="W1769" s="3"/>
    </row>
    <row r="1770" spans="1:23" hidden="1">
      <c r="J1770" s="1" t="str">
        <f t="shared" si="417"/>
        <v>0</v>
      </c>
      <c r="K1770" s="3">
        <f t="shared" si="418"/>
        <v>-100</v>
      </c>
      <c r="L1770" s="3">
        <f t="shared" si="419"/>
        <v>1</v>
      </c>
      <c r="M1770" s="3">
        <f t="shared" si="420"/>
        <v>0</v>
      </c>
      <c r="N1770" s="3" t="str">
        <f t="shared" si="421"/>
        <v>01</v>
      </c>
      <c r="O1770" s="14" t="str">
        <f t="shared" si="421"/>
        <v>00</v>
      </c>
      <c r="R1770" s="6">
        <v>513</v>
      </c>
      <c r="S1770" s="5">
        <f t="shared" si="427"/>
        <v>0</v>
      </c>
    </row>
    <row r="1771" spans="1:23" hidden="1">
      <c r="J1771" s="1" t="str">
        <f t="shared" si="417"/>
        <v>0</v>
      </c>
      <c r="K1771" s="3">
        <f t="shared" si="418"/>
        <v>-100</v>
      </c>
      <c r="L1771" s="3">
        <f t="shared" si="419"/>
        <v>1</v>
      </c>
      <c r="M1771" s="3">
        <f t="shared" si="420"/>
        <v>0</v>
      </c>
      <c r="N1771" s="3" t="str">
        <f t="shared" ref="N1771:O1807" si="428">+IF(L1771&lt;10,_xlfn.CONCAT("0",L1771),L1771)</f>
        <v>01</v>
      </c>
      <c r="O1771" s="14" t="str">
        <f t="shared" si="428"/>
        <v>00</v>
      </c>
      <c r="R1771" s="6">
        <v>513</v>
      </c>
      <c r="S1771" s="5">
        <f t="shared" si="427"/>
        <v>0</v>
      </c>
    </row>
    <row r="1772" spans="1:23" hidden="1">
      <c r="J1772" s="1" t="str">
        <f t="shared" si="417"/>
        <v>0</v>
      </c>
      <c r="K1772" s="3">
        <f t="shared" si="418"/>
        <v>-100</v>
      </c>
      <c r="L1772" s="3">
        <f t="shared" si="419"/>
        <v>1</v>
      </c>
      <c r="M1772" s="3">
        <f t="shared" si="420"/>
        <v>0</v>
      </c>
      <c r="N1772" s="3" t="str">
        <f t="shared" si="428"/>
        <v>01</v>
      </c>
      <c r="O1772" s="14" t="str">
        <f t="shared" si="428"/>
        <v>00</v>
      </c>
      <c r="R1772" s="6">
        <v>513</v>
      </c>
      <c r="S1772" s="5">
        <f t="shared" si="427"/>
        <v>0</v>
      </c>
    </row>
    <row r="1773" spans="1:23" hidden="1">
      <c r="J1773" s="1" t="str">
        <f t="shared" si="417"/>
        <v>0</v>
      </c>
      <c r="K1773" s="3">
        <f t="shared" si="418"/>
        <v>-100</v>
      </c>
      <c r="L1773" s="3">
        <f t="shared" si="419"/>
        <v>1</v>
      </c>
      <c r="M1773" s="3">
        <f t="shared" si="420"/>
        <v>0</v>
      </c>
      <c r="N1773" s="3" t="str">
        <f t="shared" si="428"/>
        <v>01</v>
      </c>
      <c r="O1773" s="14" t="str">
        <f t="shared" si="428"/>
        <v>00</v>
      </c>
      <c r="R1773" s="6">
        <v>513</v>
      </c>
      <c r="S1773" s="5">
        <f t="shared" si="427"/>
        <v>0</v>
      </c>
    </row>
    <row r="1774" spans="1:23" hidden="1">
      <c r="J1774" s="1" t="str">
        <f t="shared" si="417"/>
        <v>0</v>
      </c>
      <c r="K1774" s="3">
        <f t="shared" si="418"/>
        <v>-100</v>
      </c>
      <c r="L1774" s="3">
        <f t="shared" si="419"/>
        <v>1</v>
      </c>
      <c r="M1774" s="3">
        <f t="shared" si="420"/>
        <v>0</v>
      </c>
      <c r="N1774" s="3" t="str">
        <f t="shared" si="428"/>
        <v>01</v>
      </c>
      <c r="O1774" s="14" t="str">
        <f t="shared" si="428"/>
        <v>00</v>
      </c>
      <c r="R1774" s="6">
        <v>513</v>
      </c>
      <c r="S1774" s="5">
        <f t="shared" si="427"/>
        <v>0</v>
      </c>
    </row>
    <row r="1775" spans="1:23" hidden="1">
      <c r="G1775" s="98"/>
      <c r="H1775" s="99"/>
      <c r="J1775" s="98" t="str">
        <f t="shared" si="417"/>
        <v>0</v>
      </c>
      <c r="K1775" s="97">
        <f t="shared" si="418"/>
        <v>-100</v>
      </c>
      <c r="L1775" s="97">
        <f t="shared" si="419"/>
        <v>1</v>
      </c>
      <c r="M1775" s="97">
        <f t="shared" si="420"/>
        <v>0</v>
      </c>
      <c r="N1775" s="97" t="str">
        <f t="shared" si="428"/>
        <v>01</v>
      </c>
      <c r="O1775" s="100" t="str">
        <f t="shared" si="428"/>
        <v>00</v>
      </c>
      <c r="P1775" s="101"/>
      <c r="Q1775" s="102"/>
      <c r="R1775" s="103">
        <v>512</v>
      </c>
      <c r="S1775" s="102">
        <f t="shared" si="427"/>
        <v>0</v>
      </c>
      <c r="T1775" s="102"/>
      <c r="U1775" s="97"/>
      <c r="V1775" s="97"/>
      <c r="W1775" s="97"/>
    </row>
    <row r="1776" spans="1:23" hidden="1">
      <c r="J1776" s="1" t="str">
        <f t="shared" si="417"/>
        <v>0</v>
      </c>
      <c r="K1776" s="3">
        <f t="shared" si="418"/>
        <v>-100</v>
      </c>
      <c r="L1776" s="3">
        <f t="shared" si="419"/>
        <v>1</v>
      </c>
      <c r="M1776" s="3">
        <f t="shared" si="420"/>
        <v>0</v>
      </c>
      <c r="N1776" s="3" t="str">
        <f t="shared" si="428"/>
        <v>01</v>
      </c>
      <c r="O1776" s="14" t="str">
        <f t="shared" si="428"/>
        <v>00</v>
      </c>
    </row>
    <row r="1777" spans="1:23" hidden="1">
      <c r="G1777" s="98"/>
      <c r="H1777" s="99"/>
      <c r="J1777" s="98" t="str">
        <f t="shared" si="417"/>
        <v>0</v>
      </c>
      <c r="K1777" s="97">
        <f t="shared" si="418"/>
        <v>-100</v>
      </c>
      <c r="L1777" s="97">
        <f t="shared" si="419"/>
        <v>1</v>
      </c>
      <c r="M1777" s="97">
        <f t="shared" si="420"/>
        <v>0</v>
      </c>
      <c r="N1777" s="97" t="str">
        <f t="shared" si="428"/>
        <v>01</v>
      </c>
      <c r="O1777" s="100" t="str">
        <f t="shared" si="428"/>
        <v>00</v>
      </c>
      <c r="P1777" s="101"/>
      <c r="Q1777" s="102"/>
      <c r="R1777" s="103"/>
      <c r="S1777" s="102"/>
      <c r="T1777" s="102"/>
      <c r="U1777" s="97"/>
      <c r="V1777" s="97"/>
      <c r="W1777" s="97"/>
    </row>
    <row r="1778" spans="1:23" hidden="1">
      <c r="J1778" s="1" t="str">
        <f t="shared" si="417"/>
        <v>0</v>
      </c>
      <c r="K1778" s="3">
        <f t="shared" si="418"/>
        <v>-100</v>
      </c>
      <c r="L1778" s="3">
        <f t="shared" si="419"/>
        <v>1</v>
      </c>
      <c r="M1778" s="3">
        <f t="shared" si="420"/>
        <v>0</v>
      </c>
      <c r="N1778" s="3" t="str">
        <f t="shared" si="428"/>
        <v>01</v>
      </c>
      <c r="O1778" s="14" t="str">
        <f t="shared" si="428"/>
        <v>00</v>
      </c>
      <c r="R1778" s="6">
        <v>513</v>
      </c>
      <c r="S1778" s="5">
        <f t="shared" ref="S1778:S1807" si="429">IFERROR(P1778/R1778,"")</f>
        <v>0</v>
      </c>
    </row>
    <row r="1779" spans="1:23" hidden="1">
      <c r="J1779" s="1" t="str">
        <f t="shared" si="417"/>
        <v>0</v>
      </c>
      <c r="K1779" s="3">
        <f t="shared" si="418"/>
        <v>-100</v>
      </c>
      <c r="L1779" s="3">
        <f t="shared" si="419"/>
        <v>1</v>
      </c>
      <c r="M1779" s="3">
        <f t="shared" si="420"/>
        <v>0</v>
      </c>
      <c r="N1779" s="3" t="str">
        <f t="shared" si="428"/>
        <v>01</v>
      </c>
      <c r="O1779" s="14" t="str">
        <f t="shared" si="428"/>
        <v>00</v>
      </c>
      <c r="R1779" s="6">
        <v>513</v>
      </c>
      <c r="S1779" s="5">
        <f t="shared" si="429"/>
        <v>0</v>
      </c>
    </row>
    <row r="1780" spans="1:23" hidden="1">
      <c r="J1780" s="1" t="str">
        <f t="shared" si="417"/>
        <v>0</v>
      </c>
      <c r="K1780" s="3">
        <f t="shared" si="418"/>
        <v>-100</v>
      </c>
      <c r="L1780" s="3">
        <f t="shared" si="419"/>
        <v>1</v>
      </c>
      <c r="M1780" s="3">
        <f t="shared" si="420"/>
        <v>0</v>
      </c>
      <c r="N1780" s="3" t="str">
        <f t="shared" si="428"/>
        <v>01</v>
      </c>
      <c r="O1780" s="14" t="str">
        <f t="shared" si="428"/>
        <v>00</v>
      </c>
      <c r="P1780" s="132"/>
      <c r="R1780" s="6">
        <v>513</v>
      </c>
      <c r="S1780" s="5">
        <f t="shared" si="429"/>
        <v>0</v>
      </c>
      <c r="T1780" s="3"/>
    </row>
    <row r="1781" spans="1:23">
      <c r="A1781" s="3">
        <v>1766</v>
      </c>
      <c r="B1781" s="1">
        <f t="shared" ref="B1781:B1800" si="430">IF(G1781="-",0,IF(G1780=G1781,1,0))</f>
        <v>0</v>
      </c>
      <c r="C1781" s="1">
        <f t="shared" ref="C1781:C1800" si="431">+IF(G1781="-",0,IF(I1781=I1780+1,0,(IF(I1781=1,0,1))))</f>
        <v>1</v>
      </c>
      <c r="D1781" s="1">
        <f t="shared" ref="D1781:D1800" si="432">+IF(AND(P1781="",Q1781=""),1,0)</f>
        <v>0</v>
      </c>
      <c r="E1781" s="1">
        <f t="shared" ref="E1781:F1800" si="433">IF(U1781="",1,0)</f>
        <v>0</v>
      </c>
      <c r="F1781" s="1">
        <f t="shared" si="433"/>
        <v>0</v>
      </c>
      <c r="G1781" s="1" t="str">
        <f t="shared" ref="G1781:G1800" si="434">IF(H1781=0,"-",_xlfn.CONCAT(K1781,N1781,O1781,J1781))</f>
        <v>24083103</v>
      </c>
      <c r="H1781" s="2">
        <v>45535</v>
      </c>
      <c r="I1781" s="36">
        <v>3</v>
      </c>
      <c r="J1781" s="1" t="str">
        <f t="shared" si="417"/>
        <v>03</v>
      </c>
      <c r="K1781" s="3">
        <f t="shared" si="418"/>
        <v>24</v>
      </c>
      <c r="L1781" s="3">
        <f t="shared" si="419"/>
        <v>8</v>
      </c>
      <c r="M1781" s="3">
        <f t="shared" si="420"/>
        <v>31</v>
      </c>
      <c r="N1781" s="3" t="str">
        <f t="shared" si="428"/>
        <v>08</v>
      </c>
      <c r="O1781" s="14">
        <f t="shared" si="428"/>
        <v>31</v>
      </c>
      <c r="P1781" s="132">
        <v>102000</v>
      </c>
      <c r="R1781" s="6">
        <v>513</v>
      </c>
      <c r="S1781" s="5">
        <f t="shared" si="429"/>
        <v>198.83040935672514</v>
      </c>
      <c r="T1781" s="28" t="s">
        <v>655</v>
      </c>
      <c r="U1781" s="3" t="s">
        <v>1</v>
      </c>
      <c r="V1781" s="3" t="s">
        <v>5</v>
      </c>
    </row>
    <row r="1782" spans="1:23">
      <c r="A1782" s="3">
        <v>1767</v>
      </c>
      <c r="B1782" s="1">
        <f t="shared" si="430"/>
        <v>0</v>
      </c>
      <c r="C1782" s="1">
        <f t="shared" si="431"/>
        <v>0</v>
      </c>
      <c r="D1782" s="1">
        <f t="shared" si="432"/>
        <v>0</v>
      </c>
      <c r="E1782" s="1">
        <f t="shared" si="433"/>
        <v>0</v>
      </c>
      <c r="F1782" s="1">
        <f t="shared" si="433"/>
        <v>0</v>
      </c>
      <c r="G1782" s="1" t="str">
        <f t="shared" si="434"/>
        <v>24083104</v>
      </c>
      <c r="H1782" s="2">
        <v>45535</v>
      </c>
      <c r="I1782" s="36">
        <v>4</v>
      </c>
      <c r="J1782" s="1" t="str">
        <f t="shared" si="417"/>
        <v>04</v>
      </c>
      <c r="K1782" s="3">
        <f t="shared" si="418"/>
        <v>24</v>
      </c>
      <c r="L1782" s="3">
        <f t="shared" si="419"/>
        <v>8</v>
      </c>
      <c r="M1782" s="3">
        <f t="shared" si="420"/>
        <v>31</v>
      </c>
      <c r="N1782" s="3" t="str">
        <f t="shared" si="428"/>
        <v>08</v>
      </c>
      <c r="O1782" s="14">
        <f t="shared" si="428"/>
        <v>31</v>
      </c>
      <c r="P1782" s="132">
        <v>150000</v>
      </c>
      <c r="R1782" s="6">
        <v>513</v>
      </c>
      <c r="S1782" s="5">
        <f t="shared" si="429"/>
        <v>292.39766081871346</v>
      </c>
      <c r="T1782" s="28" t="s">
        <v>656</v>
      </c>
      <c r="U1782" s="3" t="s">
        <v>1</v>
      </c>
      <c r="V1782" s="3" t="s">
        <v>5</v>
      </c>
    </row>
    <row r="1783" spans="1:23">
      <c r="A1783" s="3">
        <v>1768</v>
      </c>
      <c r="B1783" s="1">
        <f t="shared" si="430"/>
        <v>0</v>
      </c>
      <c r="C1783" s="1">
        <f t="shared" si="431"/>
        <v>0</v>
      </c>
      <c r="D1783" s="1">
        <f t="shared" si="432"/>
        <v>0</v>
      </c>
      <c r="E1783" s="1">
        <f t="shared" si="433"/>
        <v>0</v>
      </c>
      <c r="F1783" s="1">
        <f t="shared" si="433"/>
        <v>0</v>
      </c>
      <c r="G1783" s="1" t="str">
        <f t="shared" si="434"/>
        <v>24083105</v>
      </c>
      <c r="H1783" s="2">
        <v>45535</v>
      </c>
      <c r="I1783" s="36">
        <v>5</v>
      </c>
      <c r="J1783" s="1" t="str">
        <f t="shared" si="417"/>
        <v>05</v>
      </c>
      <c r="K1783" s="3">
        <f t="shared" si="418"/>
        <v>24</v>
      </c>
      <c r="L1783" s="3">
        <f t="shared" si="419"/>
        <v>8</v>
      </c>
      <c r="M1783" s="3">
        <f t="shared" si="420"/>
        <v>31</v>
      </c>
      <c r="N1783" s="3" t="str">
        <f t="shared" si="428"/>
        <v>08</v>
      </c>
      <c r="O1783" s="14">
        <f t="shared" si="428"/>
        <v>31</v>
      </c>
      <c r="P1783" s="132">
        <v>102000</v>
      </c>
      <c r="R1783" s="6">
        <v>513</v>
      </c>
      <c r="S1783" s="5">
        <f t="shared" si="429"/>
        <v>198.83040935672514</v>
      </c>
      <c r="T1783" s="28" t="s">
        <v>657</v>
      </c>
      <c r="U1783" s="3" t="s">
        <v>1</v>
      </c>
      <c r="V1783" s="3" t="s">
        <v>5</v>
      </c>
    </row>
    <row r="1784" spans="1:23">
      <c r="A1784" s="3">
        <v>1769</v>
      </c>
      <c r="B1784" s="1">
        <f t="shared" si="430"/>
        <v>0</v>
      </c>
      <c r="C1784" s="1">
        <f t="shared" si="431"/>
        <v>0</v>
      </c>
      <c r="D1784" s="1">
        <f t="shared" si="432"/>
        <v>0</v>
      </c>
      <c r="E1784" s="1">
        <f t="shared" si="433"/>
        <v>0</v>
      </c>
      <c r="F1784" s="1">
        <f t="shared" si="433"/>
        <v>0</v>
      </c>
      <c r="G1784" s="1" t="str">
        <f t="shared" si="434"/>
        <v>24083106</v>
      </c>
      <c r="H1784" s="2">
        <v>45535</v>
      </c>
      <c r="I1784" s="36">
        <v>6</v>
      </c>
      <c r="J1784" s="1" t="str">
        <f t="shared" si="417"/>
        <v>06</v>
      </c>
      <c r="K1784" s="3">
        <f t="shared" si="418"/>
        <v>24</v>
      </c>
      <c r="L1784" s="3">
        <f t="shared" si="419"/>
        <v>8</v>
      </c>
      <c r="M1784" s="3">
        <f t="shared" si="420"/>
        <v>31</v>
      </c>
      <c r="N1784" s="3" t="str">
        <f t="shared" si="428"/>
        <v>08</v>
      </c>
      <c r="O1784" s="14">
        <f t="shared" si="428"/>
        <v>31</v>
      </c>
      <c r="P1784" s="132">
        <v>150000</v>
      </c>
      <c r="R1784" s="6">
        <v>513</v>
      </c>
      <c r="S1784" s="5">
        <f t="shared" si="429"/>
        <v>292.39766081871346</v>
      </c>
      <c r="T1784" s="28" t="s">
        <v>577</v>
      </c>
      <c r="U1784" s="3" t="s">
        <v>1</v>
      </c>
      <c r="V1784" s="3" t="s">
        <v>5</v>
      </c>
    </row>
    <row r="1785" spans="1:23" hidden="1">
      <c r="J1785" s="1" t="str">
        <f t="shared" si="417"/>
        <v>0</v>
      </c>
      <c r="K1785" s="3">
        <f t="shared" si="418"/>
        <v>-100</v>
      </c>
      <c r="L1785" s="3">
        <f t="shared" si="419"/>
        <v>1</v>
      </c>
      <c r="M1785" s="3">
        <f t="shared" si="420"/>
        <v>0</v>
      </c>
      <c r="N1785" s="3" t="str">
        <f t="shared" si="428"/>
        <v>01</v>
      </c>
      <c r="O1785" s="14" t="str">
        <f t="shared" si="428"/>
        <v>00</v>
      </c>
      <c r="P1785" s="132"/>
      <c r="R1785" s="6">
        <v>513</v>
      </c>
      <c r="S1785" s="5">
        <f t="shared" si="429"/>
        <v>0</v>
      </c>
      <c r="T1785" s="28"/>
    </row>
    <row r="1786" spans="1:23" hidden="1">
      <c r="J1786" s="1" t="str">
        <f t="shared" si="417"/>
        <v>0</v>
      </c>
      <c r="K1786" s="3">
        <f t="shared" si="418"/>
        <v>-100</v>
      </c>
      <c r="L1786" s="3">
        <f t="shared" si="419"/>
        <v>1</v>
      </c>
      <c r="M1786" s="3">
        <f t="shared" si="420"/>
        <v>0</v>
      </c>
      <c r="N1786" s="3" t="str">
        <f t="shared" si="428"/>
        <v>01</v>
      </c>
      <c r="O1786" s="14" t="str">
        <f t="shared" si="428"/>
        <v>00</v>
      </c>
      <c r="P1786" s="132"/>
      <c r="R1786" s="6">
        <v>513</v>
      </c>
      <c r="S1786" s="5">
        <f t="shared" si="429"/>
        <v>0</v>
      </c>
      <c r="T1786" s="28"/>
    </row>
    <row r="1787" spans="1:23" hidden="1">
      <c r="J1787" s="1" t="str">
        <f t="shared" si="417"/>
        <v>0</v>
      </c>
      <c r="K1787" s="3">
        <f t="shared" si="418"/>
        <v>-100</v>
      </c>
      <c r="L1787" s="3">
        <f t="shared" si="419"/>
        <v>1</v>
      </c>
      <c r="M1787" s="3">
        <f t="shared" si="420"/>
        <v>0</v>
      </c>
      <c r="N1787" s="3" t="str">
        <f t="shared" si="428"/>
        <v>01</v>
      </c>
      <c r="O1787" s="14" t="str">
        <f t="shared" si="428"/>
        <v>00</v>
      </c>
      <c r="P1787" s="132"/>
      <c r="R1787" s="6">
        <v>513</v>
      </c>
      <c r="S1787" s="5">
        <f t="shared" si="429"/>
        <v>0</v>
      </c>
      <c r="T1787" s="28"/>
    </row>
    <row r="1788" spans="1:23" hidden="1">
      <c r="J1788" s="1" t="str">
        <f t="shared" si="417"/>
        <v>0</v>
      </c>
      <c r="K1788" s="3">
        <f t="shared" si="418"/>
        <v>-100</v>
      </c>
      <c r="L1788" s="3">
        <f t="shared" si="419"/>
        <v>1</v>
      </c>
      <c r="M1788" s="3">
        <f t="shared" si="420"/>
        <v>0</v>
      </c>
      <c r="N1788" s="3" t="str">
        <f t="shared" si="428"/>
        <v>01</v>
      </c>
      <c r="O1788" s="14" t="str">
        <f t="shared" si="428"/>
        <v>00</v>
      </c>
      <c r="P1788" s="132"/>
      <c r="R1788" s="6">
        <v>513</v>
      </c>
      <c r="S1788" s="5">
        <f t="shared" si="429"/>
        <v>0</v>
      </c>
      <c r="T1788" s="28"/>
    </row>
    <row r="1789" spans="1:23">
      <c r="A1789" s="3">
        <v>1774</v>
      </c>
      <c r="B1789" s="1">
        <f t="shared" si="430"/>
        <v>0</v>
      </c>
      <c r="C1789" s="1">
        <f t="shared" si="431"/>
        <v>1</v>
      </c>
      <c r="D1789" s="1">
        <f t="shared" si="432"/>
        <v>0</v>
      </c>
      <c r="E1789" s="1">
        <f t="shared" si="433"/>
        <v>0</v>
      </c>
      <c r="F1789" s="1">
        <f t="shared" si="433"/>
        <v>0</v>
      </c>
      <c r="G1789" s="1" t="str">
        <f t="shared" si="434"/>
        <v>24083111</v>
      </c>
      <c r="H1789" s="2">
        <v>45535</v>
      </c>
      <c r="I1789" s="36">
        <v>11</v>
      </c>
      <c r="J1789" s="1">
        <f t="shared" si="417"/>
        <v>11</v>
      </c>
      <c r="K1789" s="3">
        <f t="shared" si="418"/>
        <v>24</v>
      </c>
      <c r="L1789" s="3">
        <f t="shared" si="419"/>
        <v>8</v>
      </c>
      <c r="M1789" s="3">
        <f t="shared" si="420"/>
        <v>31</v>
      </c>
      <c r="N1789" s="3" t="str">
        <f t="shared" si="428"/>
        <v>08</v>
      </c>
      <c r="O1789" s="14">
        <f t="shared" si="428"/>
        <v>31</v>
      </c>
      <c r="P1789" s="132">
        <v>120000</v>
      </c>
      <c r="R1789" s="6">
        <v>513</v>
      </c>
      <c r="S1789" s="5">
        <f t="shared" si="429"/>
        <v>233.91812865497076</v>
      </c>
      <c r="T1789" s="28" t="s">
        <v>661</v>
      </c>
      <c r="U1789" s="3" t="s">
        <v>1</v>
      </c>
      <c r="V1789" s="3" t="s">
        <v>5</v>
      </c>
    </row>
    <row r="1790" spans="1:23" hidden="1">
      <c r="J1790" s="1" t="str">
        <f t="shared" si="417"/>
        <v>0</v>
      </c>
      <c r="K1790" s="3">
        <f t="shared" si="418"/>
        <v>-100</v>
      </c>
      <c r="L1790" s="3">
        <f t="shared" si="419"/>
        <v>1</v>
      </c>
      <c r="M1790" s="3">
        <f t="shared" si="420"/>
        <v>0</v>
      </c>
      <c r="N1790" s="3" t="str">
        <f t="shared" si="428"/>
        <v>01</v>
      </c>
      <c r="O1790" s="14" t="str">
        <f t="shared" si="428"/>
        <v>00</v>
      </c>
      <c r="P1790" s="132"/>
      <c r="R1790" s="6">
        <v>513</v>
      </c>
      <c r="S1790" s="5">
        <f t="shared" si="429"/>
        <v>0</v>
      </c>
      <c r="T1790" s="28"/>
    </row>
    <row r="1791" spans="1:23" hidden="1">
      <c r="J1791" s="1" t="str">
        <f t="shared" si="417"/>
        <v>0</v>
      </c>
      <c r="K1791" s="3">
        <f t="shared" si="418"/>
        <v>-100</v>
      </c>
      <c r="L1791" s="3">
        <f t="shared" si="419"/>
        <v>1</v>
      </c>
      <c r="M1791" s="3">
        <f t="shared" si="420"/>
        <v>0</v>
      </c>
      <c r="N1791" s="3" t="str">
        <f t="shared" si="428"/>
        <v>01</v>
      </c>
      <c r="O1791" s="14" t="str">
        <f t="shared" si="428"/>
        <v>00</v>
      </c>
      <c r="P1791" s="132"/>
      <c r="R1791" s="6">
        <v>513</v>
      </c>
      <c r="S1791" s="5">
        <f t="shared" si="429"/>
        <v>0</v>
      </c>
      <c r="T1791" s="28"/>
    </row>
    <row r="1792" spans="1:23" hidden="1">
      <c r="J1792" s="1" t="str">
        <f t="shared" si="417"/>
        <v>0</v>
      </c>
      <c r="K1792" s="3">
        <f t="shared" si="418"/>
        <v>-100</v>
      </c>
      <c r="L1792" s="3">
        <f t="shared" si="419"/>
        <v>1</v>
      </c>
      <c r="M1792" s="3">
        <f t="shared" si="420"/>
        <v>0</v>
      </c>
      <c r="N1792" s="3" t="str">
        <f t="shared" si="428"/>
        <v>01</v>
      </c>
      <c r="O1792" s="14" t="str">
        <f t="shared" si="428"/>
        <v>00</v>
      </c>
      <c r="P1792" s="132"/>
      <c r="R1792" s="6">
        <v>513</v>
      </c>
      <c r="S1792" s="5">
        <f t="shared" si="429"/>
        <v>0</v>
      </c>
      <c r="T1792" s="28"/>
    </row>
    <row r="1793" spans="1:22">
      <c r="A1793" s="3">
        <v>1778</v>
      </c>
      <c r="B1793" s="1">
        <f t="shared" si="430"/>
        <v>0</v>
      </c>
      <c r="C1793" s="1">
        <f t="shared" si="431"/>
        <v>1</v>
      </c>
      <c r="D1793" s="1">
        <f t="shared" si="432"/>
        <v>0</v>
      </c>
      <c r="E1793" s="1">
        <f t="shared" si="433"/>
        <v>0</v>
      </c>
      <c r="F1793" s="1">
        <f t="shared" si="433"/>
        <v>0</v>
      </c>
      <c r="G1793" s="1" t="str">
        <f t="shared" si="434"/>
        <v>24083115</v>
      </c>
      <c r="H1793" s="2">
        <v>45535</v>
      </c>
      <c r="I1793" s="36">
        <v>15</v>
      </c>
      <c r="J1793" s="1">
        <f t="shared" si="417"/>
        <v>15</v>
      </c>
      <c r="K1793" s="3">
        <f t="shared" si="418"/>
        <v>24</v>
      </c>
      <c r="L1793" s="3">
        <f t="shared" si="419"/>
        <v>8</v>
      </c>
      <c r="M1793" s="3">
        <f t="shared" si="420"/>
        <v>31</v>
      </c>
      <c r="N1793" s="3" t="str">
        <f t="shared" si="428"/>
        <v>08</v>
      </c>
      <c r="O1793" s="14">
        <f t="shared" si="428"/>
        <v>31</v>
      </c>
      <c r="P1793" s="132">
        <v>150000</v>
      </c>
      <c r="R1793" s="6">
        <v>513</v>
      </c>
      <c r="S1793" s="5">
        <f t="shared" si="429"/>
        <v>292.39766081871346</v>
      </c>
      <c r="T1793" s="28" t="s">
        <v>664</v>
      </c>
      <c r="U1793" s="3" t="s">
        <v>1</v>
      </c>
      <c r="V1793" s="3" t="s">
        <v>5</v>
      </c>
    </row>
    <row r="1794" spans="1:22">
      <c r="A1794" s="3">
        <v>1779</v>
      </c>
      <c r="B1794" s="1">
        <f t="shared" si="430"/>
        <v>0</v>
      </c>
      <c r="C1794" s="1">
        <f t="shared" si="431"/>
        <v>0</v>
      </c>
      <c r="D1794" s="1">
        <f t="shared" si="432"/>
        <v>0</v>
      </c>
      <c r="E1794" s="1">
        <f t="shared" si="433"/>
        <v>0</v>
      </c>
      <c r="F1794" s="1">
        <f t="shared" si="433"/>
        <v>0</v>
      </c>
      <c r="G1794" s="1" t="str">
        <f t="shared" si="434"/>
        <v>24083116</v>
      </c>
      <c r="H1794" s="2">
        <v>45535</v>
      </c>
      <c r="I1794" s="36">
        <v>16</v>
      </c>
      <c r="J1794" s="1">
        <f t="shared" si="417"/>
        <v>16</v>
      </c>
      <c r="K1794" s="3">
        <f t="shared" si="418"/>
        <v>24</v>
      </c>
      <c r="L1794" s="3">
        <f t="shared" si="419"/>
        <v>8</v>
      </c>
      <c r="M1794" s="3">
        <f t="shared" si="420"/>
        <v>31</v>
      </c>
      <c r="N1794" s="3" t="str">
        <f t="shared" si="428"/>
        <v>08</v>
      </c>
      <c r="O1794" s="14">
        <f t="shared" si="428"/>
        <v>31</v>
      </c>
      <c r="P1794" s="132">
        <v>120000</v>
      </c>
      <c r="R1794" s="6">
        <v>513</v>
      </c>
      <c r="S1794" s="5">
        <f t="shared" si="429"/>
        <v>233.91812865497076</v>
      </c>
      <c r="T1794" s="28" t="s">
        <v>665</v>
      </c>
      <c r="U1794" s="3" t="s">
        <v>1</v>
      </c>
      <c r="V1794" s="3" t="s">
        <v>5</v>
      </c>
    </row>
    <row r="1795" spans="1:22">
      <c r="A1795" s="3">
        <v>1780</v>
      </c>
      <c r="B1795" s="1">
        <f t="shared" si="430"/>
        <v>0</v>
      </c>
      <c r="C1795" s="1">
        <f t="shared" si="431"/>
        <v>0</v>
      </c>
      <c r="D1795" s="1">
        <f t="shared" si="432"/>
        <v>0</v>
      </c>
      <c r="E1795" s="1">
        <f t="shared" si="433"/>
        <v>0</v>
      </c>
      <c r="F1795" s="1">
        <f t="shared" si="433"/>
        <v>0</v>
      </c>
      <c r="G1795" s="1" t="str">
        <f t="shared" si="434"/>
        <v>24083117</v>
      </c>
      <c r="H1795" s="2">
        <v>45535</v>
      </c>
      <c r="I1795" s="36">
        <v>17</v>
      </c>
      <c r="J1795" s="1">
        <f t="shared" si="417"/>
        <v>17</v>
      </c>
      <c r="K1795" s="3">
        <f t="shared" si="418"/>
        <v>24</v>
      </c>
      <c r="L1795" s="3">
        <f t="shared" si="419"/>
        <v>8</v>
      </c>
      <c r="M1795" s="3">
        <f t="shared" si="420"/>
        <v>31</v>
      </c>
      <c r="N1795" s="3" t="str">
        <f t="shared" si="428"/>
        <v>08</v>
      </c>
      <c r="O1795" s="14">
        <f t="shared" si="428"/>
        <v>31</v>
      </c>
      <c r="P1795" s="132">
        <v>102000</v>
      </c>
      <c r="R1795" s="6">
        <v>513</v>
      </c>
      <c r="S1795" s="5">
        <f t="shared" si="429"/>
        <v>198.83040935672514</v>
      </c>
      <c r="T1795" s="28" t="s">
        <v>666</v>
      </c>
      <c r="U1795" s="3" t="s">
        <v>1</v>
      </c>
      <c r="V1795" s="3" t="s">
        <v>5</v>
      </c>
    </row>
    <row r="1796" spans="1:22" hidden="1">
      <c r="J1796" s="1" t="str">
        <f t="shared" si="417"/>
        <v>0</v>
      </c>
      <c r="K1796" s="3">
        <f t="shared" si="418"/>
        <v>-100</v>
      </c>
      <c r="L1796" s="3">
        <f t="shared" si="419"/>
        <v>1</v>
      </c>
      <c r="M1796" s="3">
        <f t="shared" si="420"/>
        <v>0</v>
      </c>
      <c r="N1796" s="3" t="str">
        <f t="shared" si="428"/>
        <v>01</v>
      </c>
      <c r="O1796" s="14" t="str">
        <f t="shared" si="428"/>
        <v>00</v>
      </c>
      <c r="P1796" s="132"/>
      <c r="R1796" s="6">
        <v>513</v>
      </c>
      <c r="S1796" s="5">
        <f t="shared" si="429"/>
        <v>0</v>
      </c>
      <c r="T1796" s="28"/>
    </row>
    <row r="1797" spans="1:22">
      <c r="A1797" s="3">
        <v>1782</v>
      </c>
      <c r="B1797" s="1">
        <f t="shared" si="430"/>
        <v>0</v>
      </c>
      <c r="C1797" s="1">
        <f t="shared" si="431"/>
        <v>1</v>
      </c>
      <c r="D1797" s="1">
        <f t="shared" si="432"/>
        <v>0</v>
      </c>
      <c r="E1797" s="1">
        <f t="shared" si="433"/>
        <v>0</v>
      </c>
      <c r="F1797" s="1">
        <f t="shared" si="433"/>
        <v>0</v>
      </c>
      <c r="G1797" s="1" t="str">
        <f t="shared" si="434"/>
        <v>24083119</v>
      </c>
      <c r="H1797" s="2">
        <v>45535</v>
      </c>
      <c r="I1797" s="36">
        <v>19</v>
      </c>
      <c r="J1797" s="1">
        <f t="shared" si="417"/>
        <v>19</v>
      </c>
      <c r="K1797" s="3">
        <f t="shared" si="418"/>
        <v>24</v>
      </c>
      <c r="L1797" s="3">
        <f t="shared" si="419"/>
        <v>8</v>
      </c>
      <c r="M1797" s="3">
        <f t="shared" si="420"/>
        <v>31</v>
      </c>
      <c r="N1797" s="3" t="str">
        <f t="shared" si="428"/>
        <v>08</v>
      </c>
      <c r="O1797" s="14">
        <f t="shared" si="428"/>
        <v>31</v>
      </c>
      <c r="P1797" s="132">
        <v>230000</v>
      </c>
      <c r="R1797" s="6">
        <v>513</v>
      </c>
      <c r="S1797" s="5">
        <f t="shared" si="429"/>
        <v>448.3430799220273</v>
      </c>
      <c r="T1797" s="28" t="s">
        <v>668</v>
      </c>
      <c r="U1797" s="3" t="s">
        <v>1</v>
      </c>
      <c r="V1797" s="3" t="s">
        <v>5</v>
      </c>
    </row>
    <row r="1798" spans="1:22">
      <c r="A1798" s="3">
        <v>1783</v>
      </c>
      <c r="B1798" s="1">
        <f t="shared" si="430"/>
        <v>0</v>
      </c>
      <c r="C1798" s="1">
        <f t="shared" si="431"/>
        <v>0</v>
      </c>
      <c r="D1798" s="1">
        <f t="shared" si="432"/>
        <v>0</v>
      </c>
      <c r="E1798" s="1">
        <f t="shared" si="433"/>
        <v>0</v>
      </c>
      <c r="F1798" s="1">
        <f t="shared" si="433"/>
        <v>0</v>
      </c>
      <c r="G1798" s="1" t="str">
        <f t="shared" si="434"/>
        <v>24083120</v>
      </c>
      <c r="H1798" s="2">
        <v>45535</v>
      </c>
      <c r="I1798" s="36">
        <v>20</v>
      </c>
      <c r="J1798" s="1">
        <f t="shared" si="417"/>
        <v>20</v>
      </c>
      <c r="K1798" s="3">
        <f t="shared" si="418"/>
        <v>24</v>
      </c>
      <c r="L1798" s="3">
        <f t="shared" si="419"/>
        <v>8</v>
      </c>
      <c r="M1798" s="3">
        <f t="shared" si="420"/>
        <v>31</v>
      </c>
      <c r="N1798" s="3" t="str">
        <f t="shared" si="428"/>
        <v>08</v>
      </c>
      <c r="O1798" s="14">
        <f t="shared" si="428"/>
        <v>31</v>
      </c>
      <c r="P1798" s="132">
        <v>90000</v>
      </c>
      <c r="R1798" s="6">
        <v>513</v>
      </c>
      <c r="S1798" s="5">
        <f t="shared" si="429"/>
        <v>175.43859649122808</v>
      </c>
      <c r="T1798" s="28" t="s">
        <v>669</v>
      </c>
      <c r="U1798" s="3" t="s">
        <v>1</v>
      </c>
      <c r="V1798" s="3" t="s">
        <v>5</v>
      </c>
    </row>
    <row r="1799" spans="1:22" hidden="1">
      <c r="J1799" s="1" t="str">
        <f t="shared" si="417"/>
        <v>0</v>
      </c>
      <c r="K1799" s="3">
        <f t="shared" si="418"/>
        <v>-100</v>
      </c>
      <c r="L1799" s="3">
        <f t="shared" si="419"/>
        <v>1</v>
      </c>
      <c r="M1799" s="3">
        <f t="shared" si="420"/>
        <v>0</v>
      </c>
      <c r="N1799" s="3" t="str">
        <f t="shared" si="428"/>
        <v>01</v>
      </c>
      <c r="O1799" s="14" t="str">
        <f t="shared" si="428"/>
        <v>00</v>
      </c>
      <c r="P1799" s="132"/>
      <c r="R1799" s="6">
        <v>513</v>
      </c>
      <c r="S1799" s="5">
        <f t="shared" si="429"/>
        <v>0</v>
      </c>
      <c r="T1799" s="28"/>
    </row>
    <row r="1800" spans="1:22">
      <c r="A1800" s="3">
        <v>1785</v>
      </c>
      <c r="B1800" s="1">
        <f t="shared" si="430"/>
        <v>0</v>
      </c>
      <c r="C1800" s="1">
        <f t="shared" si="431"/>
        <v>1</v>
      </c>
      <c r="D1800" s="1">
        <f t="shared" si="432"/>
        <v>0</v>
      </c>
      <c r="E1800" s="1">
        <f t="shared" si="433"/>
        <v>0</v>
      </c>
      <c r="F1800" s="1">
        <f t="shared" si="433"/>
        <v>0</v>
      </c>
      <c r="G1800" s="1" t="str">
        <f t="shared" si="434"/>
        <v>24083122</v>
      </c>
      <c r="H1800" s="2">
        <v>45535</v>
      </c>
      <c r="I1800" s="36">
        <v>22</v>
      </c>
      <c r="J1800" s="1">
        <f t="shared" si="417"/>
        <v>22</v>
      </c>
      <c r="K1800" s="3">
        <f t="shared" si="418"/>
        <v>24</v>
      </c>
      <c r="L1800" s="3">
        <f t="shared" si="419"/>
        <v>8</v>
      </c>
      <c r="M1800" s="3">
        <f t="shared" si="420"/>
        <v>31</v>
      </c>
      <c r="N1800" s="3" t="str">
        <f t="shared" si="428"/>
        <v>08</v>
      </c>
      <c r="O1800" s="14">
        <f t="shared" si="428"/>
        <v>31</v>
      </c>
      <c r="P1800" s="132">
        <f>9*3*527</f>
        <v>14229</v>
      </c>
      <c r="R1800" s="6">
        <v>513</v>
      </c>
      <c r="S1800" s="5">
        <f t="shared" si="429"/>
        <v>27.736842105263158</v>
      </c>
      <c r="T1800" s="28" t="s">
        <v>670</v>
      </c>
      <c r="U1800" s="3" t="s">
        <v>1</v>
      </c>
      <c r="V1800" s="3" t="s">
        <v>5</v>
      </c>
    </row>
    <row r="1801" spans="1:22" hidden="1">
      <c r="J1801" s="1" t="str">
        <f t="shared" si="417"/>
        <v>0</v>
      </c>
      <c r="K1801" s="3">
        <f t="shared" si="418"/>
        <v>-100</v>
      </c>
      <c r="L1801" s="3">
        <f t="shared" si="419"/>
        <v>1</v>
      </c>
      <c r="M1801" s="3">
        <f t="shared" si="420"/>
        <v>0</v>
      </c>
      <c r="N1801" s="3" t="str">
        <f t="shared" si="428"/>
        <v>01</v>
      </c>
      <c r="O1801" s="14" t="str">
        <f t="shared" si="428"/>
        <v>00</v>
      </c>
      <c r="R1801" s="6">
        <v>513</v>
      </c>
      <c r="S1801" s="5">
        <f t="shared" si="429"/>
        <v>0</v>
      </c>
    </row>
    <row r="1802" spans="1:22" hidden="1">
      <c r="J1802" s="1" t="str">
        <f t="shared" si="417"/>
        <v>0</v>
      </c>
      <c r="K1802" s="3">
        <f t="shared" si="418"/>
        <v>-100</v>
      </c>
      <c r="L1802" s="3">
        <f t="shared" si="419"/>
        <v>1</v>
      </c>
      <c r="M1802" s="3">
        <f t="shared" si="420"/>
        <v>0</v>
      </c>
      <c r="N1802" s="3" t="str">
        <f t="shared" si="428"/>
        <v>01</v>
      </c>
      <c r="O1802" s="14" t="str">
        <f t="shared" si="428"/>
        <v>00</v>
      </c>
      <c r="R1802" s="6">
        <v>513</v>
      </c>
      <c r="S1802" s="5">
        <f t="shared" si="429"/>
        <v>0</v>
      </c>
    </row>
    <row r="1803" spans="1:22" hidden="1">
      <c r="J1803" s="1" t="str">
        <f t="shared" ref="J1803:J1807" si="435">+IF(I1803&lt;10,_xlfn.CONCAT("0",I1803),I1803)</f>
        <v>0</v>
      </c>
      <c r="K1803" s="3">
        <f t="shared" ref="K1803:K1807" si="436">+YEAR(H1803)-2000</f>
        <v>-100</v>
      </c>
      <c r="L1803" s="3">
        <f t="shared" ref="L1803:L1807" si="437">+MONTH(H1803)</f>
        <v>1</v>
      </c>
      <c r="M1803" s="3">
        <f t="shared" ref="M1803:M1807" si="438">+DAY(H1803)</f>
        <v>0</v>
      </c>
      <c r="N1803" s="3" t="str">
        <f t="shared" si="428"/>
        <v>01</v>
      </c>
      <c r="O1803" s="14" t="str">
        <f t="shared" si="428"/>
        <v>00</v>
      </c>
      <c r="R1803" s="6">
        <v>513</v>
      </c>
      <c r="S1803" s="5">
        <f t="shared" si="429"/>
        <v>0</v>
      </c>
    </row>
    <row r="1804" spans="1:22" hidden="1">
      <c r="J1804" s="1" t="str">
        <f t="shared" si="435"/>
        <v>0</v>
      </c>
      <c r="K1804" s="3">
        <f t="shared" si="436"/>
        <v>-100</v>
      </c>
      <c r="L1804" s="3">
        <f t="shared" si="437"/>
        <v>1</v>
      </c>
      <c r="M1804" s="3">
        <f t="shared" si="438"/>
        <v>0</v>
      </c>
      <c r="N1804" s="3" t="str">
        <f t="shared" si="428"/>
        <v>01</v>
      </c>
      <c r="O1804" s="14" t="str">
        <f t="shared" si="428"/>
        <v>00</v>
      </c>
      <c r="R1804" s="6">
        <v>513</v>
      </c>
      <c r="S1804" s="5">
        <f t="shared" si="429"/>
        <v>0</v>
      </c>
    </row>
    <row r="1805" spans="1:22" hidden="1">
      <c r="J1805" s="1" t="str">
        <f t="shared" si="435"/>
        <v>0</v>
      </c>
      <c r="K1805" s="3">
        <f t="shared" si="436"/>
        <v>-100</v>
      </c>
      <c r="L1805" s="3">
        <f t="shared" si="437"/>
        <v>1</v>
      </c>
      <c r="M1805" s="3">
        <f t="shared" si="438"/>
        <v>0</v>
      </c>
      <c r="N1805" s="3" t="str">
        <f t="shared" si="428"/>
        <v>01</v>
      </c>
      <c r="O1805" s="14" t="str">
        <f t="shared" si="428"/>
        <v>00</v>
      </c>
      <c r="R1805" s="6">
        <v>513</v>
      </c>
      <c r="S1805" s="5">
        <f t="shared" si="429"/>
        <v>0</v>
      </c>
    </row>
    <row r="1806" spans="1:22" hidden="1">
      <c r="J1806" s="1" t="str">
        <f t="shared" si="435"/>
        <v>0</v>
      </c>
      <c r="K1806" s="3">
        <f t="shared" si="436"/>
        <v>-100</v>
      </c>
      <c r="L1806" s="3">
        <f t="shared" si="437"/>
        <v>1</v>
      </c>
      <c r="M1806" s="3">
        <f t="shared" si="438"/>
        <v>0</v>
      </c>
      <c r="N1806" s="3" t="str">
        <f t="shared" si="428"/>
        <v>01</v>
      </c>
      <c r="O1806" s="14" t="str">
        <f t="shared" si="428"/>
        <v>00</v>
      </c>
      <c r="R1806" s="6">
        <v>513</v>
      </c>
      <c r="S1806" s="5">
        <f t="shared" si="429"/>
        <v>0</v>
      </c>
    </row>
    <row r="1807" spans="1:22" hidden="1">
      <c r="J1807" s="1" t="str">
        <f t="shared" si="435"/>
        <v>0</v>
      </c>
      <c r="K1807" s="3">
        <f t="shared" si="436"/>
        <v>-100</v>
      </c>
      <c r="L1807" s="3">
        <f t="shared" si="437"/>
        <v>1</v>
      </c>
      <c r="M1807" s="3">
        <f t="shared" si="438"/>
        <v>0</v>
      </c>
      <c r="N1807" s="3" t="str">
        <f t="shared" si="428"/>
        <v>01</v>
      </c>
      <c r="O1807" s="14" t="str">
        <f t="shared" si="428"/>
        <v>00</v>
      </c>
      <c r="R1807" s="6">
        <v>513</v>
      </c>
      <c r="S1807" s="5">
        <f t="shared" si="429"/>
        <v>0</v>
      </c>
    </row>
    <row r="1808" spans="1:22" hidden="1"/>
    <row r="1809" spans="1:22" hidden="1">
      <c r="J1809" s="1" t="str">
        <f t="shared" ref="J1809:J1871" si="439">+IF(I1809&lt;10,_xlfn.CONCAT("0",I1809),I1809)</f>
        <v>0</v>
      </c>
      <c r="K1809" s="3">
        <f t="shared" ref="K1809:K1871" si="440">+YEAR(H1809)-2000</f>
        <v>-100</v>
      </c>
      <c r="L1809" s="3">
        <f t="shared" ref="L1809:L1871" si="441">+MONTH(H1809)</f>
        <v>1</v>
      </c>
      <c r="M1809" s="3">
        <f t="shared" ref="M1809:M1871" si="442">+DAY(H1809)</f>
        <v>0</v>
      </c>
      <c r="N1809" s="3" t="str">
        <f t="shared" ref="N1809:O1840" si="443">+IF(L1809&lt;10,_xlfn.CONCAT("0",L1809),L1809)</f>
        <v>01</v>
      </c>
      <c r="O1809" s="14" t="str">
        <f t="shared" si="443"/>
        <v>00</v>
      </c>
      <c r="R1809" s="6">
        <v>513</v>
      </c>
      <c r="S1809" s="5">
        <f>IFERROR(P1809/R1809,"")</f>
        <v>0</v>
      </c>
    </row>
    <row r="1810" spans="1:22" hidden="1">
      <c r="J1810" s="1" t="str">
        <f t="shared" si="439"/>
        <v>0</v>
      </c>
      <c r="K1810" s="3">
        <f t="shared" si="440"/>
        <v>-100</v>
      </c>
      <c r="L1810" s="3">
        <f t="shared" si="441"/>
        <v>1</v>
      </c>
      <c r="M1810" s="3">
        <f t="shared" si="442"/>
        <v>0</v>
      </c>
      <c r="N1810" s="3" t="str">
        <f t="shared" si="443"/>
        <v>01</v>
      </c>
      <c r="O1810" s="14" t="str">
        <f t="shared" si="443"/>
        <v>00</v>
      </c>
      <c r="R1810" s="6">
        <v>513</v>
      </c>
      <c r="S1810" s="5">
        <f>IFERROR(P1810/R1810,"")</f>
        <v>0</v>
      </c>
    </row>
    <row r="1811" spans="1:22" hidden="1">
      <c r="J1811" s="1" t="str">
        <f t="shared" si="439"/>
        <v>0</v>
      </c>
      <c r="K1811" s="3">
        <f t="shared" si="440"/>
        <v>-100</v>
      </c>
      <c r="L1811" s="3">
        <f t="shared" si="441"/>
        <v>1</v>
      </c>
      <c r="M1811" s="3">
        <f t="shared" si="442"/>
        <v>0</v>
      </c>
      <c r="N1811" s="3" t="str">
        <f t="shared" si="443"/>
        <v>01</v>
      </c>
      <c r="O1811" s="14" t="str">
        <f t="shared" si="443"/>
        <v>00</v>
      </c>
      <c r="R1811" s="6">
        <v>512</v>
      </c>
      <c r="S1811" s="5">
        <f>IFERROR(P1811/R1811,"")</f>
        <v>0</v>
      </c>
    </row>
    <row r="1812" spans="1:22" hidden="1">
      <c r="J1812" s="1" t="str">
        <f t="shared" si="439"/>
        <v>0</v>
      </c>
      <c r="K1812" s="3">
        <f t="shared" si="440"/>
        <v>-100</v>
      </c>
      <c r="L1812" s="3">
        <f t="shared" si="441"/>
        <v>1</v>
      </c>
      <c r="M1812" s="3">
        <f t="shared" si="442"/>
        <v>0</v>
      </c>
      <c r="N1812" s="3" t="str">
        <f t="shared" si="443"/>
        <v>01</v>
      </c>
      <c r="O1812" s="14" t="str">
        <f t="shared" si="443"/>
        <v>00</v>
      </c>
      <c r="R1812" s="6">
        <v>512</v>
      </c>
      <c r="S1812" s="5">
        <f>IFERROR(P1812/R1812,"")</f>
        <v>0</v>
      </c>
    </row>
    <row r="1813" spans="1:22" hidden="1">
      <c r="J1813" s="1" t="str">
        <f t="shared" si="439"/>
        <v>0</v>
      </c>
      <c r="K1813" s="3">
        <f t="shared" si="440"/>
        <v>-100</v>
      </c>
      <c r="L1813" s="3">
        <f t="shared" si="441"/>
        <v>1</v>
      </c>
      <c r="M1813" s="3">
        <f t="shared" si="442"/>
        <v>0</v>
      </c>
      <c r="N1813" s="3" t="str">
        <f t="shared" si="443"/>
        <v>01</v>
      </c>
      <c r="O1813" s="14" t="str">
        <f t="shared" si="443"/>
        <v>00</v>
      </c>
    </row>
    <row r="1814" spans="1:22" hidden="1">
      <c r="J1814" s="1" t="str">
        <f t="shared" si="439"/>
        <v>0</v>
      </c>
      <c r="K1814" s="3">
        <f t="shared" si="440"/>
        <v>-100</v>
      </c>
      <c r="L1814" s="3">
        <f t="shared" si="441"/>
        <v>1</v>
      </c>
      <c r="M1814" s="3">
        <f t="shared" si="442"/>
        <v>0</v>
      </c>
      <c r="N1814" s="3" t="str">
        <f t="shared" si="443"/>
        <v>01</v>
      </c>
      <c r="O1814" s="14" t="str">
        <f t="shared" si="443"/>
        <v>00</v>
      </c>
      <c r="R1814" s="6">
        <v>512</v>
      </c>
      <c r="S1814" s="5">
        <f t="shared" ref="S1814:S1871" si="444">IFERROR(P1814/R1814,"")</f>
        <v>0</v>
      </c>
      <c r="T1814" s="12"/>
    </row>
    <row r="1815" spans="1:22" hidden="1">
      <c r="J1815" s="1" t="str">
        <f t="shared" si="439"/>
        <v>0</v>
      </c>
      <c r="K1815" s="3">
        <f t="shared" si="440"/>
        <v>-100</v>
      </c>
      <c r="L1815" s="3">
        <f t="shared" si="441"/>
        <v>1</v>
      </c>
      <c r="M1815" s="3">
        <f t="shared" si="442"/>
        <v>0</v>
      </c>
      <c r="N1815" s="3" t="str">
        <f t="shared" si="443"/>
        <v>01</v>
      </c>
      <c r="O1815" s="14" t="str">
        <f t="shared" si="443"/>
        <v>00</v>
      </c>
      <c r="R1815" s="6">
        <v>512</v>
      </c>
      <c r="S1815" s="5">
        <f t="shared" si="444"/>
        <v>0</v>
      </c>
    </row>
    <row r="1816" spans="1:22" hidden="1">
      <c r="J1816" s="1" t="str">
        <f t="shared" si="439"/>
        <v>0</v>
      </c>
      <c r="K1816" s="3">
        <f t="shared" si="440"/>
        <v>-100</v>
      </c>
      <c r="L1816" s="3">
        <f t="shared" si="441"/>
        <v>1</v>
      </c>
      <c r="M1816" s="3">
        <f t="shared" si="442"/>
        <v>0</v>
      </c>
      <c r="N1816" s="3" t="str">
        <f t="shared" si="443"/>
        <v>01</v>
      </c>
      <c r="O1816" s="14" t="str">
        <f t="shared" si="443"/>
        <v>00</v>
      </c>
      <c r="R1816" s="6">
        <v>512</v>
      </c>
      <c r="S1816" s="5">
        <f t="shared" si="444"/>
        <v>0</v>
      </c>
    </row>
    <row r="1817" spans="1:22">
      <c r="A1817" s="3">
        <v>1801</v>
      </c>
      <c r="B1817" s="1">
        <f t="shared" ref="B1817:B1845" si="445">IF(G1817="-",0,IF(G1816=G1817,1,0))</f>
        <v>0</v>
      </c>
      <c r="C1817" s="1">
        <f t="shared" ref="C1817:C1845" si="446">+IF(G1817="-",0,IF(I1817=I1816+1,0,(IF(I1817=1,0,1))))</f>
        <v>1</v>
      </c>
      <c r="D1817" s="1">
        <f t="shared" ref="D1817:D1869" si="447">+IF(AND(P1817="",Q1817=""),1,0)</f>
        <v>1</v>
      </c>
      <c r="E1817" s="1">
        <f t="shared" ref="E1817:F1845" si="448">IF(U1817="",1,0)</f>
        <v>1</v>
      </c>
      <c r="F1817" s="1">
        <f t="shared" si="448"/>
        <v>0</v>
      </c>
      <c r="G1817" s="1" t="str">
        <f t="shared" ref="G1817:G1869" si="449">IF(H1817=0,"-",_xlfn.CONCAT(K1817,N1817,O1817,J1817))</f>
        <v>24090207</v>
      </c>
      <c r="H1817" s="2">
        <v>45537</v>
      </c>
      <c r="I1817" s="36">
        <v>7</v>
      </c>
      <c r="J1817" s="1" t="str">
        <f t="shared" si="439"/>
        <v>07</v>
      </c>
      <c r="K1817" s="3">
        <f t="shared" si="440"/>
        <v>24</v>
      </c>
      <c r="L1817" s="3">
        <f t="shared" si="441"/>
        <v>9</v>
      </c>
      <c r="M1817" s="3">
        <f t="shared" si="442"/>
        <v>2</v>
      </c>
      <c r="N1817" s="3" t="str">
        <f t="shared" si="443"/>
        <v>09</v>
      </c>
      <c r="O1817" s="14" t="str">
        <f t="shared" si="443"/>
        <v>02</v>
      </c>
      <c r="R1817" s="6">
        <v>512</v>
      </c>
      <c r="S1817" s="5">
        <f t="shared" si="444"/>
        <v>0</v>
      </c>
      <c r="T1817" s="5" t="s">
        <v>687</v>
      </c>
      <c r="V1817" s="3" t="s">
        <v>5</v>
      </c>
    </row>
    <row r="1818" spans="1:22">
      <c r="A1818" s="3">
        <v>1802</v>
      </c>
      <c r="B1818" s="1">
        <f t="shared" si="445"/>
        <v>0</v>
      </c>
      <c r="C1818" s="1">
        <f t="shared" si="446"/>
        <v>0</v>
      </c>
      <c r="D1818" s="1">
        <f t="shared" si="447"/>
        <v>0</v>
      </c>
      <c r="E1818" s="1">
        <f t="shared" si="448"/>
        <v>1</v>
      </c>
      <c r="F1818" s="1">
        <f t="shared" si="448"/>
        <v>0</v>
      </c>
      <c r="G1818" s="1" t="str">
        <f t="shared" si="449"/>
        <v>24090301</v>
      </c>
      <c r="H1818" s="2">
        <v>45538</v>
      </c>
      <c r="I1818" s="36">
        <v>1</v>
      </c>
      <c r="J1818" s="1" t="str">
        <f t="shared" si="439"/>
        <v>01</v>
      </c>
      <c r="K1818" s="3">
        <f t="shared" si="440"/>
        <v>24</v>
      </c>
      <c r="L1818" s="3">
        <f t="shared" si="441"/>
        <v>9</v>
      </c>
      <c r="M1818" s="3">
        <f t="shared" si="442"/>
        <v>3</v>
      </c>
      <c r="N1818" s="3" t="str">
        <f t="shared" si="443"/>
        <v>09</v>
      </c>
      <c r="O1818" s="14" t="str">
        <f t="shared" si="443"/>
        <v>03</v>
      </c>
      <c r="P1818" s="4">
        <f>870000*1.13</f>
        <v>983099.99999999988</v>
      </c>
      <c r="R1818" s="6">
        <v>511</v>
      </c>
      <c r="S1818" s="5">
        <f t="shared" si="444"/>
        <v>1923.8747553816045</v>
      </c>
      <c r="T1818" s="5" t="s">
        <v>680</v>
      </c>
      <c r="V1818" s="3" t="s">
        <v>5</v>
      </c>
    </row>
    <row r="1819" spans="1:22">
      <c r="A1819" s="3">
        <v>1803</v>
      </c>
      <c r="B1819" s="1">
        <f t="shared" si="445"/>
        <v>0</v>
      </c>
      <c r="C1819" s="1">
        <f t="shared" si="446"/>
        <v>0</v>
      </c>
      <c r="D1819" s="1">
        <f t="shared" si="447"/>
        <v>0</v>
      </c>
      <c r="E1819" s="1">
        <f t="shared" si="448"/>
        <v>0</v>
      </c>
      <c r="F1819" s="1">
        <f t="shared" si="448"/>
        <v>0</v>
      </c>
      <c r="G1819" s="1" t="str">
        <f t="shared" si="449"/>
        <v>24090302</v>
      </c>
      <c r="H1819" s="2">
        <v>45538</v>
      </c>
      <c r="I1819" s="36">
        <v>2</v>
      </c>
      <c r="J1819" s="1" t="str">
        <f t="shared" si="439"/>
        <v>02</v>
      </c>
      <c r="K1819" s="3">
        <f t="shared" si="440"/>
        <v>24</v>
      </c>
      <c r="L1819" s="3">
        <f t="shared" si="441"/>
        <v>9</v>
      </c>
      <c r="M1819" s="3">
        <f t="shared" si="442"/>
        <v>3</v>
      </c>
      <c r="N1819" s="3" t="str">
        <f t="shared" si="443"/>
        <v>09</v>
      </c>
      <c r="O1819" s="14" t="str">
        <f t="shared" si="443"/>
        <v>03</v>
      </c>
      <c r="P1819" s="4">
        <v>29326.33</v>
      </c>
      <c r="R1819" s="6">
        <v>511</v>
      </c>
      <c r="S1819" s="5">
        <f t="shared" si="444"/>
        <v>57.390078277886502</v>
      </c>
      <c r="T1819" s="5" t="s">
        <v>702</v>
      </c>
      <c r="U1819" s="3" t="s">
        <v>29</v>
      </c>
      <c r="V1819" s="3" t="s">
        <v>5</v>
      </c>
    </row>
    <row r="1820" spans="1:22" hidden="1">
      <c r="J1820" s="1" t="str">
        <f t="shared" si="439"/>
        <v>0</v>
      </c>
      <c r="K1820" s="3">
        <f t="shared" si="440"/>
        <v>-100</v>
      </c>
      <c r="L1820" s="3">
        <f t="shared" si="441"/>
        <v>1</v>
      </c>
      <c r="M1820" s="3">
        <f t="shared" si="442"/>
        <v>0</v>
      </c>
      <c r="N1820" s="3" t="str">
        <f t="shared" si="443"/>
        <v>01</v>
      </c>
      <c r="O1820" s="14" t="str">
        <f t="shared" si="443"/>
        <v>00</v>
      </c>
      <c r="R1820" s="6">
        <v>511</v>
      </c>
      <c r="S1820" s="5">
        <f t="shared" si="444"/>
        <v>0</v>
      </c>
    </row>
    <row r="1821" spans="1:22" hidden="1">
      <c r="J1821" s="1" t="str">
        <f t="shared" si="439"/>
        <v>0</v>
      </c>
      <c r="K1821" s="3">
        <f t="shared" si="440"/>
        <v>-100</v>
      </c>
      <c r="L1821" s="3">
        <f t="shared" si="441"/>
        <v>1</v>
      </c>
      <c r="M1821" s="3">
        <f t="shared" si="442"/>
        <v>0</v>
      </c>
      <c r="N1821" s="3" t="str">
        <f t="shared" si="443"/>
        <v>01</v>
      </c>
      <c r="O1821" s="14" t="str">
        <f t="shared" si="443"/>
        <v>00</v>
      </c>
      <c r="R1821" s="6">
        <v>511</v>
      </c>
      <c r="S1821" s="5">
        <f t="shared" si="444"/>
        <v>0</v>
      </c>
    </row>
    <row r="1822" spans="1:22" hidden="1">
      <c r="J1822" s="1" t="str">
        <f t="shared" si="439"/>
        <v>0</v>
      </c>
      <c r="K1822" s="3">
        <f t="shared" si="440"/>
        <v>-100</v>
      </c>
      <c r="L1822" s="3">
        <f t="shared" si="441"/>
        <v>1</v>
      </c>
      <c r="M1822" s="3">
        <f t="shared" si="442"/>
        <v>0</v>
      </c>
      <c r="N1822" s="3" t="str">
        <f t="shared" si="443"/>
        <v>01</v>
      </c>
      <c r="O1822" s="14" t="str">
        <f t="shared" si="443"/>
        <v>00</v>
      </c>
      <c r="R1822" s="6">
        <v>511</v>
      </c>
      <c r="S1822" s="5">
        <f t="shared" si="444"/>
        <v>0</v>
      </c>
    </row>
    <row r="1823" spans="1:22" hidden="1">
      <c r="J1823" s="1" t="str">
        <f t="shared" si="439"/>
        <v>0</v>
      </c>
      <c r="K1823" s="3">
        <f t="shared" si="440"/>
        <v>-100</v>
      </c>
      <c r="L1823" s="3">
        <f t="shared" si="441"/>
        <v>1</v>
      </c>
      <c r="M1823" s="3">
        <f t="shared" si="442"/>
        <v>0</v>
      </c>
      <c r="N1823" s="3" t="str">
        <f t="shared" si="443"/>
        <v>01</v>
      </c>
      <c r="O1823" s="14" t="str">
        <f t="shared" si="443"/>
        <v>00</v>
      </c>
      <c r="R1823" s="6">
        <v>511</v>
      </c>
      <c r="S1823" s="5">
        <f t="shared" si="444"/>
        <v>0</v>
      </c>
    </row>
    <row r="1824" spans="1:22" hidden="1">
      <c r="J1824" s="1" t="str">
        <f t="shared" si="439"/>
        <v>0</v>
      </c>
      <c r="K1824" s="3">
        <f t="shared" si="440"/>
        <v>-100</v>
      </c>
      <c r="L1824" s="3">
        <f t="shared" si="441"/>
        <v>1</v>
      </c>
      <c r="M1824" s="3">
        <f t="shared" si="442"/>
        <v>0</v>
      </c>
      <c r="N1824" s="3" t="str">
        <f t="shared" si="443"/>
        <v>01</v>
      </c>
      <c r="O1824" s="14" t="str">
        <f t="shared" si="443"/>
        <v>00</v>
      </c>
      <c r="R1824" s="6">
        <v>511</v>
      </c>
      <c r="S1824" s="5">
        <f t="shared" si="444"/>
        <v>0</v>
      </c>
    </row>
    <row r="1825" spans="1:22">
      <c r="A1825" s="3">
        <v>1809</v>
      </c>
      <c r="B1825" s="1">
        <f t="shared" si="445"/>
        <v>0</v>
      </c>
      <c r="C1825" s="1">
        <f t="shared" si="446"/>
        <v>1</v>
      </c>
      <c r="D1825" s="1">
        <f t="shared" si="447"/>
        <v>0</v>
      </c>
      <c r="E1825" s="1">
        <f t="shared" si="448"/>
        <v>0</v>
      </c>
      <c r="F1825" s="1">
        <f t="shared" si="448"/>
        <v>0</v>
      </c>
      <c r="G1825" s="1" t="str">
        <f t="shared" si="449"/>
        <v>24090308</v>
      </c>
      <c r="H1825" s="2">
        <v>45538</v>
      </c>
      <c r="I1825" s="36">
        <v>8</v>
      </c>
      <c r="J1825" s="1" t="str">
        <f t="shared" si="439"/>
        <v>08</v>
      </c>
      <c r="K1825" s="3">
        <f t="shared" si="440"/>
        <v>24</v>
      </c>
      <c r="L1825" s="3">
        <f t="shared" si="441"/>
        <v>9</v>
      </c>
      <c r="M1825" s="3">
        <f t="shared" si="442"/>
        <v>3</v>
      </c>
      <c r="N1825" s="3" t="str">
        <f t="shared" si="443"/>
        <v>09</v>
      </c>
      <c r="O1825" s="14" t="str">
        <f t="shared" si="443"/>
        <v>03</v>
      </c>
      <c r="P1825" s="4">
        <v>10000</v>
      </c>
      <c r="R1825" s="6">
        <v>511</v>
      </c>
      <c r="S1825" s="5">
        <f t="shared" si="444"/>
        <v>19.569471624266146</v>
      </c>
      <c r="T1825" s="5" t="s">
        <v>783</v>
      </c>
      <c r="U1825" s="3" t="s">
        <v>29</v>
      </c>
      <c r="V1825" s="3" t="s">
        <v>5</v>
      </c>
    </row>
    <row r="1826" spans="1:22" hidden="1">
      <c r="J1826" s="1" t="str">
        <f t="shared" si="439"/>
        <v>0</v>
      </c>
      <c r="K1826" s="3">
        <f t="shared" si="440"/>
        <v>-100</v>
      </c>
      <c r="L1826" s="3">
        <f t="shared" si="441"/>
        <v>1</v>
      </c>
      <c r="M1826" s="3">
        <f t="shared" si="442"/>
        <v>0</v>
      </c>
      <c r="N1826" s="3" t="str">
        <f t="shared" si="443"/>
        <v>01</v>
      </c>
      <c r="O1826" s="14" t="str">
        <f t="shared" si="443"/>
        <v>00</v>
      </c>
      <c r="R1826" s="6">
        <v>511</v>
      </c>
      <c r="S1826" s="5">
        <f t="shared" si="444"/>
        <v>0</v>
      </c>
    </row>
    <row r="1827" spans="1:22" hidden="1">
      <c r="J1827" s="1" t="str">
        <f t="shared" si="439"/>
        <v>0</v>
      </c>
      <c r="K1827" s="3">
        <f t="shared" si="440"/>
        <v>-100</v>
      </c>
      <c r="L1827" s="3">
        <f t="shared" si="441"/>
        <v>1</v>
      </c>
      <c r="M1827" s="3">
        <f t="shared" si="442"/>
        <v>0</v>
      </c>
      <c r="N1827" s="3" t="str">
        <f t="shared" si="443"/>
        <v>01</v>
      </c>
      <c r="O1827" s="14" t="str">
        <f t="shared" si="443"/>
        <v>00</v>
      </c>
      <c r="R1827" s="6">
        <v>511</v>
      </c>
      <c r="S1827" s="5">
        <f t="shared" si="444"/>
        <v>0</v>
      </c>
    </row>
    <row r="1828" spans="1:22" hidden="1">
      <c r="J1828" s="1" t="str">
        <f t="shared" si="439"/>
        <v>0</v>
      </c>
      <c r="K1828" s="3">
        <f t="shared" si="440"/>
        <v>-100</v>
      </c>
      <c r="L1828" s="3">
        <f t="shared" si="441"/>
        <v>1</v>
      </c>
      <c r="M1828" s="3">
        <f t="shared" si="442"/>
        <v>0</v>
      </c>
      <c r="N1828" s="3" t="str">
        <f t="shared" si="443"/>
        <v>01</v>
      </c>
      <c r="O1828" s="14" t="str">
        <f t="shared" si="443"/>
        <v>00</v>
      </c>
      <c r="R1828" s="6">
        <v>511</v>
      </c>
      <c r="S1828" s="5">
        <f t="shared" si="444"/>
        <v>0</v>
      </c>
    </row>
    <row r="1829" spans="1:22" hidden="1">
      <c r="J1829" s="1" t="str">
        <f t="shared" si="439"/>
        <v>0</v>
      </c>
      <c r="K1829" s="3">
        <f t="shared" si="440"/>
        <v>-100</v>
      </c>
      <c r="L1829" s="3">
        <f t="shared" si="441"/>
        <v>1</v>
      </c>
      <c r="M1829" s="3">
        <f t="shared" si="442"/>
        <v>0</v>
      </c>
      <c r="N1829" s="3" t="str">
        <f t="shared" si="443"/>
        <v>01</v>
      </c>
      <c r="O1829" s="14" t="str">
        <f t="shared" si="443"/>
        <v>00</v>
      </c>
      <c r="R1829" s="6">
        <v>514</v>
      </c>
      <c r="S1829" s="5">
        <f t="shared" si="444"/>
        <v>0</v>
      </c>
    </row>
    <row r="1830" spans="1:22" hidden="1">
      <c r="J1830" s="1" t="str">
        <f t="shared" si="439"/>
        <v>0</v>
      </c>
      <c r="K1830" s="3">
        <f t="shared" si="440"/>
        <v>-100</v>
      </c>
      <c r="L1830" s="3">
        <f t="shared" si="441"/>
        <v>1</v>
      </c>
      <c r="M1830" s="3">
        <f t="shared" si="442"/>
        <v>0</v>
      </c>
      <c r="N1830" s="3" t="str">
        <f t="shared" si="443"/>
        <v>01</v>
      </c>
      <c r="O1830" s="14" t="str">
        <f t="shared" si="443"/>
        <v>00</v>
      </c>
      <c r="R1830" s="6">
        <v>514</v>
      </c>
      <c r="S1830" s="5">
        <f t="shared" si="444"/>
        <v>0</v>
      </c>
    </row>
    <row r="1831" spans="1:22">
      <c r="A1831" s="3">
        <v>1815</v>
      </c>
      <c r="B1831" s="1">
        <f t="shared" si="445"/>
        <v>0</v>
      </c>
      <c r="C1831" s="1">
        <f t="shared" si="446"/>
        <v>1</v>
      </c>
      <c r="D1831" s="1">
        <f t="shared" si="447"/>
        <v>0</v>
      </c>
      <c r="E1831" s="1">
        <f t="shared" si="448"/>
        <v>0</v>
      </c>
      <c r="F1831" s="1">
        <f t="shared" si="448"/>
        <v>0</v>
      </c>
      <c r="G1831" s="1" t="str">
        <f t="shared" si="449"/>
        <v>24090403</v>
      </c>
      <c r="H1831" s="2">
        <v>45539</v>
      </c>
      <c r="I1831" s="36">
        <v>3</v>
      </c>
      <c r="J1831" s="1" t="str">
        <f t="shared" si="439"/>
        <v>03</v>
      </c>
      <c r="K1831" s="3">
        <f t="shared" si="440"/>
        <v>24</v>
      </c>
      <c r="L1831" s="3">
        <f t="shared" si="441"/>
        <v>9</v>
      </c>
      <c r="M1831" s="3">
        <f t="shared" si="442"/>
        <v>4</v>
      </c>
      <c r="N1831" s="3" t="str">
        <f t="shared" si="443"/>
        <v>09</v>
      </c>
      <c r="O1831" s="14" t="str">
        <f t="shared" si="443"/>
        <v>04</v>
      </c>
      <c r="P1831" s="4">
        <v>9798.7999999999993</v>
      </c>
      <c r="R1831" s="6">
        <v>514</v>
      </c>
      <c r="S1831" s="5">
        <f t="shared" si="444"/>
        <v>19.063813229571984</v>
      </c>
      <c r="T1831" s="5" t="s">
        <v>693</v>
      </c>
      <c r="U1831" s="3" t="s">
        <v>29</v>
      </c>
      <c r="V1831" s="3" t="s">
        <v>5</v>
      </c>
    </row>
    <row r="1832" spans="1:22" hidden="1">
      <c r="J1832" s="1" t="str">
        <f t="shared" si="439"/>
        <v>0</v>
      </c>
      <c r="K1832" s="3">
        <f t="shared" si="440"/>
        <v>-100</v>
      </c>
      <c r="L1832" s="3">
        <f t="shared" si="441"/>
        <v>1</v>
      </c>
      <c r="M1832" s="3">
        <f t="shared" si="442"/>
        <v>0</v>
      </c>
      <c r="N1832" s="3" t="str">
        <f t="shared" si="443"/>
        <v>01</v>
      </c>
      <c r="O1832" s="14" t="str">
        <f t="shared" si="443"/>
        <v>00</v>
      </c>
      <c r="R1832" s="6">
        <v>514</v>
      </c>
      <c r="S1832" s="5">
        <f t="shared" si="444"/>
        <v>0</v>
      </c>
    </row>
    <row r="1833" spans="1:22">
      <c r="A1833" s="3">
        <v>1817</v>
      </c>
      <c r="B1833" s="1">
        <f t="shared" si="445"/>
        <v>0</v>
      </c>
      <c r="C1833" s="1">
        <f t="shared" si="446"/>
        <v>1</v>
      </c>
      <c r="D1833" s="1">
        <f t="shared" si="447"/>
        <v>0</v>
      </c>
      <c r="E1833" s="1">
        <f t="shared" si="448"/>
        <v>0</v>
      </c>
      <c r="F1833" s="1">
        <f t="shared" si="448"/>
        <v>0</v>
      </c>
      <c r="G1833" s="90" t="str">
        <f t="shared" si="449"/>
        <v>24090405</v>
      </c>
      <c r="H1833" s="91">
        <v>45539</v>
      </c>
      <c r="I1833" s="36">
        <v>5</v>
      </c>
      <c r="J1833" s="90" t="str">
        <f t="shared" si="439"/>
        <v>05</v>
      </c>
      <c r="K1833" s="92">
        <f t="shared" si="440"/>
        <v>24</v>
      </c>
      <c r="L1833" s="92">
        <f t="shared" si="441"/>
        <v>9</v>
      </c>
      <c r="M1833" s="92">
        <f t="shared" si="442"/>
        <v>4</v>
      </c>
      <c r="N1833" s="92" t="str">
        <f t="shared" si="443"/>
        <v>09</v>
      </c>
      <c r="O1833" s="93" t="str">
        <f t="shared" si="443"/>
        <v>04</v>
      </c>
      <c r="P1833" s="94">
        <v>133078.69</v>
      </c>
      <c r="Q1833" s="95"/>
      <c r="R1833" s="6">
        <v>514</v>
      </c>
      <c r="S1833" s="5">
        <f t="shared" si="444"/>
        <v>258.90795719844357</v>
      </c>
      <c r="T1833" s="95" t="s">
        <v>694</v>
      </c>
      <c r="U1833" s="92" t="s">
        <v>29</v>
      </c>
      <c r="V1833" s="92" t="s">
        <v>5</v>
      </c>
    </row>
    <row r="1834" spans="1:22">
      <c r="A1834" s="3">
        <v>1818</v>
      </c>
      <c r="B1834" s="1">
        <f t="shared" si="445"/>
        <v>0</v>
      </c>
      <c r="C1834" s="1">
        <f t="shared" si="446"/>
        <v>0</v>
      </c>
      <c r="D1834" s="1">
        <f t="shared" si="447"/>
        <v>0</v>
      </c>
      <c r="E1834" s="1">
        <f t="shared" si="448"/>
        <v>0</v>
      </c>
      <c r="F1834" s="1">
        <f t="shared" si="448"/>
        <v>0</v>
      </c>
      <c r="G1834" s="1" t="str">
        <f t="shared" si="449"/>
        <v>24090406</v>
      </c>
      <c r="H1834" s="2">
        <v>45539</v>
      </c>
      <c r="I1834" s="36">
        <v>6</v>
      </c>
      <c r="J1834" s="1" t="str">
        <f t="shared" si="439"/>
        <v>06</v>
      </c>
      <c r="K1834" s="3">
        <f t="shared" si="440"/>
        <v>24</v>
      </c>
      <c r="L1834" s="3">
        <f t="shared" si="441"/>
        <v>9</v>
      </c>
      <c r="M1834" s="3">
        <f t="shared" si="442"/>
        <v>4</v>
      </c>
      <c r="N1834" s="3" t="str">
        <f t="shared" si="443"/>
        <v>09</v>
      </c>
      <c r="O1834" s="14" t="str">
        <f t="shared" si="443"/>
        <v>04</v>
      </c>
      <c r="P1834" s="4">
        <v>21609.08</v>
      </c>
      <c r="R1834" s="6">
        <v>514</v>
      </c>
      <c r="S1834" s="5">
        <f t="shared" si="444"/>
        <v>42.041011673151758</v>
      </c>
      <c r="T1834" s="5" t="s">
        <v>830</v>
      </c>
      <c r="U1834" s="3" t="s">
        <v>29</v>
      </c>
      <c r="V1834" s="3" t="s">
        <v>5</v>
      </c>
    </row>
    <row r="1835" spans="1:22" hidden="1">
      <c r="J1835" s="1" t="str">
        <f t="shared" si="439"/>
        <v>0</v>
      </c>
      <c r="K1835" s="3">
        <f t="shared" si="440"/>
        <v>-100</v>
      </c>
      <c r="L1835" s="3">
        <f t="shared" si="441"/>
        <v>1</v>
      </c>
      <c r="M1835" s="3">
        <f t="shared" si="442"/>
        <v>0</v>
      </c>
      <c r="N1835" s="3" t="str">
        <f t="shared" si="443"/>
        <v>01</v>
      </c>
      <c r="O1835" s="14" t="str">
        <f t="shared" si="443"/>
        <v>00</v>
      </c>
      <c r="R1835" s="6">
        <v>515</v>
      </c>
      <c r="S1835" s="5">
        <f t="shared" si="444"/>
        <v>0</v>
      </c>
    </row>
    <row r="1836" spans="1:22" hidden="1">
      <c r="J1836" s="1" t="str">
        <f t="shared" si="439"/>
        <v>0</v>
      </c>
      <c r="K1836" s="3">
        <f t="shared" si="440"/>
        <v>-100</v>
      </c>
      <c r="L1836" s="3">
        <f t="shared" si="441"/>
        <v>1</v>
      </c>
      <c r="M1836" s="3">
        <f t="shared" si="442"/>
        <v>0</v>
      </c>
      <c r="N1836" s="3" t="str">
        <f t="shared" si="443"/>
        <v>01</v>
      </c>
      <c r="O1836" s="14" t="str">
        <f t="shared" si="443"/>
        <v>00</v>
      </c>
      <c r="R1836" s="6">
        <v>515</v>
      </c>
      <c r="S1836" s="5">
        <f t="shared" si="444"/>
        <v>0</v>
      </c>
    </row>
    <row r="1837" spans="1:22" hidden="1">
      <c r="J1837" s="1" t="str">
        <f t="shared" si="439"/>
        <v>0</v>
      </c>
      <c r="K1837" s="3">
        <f t="shared" si="440"/>
        <v>-100</v>
      </c>
      <c r="L1837" s="3">
        <f t="shared" si="441"/>
        <v>1</v>
      </c>
      <c r="M1837" s="3">
        <f t="shared" si="442"/>
        <v>0</v>
      </c>
      <c r="N1837" s="3" t="str">
        <f t="shared" si="443"/>
        <v>01</v>
      </c>
      <c r="O1837" s="14" t="str">
        <f t="shared" si="443"/>
        <v>00</v>
      </c>
      <c r="R1837" s="6">
        <v>515</v>
      </c>
      <c r="S1837" s="5">
        <f t="shared" si="444"/>
        <v>0</v>
      </c>
    </row>
    <row r="1838" spans="1:22" hidden="1">
      <c r="J1838" s="1" t="str">
        <f t="shared" si="439"/>
        <v>0</v>
      </c>
      <c r="K1838" s="3">
        <f t="shared" si="440"/>
        <v>-100</v>
      </c>
      <c r="L1838" s="3">
        <f t="shared" si="441"/>
        <v>1</v>
      </c>
      <c r="M1838" s="3">
        <f t="shared" si="442"/>
        <v>0</v>
      </c>
      <c r="N1838" s="3" t="str">
        <f t="shared" si="443"/>
        <v>01</v>
      </c>
      <c r="O1838" s="14" t="str">
        <f t="shared" si="443"/>
        <v>00</v>
      </c>
      <c r="R1838" s="6">
        <v>515</v>
      </c>
      <c r="S1838" s="5">
        <f t="shared" si="444"/>
        <v>0</v>
      </c>
    </row>
    <row r="1839" spans="1:22">
      <c r="A1839" s="3">
        <v>1823</v>
      </c>
      <c r="B1839" s="1">
        <f t="shared" si="445"/>
        <v>0</v>
      </c>
      <c r="C1839" s="1">
        <f t="shared" si="446"/>
        <v>0</v>
      </c>
      <c r="D1839" s="1">
        <f t="shared" si="447"/>
        <v>0</v>
      </c>
      <c r="E1839" s="1">
        <f t="shared" si="448"/>
        <v>0</v>
      </c>
      <c r="F1839" s="1">
        <f t="shared" si="448"/>
        <v>0</v>
      </c>
      <c r="G1839" s="1" t="str">
        <f t="shared" si="449"/>
        <v>24090601</v>
      </c>
      <c r="H1839" s="2">
        <v>45541</v>
      </c>
      <c r="I1839" s="36">
        <v>1</v>
      </c>
      <c r="J1839" s="1" t="str">
        <f t="shared" si="439"/>
        <v>01</v>
      </c>
      <c r="K1839" s="3">
        <f t="shared" si="440"/>
        <v>24</v>
      </c>
      <c r="L1839" s="3">
        <f t="shared" si="441"/>
        <v>9</v>
      </c>
      <c r="M1839" s="3">
        <f t="shared" si="442"/>
        <v>6</v>
      </c>
      <c r="N1839" s="3" t="str">
        <f t="shared" si="443"/>
        <v>09</v>
      </c>
      <c r="O1839" s="14" t="str">
        <f t="shared" si="443"/>
        <v>06</v>
      </c>
      <c r="P1839" s="4">
        <v>200000</v>
      </c>
      <c r="R1839" s="6">
        <v>513</v>
      </c>
      <c r="S1839" s="5">
        <f t="shared" si="444"/>
        <v>389.8635477582846</v>
      </c>
      <c r="T1839" s="5" t="s">
        <v>692</v>
      </c>
      <c r="U1839" s="3" t="s">
        <v>2</v>
      </c>
      <c r="V1839" s="3" t="s">
        <v>5</v>
      </c>
    </row>
    <row r="1840" spans="1:22">
      <c r="A1840" s="3">
        <v>1824</v>
      </c>
      <c r="B1840" s="1">
        <f t="shared" si="445"/>
        <v>0</v>
      </c>
      <c r="C1840" s="1">
        <f t="shared" si="446"/>
        <v>0</v>
      </c>
      <c r="D1840" s="1">
        <f t="shared" si="447"/>
        <v>0</v>
      </c>
      <c r="E1840" s="1">
        <f t="shared" si="448"/>
        <v>0</v>
      </c>
      <c r="F1840" s="1">
        <f t="shared" si="448"/>
        <v>0</v>
      </c>
      <c r="G1840" s="1" t="str">
        <f t="shared" si="449"/>
        <v>24090602</v>
      </c>
      <c r="H1840" s="2">
        <v>45541</v>
      </c>
      <c r="I1840" s="36">
        <v>2</v>
      </c>
      <c r="J1840" s="1" t="str">
        <f t="shared" si="439"/>
        <v>02</v>
      </c>
      <c r="K1840" s="3">
        <f t="shared" si="440"/>
        <v>24</v>
      </c>
      <c r="L1840" s="3">
        <f t="shared" si="441"/>
        <v>9</v>
      </c>
      <c r="M1840" s="3">
        <f t="shared" si="442"/>
        <v>6</v>
      </c>
      <c r="N1840" s="3" t="str">
        <f t="shared" si="443"/>
        <v>09</v>
      </c>
      <c r="O1840" s="14" t="str">
        <f t="shared" si="443"/>
        <v>06</v>
      </c>
      <c r="P1840" s="4">
        <v>780638.13</v>
      </c>
      <c r="R1840" s="6">
        <v>513</v>
      </c>
      <c r="S1840" s="5">
        <f t="shared" si="444"/>
        <v>1521.7117543859649</v>
      </c>
      <c r="T1840" s="5" t="s">
        <v>1198</v>
      </c>
      <c r="U1840" s="3" t="s">
        <v>2</v>
      </c>
      <c r="V1840" s="3" t="s">
        <v>5</v>
      </c>
    </row>
    <row r="1841" spans="1:22" hidden="1">
      <c r="J1841" s="1" t="str">
        <f t="shared" si="439"/>
        <v>0</v>
      </c>
      <c r="K1841" s="3">
        <f t="shared" si="440"/>
        <v>-100</v>
      </c>
      <c r="L1841" s="3">
        <f t="shared" si="441"/>
        <v>1</v>
      </c>
      <c r="M1841" s="3">
        <f t="shared" si="442"/>
        <v>0</v>
      </c>
      <c r="N1841" s="3" t="str">
        <f t="shared" ref="N1841:O1871" si="450">+IF(L1841&lt;10,_xlfn.CONCAT("0",L1841),L1841)</f>
        <v>01</v>
      </c>
      <c r="O1841" s="14" t="str">
        <f t="shared" si="450"/>
        <v>00</v>
      </c>
      <c r="R1841" s="6">
        <v>513</v>
      </c>
      <c r="S1841" s="5">
        <f t="shared" si="444"/>
        <v>0</v>
      </c>
    </row>
    <row r="1842" spans="1:22" hidden="1">
      <c r="J1842" s="1" t="str">
        <f t="shared" si="439"/>
        <v>0</v>
      </c>
      <c r="K1842" s="3">
        <f t="shared" si="440"/>
        <v>-100</v>
      </c>
      <c r="L1842" s="3">
        <f t="shared" si="441"/>
        <v>1</v>
      </c>
      <c r="M1842" s="3">
        <f t="shared" si="442"/>
        <v>0</v>
      </c>
      <c r="N1842" s="3" t="str">
        <f t="shared" si="450"/>
        <v>01</v>
      </c>
      <c r="O1842" s="14" t="str">
        <f t="shared" si="450"/>
        <v>00</v>
      </c>
      <c r="R1842" s="6">
        <v>513</v>
      </c>
      <c r="S1842" s="5">
        <f t="shared" si="444"/>
        <v>0</v>
      </c>
    </row>
    <row r="1843" spans="1:22" hidden="1">
      <c r="J1843" s="1" t="str">
        <f t="shared" si="439"/>
        <v>0</v>
      </c>
      <c r="K1843" s="3">
        <f t="shared" si="440"/>
        <v>-100</v>
      </c>
      <c r="L1843" s="3">
        <f t="shared" si="441"/>
        <v>1</v>
      </c>
      <c r="M1843" s="3">
        <f t="shared" si="442"/>
        <v>0</v>
      </c>
      <c r="N1843" s="3" t="str">
        <f t="shared" si="450"/>
        <v>01</v>
      </c>
      <c r="O1843" s="14" t="str">
        <f t="shared" si="450"/>
        <v>00</v>
      </c>
      <c r="R1843" s="6">
        <v>513</v>
      </c>
      <c r="S1843" s="5">
        <f t="shared" si="444"/>
        <v>0</v>
      </c>
    </row>
    <row r="1844" spans="1:22" hidden="1">
      <c r="J1844" s="1" t="str">
        <f t="shared" si="439"/>
        <v>0</v>
      </c>
      <c r="K1844" s="3">
        <f t="shared" si="440"/>
        <v>-100</v>
      </c>
      <c r="L1844" s="3">
        <f t="shared" si="441"/>
        <v>1</v>
      </c>
      <c r="M1844" s="3">
        <f t="shared" si="442"/>
        <v>0</v>
      </c>
      <c r="N1844" s="3" t="str">
        <f t="shared" si="450"/>
        <v>01</v>
      </c>
      <c r="O1844" s="14" t="str">
        <f t="shared" si="450"/>
        <v>00</v>
      </c>
      <c r="S1844" s="5" t="str">
        <f t="shared" si="444"/>
        <v/>
      </c>
    </row>
    <row r="1845" spans="1:22">
      <c r="A1845" s="3">
        <v>1829</v>
      </c>
      <c r="B1845" s="1">
        <f t="shared" si="445"/>
        <v>0</v>
      </c>
      <c r="C1845" s="1">
        <f t="shared" si="446"/>
        <v>0</v>
      </c>
      <c r="D1845" s="1">
        <f t="shared" si="447"/>
        <v>0</v>
      </c>
      <c r="E1845" s="1">
        <f t="shared" si="448"/>
        <v>0</v>
      </c>
      <c r="F1845" s="1">
        <f t="shared" si="448"/>
        <v>0</v>
      </c>
      <c r="G1845" s="1" t="str">
        <f t="shared" si="449"/>
        <v>24090701</v>
      </c>
      <c r="H1845" s="2">
        <v>45542</v>
      </c>
      <c r="I1845" s="36">
        <v>1</v>
      </c>
      <c r="J1845" s="1" t="str">
        <f t="shared" si="439"/>
        <v>01</v>
      </c>
      <c r="K1845" s="3">
        <f t="shared" si="440"/>
        <v>24</v>
      </c>
      <c r="L1845" s="3">
        <f t="shared" si="441"/>
        <v>9</v>
      </c>
      <c r="M1845" s="3">
        <f t="shared" si="442"/>
        <v>7</v>
      </c>
      <c r="N1845" s="3" t="str">
        <f t="shared" si="450"/>
        <v>09</v>
      </c>
      <c r="O1845" s="14" t="str">
        <f t="shared" si="450"/>
        <v>07</v>
      </c>
      <c r="P1845" s="4">
        <v>1015948.54</v>
      </c>
      <c r="R1845" s="6">
        <v>513</v>
      </c>
      <c r="S1845" s="5">
        <f t="shared" si="444"/>
        <v>1980.4065107212477</v>
      </c>
      <c r="T1845" s="5" t="s">
        <v>723</v>
      </c>
      <c r="U1845" s="3" t="s">
        <v>2</v>
      </c>
      <c r="V1845" s="3" t="s">
        <v>5</v>
      </c>
    </row>
    <row r="1846" spans="1:22" hidden="1">
      <c r="J1846" s="1" t="str">
        <f t="shared" si="439"/>
        <v>0</v>
      </c>
      <c r="K1846" s="3">
        <f t="shared" si="440"/>
        <v>-100</v>
      </c>
      <c r="L1846" s="3">
        <f t="shared" si="441"/>
        <v>1</v>
      </c>
      <c r="M1846" s="3">
        <f t="shared" si="442"/>
        <v>0</v>
      </c>
      <c r="N1846" s="3" t="str">
        <f t="shared" si="450"/>
        <v>01</v>
      </c>
      <c r="O1846" s="14" t="str">
        <f t="shared" si="450"/>
        <v>00</v>
      </c>
      <c r="R1846" s="6">
        <v>513</v>
      </c>
      <c r="S1846" s="5">
        <f t="shared" si="444"/>
        <v>0</v>
      </c>
    </row>
    <row r="1847" spans="1:22" hidden="1">
      <c r="J1847" s="1" t="str">
        <f t="shared" si="439"/>
        <v>0</v>
      </c>
      <c r="K1847" s="3">
        <f t="shared" si="440"/>
        <v>-100</v>
      </c>
      <c r="L1847" s="3">
        <f t="shared" si="441"/>
        <v>1</v>
      </c>
      <c r="M1847" s="3">
        <f t="shared" si="442"/>
        <v>0</v>
      </c>
      <c r="N1847" s="3" t="str">
        <f t="shared" si="450"/>
        <v>01</v>
      </c>
      <c r="O1847" s="14" t="str">
        <f t="shared" si="450"/>
        <v>00</v>
      </c>
      <c r="R1847" s="6">
        <v>513</v>
      </c>
      <c r="S1847" s="5">
        <f t="shared" si="444"/>
        <v>0</v>
      </c>
    </row>
    <row r="1848" spans="1:22" hidden="1">
      <c r="J1848" s="1" t="str">
        <f t="shared" si="439"/>
        <v>0</v>
      </c>
      <c r="K1848" s="3">
        <f t="shared" si="440"/>
        <v>-100</v>
      </c>
      <c r="L1848" s="3">
        <f t="shared" si="441"/>
        <v>1</v>
      </c>
      <c r="M1848" s="3">
        <f t="shared" si="442"/>
        <v>0</v>
      </c>
      <c r="N1848" s="3" t="str">
        <f t="shared" si="450"/>
        <v>01</v>
      </c>
      <c r="O1848" s="14" t="str">
        <f t="shared" si="450"/>
        <v>00</v>
      </c>
      <c r="R1848" s="6">
        <v>513</v>
      </c>
      <c r="S1848" s="5">
        <f t="shared" si="444"/>
        <v>0</v>
      </c>
    </row>
    <row r="1849" spans="1:22" hidden="1">
      <c r="J1849" s="1" t="str">
        <f t="shared" si="439"/>
        <v>0</v>
      </c>
      <c r="K1849" s="3">
        <f t="shared" si="440"/>
        <v>-100</v>
      </c>
      <c r="L1849" s="3">
        <f t="shared" si="441"/>
        <v>1</v>
      </c>
      <c r="M1849" s="3">
        <f t="shared" si="442"/>
        <v>0</v>
      </c>
      <c r="N1849" s="3" t="str">
        <f t="shared" si="450"/>
        <v>01</v>
      </c>
      <c r="O1849" s="14" t="str">
        <f t="shared" si="450"/>
        <v>00</v>
      </c>
      <c r="P1849" s="120"/>
      <c r="R1849" s="6">
        <v>513</v>
      </c>
      <c r="S1849" s="5">
        <f t="shared" si="444"/>
        <v>0</v>
      </c>
      <c r="T1849" s="3"/>
    </row>
    <row r="1850" spans="1:22">
      <c r="A1850" s="3">
        <v>1835</v>
      </c>
      <c r="B1850" s="1">
        <f t="shared" ref="B1850:B1869" si="451">IF(G1850="-",0,IF(G1849=G1850,1,0))</f>
        <v>0</v>
      </c>
      <c r="C1850" s="1">
        <f t="shared" ref="C1850:C1869" si="452">+IF(G1850="-",0,IF(I1850=I1849+1,0,(IF(I1850=1,0,1))))</f>
        <v>1</v>
      </c>
      <c r="D1850" s="1">
        <f t="shared" si="447"/>
        <v>0</v>
      </c>
      <c r="E1850" s="1">
        <f t="shared" ref="E1850:F1869" si="453">IF(U1850="",1,0)</f>
        <v>1</v>
      </c>
      <c r="F1850" s="1">
        <f t="shared" si="453"/>
        <v>0</v>
      </c>
      <c r="G1850" s="1" t="str">
        <f t="shared" si="449"/>
        <v>24090706</v>
      </c>
      <c r="H1850" s="2">
        <v>45542</v>
      </c>
      <c r="I1850" s="36">
        <v>6</v>
      </c>
      <c r="J1850" s="1" t="str">
        <f t="shared" si="439"/>
        <v>06</v>
      </c>
      <c r="K1850" s="3">
        <f t="shared" si="440"/>
        <v>24</v>
      </c>
      <c r="L1850" s="3">
        <f t="shared" si="441"/>
        <v>9</v>
      </c>
      <c r="M1850" s="3">
        <f t="shared" si="442"/>
        <v>7</v>
      </c>
      <c r="N1850" s="3" t="str">
        <f t="shared" si="450"/>
        <v>09</v>
      </c>
      <c r="O1850" s="14" t="str">
        <f t="shared" si="450"/>
        <v>07</v>
      </c>
      <c r="P1850" s="120">
        <v>102000</v>
      </c>
      <c r="R1850" s="6">
        <v>513</v>
      </c>
      <c r="S1850" s="5">
        <f t="shared" si="444"/>
        <v>198.83040935672514</v>
      </c>
      <c r="T1850" s="28" t="s">
        <v>708</v>
      </c>
      <c r="V1850" s="3" t="s">
        <v>5</v>
      </c>
    </row>
    <row r="1851" spans="1:22">
      <c r="A1851" s="3">
        <v>1836</v>
      </c>
      <c r="B1851" s="1">
        <f t="shared" si="451"/>
        <v>0</v>
      </c>
      <c r="C1851" s="1">
        <f t="shared" si="452"/>
        <v>0</v>
      </c>
      <c r="D1851" s="1">
        <f t="shared" si="447"/>
        <v>0</v>
      </c>
      <c r="E1851" s="1">
        <f t="shared" si="453"/>
        <v>1</v>
      </c>
      <c r="F1851" s="1">
        <f t="shared" si="453"/>
        <v>0</v>
      </c>
      <c r="G1851" s="1" t="str">
        <f t="shared" si="449"/>
        <v>24090707</v>
      </c>
      <c r="H1851" s="2">
        <v>45542</v>
      </c>
      <c r="I1851" s="36">
        <v>7</v>
      </c>
      <c r="J1851" s="1" t="str">
        <f t="shared" si="439"/>
        <v>07</v>
      </c>
      <c r="K1851" s="3">
        <f t="shared" si="440"/>
        <v>24</v>
      </c>
      <c r="L1851" s="3">
        <f t="shared" si="441"/>
        <v>9</v>
      </c>
      <c r="M1851" s="3">
        <f t="shared" si="442"/>
        <v>7</v>
      </c>
      <c r="N1851" s="3" t="str">
        <f t="shared" si="450"/>
        <v>09</v>
      </c>
      <c r="O1851" s="14" t="str">
        <f t="shared" si="450"/>
        <v>07</v>
      </c>
      <c r="P1851" s="22">
        <v>150000</v>
      </c>
      <c r="R1851" s="6">
        <v>513</v>
      </c>
      <c r="S1851" s="5">
        <f t="shared" si="444"/>
        <v>292.39766081871346</v>
      </c>
      <c r="T1851" s="28" t="s">
        <v>709</v>
      </c>
      <c r="V1851" s="3" t="s">
        <v>5</v>
      </c>
    </row>
    <row r="1852" spans="1:22">
      <c r="A1852" s="3">
        <v>1837</v>
      </c>
      <c r="B1852" s="1">
        <f t="shared" si="451"/>
        <v>0</v>
      </c>
      <c r="C1852" s="1">
        <f t="shared" si="452"/>
        <v>0</v>
      </c>
      <c r="D1852" s="1">
        <f t="shared" si="447"/>
        <v>0</v>
      </c>
      <c r="E1852" s="1">
        <f t="shared" si="453"/>
        <v>1</v>
      </c>
      <c r="F1852" s="1">
        <f t="shared" si="453"/>
        <v>0</v>
      </c>
      <c r="G1852" s="1" t="str">
        <f t="shared" si="449"/>
        <v>24090708</v>
      </c>
      <c r="H1852" s="2">
        <v>45542</v>
      </c>
      <c r="I1852" s="36">
        <v>8</v>
      </c>
      <c r="J1852" s="1" t="str">
        <f t="shared" si="439"/>
        <v>08</v>
      </c>
      <c r="K1852" s="3">
        <f t="shared" si="440"/>
        <v>24</v>
      </c>
      <c r="L1852" s="3">
        <f t="shared" si="441"/>
        <v>9</v>
      </c>
      <c r="M1852" s="3">
        <f t="shared" si="442"/>
        <v>7</v>
      </c>
      <c r="N1852" s="3" t="str">
        <f t="shared" si="450"/>
        <v>09</v>
      </c>
      <c r="O1852" s="14" t="str">
        <f t="shared" si="450"/>
        <v>07</v>
      </c>
      <c r="P1852" s="22">
        <v>102000</v>
      </c>
      <c r="R1852" s="6">
        <v>513</v>
      </c>
      <c r="S1852" s="5">
        <f t="shared" si="444"/>
        <v>198.83040935672514</v>
      </c>
      <c r="T1852" s="28" t="s">
        <v>710</v>
      </c>
      <c r="V1852" s="3" t="s">
        <v>5</v>
      </c>
    </row>
    <row r="1853" spans="1:22">
      <c r="A1853" s="3">
        <v>1838</v>
      </c>
      <c r="B1853" s="1">
        <f t="shared" si="451"/>
        <v>0</v>
      </c>
      <c r="C1853" s="1">
        <f t="shared" si="452"/>
        <v>0</v>
      </c>
      <c r="D1853" s="1">
        <f t="shared" si="447"/>
        <v>0</v>
      </c>
      <c r="E1853" s="1">
        <f t="shared" si="453"/>
        <v>1</v>
      </c>
      <c r="F1853" s="1">
        <f t="shared" si="453"/>
        <v>0</v>
      </c>
      <c r="G1853" s="1" t="str">
        <f t="shared" si="449"/>
        <v>24090709</v>
      </c>
      <c r="H1853" s="2">
        <v>45542</v>
      </c>
      <c r="I1853" s="36">
        <v>9</v>
      </c>
      <c r="J1853" s="1" t="str">
        <f t="shared" si="439"/>
        <v>09</v>
      </c>
      <c r="K1853" s="3">
        <f t="shared" si="440"/>
        <v>24</v>
      </c>
      <c r="L1853" s="3">
        <f t="shared" si="441"/>
        <v>9</v>
      </c>
      <c r="M1853" s="3">
        <f t="shared" si="442"/>
        <v>7</v>
      </c>
      <c r="N1853" s="3" t="str">
        <f t="shared" si="450"/>
        <v>09</v>
      </c>
      <c r="O1853" s="14" t="str">
        <f t="shared" si="450"/>
        <v>07</v>
      </c>
      <c r="P1853" s="22">
        <v>150000</v>
      </c>
      <c r="R1853" s="6">
        <v>513</v>
      </c>
      <c r="S1853" s="5">
        <f t="shared" si="444"/>
        <v>292.39766081871346</v>
      </c>
      <c r="T1853" s="28" t="s">
        <v>577</v>
      </c>
      <c r="V1853" s="3" t="s">
        <v>5</v>
      </c>
    </row>
    <row r="1854" spans="1:22" hidden="1">
      <c r="J1854" s="1" t="str">
        <f t="shared" si="439"/>
        <v>0</v>
      </c>
      <c r="K1854" s="3">
        <f t="shared" si="440"/>
        <v>-100</v>
      </c>
      <c r="L1854" s="3">
        <f t="shared" si="441"/>
        <v>1</v>
      </c>
      <c r="M1854" s="3">
        <f t="shared" si="442"/>
        <v>0</v>
      </c>
      <c r="N1854" s="3" t="str">
        <f t="shared" si="450"/>
        <v>01</v>
      </c>
      <c r="O1854" s="14" t="str">
        <f t="shared" si="450"/>
        <v>00</v>
      </c>
      <c r="P1854" s="121"/>
      <c r="R1854" s="6">
        <v>513</v>
      </c>
      <c r="S1854" s="5">
        <f t="shared" si="444"/>
        <v>0</v>
      </c>
      <c r="T1854" s="28"/>
    </row>
    <row r="1855" spans="1:22" hidden="1">
      <c r="J1855" s="1" t="str">
        <f t="shared" si="439"/>
        <v>0</v>
      </c>
      <c r="K1855" s="3">
        <f t="shared" si="440"/>
        <v>-100</v>
      </c>
      <c r="L1855" s="3">
        <f t="shared" si="441"/>
        <v>1</v>
      </c>
      <c r="M1855" s="3">
        <f t="shared" si="442"/>
        <v>0</v>
      </c>
      <c r="N1855" s="3" t="str">
        <f t="shared" si="450"/>
        <v>01</v>
      </c>
      <c r="O1855" s="14" t="str">
        <f t="shared" si="450"/>
        <v>00</v>
      </c>
      <c r="P1855" s="121"/>
      <c r="R1855" s="6">
        <v>513</v>
      </c>
      <c r="S1855" s="5">
        <f t="shared" si="444"/>
        <v>0</v>
      </c>
      <c r="T1855" s="28"/>
    </row>
    <row r="1856" spans="1:22" hidden="1">
      <c r="J1856" s="1" t="str">
        <f t="shared" si="439"/>
        <v>0</v>
      </c>
      <c r="K1856" s="3">
        <f t="shared" si="440"/>
        <v>-100</v>
      </c>
      <c r="L1856" s="3">
        <f t="shared" si="441"/>
        <v>1</v>
      </c>
      <c r="M1856" s="3">
        <f t="shared" si="442"/>
        <v>0</v>
      </c>
      <c r="N1856" s="3" t="str">
        <f t="shared" si="450"/>
        <v>01</v>
      </c>
      <c r="O1856" s="14" t="str">
        <f t="shared" si="450"/>
        <v>00</v>
      </c>
      <c r="P1856" s="121"/>
      <c r="R1856" s="6">
        <v>513</v>
      </c>
      <c r="S1856" s="5">
        <f t="shared" si="444"/>
        <v>0</v>
      </c>
      <c r="T1856" s="28"/>
    </row>
    <row r="1857" spans="1:22" hidden="1">
      <c r="J1857" s="1" t="str">
        <f t="shared" si="439"/>
        <v>0</v>
      </c>
      <c r="K1857" s="3">
        <f t="shared" si="440"/>
        <v>-100</v>
      </c>
      <c r="L1857" s="3">
        <f t="shared" si="441"/>
        <v>1</v>
      </c>
      <c r="M1857" s="3">
        <f t="shared" si="442"/>
        <v>0</v>
      </c>
      <c r="N1857" s="3" t="str">
        <f t="shared" si="450"/>
        <v>01</v>
      </c>
      <c r="O1857" s="14" t="str">
        <f t="shared" si="450"/>
        <v>00</v>
      </c>
      <c r="P1857" s="121"/>
      <c r="R1857" s="6">
        <v>513</v>
      </c>
      <c r="S1857" s="5">
        <f t="shared" si="444"/>
        <v>0</v>
      </c>
      <c r="T1857" s="28"/>
    </row>
    <row r="1858" spans="1:22">
      <c r="A1858" s="3">
        <v>1843</v>
      </c>
      <c r="B1858" s="1">
        <f t="shared" si="451"/>
        <v>0</v>
      </c>
      <c r="C1858" s="1">
        <f t="shared" si="452"/>
        <v>1</v>
      </c>
      <c r="D1858" s="1">
        <f t="shared" si="447"/>
        <v>0</v>
      </c>
      <c r="E1858" s="1">
        <f t="shared" si="453"/>
        <v>1</v>
      </c>
      <c r="F1858" s="1">
        <f t="shared" si="453"/>
        <v>0</v>
      </c>
      <c r="G1858" s="1" t="str">
        <f t="shared" si="449"/>
        <v>24090714</v>
      </c>
      <c r="H1858" s="2">
        <v>45542</v>
      </c>
      <c r="I1858" s="36">
        <v>14</v>
      </c>
      <c r="J1858" s="1">
        <f t="shared" si="439"/>
        <v>14</v>
      </c>
      <c r="K1858" s="3">
        <f t="shared" si="440"/>
        <v>24</v>
      </c>
      <c r="L1858" s="3">
        <f t="shared" si="441"/>
        <v>9</v>
      </c>
      <c r="M1858" s="3">
        <f t="shared" si="442"/>
        <v>7</v>
      </c>
      <c r="N1858" s="3" t="str">
        <f t="shared" si="450"/>
        <v>09</v>
      </c>
      <c r="O1858" s="14" t="str">
        <f t="shared" si="450"/>
        <v>07</v>
      </c>
      <c r="P1858" s="121">
        <v>120000</v>
      </c>
      <c r="R1858" s="6">
        <v>513</v>
      </c>
      <c r="S1858" s="5">
        <f t="shared" si="444"/>
        <v>233.91812865497076</v>
      </c>
      <c r="T1858" s="28" t="s">
        <v>714</v>
      </c>
      <c r="V1858" s="3" t="s">
        <v>5</v>
      </c>
    </row>
    <row r="1859" spans="1:22" hidden="1">
      <c r="J1859" s="1" t="str">
        <f t="shared" si="439"/>
        <v>0</v>
      </c>
      <c r="K1859" s="3">
        <f t="shared" si="440"/>
        <v>-100</v>
      </c>
      <c r="L1859" s="3">
        <f t="shared" si="441"/>
        <v>1</v>
      </c>
      <c r="M1859" s="3">
        <f t="shared" si="442"/>
        <v>0</v>
      </c>
      <c r="N1859" s="3" t="str">
        <f t="shared" si="450"/>
        <v>01</v>
      </c>
      <c r="O1859" s="14" t="str">
        <f t="shared" si="450"/>
        <v>00</v>
      </c>
      <c r="P1859" s="26"/>
      <c r="R1859" s="6">
        <v>513</v>
      </c>
      <c r="S1859" s="5">
        <f t="shared" si="444"/>
        <v>0</v>
      </c>
      <c r="T1859" s="28"/>
    </row>
    <row r="1860" spans="1:22" hidden="1">
      <c r="J1860" s="1" t="str">
        <f t="shared" si="439"/>
        <v>0</v>
      </c>
      <c r="K1860" s="3">
        <f t="shared" si="440"/>
        <v>-100</v>
      </c>
      <c r="L1860" s="3">
        <f t="shared" si="441"/>
        <v>1</v>
      </c>
      <c r="M1860" s="3">
        <f t="shared" si="442"/>
        <v>0</v>
      </c>
      <c r="N1860" s="3" t="str">
        <f t="shared" si="450"/>
        <v>01</v>
      </c>
      <c r="O1860" s="14" t="str">
        <f t="shared" si="450"/>
        <v>00</v>
      </c>
      <c r="P1860" s="26"/>
      <c r="R1860" s="6">
        <v>513</v>
      </c>
      <c r="S1860" s="5">
        <f t="shared" si="444"/>
        <v>0</v>
      </c>
      <c r="T1860" s="28"/>
    </row>
    <row r="1861" spans="1:22" hidden="1">
      <c r="J1861" s="1" t="str">
        <f t="shared" si="439"/>
        <v>0</v>
      </c>
      <c r="K1861" s="3">
        <f t="shared" si="440"/>
        <v>-100</v>
      </c>
      <c r="L1861" s="3">
        <f t="shared" si="441"/>
        <v>1</v>
      </c>
      <c r="M1861" s="3">
        <f t="shared" si="442"/>
        <v>0</v>
      </c>
      <c r="N1861" s="3" t="str">
        <f t="shared" si="450"/>
        <v>01</v>
      </c>
      <c r="O1861" s="14" t="str">
        <f t="shared" si="450"/>
        <v>00</v>
      </c>
      <c r="P1861" s="26"/>
      <c r="R1861" s="6">
        <v>513</v>
      </c>
      <c r="S1861" s="5">
        <f t="shared" si="444"/>
        <v>0</v>
      </c>
      <c r="T1861" s="28"/>
    </row>
    <row r="1862" spans="1:22" hidden="1">
      <c r="J1862" s="1" t="str">
        <f t="shared" si="439"/>
        <v>0</v>
      </c>
      <c r="K1862" s="3">
        <f t="shared" si="440"/>
        <v>-100</v>
      </c>
      <c r="L1862" s="3">
        <f t="shared" si="441"/>
        <v>1</v>
      </c>
      <c r="M1862" s="3">
        <f t="shared" si="442"/>
        <v>0</v>
      </c>
      <c r="N1862" s="3" t="str">
        <f t="shared" si="450"/>
        <v>01</v>
      </c>
      <c r="O1862" s="14" t="str">
        <f t="shared" si="450"/>
        <v>00</v>
      </c>
      <c r="P1862" s="26"/>
      <c r="R1862" s="6">
        <v>513</v>
      </c>
      <c r="S1862" s="5">
        <f t="shared" si="444"/>
        <v>0</v>
      </c>
      <c r="T1862" s="28"/>
    </row>
    <row r="1863" spans="1:22">
      <c r="A1863" s="3">
        <v>1848</v>
      </c>
      <c r="B1863" s="1">
        <f t="shared" si="451"/>
        <v>0</v>
      </c>
      <c r="C1863" s="1">
        <f t="shared" si="452"/>
        <v>1</v>
      </c>
      <c r="D1863" s="1">
        <f t="shared" si="447"/>
        <v>0</v>
      </c>
      <c r="E1863" s="1">
        <f t="shared" si="453"/>
        <v>1</v>
      </c>
      <c r="F1863" s="1">
        <f t="shared" si="453"/>
        <v>0</v>
      </c>
      <c r="G1863" s="1" t="str">
        <f t="shared" si="449"/>
        <v>24090719</v>
      </c>
      <c r="H1863" s="2">
        <v>45542</v>
      </c>
      <c r="I1863" s="36">
        <v>19</v>
      </c>
      <c r="J1863" s="1">
        <f t="shared" si="439"/>
        <v>19</v>
      </c>
      <c r="K1863" s="3">
        <f t="shared" si="440"/>
        <v>24</v>
      </c>
      <c r="L1863" s="3">
        <f t="shared" si="441"/>
        <v>9</v>
      </c>
      <c r="M1863" s="3">
        <f t="shared" si="442"/>
        <v>7</v>
      </c>
      <c r="N1863" s="3" t="str">
        <f t="shared" si="450"/>
        <v>09</v>
      </c>
      <c r="O1863" s="14" t="str">
        <f t="shared" si="450"/>
        <v>07</v>
      </c>
      <c r="P1863" s="26">
        <v>120000</v>
      </c>
      <c r="R1863" s="6">
        <v>513</v>
      </c>
      <c r="S1863" s="5">
        <f t="shared" si="444"/>
        <v>233.91812865497076</v>
      </c>
      <c r="T1863" s="28" t="s">
        <v>719</v>
      </c>
      <c r="V1863" s="3" t="s">
        <v>5</v>
      </c>
    </row>
    <row r="1864" spans="1:22">
      <c r="A1864" s="3">
        <v>1849</v>
      </c>
      <c r="B1864" s="1">
        <f t="shared" si="451"/>
        <v>0</v>
      </c>
      <c r="C1864" s="1">
        <f t="shared" si="452"/>
        <v>0</v>
      </c>
      <c r="D1864" s="1">
        <f t="shared" si="447"/>
        <v>0</v>
      </c>
      <c r="E1864" s="1">
        <f t="shared" si="453"/>
        <v>1</v>
      </c>
      <c r="F1864" s="1">
        <f t="shared" si="453"/>
        <v>0</v>
      </c>
      <c r="G1864" s="1" t="str">
        <f t="shared" si="449"/>
        <v>24090720</v>
      </c>
      <c r="H1864" s="2">
        <v>45542</v>
      </c>
      <c r="I1864" s="36">
        <v>20</v>
      </c>
      <c r="J1864" s="1">
        <f t="shared" si="439"/>
        <v>20</v>
      </c>
      <c r="K1864" s="3">
        <f t="shared" si="440"/>
        <v>24</v>
      </c>
      <c r="L1864" s="3">
        <f t="shared" si="441"/>
        <v>9</v>
      </c>
      <c r="M1864" s="3">
        <f t="shared" si="442"/>
        <v>7</v>
      </c>
      <c r="N1864" s="3" t="str">
        <f t="shared" si="450"/>
        <v>09</v>
      </c>
      <c r="O1864" s="14" t="str">
        <f t="shared" si="450"/>
        <v>07</v>
      </c>
      <c r="P1864" s="26">
        <v>102000</v>
      </c>
      <c r="R1864" s="6">
        <v>513</v>
      </c>
      <c r="S1864" s="5">
        <f t="shared" si="444"/>
        <v>198.83040935672514</v>
      </c>
      <c r="T1864" s="28" t="s">
        <v>720</v>
      </c>
      <c r="V1864" s="3" t="s">
        <v>5</v>
      </c>
    </row>
    <row r="1865" spans="1:22" hidden="1">
      <c r="J1865" s="1" t="str">
        <f t="shared" si="439"/>
        <v>0</v>
      </c>
      <c r="K1865" s="3">
        <f t="shared" si="440"/>
        <v>-100</v>
      </c>
      <c r="L1865" s="3">
        <f t="shared" si="441"/>
        <v>1</v>
      </c>
      <c r="M1865" s="3">
        <f t="shared" si="442"/>
        <v>0</v>
      </c>
      <c r="N1865" s="3" t="str">
        <f t="shared" si="450"/>
        <v>01</v>
      </c>
      <c r="O1865" s="14" t="str">
        <f t="shared" si="450"/>
        <v>00</v>
      </c>
      <c r="P1865" s="26"/>
      <c r="R1865" s="6">
        <v>513</v>
      </c>
      <c r="S1865" s="5">
        <f t="shared" si="444"/>
        <v>0</v>
      </c>
      <c r="T1865" s="28"/>
    </row>
    <row r="1866" spans="1:22">
      <c r="A1866" s="3">
        <v>1851</v>
      </c>
      <c r="B1866" s="1">
        <f t="shared" si="451"/>
        <v>0</v>
      </c>
      <c r="C1866" s="1">
        <f t="shared" si="452"/>
        <v>1</v>
      </c>
      <c r="D1866" s="1">
        <f t="shared" si="447"/>
        <v>0</v>
      </c>
      <c r="E1866" s="1">
        <f t="shared" si="453"/>
        <v>1</v>
      </c>
      <c r="F1866" s="1">
        <f t="shared" si="453"/>
        <v>0</v>
      </c>
      <c r="G1866" s="1" t="str">
        <f t="shared" si="449"/>
        <v>24090722</v>
      </c>
      <c r="H1866" s="2">
        <v>45542</v>
      </c>
      <c r="I1866" s="36">
        <v>22</v>
      </c>
      <c r="J1866" s="1">
        <f t="shared" si="439"/>
        <v>22</v>
      </c>
      <c r="K1866" s="3">
        <f t="shared" si="440"/>
        <v>24</v>
      </c>
      <c r="L1866" s="3">
        <f t="shared" si="441"/>
        <v>9</v>
      </c>
      <c r="M1866" s="3">
        <f t="shared" si="442"/>
        <v>7</v>
      </c>
      <c r="N1866" s="3" t="str">
        <f t="shared" si="450"/>
        <v>09</v>
      </c>
      <c r="O1866" s="14" t="str">
        <f t="shared" si="450"/>
        <v>07</v>
      </c>
      <c r="P1866" s="26">
        <v>230000</v>
      </c>
      <c r="R1866" s="6">
        <v>513</v>
      </c>
      <c r="S1866" s="5">
        <f t="shared" si="444"/>
        <v>448.3430799220273</v>
      </c>
      <c r="T1866" s="28" t="s">
        <v>668</v>
      </c>
      <c r="V1866" s="3" t="s">
        <v>5</v>
      </c>
    </row>
    <row r="1867" spans="1:22">
      <c r="A1867" s="3">
        <v>1852</v>
      </c>
      <c r="B1867" s="1">
        <f t="shared" si="451"/>
        <v>0</v>
      </c>
      <c r="C1867" s="1">
        <f t="shared" si="452"/>
        <v>0</v>
      </c>
      <c r="D1867" s="1">
        <f t="shared" si="447"/>
        <v>0</v>
      </c>
      <c r="E1867" s="1">
        <f t="shared" si="453"/>
        <v>1</v>
      </c>
      <c r="F1867" s="1">
        <f t="shared" si="453"/>
        <v>0</v>
      </c>
      <c r="G1867" s="1" t="str">
        <f t="shared" si="449"/>
        <v>24090723</v>
      </c>
      <c r="H1867" s="2">
        <v>45542</v>
      </c>
      <c r="I1867" s="36">
        <v>23</v>
      </c>
      <c r="J1867" s="1">
        <f t="shared" si="439"/>
        <v>23</v>
      </c>
      <c r="K1867" s="3">
        <f t="shared" si="440"/>
        <v>24</v>
      </c>
      <c r="L1867" s="3">
        <f t="shared" si="441"/>
        <v>9</v>
      </c>
      <c r="M1867" s="3">
        <f t="shared" si="442"/>
        <v>7</v>
      </c>
      <c r="N1867" s="3" t="str">
        <f t="shared" si="450"/>
        <v>09</v>
      </c>
      <c r="O1867" s="14" t="str">
        <f t="shared" si="450"/>
        <v>07</v>
      </c>
      <c r="P1867" s="26">
        <v>90000</v>
      </c>
      <c r="R1867" s="6">
        <v>513</v>
      </c>
      <c r="S1867" s="5">
        <f t="shared" si="444"/>
        <v>175.43859649122808</v>
      </c>
      <c r="T1867" s="28" t="s">
        <v>669</v>
      </c>
      <c r="V1867" s="3" t="s">
        <v>5</v>
      </c>
    </row>
    <row r="1868" spans="1:22" hidden="1">
      <c r="J1868" s="1" t="str">
        <f t="shared" si="439"/>
        <v>0</v>
      </c>
      <c r="K1868" s="3">
        <f t="shared" si="440"/>
        <v>-100</v>
      </c>
      <c r="L1868" s="3">
        <f t="shared" si="441"/>
        <v>1</v>
      </c>
      <c r="M1868" s="3">
        <f t="shared" si="442"/>
        <v>0</v>
      </c>
      <c r="N1868" s="3" t="str">
        <f t="shared" si="450"/>
        <v>01</v>
      </c>
      <c r="O1868" s="14" t="str">
        <f t="shared" si="450"/>
        <v>00</v>
      </c>
      <c r="P1868" s="33"/>
      <c r="R1868" s="6">
        <v>513</v>
      </c>
      <c r="S1868" s="5">
        <f t="shared" si="444"/>
        <v>0</v>
      </c>
      <c r="T1868" s="28"/>
    </row>
    <row r="1869" spans="1:22">
      <c r="A1869" s="3">
        <v>1854</v>
      </c>
      <c r="B1869" s="1">
        <f t="shared" si="451"/>
        <v>0</v>
      </c>
      <c r="C1869" s="1">
        <f t="shared" si="452"/>
        <v>1</v>
      </c>
      <c r="D1869" s="1">
        <f t="shared" si="447"/>
        <v>0</v>
      </c>
      <c r="E1869" s="1">
        <f t="shared" si="453"/>
        <v>1</v>
      </c>
      <c r="F1869" s="1">
        <f t="shared" si="453"/>
        <v>0</v>
      </c>
      <c r="G1869" s="1" t="str">
        <f t="shared" si="449"/>
        <v>24090725</v>
      </c>
      <c r="H1869" s="2">
        <v>45542</v>
      </c>
      <c r="I1869" s="36">
        <v>25</v>
      </c>
      <c r="J1869" s="1">
        <f t="shared" si="439"/>
        <v>25</v>
      </c>
      <c r="K1869" s="3">
        <f t="shared" si="440"/>
        <v>24</v>
      </c>
      <c r="L1869" s="3">
        <f t="shared" si="441"/>
        <v>9</v>
      </c>
      <c r="M1869" s="3">
        <f t="shared" si="442"/>
        <v>7</v>
      </c>
      <c r="N1869" s="3" t="str">
        <f t="shared" si="450"/>
        <v>09</v>
      </c>
      <c r="O1869" s="14" t="str">
        <f t="shared" si="450"/>
        <v>07</v>
      </c>
      <c r="P1869" s="33">
        <v>30000</v>
      </c>
      <c r="R1869" s="6">
        <v>513</v>
      </c>
      <c r="S1869" s="5">
        <f t="shared" si="444"/>
        <v>58.479532163742689</v>
      </c>
      <c r="T1869" s="28" t="s">
        <v>706</v>
      </c>
      <c r="V1869" s="3" t="s">
        <v>5</v>
      </c>
    </row>
    <row r="1870" spans="1:22" hidden="1">
      <c r="J1870" s="1" t="str">
        <f t="shared" si="439"/>
        <v>0</v>
      </c>
      <c r="K1870" s="3">
        <f t="shared" si="440"/>
        <v>-100</v>
      </c>
      <c r="L1870" s="3">
        <f t="shared" si="441"/>
        <v>1</v>
      </c>
      <c r="M1870" s="3">
        <f t="shared" si="442"/>
        <v>0</v>
      </c>
      <c r="N1870" s="3" t="str">
        <f t="shared" si="450"/>
        <v>01</v>
      </c>
      <c r="O1870" s="14" t="str">
        <f t="shared" si="450"/>
        <v>00</v>
      </c>
      <c r="R1870" s="6">
        <v>513</v>
      </c>
      <c r="S1870" s="5">
        <f t="shared" si="444"/>
        <v>0</v>
      </c>
    </row>
    <row r="1871" spans="1:22" hidden="1">
      <c r="J1871" s="1" t="str">
        <f t="shared" si="439"/>
        <v>0</v>
      </c>
      <c r="K1871" s="3">
        <f t="shared" si="440"/>
        <v>-100</v>
      </c>
      <c r="L1871" s="3">
        <f t="shared" si="441"/>
        <v>1</v>
      </c>
      <c r="M1871" s="3">
        <f t="shared" si="442"/>
        <v>0</v>
      </c>
      <c r="N1871" s="3" t="str">
        <f t="shared" si="450"/>
        <v>01</v>
      </c>
      <c r="O1871" s="14" t="str">
        <f t="shared" si="450"/>
        <v>00</v>
      </c>
      <c r="P1871" s="28"/>
      <c r="R1871" s="6">
        <v>513</v>
      </c>
      <c r="S1871" s="5">
        <f t="shared" si="444"/>
        <v>0</v>
      </c>
      <c r="T1871" s="28"/>
    </row>
    <row r="1872" spans="1:22" hidden="1"/>
    <row r="1873" spans="1:22" hidden="1">
      <c r="J1873" s="1" t="str">
        <f t="shared" ref="J1873:J1936" si="454">+IF(I1873&lt;10,_xlfn.CONCAT("0",I1873),I1873)</f>
        <v>0</v>
      </c>
      <c r="K1873" s="3">
        <f t="shared" ref="K1873:K1936" si="455">+YEAR(H1873)-2000</f>
        <v>-100</v>
      </c>
      <c r="L1873" s="3">
        <f t="shared" ref="L1873:L1936" si="456">+MONTH(H1873)</f>
        <v>1</v>
      </c>
      <c r="M1873" s="3">
        <f t="shared" ref="M1873:M1936" si="457">+DAY(H1873)</f>
        <v>0</v>
      </c>
      <c r="N1873" s="3" t="str">
        <f t="shared" ref="N1873:O1904" si="458">+IF(L1873&lt;10,_xlfn.CONCAT("0",L1873),L1873)</f>
        <v>01</v>
      </c>
      <c r="O1873" s="14" t="str">
        <f t="shared" si="458"/>
        <v>00</v>
      </c>
      <c r="R1873" s="6">
        <v>513</v>
      </c>
      <c r="S1873" s="5">
        <f t="shared" ref="S1873:S1903" si="459">IFERROR(P1873/R1873,"")</f>
        <v>0</v>
      </c>
    </row>
    <row r="1874" spans="1:22" hidden="1">
      <c r="J1874" s="1" t="str">
        <f t="shared" si="454"/>
        <v>0</v>
      </c>
      <c r="K1874" s="3">
        <f t="shared" si="455"/>
        <v>-100</v>
      </c>
      <c r="L1874" s="3">
        <f t="shared" si="456"/>
        <v>1</v>
      </c>
      <c r="M1874" s="3">
        <f t="shared" si="457"/>
        <v>0</v>
      </c>
      <c r="N1874" s="3" t="str">
        <f t="shared" si="458"/>
        <v>01</v>
      </c>
      <c r="O1874" s="14" t="str">
        <f t="shared" si="458"/>
        <v>00</v>
      </c>
      <c r="R1874" s="6">
        <v>513</v>
      </c>
      <c r="S1874" s="5">
        <f t="shared" si="459"/>
        <v>0</v>
      </c>
    </row>
    <row r="1875" spans="1:22" hidden="1">
      <c r="J1875" s="1" t="str">
        <f t="shared" si="454"/>
        <v>0</v>
      </c>
      <c r="K1875" s="3">
        <f t="shared" si="455"/>
        <v>-100</v>
      </c>
      <c r="L1875" s="3">
        <f t="shared" si="456"/>
        <v>1</v>
      </c>
      <c r="M1875" s="3">
        <f t="shared" si="457"/>
        <v>0</v>
      </c>
      <c r="N1875" s="3" t="str">
        <f t="shared" si="458"/>
        <v>01</v>
      </c>
      <c r="O1875" s="14" t="str">
        <f t="shared" si="458"/>
        <v>00</v>
      </c>
      <c r="R1875" s="6">
        <v>513</v>
      </c>
      <c r="S1875" s="5">
        <f t="shared" si="459"/>
        <v>0</v>
      </c>
    </row>
    <row r="1876" spans="1:22" hidden="1">
      <c r="J1876" s="1" t="str">
        <f t="shared" si="454"/>
        <v>0</v>
      </c>
      <c r="K1876" s="3">
        <f t="shared" si="455"/>
        <v>-100</v>
      </c>
      <c r="L1876" s="3">
        <f t="shared" si="456"/>
        <v>1</v>
      </c>
      <c r="M1876" s="3">
        <f t="shared" si="457"/>
        <v>0</v>
      </c>
      <c r="N1876" s="3" t="str">
        <f t="shared" si="458"/>
        <v>01</v>
      </c>
      <c r="O1876" s="14" t="str">
        <f t="shared" si="458"/>
        <v>00</v>
      </c>
      <c r="R1876" s="6">
        <v>513</v>
      </c>
      <c r="S1876" s="5">
        <f t="shared" si="459"/>
        <v>0</v>
      </c>
    </row>
    <row r="1877" spans="1:22" hidden="1">
      <c r="J1877" s="1" t="str">
        <f t="shared" si="454"/>
        <v>0</v>
      </c>
      <c r="K1877" s="3">
        <f t="shared" si="455"/>
        <v>-100</v>
      </c>
      <c r="L1877" s="3">
        <f t="shared" si="456"/>
        <v>1</v>
      </c>
      <c r="M1877" s="3">
        <f t="shared" si="457"/>
        <v>0</v>
      </c>
      <c r="N1877" s="3" t="str">
        <f t="shared" si="458"/>
        <v>01</v>
      </c>
      <c r="O1877" s="14" t="str">
        <f t="shared" si="458"/>
        <v>00</v>
      </c>
      <c r="R1877" s="6">
        <v>513</v>
      </c>
      <c r="S1877" s="5">
        <f t="shared" si="459"/>
        <v>0</v>
      </c>
    </row>
    <row r="1878" spans="1:22" hidden="1">
      <c r="J1878" s="1" t="str">
        <f t="shared" si="454"/>
        <v>0</v>
      </c>
      <c r="K1878" s="3">
        <f t="shared" si="455"/>
        <v>-100</v>
      </c>
      <c r="L1878" s="3">
        <f t="shared" si="456"/>
        <v>1</v>
      </c>
      <c r="M1878" s="3">
        <f t="shared" si="457"/>
        <v>0</v>
      </c>
      <c r="N1878" s="3" t="str">
        <f t="shared" si="458"/>
        <v>01</v>
      </c>
      <c r="O1878" s="14" t="str">
        <f t="shared" si="458"/>
        <v>00</v>
      </c>
      <c r="R1878" s="6">
        <v>512</v>
      </c>
      <c r="S1878" s="5">
        <f t="shared" si="459"/>
        <v>0</v>
      </c>
    </row>
    <row r="1879" spans="1:22">
      <c r="A1879" s="3">
        <v>1863</v>
      </c>
      <c r="B1879" s="1">
        <f t="shared" ref="B1879:B1904" si="460">IF(G1879="-",0,IF(G1878=G1879,1,0))</f>
        <v>0</v>
      </c>
      <c r="C1879" s="1">
        <f t="shared" ref="C1879:C1904" si="461">+IF(G1879="-",0,IF(I1879=I1878+1,0,(IF(I1879=1,0,1))))</f>
        <v>0</v>
      </c>
      <c r="D1879" s="1">
        <f t="shared" ref="D1879:D1904" si="462">+IF(AND(P1879="",Q1879=""),1,0)</f>
        <v>0</v>
      </c>
      <c r="E1879" s="1">
        <f t="shared" ref="E1879:F1904" si="463">IF(U1879="",1,0)</f>
        <v>0</v>
      </c>
      <c r="F1879" s="1">
        <f t="shared" si="463"/>
        <v>0</v>
      </c>
      <c r="G1879" s="1" t="str">
        <f t="shared" ref="G1879:G1904" si="464">IF(H1879=0,"-",_xlfn.CONCAT(K1879,N1879,O1879,J1879))</f>
        <v>24090901</v>
      </c>
      <c r="H1879" s="2">
        <v>45544</v>
      </c>
      <c r="I1879" s="36">
        <v>1</v>
      </c>
      <c r="J1879" s="1" t="str">
        <f t="shared" si="454"/>
        <v>01</v>
      </c>
      <c r="K1879" s="3">
        <f t="shared" si="455"/>
        <v>24</v>
      </c>
      <c r="L1879" s="3">
        <f t="shared" si="456"/>
        <v>9</v>
      </c>
      <c r="M1879" s="3">
        <f t="shared" si="457"/>
        <v>9</v>
      </c>
      <c r="N1879" s="3" t="str">
        <f t="shared" si="458"/>
        <v>09</v>
      </c>
      <c r="O1879" s="14" t="str">
        <f t="shared" si="458"/>
        <v>09</v>
      </c>
      <c r="P1879" s="4">
        <v>10000</v>
      </c>
      <c r="R1879" s="6">
        <v>512</v>
      </c>
      <c r="S1879" s="5">
        <f t="shared" si="459"/>
        <v>19.53125</v>
      </c>
      <c r="T1879" s="5" t="s">
        <v>676</v>
      </c>
      <c r="U1879" s="3" t="s">
        <v>29</v>
      </c>
      <c r="V1879" s="3" t="s">
        <v>5</v>
      </c>
    </row>
    <row r="1880" spans="1:22" hidden="1">
      <c r="J1880" s="1" t="str">
        <f t="shared" si="454"/>
        <v>0</v>
      </c>
      <c r="K1880" s="3">
        <f t="shared" si="455"/>
        <v>-100</v>
      </c>
      <c r="L1880" s="3">
        <f t="shared" si="456"/>
        <v>1</v>
      </c>
      <c r="M1880" s="3">
        <f t="shared" si="457"/>
        <v>0</v>
      </c>
      <c r="N1880" s="3" t="str">
        <f t="shared" si="458"/>
        <v>01</v>
      </c>
      <c r="O1880" s="14" t="str">
        <f t="shared" si="458"/>
        <v>00</v>
      </c>
      <c r="R1880" s="6">
        <v>512</v>
      </c>
      <c r="S1880" s="5">
        <f t="shared" si="459"/>
        <v>0</v>
      </c>
    </row>
    <row r="1881" spans="1:22" hidden="1">
      <c r="J1881" s="1" t="str">
        <f t="shared" si="454"/>
        <v>0</v>
      </c>
      <c r="K1881" s="3">
        <f t="shared" si="455"/>
        <v>-100</v>
      </c>
      <c r="L1881" s="3">
        <f t="shared" si="456"/>
        <v>1</v>
      </c>
      <c r="M1881" s="3">
        <f t="shared" si="457"/>
        <v>0</v>
      </c>
      <c r="N1881" s="3" t="str">
        <f t="shared" si="458"/>
        <v>01</v>
      </c>
      <c r="O1881" s="14" t="str">
        <f t="shared" si="458"/>
        <v>00</v>
      </c>
      <c r="R1881" s="6">
        <v>512</v>
      </c>
      <c r="S1881" s="5">
        <f t="shared" si="459"/>
        <v>0</v>
      </c>
    </row>
    <row r="1882" spans="1:22" hidden="1">
      <c r="J1882" s="1" t="str">
        <f t="shared" si="454"/>
        <v>0</v>
      </c>
      <c r="K1882" s="3">
        <f t="shared" si="455"/>
        <v>-100</v>
      </c>
      <c r="L1882" s="3">
        <f t="shared" si="456"/>
        <v>1</v>
      </c>
      <c r="M1882" s="3">
        <f t="shared" si="457"/>
        <v>0</v>
      </c>
      <c r="N1882" s="3" t="str">
        <f t="shared" si="458"/>
        <v>01</v>
      </c>
      <c r="O1882" s="14" t="str">
        <f t="shared" si="458"/>
        <v>00</v>
      </c>
      <c r="R1882" s="6">
        <v>512</v>
      </c>
      <c r="S1882" s="5">
        <f t="shared" si="459"/>
        <v>0</v>
      </c>
    </row>
    <row r="1883" spans="1:22" hidden="1">
      <c r="J1883" s="1" t="str">
        <f t="shared" si="454"/>
        <v>0</v>
      </c>
      <c r="K1883" s="3">
        <f t="shared" si="455"/>
        <v>-100</v>
      </c>
      <c r="L1883" s="3">
        <f t="shared" si="456"/>
        <v>1</v>
      </c>
      <c r="M1883" s="3">
        <f t="shared" si="457"/>
        <v>0</v>
      </c>
      <c r="N1883" s="3" t="str">
        <f t="shared" si="458"/>
        <v>01</v>
      </c>
      <c r="O1883" s="14" t="str">
        <f t="shared" si="458"/>
        <v>00</v>
      </c>
      <c r="R1883" s="6">
        <v>512</v>
      </c>
      <c r="S1883" s="5">
        <f t="shared" si="459"/>
        <v>0</v>
      </c>
    </row>
    <row r="1884" spans="1:22">
      <c r="A1884" s="3">
        <v>1868</v>
      </c>
      <c r="B1884" s="1">
        <f t="shared" si="460"/>
        <v>0</v>
      </c>
      <c r="C1884" s="1">
        <f t="shared" si="461"/>
        <v>1</v>
      </c>
      <c r="D1884" s="1">
        <f t="shared" si="462"/>
        <v>0</v>
      </c>
      <c r="E1884" s="1">
        <f t="shared" si="463"/>
        <v>1</v>
      </c>
      <c r="F1884" s="1">
        <f t="shared" si="463"/>
        <v>0</v>
      </c>
      <c r="G1884" s="1" t="str">
        <f t="shared" si="464"/>
        <v>24090906</v>
      </c>
      <c r="H1884" s="2">
        <v>45544</v>
      </c>
      <c r="I1884" s="36">
        <v>6</v>
      </c>
      <c r="J1884" s="1" t="str">
        <f t="shared" si="454"/>
        <v>06</v>
      </c>
      <c r="K1884" s="3">
        <f t="shared" si="455"/>
        <v>24</v>
      </c>
      <c r="L1884" s="3">
        <f t="shared" si="456"/>
        <v>9</v>
      </c>
      <c r="M1884" s="3">
        <f t="shared" si="457"/>
        <v>9</v>
      </c>
      <c r="N1884" s="3" t="str">
        <f t="shared" si="458"/>
        <v>09</v>
      </c>
      <c r="O1884" s="14" t="str">
        <f t="shared" si="458"/>
        <v>09</v>
      </c>
      <c r="P1884" s="4">
        <v>401598.79</v>
      </c>
      <c r="R1884" s="6">
        <v>512</v>
      </c>
      <c r="S1884" s="5">
        <f t="shared" si="459"/>
        <v>784.37263671874996</v>
      </c>
      <c r="T1884" s="5" t="s">
        <v>1189</v>
      </c>
      <c r="V1884" s="3" t="s">
        <v>5</v>
      </c>
    </row>
    <row r="1885" spans="1:22" hidden="1">
      <c r="J1885" s="1" t="str">
        <f t="shared" si="454"/>
        <v>0</v>
      </c>
      <c r="K1885" s="3">
        <f t="shared" si="455"/>
        <v>-100</v>
      </c>
      <c r="L1885" s="3">
        <f t="shared" si="456"/>
        <v>1</v>
      </c>
      <c r="M1885" s="3">
        <f t="shared" si="457"/>
        <v>0</v>
      </c>
      <c r="N1885" s="3" t="str">
        <f t="shared" si="458"/>
        <v>01</v>
      </c>
      <c r="O1885" s="14" t="str">
        <f t="shared" si="458"/>
        <v>00</v>
      </c>
      <c r="R1885" s="6">
        <v>512</v>
      </c>
      <c r="S1885" s="5">
        <f t="shared" si="459"/>
        <v>0</v>
      </c>
    </row>
    <row r="1886" spans="1:22" hidden="1">
      <c r="G1886" s="122"/>
      <c r="H1886" s="8"/>
      <c r="J1886" s="122" t="str">
        <f t="shared" si="454"/>
        <v>0</v>
      </c>
      <c r="K1886" s="56">
        <f t="shared" si="455"/>
        <v>-100</v>
      </c>
      <c r="L1886" s="56">
        <f t="shared" si="456"/>
        <v>1</v>
      </c>
      <c r="M1886" s="56">
        <f t="shared" si="457"/>
        <v>0</v>
      </c>
      <c r="N1886" s="56" t="str">
        <f t="shared" si="458"/>
        <v>01</v>
      </c>
      <c r="O1886" s="123" t="str">
        <f t="shared" si="458"/>
        <v>00</v>
      </c>
      <c r="P1886" s="53"/>
      <c r="Q1886" s="54"/>
      <c r="R1886" s="6">
        <v>512</v>
      </c>
      <c r="S1886" s="5">
        <f t="shared" si="459"/>
        <v>0</v>
      </c>
      <c r="T1886" s="54"/>
      <c r="U1886" s="56"/>
      <c r="V1886" s="56"/>
    </row>
    <row r="1887" spans="1:22" hidden="1">
      <c r="J1887" s="1" t="str">
        <f t="shared" si="454"/>
        <v>0</v>
      </c>
      <c r="K1887" s="3">
        <f t="shared" si="455"/>
        <v>-100</v>
      </c>
      <c r="L1887" s="3">
        <f t="shared" si="456"/>
        <v>1</v>
      </c>
      <c r="M1887" s="3">
        <f t="shared" si="457"/>
        <v>0</v>
      </c>
      <c r="N1887" s="3" t="str">
        <f t="shared" si="458"/>
        <v>01</v>
      </c>
      <c r="O1887" s="14" t="str">
        <f t="shared" si="458"/>
        <v>00</v>
      </c>
      <c r="R1887" s="6">
        <v>512</v>
      </c>
      <c r="S1887" s="5">
        <f t="shared" si="459"/>
        <v>0</v>
      </c>
    </row>
    <row r="1888" spans="1:22">
      <c r="A1888" s="3">
        <v>1872</v>
      </c>
      <c r="B1888" s="1">
        <f t="shared" si="460"/>
        <v>0</v>
      </c>
      <c r="C1888" s="1">
        <f t="shared" si="461"/>
        <v>0</v>
      </c>
      <c r="D1888" s="1">
        <f t="shared" si="462"/>
        <v>0</v>
      </c>
      <c r="E1888" s="1">
        <f t="shared" si="463"/>
        <v>0</v>
      </c>
      <c r="F1888" s="1">
        <f t="shared" si="463"/>
        <v>0</v>
      </c>
      <c r="G1888" s="1" t="str">
        <f t="shared" si="464"/>
        <v>24091001</v>
      </c>
      <c r="H1888" s="2">
        <v>45545</v>
      </c>
      <c r="I1888" s="36">
        <v>1</v>
      </c>
      <c r="J1888" s="1" t="str">
        <f t="shared" si="454"/>
        <v>01</v>
      </c>
      <c r="K1888" s="3">
        <f t="shared" si="455"/>
        <v>24</v>
      </c>
      <c r="L1888" s="3">
        <f t="shared" si="456"/>
        <v>9</v>
      </c>
      <c r="M1888" s="3">
        <f t="shared" si="457"/>
        <v>10</v>
      </c>
      <c r="N1888" s="3" t="str">
        <f t="shared" si="458"/>
        <v>09</v>
      </c>
      <c r="O1888" s="14">
        <f t="shared" si="458"/>
        <v>10</v>
      </c>
      <c r="P1888" s="4">
        <v>5756.22</v>
      </c>
      <c r="R1888" s="6">
        <v>511</v>
      </c>
      <c r="S1888" s="5">
        <f t="shared" si="459"/>
        <v>11.264618395303327</v>
      </c>
      <c r="T1888" s="5" t="s">
        <v>727</v>
      </c>
      <c r="U1888" s="3" t="s">
        <v>29</v>
      </c>
      <c r="V1888" s="3" t="s">
        <v>5</v>
      </c>
    </row>
    <row r="1889" spans="1:22" hidden="1">
      <c r="J1889" s="1" t="str">
        <f t="shared" si="454"/>
        <v>0</v>
      </c>
      <c r="K1889" s="3">
        <f t="shared" si="455"/>
        <v>-100</v>
      </c>
      <c r="L1889" s="3">
        <f t="shared" si="456"/>
        <v>1</v>
      </c>
      <c r="M1889" s="3">
        <f t="shared" si="457"/>
        <v>0</v>
      </c>
      <c r="N1889" s="3" t="str">
        <f t="shared" si="458"/>
        <v>01</v>
      </c>
      <c r="O1889" s="14" t="str">
        <f t="shared" si="458"/>
        <v>00</v>
      </c>
      <c r="R1889" s="6">
        <v>511</v>
      </c>
      <c r="S1889" s="5">
        <f t="shared" si="459"/>
        <v>0</v>
      </c>
    </row>
    <row r="1890" spans="1:22" hidden="1">
      <c r="J1890" s="1" t="str">
        <f t="shared" si="454"/>
        <v>0</v>
      </c>
      <c r="K1890" s="3">
        <f t="shared" si="455"/>
        <v>-100</v>
      </c>
      <c r="L1890" s="3">
        <f t="shared" si="456"/>
        <v>1</v>
      </c>
      <c r="M1890" s="3">
        <f t="shared" si="457"/>
        <v>0</v>
      </c>
      <c r="N1890" s="3" t="str">
        <f t="shared" si="458"/>
        <v>01</v>
      </c>
      <c r="O1890" s="14" t="str">
        <f t="shared" si="458"/>
        <v>00</v>
      </c>
      <c r="R1890" s="6">
        <v>511</v>
      </c>
      <c r="S1890" s="5">
        <f t="shared" si="459"/>
        <v>0</v>
      </c>
    </row>
    <row r="1891" spans="1:22" hidden="1">
      <c r="J1891" s="1" t="str">
        <f t="shared" si="454"/>
        <v>0</v>
      </c>
      <c r="K1891" s="3">
        <f t="shared" si="455"/>
        <v>-100</v>
      </c>
      <c r="L1891" s="3">
        <f t="shared" si="456"/>
        <v>1</v>
      </c>
      <c r="M1891" s="3">
        <f t="shared" si="457"/>
        <v>0</v>
      </c>
      <c r="N1891" s="3" t="str">
        <f t="shared" si="458"/>
        <v>01</v>
      </c>
      <c r="O1891" s="14" t="str">
        <f t="shared" si="458"/>
        <v>00</v>
      </c>
      <c r="R1891" s="6">
        <v>511</v>
      </c>
      <c r="S1891" s="5">
        <f t="shared" si="459"/>
        <v>0</v>
      </c>
    </row>
    <row r="1892" spans="1:22" hidden="1">
      <c r="J1892" s="1" t="str">
        <f t="shared" si="454"/>
        <v>0</v>
      </c>
      <c r="K1892" s="3">
        <f t="shared" si="455"/>
        <v>-100</v>
      </c>
      <c r="L1892" s="3">
        <f t="shared" si="456"/>
        <v>1</v>
      </c>
      <c r="M1892" s="3">
        <f t="shared" si="457"/>
        <v>0</v>
      </c>
      <c r="N1892" s="3" t="str">
        <f t="shared" si="458"/>
        <v>01</v>
      </c>
      <c r="O1892" s="14" t="str">
        <f t="shared" si="458"/>
        <v>00</v>
      </c>
      <c r="R1892" s="6">
        <v>511</v>
      </c>
      <c r="S1892" s="5">
        <f t="shared" si="459"/>
        <v>0</v>
      </c>
    </row>
    <row r="1893" spans="1:22" hidden="1">
      <c r="J1893" s="1" t="str">
        <f t="shared" si="454"/>
        <v>0</v>
      </c>
      <c r="K1893" s="3">
        <f t="shared" si="455"/>
        <v>-100</v>
      </c>
      <c r="L1893" s="3">
        <f t="shared" si="456"/>
        <v>1</v>
      </c>
      <c r="M1893" s="3">
        <f t="shared" si="457"/>
        <v>0</v>
      </c>
      <c r="N1893" s="3" t="str">
        <f t="shared" si="458"/>
        <v>01</v>
      </c>
      <c r="O1893" s="14" t="str">
        <f t="shared" si="458"/>
        <v>00</v>
      </c>
      <c r="R1893" s="6">
        <v>511</v>
      </c>
      <c r="S1893" s="5">
        <f t="shared" si="459"/>
        <v>0</v>
      </c>
    </row>
    <row r="1894" spans="1:22">
      <c r="A1894" s="3">
        <v>1878</v>
      </c>
      <c r="B1894" s="1">
        <f t="shared" si="460"/>
        <v>0</v>
      </c>
      <c r="C1894" s="1">
        <f t="shared" si="461"/>
        <v>1</v>
      </c>
      <c r="D1894" s="1">
        <f t="shared" si="462"/>
        <v>0</v>
      </c>
      <c r="E1894" s="1">
        <f t="shared" si="463"/>
        <v>0</v>
      </c>
      <c r="F1894" s="1">
        <f t="shared" si="463"/>
        <v>0</v>
      </c>
      <c r="G1894" s="1" t="str">
        <f t="shared" si="464"/>
        <v>24091007</v>
      </c>
      <c r="H1894" s="2">
        <v>45545</v>
      </c>
      <c r="I1894" s="36">
        <v>7</v>
      </c>
      <c r="J1894" s="1" t="str">
        <f t="shared" si="454"/>
        <v>07</v>
      </c>
      <c r="K1894" s="3">
        <f t="shared" si="455"/>
        <v>24</v>
      </c>
      <c r="L1894" s="3">
        <f t="shared" si="456"/>
        <v>9</v>
      </c>
      <c r="M1894" s="3">
        <f t="shared" si="457"/>
        <v>10</v>
      </c>
      <c r="N1894" s="3" t="str">
        <f t="shared" si="458"/>
        <v>09</v>
      </c>
      <c r="O1894" s="14">
        <f t="shared" si="458"/>
        <v>10</v>
      </c>
      <c r="P1894" s="4">
        <v>138185.57999999999</v>
      </c>
      <c r="R1894" s="6">
        <v>511</v>
      </c>
      <c r="S1894" s="5">
        <f t="shared" si="459"/>
        <v>270.42187866927588</v>
      </c>
      <c r="T1894" s="5" t="s">
        <v>1190</v>
      </c>
      <c r="U1894" s="3" t="s">
        <v>2</v>
      </c>
      <c r="V1894" s="3" t="s">
        <v>5</v>
      </c>
    </row>
    <row r="1895" spans="1:22" hidden="1">
      <c r="J1895" s="1" t="str">
        <f t="shared" si="454"/>
        <v>0</v>
      </c>
      <c r="K1895" s="3">
        <f t="shared" si="455"/>
        <v>-100</v>
      </c>
      <c r="L1895" s="3">
        <f t="shared" si="456"/>
        <v>1</v>
      </c>
      <c r="M1895" s="3">
        <f t="shared" si="457"/>
        <v>0</v>
      </c>
      <c r="N1895" s="3" t="str">
        <f t="shared" si="458"/>
        <v>01</v>
      </c>
      <c r="O1895" s="14" t="str">
        <f t="shared" si="458"/>
        <v>00</v>
      </c>
      <c r="R1895" s="6">
        <v>511</v>
      </c>
      <c r="S1895" s="5">
        <f t="shared" si="459"/>
        <v>0</v>
      </c>
    </row>
    <row r="1896" spans="1:22" hidden="1">
      <c r="J1896" s="1" t="str">
        <f t="shared" si="454"/>
        <v>0</v>
      </c>
      <c r="K1896" s="3">
        <f t="shared" si="455"/>
        <v>-100</v>
      </c>
      <c r="L1896" s="3">
        <f t="shared" si="456"/>
        <v>1</v>
      </c>
      <c r="M1896" s="3">
        <f t="shared" si="457"/>
        <v>0</v>
      </c>
      <c r="N1896" s="3" t="str">
        <f t="shared" si="458"/>
        <v>01</v>
      </c>
      <c r="O1896" s="14" t="str">
        <f t="shared" si="458"/>
        <v>00</v>
      </c>
      <c r="R1896" s="6">
        <v>511</v>
      </c>
      <c r="S1896" s="5">
        <f t="shared" si="459"/>
        <v>0</v>
      </c>
    </row>
    <row r="1897" spans="1:22" hidden="1">
      <c r="J1897" s="1" t="str">
        <f t="shared" si="454"/>
        <v>0</v>
      </c>
      <c r="K1897" s="3">
        <f t="shared" si="455"/>
        <v>-100</v>
      </c>
      <c r="L1897" s="3">
        <f t="shared" si="456"/>
        <v>1</v>
      </c>
      <c r="M1897" s="3">
        <f t="shared" si="457"/>
        <v>0</v>
      </c>
      <c r="N1897" s="3" t="str">
        <f t="shared" si="458"/>
        <v>01</v>
      </c>
      <c r="O1897" s="14" t="str">
        <f t="shared" si="458"/>
        <v>00</v>
      </c>
      <c r="R1897" s="6">
        <v>511</v>
      </c>
      <c r="S1897" s="5">
        <f t="shared" si="459"/>
        <v>0</v>
      </c>
    </row>
    <row r="1898" spans="1:22" hidden="1">
      <c r="J1898" s="1" t="str">
        <f t="shared" si="454"/>
        <v>0</v>
      </c>
      <c r="K1898" s="3">
        <f t="shared" si="455"/>
        <v>-100</v>
      </c>
      <c r="L1898" s="3">
        <f t="shared" si="456"/>
        <v>1</v>
      </c>
      <c r="M1898" s="3">
        <f t="shared" si="457"/>
        <v>0</v>
      </c>
      <c r="N1898" s="3" t="str">
        <f t="shared" si="458"/>
        <v>01</v>
      </c>
      <c r="O1898" s="14" t="str">
        <f t="shared" si="458"/>
        <v>00</v>
      </c>
      <c r="R1898" s="6">
        <v>511</v>
      </c>
      <c r="S1898" s="5">
        <f t="shared" si="459"/>
        <v>0</v>
      </c>
    </row>
    <row r="1899" spans="1:22" hidden="1">
      <c r="J1899" s="1" t="str">
        <f t="shared" si="454"/>
        <v>0</v>
      </c>
      <c r="K1899" s="3">
        <f t="shared" si="455"/>
        <v>-100</v>
      </c>
      <c r="L1899" s="3">
        <f t="shared" si="456"/>
        <v>1</v>
      </c>
      <c r="M1899" s="3">
        <f t="shared" si="457"/>
        <v>0</v>
      </c>
      <c r="N1899" s="3" t="str">
        <f t="shared" si="458"/>
        <v>01</v>
      </c>
      <c r="O1899" s="14" t="str">
        <f t="shared" si="458"/>
        <v>00</v>
      </c>
      <c r="R1899" s="6">
        <v>511</v>
      </c>
      <c r="S1899" s="5">
        <f t="shared" si="459"/>
        <v>0</v>
      </c>
    </row>
    <row r="1900" spans="1:22" hidden="1">
      <c r="J1900" s="1" t="str">
        <f t="shared" si="454"/>
        <v>0</v>
      </c>
      <c r="K1900" s="3">
        <f t="shared" si="455"/>
        <v>-100</v>
      </c>
      <c r="L1900" s="3">
        <f t="shared" si="456"/>
        <v>1</v>
      </c>
      <c r="M1900" s="3">
        <f t="shared" si="457"/>
        <v>0</v>
      </c>
      <c r="N1900" s="3" t="str">
        <f t="shared" si="458"/>
        <v>01</v>
      </c>
      <c r="O1900" s="14" t="str">
        <f t="shared" si="458"/>
        <v>00</v>
      </c>
      <c r="R1900" s="6">
        <v>511</v>
      </c>
      <c r="S1900" s="5">
        <f t="shared" si="459"/>
        <v>0</v>
      </c>
    </row>
    <row r="1901" spans="1:22" hidden="1">
      <c r="J1901" s="1" t="str">
        <f t="shared" si="454"/>
        <v>0</v>
      </c>
      <c r="K1901" s="3">
        <f t="shared" si="455"/>
        <v>-100</v>
      </c>
      <c r="L1901" s="3">
        <f t="shared" si="456"/>
        <v>1</v>
      </c>
      <c r="M1901" s="3">
        <f t="shared" si="457"/>
        <v>0</v>
      </c>
      <c r="N1901" s="3" t="str">
        <f t="shared" si="458"/>
        <v>01</v>
      </c>
      <c r="O1901" s="14" t="str">
        <f t="shared" si="458"/>
        <v>00</v>
      </c>
      <c r="R1901" s="6">
        <v>511</v>
      </c>
      <c r="S1901" s="5">
        <f t="shared" si="459"/>
        <v>0</v>
      </c>
    </row>
    <row r="1902" spans="1:22" hidden="1">
      <c r="J1902" s="1" t="str">
        <f t="shared" si="454"/>
        <v>0</v>
      </c>
      <c r="K1902" s="3">
        <f t="shared" si="455"/>
        <v>-100</v>
      </c>
      <c r="L1902" s="3">
        <f t="shared" si="456"/>
        <v>1</v>
      </c>
      <c r="M1902" s="3">
        <f t="shared" si="457"/>
        <v>0</v>
      </c>
      <c r="N1902" s="3" t="str">
        <f t="shared" si="458"/>
        <v>01</v>
      </c>
      <c r="O1902" s="14" t="str">
        <f t="shared" si="458"/>
        <v>00</v>
      </c>
      <c r="R1902" s="6">
        <v>511</v>
      </c>
      <c r="S1902" s="5">
        <f t="shared" si="459"/>
        <v>0</v>
      </c>
    </row>
    <row r="1903" spans="1:22">
      <c r="A1903" s="3">
        <v>1887</v>
      </c>
      <c r="B1903" s="1">
        <f t="shared" si="460"/>
        <v>0</v>
      </c>
      <c r="C1903" s="1">
        <f t="shared" si="461"/>
        <v>1</v>
      </c>
      <c r="D1903" s="1">
        <f t="shared" si="462"/>
        <v>0</v>
      </c>
      <c r="E1903" s="1">
        <f t="shared" si="463"/>
        <v>0</v>
      </c>
      <c r="F1903" s="1">
        <f t="shared" si="463"/>
        <v>0</v>
      </c>
      <c r="G1903" s="1" t="str">
        <f t="shared" si="464"/>
        <v>24091016</v>
      </c>
      <c r="H1903" s="2">
        <v>45545</v>
      </c>
      <c r="I1903" s="36">
        <v>16</v>
      </c>
      <c r="J1903" s="1">
        <f t="shared" si="454"/>
        <v>16</v>
      </c>
      <c r="K1903" s="3">
        <f t="shared" si="455"/>
        <v>24</v>
      </c>
      <c r="L1903" s="3">
        <f t="shared" si="456"/>
        <v>9</v>
      </c>
      <c r="M1903" s="3">
        <f t="shared" si="457"/>
        <v>10</v>
      </c>
      <c r="N1903" s="3" t="str">
        <f t="shared" si="458"/>
        <v>09</v>
      </c>
      <c r="O1903" s="14">
        <f t="shared" si="458"/>
        <v>10</v>
      </c>
      <c r="P1903" s="4">
        <v>29452.11</v>
      </c>
      <c r="R1903" s="6">
        <v>511</v>
      </c>
      <c r="S1903" s="5">
        <f t="shared" si="459"/>
        <v>57.636223091976518</v>
      </c>
      <c r="T1903" s="5" t="s">
        <v>828</v>
      </c>
      <c r="U1903" s="3" t="s">
        <v>29</v>
      </c>
      <c r="V1903" s="3" t="s">
        <v>5</v>
      </c>
    </row>
    <row r="1904" spans="1:22">
      <c r="A1904" s="3">
        <v>1888</v>
      </c>
      <c r="B1904" s="1">
        <f t="shared" si="460"/>
        <v>0</v>
      </c>
      <c r="C1904" s="1">
        <f t="shared" si="461"/>
        <v>0</v>
      </c>
      <c r="D1904" s="1">
        <f t="shared" si="462"/>
        <v>0</v>
      </c>
      <c r="E1904" s="1">
        <f t="shared" si="463"/>
        <v>0</v>
      </c>
      <c r="F1904" s="1">
        <f t="shared" si="463"/>
        <v>0</v>
      </c>
      <c r="G1904" s="1" t="str">
        <f t="shared" si="464"/>
        <v>24091017</v>
      </c>
      <c r="H1904" s="2">
        <v>45545</v>
      </c>
      <c r="I1904" s="36">
        <v>17</v>
      </c>
      <c r="J1904" s="1">
        <f t="shared" si="454"/>
        <v>17</v>
      </c>
      <c r="K1904" s="3">
        <f t="shared" si="455"/>
        <v>24</v>
      </c>
      <c r="L1904" s="3">
        <f t="shared" si="456"/>
        <v>9</v>
      </c>
      <c r="M1904" s="3">
        <f t="shared" si="457"/>
        <v>10</v>
      </c>
      <c r="N1904" s="3" t="str">
        <f t="shared" si="458"/>
        <v>09</v>
      </c>
      <c r="O1904" s="14">
        <f t="shared" si="458"/>
        <v>10</v>
      </c>
      <c r="P1904" s="4">
        <v>3000</v>
      </c>
      <c r="T1904" s="5" t="s">
        <v>879</v>
      </c>
      <c r="U1904" s="3" t="s">
        <v>29</v>
      </c>
      <c r="V1904" s="3" t="s">
        <v>5</v>
      </c>
    </row>
    <row r="1905" spans="1:22" hidden="1">
      <c r="J1905" s="1" t="str">
        <f t="shared" si="454"/>
        <v>0</v>
      </c>
      <c r="K1905" s="3">
        <f t="shared" si="455"/>
        <v>-100</v>
      </c>
      <c r="L1905" s="3">
        <f t="shared" si="456"/>
        <v>1</v>
      </c>
      <c r="M1905" s="3">
        <f t="shared" si="457"/>
        <v>0</v>
      </c>
      <c r="N1905" s="3" t="str">
        <f t="shared" ref="N1905:O1936" si="465">+IF(L1905&lt;10,_xlfn.CONCAT("0",L1905),L1905)</f>
        <v>01</v>
      </c>
      <c r="O1905" s="14" t="str">
        <f t="shared" si="465"/>
        <v>00</v>
      </c>
      <c r="R1905" s="6">
        <v>511</v>
      </c>
      <c r="S1905" s="5">
        <f t="shared" ref="S1905:S1926" si="466">IFERROR(P1905/R1905,"")</f>
        <v>0</v>
      </c>
    </row>
    <row r="1906" spans="1:22" hidden="1">
      <c r="J1906" s="1" t="str">
        <f t="shared" si="454"/>
        <v>0</v>
      </c>
      <c r="K1906" s="3">
        <f t="shared" si="455"/>
        <v>-100</v>
      </c>
      <c r="L1906" s="3">
        <f t="shared" si="456"/>
        <v>1</v>
      </c>
      <c r="M1906" s="3">
        <f t="shared" si="457"/>
        <v>0</v>
      </c>
      <c r="N1906" s="3" t="str">
        <f t="shared" si="465"/>
        <v>01</v>
      </c>
      <c r="O1906" s="14" t="str">
        <f t="shared" si="465"/>
        <v>00</v>
      </c>
      <c r="R1906" s="6">
        <v>510</v>
      </c>
      <c r="S1906" s="5">
        <f t="shared" si="466"/>
        <v>0</v>
      </c>
    </row>
    <row r="1907" spans="1:22" hidden="1">
      <c r="J1907" s="1" t="str">
        <f t="shared" si="454"/>
        <v>0</v>
      </c>
      <c r="K1907" s="3">
        <f t="shared" si="455"/>
        <v>-100</v>
      </c>
      <c r="L1907" s="3">
        <f t="shared" si="456"/>
        <v>1</v>
      </c>
      <c r="M1907" s="3">
        <f t="shared" si="457"/>
        <v>0</v>
      </c>
      <c r="N1907" s="3" t="str">
        <f t="shared" si="465"/>
        <v>01</v>
      </c>
      <c r="O1907" s="14" t="str">
        <f t="shared" si="465"/>
        <v>00</v>
      </c>
      <c r="R1907" s="6">
        <v>510</v>
      </c>
      <c r="S1907" s="5">
        <f t="shared" si="466"/>
        <v>0</v>
      </c>
    </row>
    <row r="1908" spans="1:22" hidden="1">
      <c r="J1908" s="1" t="str">
        <f t="shared" si="454"/>
        <v>0</v>
      </c>
      <c r="K1908" s="3">
        <f t="shared" si="455"/>
        <v>-100</v>
      </c>
      <c r="L1908" s="3">
        <f t="shared" si="456"/>
        <v>1</v>
      </c>
      <c r="M1908" s="3">
        <f t="shared" si="457"/>
        <v>0</v>
      </c>
      <c r="N1908" s="3" t="str">
        <f t="shared" si="465"/>
        <v>01</v>
      </c>
      <c r="O1908" s="14" t="str">
        <f t="shared" si="465"/>
        <v>00</v>
      </c>
      <c r="R1908" s="6">
        <v>510</v>
      </c>
      <c r="S1908" s="5">
        <f t="shared" si="466"/>
        <v>0</v>
      </c>
      <c r="T1908" s="124"/>
    </row>
    <row r="1909" spans="1:22" hidden="1">
      <c r="J1909" s="1" t="str">
        <f t="shared" si="454"/>
        <v>0</v>
      </c>
      <c r="K1909" s="3">
        <f t="shared" si="455"/>
        <v>-100</v>
      </c>
      <c r="L1909" s="3">
        <f t="shared" si="456"/>
        <v>1</v>
      </c>
      <c r="M1909" s="3">
        <f t="shared" si="457"/>
        <v>0</v>
      </c>
      <c r="N1909" s="3" t="str">
        <f t="shared" si="465"/>
        <v>01</v>
      </c>
      <c r="O1909" s="14" t="str">
        <f t="shared" si="465"/>
        <v>00</v>
      </c>
      <c r="R1909" s="6">
        <v>510</v>
      </c>
      <c r="S1909" s="5">
        <f t="shared" si="466"/>
        <v>0</v>
      </c>
      <c r="T1909" s="124"/>
    </row>
    <row r="1910" spans="1:22" hidden="1">
      <c r="J1910" s="1" t="str">
        <f t="shared" si="454"/>
        <v>0</v>
      </c>
      <c r="K1910" s="3">
        <f t="shared" si="455"/>
        <v>-100</v>
      </c>
      <c r="L1910" s="3">
        <f t="shared" si="456"/>
        <v>1</v>
      </c>
      <c r="M1910" s="3">
        <f t="shared" si="457"/>
        <v>0</v>
      </c>
      <c r="N1910" s="3" t="str">
        <f t="shared" si="465"/>
        <v>01</v>
      </c>
      <c r="O1910" s="14" t="str">
        <f t="shared" si="465"/>
        <v>00</v>
      </c>
      <c r="R1910" s="6">
        <v>510</v>
      </c>
      <c r="S1910" s="5">
        <f t="shared" si="466"/>
        <v>0</v>
      </c>
    </row>
    <row r="1911" spans="1:22" hidden="1">
      <c r="J1911" s="1" t="str">
        <f t="shared" si="454"/>
        <v>0</v>
      </c>
      <c r="K1911" s="3">
        <f t="shared" si="455"/>
        <v>-100</v>
      </c>
      <c r="L1911" s="3">
        <f t="shared" si="456"/>
        <v>1</v>
      </c>
      <c r="M1911" s="3">
        <f t="shared" si="457"/>
        <v>0</v>
      </c>
      <c r="N1911" s="3" t="str">
        <f t="shared" si="465"/>
        <v>01</v>
      </c>
      <c r="O1911" s="14" t="str">
        <f t="shared" si="465"/>
        <v>00</v>
      </c>
      <c r="R1911" s="6">
        <v>510</v>
      </c>
      <c r="S1911" s="5">
        <f t="shared" si="466"/>
        <v>0</v>
      </c>
    </row>
    <row r="1912" spans="1:22" hidden="1">
      <c r="J1912" s="1" t="str">
        <f t="shared" si="454"/>
        <v>0</v>
      </c>
      <c r="K1912" s="3">
        <f t="shared" si="455"/>
        <v>-100</v>
      </c>
      <c r="L1912" s="3">
        <f t="shared" si="456"/>
        <v>1</v>
      </c>
      <c r="M1912" s="3">
        <f t="shared" si="457"/>
        <v>0</v>
      </c>
      <c r="N1912" s="3" t="str">
        <f t="shared" si="465"/>
        <v>01</v>
      </c>
      <c r="O1912" s="14" t="str">
        <f t="shared" si="465"/>
        <v>00</v>
      </c>
      <c r="R1912" s="6">
        <v>510</v>
      </c>
      <c r="S1912" s="5">
        <f t="shared" si="466"/>
        <v>0</v>
      </c>
    </row>
    <row r="1913" spans="1:22" hidden="1">
      <c r="J1913" s="1" t="str">
        <f t="shared" si="454"/>
        <v>0</v>
      </c>
      <c r="K1913" s="3">
        <f t="shared" si="455"/>
        <v>-100</v>
      </c>
      <c r="L1913" s="3">
        <f t="shared" si="456"/>
        <v>1</v>
      </c>
      <c r="M1913" s="3">
        <f t="shared" si="457"/>
        <v>0</v>
      </c>
      <c r="N1913" s="3" t="str">
        <f t="shared" si="465"/>
        <v>01</v>
      </c>
      <c r="O1913" s="14" t="str">
        <f t="shared" si="465"/>
        <v>00</v>
      </c>
      <c r="R1913" s="6">
        <v>510</v>
      </c>
      <c r="S1913" s="5">
        <f t="shared" si="466"/>
        <v>0</v>
      </c>
    </row>
    <row r="1914" spans="1:22" hidden="1">
      <c r="J1914" s="1" t="str">
        <f t="shared" si="454"/>
        <v>0</v>
      </c>
      <c r="K1914" s="3">
        <f t="shared" si="455"/>
        <v>-100</v>
      </c>
      <c r="L1914" s="3">
        <f t="shared" si="456"/>
        <v>1</v>
      </c>
      <c r="M1914" s="3">
        <f t="shared" si="457"/>
        <v>0</v>
      </c>
      <c r="N1914" s="3" t="str">
        <f t="shared" si="465"/>
        <v>01</v>
      </c>
      <c r="O1914" s="14" t="str">
        <f t="shared" si="465"/>
        <v>00</v>
      </c>
      <c r="R1914" s="6">
        <v>510</v>
      </c>
      <c r="S1914" s="5">
        <f t="shared" si="466"/>
        <v>0</v>
      </c>
    </row>
    <row r="1915" spans="1:22" hidden="1">
      <c r="J1915" s="1" t="str">
        <f t="shared" si="454"/>
        <v>0</v>
      </c>
      <c r="K1915" s="3">
        <f t="shared" si="455"/>
        <v>-100</v>
      </c>
      <c r="L1915" s="3">
        <f t="shared" si="456"/>
        <v>1</v>
      </c>
      <c r="M1915" s="3">
        <f t="shared" si="457"/>
        <v>0</v>
      </c>
      <c r="N1915" s="3" t="str">
        <f t="shared" si="465"/>
        <v>01</v>
      </c>
      <c r="O1915" s="14" t="str">
        <f t="shared" si="465"/>
        <v>00</v>
      </c>
      <c r="R1915" s="6">
        <v>510</v>
      </c>
      <c r="S1915" s="5">
        <f t="shared" si="466"/>
        <v>0</v>
      </c>
    </row>
    <row r="1916" spans="1:22" hidden="1">
      <c r="J1916" s="1" t="str">
        <f t="shared" si="454"/>
        <v>0</v>
      </c>
      <c r="K1916" s="3">
        <f t="shared" si="455"/>
        <v>-100</v>
      </c>
      <c r="L1916" s="3">
        <f t="shared" si="456"/>
        <v>1</v>
      </c>
      <c r="M1916" s="3">
        <f t="shared" si="457"/>
        <v>0</v>
      </c>
      <c r="N1916" s="3" t="str">
        <f t="shared" si="465"/>
        <v>01</v>
      </c>
      <c r="O1916" s="14" t="str">
        <f t="shared" si="465"/>
        <v>00</v>
      </c>
      <c r="R1916" s="6">
        <v>510</v>
      </c>
      <c r="S1916" s="5">
        <f t="shared" si="466"/>
        <v>0</v>
      </c>
    </row>
    <row r="1917" spans="1:22" hidden="1">
      <c r="J1917" s="1" t="str">
        <f t="shared" si="454"/>
        <v>0</v>
      </c>
      <c r="K1917" s="3">
        <f t="shared" si="455"/>
        <v>-100</v>
      </c>
      <c r="L1917" s="3">
        <f t="shared" si="456"/>
        <v>1</v>
      </c>
      <c r="M1917" s="3">
        <f t="shared" si="457"/>
        <v>0</v>
      </c>
      <c r="N1917" s="3" t="str">
        <f t="shared" si="465"/>
        <v>01</v>
      </c>
      <c r="O1917" s="14" t="str">
        <f t="shared" si="465"/>
        <v>00</v>
      </c>
      <c r="R1917" s="6">
        <v>510</v>
      </c>
      <c r="S1917" s="5">
        <f t="shared" si="466"/>
        <v>0</v>
      </c>
    </row>
    <row r="1918" spans="1:22" hidden="1">
      <c r="J1918" s="1" t="str">
        <f t="shared" si="454"/>
        <v>0</v>
      </c>
      <c r="K1918" s="3">
        <f t="shared" si="455"/>
        <v>-100</v>
      </c>
      <c r="L1918" s="3">
        <f t="shared" si="456"/>
        <v>1</v>
      </c>
      <c r="M1918" s="3">
        <f t="shared" si="457"/>
        <v>0</v>
      </c>
      <c r="N1918" s="3" t="str">
        <f t="shared" si="465"/>
        <v>01</v>
      </c>
      <c r="O1918" s="14" t="str">
        <f t="shared" si="465"/>
        <v>00</v>
      </c>
      <c r="R1918" s="6">
        <v>510</v>
      </c>
      <c r="S1918" s="5">
        <f t="shared" si="466"/>
        <v>0</v>
      </c>
    </row>
    <row r="1919" spans="1:22" hidden="1">
      <c r="J1919" s="1" t="str">
        <f t="shared" si="454"/>
        <v>0</v>
      </c>
      <c r="K1919" s="3">
        <f t="shared" si="455"/>
        <v>-100</v>
      </c>
      <c r="L1919" s="3">
        <f t="shared" si="456"/>
        <v>1</v>
      </c>
      <c r="M1919" s="3">
        <f t="shared" si="457"/>
        <v>0</v>
      </c>
      <c r="N1919" s="3" t="str">
        <f t="shared" si="465"/>
        <v>01</v>
      </c>
      <c r="O1919" s="14" t="str">
        <f t="shared" si="465"/>
        <v>00</v>
      </c>
      <c r="R1919" s="6">
        <v>510</v>
      </c>
      <c r="S1919" s="5">
        <f t="shared" si="466"/>
        <v>0</v>
      </c>
    </row>
    <row r="1920" spans="1:22">
      <c r="A1920" s="3">
        <v>1904</v>
      </c>
      <c r="B1920" s="1">
        <f t="shared" ref="B1920:B1932" si="467">IF(G1920="-",0,IF(G1919=G1920,1,0))</f>
        <v>0</v>
      </c>
      <c r="C1920" s="1">
        <f t="shared" ref="C1920:C1932" si="468">+IF(G1920="-",0,IF(I1920=I1919+1,0,(IF(I1920=1,0,1))))</f>
        <v>1</v>
      </c>
      <c r="D1920" s="1">
        <f t="shared" ref="D1920:D1932" si="469">+IF(AND(P1920="",Q1920=""),1,0)</f>
        <v>0</v>
      </c>
      <c r="E1920" s="1">
        <f t="shared" ref="E1920:F1932" si="470">IF(U1920="",1,0)</f>
        <v>0</v>
      </c>
      <c r="F1920" s="1">
        <f t="shared" si="470"/>
        <v>0</v>
      </c>
      <c r="G1920" s="1" t="str">
        <f t="shared" ref="G1920:G1932" si="471">IF(H1920=0,"-",_xlfn.CONCAT(K1920,N1920,O1920,J1920))</f>
        <v>24091115</v>
      </c>
      <c r="H1920" s="2">
        <v>45546</v>
      </c>
      <c r="I1920" s="36">
        <v>15</v>
      </c>
      <c r="J1920" s="1">
        <f t="shared" si="454"/>
        <v>15</v>
      </c>
      <c r="K1920" s="3">
        <f t="shared" si="455"/>
        <v>24</v>
      </c>
      <c r="L1920" s="3">
        <f t="shared" si="456"/>
        <v>9</v>
      </c>
      <c r="M1920" s="3">
        <f t="shared" si="457"/>
        <v>11</v>
      </c>
      <c r="N1920" s="3" t="str">
        <f t="shared" si="465"/>
        <v>09</v>
      </c>
      <c r="O1920" s="14">
        <f t="shared" si="465"/>
        <v>11</v>
      </c>
      <c r="P1920" s="4">
        <v>32573.45</v>
      </c>
      <c r="R1920" s="6">
        <v>510</v>
      </c>
      <c r="S1920" s="5">
        <f t="shared" si="466"/>
        <v>63.869509803921567</v>
      </c>
      <c r="T1920" s="5" t="s">
        <v>1172</v>
      </c>
      <c r="U1920" s="3" t="s">
        <v>29</v>
      </c>
      <c r="V1920" s="3" t="s">
        <v>5</v>
      </c>
    </row>
    <row r="1921" spans="1:22" hidden="1">
      <c r="J1921" s="1" t="str">
        <f t="shared" si="454"/>
        <v>0</v>
      </c>
      <c r="K1921" s="3">
        <f t="shared" si="455"/>
        <v>-100</v>
      </c>
      <c r="L1921" s="3">
        <f t="shared" si="456"/>
        <v>1</v>
      </c>
      <c r="M1921" s="3">
        <f t="shared" si="457"/>
        <v>0</v>
      </c>
      <c r="N1921" s="3" t="str">
        <f t="shared" si="465"/>
        <v>01</v>
      </c>
      <c r="O1921" s="14" t="str">
        <f t="shared" si="465"/>
        <v>00</v>
      </c>
      <c r="R1921" s="6">
        <v>510</v>
      </c>
      <c r="S1921" s="5">
        <f t="shared" si="466"/>
        <v>0</v>
      </c>
    </row>
    <row r="1922" spans="1:22" hidden="1">
      <c r="J1922" s="1" t="str">
        <f t="shared" si="454"/>
        <v>0</v>
      </c>
      <c r="K1922" s="3">
        <f t="shared" si="455"/>
        <v>-100</v>
      </c>
      <c r="L1922" s="3">
        <f t="shared" si="456"/>
        <v>1</v>
      </c>
      <c r="M1922" s="3">
        <f t="shared" si="457"/>
        <v>0</v>
      </c>
      <c r="N1922" s="3" t="str">
        <f t="shared" si="465"/>
        <v>01</v>
      </c>
      <c r="O1922" s="14" t="str">
        <f t="shared" si="465"/>
        <v>00</v>
      </c>
      <c r="R1922" s="6">
        <v>510</v>
      </c>
      <c r="S1922" s="5">
        <f t="shared" si="466"/>
        <v>0</v>
      </c>
    </row>
    <row r="1923" spans="1:22" hidden="1">
      <c r="J1923" s="1" t="str">
        <f t="shared" si="454"/>
        <v>0</v>
      </c>
      <c r="K1923" s="3">
        <f t="shared" si="455"/>
        <v>-100</v>
      </c>
      <c r="L1923" s="3">
        <f t="shared" si="456"/>
        <v>1</v>
      </c>
      <c r="M1923" s="3">
        <f t="shared" si="457"/>
        <v>0</v>
      </c>
      <c r="N1923" s="3" t="str">
        <f t="shared" si="465"/>
        <v>01</v>
      </c>
      <c r="O1923" s="14" t="str">
        <f t="shared" si="465"/>
        <v>00</v>
      </c>
      <c r="R1923" s="6">
        <v>510</v>
      </c>
      <c r="S1923" s="5">
        <f t="shared" si="466"/>
        <v>0</v>
      </c>
    </row>
    <row r="1924" spans="1:22" hidden="1">
      <c r="J1924" s="1" t="str">
        <f t="shared" si="454"/>
        <v>0</v>
      </c>
      <c r="K1924" s="3">
        <f t="shared" si="455"/>
        <v>-100</v>
      </c>
      <c r="L1924" s="3">
        <f t="shared" si="456"/>
        <v>1</v>
      </c>
      <c r="M1924" s="3">
        <f t="shared" si="457"/>
        <v>0</v>
      </c>
      <c r="N1924" s="3" t="str">
        <f t="shared" si="465"/>
        <v>01</v>
      </c>
      <c r="O1924" s="14" t="str">
        <f t="shared" si="465"/>
        <v>00</v>
      </c>
      <c r="R1924" s="6">
        <v>510</v>
      </c>
      <c r="S1924" s="5">
        <f t="shared" si="466"/>
        <v>0</v>
      </c>
    </row>
    <row r="1925" spans="1:22" hidden="1">
      <c r="J1925" s="1" t="str">
        <f t="shared" si="454"/>
        <v>0</v>
      </c>
      <c r="K1925" s="3">
        <f t="shared" si="455"/>
        <v>-100</v>
      </c>
      <c r="L1925" s="3">
        <f t="shared" si="456"/>
        <v>1</v>
      </c>
      <c r="M1925" s="3">
        <f t="shared" si="457"/>
        <v>0</v>
      </c>
      <c r="N1925" s="3" t="str">
        <f t="shared" si="465"/>
        <v>01</v>
      </c>
      <c r="O1925" s="14" t="str">
        <f t="shared" si="465"/>
        <v>00</v>
      </c>
      <c r="R1925" s="6">
        <v>512</v>
      </c>
      <c r="S1925" s="5">
        <f t="shared" si="466"/>
        <v>0</v>
      </c>
    </row>
    <row r="1926" spans="1:22" hidden="1">
      <c r="J1926" s="1" t="str">
        <f t="shared" si="454"/>
        <v>0</v>
      </c>
      <c r="K1926" s="3">
        <f t="shared" si="455"/>
        <v>-100</v>
      </c>
      <c r="L1926" s="3">
        <f t="shared" si="456"/>
        <v>1</v>
      </c>
      <c r="M1926" s="3">
        <f t="shared" si="457"/>
        <v>0</v>
      </c>
      <c r="N1926" s="3" t="str">
        <f t="shared" si="465"/>
        <v>01</v>
      </c>
      <c r="O1926" s="14" t="str">
        <f t="shared" si="465"/>
        <v>00</v>
      </c>
      <c r="R1926" s="6">
        <v>512</v>
      </c>
      <c r="S1926" s="5">
        <f t="shared" si="466"/>
        <v>0</v>
      </c>
    </row>
    <row r="1927" spans="1:22" hidden="1">
      <c r="J1927" s="1" t="str">
        <f t="shared" si="454"/>
        <v>0</v>
      </c>
      <c r="K1927" s="3">
        <f t="shared" si="455"/>
        <v>-100</v>
      </c>
      <c r="L1927" s="3">
        <f t="shared" si="456"/>
        <v>1</v>
      </c>
      <c r="M1927" s="3">
        <f t="shared" si="457"/>
        <v>0</v>
      </c>
      <c r="N1927" s="3" t="str">
        <f t="shared" si="465"/>
        <v>01</v>
      </c>
      <c r="O1927" s="14" t="str">
        <f t="shared" si="465"/>
        <v>00</v>
      </c>
    </row>
    <row r="1928" spans="1:22" hidden="1">
      <c r="J1928" s="1" t="str">
        <f t="shared" si="454"/>
        <v>0</v>
      </c>
      <c r="K1928" s="3">
        <f t="shared" si="455"/>
        <v>-100</v>
      </c>
      <c r="L1928" s="3">
        <f t="shared" si="456"/>
        <v>1</v>
      </c>
      <c r="M1928" s="3">
        <f t="shared" si="457"/>
        <v>0</v>
      </c>
      <c r="N1928" s="3" t="str">
        <f t="shared" si="465"/>
        <v>01</v>
      </c>
      <c r="O1928" s="14" t="str">
        <f t="shared" si="465"/>
        <v>00</v>
      </c>
      <c r="R1928" s="6">
        <v>511</v>
      </c>
      <c r="S1928" s="5">
        <f t="shared" ref="S1928:S1937" si="472">IFERROR(P1928/R1928,"")</f>
        <v>0</v>
      </c>
    </row>
    <row r="1929" spans="1:22">
      <c r="A1929" s="3">
        <v>1913</v>
      </c>
      <c r="B1929" s="1">
        <f t="shared" si="467"/>
        <v>0</v>
      </c>
      <c r="C1929" s="1">
        <f t="shared" si="468"/>
        <v>1</v>
      </c>
      <c r="D1929" s="1">
        <f t="shared" si="469"/>
        <v>0</v>
      </c>
      <c r="E1929" s="1">
        <f t="shared" si="470"/>
        <v>1</v>
      </c>
      <c r="F1929" s="1">
        <f t="shared" si="470"/>
        <v>0</v>
      </c>
      <c r="G1929" s="1" t="str">
        <f t="shared" si="471"/>
        <v>24091302</v>
      </c>
      <c r="H1929" s="2">
        <v>45548</v>
      </c>
      <c r="I1929" s="36">
        <v>2</v>
      </c>
      <c r="J1929" s="1" t="str">
        <f t="shared" si="454"/>
        <v>02</v>
      </c>
      <c r="K1929" s="3">
        <f t="shared" si="455"/>
        <v>24</v>
      </c>
      <c r="L1929" s="3">
        <f t="shared" si="456"/>
        <v>9</v>
      </c>
      <c r="M1929" s="3">
        <f t="shared" si="457"/>
        <v>13</v>
      </c>
      <c r="N1929" s="3" t="str">
        <f t="shared" si="465"/>
        <v>09</v>
      </c>
      <c r="O1929" s="14">
        <f t="shared" si="465"/>
        <v>13</v>
      </c>
      <c r="P1929" s="4">
        <v>200000</v>
      </c>
      <c r="R1929" s="6">
        <v>511</v>
      </c>
      <c r="S1929" s="5">
        <f t="shared" si="472"/>
        <v>391.38943248532291</v>
      </c>
      <c r="T1929" s="5" t="s">
        <v>732</v>
      </c>
      <c r="V1929" s="3" t="s">
        <v>5</v>
      </c>
    </row>
    <row r="1930" spans="1:22">
      <c r="A1930" s="3">
        <v>1914</v>
      </c>
      <c r="B1930" s="1">
        <f t="shared" si="467"/>
        <v>0</v>
      </c>
      <c r="C1930" s="1">
        <f t="shared" si="468"/>
        <v>0</v>
      </c>
      <c r="D1930" s="1">
        <f t="shared" si="469"/>
        <v>0</v>
      </c>
      <c r="E1930" s="1">
        <f t="shared" si="470"/>
        <v>1</v>
      </c>
      <c r="F1930" s="1">
        <f t="shared" si="470"/>
        <v>0</v>
      </c>
      <c r="G1930" s="1" t="str">
        <f t="shared" si="471"/>
        <v>24091303</v>
      </c>
      <c r="H1930" s="2">
        <v>45548</v>
      </c>
      <c r="I1930" s="36">
        <v>3</v>
      </c>
      <c r="J1930" s="1" t="str">
        <f t="shared" si="454"/>
        <v>03</v>
      </c>
      <c r="K1930" s="3">
        <f t="shared" si="455"/>
        <v>24</v>
      </c>
      <c r="L1930" s="3">
        <f t="shared" si="456"/>
        <v>9</v>
      </c>
      <c r="M1930" s="3">
        <f t="shared" si="457"/>
        <v>13</v>
      </c>
      <c r="N1930" s="3" t="str">
        <f t="shared" si="465"/>
        <v>09</v>
      </c>
      <c r="O1930" s="14">
        <f t="shared" si="465"/>
        <v>13</v>
      </c>
      <c r="P1930" s="4">
        <v>384275.71</v>
      </c>
      <c r="R1930" s="6">
        <v>511</v>
      </c>
      <c r="S1930" s="5">
        <f t="shared" si="472"/>
        <v>752.00726027397263</v>
      </c>
      <c r="T1930" s="5" t="s">
        <v>733</v>
      </c>
      <c r="V1930" s="3" t="s">
        <v>5</v>
      </c>
    </row>
    <row r="1931" spans="1:22">
      <c r="A1931" s="3">
        <v>1915</v>
      </c>
      <c r="B1931" s="1">
        <f t="shared" si="467"/>
        <v>0</v>
      </c>
      <c r="C1931" s="1">
        <f t="shared" si="468"/>
        <v>0</v>
      </c>
      <c r="D1931" s="1">
        <f t="shared" si="469"/>
        <v>0</v>
      </c>
      <c r="E1931" s="1">
        <f t="shared" si="470"/>
        <v>0</v>
      </c>
      <c r="F1931" s="1">
        <f t="shared" si="470"/>
        <v>0</v>
      </c>
      <c r="G1931" s="1" t="str">
        <f t="shared" si="471"/>
        <v>24091304</v>
      </c>
      <c r="H1931" s="2">
        <v>45548</v>
      </c>
      <c r="I1931" s="36">
        <v>4</v>
      </c>
      <c r="J1931" s="1" t="str">
        <f t="shared" si="454"/>
        <v>04</v>
      </c>
      <c r="K1931" s="3">
        <f t="shared" si="455"/>
        <v>24</v>
      </c>
      <c r="L1931" s="3">
        <f t="shared" si="456"/>
        <v>9</v>
      </c>
      <c r="M1931" s="3">
        <f t="shared" si="457"/>
        <v>13</v>
      </c>
      <c r="N1931" s="3" t="str">
        <f t="shared" si="465"/>
        <v>09</v>
      </c>
      <c r="O1931" s="14">
        <f t="shared" si="465"/>
        <v>13</v>
      </c>
      <c r="P1931" s="4">
        <v>10475.1</v>
      </c>
      <c r="R1931" s="6">
        <v>511</v>
      </c>
      <c r="S1931" s="5">
        <f t="shared" si="472"/>
        <v>20.49921722113503</v>
      </c>
      <c r="T1931" s="5" t="s">
        <v>734</v>
      </c>
      <c r="U1931" s="3" t="s">
        <v>29</v>
      </c>
      <c r="V1931" s="3" t="s">
        <v>5</v>
      </c>
    </row>
    <row r="1932" spans="1:22">
      <c r="A1932" s="3">
        <v>1916</v>
      </c>
      <c r="B1932" s="1">
        <f t="shared" si="467"/>
        <v>0</v>
      </c>
      <c r="C1932" s="1">
        <f t="shared" si="468"/>
        <v>0</v>
      </c>
      <c r="D1932" s="1">
        <f t="shared" si="469"/>
        <v>0</v>
      </c>
      <c r="E1932" s="1">
        <f t="shared" si="470"/>
        <v>0</v>
      </c>
      <c r="F1932" s="1">
        <f t="shared" si="470"/>
        <v>0</v>
      </c>
      <c r="G1932" s="1" t="str">
        <f t="shared" si="471"/>
        <v>24091305</v>
      </c>
      <c r="H1932" s="2">
        <v>45548</v>
      </c>
      <c r="I1932" s="36">
        <v>5</v>
      </c>
      <c r="J1932" s="1" t="str">
        <f t="shared" si="454"/>
        <v>05</v>
      </c>
      <c r="K1932" s="3">
        <f t="shared" si="455"/>
        <v>24</v>
      </c>
      <c r="L1932" s="3">
        <f t="shared" si="456"/>
        <v>9</v>
      </c>
      <c r="M1932" s="3">
        <f t="shared" si="457"/>
        <v>13</v>
      </c>
      <c r="N1932" s="3" t="str">
        <f t="shared" si="465"/>
        <v>09</v>
      </c>
      <c r="O1932" s="14">
        <f t="shared" si="465"/>
        <v>13</v>
      </c>
      <c r="P1932" s="4">
        <v>12774.65</v>
      </c>
      <c r="R1932" s="6">
        <v>511</v>
      </c>
      <c r="S1932" s="5">
        <f t="shared" si="472"/>
        <v>24.99931506849315</v>
      </c>
      <c r="T1932" s="5" t="s">
        <v>735</v>
      </c>
      <c r="U1932" s="3" t="s">
        <v>29</v>
      </c>
      <c r="V1932" s="3" t="s">
        <v>5</v>
      </c>
    </row>
    <row r="1933" spans="1:22" hidden="1">
      <c r="J1933" s="1" t="str">
        <f t="shared" si="454"/>
        <v>0</v>
      </c>
      <c r="K1933" s="3">
        <f t="shared" si="455"/>
        <v>-100</v>
      </c>
      <c r="L1933" s="3">
        <f t="shared" si="456"/>
        <v>1</v>
      </c>
      <c r="M1933" s="3">
        <f t="shared" si="457"/>
        <v>0</v>
      </c>
      <c r="N1933" s="3" t="str">
        <f t="shared" si="465"/>
        <v>01</v>
      </c>
      <c r="O1933" s="14" t="str">
        <f t="shared" si="465"/>
        <v>00</v>
      </c>
      <c r="R1933" s="6">
        <v>511</v>
      </c>
      <c r="S1933" s="5">
        <f t="shared" si="472"/>
        <v>0</v>
      </c>
    </row>
    <row r="1934" spans="1:22" hidden="1">
      <c r="J1934" s="1" t="str">
        <f t="shared" si="454"/>
        <v>0</v>
      </c>
      <c r="K1934" s="3">
        <f t="shared" si="455"/>
        <v>-100</v>
      </c>
      <c r="L1934" s="3">
        <f t="shared" si="456"/>
        <v>1</v>
      </c>
      <c r="M1934" s="3">
        <f t="shared" si="457"/>
        <v>0</v>
      </c>
      <c r="N1934" s="3" t="str">
        <f t="shared" si="465"/>
        <v>01</v>
      </c>
      <c r="O1934" s="14" t="str">
        <f t="shared" si="465"/>
        <v>00</v>
      </c>
      <c r="R1934" s="6">
        <v>511</v>
      </c>
      <c r="S1934" s="5">
        <f t="shared" si="472"/>
        <v>0</v>
      </c>
    </row>
    <row r="1935" spans="1:22" hidden="1">
      <c r="J1935" s="1" t="str">
        <f t="shared" si="454"/>
        <v>0</v>
      </c>
      <c r="K1935" s="3">
        <f t="shared" si="455"/>
        <v>-100</v>
      </c>
      <c r="L1935" s="3">
        <f t="shared" si="456"/>
        <v>1</v>
      </c>
      <c r="M1935" s="3">
        <f t="shared" si="457"/>
        <v>0</v>
      </c>
      <c r="N1935" s="3" t="str">
        <f t="shared" si="465"/>
        <v>01</v>
      </c>
      <c r="O1935" s="14" t="str">
        <f t="shared" si="465"/>
        <v>00</v>
      </c>
      <c r="R1935" s="6">
        <v>511</v>
      </c>
      <c r="S1935" s="5">
        <f t="shared" si="472"/>
        <v>0</v>
      </c>
    </row>
    <row r="1936" spans="1:22" hidden="1">
      <c r="J1936" s="1" t="str">
        <f t="shared" si="454"/>
        <v>0</v>
      </c>
      <c r="K1936" s="3">
        <f t="shared" si="455"/>
        <v>-100</v>
      </c>
      <c r="L1936" s="3">
        <f t="shared" si="456"/>
        <v>1</v>
      </c>
      <c r="M1936" s="3">
        <f t="shared" si="457"/>
        <v>0</v>
      </c>
      <c r="N1936" s="3" t="str">
        <f t="shared" si="465"/>
        <v>01</v>
      </c>
      <c r="O1936" s="14" t="str">
        <f t="shared" si="465"/>
        <v>00</v>
      </c>
      <c r="R1936" s="6">
        <v>511</v>
      </c>
      <c r="S1936" s="5">
        <f t="shared" si="472"/>
        <v>0</v>
      </c>
    </row>
    <row r="1937" spans="1:23" hidden="1">
      <c r="J1937" s="1" t="str">
        <f t="shared" ref="J1937:J1968" si="473">+IF(I1937&lt;10,_xlfn.CONCAT("0",I1937),I1937)</f>
        <v>0</v>
      </c>
      <c r="K1937" s="3">
        <f t="shared" ref="K1937:K1968" si="474">+YEAR(H1937)-2000</f>
        <v>-100</v>
      </c>
      <c r="L1937" s="3">
        <f t="shared" ref="L1937:L1968" si="475">+MONTH(H1937)</f>
        <v>1</v>
      </c>
      <c r="M1937" s="3">
        <f t="shared" ref="M1937:M1968" si="476">+DAY(H1937)</f>
        <v>0</v>
      </c>
      <c r="N1937" s="3" t="str">
        <f t="shared" ref="N1937:O1968" si="477">+IF(L1937&lt;10,_xlfn.CONCAT("0",L1937),L1937)</f>
        <v>01</v>
      </c>
      <c r="O1937" s="14" t="str">
        <f t="shared" si="477"/>
        <v>00</v>
      </c>
      <c r="R1937" s="6">
        <v>511</v>
      </c>
      <c r="S1937" s="5">
        <f t="shared" si="472"/>
        <v>0</v>
      </c>
    </row>
    <row r="1938" spans="1:23" hidden="1">
      <c r="J1938" s="1" t="str">
        <f t="shared" si="473"/>
        <v>0</v>
      </c>
      <c r="K1938" s="3">
        <f t="shared" si="474"/>
        <v>-100</v>
      </c>
      <c r="L1938" s="3">
        <f t="shared" si="475"/>
        <v>1</v>
      </c>
      <c r="M1938" s="3">
        <f t="shared" si="476"/>
        <v>0</v>
      </c>
      <c r="N1938" s="3" t="str">
        <f t="shared" si="477"/>
        <v>01</v>
      </c>
      <c r="O1938" s="14" t="str">
        <f t="shared" si="477"/>
        <v>00</v>
      </c>
    </row>
    <row r="1939" spans="1:23" hidden="1">
      <c r="J1939" s="1" t="str">
        <f t="shared" si="473"/>
        <v>0</v>
      </c>
      <c r="K1939" s="3">
        <f t="shared" si="474"/>
        <v>-100</v>
      </c>
      <c r="L1939" s="3">
        <f t="shared" si="475"/>
        <v>1</v>
      </c>
      <c r="M1939" s="3">
        <f t="shared" si="476"/>
        <v>0</v>
      </c>
      <c r="N1939" s="3" t="str">
        <f t="shared" si="477"/>
        <v>01</v>
      </c>
      <c r="O1939" s="14" t="str">
        <f t="shared" si="477"/>
        <v>00</v>
      </c>
      <c r="R1939" s="6">
        <v>511</v>
      </c>
      <c r="S1939" s="5">
        <f t="shared" ref="S1939:S1966" si="478">IFERROR(P1939/R1939,"")</f>
        <v>0</v>
      </c>
    </row>
    <row r="1940" spans="1:23" hidden="1">
      <c r="J1940" s="1" t="str">
        <f t="shared" si="473"/>
        <v>0</v>
      </c>
      <c r="K1940" s="3">
        <f t="shared" si="474"/>
        <v>-100</v>
      </c>
      <c r="L1940" s="3">
        <f t="shared" si="475"/>
        <v>1</v>
      </c>
      <c r="M1940" s="3">
        <f t="shared" si="476"/>
        <v>0</v>
      </c>
      <c r="N1940" s="3" t="str">
        <f t="shared" si="477"/>
        <v>01</v>
      </c>
      <c r="O1940" s="14" t="str">
        <f t="shared" si="477"/>
        <v>00</v>
      </c>
      <c r="R1940" s="6">
        <v>511</v>
      </c>
      <c r="S1940" s="5">
        <f t="shared" si="478"/>
        <v>0</v>
      </c>
    </row>
    <row r="1941" spans="1:23" hidden="1">
      <c r="J1941" s="1" t="str">
        <f t="shared" si="473"/>
        <v>0</v>
      </c>
      <c r="K1941" s="3">
        <f t="shared" si="474"/>
        <v>-100</v>
      </c>
      <c r="L1941" s="3">
        <f t="shared" si="475"/>
        <v>1</v>
      </c>
      <c r="M1941" s="3">
        <f t="shared" si="476"/>
        <v>0</v>
      </c>
      <c r="N1941" s="3" t="str">
        <f t="shared" si="477"/>
        <v>01</v>
      </c>
      <c r="O1941" s="14" t="str">
        <f t="shared" si="477"/>
        <v>00</v>
      </c>
      <c r="R1941" s="6">
        <v>511</v>
      </c>
      <c r="S1941" s="5">
        <f t="shared" si="478"/>
        <v>0</v>
      </c>
    </row>
    <row r="1942" spans="1:23" hidden="1">
      <c r="J1942" s="1" t="str">
        <f t="shared" si="473"/>
        <v>0</v>
      </c>
      <c r="K1942" s="3">
        <f t="shared" si="474"/>
        <v>-100</v>
      </c>
      <c r="L1942" s="3">
        <f t="shared" si="475"/>
        <v>1</v>
      </c>
      <c r="M1942" s="3">
        <f t="shared" si="476"/>
        <v>0</v>
      </c>
      <c r="N1942" s="3" t="str">
        <f t="shared" si="477"/>
        <v>01</v>
      </c>
      <c r="O1942" s="14" t="str">
        <f t="shared" si="477"/>
        <v>00</v>
      </c>
      <c r="R1942" s="6">
        <v>511</v>
      </c>
      <c r="S1942" s="5">
        <f t="shared" si="478"/>
        <v>0</v>
      </c>
    </row>
    <row r="1943" spans="1:23" hidden="1">
      <c r="J1943" s="1" t="str">
        <f t="shared" si="473"/>
        <v>0</v>
      </c>
      <c r="K1943" s="3">
        <f t="shared" si="474"/>
        <v>-100</v>
      </c>
      <c r="L1943" s="3">
        <f t="shared" si="475"/>
        <v>1</v>
      </c>
      <c r="M1943" s="3">
        <f t="shared" si="476"/>
        <v>0</v>
      </c>
      <c r="N1943" s="3" t="str">
        <f t="shared" si="477"/>
        <v>01</v>
      </c>
      <c r="O1943" s="14" t="str">
        <f t="shared" si="477"/>
        <v>00</v>
      </c>
      <c r="R1943" s="6">
        <v>511</v>
      </c>
      <c r="S1943" s="5">
        <f t="shared" si="478"/>
        <v>0</v>
      </c>
    </row>
    <row r="1944" spans="1:23" hidden="1">
      <c r="J1944" s="1" t="str">
        <f t="shared" si="473"/>
        <v>0</v>
      </c>
      <c r="K1944" s="3">
        <f t="shared" si="474"/>
        <v>-100</v>
      </c>
      <c r="L1944" s="3">
        <f t="shared" si="475"/>
        <v>1</v>
      </c>
      <c r="M1944" s="3">
        <f t="shared" si="476"/>
        <v>0</v>
      </c>
      <c r="N1944" s="3" t="str">
        <f t="shared" si="477"/>
        <v>01</v>
      </c>
      <c r="O1944" s="14" t="str">
        <f t="shared" si="477"/>
        <v>00</v>
      </c>
      <c r="R1944" s="6">
        <v>511</v>
      </c>
      <c r="S1944" s="5">
        <f t="shared" si="478"/>
        <v>0</v>
      </c>
    </row>
    <row r="1945" spans="1:23">
      <c r="A1945" s="3">
        <v>1929</v>
      </c>
      <c r="B1945" s="1">
        <f t="shared" ref="B1945:B1968" si="479">IF(G1945="-",0,IF(G1944=G1945,1,0))</f>
        <v>0</v>
      </c>
      <c r="C1945" s="1">
        <f t="shared" ref="C1945:C1968" si="480">+IF(G1945="-",0,IF(I1945=I1944+1,0,(IF(I1945=1,0,1))))</f>
        <v>1</v>
      </c>
      <c r="D1945" s="1">
        <f t="shared" ref="D1945:D1968" si="481">+IF(AND(P1945="",Q1945=""),1,0)</f>
        <v>0</v>
      </c>
      <c r="E1945" s="1">
        <f t="shared" ref="E1945:F1968" si="482">IF(U1945="",1,0)</f>
        <v>1</v>
      </c>
      <c r="F1945" s="1">
        <f t="shared" si="482"/>
        <v>0</v>
      </c>
      <c r="G1945" s="1" t="str">
        <f t="shared" ref="G1945:G1968" si="483">IF(H1945=0,"-",_xlfn.CONCAT(K1945,N1945,O1945,J1945))</f>
        <v>24091407</v>
      </c>
      <c r="H1945" s="2">
        <v>45549</v>
      </c>
      <c r="I1945" s="36">
        <v>7</v>
      </c>
      <c r="J1945" s="1" t="str">
        <f t="shared" si="473"/>
        <v>07</v>
      </c>
      <c r="K1945" s="3">
        <f t="shared" si="474"/>
        <v>24</v>
      </c>
      <c r="L1945" s="3">
        <f t="shared" si="475"/>
        <v>9</v>
      </c>
      <c r="M1945" s="3">
        <f t="shared" si="476"/>
        <v>14</v>
      </c>
      <c r="N1945" s="3" t="str">
        <f t="shared" si="477"/>
        <v>09</v>
      </c>
      <c r="O1945" s="14">
        <f t="shared" si="477"/>
        <v>14</v>
      </c>
      <c r="P1945" s="19">
        <v>159000</v>
      </c>
      <c r="R1945" s="6">
        <v>511</v>
      </c>
      <c r="S1945" s="5">
        <f t="shared" si="478"/>
        <v>311.15459882583173</v>
      </c>
      <c r="T1945" s="3" t="s">
        <v>753</v>
      </c>
      <c r="V1945" s="3" t="s">
        <v>5</v>
      </c>
      <c r="W1945" s="3" t="s">
        <v>1077</v>
      </c>
    </row>
    <row r="1946" spans="1:23">
      <c r="A1946" s="3">
        <v>1930</v>
      </c>
      <c r="B1946" s="1">
        <f t="shared" si="479"/>
        <v>0</v>
      </c>
      <c r="C1946" s="1">
        <f t="shared" si="480"/>
        <v>0</v>
      </c>
      <c r="D1946" s="1">
        <f t="shared" si="481"/>
        <v>0</v>
      </c>
      <c r="E1946" s="1">
        <f t="shared" si="482"/>
        <v>1</v>
      </c>
      <c r="F1946" s="1">
        <f t="shared" si="482"/>
        <v>0</v>
      </c>
      <c r="G1946" s="1" t="str">
        <f t="shared" si="483"/>
        <v>24091408</v>
      </c>
      <c r="H1946" s="2">
        <v>45549</v>
      </c>
      <c r="I1946" s="36">
        <v>8</v>
      </c>
      <c r="J1946" s="1" t="str">
        <f t="shared" si="473"/>
        <v>08</v>
      </c>
      <c r="K1946" s="3">
        <f t="shared" si="474"/>
        <v>24</v>
      </c>
      <c r="L1946" s="3">
        <f t="shared" si="475"/>
        <v>9</v>
      </c>
      <c r="M1946" s="3">
        <f t="shared" si="476"/>
        <v>14</v>
      </c>
      <c r="N1946" s="3" t="str">
        <f t="shared" si="477"/>
        <v>09</v>
      </c>
      <c r="O1946" s="14">
        <f t="shared" si="477"/>
        <v>14</v>
      </c>
      <c r="P1946" s="19">
        <v>108000</v>
      </c>
      <c r="R1946" s="6">
        <v>511</v>
      </c>
      <c r="S1946" s="5">
        <f t="shared" si="478"/>
        <v>211.35029354207435</v>
      </c>
      <c r="T1946" s="28" t="s">
        <v>736</v>
      </c>
      <c r="V1946" s="3" t="s">
        <v>5</v>
      </c>
    </row>
    <row r="1947" spans="1:23">
      <c r="A1947" s="3">
        <v>1931</v>
      </c>
      <c r="B1947" s="1">
        <f t="shared" si="479"/>
        <v>0</v>
      </c>
      <c r="C1947" s="1">
        <f t="shared" si="480"/>
        <v>0</v>
      </c>
      <c r="D1947" s="1">
        <f t="shared" si="481"/>
        <v>0</v>
      </c>
      <c r="E1947" s="1">
        <f t="shared" si="482"/>
        <v>1</v>
      </c>
      <c r="F1947" s="1">
        <f t="shared" si="482"/>
        <v>0</v>
      </c>
      <c r="G1947" s="1" t="str">
        <f t="shared" si="483"/>
        <v>24091409</v>
      </c>
      <c r="H1947" s="2">
        <v>45549</v>
      </c>
      <c r="I1947" s="36">
        <v>9</v>
      </c>
      <c r="J1947" s="1" t="str">
        <f t="shared" si="473"/>
        <v>09</v>
      </c>
      <c r="K1947" s="3">
        <f t="shared" si="474"/>
        <v>24</v>
      </c>
      <c r="L1947" s="3">
        <f t="shared" si="475"/>
        <v>9</v>
      </c>
      <c r="M1947" s="3">
        <f t="shared" si="476"/>
        <v>14</v>
      </c>
      <c r="N1947" s="3" t="str">
        <f t="shared" si="477"/>
        <v>09</v>
      </c>
      <c r="O1947" s="14">
        <f t="shared" si="477"/>
        <v>14</v>
      </c>
      <c r="P1947" s="22">
        <v>159000</v>
      </c>
      <c r="R1947" s="6">
        <v>511</v>
      </c>
      <c r="S1947" s="5">
        <f t="shared" si="478"/>
        <v>311.15459882583173</v>
      </c>
      <c r="T1947" s="28" t="s">
        <v>737</v>
      </c>
      <c r="V1947" s="3" t="s">
        <v>5</v>
      </c>
    </row>
    <row r="1948" spans="1:23">
      <c r="A1948" s="3">
        <v>1932</v>
      </c>
      <c r="B1948" s="1">
        <f t="shared" si="479"/>
        <v>0</v>
      </c>
      <c r="C1948" s="1">
        <f t="shared" si="480"/>
        <v>0</v>
      </c>
      <c r="D1948" s="1">
        <f t="shared" si="481"/>
        <v>0</v>
      </c>
      <c r="E1948" s="1">
        <f t="shared" si="482"/>
        <v>1</v>
      </c>
      <c r="F1948" s="1">
        <f t="shared" si="482"/>
        <v>0</v>
      </c>
      <c r="G1948" s="1" t="str">
        <f t="shared" si="483"/>
        <v>24091410</v>
      </c>
      <c r="H1948" s="2">
        <v>45549</v>
      </c>
      <c r="I1948" s="36">
        <v>10</v>
      </c>
      <c r="J1948" s="1">
        <f t="shared" si="473"/>
        <v>10</v>
      </c>
      <c r="K1948" s="3">
        <f t="shared" si="474"/>
        <v>24</v>
      </c>
      <c r="L1948" s="3">
        <f t="shared" si="475"/>
        <v>9</v>
      </c>
      <c r="M1948" s="3">
        <f t="shared" si="476"/>
        <v>14</v>
      </c>
      <c r="N1948" s="3" t="str">
        <f t="shared" si="477"/>
        <v>09</v>
      </c>
      <c r="O1948" s="14">
        <f t="shared" si="477"/>
        <v>14</v>
      </c>
      <c r="P1948" s="22">
        <v>108000</v>
      </c>
      <c r="R1948" s="6">
        <v>511</v>
      </c>
      <c r="S1948" s="5">
        <f t="shared" si="478"/>
        <v>211.35029354207435</v>
      </c>
      <c r="T1948" s="28" t="s">
        <v>738</v>
      </c>
      <c r="V1948" s="3" t="s">
        <v>5</v>
      </c>
    </row>
    <row r="1949" spans="1:23">
      <c r="A1949" s="3">
        <v>1933</v>
      </c>
      <c r="B1949" s="1">
        <f t="shared" si="479"/>
        <v>0</v>
      </c>
      <c r="C1949" s="1">
        <f t="shared" si="480"/>
        <v>0</v>
      </c>
      <c r="D1949" s="1">
        <f t="shared" si="481"/>
        <v>0</v>
      </c>
      <c r="E1949" s="1">
        <f t="shared" si="482"/>
        <v>1</v>
      </c>
      <c r="F1949" s="1">
        <f t="shared" si="482"/>
        <v>0</v>
      </c>
      <c r="G1949" s="1" t="str">
        <f t="shared" si="483"/>
        <v>24091411</v>
      </c>
      <c r="H1949" s="2">
        <v>45549</v>
      </c>
      <c r="I1949" s="36">
        <v>11</v>
      </c>
      <c r="J1949" s="1">
        <f t="shared" si="473"/>
        <v>11</v>
      </c>
      <c r="K1949" s="3">
        <f t="shared" si="474"/>
        <v>24</v>
      </c>
      <c r="L1949" s="3">
        <f t="shared" si="475"/>
        <v>9</v>
      </c>
      <c r="M1949" s="3">
        <f t="shared" si="476"/>
        <v>14</v>
      </c>
      <c r="N1949" s="3" t="str">
        <f t="shared" si="477"/>
        <v>09</v>
      </c>
      <c r="O1949" s="14">
        <f t="shared" si="477"/>
        <v>14</v>
      </c>
      <c r="P1949" s="22">
        <v>150000</v>
      </c>
      <c r="R1949" s="6">
        <v>511</v>
      </c>
      <c r="S1949" s="5">
        <f t="shared" si="478"/>
        <v>293.54207436399219</v>
      </c>
      <c r="T1949" s="28" t="s">
        <v>577</v>
      </c>
      <c r="V1949" s="3" t="s">
        <v>5</v>
      </c>
    </row>
    <row r="1950" spans="1:23">
      <c r="A1950" s="3">
        <v>1934</v>
      </c>
      <c r="B1950" s="1">
        <f t="shared" si="479"/>
        <v>0</v>
      </c>
      <c r="C1950" s="1">
        <f t="shared" si="480"/>
        <v>0</v>
      </c>
      <c r="D1950" s="1">
        <f t="shared" si="481"/>
        <v>0</v>
      </c>
      <c r="E1950" s="1">
        <f t="shared" si="482"/>
        <v>1</v>
      </c>
      <c r="F1950" s="1">
        <f t="shared" si="482"/>
        <v>0</v>
      </c>
      <c r="G1950" s="1" t="str">
        <f t="shared" si="483"/>
        <v>24091412</v>
      </c>
      <c r="H1950" s="2">
        <v>45549</v>
      </c>
      <c r="I1950" s="36">
        <v>12</v>
      </c>
      <c r="J1950" s="1">
        <f t="shared" si="473"/>
        <v>12</v>
      </c>
      <c r="K1950" s="3">
        <f t="shared" si="474"/>
        <v>24</v>
      </c>
      <c r="L1950" s="3">
        <f t="shared" si="475"/>
        <v>9</v>
      </c>
      <c r="M1950" s="3">
        <f t="shared" si="476"/>
        <v>14</v>
      </c>
      <c r="N1950" s="3" t="str">
        <f t="shared" si="477"/>
        <v>09</v>
      </c>
      <c r="O1950" s="14">
        <f t="shared" si="477"/>
        <v>14</v>
      </c>
      <c r="P1950" s="24">
        <v>132000</v>
      </c>
      <c r="R1950" s="6">
        <v>511</v>
      </c>
      <c r="S1950" s="5">
        <f t="shared" si="478"/>
        <v>258.3170254403131</v>
      </c>
      <c r="T1950" s="28" t="s">
        <v>752</v>
      </c>
      <c r="V1950" s="3" t="s">
        <v>5</v>
      </c>
    </row>
    <row r="1951" spans="1:23" hidden="1">
      <c r="J1951" s="1" t="str">
        <f t="shared" si="473"/>
        <v>0</v>
      </c>
      <c r="K1951" s="3">
        <f t="shared" si="474"/>
        <v>-100</v>
      </c>
      <c r="L1951" s="3">
        <f t="shared" si="475"/>
        <v>1</v>
      </c>
      <c r="M1951" s="3">
        <f t="shared" si="476"/>
        <v>0</v>
      </c>
      <c r="N1951" s="3" t="str">
        <f t="shared" si="477"/>
        <v>01</v>
      </c>
      <c r="O1951" s="14" t="str">
        <f t="shared" si="477"/>
        <v>00</v>
      </c>
      <c r="P1951" s="24"/>
      <c r="R1951" s="6">
        <v>511</v>
      </c>
      <c r="S1951" s="5">
        <f t="shared" si="478"/>
        <v>0</v>
      </c>
      <c r="T1951" s="28"/>
    </row>
    <row r="1952" spans="1:23" hidden="1">
      <c r="J1952" s="1" t="str">
        <f t="shared" si="473"/>
        <v>0</v>
      </c>
      <c r="K1952" s="3">
        <f t="shared" si="474"/>
        <v>-100</v>
      </c>
      <c r="L1952" s="3">
        <f t="shared" si="475"/>
        <v>1</v>
      </c>
      <c r="M1952" s="3">
        <f t="shared" si="476"/>
        <v>0</v>
      </c>
      <c r="N1952" s="3" t="str">
        <f t="shared" si="477"/>
        <v>01</v>
      </c>
      <c r="O1952" s="14" t="str">
        <f t="shared" si="477"/>
        <v>00</v>
      </c>
      <c r="P1952" s="24"/>
      <c r="R1952" s="6">
        <v>511</v>
      </c>
      <c r="S1952" s="5">
        <f t="shared" si="478"/>
        <v>0</v>
      </c>
      <c r="T1952" s="28"/>
    </row>
    <row r="1953" spans="1:22" hidden="1">
      <c r="J1953" s="1" t="str">
        <f t="shared" si="473"/>
        <v>0</v>
      </c>
      <c r="K1953" s="3">
        <f t="shared" si="474"/>
        <v>-100</v>
      </c>
      <c r="L1953" s="3">
        <f t="shared" si="475"/>
        <v>1</v>
      </c>
      <c r="M1953" s="3">
        <f t="shared" si="476"/>
        <v>0</v>
      </c>
      <c r="N1953" s="3" t="str">
        <f t="shared" si="477"/>
        <v>01</v>
      </c>
      <c r="O1953" s="14" t="str">
        <f t="shared" si="477"/>
        <v>00</v>
      </c>
      <c r="P1953" s="24"/>
      <c r="R1953" s="6">
        <v>511</v>
      </c>
      <c r="S1953" s="5">
        <f t="shared" si="478"/>
        <v>0</v>
      </c>
      <c r="T1953" s="28"/>
    </row>
    <row r="1954" spans="1:22">
      <c r="A1954" s="3">
        <v>1938</v>
      </c>
      <c r="B1954" s="1">
        <f t="shared" si="479"/>
        <v>0</v>
      </c>
      <c r="C1954" s="1">
        <f t="shared" si="480"/>
        <v>1</v>
      </c>
      <c r="D1954" s="1">
        <f t="shared" si="481"/>
        <v>0</v>
      </c>
      <c r="E1954" s="1">
        <f t="shared" si="482"/>
        <v>1</v>
      </c>
      <c r="F1954" s="1">
        <f t="shared" si="482"/>
        <v>0</v>
      </c>
      <c r="G1954" s="1" t="str">
        <f t="shared" si="483"/>
        <v>24091416</v>
      </c>
      <c r="H1954" s="2">
        <v>45549</v>
      </c>
      <c r="I1954" s="36">
        <v>16</v>
      </c>
      <c r="J1954" s="1">
        <f t="shared" si="473"/>
        <v>16</v>
      </c>
      <c r="K1954" s="3">
        <f t="shared" si="474"/>
        <v>24</v>
      </c>
      <c r="L1954" s="3">
        <f t="shared" si="475"/>
        <v>9</v>
      </c>
      <c r="M1954" s="3">
        <f t="shared" si="476"/>
        <v>14</v>
      </c>
      <c r="N1954" s="3" t="str">
        <f t="shared" si="477"/>
        <v>09</v>
      </c>
      <c r="O1954" s="14">
        <f t="shared" si="477"/>
        <v>14</v>
      </c>
      <c r="P1954" s="24">
        <v>132000</v>
      </c>
      <c r="R1954" s="6">
        <v>511</v>
      </c>
      <c r="S1954" s="5">
        <f t="shared" si="478"/>
        <v>258.3170254403131</v>
      </c>
      <c r="T1954" s="28" t="s">
        <v>742</v>
      </c>
      <c r="V1954" s="3" t="s">
        <v>5</v>
      </c>
    </row>
    <row r="1955" spans="1:22" hidden="1">
      <c r="J1955" s="1" t="str">
        <f t="shared" si="473"/>
        <v>0</v>
      </c>
      <c r="K1955" s="3">
        <f t="shared" si="474"/>
        <v>-100</v>
      </c>
      <c r="L1955" s="3">
        <f t="shared" si="475"/>
        <v>1</v>
      </c>
      <c r="M1955" s="3">
        <f t="shared" si="476"/>
        <v>0</v>
      </c>
      <c r="N1955" s="3" t="str">
        <f t="shared" si="477"/>
        <v>01</v>
      </c>
      <c r="O1955" s="14" t="str">
        <f t="shared" si="477"/>
        <v>00</v>
      </c>
      <c r="P1955" s="125"/>
      <c r="R1955" s="6">
        <v>511</v>
      </c>
      <c r="S1955" s="5">
        <f t="shared" si="478"/>
        <v>0</v>
      </c>
      <c r="T1955" s="28"/>
    </row>
    <row r="1956" spans="1:22" hidden="1">
      <c r="J1956" s="1" t="str">
        <f t="shared" si="473"/>
        <v>0</v>
      </c>
      <c r="K1956" s="3">
        <f t="shared" si="474"/>
        <v>-100</v>
      </c>
      <c r="L1956" s="3">
        <f t="shared" si="475"/>
        <v>1</v>
      </c>
      <c r="M1956" s="3">
        <f t="shared" si="476"/>
        <v>0</v>
      </c>
      <c r="N1956" s="3" t="str">
        <f t="shared" si="477"/>
        <v>01</v>
      </c>
      <c r="O1956" s="14" t="str">
        <f t="shared" si="477"/>
        <v>00</v>
      </c>
      <c r="P1956" s="125"/>
      <c r="R1956" s="6">
        <v>511</v>
      </c>
      <c r="S1956" s="5">
        <f t="shared" si="478"/>
        <v>0</v>
      </c>
      <c r="T1956" s="28"/>
    </row>
    <row r="1957" spans="1:22" hidden="1">
      <c r="J1957" s="1" t="str">
        <f t="shared" si="473"/>
        <v>0</v>
      </c>
      <c r="K1957" s="3">
        <f t="shared" si="474"/>
        <v>-100</v>
      </c>
      <c r="L1957" s="3">
        <f t="shared" si="475"/>
        <v>1</v>
      </c>
      <c r="M1957" s="3">
        <f t="shared" si="476"/>
        <v>0</v>
      </c>
      <c r="N1957" s="3" t="str">
        <f t="shared" si="477"/>
        <v>01</v>
      </c>
      <c r="O1957" s="14" t="str">
        <f t="shared" si="477"/>
        <v>00</v>
      </c>
      <c r="P1957" s="125"/>
      <c r="R1957" s="6">
        <v>511</v>
      </c>
      <c r="S1957" s="5">
        <f t="shared" si="478"/>
        <v>0</v>
      </c>
      <c r="T1957" s="28"/>
    </row>
    <row r="1958" spans="1:22" hidden="1">
      <c r="J1958" s="1" t="str">
        <f t="shared" si="473"/>
        <v>0</v>
      </c>
      <c r="K1958" s="3">
        <f t="shared" si="474"/>
        <v>-100</v>
      </c>
      <c r="L1958" s="3">
        <f t="shared" si="475"/>
        <v>1</v>
      </c>
      <c r="M1958" s="3">
        <f t="shared" si="476"/>
        <v>0</v>
      </c>
      <c r="N1958" s="3" t="str">
        <f t="shared" si="477"/>
        <v>01</v>
      </c>
      <c r="O1958" s="14" t="str">
        <f t="shared" si="477"/>
        <v>00</v>
      </c>
      <c r="P1958" s="125"/>
      <c r="R1958" s="6">
        <v>511</v>
      </c>
      <c r="S1958" s="5">
        <f t="shared" si="478"/>
        <v>0</v>
      </c>
      <c r="T1958" s="28"/>
    </row>
    <row r="1959" spans="1:22" hidden="1">
      <c r="J1959" s="1" t="str">
        <f t="shared" si="473"/>
        <v>0</v>
      </c>
      <c r="K1959" s="3">
        <f t="shared" si="474"/>
        <v>-100</v>
      </c>
      <c r="L1959" s="3">
        <f t="shared" si="475"/>
        <v>1</v>
      </c>
      <c r="M1959" s="3">
        <f t="shared" si="476"/>
        <v>0</v>
      </c>
      <c r="N1959" s="3" t="str">
        <f t="shared" si="477"/>
        <v>01</v>
      </c>
      <c r="O1959" s="14" t="str">
        <f t="shared" si="477"/>
        <v>00</v>
      </c>
      <c r="P1959" s="125"/>
      <c r="R1959" s="6">
        <v>511</v>
      </c>
      <c r="S1959" s="5">
        <f t="shared" si="478"/>
        <v>0</v>
      </c>
      <c r="T1959" s="28"/>
    </row>
    <row r="1960" spans="1:22" hidden="1">
      <c r="J1960" s="1" t="str">
        <f t="shared" si="473"/>
        <v>0</v>
      </c>
      <c r="K1960" s="3">
        <f t="shared" si="474"/>
        <v>-100</v>
      </c>
      <c r="L1960" s="3">
        <f t="shared" si="475"/>
        <v>1</v>
      </c>
      <c r="M1960" s="3">
        <f t="shared" si="476"/>
        <v>0</v>
      </c>
      <c r="N1960" s="3" t="str">
        <f t="shared" si="477"/>
        <v>01</v>
      </c>
      <c r="O1960" s="14" t="str">
        <f t="shared" si="477"/>
        <v>00</v>
      </c>
      <c r="P1960" s="125"/>
      <c r="R1960" s="6">
        <v>511</v>
      </c>
      <c r="S1960" s="5">
        <f t="shared" si="478"/>
        <v>0</v>
      </c>
      <c r="T1960" s="28"/>
    </row>
    <row r="1961" spans="1:22">
      <c r="A1961" s="3">
        <v>1945</v>
      </c>
      <c r="B1961" s="1">
        <f t="shared" si="479"/>
        <v>0</v>
      </c>
      <c r="C1961" s="1">
        <f t="shared" si="480"/>
        <v>1</v>
      </c>
      <c r="D1961" s="1">
        <f t="shared" si="481"/>
        <v>0</v>
      </c>
      <c r="E1961" s="1">
        <f t="shared" si="482"/>
        <v>1</v>
      </c>
      <c r="F1961" s="1">
        <f t="shared" si="482"/>
        <v>0</v>
      </c>
      <c r="G1961" s="1" t="str">
        <f t="shared" si="483"/>
        <v>24091423</v>
      </c>
      <c r="H1961" s="2">
        <v>45549</v>
      </c>
      <c r="I1961" s="36">
        <v>23</v>
      </c>
      <c r="J1961" s="1">
        <f t="shared" si="473"/>
        <v>23</v>
      </c>
      <c r="K1961" s="3">
        <f t="shared" si="474"/>
        <v>24</v>
      </c>
      <c r="L1961" s="3">
        <f t="shared" si="475"/>
        <v>9</v>
      </c>
      <c r="M1961" s="3">
        <f t="shared" si="476"/>
        <v>14</v>
      </c>
      <c r="N1961" s="3" t="str">
        <f t="shared" si="477"/>
        <v>09</v>
      </c>
      <c r="O1961" s="14">
        <f t="shared" si="477"/>
        <v>14</v>
      </c>
      <c r="P1961" s="125">
        <v>132000</v>
      </c>
      <c r="R1961" s="6">
        <v>511</v>
      </c>
      <c r="S1961" s="5">
        <f t="shared" si="478"/>
        <v>258.3170254403131</v>
      </c>
      <c r="T1961" s="28" t="s">
        <v>747</v>
      </c>
      <c r="V1961" s="3" t="s">
        <v>5</v>
      </c>
    </row>
    <row r="1962" spans="1:22">
      <c r="A1962" s="3">
        <v>1946</v>
      </c>
      <c r="B1962" s="1">
        <f t="shared" si="479"/>
        <v>0</v>
      </c>
      <c r="C1962" s="1">
        <f t="shared" si="480"/>
        <v>0</v>
      </c>
      <c r="D1962" s="1">
        <f t="shared" si="481"/>
        <v>0</v>
      </c>
      <c r="E1962" s="1">
        <f t="shared" si="482"/>
        <v>1</v>
      </c>
      <c r="F1962" s="1">
        <f t="shared" si="482"/>
        <v>0</v>
      </c>
      <c r="G1962" s="1" t="str">
        <f t="shared" si="483"/>
        <v>24091424</v>
      </c>
      <c r="H1962" s="2">
        <v>45549</v>
      </c>
      <c r="I1962" s="36">
        <v>24</v>
      </c>
      <c r="J1962" s="1">
        <f t="shared" si="473"/>
        <v>24</v>
      </c>
      <c r="K1962" s="3">
        <f t="shared" si="474"/>
        <v>24</v>
      </c>
      <c r="L1962" s="3">
        <f t="shared" si="475"/>
        <v>9</v>
      </c>
      <c r="M1962" s="3">
        <f t="shared" si="476"/>
        <v>14</v>
      </c>
      <c r="N1962" s="3" t="str">
        <f t="shared" si="477"/>
        <v>09</v>
      </c>
      <c r="O1962" s="14">
        <f t="shared" si="477"/>
        <v>14</v>
      </c>
      <c r="P1962" s="125">
        <v>230000</v>
      </c>
      <c r="R1962" s="6">
        <v>511</v>
      </c>
      <c r="S1962" s="5">
        <f t="shared" si="478"/>
        <v>450.09784735812133</v>
      </c>
      <c r="T1962" s="28" t="s">
        <v>749</v>
      </c>
      <c r="V1962" s="3" t="s">
        <v>5</v>
      </c>
    </row>
    <row r="1963" spans="1:22">
      <c r="A1963" s="3">
        <v>1947</v>
      </c>
      <c r="B1963" s="1">
        <f t="shared" si="479"/>
        <v>0</v>
      </c>
      <c r="C1963" s="1">
        <f t="shared" si="480"/>
        <v>0</v>
      </c>
      <c r="D1963" s="1">
        <f t="shared" si="481"/>
        <v>0</v>
      </c>
      <c r="E1963" s="1">
        <f t="shared" si="482"/>
        <v>1</v>
      </c>
      <c r="F1963" s="1">
        <f t="shared" si="482"/>
        <v>0</v>
      </c>
      <c r="G1963" s="1" t="str">
        <f t="shared" si="483"/>
        <v>24091425</v>
      </c>
      <c r="H1963" s="2">
        <v>45549</v>
      </c>
      <c r="I1963" s="36">
        <v>25</v>
      </c>
      <c r="J1963" s="1">
        <f t="shared" si="473"/>
        <v>25</v>
      </c>
      <c r="K1963" s="3">
        <f t="shared" si="474"/>
        <v>24</v>
      </c>
      <c r="L1963" s="3">
        <f t="shared" si="475"/>
        <v>9</v>
      </c>
      <c r="M1963" s="3">
        <f t="shared" si="476"/>
        <v>14</v>
      </c>
      <c r="N1963" s="3" t="str">
        <f t="shared" si="477"/>
        <v>09</v>
      </c>
      <c r="O1963" s="14">
        <f t="shared" si="477"/>
        <v>14</v>
      </c>
      <c r="P1963" s="125">
        <v>90000</v>
      </c>
      <c r="R1963" s="6">
        <v>511</v>
      </c>
      <c r="S1963" s="5">
        <f t="shared" si="478"/>
        <v>176.1252446183953</v>
      </c>
      <c r="T1963" s="28" t="s">
        <v>750</v>
      </c>
      <c r="V1963" s="3" t="s">
        <v>5</v>
      </c>
    </row>
    <row r="1964" spans="1:22">
      <c r="A1964" s="3">
        <v>1948</v>
      </c>
      <c r="B1964" s="1">
        <f t="shared" si="479"/>
        <v>0</v>
      </c>
      <c r="C1964" s="1">
        <f t="shared" si="480"/>
        <v>0</v>
      </c>
      <c r="D1964" s="1">
        <f t="shared" si="481"/>
        <v>0</v>
      </c>
      <c r="E1964" s="1">
        <f t="shared" si="482"/>
        <v>1</v>
      </c>
      <c r="F1964" s="1">
        <f t="shared" si="482"/>
        <v>0</v>
      </c>
      <c r="G1964" s="1" t="str">
        <f t="shared" si="483"/>
        <v>24091426</v>
      </c>
      <c r="H1964" s="2">
        <v>45549</v>
      </c>
      <c r="I1964" s="36">
        <v>26</v>
      </c>
      <c r="J1964" s="1">
        <f t="shared" si="473"/>
        <v>26</v>
      </c>
      <c r="K1964" s="3">
        <f t="shared" si="474"/>
        <v>24</v>
      </c>
      <c r="L1964" s="3">
        <f t="shared" si="475"/>
        <v>9</v>
      </c>
      <c r="M1964" s="3">
        <f t="shared" si="476"/>
        <v>14</v>
      </c>
      <c r="N1964" s="3" t="str">
        <f t="shared" si="477"/>
        <v>09</v>
      </c>
      <c r="O1964" s="14">
        <f t="shared" si="477"/>
        <v>14</v>
      </c>
      <c r="P1964" s="126">
        <v>154000</v>
      </c>
      <c r="R1964" s="6">
        <v>511</v>
      </c>
      <c r="S1964" s="5">
        <f t="shared" si="478"/>
        <v>301.36986301369865</v>
      </c>
      <c r="T1964" s="3" t="s">
        <v>756</v>
      </c>
      <c r="V1964" s="3" t="s">
        <v>5</v>
      </c>
    </row>
    <row r="1965" spans="1:22">
      <c r="A1965" s="3">
        <v>1949</v>
      </c>
      <c r="B1965" s="1">
        <f t="shared" si="479"/>
        <v>0</v>
      </c>
      <c r="C1965" s="1">
        <f t="shared" si="480"/>
        <v>0</v>
      </c>
      <c r="D1965" s="1">
        <f t="shared" si="481"/>
        <v>0</v>
      </c>
      <c r="E1965" s="1">
        <f t="shared" si="482"/>
        <v>1</v>
      </c>
      <c r="F1965" s="1">
        <f t="shared" si="482"/>
        <v>0</v>
      </c>
      <c r="G1965" s="1" t="str">
        <f t="shared" si="483"/>
        <v>24091427</v>
      </c>
      <c r="H1965" s="2">
        <v>45549</v>
      </c>
      <c r="I1965" s="36">
        <v>27</v>
      </c>
      <c r="J1965" s="1">
        <f t="shared" si="473"/>
        <v>27</v>
      </c>
      <c r="K1965" s="3">
        <f t="shared" si="474"/>
        <v>24</v>
      </c>
      <c r="L1965" s="3">
        <f t="shared" si="475"/>
        <v>9</v>
      </c>
      <c r="M1965" s="3">
        <f t="shared" si="476"/>
        <v>14</v>
      </c>
      <c r="N1965" s="3" t="str">
        <f t="shared" si="477"/>
        <v>09</v>
      </c>
      <c r="O1965" s="14">
        <f t="shared" si="477"/>
        <v>14</v>
      </c>
      <c r="P1965" s="33">
        <v>30000</v>
      </c>
      <c r="R1965" s="6">
        <v>511</v>
      </c>
      <c r="S1965" s="5">
        <f t="shared" si="478"/>
        <v>58.708414872798436</v>
      </c>
      <c r="T1965" s="28" t="s">
        <v>751</v>
      </c>
      <c r="V1965" s="3" t="s">
        <v>5</v>
      </c>
    </row>
    <row r="1966" spans="1:22">
      <c r="A1966" s="3">
        <v>1950</v>
      </c>
      <c r="B1966" s="1">
        <f t="shared" si="479"/>
        <v>0</v>
      </c>
      <c r="C1966" s="1">
        <f t="shared" si="480"/>
        <v>0</v>
      </c>
      <c r="D1966" s="1">
        <f t="shared" si="481"/>
        <v>0</v>
      </c>
      <c r="E1966" s="1">
        <f t="shared" si="482"/>
        <v>1</v>
      </c>
      <c r="F1966" s="1">
        <f t="shared" si="482"/>
        <v>0</v>
      </c>
      <c r="G1966" s="1" t="str">
        <f t="shared" si="483"/>
        <v>24091428</v>
      </c>
      <c r="H1966" s="2">
        <v>45549</v>
      </c>
      <c r="I1966" s="36">
        <v>28</v>
      </c>
      <c r="J1966" s="1">
        <f t="shared" si="473"/>
        <v>28</v>
      </c>
      <c r="K1966" s="3">
        <f t="shared" si="474"/>
        <v>24</v>
      </c>
      <c r="L1966" s="3">
        <f t="shared" si="475"/>
        <v>9</v>
      </c>
      <c r="M1966" s="3">
        <f t="shared" si="476"/>
        <v>14</v>
      </c>
      <c r="N1966" s="3" t="str">
        <f t="shared" si="477"/>
        <v>09</v>
      </c>
      <c r="O1966" s="14">
        <f t="shared" si="477"/>
        <v>14</v>
      </c>
      <c r="P1966" s="33">
        <v>25000</v>
      </c>
      <c r="R1966" s="6">
        <v>511</v>
      </c>
      <c r="S1966" s="5">
        <f t="shared" si="478"/>
        <v>48.923679060665364</v>
      </c>
      <c r="T1966" s="28" t="s">
        <v>755</v>
      </c>
      <c r="V1966" s="3" t="s">
        <v>5</v>
      </c>
    </row>
    <row r="1967" spans="1:22" hidden="1">
      <c r="J1967" s="1" t="str">
        <f t="shared" si="473"/>
        <v>0</v>
      </c>
      <c r="K1967" s="3">
        <f t="shared" si="474"/>
        <v>-100</v>
      </c>
      <c r="L1967" s="3">
        <f t="shared" si="475"/>
        <v>1</v>
      </c>
      <c r="M1967" s="3">
        <f t="shared" si="476"/>
        <v>0</v>
      </c>
      <c r="N1967" s="3" t="str">
        <f t="shared" si="477"/>
        <v>01</v>
      </c>
      <c r="O1967" s="14" t="str">
        <f t="shared" si="477"/>
        <v>00</v>
      </c>
    </row>
    <row r="1968" spans="1:22">
      <c r="A1968" s="3">
        <v>1952</v>
      </c>
      <c r="B1968" s="1">
        <f t="shared" si="479"/>
        <v>0</v>
      </c>
      <c r="C1968" s="1">
        <f t="shared" si="480"/>
        <v>1</v>
      </c>
      <c r="D1968" s="1">
        <f t="shared" si="481"/>
        <v>0</v>
      </c>
      <c r="E1968" s="1">
        <f t="shared" si="482"/>
        <v>0</v>
      </c>
      <c r="F1968" s="1">
        <f t="shared" si="482"/>
        <v>0</v>
      </c>
      <c r="G1968" s="1" t="str">
        <f t="shared" si="483"/>
        <v>24091430</v>
      </c>
      <c r="H1968" s="2">
        <v>45549</v>
      </c>
      <c r="I1968" s="36">
        <v>30</v>
      </c>
      <c r="J1968" s="1">
        <f t="shared" si="473"/>
        <v>30</v>
      </c>
      <c r="K1968" s="3">
        <f t="shared" si="474"/>
        <v>24</v>
      </c>
      <c r="L1968" s="3">
        <f t="shared" si="475"/>
        <v>9</v>
      </c>
      <c r="M1968" s="3">
        <f t="shared" si="476"/>
        <v>14</v>
      </c>
      <c r="N1968" s="3" t="str">
        <f t="shared" si="477"/>
        <v>09</v>
      </c>
      <c r="O1968" s="14">
        <f t="shared" si="477"/>
        <v>14</v>
      </c>
      <c r="P1968" s="4">
        <v>10000</v>
      </c>
      <c r="T1968" s="5" t="s">
        <v>361</v>
      </c>
      <c r="U1968" s="3" t="s">
        <v>29</v>
      </c>
      <c r="V1968" s="3" t="s">
        <v>5</v>
      </c>
    </row>
    <row r="1969" spans="1:22" hidden="1"/>
    <row r="1970" spans="1:22" hidden="1">
      <c r="J1970" s="1" t="str">
        <f t="shared" ref="J1970:J2033" si="484">+IF(I1970&lt;10,_xlfn.CONCAT("0",I1970),I1970)</f>
        <v>0</v>
      </c>
      <c r="K1970" s="3">
        <f t="shared" ref="K1970:K2033" si="485">+YEAR(H1970)-2000</f>
        <v>-100</v>
      </c>
      <c r="L1970" s="3">
        <f t="shared" ref="L1970:L2033" si="486">+MONTH(H1970)</f>
        <v>1</v>
      </c>
      <c r="M1970" s="3">
        <f t="shared" ref="M1970:M2033" si="487">+DAY(H1970)</f>
        <v>0</v>
      </c>
      <c r="N1970" s="3" t="str">
        <f t="shared" ref="N1970:O2033" si="488">+IF(L1970&lt;10,_xlfn.CONCAT("0",L1970),L1970)</f>
        <v>01</v>
      </c>
      <c r="O1970" s="14" t="str">
        <f t="shared" si="488"/>
        <v>00</v>
      </c>
      <c r="R1970" s="6">
        <v>511</v>
      </c>
      <c r="S1970" s="5">
        <f t="shared" ref="S1970:S1987" si="489">IFERROR(P1970/R1970,"")</f>
        <v>0</v>
      </c>
    </row>
    <row r="1971" spans="1:22" hidden="1">
      <c r="J1971" s="1" t="str">
        <f t="shared" si="484"/>
        <v>0</v>
      </c>
      <c r="K1971" s="3">
        <f t="shared" si="485"/>
        <v>-100</v>
      </c>
      <c r="L1971" s="3">
        <f t="shared" si="486"/>
        <v>1</v>
      </c>
      <c r="M1971" s="3">
        <f t="shared" si="487"/>
        <v>0</v>
      </c>
      <c r="N1971" s="3" t="str">
        <f t="shared" si="488"/>
        <v>01</v>
      </c>
      <c r="O1971" s="14" t="str">
        <f t="shared" si="488"/>
        <v>00</v>
      </c>
      <c r="R1971" s="6">
        <v>511</v>
      </c>
      <c r="S1971" s="5">
        <f t="shared" si="489"/>
        <v>0</v>
      </c>
    </row>
    <row r="1972" spans="1:22" hidden="1">
      <c r="J1972" s="1" t="str">
        <f t="shared" si="484"/>
        <v>0</v>
      </c>
      <c r="K1972" s="3">
        <f t="shared" si="485"/>
        <v>-100</v>
      </c>
      <c r="L1972" s="3">
        <f t="shared" si="486"/>
        <v>1</v>
      </c>
      <c r="M1972" s="3">
        <f t="shared" si="487"/>
        <v>0</v>
      </c>
      <c r="N1972" s="3" t="str">
        <f t="shared" si="488"/>
        <v>01</v>
      </c>
      <c r="O1972" s="14" t="str">
        <f t="shared" si="488"/>
        <v>00</v>
      </c>
      <c r="R1972" s="6">
        <v>511</v>
      </c>
      <c r="S1972" s="5">
        <f t="shared" si="489"/>
        <v>0</v>
      </c>
    </row>
    <row r="1973" spans="1:22">
      <c r="A1973" s="3">
        <v>1956</v>
      </c>
      <c r="B1973" s="1">
        <f t="shared" ref="B1973:B2000" si="490">IF(G1973="-",0,IF(G1972=G1973,1,0))</f>
        <v>0</v>
      </c>
      <c r="C1973" s="1">
        <f t="shared" ref="C1973:C2000" si="491">+IF(G1973="-",0,IF(I1973=I1972+1,0,(IF(I1973=1,0,1))))</f>
        <v>1</v>
      </c>
      <c r="D1973" s="1">
        <f t="shared" ref="D1973:D2035" si="492">+IF(AND(P1973="",Q1973=""),1,0)</f>
        <v>0</v>
      </c>
      <c r="E1973" s="1">
        <f t="shared" ref="E1973:F2000" si="493">IF(U1973="",1,0)</f>
        <v>0</v>
      </c>
      <c r="F1973" s="1">
        <f t="shared" si="493"/>
        <v>0</v>
      </c>
      <c r="G1973" s="1" t="str">
        <f t="shared" ref="G1973:G2035" si="494">IF(H1973=0,"-",_xlfn.CONCAT(K1973,N1973,O1973,J1973))</f>
        <v>24091603</v>
      </c>
      <c r="H1973" s="2">
        <v>45551</v>
      </c>
      <c r="I1973" s="36">
        <v>3</v>
      </c>
      <c r="J1973" s="1" t="str">
        <f t="shared" si="484"/>
        <v>03</v>
      </c>
      <c r="K1973" s="3">
        <f t="shared" si="485"/>
        <v>24</v>
      </c>
      <c r="L1973" s="3">
        <f t="shared" si="486"/>
        <v>9</v>
      </c>
      <c r="M1973" s="3">
        <f t="shared" si="487"/>
        <v>16</v>
      </c>
      <c r="N1973" s="3" t="str">
        <f t="shared" si="488"/>
        <v>09</v>
      </c>
      <c r="O1973" s="14">
        <f t="shared" si="488"/>
        <v>16</v>
      </c>
      <c r="P1973" s="4">
        <v>22628.25</v>
      </c>
      <c r="R1973" s="6">
        <v>511</v>
      </c>
      <c r="S1973" s="5">
        <f t="shared" si="489"/>
        <v>44.282289628180038</v>
      </c>
      <c r="T1973" s="5" t="s">
        <v>820</v>
      </c>
      <c r="U1973" s="3" t="s">
        <v>29</v>
      </c>
      <c r="V1973" s="3" t="s">
        <v>5</v>
      </c>
    </row>
    <row r="1974" spans="1:22" hidden="1">
      <c r="J1974" s="1" t="str">
        <f t="shared" si="484"/>
        <v>0</v>
      </c>
      <c r="K1974" s="3">
        <f t="shared" si="485"/>
        <v>-100</v>
      </c>
      <c r="L1974" s="3">
        <f t="shared" si="486"/>
        <v>1</v>
      </c>
      <c r="M1974" s="3">
        <f t="shared" si="487"/>
        <v>0</v>
      </c>
      <c r="N1974" s="3" t="str">
        <f t="shared" si="488"/>
        <v>01</v>
      </c>
      <c r="O1974" s="14" t="str">
        <f t="shared" si="488"/>
        <v>00</v>
      </c>
      <c r="R1974" s="6">
        <v>511</v>
      </c>
      <c r="S1974" s="5">
        <f t="shared" si="489"/>
        <v>0</v>
      </c>
    </row>
    <row r="1975" spans="1:22" hidden="1">
      <c r="J1975" s="1" t="str">
        <f t="shared" si="484"/>
        <v>0</v>
      </c>
      <c r="K1975" s="3">
        <f t="shared" si="485"/>
        <v>-100</v>
      </c>
      <c r="L1975" s="3">
        <f t="shared" si="486"/>
        <v>1</v>
      </c>
      <c r="M1975" s="3">
        <f t="shared" si="487"/>
        <v>0</v>
      </c>
      <c r="N1975" s="3" t="str">
        <f t="shared" si="488"/>
        <v>01</v>
      </c>
      <c r="O1975" s="14" t="str">
        <f t="shared" si="488"/>
        <v>00</v>
      </c>
      <c r="R1975" s="6">
        <v>511</v>
      </c>
      <c r="S1975" s="5">
        <f t="shared" si="489"/>
        <v>0</v>
      </c>
    </row>
    <row r="1976" spans="1:22" hidden="1">
      <c r="J1976" s="1" t="str">
        <f t="shared" si="484"/>
        <v>0</v>
      </c>
      <c r="K1976" s="3">
        <f t="shared" si="485"/>
        <v>-100</v>
      </c>
      <c r="L1976" s="3">
        <f t="shared" si="486"/>
        <v>1</v>
      </c>
      <c r="M1976" s="3">
        <f t="shared" si="487"/>
        <v>0</v>
      </c>
      <c r="N1976" s="3" t="str">
        <f t="shared" si="488"/>
        <v>01</v>
      </c>
      <c r="O1976" s="14" t="str">
        <f t="shared" si="488"/>
        <v>00</v>
      </c>
      <c r="R1976" s="6">
        <v>511</v>
      </c>
      <c r="S1976" s="5">
        <f t="shared" si="489"/>
        <v>0</v>
      </c>
    </row>
    <row r="1977" spans="1:22" hidden="1">
      <c r="J1977" s="1" t="str">
        <f t="shared" si="484"/>
        <v>0</v>
      </c>
      <c r="K1977" s="3">
        <f t="shared" si="485"/>
        <v>-100</v>
      </c>
      <c r="L1977" s="3">
        <f t="shared" si="486"/>
        <v>1</v>
      </c>
      <c r="M1977" s="3">
        <f t="shared" si="487"/>
        <v>0</v>
      </c>
      <c r="N1977" s="3" t="str">
        <f t="shared" si="488"/>
        <v>01</v>
      </c>
      <c r="O1977" s="14" t="str">
        <f t="shared" si="488"/>
        <v>00</v>
      </c>
      <c r="R1977" s="6">
        <v>511</v>
      </c>
      <c r="S1977" s="5">
        <f t="shared" si="489"/>
        <v>0</v>
      </c>
    </row>
    <row r="1978" spans="1:22">
      <c r="A1978" s="3">
        <v>1961</v>
      </c>
      <c r="B1978" s="1">
        <f t="shared" si="490"/>
        <v>0</v>
      </c>
      <c r="C1978" s="1">
        <f t="shared" si="491"/>
        <v>1</v>
      </c>
      <c r="D1978" s="1">
        <f t="shared" si="492"/>
        <v>0</v>
      </c>
      <c r="E1978" s="1">
        <f t="shared" si="493"/>
        <v>1</v>
      </c>
      <c r="F1978" s="1">
        <f t="shared" si="493"/>
        <v>0</v>
      </c>
      <c r="G1978" s="1" t="str">
        <f t="shared" si="494"/>
        <v>24091608</v>
      </c>
      <c r="H1978" s="2">
        <v>45551</v>
      </c>
      <c r="I1978" s="36">
        <v>8</v>
      </c>
      <c r="J1978" s="1" t="str">
        <f t="shared" si="484"/>
        <v>08</v>
      </c>
      <c r="K1978" s="3">
        <f t="shared" si="485"/>
        <v>24</v>
      </c>
      <c r="L1978" s="3">
        <f t="shared" si="486"/>
        <v>9</v>
      </c>
      <c r="M1978" s="3">
        <f t="shared" si="487"/>
        <v>16</v>
      </c>
      <c r="N1978" s="3" t="str">
        <f t="shared" si="488"/>
        <v>09</v>
      </c>
      <c r="O1978" s="14">
        <f t="shared" si="488"/>
        <v>16</v>
      </c>
      <c r="P1978" s="4">
        <v>22000</v>
      </c>
      <c r="R1978" s="6">
        <v>511</v>
      </c>
      <c r="S1978" s="5">
        <f t="shared" si="489"/>
        <v>43.052837573385517</v>
      </c>
      <c r="T1978" s="5" t="s">
        <v>821</v>
      </c>
      <c r="V1978" s="3" t="s">
        <v>5</v>
      </c>
    </row>
    <row r="1979" spans="1:22" hidden="1">
      <c r="J1979" s="1" t="str">
        <f t="shared" si="484"/>
        <v>0</v>
      </c>
      <c r="K1979" s="3">
        <f t="shared" si="485"/>
        <v>-100</v>
      </c>
      <c r="L1979" s="3">
        <f t="shared" si="486"/>
        <v>1</v>
      </c>
      <c r="M1979" s="3">
        <f t="shared" si="487"/>
        <v>0</v>
      </c>
      <c r="N1979" s="3" t="str">
        <f t="shared" si="488"/>
        <v>01</v>
      </c>
      <c r="O1979" s="14" t="str">
        <f t="shared" si="488"/>
        <v>00</v>
      </c>
      <c r="R1979" s="6">
        <v>511</v>
      </c>
      <c r="S1979" s="5">
        <f t="shared" si="489"/>
        <v>0</v>
      </c>
    </row>
    <row r="1980" spans="1:22" hidden="1">
      <c r="J1980" s="1" t="str">
        <f t="shared" si="484"/>
        <v>0</v>
      </c>
      <c r="K1980" s="3">
        <f t="shared" si="485"/>
        <v>-100</v>
      </c>
      <c r="L1980" s="3">
        <f t="shared" si="486"/>
        <v>1</v>
      </c>
      <c r="M1980" s="3">
        <f t="shared" si="487"/>
        <v>0</v>
      </c>
      <c r="N1980" s="3" t="str">
        <f t="shared" si="488"/>
        <v>01</v>
      </c>
      <c r="O1980" s="14" t="str">
        <f t="shared" si="488"/>
        <v>00</v>
      </c>
      <c r="R1980" s="6">
        <v>511</v>
      </c>
      <c r="S1980" s="5">
        <f t="shared" si="489"/>
        <v>0</v>
      </c>
    </row>
    <row r="1981" spans="1:22" hidden="1">
      <c r="J1981" s="1" t="str">
        <f t="shared" si="484"/>
        <v>0</v>
      </c>
      <c r="K1981" s="3">
        <f t="shared" si="485"/>
        <v>-100</v>
      </c>
      <c r="L1981" s="3">
        <f t="shared" si="486"/>
        <v>1</v>
      </c>
      <c r="M1981" s="3">
        <f t="shared" si="487"/>
        <v>0</v>
      </c>
      <c r="N1981" s="3" t="str">
        <f t="shared" si="488"/>
        <v>01</v>
      </c>
      <c r="O1981" s="14" t="str">
        <f t="shared" si="488"/>
        <v>00</v>
      </c>
      <c r="R1981" s="6">
        <v>511</v>
      </c>
      <c r="S1981" s="5">
        <f t="shared" si="489"/>
        <v>0</v>
      </c>
    </row>
    <row r="1982" spans="1:22" hidden="1">
      <c r="J1982" s="1" t="str">
        <f t="shared" si="484"/>
        <v>0</v>
      </c>
      <c r="K1982" s="3">
        <f t="shared" si="485"/>
        <v>-100</v>
      </c>
      <c r="L1982" s="3">
        <f t="shared" si="486"/>
        <v>1</v>
      </c>
      <c r="M1982" s="3">
        <f t="shared" si="487"/>
        <v>0</v>
      </c>
      <c r="N1982" s="3" t="str">
        <f t="shared" si="488"/>
        <v>01</v>
      </c>
      <c r="O1982" s="14" t="str">
        <f t="shared" si="488"/>
        <v>00</v>
      </c>
      <c r="R1982" s="6">
        <v>511</v>
      </c>
      <c r="S1982" s="5">
        <f t="shared" si="489"/>
        <v>0</v>
      </c>
    </row>
    <row r="1983" spans="1:22" hidden="1">
      <c r="J1983" s="1" t="str">
        <f t="shared" si="484"/>
        <v>0</v>
      </c>
      <c r="K1983" s="3">
        <f t="shared" si="485"/>
        <v>-100</v>
      </c>
      <c r="L1983" s="3">
        <f t="shared" si="486"/>
        <v>1</v>
      </c>
      <c r="M1983" s="3">
        <f t="shared" si="487"/>
        <v>0</v>
      </c>
      <c r="N1983" s="3" t="str">
        <f t="shared" si="488"/>
        <v>01</v>
      </c>
      <c r="O1983" s="14" t="str">
        <f t="shared" si="488"/>
        <v>00</v>
      </c>
      <c r="R1983" s="6">
        <v>511</v>
      </c>
      <c r="S1983" s="5">
        <f t="shared" si="489"/>
        <v>0</v>
      </c>
    </row>
    <row r="1984" spans="1:22" hidden="1">
      <c r="J1984" s="1" t="str">
        <f t="shared" si="484"/>
        <v>0</v>
      </c>
      <c r="K1984" s="3">
        <f t="shared" si="485"/>
        <v>-100</v>
      </c>
      <c r="L1984" s="3">
        <f t="shared" si="486"/>
        <v>1</v>
      </c>
      <c r="M1984" s="3">
        <f t="shared" si="487"/>
        <v>0</v>
      </c>
      <c r="N1984" s="3" t="str">
        <f t="shared" si="488"/>
        <v>01</v>
      </c>
      <c r="O1984" s="14" t="str">
        <f t="shared" si="488"/>
        <v>00</v>
      </c>
      <c r="R1984" s="6">
        <v>511</v>
      </c>
      <c r="S1984" s="5">
        <f t="shared" si="489"/>
        <v>0</v>
      </c>
    </row>
    <row r="1985" spans="1:23" hidden="1">
      <c r="J1985" s="1" t="str">
        <f t="shared" si="484"/>
        <v>0</v>
      </c>
      <c r="K1985" s="3">
        <f t="shared" si="485"/>
        <v>-100</v>
      </c>
      <c r="L1985" s="3">
        <f t="shared" si="486"/>
        <v>1</v>
      </c>
      <c r="M1985" s="3">
        <f t="shared" si="487"/>
        <v>0</v>
      </c>
      <c r="N1985" s="3" t="str">
        <f t="shared" si="488"/>
        <v>01</v>
      </c>
      <c r="O1985" s="14" t="str">
        <f t="shared" si="488"/>
        <v>00</v>
      </c>
      <c r="R1985" s="6">
        <v>511</v>
      </c>
      <c r="S1985" s="5">
        <f t="shared" si="489"/>
        <v>0</v>
      </c>
    </row>
    <row r="1986" spans="1:23" hidden="1">
      <c r="J1986" s="1" t="str">
        <f t="shared" si="484"/>
        <v>0</v>
      </c>
      <c r="K1986" s="3">
        <f t="shared" si="485"/>
        <v>-100</v>
      </c>
      <c r="L1986" s="3">
        <f t="shared" si="486"/>
        <v>1</v>
      </c>
      <c r="M1986" s="3">
        <f t="shared" si="487"/>
        <v>0</v>
      </c>
      <c r="N1986" s="3" t="str">
        <f t="shared" si="488"/>
        <v>01</v>
      </c>
      <c r="O1986" s="14" t="str">
        <f t="shared" si="488"/>
        <v>00</v>
      </c>
      <c r="R1986" s="6">
        <v>511</v>
      </c>
      <c r="S1986" s="5">
        <f t="shared" si="489"/>
        <v>0</v>
      </c>
    </row>
    <row r="1987" spans="1:23" hidden="1">
      <c r="J1987" s="1" t="str">
        <f t="shared" si="484"/>
        <v>0</v>
      </c>
      <c r="K1987" s="3">
        <f t="shared" si="485"/>
        <v>-100</v>
      </c>
      <c r="L1987" s="3">
        <f t="shared" si="486"/>
        <v>1</v>
      </c>
      <c r="M1987" s="3">
        <f t="shared" si="487"/>
        <v>0</v>
      </c>
      <c r="N1987" s="3" t="str">
        <f t="shared" si="488"/>
        <v>01</v>
      </c>
      <c r="O1987" s="14" t="str">
        <f t="shared" si="488"/>
        <v>00</v>
      </c>
      <c r="R1987" s="6">
        <v>511</v>
      </c>
      <c r="S1987" s="5">
        <f t="shared" si="489"/>
        <v>0</v>
      </c>
    </row>
    <row r="1988" spans="1:23" s="97" customFormat="1">
      <c r="A1988" s="3">
        <v>1971</v>
      </c>
      <c r="B1988" s="1">
        <f t="shared" si="490"/>
        <v>0</v>
      </c>
      <c r="C1988" s="1">
        <f t="shared" si="491"/>
        <v>1</v>
      </c>
      <c r="D1988" s="1">
        <f t="shared" si="492"/>
        <v>0</v>
      </c>
      <c r="E1988" s="1">
        <f t="shared" si="493"/>
        <v>0</v>
      </c>
      <c r="F1988" s="1">
        <f t="shared" si="493"/>
        <v>0</v>
      </c>
      <c r="G1988" s="1" t="str">
        <f t="shared" si="494"/>
        <v>24091618</v>
      </c>
      <c r="H1988" s="2">
        <v>45551</v>
      </c>
      <c r="I1988" s="36">
        <v>18</v>
      </c>
      <c r="J1988" s="1">
        <f t="shared" si="484"/>
        <v>18</v>
      </c>
      <c r="K1988" s="3">
        <f t="shared" si="485"/>
        <v>24</v>
      </c>
      <c r="L1988" s="3">
        <f t="shared" si="486"/>
        <v>9</v>
      </c>
      <c r="M1988" s="3">
        <f t="shared" si="487"/>
        <v>16</v>
      </c>
      <c r="N1988" s="3" t="str">
        <f t="shared" si="488"/>
        <v>09</v>
      </c>
      <c r="O1988" s="14">
        <f t="shared" si="488"/>
        <v>16</v>
      </c>
      <c r="P1988" s="4">
        <v>288310.46000000002</v>
      </c>
      <c r="Q1988" s="5"/>
      <c r="R1988" s="6"/>
      <c r="S1988" s="5"/>
      <c r="T1988" s="5" t="s">
        <v>1180</v>
      </c>
      <c r="U1988" s="3" t="s">
        <v>29</v>
      </c>
      <c r="V1988" s="3" t="s">
        <v>5</v>
      </c>
      <c r="W1988" s="3"/>
    </row>
    <row r="1989" spans="1:23">
      <c r="A1989" s="3">
        <v>1972</v>
      </c>
      <c r="B1989" s="1">
        <f t="shared" si="490"/>
        <v>0</v>
      </c>
      <c r="C1989" s="1">
        <f t="shared" si="491"/>
        <v>0</v>
      </c>
      <c r="D1989" s="1">
        <f t="shared" si="492"/>
        <v>0</v>
      </c>
      <c r="E1989" s="1">
        <f t="shared" si="493"/>
        <v>0</v>
      </c>
      <c r="F1989" s="1">
        <f t="shared" si="493"/>
        <v>0</v>
      </c>
      <c r="G1989" s="1" t="str">
        <f t="shared" si="494"/>
        <v>24091619</v>
      </c>
      <c r="H1989" s="2">
        <v>45551</v>
      </c>
      <c r="I1989" s="36">
        <v>19</v>
      </c>
      <c r="J1989" s="1">
        <f t="shared" si="484"/>
        <v>19</v>
      </c>
      <c r="K1989" s="3">
        <f t="shared" si="485"/>
        <v>24</v>
      </c>
      <c r="L1989" s="3">
        <f t="shared" si="486"/>
        <v>9</v>
      </c>
      <c r="M1989" s="3">
        <f t="shared" si="487"/>
        <v>16</v>
      </c>
      <c r="N1989" s="3" t="str">
        <f t="shared" si="488"/>
        <v>09</v>
      </c>
      <c r="O1989" s="14">
        <f t="shared" si="488"/>
        <v>16</v>
      </c>
      <c r="P1989" s="4">
        <v>10000</v>
      </c>
      <c r="T1989" s="5" t="s">
        <v>361</v>
      </c>
      <c r="U1989" s="3" t="s">
        <v>29</v>
      </c>
      <c r="V1989" s="3" t="s">
        <v>5</v>
      </c>
    </row>
    <row r="1990" spans="1:23" s="97" customFormat="1" hidden="1">
      <c r="A1990" s="3"/>
      <c r="B1990" s="1"/>
      <c r="C1990" s="1"/>
      <c r="D1990" s="1"/>
      <c r="E1990" s="1"/>
      <c r="F1990" s="1"/>
      <c r="G1990" s="1"/>
      <c r="H1990" s="2"/>
      <c r="I1990" s="36"/>
      <c r="J1990" s="1" t="str">
        <f t="shared" si="484"/>
        <v>0</v>
      </c>
      <c r="K1990" s="3">
        <f t="shared" si="485"/>
        <v>-100</v>
      </c>
      <c r="L1990" s="3">
        <f t="shared" si="486"/>
        <v>1</v>
      </c>
      <c r="M1990" s="3">
        <f t="shared" si="487"/>
        <v>0</v>
      </c>
      <c r="N1990" s="3" t="str">
        <f t="shared" si="488"/>
        <v>01</v>
      </c>
      <c r="O1990" s="14" t="str">
        <f t="shared" si="488"/>
        <v>00</v>
      </c>
      <c r="P1990" s="4"/>
      <c r="Q1990" s="5"/>
      <c r="R1990" s="6">
        <v>511</v>
      </c>
      <c r="S1990" s="5">
        <f t="shared" ref="S1990:S1998" si="495">IFERROR(P1990/R1990,"")</f>
        <v>0</v>
      </c>
      <c r="T1990" s="5"/>
      <c r="U1990" s="3"/>
      <c r="V1990" s="3"/>
      <c r="W1990" s="3"/>
    </row>
    <row r="1991" spans="1:23" hidden="1">
      <c r="J1991" s="1" t="str">
        <f t="shared" si="484"/>
        <v>0</v>
      </c>
      <c r="K1991" s="3">
        <f t="shared" si="485"/>
        <v>-100</v>
      </c>
      <c r="L1991" s="3">
        <f t="shared" si="486"/>
        <v>1</v>
      </c>
      <c r="M1991" s="3">
        <f t="shared" si="487"/>
        <v>0</v>
      </c>
      <c r="N1991" s="3" t="str">
        <f t="shared" si="488"/>
        <v>01</v>
      </c>
      <c r="O1991" s="14" t="str">
        <f t="shared" si="488"/>
        <v>00</v>
      </c>
      <c r="R1991" s="6">
        <v>511</v>
      </c>
      <c r="S1991" s="5">
        <f t="shared" si="495"/>
        <v>0</v>
      </c>
    </row>
    <row r="1992" spans="1:23" hidden="1">
      <c r="J1992" s="1" t="str">
        <f t="shared" si="484"/>
        <v>0</v>
      </c>
      <c r="K1992" s="3">
        <f t="shared" si="485"/>
        <v>-100</v>
      </c>
      <c r="L1992" s="3">
        <f t="shared" si="486"/>
        <v>1</v>
      </c>
      <c r="M1992" s="3">
        <f t="shared" si="487"/>
        <v>0</v>
      </c>
      <c r="N1992" s="3" t="str">
        <f t="shared" si="488"/>
        <v>01</v>
      </c>
      <c r="O1992" s="14" t="str">
        <f t="shared" si="488"/>
        <v>00</v>
      </c>
      <c r="R1992" s="6">
        <v>511</v>
      </c>
      <c r="S1992" s="5">
        <f t="shared" si="495"/>
        <v>0</v>
      </c>
    </row>
    <row r="1993" spans="1:23" hidden="1">
      <c r="J1993" s="1" t="str">
        <f t="shared" si="484"/>
        <v>0</v>
      </c>
      <c r="K1993" s="3">
        <f t="shared" si="485"/>
        <v>-100</v>
      </c>
      <c r="L1993" s="3">
        <f t="shared" si="486"/>
        <v>1</v>
      </c>
      <c r="M1993" s="3">
        <f t="shared" si="487"/>
        <v>0</v>
      </c>
      <c r="N1993" s="3" t="str">
        <f t="shared" si="488"/>
        <v>01</v>
      </c>
      <c r="O1993" s="14" t="str">
        <f t="shared" si="488"/>
        <v>00</v>
      </c>
      <c r="R1993" s="6">
        <v>511</v>
      </c>
      <c r="S1993" s="5">
        <f t="shared" si="495"/>
        <v>0</v>
      </c>
    </row>
    <row r="1994" spans="1:23" hidden="1">
      <c r="J1994" s="1" t="str">
        <f t="shared" si="484"/>
        <v>0</v>
      </c>
      <c r="K1994" s="3">
        <f t="shared" si="485"/>
        <v>-100</v>
      </c>
      <c r="L1994" s="3">
        <f t="shared" si="486"/>
        <v>1</v>
      </c>
      <c r="M1994" s="3">
        <f t="shared" si="487"/>
        <v>0</v>
      </c>
      <c r="N1994" s="3" t="str">
        <f t="shared" si="488"/>
        <v>01</v>
      </c>
      <c r="O1994" s="14" t="str">
        <f t="shared" si="488"/>
        <v>00</v>
      </c>
      <c r="R1994" s="6">
        <v>511</v>
      </c>
      <c r="S1994" s="5">
        <f t="shared" si="495"/>
        <v>0</v>
      </c>
    </row>
    <row r="1995" spans="1:23" hidden="1">
      <c r="J1995" s="1" t="str">
        <f t="shared" si="484"/>
        <v>0</v>
      </c>
      <c r="K1995" s="3">
        <f t="shared" si="485"/>
        <v>-100</v>
      </c>
      <c r="L1995" s="3">
        <f t="shared" si="486"/>
        <v>1</v>
      </c>
      <c r="M1995" s="3">
        <f t="shared" si="487"/>
        <v>0</v>
      </c>
      <c r="N1995" s="3" t="str">
        <f t="shared" si="488"/>
        <v>01</v>
      </c>
      <c r="O1995" s="14" t="str">
        <f t="shared" si="488"/>
        <v>00</v>
      </c>
      <c r="R1995" s="6">
        <v>511</v>
      </c>
      <c r="S1995" s="5">
        <f t="shared" si="495"/>
        <v>0</v>
      </c>
    </row>
    <row r="1996" spans="1:23" hidden="1">
      <c r="J1996" s="1" t="str">
        <f t="shared" si="484"/>
        <v>0</v>
      </c>
      <c r="K1996" s="3">
        <f t="shared" si="485"/>
        <v>-100</v>
      </c>
      <c r="L1996" s="3">
        <f t="shared" si="486"/>
        <v>1</v>
      </c>
      <c r="M1996" s="3">
        <f t="shared" si="487"/>
        <v>0</v>
      </c>
      <c r="N1996" s="3" t="str">
        <f t="shared" si="488"/>
        <v>01</v>
      </c>
      <c r="O1996" s="14" t="str">
        <f t="shared" si="488"/>
        <v>00</v>
      </c>
      <c r="R1996" s="6">
        <v>511</v>
      </c>
      <c r="S1996" s="5">
        <f t="shared" si="495"/>
        <v>0</v>
      </c>
    </row>
    <row r="1997" spans="1:23" hidden="1">
      <c r="J1997" s="1" t="str">
        <f t="shared" si="484"/>
        <v>0</v>
      </c>
      <c r="K1997" s="3">
        <f t="shared" si="485"/>
        <v>-100</v>
      </c>
      <c r="L1997" s="3">
        <f t="shared" si="486"/>
        <v>1</v>
      </c>
      <c r="M1997" s="3">
        <f t="shared" si="487"/>
        <v>0</v>
      </c>
      <c r="N1997" s="3" t="str">
        <f t="shared" si="488"/>
        <v>01</v>
      </c>
      <c r="O1997" s="14" t="str">
        <f t="shared" si="488"/>
        <v>00</v>
      </c>
      <c r="R1997" s="6">
        <v>511</v>
      </c>
      <c r="S1997" s="5">
        <f t="shared" si="495"/>
        <v>0</v>
      </c>
    </row>
    <row r="1998" spans="1:23" hidden="1">
      <c r="J1998" s="1" t="str">
        <f t="shared" si="484"/>
        <v>0</v>
      </c>
      <c r="K1998" s="3">
        <f t="shared" si="485"/>
        <v>-100</v>
      </c>
      <c r="L1998" s="3">
        <f t="shared" si="486"/>
        <v>1</v>
      </c>
      <c r="M1998" s="3">
        <f t="shared" si="487"/>
        <v>0</v>
      </c>
      <c r="N1998" s="3" t="str">
        <f t="shared" si="488"/>
        <v>01</v>
      </c>
      <c r="O1998" s="14" t="str">
        <f t="shared" si="488"/>
        <v>00</v>
      </c>
      <c r="R1998" s="6">
        <v>511</v>
      </c>
      <c r="S1998" s="5">
        <f t="shared" si="495"/>
        <v>0</v>
      </c>
    </row>
    <row r="1999" spans="1:23" hidden="1">
      <c r="J1999" s="1" t="str">
        <f t="shared" si="484"/>
        <v>0</v>
      </c>
      <c r="K1999" s="3">
        <f t="shared" si="485"/>
        <v>-100</v>
      </c>
      <c r="L1999" s="3">
        <f t="shared" si="486"/>
        <v>1</v>
      </c>
      <c r="M1999" s="3">
        <f t="shared" si="487"/>
        <v>0</v>
      </c>
      <c r="N1999" s="3" t="str">
        <f t="shared" si="488"/>
        <v>01</v>
      </c>
      <c r="O1999" s="14" t="str">
        <f t="shared" si="488"/>
        <v>00</v>
      </c>
    </row>
    <row r="2000" spans="1:23">
      <c r="A2000" s="3">
        <v>1983</v>
      </c>
      <c r="B2000" s="1">
        <f t="shared" si="490"/>
        <v>0</v>
      </c>
      <c r="C2000" s="1">
        <f t="shared" si="491"/>
        <v>1</v>
      </c>
      <c r="D2000" s="1">
        <f t="shared" si="492"/>
        <v>0</v>
      </c>
      <c r="E2000" s="1">
        <f t="shared" si="493"/>
        <v>0</v>
      </c>
      <c r="F2000" s="1">
        <f t="shared" si="493"/>
        <v>0</v>
      </c>
      <c r="G2000" s="1" t="str">
        <f t="shared" si="494"/>
        <v>24091711</v>
      </c>
      <c r="H2000" s="2">
        <v>45552</v>
      </c>
      <c r="I2000" s="36">
        <v>11</v>
      </c>
      <c r="J2000" s="1">
        <f t="shared" si="484"/>
        <v>11</v>
      </c>
      <c r="K2000" s="3">
        <f t="shared" si="485"/>
        <v>24</v>
      </c>
      <c r="L2000" s="3">
        <f t="shared" si="486"/>
        <v>9</v>
      </c>
      <c r="M2000" s="3">
        <f t="shared" si="487"/>
        <v>17</v>
      </c>
      <c r="N2000" s="3" t="str">
        <f t="shared" si="488"/>
        <v>09</v>
      </c>
      <c r="O2000" s="14">
        <f t="shared" si="488"/>
        <v>17</v>
      </c>
      <c r="P2000" s="4">
        <v>28236.21</v>
      </c>
      <c r="T2000" s="5" t="s">
        <v>1182</v>
      </c>
      <c r="U2000" s="3" t="s">
        <v>29</v>
      </c>
      <c r="V2000" s="3" t="s">
        <v>5</v>
      </c>
    </row>
    <row r="2001" spans="1:23" hidden="1">
      <c r="G2001" s="98"/>
      <c r="H2001" s="99"/>
      <c r="J2001" s="98" t="str">
        <f t="shared" si="484"/>
        <v>0</v>
      </c>
      <c r="K2001" s="97">
        <f t="shared" si="485"/>
        <v>-100</v>
      </c>
      <c r="L2001" s="97">
        <f t="shared" si="486"/>
        <v>1</v>
      </c>
      <c r="M2001" s="97">
        <f t="shared" si="487"/>
        <v>0</v>
      </c>
      <c r="N2001" s="97" t="str">
        <f t="shared" si="488"/>
        <v>01</v>
      </c>
      <c r="O2001" s="100" t="str">
        <f t="shared" si="488"/>
        <v>00</v>
      </c>
      <c r="P2001" s="101"/>
      <c r="Q2001" s="102"/>
      <c r="R2001" s="103">
        <v>511</v>
      </c>
      <c r="S2001" s="102">
        <f t="shared" ref="S2001:S2009" si="496">IFERROR(P2001/R2001,"")</f>
        <v>0</v>
      </c>
      <c r="T2001" s="102"/>
      <c r="U2001" s="97"/>
      <c r="V2001" s="97"/>
      <c r="W2001" s="97"/>
    </row>
    <row r="2002" spans="1:23" hidden="1">
      <c r="G2002" s="98"/>
      <c r="H2002" s="99"/>
      <c r="J2002" s="98" t="str">
        <f t="shared" si="484"/>
        <v>0</v>
      </c>
      <c r="K2002" s="97">
        <f t="shared" si="485"/>
        <v>-100</v>
      </c>
      <c r="L2002" s="97">
        <f t="shared" si="486"/>
        <v>1</v>
      </c>
      <c r="M2002" s="97">
        <f t="shared" si="487"/>
        <v>0</v>
      </c>
      <c r="N2002" s="97" t="str">
        <f t="shared" si="488"/>
        <v>01</v>
      </c>
      <c r="O2002" s="100" t="str">
        <f t="shared" si="488"/>
        <v>00</v>
      </c>
      <c r="P2002" s="101"/>
      <c r="Q2002" s="102"/>
      <c r="R2002" s="103">
        <v>511</v>
      </c>
      <c r="S2002" s="102">
        <f t="shared" si="496"/>
        <v>0</v>
      </c>
      <c r="T2002" s="102"/>
      <c r="U2002" s="97"/>
      <c r="V2002" s="97"/>
      <c r="W2002" s="97"/>
    </row>
    <row r="2003" spans="1:23" hidden="1">
      <c r="J2003" s="1" t="str">
        <f t="shared" si="484"/>
        <v>0</v>
      </c>
      <c r="K2003" s="3">
        <f t="shared" si="485"/>
        <v>-100</v>
      </c>
      <c r="L2003" s="3">
        <f t="shared" si="486"/>
        <v>1</v>
      </c>
      <c r="M2003" s="3">
        <f t="shared" si="487"/>
        <v>0</v>
      </c>
      <c r="N2003" s="3" t="str">
        <f t="shared" si="488"/>
        <v>01</v>
      </c>
      <c r="O2003" s="14" t="str">
        <f t="shared" si="488"/>
        <v>00</v>
      </c>
      <c r="R2003" s="6">
        <v>511</v>
      </c>
      <c r="S2003" s="5">
        <f t="shared" si="496"/>
        <v>0</v>
      </c>
    </row>
    <row r="2004" spans="1:23" hidden="1">
      <c r="J2004" s="1" t="str">
        <f t="shared" si="484"/>
        <v>0</v>
      </c>
      <c r="K2004" s="3">
        <f t="shared" si="485"/>
        <v>-100</v>
      </c>
      <c r="L2004" s="3">
        <f t="shared" si="486"/>
        <v>1</v>
      </c>
      <c r="M2004" s="3">
        <f t="shared" si="487"/>
        <v>0</v>
      </c>
      <c r="N2004" s="3" t="str">
        <f t="shared" si="488"/>
        <v>01</v>
      </c>
      <c r="O2004" s="14" t="str">
        <f t="shared" si="488"/>
        <v>00</v>
      </c>
      <c r="R2004" s="6">
        <v>511</v>
      </c>
      <c r="S2004" s="5">
        <f t="shared" si="496"/>
        <v>0</v>
      </c>
    </row>
    <row r="2005" spans="1:23" hidden="1">
      <c r="J2005" s="1" t="str">
        <f t="shared" si="484"/>
        <v>0</v>
      </c>
      <c r="K2005" s="3">
        <f t="shared" si="485"/>
        <v>-100</v>
      </c>
      <c r="L2005" s="3">
        <f t="shared" si="486"/>
        <v>1</v>
      </c>
      <c r="M2005" s="3">
        <f t="shared" si="487"/>
        <v>0</v>
      </c>
      <c r="N2005" s="3" t="str">
        <f t="shared" si="488"/>
        <v>01</v>
      </c>
      <c r="O2005" s="14" t="str">
        <f t="shared" si="488"/>
        <v>00</v>
      </c>
      <c r="R2005" s="6">
        <v>511</v>
      </c>
      <c r="S2005" s="5">
        <f t="shared" si="496"/>
        <v>0</v>
      </c>
    </row>
    <row r="2006" spans="1:23" hidden="1">
      <c r="J2006" s="1" t="str">
        <f t="shared" si="484"/>
        <v>0</v>
      </c>
      <c r="K2006" s="3">
        <f t="shared" si="485"/>
        <v>-100</v>
      </c>
      <c r="L2006" s="3">
        <f t="shared" si="486"/>
        <v>1</v>
      </c>
      <c r="M2006" s="3">
        <f t="shared" si="487"/>
        <v>0</v>
      </c>
      <c r="N2006" s="3" t="str">
        <f t="shared" si="488"/>
        <v>01</v>
      </c>
      <c r="O2006" s="14" t="str">
        <f t="shared" si="488"/>
        <v>00</v>
      </c>
      <c r="R2006" s="6">
        <v>511</v>
      </c>
      <c r="S2006" s="5">
        <f t="shared" si="496"/>
        <v>0</v>
      </c>
    </row>
    <row r="2007" spans="1:23">
      <c r="A2007" s="3">
        <v>1990</v>
      </c>
      <c r="B2007" s="1">
        <f t="shared" ref="B2007:B2066" si="497">IF(G2007="-",0,IF(G2006=G2007,1,0))</f>
        <v>0</v>
      </c>
      <c r="C2007" s="1">
        <f t="shared" ref="C2007:C2066" si="498">+IF(G2007="-",0,IF(I2007=I2006+1,0,(IF(I2007=1,0,1))))</f>
        <v>1</v>
      </c>
      <c r="D2007" s="1">
        <f t="shared" si="492"/>
        <v>0</v>
      </c>
      <c r="E2007" s="1">
        <f t="shared" ref="E2007:F2035" si="499">IF(U2007="",1,0)</f>
        <v>0</v>
      </c>
      <c r="F2007" s="1">
        <f t="shared" si="499"/>
        <v>0</v>
      </c>
      <c r="G2007" s="1" t="str">
        <f t="shared" si="494"/>
        <v>24091805</v>
      </c>
      <c r="H2007" s="2">
        <v>45553</v>
      </c>
      <c r="I2007" s="36">
        <v>5</v>
      </c>
      <c r="J2007" s="1" t="str">
        <f t="shared" si="484"/>
        <v>05</v>
      </c>
      <c r="K2007" s="3">
        <f t="shared" si="485"/>
        <v>24</v>
      </c>
      <c r="L2007" s="3">
        <f t="shared" si="486"/>
        <v>9</v>
      </c>
      <c r="M2007" s="3">
        <f t="shared" si="487"/>
        <v>18</v>
      </c>
      <c r="N2007" s="3" t="str">
        <f t="shared" si="488"/>
        <v>09</v>
      </c>
      <c r="O2007" s="14">
        <f t="shared" si="488"/>
        <v>18</v>
      </c>
      <c r="P2007" s="4">
        <v>8000</v>
      </c>
      <c r="R2007" s="6">
        <v>511</v>
      </c>
      <c r="S2007" s="5">
        <f t="shared" si="496"/>
        <v>15.655577299412915</v>
      </c>
      <c r="T2007" s="5" t="s">
        <v>88</v>
      </c>
      <c r="U2007" s="3" t="s">
        <v>29</v>
      </c>
      <c r="V2007" s="3" t="s">
        <v>5</v>
      </c>
    </row>
    <row r="2008" spans="1:23" hidden="1">
      <c r="J2008" s="1" t="str">
        <f t="shared" si="484"/>
        <v>0</v>
      </c>
      <c r="K2008" s="3">
        <f t="shared" si="485"/>
        <v>-100</v>
      </c>
      <c r="L2008" s="3">
        <f t="shared" si="486"/>
        <v>1</v>
      </c>
      <c r="M2008" s="3">
        <f t="shared" si="487"/>
        <v>0</v>
      </c>
      <c r="N2008" s="3" t="str">
        <f t="shared" si="488"/>
        <v>01</v>
      </c>
      <c r="O2008" s="14" t="str">
        <f t="shared" si="488"/>
        <v>00</v>
      </c>
      <c r="R2008" s="6">
        <v>511</v>
      </c>
      <c r="S2008" s="5">
        <f t="shared" si="496"/>
        <v>0</v>
      </c>
    </row>
    <row r="2009" spans="1:23" hidden="1">
      <c r="J2009" s="1" t="str">
        <f t="shared" si="484"/>
        <v>0</v>
      </c>
      <c r="K2009" s="3">
        <f t="shared" si="485"/>
        <v>-100</v>
      </c>
      <c r="L2009" s="3">
        <f t="shared" si="486"/>
        <v>1</v>
      </c>
      <c r="M2009" s="3">
        <f t="shared" si="487"/>
        <v>0</v>
      </c>
      <c r="N2009" s="3" t="str">
        <f t="shared" si="488"/>
        <v>01</v>
      </c>
      <c r="O2009" s="14" t="str">
        <f t="shared" si="488"/>
        <v>00</v>
      </c>
      <c r="R2009" s="6">
        <v>511</v>
      </c>
      <c r="S2009" s="5">
        <f t="shared" si="496"/>
        <v>0</v>
      </c>
    </row>
    <row r="2010" spans="1:23" hidden="1">
      <c r="J2010" s="1" t="str">
        <f t="shared" si="484"/>
        <v>0</v>
      </c>
      <c r="K2010" s="3">
        <f t="shared" si="485"/>
        <v>-100</v>
      </c>
      <c r="L2010" s="3">
        <f t="shared" si="486"/>
        <v>1</v>
      </c>
      <c r="M2010" s="3">
        <f t="shared" si="487"/>
        <v>0</v>
      </c>
      <c r="N2010" s="3" t="str">
        <f t="shared" si="488"/>
        <v>01</v>
      </c>
      <c r="O2010" s="14" t="str">
        <f t="shared" si="488"/>
        <v>00</v>
      </c>
    </row>
    <row r="2011" spans="1:23">
      <c r="A2011" s="3">
        <v>1994</v>
      </c>
      <c r="B2011" s="1">
        <f t="shared" si="497"/>
        <v>0</v>
      </c>
      <c r="C2011" s="1">
        <f t="shared" si="498"/>
        <v>1</v>
      </c>
      <c r="D2011" s="1">
        <f t="shared" si="492"/>
        <v>0</v>
      </c>
      <c r="E2011" s="1">
        <f t="shared" si="499"/>
        <v>0</v>
      </c>
      <c r="F2011" s="1">
        <f t="shared" si="499"/>
        <v>0</v>
      </c>
      <c r="G2011" s="1" t="str">
        <f t="shared" si="494"/>
        <v>24091809</v>
      </c>
      <c r="H2011" s="2">
        <v>45553</v>
      </c>
      <c r="I2011" s="36">
        <v>9</v>
      </c>
      <c r="J2011" s="1" t="str">
        <f t="shared" si="484"/>
        <v>09</v>
      </c>
      <c r="K2011" s="3">
        <f t="shared" si="485"/>
        <v>24</v>
      </c>
      <c r="L2011" s="3">
        <f t="shared" si="486"/>
        <v>9</v>
      </c>
      <c r="M2011" s="3">
        <f t="shared" si="487"/>
        <v>18</v>
      </c>
      <c r="N2011" s="3" t="str">
        <f t="shared" si="488"/>
        <v>09</v>
      </c>
      <c r="O2011" s="14">
        <f t="shared" si="488"/>
        <v>18</v>
      </c>
      <c r="P2011" s="4">
        <v>10000</v>
      </c>
      <c r="T2011" s="5" t="s">
        <v>361</v>
      </c>
      <c r="U2011" s="3" t="s">
        <v>29</v>
      </c>
      <c r="V2011" s="3" t="s">
        <v>5</v>
      </c>
    </row>
    <row r="2012" spans="1:23" hidden="1">
      <c r="J2012" s="1" t="str">
        <f t="shared" si="484"/>
        <v>0</v>
      </c>
      <c r="K2012" s="3">
        <f t="shared" si="485"/>
        <v>-100</v>
      </c>
      <c r="L2012" s="3">
        <f t="shared" si="486"/>
        <v>1</v>
      </c>
      <c r="M2012" s="3">
        <f t="shared" si="487"/>
        <v>0</v>
      </c>
      <c r="N2012" s="3" t="str">
        <f t="shared" si="488"/>
        <v>01</v>
      </c>
      <c r="O2012" s="14" t="str">
        <f t="shared" si="488"/>
        <v>00</v>
      </c>
      <c r="R2012" s="6">
        <v>511</v>
      </c>
      <c r="S2012" s="5">
        <f>IFERROR(P2012/R2012,"")</f>
        <v>0</v>
      </c>
    </row>
    <row r="2013" spans="1:23" hidden="1">
      <c r="J2013" s="1" t="str">
        <f t="shared" si="484"/>
        <v>0</v>
      </c>
      <c r="K2013" s="3">
        <f t="shared" si="485"/>
        <v>-100</v>
      </c>
      <c r="L2013" s="3">
        <f t="shared" si="486"/>
        <v>1</v>
      </c>
      <c r="M2013" s="3">
        <f t="shared" si="487"/>
        <v>0</v>
      </c>
      <c r="N2013" s="3" t="str">
        <f t="shared" si="488"/>
        <v>01</v>
      </c>
      <c r="O2013" s="14" t="str">
        <f t="shared" si="488"/>
        <v>00</v>
      </c>
      <c r="R2013" s="6">
        <v>511</v>
      </c>
      <c r="S2013" s="5">
        <f>IFERROR(P2013/R2013,"")</f>
        <v>0</v>
      </c>
    </row>
    <row r="2014" spans="1:23" hidden="1">
      <c r="J2014" s="1" t="str">
        <f t="shared" si="484"/>
        <v>0</v>
      </c>
      <c r="K2014" s="3">
        <f t="shared" si="485"/>
        <v>-100</v>
      </c>
      <c r="L2014" s="3">
        <f t="shared" si="486"/>
        <v>1</v>
      </c>
      <c r="M2014" s="3">
        <f t="shared" si="487"/>
        <v>0</v>
      </c>
      <c r="N2014" s="3" t="str">
        <f t="shared" si="488"/>
        <v>01</v>
      </c>
      <c r="O2014" s="14" t="str">
        <f t="shared" si="488"/>
        <v>00</v>
      </c>
      <c r="R2014" s="6">
        <v>511</v>
      </c>
      <c r="S2014" s="5">
        <f>IFERROR(P2014/R2014,"")</f>
        <v>0</v>
      </c>
    </row>
    <row r="2015" spans="1:23" hidden="1">
      <c r="J2015" s="1" t="str">
        <f t="shared" si="484"/>
        <v>0</v>
      </c>
      <c r="K2015" s="3">
        <f t="shared" si="485"/>
        <v>-100</v>
      </c>
      <c r="L2015" s="3">
        <f t="shared" si="486"/>
        <v>1</v>
      </c>
      <c r="M2015" s="3">
        <f t="shared" si="487"/>
        <v>0</v>
      </c>
      <c r="N2015" s="3" t="str">
        <f t="shared" si="488"/>
        <v>01</v>
      </c>
      <c r="O2015" s="14" t="str">
        <f t="shared" si="488"/>
        <v>00</v>
      </c>
      <c r="R2015" s="6">
        <v>511</v>
      </c>
      <c r="S2015" s="5">
        <f>IFERROR(P2015/R2015,"")</f>
        <v>0</v>
      </c>
    </row>
    <row r="2016" spans="1:23">
      <c r="A2016" s="3">
        <v>1999</v>
      </c>
      <c r="B2016" s="1">
        <f t="shared" si="497"/>
        <v>0</v>
      </c>
      <c r="C2016" s="1">
        <f t="shared" si="498"/>
        <v>1</v>
      </c>
      <c r="D2016" s="1">
        <f t="shared" si="492"/>
        <v>0</v>
      </c>
      <c r="E2016" s="1">
        <f t="shared" si="499"/>
        <v>1</v>
      </c>
      <c r="F2016" s="1">
        <f t="shared" si="499"/>
        <v>0</v>
      </c>
      <c r="G2016" s="1" t="str">
        <f t="shared" si="494"/>
        <v>24091905</v>
      </c>
      <c r="H2016" s="2">
        <v>45554</v>
      </c>
      <c r="I2016" s="36">
        <v>5</v>
      </c>
      <c r="J2016" s="1" t="str">
        <f t="shared" si="484"/>
        <v>05</v>
      </c>
      <c r="K2016" s="3">
        <f t="shared" si="485"/>
        <v>24</v>
      </c>
      <c r="L2016" s="3">
        <f t="shared" si="486"/>
        <v>9</v>
      </c>
      <c r="M2016" s="3">
        <f t="shared" si="487"/>
        <v>19</v>
      </c>
      <c r="N2016" s="3" t="str">
        <f t="shared" si="488"/>
        <v>09</v>
      </c>
      <c r="O2016" s="14">
        <f t="shared" si="488"/>
        <v>19</v>
      </c>
      <c r="Q2016" s="5">
        <f>259.99+500</f>
        <v>759.99</v>
      </c>
      <c r="R2016" s="6">
        <v>511</v>
      </c>
      <c r="S2016" s="5">
        <f>IFERROR(P2016/R2016,"")</f>
        <v>0</v>
      </c>
      <c r="T2016" s="5" t="s">
        <v>822</v>
      </c>
      <c r="V2016" s="3" t="s">
        <v>5</v>
      </c>
    </row>
    <row r="2017" spans="1:23" hidden="1">
      <c r="J2017" s="1" t="str">
        <f t="shared" si="484"/>
        <v>0</v>
      </c>
      <c r="K2017" s="3">
        <f t="shared" si="485"/>
        <v>-100</v>
      </c>
      <c r="L2017" s="3">
        <f t="shared" si="486"/>
        <v>1</v>
      </c>
      <c r="M2017" s="3">
        <f t="shared" si="487"/>
        <v>0</v>
      </c>
      <c r="N2017" s="3" t="str">
        <f t="shared" si="488"/>
        <v>01</v>
      </c>
      <c r="O2017" s="14" t="str">
        <f t="shared" si="488"/>
        <v>00</v>
      </c>
    </row>
    <row r="2018" spans="1:23" hidden="1">
      <c r="J2018" s="1" t="str">
        <f t="shared" si="484"/>
        <v>0</v>
      </c>
      <c r="K2018" s="3">
        <f t="shared" si="485"/>
        <v>-100</v>
      </c>
      <c r="L2018" s="3">
        <f t="shared" si="486"/>
        <v>1</v>
      </c>
      <c r="M2018" s="3">
        <f t="shared" si="487"/>
        <v>0</v>
      </c>
      <c r="N2018" s="3" t="str">
        <f t="shared" si="488"/>
        <v>01</v>
      </c>
      <c r="O2018" s="14" t="str">
        <f t="shared" si="488"/>
        <v>00</v>
      </c>
      <c r="R2018" s="6">
        <v>513</v>
      </c>
      <c r="S2018" s="5">
        <f>IFERROR(P2018/R2018,"")</f>
        <v>0</v>
      </c>
    </row>
    <row r="2019" spans="1:23" hidden="1">
      <c r="J2019" s="1" t="str">
        <f t="shared" si="484"/>
        <v>0</v>
      </c>
      <c r="K2019" s="3">
        <f t="shared" si="485"/>
        <v>-100</v>
      </c>
      <c r="L2019" s="3">
        <f t="shared" si="486"/>
        <v>1</v>
      </c>
      <c r="M2019" s="3">
        <f t="shared" si="487"/>
        <v>0</v>
      </c>
      <c r="N2019" s="3" t="str">
        <f t="shared" si="488"/>
        <v>01</v>
      </c>
      <c r="O2019" s="14" t="str">
        <f t="shared" si="488"/>
        <v>00</v>
      </c>
      <c r="R2019" s="6">
        <v>513</v>
      </c>
      <c r="S2019" s="5">
        <f>IFERROR(P2019/R2019,"")</f>
        <v>0</v>
      </c>
    </row>
    <row r="2020" spans="1:23" hidden="1">
      <c r="J2020" s="1" t="str">
        <f t="shared" si="484"/>
        <v>0</v>
      </c>
      <c r="K2020" s="3">
        <f t="shared" si="485"/>
        <v>-100</v>
      </c>
      <c r="L2020" s="3">
        <f t="shared" si="486"/>
        <v>1</v>
      </c>
      <c r="M2020" s="3">
        <f t="shared" si="487"/>
        <v>0</v>
      </c>
      <c r="N2020" s="3" t="str">
        <f t="shared" si="488"/>
        <v>01</v>
      </c>
      <c r="O2020" s="14" t="str">
        <f t="shared" si="488"/>
        <v>00</v>
      </c>
      <c r="R2020" s="6">
        <v>513</v>
      </c>
      <c r="S2020" s="5">
        <f>IFERROR(P2020/R2020,"")</f>
        <v>0</v>
      </c>
    </row>
    <row r="2021" spans="1:23" hidden="1">
      <c r="J2021" s="1" t="str">
        <f t="shared" si="484"/>
        <v>0</v>
      </c>
      <c r="K2021" s="3">
        <f t="shared" si="485"/>
        <v>-100</v>
      </c>
      <c r="L2021" s="3">
        <f t="shared" si="486"/>
        <v>1</v>
      </c>
      <c r="M2021" s="3">
        <f t="shared" si="487"/>
        <v>0</v>
      </c>
      <c r="N2021" s="3" t="str">
        <f t="shared" si="488"/>
        <v>01</v>
      </c>
      <c r="O2021" s="14" t="str">
        <f t="shared" si="488"/>
        <v>00</v>
      </c>
      <c r="R2021" s="6">
        <v>513</v>
      </c>
      <c r="S2021" s="5">
        <f>IFERROR(P2021/R2021,"")</f>
        <v>0</v>
      </c>
    </row>
    <row r="2022" spans="1:23">
      <c r="A2022" s="3">
        <v>2005</v>
      </c>
      <c r="B2022" s="1">
        <f t="shared" si="497"/>
        <v>0</v>
      </c>
      <c r="C2022" s="1">
        <f t="shared" si="498"/>
        <v>1</v>
      </c>
      <c r="D2022" s="1">
        <f t="shared" si="492"/>
        <v>0</v>
      </c>
      <c r="E2022" s="1">
        <f t="shared" si="499"/>
        <v>0</v>
      </c>
      <c r="F2022" s="1">
        <f t="shared" si="499"/>
        <v>0</v>
      </c>
      <c r="G2022" s="1" t="str">
        <f t="shared" si="494"/>
        <v>24092005</v>
      </c>
      <c r="H2022" s="2">
        <v>45555</v>
      </c>
      <c r="I2022" s="36">
        <v>5</v>
      </c>
      <c r="J2022" s="1" t="str">
        <f t="shared" si="484"/>
        <v>05</v>
      </c>
      <c r="K2022" s="3">
        <f t="shared" si="485"/>
        <v>24</v>
      </c>
      <c r="L2022" s="3">
        <f t="shared" si="486"/>
        <v>9</v>
      </c>
      <c r="M2022" s="3">
        <f t="shared" si="487"/>
        <v>20</v>
      </c>
      <c r="N2022" s="3" t="str">
        <f t="shared" si="488"/>
        <v>09</v>
      </c>
      <c r="O2022" s="14">
        <f t="shared" si="488"/>
        <v>20</v>
      </c>
      <c r="P2022" s="4">
        <v>484355.32</v>
      </c>
      <c r="R2022" s="6">
        <v>513</v>
      </c>
      <c r="S2022" s="5">
        <f>IFERROR(P2022/R2022,"")</f>
        <v>944.1624171539961</v>
      </c>
      <c r="T2022" s="5" t="s">
        <v>1187</v>
      </c>
      <c r="U2022" s="3" t="s">
        <v>2</v>
      </c>
      <c r="V2022" s="3" t="s">
        <v>5</v>
      </c>
    </row>
    <row r="2023" spans="1:23" hidden="1">
      <c r="J2023" s="1" t="str">
        <f t="shared" si="484"/>
        <v>0</v>
      </c>
      <c r="K2023" s="3">
        <f t="shared" si="485"/>
        <v>-100</v>
      </c>
      <c r="L2023" s="3">
        <f t="shared" si="486"/>
        <v>1</v>
      </c>
      <c r="M2023" s="3">
        <f t="shared" si="487"/>
        <v>0</v>
      </c>
      <c r="N2023" s="3" t="str">
        <f t="shared" si="488"/>
        <v>01</v>
      </c>
      <c r="O2023" s="14" t="str">
        <f t="shared" si="488"/>
        <v>00</v>
      </c>
    </row>
    <row r="2024" spans="1:23">
      <c r="A2024" s="3">
        <v>2007</v>
      </c>
      <c r="B2024" s="1">
        <f t="shared" si="497"/>
        <v>0</v>
      </c>
      <c r="C2024" s="1">
        <f t="shared" si="498"/>
        <v>1</v>
      </c>
      <c r="D2024" s="1">
        <f t="shared" si="492"/>
        <v>0</v>
      </c>
      <c r="E2024" s="1">
        <f t="shared" si="499"/>
        <v>1</v>
      </c>
      <c r="F2024" s="1">
        <f t="shared" si="499"/>
        <v>0</v>
      </c>
      <c r="G2024" s="1" t="str">
        <f t="shared" si="494"/>
        <v>24092007</v>
      </c>
      <c r="H2024" s="2">
        <v>45555</v>
      </c>
      <c r="I2024" s="36">
        <v>7</v>
      </c>
      <c r="J2024" s="1" t="str">
        <f t="shared" si="484"/>
        <v>07</v>
      </c>
      <c r="K2024" s="3">
        <f t="shared" si="485"/>
        <v>24</v>
      </c>
      <c r="L2024" s="3">
        <f t="shared" si="486"/>
        <v>9</v>
      </c>
      <c r="M2024" s="3">
        <f t="shared" si="487"/>
        <v>20</v>
      </c>
      <c r="N2024" s="3" t="str">
        <f t="shared" si="488"/>
        <v>09</v>
      </c>
      <c r="O2024" s="14">
        <f t="shared" si="488"/>
        <v>20</v>
      </c>
      <c r="P2024" s="4">
        <v>46058.53</v>
      </c>
      <c r="T2024" s="5" t="s">
        <v>1050</v>
      </c>
      <c r="V2024" s="3" t="s">
        <v>5</v>
      </c>
    </row>
    <row r="2025" spans="1:23">
      <c r="A2025" s="3">
        <v>2008</v>
      </c>
      <c r="B2025" s="1">
        <f t="shared" si="497"/>
        <v>0</v>
      </c>
      <c r="C2025" s="1">
        <f t="shared" si="498"/>
        <v>0</v>
      </c>
      <c r="D2025" s="1">
        <f t="shared" si="492"/>
        <v>0</v>
      </c>
      <c r="E2025" s="1">
        <f t="shared" si="499"/>
        <v>1</v>
      </c>
      <c r="F2025" s="1">
        <f t="shared" si="499"/>
        <v>0</v>
      </c>
      <c r="G2025" s="1" t="str">
        <f t="shared" si="494"/>
        <v>24092101</v>
      </c>
      <c r="H2025" s="2">
        <v>45556</v>
      </c>
      <c r="I2025" s="36">
        <v>1</v>
      </c>
      <c r="J2025" s="1" t="str">
        <f t="shared" si="484"/>
        <v>01</v>
      </c>
      <c r="K2025" s="3">
        <f t="shared" si="485"/>
        <v>24</v>
      </c>
      <c r="L2025" s="3">
        <f t="shared" si="486"/>
        <v>9</v>
      </c>
      <c r="M2025" s="3">
        <f t="shared" si="487"/>
        <v>21</v>
      </c>
      <c r="N2025" s="3" t="str">
        <f t="shared" si="488"/>
        <v>09</v>
      </c>
      <c r="O2025" s="14">
        <f t="shared" si="488"/>
        <v>21</v>
      </c>
      <c r="P2025" s="19">
        <v>180200</v>
      </c>
      <c r="R2025" s="6">
        <v>513</v>
      </c>
      <c r="S2025" s="5">
        <f t="shared" ref="S2025:S2061" si="500">IFERROR(P2025/R2025,"")</f>
        <v>351.2670565302144</v>
      </c>
      <c r="T2025" s="3" t="s">
        <v>790</v>
      </c>
      <c r="V2025" s="3" t="s">
        <v>5</v>
      </c>
      <c r="W2025" s="3" t="s">
        <v>1078</v>
      </c>
    </row>
    <row r="2026" spans="1:23">
      <c r="A2026" s="3">
        <v>2009</v>
      </c>
      <c r="B2026" s="1">
        <f t="shared" si="497"/>
        <v>0</v>
      </c>
      <c r="C2026" s="1">
        <f t="shared" si="498"/>
        <v>0</v>
      </c>
      <c r="D2026" s="1">
        <f t="shared" si="492"/>
        <v>0</v>
      </c>
      <c r="E2026" s="1">
        <f t="shared" si="499"/>
        <v>1</v>
      </c>
      <c r="F2026" s="1">
        <f t="shared" si="499"/>
        <v>0</v>
      </c>
      <c r="G2026" s="1" t="str">
        <f t="shared" si="494"/>
        <v>24092102</v>
      </c>
      <c r="H2026" s="2">
        <v>45556</v>
      </c>
      <c r="I2026" s="36">
        <v>2</v>
      </c>
      <c r="J2026" s="1" t="str">
        <f t="shared" si="484"/>
        <v>02</v>
      </c>
      <c r="K2026" s="3">
        <f t="shared" si="485"/>
        <v>24</v>
      </c>
      <c r="L2026" s="3">
        <f t="shared" si="486"/>
        <v>9</v>
      </c>
      <c r="M2026" s="3">
        <f t="shared" si="487"/>
        <v>21</v>
      </c>
      <c r="N2026" s="3" t="str">
        <f t="shared" si="488"/>
        <v>09</v>
      </c>
      <c r="O2026" s="14">
        <f t="shared" si="488"/>
        <v>21</v>
      </c>
      <c r="P2026" s="19">
        <v>108000</v>
      </c>
      <c r="R2026" s="6">
        <v>513</v>
      </c>
      <c r="S2026" s="5">
        <f t="shared" si="500"/>
        <v>210.52631578947367</v>
      </c>
      <c r="T2026" s="28" t="s">
        <v>789</v>
      </c>
      <c r="V2026" s="3" t="s">
        <v>5</v>
      </c>
      <c r="W2026" s="3" t="s">
        <v>810</v>
      </c>
    </row>
    <row r="2027" spans="1:23">
      <c r="A2027" s="3">
        <v>2010</v>
      </c>
      <c r="B2027" s="1">
        <f t="shared" si="497"/>
        <v>0</v>
      </c>
      <c r="C2027" s="1">
        <f t="shared" si="498"/>
        <v>0</v>
      </c>
      <c r="D2027" s="1">
        <f t="shared" si="492"/>
        <v>0</v>
      </c>
      <c r="E2027" s="1">
        <f t="shared" si="499"/>
        <v>1</v>
      </c>
      <c r="F2027" s="1">
        <f t="shared" si="499"/>
        <v>0</v>
      </c>
      <c r="G2027" s="1" t="str">
        <f t="shared" si="494"/>
        <v>24092103</v>
      </c>
      <c r="H2027" s="2">
        <v>45556</v>
      </c>
      <c r="I2027" s="36">
        <v>3</v>
      </c>
      <c r="J2027" s="1" t="str">
        <f t="shared" si="484"/>
        <v>03</v>
      </c>
      <c r="K2027" s="3">
        <f t="shared" si="485"/>
        <v>24</v>
      </c>
      <c r="L2027" s="3">
        <f t="shared" si="486"/>
        <v>9</v>
      </c>
      <c r="M2027" s="3">
        <f t="shared" si="487"/>
        <v>21</v>
      </c>
      <c r="N2027" s="3" t="str">
        <f t="shared" si="488"/>
        <v>09</v>
      </c>
      <c r="O2027" s="14">
        <f t="shared" si="488"/>
        <v>21</v>
      </c>
      <c r="P2027" s="22">
        <v>180200</v>
      </c>
      <c r="R2027" s="6">
        <v>513</v>
      </c>
      <c r="S2027" s="5">
        <f t="shared" si="500"/>
        <v>351.2670565302144</v>
      </c>
      <c r="T2027" s="28" t="s">
        <v>791</v>
      </c>
      <c r="V2027" s="3" t="s">
        <v>5</v>
      </c>
    </row>
    <row r="2028" spans="1:23">
      <c r="A2028" s="3">
        <v>2011</v>
      </c>
      <c r="B2028" s="1">
        <f t="shared" si="497"/>
        <v>0</v>
      </c>
      <c r="C2028" s="1">
        <f t="shared" si="498"/>
        <v>0</v>
      </c>
      <c r="D2028" s="1">
        <f t="shared" si="492"/>
        <v>0</v>
      </c>
      <c r="E2028" s="1">
        <f t="shared" si="499"/>
        <v>1</v>
      </c>
      <c r="F2028" s="1">
        <f t="shared" si="499"/>
        <v>0</v>
      </c>
      <c r="G2028" s="1" t="str">
        <f t="shared" si="494"/>
        <v>24092104</v>
      </c>
      <c r="H2028" s="2">
        <v>45556</v>
      </c>
      <c r="I2028" s="36">
        <v>4</v>
      </c>
      <c r="J2028" s="1" t="str">
        <f t="shared" si="484"/>
        <v>04</v>
      </c>
      <c r="K2028" s="3">
        <f t="shared" si="485"/>
        <v>24</v>
      </c>
      <c r="L2028" s="3">
        <f t="shared" si="486"/>
        <v>9</v>
      </c>
      <c r="M2028" s="3">
        <f t="shared" si="487"/>
        <v>21</v>
      </c>
      <c r="N2028" s="3" t="str">
        <f t="shared" si="488"/>
        <v>09</v>
      </c>
      <c r="O2028" s="14">
        <f t="shared" si="488"/>
        <v>21</v>
      </c>
      <c r="P2028" s="22">
        <v>122400</v>
      </c>
      <c r="R2028" s="6">
        <v>513</v>
      </c>
      <c r="S2028" s="5">
        <f t="shared" si="500"/>
        <v>238.59649122807016</v>
      </c>
      <c r="T2028" s="28" t="s">
        <v>792</v>
      </c>
      <c r="V2028" s="3" t="s">
        <v>5</v>
      </c>
    </row>
    <row r="2029" spans="1:23">
      <c r="A2029" s="3">
        <v>2012</v>
      </c>
      <c r="B2029" s="1">
        <f t="shared" si="497"/>
        <v>0</v>
      </c>
      <c r="C2029" s="1">
        <f t="shared" si="498"/>
        <v>0</v>
      </c>
      <c r="D2029" s="1">
        <f t="shared" si="492"/>
        <v>0</v>
      </c>
      <c r="E2029" s="1">
        <f t="shared" si="499"/>
        <v>1</v>
      </c>
      <c r="F2029" s="1">
        <f t="shared" si="499"/>
        <v>0</v>
      </c>
      <c r="G2029" s="1" t="str">
        <f t="shared" si="494"/>
        <v>24092105</v>
      </c>
      <c r="H2029" s="2">
        <v>45556</v>
      </c>
      <c r="I2029" s="36">
        <v>5</v>
      </c>
      <c r="J2029" s="1" t="str">
        <f t="shared" si="484"/>
        <v>05</v>
      </c>
      <c r="K2029" s="3">
        <f t="shared" si="485"/>
        <v>24</v>
      </c>
      <c r="L2029" s="3">
        <f t="shared" si="486"/>
        <v>9</v>
      </c>
      <c r="M2029" s="3">
        <f t="shared" si="487"/>
        <v>21</v>
      </c>
      <c r="N2029" s="3" t="str">
        <f t="shared" si="488"/>
        <v>09</v>
      </c>
      <c r="O2029" s="14">
        <f t="shared" si="488"/>
        <v>21</v>
      </c>
      <c r="P2029" s="22">
        <v>150000</v>
      </c>
      <c r="R2029" s="6">
        <v>513</v>
      </c>
      <c r="S2029" s="5">
        <f t="shared" si="500"/>
        <v>292.39766081871346</v>
      </c>
      <c r="T2029" s="28" t="s">
        <v>577</v>
      </c>
      <c r="V2029" s="3" t="s">
        <v>5</v>
      </c>
      <c r="W2029" s="3" t="s">
        <v>811</v>
      </c>
    </row>
    <row r="2030" spans="1:23">
      <c r="A2030" s="3">
        <v>2013</v>
      </c>
      <c r="B2030" s="1">
        <f t="shared" si="497"/>
        <v>0</v>
      </c>
      <c r="C2030" s="1">
        <f t="shared" si="498"/>
        <v>0</v>
      </c>
      <c r="D2030" s="1">
        <f t="shared" si="492"/>
        <v>0</v>
      </c>
      <c r="E2030" s="1">
        <f t="shared" si="499"/>
        <v>1</v>
      </c>
      <c r="F2030" s="1">
        <f t="shared" si="499"/>
        <v>0</v>
      </c>
      <c r="G2030" s="1" t="str">
        <f t="shared" si="494"/>
        <v>24092106</v>
      </c>
      <c r="H2030" s="2">
        <v>45556</v>
      </c>
      <c r="I2030" s="36">
        <v>6</v>
      </c>
      <c r="J2030" s="1" t="str">
        <f t="shared" si="484"/>
        <v>06</v>
      </c>
      <c r="K2030" s="3">
        <f t="shared" si="485"/>
        <v>24</v>
      </c>
      <c r="L2030" s="3">
        <f t="shared" si="486"/>
        <v>9</v>
      </c>
      <c r="M2030" s="3">
        <f t="shared" si="487"/>
        <v>21</v>
      </c>
      <c r="N2030" s="3" t="str">
        <f t="shared" si="488"/>
        <v>09</v>
      </c>
      <c r="O2030" s="14">
        <f t="shared" si="488"/>
        <v>21</v>
      </c>
      <c r="P2030" s="29">
        <v>149600</v>
      </c>
      <c r="R2030" s="6">
        <v>513</v>
      </c>
      <c r="S2030" s="5">
        <f t="shared" si="500"/>
        <v>291.61793372319687</v>
      </c>
      <c r="T2030" s="28" t="s">
        <v>793</v>
      </c>
      <c r="V2030" s="3" t="s">
        <v>5</v>
      </c>
      <c r="W2030" s="3" t="s">
        <v>812</v>
      </c>
    </row>
    <row r="2031" spans="1:23" hidden="1">
      <c r="J2031" s="1" t="str">
        <f t="shared" si="484"/>
        <v>0</v>
      </c>
      <c r="K2031" s="3">
        <f t="shared" si="485"/>
        <v>-100</v>
      </c>
      <c r="L2031" s="3">
        <f t="shared" si="486"/>
        <v>1</v>
      </c>
      <c r="M2031" s="3">
        <f t="shared" si="487"/>
        <v>0</v>
      </c>
      <c r="N2031" s="3" t="str">
        <f t="shared" si="488"/>
        <v>01</v>
      </c>
      <c r="O2031" s="14" t="str">
        <f t="shared" si="488"/>
        <v>00</v>
      </c>
      <c r="P2031" s="29"/>
      <c r="R2031" s="6">
        <v>513</v>
      </c>
      <c r="S2031" s="5">
        <f t="shared" si="500"/>
        <v>0</v>
      </c>
      <c r="T2031" s="28"/>
    </row>
    <row r="2032" spans="1:23" hidden="1">
      <c r="J2032" s="1" t="str">
        <f t="shared" si="484"/>
        <v>0</v>
      </c>
      <c r="K2032" s="3">
        <f t="shared" si="485"/>
        <v>-100</v>
      </c>
      <c r="L2032" s="3">
        <f t="shared" si="486"/>
        <v>1</v>
      </c>
      <c r="M2032" s="3">
        <f t="shared" si="487"/>
        <v>0</v>
      </c>
      <c r="N2032" s="3" t="str">
        <f t="shared" si="488"/>
        <v>01</v>
      </c>
      <c r="O2032" s="14" t="str">
        <f t="shared" si="488"/>
        <v>00</v>
      </c>
      <c r="P2032" s="29"/>
      <c r="R2032" s="6">
        <v>513</v>
      </c>
      <c r="S2032" s="5">
        <f t="shared" si="500"/>
        <v>0</v>
      </c>
      <c r="T2032" s="28"/>
    </row>
    <row r="2033" spans="1:23" hidden="1">
      <c r="J2033" s="1" t="str">
        <f t="shared" si="484"/>
        <v>0</v>
      </c>
      <c r="K2033" s="3">
        <f t="shared" si="485"/>
        <v>-100</v>
      </c>
      <c r="L2033" s="3">
        <f t="shared" si="486"/>
        <v>1</v>
      </c>
      <c r="M2033" s="3">
        <f t="shared" si="487"/>
        <v>0</v>
      </c>
      <c r="N2033" s="3" t="str">
        <f t="shared" si="488"/>
        <v>01</v>
      </c>
      <c r="O2033" s="14" t="str">
        <f t="shared" si="488"/>
        <v>00</v>
      </c>
      <c r="P2033" s="29"/>
      <c r="R2033" s="6">
        <v>513</v>
      </c>
      <c r="S2033" s="5">
        <f t="shared" si="500"/>
        <v>0</v>
      </c>
      <c r="T2033" s="28"/>
    </row>
    <row r="2034" spans="1:23">
      <c r="A2034" s="3">
        <v>2017</v>
      </c>
      <c r="B2034" s="1">
        <f t="shared" si="497"/>
        <v>0</v>
      </c>
      <c r="C2034" s="1">
        <f t="shared" si="498"/>
        <v>1</v>
      </c>
      <c r="D2034" s="1">
        <f t="shared" si="492"/>
        <v>0</v>
      </c>
      <c r="E2034" s="1">
        <f t="shared" si="499"/>
        <v>1</v>
      </c>
      <c r="F2034" s="1">
        <f t="shared" si="499"/>
        <v>0</v>
      </c>
      <c r="G2034" s="1" t="str">
        <f t="shared" si="494"/>
        <v>24092110</v>
      </c>
      <c r="H2034" s="2">
        <v>45556</v>
      </c>
      <c r="I2034" s="36">
        <v>10</v>
      </c>
      <c r="J2034" s="1">
        <f t="shared" ref="J2034:J2097" si="501">+IF(I2034&lt;10,_xlfn.CONCAT("0",I2034),I2034)</f>
        <v>10</v>
      </c>
      <c r="K2034" s="3">
        <f t="shared" ref="K2034:K2097" si="502">+YEAR(H2034)-2000</f>
        <v>24</v>
      </c>
      <c r="L2034" s="3">
        <f t="shared" ref="L2034:L2097" si="503">+MONTH(H2034)</f>
        <v>9</v>
      </c>
      <c r="M2034" s="3">
        <f t="shared" ref="M2034:M2097" si="504">+DAY(H2034)</f>
        <v>21</v>
      </c>
      <c r="N2034" s="3" t="str">
        <f t="shared" ref="N2034:O2097" si="505">+IF(L2034&lt;10,_xlfn.CONCAT("0",L2034),L2034)</f>
        <v>09</v>
      </c>
      <c r="O2034" s="14">
        <f t="shared" si="505"/>
        <v>21</v>
      </c>
      <c r="P2034" s="29">
        <v>149600</v>
      </c>
      <c r="R2034" s="6">
        <v>513</v>
      </c>
      <c r="S2034" s="5">
        <f t="shared" si="500"/>
        <v>291.61793372319687</v>
      </c>
      <c r="T2034" s="28" t="s">
        <v>797</v>
      </c>
      <c r="V2034" s="3" t="s">
        <v>5</v>
      </c>
      <c r="W2034" s="3" t="s">
        <v>816</v>
      </c>
    </row>
    <row r="2035" spans="1:23">
      <c r="A2035" s="3">
        <v>2018</v>
      </c>
      <c r="B2035" s="1">
        <f t="shared" si="497"/>
        <v>0</v>
      </c>
      <c r="C2035" s="1">
        <f t="shared" si="498"/>
        <v>0</v>
      </c>
      <c r="D2035" s="1">
        <f t="shared" si="492"/>
        <v>0</v>
      </c>
      <c r="E2035" s="1">
        <f t="shared" si="499"/>
        <v>1</v>
      </c>
      <c r="F2035" s="1">
        <f t="shared" si="499"/>
        <v>0</v>
      </c>
      <c r="G2035" s="1" t="str">
        <f t="shared" si="494"/>
        <v>24092111</v>
      </c>
      <c r="H2035" s="2">
        <v>45556</v>
      </c>
      <c r="I2035" s="36">
        <v>11</v>
      </c>
      <c r="J2035" s="1">
        <f t="shared" si="501"/>
        <v>11</v>
      </c>
      <c r="K2035" s="3">
        <f t="shared" si="502"/>
        <v>24</v>
      </c>
      <c r="L2035" s="3">
        <f t="shared" si="503"/>
        <v>9</v>
      </c>
      <c r="M2035" s="3">
        <f t="shared" si="504"/>
        <v>21</v>
      </c>
      <c r="N2035" s="3" t="str">
        <f t="shared" si="505"/>
        <v>09</v>
      </c>
      <c r="O2035" s="14">
        <f t="shared" si="505"/>
        <v>21</v>
      </c>
      <c r="P2035" s="127">
        <v>122400</v>
      </c>
      <c r="R2035" s="6">
        <v>513</v>
      </c>
      <c r="S2035" s="5">
        <f t="shared" si="500"/>
        <v>238.59649122807016</v>
      </c>
      <c r="T2035" s="28" t="s">
        <v>808</v>
      </c>
      <c r="V2035" s="3" t="s">
        <v>5</v>
      </c>
    </row>
    <row r="2036" spans="1:23" hidden="1">
      <c r="J2036" s="1" t="str">
        <f t="shared" si="501"/>
        <v>0</v>
      </c>
      <c r="K2036" s="3">
        <f t="shared" si="502"/>
        <v>-100</v>
      </c>
      <c r="L2036" s="3">
        <f t="shared" si="503"/>
        <v>1</v>
      </c>
      <c r="M2036" s="3">
        <f t="shared" si="504"/>
        <v>0</v>
      </c>
      <c r="N2036" s="3" t="str">
        <f t="shared" si="505"/>
        <v>01</v>
      </c>
      <c r="O2036" s="14" t="str">
        <f t="shared" si="505"/>
        <v>00</v>
      </c>
      <c r="P2036" s="127"/>
      <c r="R2036" s="6">
        <v>513</v>
      </c>
      <c r="S2036" s="5">
        <f t="shared" si="500"/>
        <v>0</v>
      </c>
      <c r="T2036" s="28"/>
    </row>
    <row r="2037" spans="1:23" hidden="1">
      <c r="J2037" s="1" t="str">
        <f t="shared" si="501"/>
        <v>0</v>
      </c>
      <c r="K2037" s="3">
        <f t="shared" si="502"/>
        <v>-100</v>
      </c>
      <c r="L2037" s="3">
        <f t="shared" si="503"/>
        <v>1</v>
      </c>
      <c r="M2037" s="3">
        <f t="shared" si="504"/>
        <v>0</v>
      </c>
      <c r="N2037" s="3" t="str">
        <f t="shared" si="505"/>
        <v>01</v>
      </c>
      <c r="O2037" s="14" t="str">
        <f t="shared" si="505"/>
        <v>00</v>
      </c>
      <c r="P2037" s="127"/>
      <c r="R2037" s="6">
        <v>513</v>
      </c>
      <c r="S2037" s="5">
        <f t="shared" si="500"/>
        <v>0</v>
      </c>
      <c r="T2037" s="28"/>
    </row>
    <row r="2038" spans="1:23" hidden="1">
      <c r="J2038" s="1" t="str">
        <f t="shared" si="501"/>
        <v>0</v>
      </c>
      <c r="K2038" s="3">
        <f t="shared" si="502"/>
        <v>-100</v>
      </c>
      <c r="L2038" s="3">
        <f t="shared" si="503"/>
        <v>1</v>
      </c>
      <c r="M2038" s="3">
        <f t="shared" si="504"/>
        <v>0</v>
      </c>
      <c r="N2038" s="3" t="str">
        <f t="shared" si="505"/>
        <v>01</v>
      </c>
      <c r="O2038" s="14" t="str">
        <f t="shared" si="505"/>
        <v>00</v>
      </c>
      <c r="P2038" s="127"/>
      <c r="R2038" s="6">
        <v>513</v>
      </c>
      <c r="S2038" s="5">
        <f t="shared" si="500"/>
        <v>0</v>
      </c>
      <c r="T2038" s="28"/>
    </row>
    <row r="2039" spans="1:23" hidden="1">
      <c r="J2039" s="1" t="str">
        <f t="shared" si="501"/>
        <v>0</v>
      </c>
      <c r="K2039" s="3">
        <f t="shared" si="502"/>
        <v>-100</v>
      </c>
      <c r="L2039" s="3">
        <f t="shared" si="503"/>
        <v>1</v>
      </c>
      <c r="M2039" s="3">
        <f t="shared" si="504"/>
        <v>0</v>
      </c>
      <c r="N2039" s="3" t="str">
        <f t="shared" si="505"/>
        <v>01</v>
      </c>
      <c r="O2039" s="14" t="str">
        <f t="shared" si="505"/>
        <v>00</v>
      </c>
      <c r="P2039" s="127"/>
      <c r="R2039" s="6">
        <v>513</v>
      </c>
      <c r="S2039" s="5">
        <f t="shared" si="500"/>
        <v>0</v>
      </c>
      <c r="T2039" s="28"/>
    </row>
    <row r="2040" spans="1:23" hidden="1">
      <c r="J2040" s="1" t="str">
        <f t="shared" si="501"/>
        <v>0</v>
      </c>
      <c r="K2040" s="3">
        <f t="shared" si="502"/>
        <v>-100</v>
      </c>
      <c r="L2040" s="3">
        <f t="shared" si="503"/>
        <v>1</v>
      </c>
      <c r="M2040" s="3">
        <f t="shared" si="504"/>
        <v>0</v>
      </c>
      <c r="N2040" s="3" t="str">
        <f t="shared" si="505"/>
        <v>01</v>
      </c>
      <c r="O2040" s="14" t="str">
        <f t="shared" si="505"/>
        <v>00</v>
      </c>
      <c r="P2040" s="127"/>
      <c r="R2040" s="6">
        <v>513</v>
      </c>
      <c r="S2040" s="5">
        <f t="shared" si="500"/>
        <v>0</v>
      </c>
      <c r="T2040" s="28"/>
    </row>
    <row r="2041" spans="1:23">
      <c r="A2041" s="3">
        <v>2024</v>
      </c>
      <c r="B2041" s="1">
        <f t="shared" si="497"/>
        <v>0</v>
      </c>
      <c r="C2041" s="1">
        <f t="shared" si="498"/>
        <v>1</v>
      </c>
      <c r="D2041" s="1">
        <f t="shared" ref="D2041:D2094" si="506">+IF(AND(P2041="",Q2041=""),1,0)</f>
        <v>0</v>
      </c>
      <c r="E2041" s="1">
        <f t="shared" ref="E2041:F2062" si="507">IF(U2041="",1,0)</f>
        <v>1</v>
      </c>
      <c r="F2041" s="1">
        <f t="shared" si="507"/>
        <v>0</v>
      </c>
      <c r="G2041" s="1" t="str">
        <f t="shared" ref="G2041:G2094" si="508">IF(H2041=0,"-",_xlfn.CONCAT(K2041,N2041,O2041,J2041))</f>
        <v>24092117</v>
      </c>
      <c r="H2041" s="2">
        <v>45556</v>
      </c>
      <c r="I2041" s="36">
        <v>17</v>
      </c>
      <c r="J2041" s="1">
        <f t="shared" si="501"/>
        <v>17</v>
      </c>
      <c r="K2041" s="3">
        <f t="shared" si="502"/>
        <v>24</v>
      </c>
      <c r="L2041" s="3">
        <f t="shared" si="503"/>
        <v>9</v>
      </c>
      <c r="M2041" s="3">
        <f t="shared" si="504"/>
        <v>21</v>
      </c>
      <c r="N2041" s="3" t="str">
        <f t="shared" si="505"/>
        <v>09</v>
      </c>
      <c r="O2041" s="14">
        <f t="shared" si="505"/>
        <v>21</v>
      </c>
      <c r="P2041" s="127">
        <v>149600</v>
      </c>
      <c r="R2041" s="6">
        <v>513</v>
      </c>
      <c r="S2041" s="5">
        <f t="shared" si="500"/>
        <v>291.61793372319687</v>
      </c>
      <c r="T2041" s="28" t="s">
        <v>803</v>
      </c>
      <c r="V2041" s="3" t="s">
        <v>5</v>
      </c>
    </row>
    <row r="2042" spans="1:23">
      <c r="A2042" s="3">
        <v>2025</v>
      </c>
      <c r="B2042" s="1">
        <f t="shared" si="497"/>
        <v>0</v>
      </c>
      <c r="C2042" s="1">
        <f t="shared" si="498"/>
        <v>0</v>
      </c>
      <c r="D2042" s="1">
        <f t="shared" si="506"/>
        <v>0</v>
      </c>
      <c r="E2042" s="1">
        <f t="shared" si="507"/>
        <v>1</v>
      </c>
      <c r="F2042" s="1">
        <f t="shared" si="507"/>
        <v>0</v>
      </c>
      <c r="G2042" s="1" t="str">
        <f t="shared" si="508"/>
        <v>24092118</v>
      </c>
      <c r="H2042" s="2">
        <v>45556</v>
      </c>
      <c r="I2042" s="36">
        <v>18</v>
      </c>
      <c r="J2042" s="1">
        <f t="shared" si="501"/>
        <v>18</v>
      </c>
      <c r="K2042" s="3">
        <f t="shared" si="502"/>
        <v>24</v>
      </c>
      <c r="L2042" s="3">
        <f t="shared" si="503"/>
        <v>9</v>
      </c>
      <c r="M2042" s="3">
        <f t="shared" si="504"/>
        <v>21</v>
      </c>
      <c r="N2042" s="3" t="str">
        <f t="shared" si="505"/>
        <v>09</v>
      </c>
      <c r="O2042" s="14">
        <f t="shared" si="505"/>
        <v>21</v>
      </c>
      <c r="P2042" s="127">
        <v>252000</v>
      </c>
      <c r="R2042" s="6">
        <v>513</v>
      </c>
      <c r="S2042" s="5">
        <f t="shared" si="500"/>
        <v>491.22807017543857</v>
      </c>
      <c r="T2042" s="28" t="s">
        <v>804</v>
      </c>
      <c r="V2042" s="3" t="s">
        <v>5</v>
      </c>
    </row>
    <row r="2043" spans="1:23">
      <c r="A2043" s="3">
        <v>2026</v>
      </c>
      <c r="B2043" s="1">
        <f t="shared" si="497"/>
        <v>0</v>
      </c>
      <c r="C2043" s="1">
        <f t="shared" si="498"/>
        <v>0</v>
      </c>
      <c r="D2043" s="1">
        <f t="shared" si="506"/>
        <v>0</v>
      </c>
      <c r="E2043" s="1">
        <f t="shared" si="507"/>
        <v>1</v>
      </c>
      <c r="F2043" s="1">
        <f t="shared" si="507"/>
        <v>0</v>
      </c>
      <c r="G2043" s="1" t="str">
        <f t="shared" si="508"/>
        <v>24092119</v>
      </c>
      <c r="H2043" s="2">
        <v>45556</v>
      </c>
      <c r="I2043" s="36">
        <v>19</v>
      </c>
      <c r="J2043" s="1">
        <f t="shared" si="501"/>
        <v>19</v>
      </c>
      <c r="K2043" s="3">
        <f t="shared" si="502"/>
        <v>24</v>
      </c>
      <c r="L2043" s="3">
        <f t="shared" si="503"/>
        <v>9</v>
      </c>
      <c r="M2043" s="3">
        <f t="shared" si="504"/>
        <v>21</v>
      </c>
      <c r="N2043" s="3" t="str">
        <f t="shared" si="505"/>
        <v>09</v>
      </c>
      <c r="O2043" s="14">
        <f t="shared" si="505"/>
        <v>21</v>
      </c>
      <c r="P2043" s="127">
        <v>22000</v>
      </c>
      <c r="R2043" s="6">
        <v>513</v>
      </c>
      <c r="S2043" s="5">
        <f t="shared" si="500"/>
        <v>42.884990253411303</v>
      </c>
      <c r="T2043" s="28" t="s">
        <v>749</v>
      </c>
      <c r="V2043" s="3" t="s">
        <v>5</v>
      </c>
    </row>
    <row r="2044" spans="1:23">
      <c r="A2044" s="3">
        <v>2027</v>
      </c>
      <c r="B2044" s="1">
        <f t="shared" si="497"/>
        <v>0</v>
      </c>
      <c r="C2044" s="1">
        <f t="shared" si="498"/>
        <v>0</v>
      </c>
      <c r="D2044" s="1">
        <f t="shared" si="506"/>
        <v>0</v>
      </c>
      <c r="E2044" s="1">
        <f t="shared" si="507"/>
        <v>1</v>
      </c>
      <c r="F2044" s="1">
        <f t="shared" si="507"/>
        <v>0</v>
      </c>
      <c r="G2044" s="1" t="str">
        <f t="shared" si="508"/>
        <v>24092120</v>
      </c>
      <c r="H2044" s="2">
        <v>45556</v>
      </c>
      <c r="I2044" s="36">
        <v>20</v>
      </c>
      <c r="J2044" s="1">
        <f t="shared" si="501"/>
        <v>20</v>
      </c>
      <c r="K2044" s="3">
        <f t="shared" si="502"/>
        <v>24</v>
      </c>
      <c r="L2044" s="3">
        <f t="shared" si="503"/>
        <v>9</v>
      </c>
      <c r="M2044" s="3">
        <f t="shared" si="504"/>
        <v>21</v>
      </c>
      <c r="N2044" s="3" t="str">
        <f t="shared" si="505"/>
        <v>09</v>
      </c>
      <c r="O2044" s="14">
        <f t="shared" si="505"/>
        <v>21</v>
      </c>
      <c r="P2044" s="127">
        <v>42000</v>
      </c>
      <c r="R2044" s="6">
        <v>513</v>
      </c>
      <c r="S2044" s="5">
        <f t="shared" si="500"/>
        <v>81.871345029239762</v>
      </c>
      <c r="T2044" s="28" t="s">
        <v>809</v>
      </c>
      <c r="V2044" s="3" t="s">
        <v>5</v>
      </c>
    </row>
    <row r="2045" spans="1:23">
      <c r="A2045" s="3">
        <v>2028</v>
      </c>
      <c r="B2045" s="1">
        <f t="shared" si="497"/>
        <v>0</v>
      </c>
      <c r="C2045" s="1">
        <f t="shared" si="498"/>
        <v>0</v>
      </c>
      <c r="D2045" s="1">
        <f t="shared" si="506"/>
        <v>0</v>
      </c>
      <c r="E2045" s="1">
        <f t="shared" si="507"/>
        <v>1</v>
      </c>
      <c r="F2045" s="1">
        <f t="shared" si="507"/>
        <v>0</v>
      </c>
      <c r="G2045" s="1" t="str">
        <f t="shared" si="508"/>
        <v>24092121</v>
      </c>
      <c r="H2045" s="2">
        <v>45556</v>
      </c>
      <c r="I2045" s="36">
        <v>21</v>
      </c>
      <c r="J2045" s="1">
        <f t="shared" si="501"/>
        <v>21</v>
      </c>
      <c r="K2045" s="3">
        <f t="shared" si="502"/>
        <v>24</v>
      </c>
      <c r="L2045" s="3">
        <f t="shared" si="503"/>
        <v>9</v>
      </c>
      <c r="M2045" s="3">
        <f t="shared" si="504"/>
        <v>21</v>
      </c>
      <c r="N2045" s="3" t="str">
        <f t="shared" si="505"/>
        <v>09</v>
      </c>
      <c r="O2045" s="14">
        <f t="shared" si="505"/>
        <v>21</v>
      </c>
      <c r="P2045" s="127">
        <v>90000</v>
      </c>
      <c r="R2045" s="6">
        <v>513</v>
      </c>
      <c r="S2045" s="5">
        <f t="shared" si="500"/>
        <v>175.43859649122808</v>
      </c>
      <c r="T2045" s="28" t="s">
        <v>805</v>
      </c>
      <c r="V2045" s="3" t="s">
        <v>5</v>
      </c>
      <c r="W2045" s="3" t="s">
        <v>817</v>
      </c>
    </row>
    <row r="2046" spans="1:23">
      <c r="A2046" s="3">
        <v>2029</v>
      </c>
      <c r="B2046" s="1">
        <f t="shared" si="497"/>
        <v>0</v>
      </c>
      <c r="C2046" s="1">
        <f t="shared" si="498"/>
        <v>0</v>
      </c>
      <c r="D2046" s="1">
        <f t="shared" si="506"/>
        <v>0</v>
      </c>
      <c r="E2046" s="1">
        <f t="shared" si="507"/>
        <v>1</v>
      </c>
      <c r="F2046" s="1">
        <f t="shared" si="507"/>
        <v>0</v>
      </c>
      <c r="G2046" s="1" t="str">
        <f t="shared" si="508"/>
        <v>24092122</v>
      </c>
      <c r="H2046" s="2">
        <v>45556</v>
      </c>
      <c r="I2046" s="36">
        <v>22</v>
      </c>
      <c r="J2046" s="1">
        <f t="shared" si="501"/>
        <v>22</v>
      </c>
      <c r="K2046" s="3">
        <f t="shared" si="502"/>
        <v>24</v>
      </c>
      <c r="L2046" s="3">
        <f t="shared" si="503"/>
        <v>9</v>
      </c>
      <c r="M2046" s="3">
        <f t="shared" si="504"/>
        <v>21</v>
      </c>
      <c r="N2046" s="3" t="str">
        <f t="shared" si="505"/>
        <v>09</v>
      </c>
      <c r="O2046" s="14">
        <f t="shared" si="505"/>
        <v>21</v>
      </c>
      <c r="P2046" s="33">
        <v>30000</v>
      </c>
      <c r="R2046" s="6">
        <v>513</v>
      </c>
      <c r="S2046" s="5">
        <f t="shared" si="500"/>
        <v>58.479532163742689</v>
      </c>
      <c r="T2046" s="28" t="s">
        <v>806</v>
      </c>
      <c r="V2046" s="3" t="s">
        <v>5</v>
      </c>
    </row>
    <row r="2047" spans="1:23">
      <c r="A2047" s="3">
        <v>2030</v>
      </c>
      <c r="B2047" s="1">
        <f t="shared" si="497"/>
        <v>0</v>
      </c>
      <c r="C2047" s="1">
        <f t="shared" si="498"/>
        <v>0</v>
      </c>
      <c r="D2047" s="1">
        <f t="shared" si="506"/>
        <v>0</v>
      </c>
      <c r="E2047" s="1">
        <f t="shared" si="507"/>
        <v>1</v>
      </c>
      <c r="F2047" s="1">
        <f t="shared" si="507"/>
        <v>0</v>
      </c>
      <c r="G2047" s="1" t="str">
        <f t="shared" si="508"/>
        <v>24092123</v>
      </c>
      <c r="H2047" s="2">
        <v>45556</v>
      </c>
      <c r="I2047" s="36">
        <v>23</v>
      </c>
      <c r="J2047" s="1">
        <f t="shared" si="501"/>
        <v>23</v>
      </c>
      <c r="K2047" s="3">
        <f t="shared" si="502"/>
        <v>24</v>
      </c>
      <c r="L2047" s="3">
        <f t="shared" si="503"/>
        <v>9</v>
      </c>
      <c r="M2047" s="3">
        <f t="shared" si="504"/>
        <v>21</v>
      </c>
      <c r="N2047" s="3" t="str">
        <f t="shared" si="505"/>
        <v>09</v>
      </c>
      <c r="O2047" s="14">
        <f t="shared" si="505"/>
        <v>21</v>
      </c>
      <c r="P2047" s="33">
        <v>30000</v>
      </c>
      <c r="R2047" s="6">
        <v>513</v>
      </c>
      <c r="S2047" s="5">
        <f t="shared" si="500"/>
        <v>58.479532163742689</v>
      </c>
      <c r="T2047" s="28" t="s">
        <v>807</v>
      </c>
      <c r="V2047" s="3" t="s">
        <v>5</v>
      </c>
      <c r="W2047" s="3" t="s">
        <v>818</v>
      </c>
    </row>
    <row r="2048" spans="1:23" hidden="1">
      <c r="J2048" s="1" t="str">
        <f t="shared" si="501"/>
        <v>0</v>
      </c>
      <c r="K2048" s="3">
        <f t="shared" si="502"/>
        <v>-100</v>
      </c>
      <c r="L2048" s="3">
        <f t="shared" si="503"/>
        <v>1</v>
      </c>
      <c r="M2048" s="3">
        <f t="shared" si="504"/>
        <v>0</v>
      </c>
      <c r="N2048" s="3" t="str">
        <f t="shared" si="505"/>
        <v>01</v>
      </c>
      <c r="O2048" s="14" t="str">
        <f t="shared" si="505"/>
        <v>00</v>
      </c>
      <c r="R2048" s="6">
        <v>513</v>
      </c>
      <c r="S2048" s="5">
        <f t="shared" si="500"/>
        <v>0</v>
      </c>
    </row>
    <row r="2049" spans="1:23" hidden="1">
      <c r="J2049" s="1" t="str">
        <f t="shared" si="501"/>
        <v>0</v>
      </c>
      <c r="K2049" s="3">
        <f t="shared" si="502"/>
        <v>-100</v>
      </c>
      <c r="L2049" s="3">
        <f t="shared" si="503"/>
        <v>1</v>
      </c>
      <c r="M2049" s="3">
        <f t="shared" si="504"/>
        <v>0</v>
      </c>
      <c r="N2049" s="3" t="str">
        <f t="shared" si="505"/>
        <v>01</v>
      </c>
      <c r="O2049" s="14" t="str">
        <f t="shared" si="505"/>
        <v>00</v>
      </c>
      <c r="R2049" s="6">
        <v>513</v>
      </c>
      <c r="S2049" s="5">
        <f t="shared" si="500"/>
        <v>0</v>
      </c>
    </row>
    <row r="2050" spans="1:23">
      <c r="A2050" s="3">
        <v>2033</v>
      </c>
      <c r="B2050" s="1">
        <f t="shared" si="497"/>
        <v>0</v>
      </c>
      <c r="C2050" s="1">
        <f t="shared" si="498"/>
        <v>1</v>
      </c>
      <c r="D2050" s="1">
        <f t="shared" si="506"/>
        <v>0</v>
      </c>
      <c r="E2050" s="1">
        <f t="shared" si="507"/>
        <v>1</v>
      </c>
      <c r="F2050" s="1">
        <f t="shared" si="507"/>
        <v>0</v>
      </c>
      <c r="G2050" s="1" t="str">
        <f t="shared" si="508"/>
        <v>24092126</v>
      </c>
      <c r="H2050" s="2">
        <v>45556</v>
      </c>
      <c r="I2050" s="36">
        <v>26</v>
      </c>
      <c r="J2050" s="1">
        <f t="shared" si="501"/>
        <v>26</v>
      </c>
      <c r="K2050" s="3">
        <f t="shared" si="502"/>
        <v>24</v>
      </c>
      <c r="L2050" s="3">
        <f t="shared" si="503"/>
        <v>9</v>
      </c>
      <c r="M2050" s="3">
        <f t="shared" si="504"/>
        <v>21</v>
      </c>
      <c r="N2050" s="3" t="str">
        <f t="shared" si="505"/>
        <v>09</v>
      </c>
      <c r="O2050" s="14">
        <f t="shared" si="505"/>
        <v>21</v>
      </c>
      <c r="P2050" s="26">
        <f>9*3*527</f>
        <v>14229</v>
      </c>
      <c r="R2050" s="6">
        <v>513</v>
      </c>
      <c r="S2050" s="5">
        <f t="shared" si="500"/>
        <v>27.736842105263158</v>
      </c>
      <c r="T2050" s="72" t="s">
        <v>819</v>
      </c>
      <c r="V2050" s="3" t="s">
        <v>5</v>
      </c>
    </row>
    <row r="2051" spans="1:23" hidden="1">
      <c r="J2051" s="1" t="str">
        <f t="shared" si="501"/>
        <v>0</v>
      </c>
      <c r="K2051" s="3">
        <f t="shared" si="502"/>
        <v>-100</v>
      </c>
      <c r="L2051" s="3">
        <f t="shared" si="503"/>
        <v>1</v>
      </c>
      <c r="M2051" s="3">
        <f t="shared" si="504"/>
        <v>0</v>
      </c>
      <c r="N2051" s="3" t="str">
        <f t="shared" si="505"/>
        <v>01</v>
      </c>
      <c r="O2051" s="14" t="str">
        <f t="shared" si="505"/>
        <v>00</v>
      </c>
      <c r="R2051" s="6">
        <v>513</v>
      </c>
      <c r="S2051" s="5">
        <f t="shared" si="500"/>
        <v>0</v>
      </c>
    </row>
    <row r="2052" spans="1:23" hidden="1">
      <c r="J2052" s="1" t="str">
        <f t="shared" si="501"/>
        <v>0</v>
      </c>
      <c r="K2052" s="3">
        <f t="shared" si="502"/>
        <v>-100</v>
      </c>
      <c r="L2052" s="3">
        <f t="shared" si="503"/>
        <v>1</v>
      </c>
      <c r="M2052" s="3">
        <f t="shared" si="504"/>
        <v>0</v>
      </c>
      <c r="N2052" s="3" t="str">
        <f t="shared" si="505"/>
        <v>01</v>
      </c>
      <c r="O2052" s="14" t="str">
        <f t="shared" si="505"/>
        <v>00</v>
      </c>
      <c r="R2052" s="6">
        <v>513</v>
      </c>
      <c r="S2052" s="5">
        <f t="shared" si="500"/>
        <v>0</v>
      </c>
    </row>
    <row r="2053" spans="1:23" hidden="1">
      <c r="J2053" s="1" t="str">
        <f t="shared" si="501"/>
        <v>0</v>
      </c>
      <c r="K2053" s="3">
        <f t="shared" si="502"/>
        <v>-100</v>
      </c>
      <c r="L2053" s="3">
        <f t="shared" si="503"/>
        <v>1</v>
      </c>
      <c r="M2053" s="3">
        <f t="shared" si="504"/>
        <v>0</v>
      </c>
      <c r="N2053" s="3" t="str">
        <f t="shared" si="505"/>
        <v>01</v>
      </c>
      <c r="O2053" s="14" t="str">
        <f t="shared" si="505"/>
        <v>00</v>
      </c>
      <c r="R2053" s="6">
        <v>513</v>
      </c>
      <c r="S2053" s="5">
        <f t="shared" si="500"/>
        <v>0</v>
      </c>
    </row>
    <row r="2054" spans="1:23">
      <c r="A2054" s="3">
        <v>2037</v>
      </c>
      <c r="B2054" s="1">
        <f t="shared" si="497"/>
        <v>0</v>
      </c>
      <c r="C2054" s="1">
        <f t="shared" si="498"/>
        <v>1</v>
      </c>
      <c r="D2054" s="1">
        <f t="shared" si="506"/>
        <v>0</v>
      </c>
      <c r="E2054" s="1">
        <f t="shared" si="507"/>
        <v>0</v>
      </c>
      <c r="F2054" s="1">
        <f t="shared" si="507"/>
        <v>0</v>
      </c>
      <c r="G2054" s="1" t="str">
        <f t="shared" si="508"/>
        <v>24092204</v>
      </c>
      <c r="H2054" s="2">
        <v>45557</v>
      </c>
      <c r="I2054" s="36">
        <v>4</v>
      </c>
      <c r="J2054" s="1" t="str">
        <f t="shared" si="501"/>
        <v>04</v>
      </c>
      <c r="K2054" s="3">
        <f t="shared" si="502"/>
        <v>24</v>
      </c>
      <c r="L2054" s="3">
        <f t="shared" si="503"/>
        <v>9</v>
      </c>
      <c r="M2054" s="3">
        <f t="shared" si="504"/>
        <v>22</v>
      </c>
      <c r="N2054" s="3" t="str">
        <f t="shared" si="505"/>
        <v>09</v>
      </c>
      <c r="O2054" s="14">
        <f t="shared" si="505"/>
        <v>22</v>
      </c>
      <c r="P2054" s="4">
        <v>10000</v>
      </c>
      <c r="R2054" s="6">
        <v>513</v>
      </c>
      <c r="S2054" s="5">
        <f t="shared" si="500"/>
        <v>19.49317738791423</v>
      </c>
      <c r="T2054" s="5" t="s">
        <v>448</v>
      </c>
      <c r="U2054" s="3" t="s">
        <v>29</v>
      </c>
      <c r="V2054" s="3" t="s">
        <v>5</v>
      </c>
    </row>
    <row r="2055" spans="1:23" hidden="1">
      <c r="J2055" s="1" t="str">
        <f t="shared" si="501"/>
        <v>0</v>
      </c>
      <c r="K2055" s="3">
        <f t="shared" si="502"/>
        <v>-100</v>
      </c>
      <c r="L2055" s="3">
        <f t="shared" si="503"/>
        <v>1</v>
      </c>
      <c r="M2055" s="3">
        <f t="shared" si="504"/>
        <v>0</v>
      </c>
      <c r="N2055" s="3" t="str">
        <f t="shared" si="505"/>
        <v>01</v>
      </c>
      <c r="O2055" s="14" t="str">
        <f t="shared" si="505"/>
        <v>00</v>
      </c>
      <c r="R2055" s="6">
        <v>513</v>
      </c>
      <c r="S2055" s="5">
        <f t="shared" si="500"/>
        <v>0</v>
      </c>
    </row>
    <row r="2056" spans="1:23" hidden="1">
      <c r="J2056" s="1" t="str">
        <f t="shared" si="501"/>
        <v>0</v>
      </c>
      <c r="K2056" s="3">
        <f t="shared" si="502"/>
        <v>-100</v>
      </c>
      <c r="L2056" s="3">
        <f t="shared" si="503"/>
        <v>1</v>
      </c>
      <c r="M2056" s="3">
        <f t="shared" si="504"/>
        <v>0</v>
      </c>
      <c r="N2056" s="3" t="str">
        <f t="shared" si="505"/>
        <v>01</v>
      </c>
      <c r="O2056" s="14" t="str">
        <f t="shared" si="505"/>
        <v>00</v>
      </c>
      <c r="R2056" s="6">
        <v>513</v>
      </c>
      <c r="S2056" s="5">
        <f t="shared" si="500"/>
        <v>0</v>
      </c>
    </row>
    <row r="2057" spans="1:23" hidden="1">
      <c r="J2057" s="1" t="str">
        <f t="shared" si="501"/>
        <v>0</v>
      </c>
      <c r="K2057" s="3">
        <f t="shared" si="502"/>
        <v>-100</v>
      </c>
      <c r="L2057" s="3">
        <f t="shared" si="503"/>
        <v>1</v>
      </c>
      <c r="M2057" s="3">
        <f t="shared" si="504"/>
        <v>0</v>
      </c>
      <c r="N2057" s="3" t="str">
        <f t="shared" si="505"/>
        <v>01</v>
      </c>
      <c r="O2057" s="14" t="str">
        <f t="shared" si="505"/>
        <v>00</v>
      </c>
      <c r="R2057" s="6">
        <v>513</v>
      </c>
      <c r="S2057" s="5">
        <f t="shared" si="500"/>
        <v>0</v>
      </c>
    </row>
    <row r="2058" spans="1:23" hidden="1">
      <c r="J2058" s="1" t="str">
        <f t="shared" si="501"/>
        <v>0</v>
      </c>
      <c r="K2058" s="3">
        <f t="shared" si="502"/>
        <v>-100</v>
      </c>
      <c r="L2058" s="3">
        <f t="shared" si="503"/>
        <v>1</v>
      </c>
      <c r="M2058" s="3">
        <f t="shared" si="504"/>
        <v>0</v>
      </c>
      <c r="N2058" s="3" t="str">
        <f t="shared" si="505"/>
        <v>01</v>
      </c>
      <c r="O2058" s="14" t="str">
        <f t="shared" si="505"/>
        <v>00</v>
      </c>
      <c r="R2058" s="6">
        <v>512</v>
      </c>
      <c r="S2058" s="5">
        <f t="shared" si="500"/>
        <v>0</v>
      </c>
    </row>
    <row r="2059" spans="1:23" hidden="1">
      <c r="J2059" s="1" t="str">
        <f t="shared" si="501"/>
        <v>0</v>
      </c>
      <c r="K2059" s="3">
        <f t="shared" si="502"/>
        <v>-100</v>
      </c>
      <c r="L2059" s="3">
        <f t="shared" si="503"/>
        <v>1</v>
      </c>
      <c r="M2059" s="3">
        <f t="shared" si="504"/>
        <v>0</v>
      </c>
      <c r="N2059" s="3" t="str">
        <f t="shared" si="505"/>
        <v>01</v>
      </c>
      <c r="O2059" s="14" t="str">
        <f t="shared" si="505"/>
        <v>00</v>
      </c>
      <c r="R2059" s="6">
        <v>512</v>
      </c>
      <c r="S2059" s="5">
        <f t="shared" si="500"/>
        <v>0</v>
      </c>
    </row>
    <row r="2060" spans="1:23" hidden="1">
      <c r="J2060" s="1" t="str">
        <f t="shared" si="501"/>
        <v>0</v>
      </c>
      <c r="K2060" s="3">
        <f t="shared" si="502"/>
        <v>-100</v>
      </c>
      <c r="L2060" s="3">
        <f t="shared" si="503"/>
        <v>1</v>
      </c>
      <c r="M2060" s="3">
        <f t="shared" si="504"/>
        <v>0</v>
      </c>
      <c r="N2060" s="3" t="str">
        <f t="shared" si="505"/>
        <v>01</v>
      </c>
      <c r="O2060" s="14" t="str">
        <f t="shared" si="505"/>
        <v>00</v>
      </c>
      <c r="R2060" s="6">
        <v>512</v>
      </c>
      <c r="S2060" s="5">
        <f t="shared" si="500"/>
        <v>0</v>
      </c>
    </row>
    <row r="2061" spans="1:23">
      <c r="A2061" s="3">
        <v>2044</v>
      </c>
      <c r="B2061" s="1">
        <f t="shared" si="497"/>
        <v>0</v>
      </c>
      <c r="C2061" s="1">
        <f t="shared" si="498"/>
        <v>1</v>
      </c>
      <c r="D2061" s="1">
        <f t="shared" si="506"/>
        <v>0</v>
      </c>
      <c r="E2061" s="1">
        <f t="shared" si="507"/>
        <v>0</v>
      </c>
      <c r="F2061" s="1">
        <f t="shared" si="507"/>
        <v>0</v>
      </c>
      <c r="G2061" s="1" t="str">
        <f t="shared" si="508"/>
        <v>24092304</v>
      </c>
      <c r="H2061" s="2">
        <v>45558</v>
      </c>
      <c r="I2061" s="36">
        <v>4</v>
      </c>
      <c r="J2061" s="1" t="str">
        <f t="shared" si="501"/>
        <v>04</v>
      </c>
      <c r="K2061" s="3">
        <f t="shared" si="502"/>
        <v>24</v>
      </c>
      <c r="L2061" s="3">
        <f t="shared" si="503"/>
        <v>9</v>
      </c>
      <c r="M2061" s="3">
        <f t="shared" si="504"/>
        <v>23</v>
      </c>
      <c r="N2061" s="3" t="str">
        <f t="shared" si="505"/>
        <v>09</v>
      </c>
      <c r="O2061" s="14">
        <f t="shared" si="505"/>
        <v>23</v>
      </c>
      <c r="P2061" s="4">
        <v>446929.76</v>
      </c>
      <c r="R2061" s="6">
        <v>512</v>
      </c>
      <c r="S2061" s="5">
        <f t="shared" si="500"/>
        <v>872.90968750000002</v>
      </c>
      <c r="T2061" s="5" t="s">
        <v>845</v>
      </c>
      <c r="U2061" s="3" t="s">
        <v>1</v>
      </c>
      <c r="V2061" s="3" t="s">
        <v>5</v>
      </c>
      <c r="W2061" s="3" t="s">
        <v>1068</v>
      </c>
    </row>
    <row r="2062" spans="1:23">
      <c r="A2062" s="3">
        <v>2045</v>
      </c>
      <c r="B2062" s="1">
        <f t="shared" si="497"/>
        <v>0</v>
      </c>
      <c r="C2062" s="1">
        <f t="shared" si="498"/>
        <v>0</v>
      </c>
      <c r="D2062" s="1">
        <f t="shared" si="506"/>
        <v>0</v>
      </c>
      <c r="E2062" s="1">
        <f t="shared" si="507"/>
        <v>1</v>
      </c>
      <c r="F2062" s="1">
        <f t="shared" si="507"/>
        <v>0</v>
      </c>
      <c r="G2062" s="1" t="str">
        <f t="shared" si="508"/>
        <v>24092305</v>
      </c>
      <c r="H2062" s="2">
        <v>45558</v>
      </c>
      <c r="I2062" s="36">
        <v>5</v>
      </c>
      <c r="J2062" s="1" t="str">
        <f t="shared" si="501"/>
        <v>05</v>
      </c>
      <c r="K2062" s="3">
        <f t="shared" si="502"/>
        <v>24</v>
      </c>
      <c r="L2062" s="3">
        <f t="shared" si="503"/>
        <v>9</v>
      </c>
      <c r="M2062" s="3">
        <f t="shared" si="504"/>
        <v>23</v>
      </c>
      <c r="N2062" s="3" t="str">
        <f t="shared" si="505"/>
        <v>09</v>
      </c>
      <c r="O2062" s="14">
        <f t="shared" si="505"/>
        <v>23</v>
      </c>
      <c r="Q2062" s="5">
        <v>339</v>
      </c>
      <c r="T2062" s="5" t="s">
        <v>1025</v>
      </c>
      <c r="V2062" s="3" t="s">
        <v>5</v>
      </c>
    </row>
    <row r="2063" spans="1:23" hidden="1">
      <c r="J2063" s="1" t="str">
        <f t="shared" si="501"/>
        <v>0</v>
      </c>
      <c r="K2063" s="3">
        <f t="shared" si="502"/>
        <v>-100</v>
      </c>
      <c r="L2063" s="3">
        <f t="shared" si="503"/>
        <v>1</v>
      </c>
      <c r="M2063" s="3">
        <f t="shared" si="504"/>
        <v>0</v>
      </c>
      <c r="N2063" s="3" t="str">
        <f t="shared" si="505"/>
        <v>01</v>
      </c>
      <c r="O2063" s="14" t="str">
        <f t="shared" si="505"/>
        <v>00</v>
      </c>
      <c r="R2063" s="6">
        <v>512</v>
      </c>
      <c r="S2063" s="5">
        <f t="shared" ref="S2063:S2082" si="509">IFERROR(P2063/R2063,"")</f>
        <v>0</v>
      </c>
    </row>
    <row r="2064" spans="1:23" hidden="1">
      <c r="J2064" s="1" t="str">
        <f t="shared" si="501"/>
        <v>0</v>
      </c>
      <c r="K2064" s="3">
        <f t="shared" si="502"/>
        <v>-100</v>
      </c>
      <c r="L2064" s="3">
        <f t="shared" si="503"/>
        <v>1</v>
      </c>
      <c r="M2064" s="3">
        <f t="shared" si="504"/>
        <v>0</v>
      </c>
      <c r="N2064" s="3" t="str">
        <f t="shared" si="505"/>
        <v>01</v>
      </c>
      <c r="O2064" s="14" t="str">
        <f t="shared" si="505"/>
        <v>00</v>
      </c>
      <c r="R2064" s="6">
        <v>512</v>
      </c>
      <c r="S2064" s="5">
        <f t="shared" si="509"/>
        <v>0</v>
      </c>
    </row>
    <row r="2065" spans="1:22" hidden="1">
      <c r="J2065" s="1" t="str">
        <f t="shared" si="501"/>
        <v>0</v>
      </c>
      <c r="K2065" s="3">
        <f t="shared" si="502"/>
        <v>-100</v>
      </c>
      <c r="L2065" s="3">
        <f t="shared" si="503"/>
        <v>1</v>
      </c>
      <c r="M2065" s="3">
        <f t="shared" si="504"/>
        <v>0</v>
      </c>
      <c r="N2065" s="3" t="str">
        <f t="shared" si="505"/>
        <v>01</v>
      </c>
      <c r="O2065" s="14" t="str">
        <f t="shared" si="505"/>
        <v>00</v>
      </c>
      <c r="R2065" s="6">
        <v>512</v>
      </c>
      <c r="S2065" s="5">
        <f t="shared" si="509"/>
        <v>0</v>
      </c>
    </row>
    <row r="2066" spans="1:22">
      <c r="A2066" s="3">
        <v>2049</v>
      </c>
      <c r="B2066" s="1">
        <f t="shared" si="497"/>
        <v>0</v>
      </c>
      <c r="C2066" s="1">
        <f t="shared" si="498"/>
        <v>1</v>
      </c>
      <c r="D2066" s="1">
        <f t="shared" si="506"/>
        <v>0</v>
      </c>
      <c r="E2066" s="1">
        <f t="shared" ref="E2066:F2089" si="510">IF(U2066="",1,0)</f>
        <v>0</v>
      </c>
      <c r="F2066" s="1">
        <f t="shared" si="510"/>
        <v>0</v>
      </c>
      <c r="G2066" s="1" t="str">
        <f t="shared" si="508"/>
        <v>24092404</v>
      </c>
      <c r="H2066" s="2">
        <v>45559</v>
      </c>
      <c r="I2066" s="36">
        <v>4</v>
      </c>
      <c r="J2066" s="1" t="str">
        <f t="shared" si="501"/>
        <v>04</v>
      </c>
      <c r="K2066" s="3">
        <f t="shared" si="502"/>
        <v>24</v>
      </c>
      <c r="L2066" s="3">
        <f t="shared" si="503"/>
        <v>9</v>
      </c>
      <c r="M2066" s="3">
        <f t="shared" si="504"/>
        <v>24</v>
      </c>
      <c r="N2066" s="3" t="str">
        <f t="shared" si="505"/>
        <v>09</v>
      </c>
      <c r="O2066" s="14">
        <f t="shared" si="505"/>
        <v>24</v>
      </c>
      <c r="P2066" s="4">
        <v>200000</v>
      </c>
      <c r="R2066" s="6">
        <v>512</v>
      </c>
      <c r="S2066" s="5">
        <f t="shared" si="509"/>
        <v>390.625</v>
      </c>
      <c r="T2066" s="5" t="s">
        <v>871</v>
      </c>
      <c r="U2066" s="3" t="s">
        <v>2</v>
      </c>
      <c r="V2066" s="3" t="s">
        <v>5</v>
      </c>
    </row>
    <row r="2067" spans="1:22" hidden="1">
      <c r="J2067" s="1" t="str">
        <f t="shared" si="501"/>
        <v>0</v>
      </c>
      <c r="K2067" s="3">
        <f t="shared" si="502"/>
        <v>-100</v>
      </c>
      <c r="L2067" s="3">
        <f t="shared" si="503"/>
        <v>1</v>
      </c>
      <c r="M2067" s="3">
        <f t="shared" si="504"/>
        <v>0</v>
      </c>
      <c r="N2067" s="3" t="str">
        <f t="shared" si="505"/>
        <v>01</v>
      </c>
      <c r="O2067" s="14" t="str">
        <f t="shared" si="505"/>
        <v>00</v>
      </c>
      <c r="R2067" s="6">
        <v>512</v>
      </c>
      <c r="S2067" s="5">
        <f t="shared" si="509"/>
        <v>0</v>
      </c>
    </row>
    <row r="2068" spans="1:22" hidden="1">
      <c r="J2068" s="1" t="str">
        <f t="shared" si="501"/>
        <v>0</v>
      </c>
      <c r="K2068" s="3">
        <f t="shared" si="502"/>
        <v>-100</v>
      </c>
      <c r="L2068" s="3">
        <f t="shared" si="503"/>
        <v>1</v>
      </c>
      <c r="M2068" s="3">
        <f t="shared" si="504"/>
        <v>0</v>
      </c>
      <c r="N2068" s="3" t="str">
        <f t="shared" si="505"/>
        <v>01</v>
      </c>
      <c r="O2068" s="14" t="str">
        <f t="shared" si="505"/>
        <v>00</v>
      </c>
      <c r="R2068" s="6">
        <v>512</v>
      </c>
      <c r="S2068" s="5">
        <f t="shared" si="509"/>
        <v>0</v>
      </c>
    </row>
    <row r="2069" spans="1:22" hidden="1">
      <c r="J2069" s="1" t="str">
        <f t="shared" si="501"/>
        <v>0</v>
      </c>
      <c r="K2069" s="3">
        <f t="shared" si="502"/>
        <v>-100</v>
      </c>
      <c r="L2069" s="3">
        <f t="shared" si="503"/>
        <v>1</v>
      </c>
      <c r="M2069" s="3">
        <f t="shared" si="504"/>
        <v>0</v>
      </c>
      <c r="N2069" s="3" t="str">
        <f t="shared" si="505"/>
        <v>01</v>
      </c>
      <c r="O2069" s="14" t="str">
        <f t="shared" si="505"/>
        <v>00</v>
      </c>
      <c r="R2069" s="6">
        <v>512</v>
      </c>
      <c r="S2069" s="5">
        <f t="shared" si="509"/>
        <v>0</v>
      </c>
    </row>
    <row r="2070" spans="1:22" hidden="1">
      <c r="J2070" s="1" t="str">
        <f t="shared" si="501"/>
        <v>0</v>
      </c>
      <c r="K2070" s="3">
        <f t="shared" si="502"/>
        <v>-100</v>
      </c>
      <c r="L2070" s="3">
        <f t="shared" si="503"/>
        <v>1</v>
      </c>
      <c r="M2070" s="3">
        <f t="shared" si="504"/>
        <v>0</v>
      </c>
      <c r="N2070" s="3" t="str">
        <f t="shared" si="505"/>
        <v>01</v>
      </c>
      <c r="O2070" s="14" t="str">
        <f t="shared" si="505"/>
        <v>00</v>
      </c>
      <c r="R2070" s="6">
        <v>512</v>
      </c>
      <c r="S2070" s="5">
        <f t="shared" si="509"/>
        <v>0</v>
      </c>
    </row>
    <row r="2071" spans="1:22" hidden="1">
      <c r="J2071" s="1" t="str">
        <f t="shared" si="501"/>
        <v>0</v>
      </c>
      <c r="K2071" s="3">
        <f t="shared" si="502"/>
        <v>-100</v>
      </c>
      <c r="L2071" s="3">
        <f t="shared" si="503"/>
        <v>1</v>
      </c>
      <c r="M2071" s="3">
        <f t="shared" si="504"/>
        <v>0</v>
      </c>
      <c r="N2071" s="3" t="str">
        <f t="shared" si="505"/>
        <v>01</v>
      </c>
      <c r="O2071" s="14" t="str">
        <f t="shared" si="505"/>
        <v>00</v>
      </c>
      <c r="R2071" s="6">
        <v>512</v>
      </c>
      <c r="S2071" s="5">
        <f t="shared" si="509"/>
        <v>0</v>
      </c>
    </row>
    <row r="2072" spans="1:22" hidden="1">
      <c r="J2072" s="1" t="str">
        <f t="shared" si="501"/>
        <v>0</v>
      </c>
      <c r="K2072" s="3">
        <f t="shared" si="502"/>
        <v>-100</v>
      </c>
      <c r="L2072" s="3">
        <f t="shared" si="503"/>
        <v>1</v>
      </c>
      <c r="M2072" s="3">
        <f t="shared" si="504"/>
        <v>0</v>
      </c>
      <c r="N2072" s="3" t="str">
        <f t="shared" si="505"/>
        <v>01</v>
      </c>
      <c r="O2072" s="14" t="str">
        <f t="shared" si="505"/>
        <v>00</v>
      </c>
      <c r="R2072" s="6">
        <v>512</v>
      </c>
      <c r="S2072" s="5">
        <f t="shared" si="509"/>
        <v>0</v>
      </c>
    </row>
    <row r="2073" spans="1:22" hidden="1">
      <c r="J2073" s="1" t="str">
        <f t="shared" si="501"/>
        <v>0</v>
      </c>
      <c r="K2073" s="3">
        <f t="shared" si="502"/>
        <v>-100</v>
      </c>
      <c r="L2073" s="3">
        <f t="shared" si="503"/>
        <v>1</v>
      </c>
      <c r="M2073" s="3">
        <f t="shared" si="504"/>
        <v>0</v>
      </c>
      <c r="N2073" s="3" t="str">
        <f t="shared" si="505"/>
        <v>01</v>
      </c>
      <c r="O2073" s="14" t="str">
        <f t="shared" si="505"/>
        <v>00</v>
      </c>
      <c r="R2073" s="6">
        <v>512</v>
      </c>
      <c r="S2073" s="5">
        <f t="shared" si="509"/>
        <v>0</v>
      </c>
    </row>
    <row r="2074" spans="1:22">
      <c r="A2074" s="3">
        <v>2057</v>
      </c>
      <c r="B2074" s="1">
        <f t="shared" ref="B2074:B2089" si="511">IF(G2074="-",0,IF(G2073=G2074,1,0))</f>
        <v>0</v>
      </c>
      <c r="C2074" s="1">
        <f t="shared" ref="C2074:C2089" si="512">+IF(G2074="-",0,IF(I2074=I2073+1,0,(IF(I2074=1,0,1))))</f>
        <v>0</v>
      </c>
      <c r="D2074" s="1">
        <f t="shared" si="506"/>
        <v>0</v>
      </c>
      <c r="E2074" s="1">
        <f t="shared" si="510"/>
        <v>0</v>
      </c>
      <c r="F2074" s="1">
        <f t="shared" si="510"/>
        <v>0</v>
      </c>
      <c r="G2074" s="1" t="str">
        <f t="shared" si="508"/>
        <v>24092501</v>
      </c>
      <c r="H2074" s="2">
        <v>45560</v>
      </c>
      <c r="I2074" s="36">
        <v>1</v>
      </c>
      <c r="J2074" s="1" t="str">
        <f t="shared" si="501"/>
        <v>01</v>
      </c>
      <c r="K2074" s="3">
        <f t="shared" si="502"/>
        <v>24</v>
      </c>
      <c r="L2074" s="3">
        <f t="shared" si="503"/>
        <v>9</v>
      </c>
      <c r="M2074" s="3">
        <f t="shared" si="504"/>
        <v>25</v>
      </c>
      <c r="N2074" s="3" t="str">
        <f t="shared" si="505"/>
        <v>09</v>
      </c>
      <c r="O2074" s="14">
        <f t="shared" si="505"/>
        <v>25</v>
      </c>
      <c r="P2074" s="4">
        <v>11512.44</v>
      </c>
      <c r="R2074" s="6">
        <v>511</v>
      </c>
      <c r="S2074" s="5">
        <f t="shared" si="509"/>
        <v>22.529236790606653</v>
      </c>
      <c r="T2074" s="5" t="s">
        <v>1037</v>
      </c>
      <c r="U2074" s="3" t="s">
        <v>29</v>
      </c>
      <c r="V2074" s="3" t="s">
        <v>5</v>
      </c>
    </row>
    <row r="2075" spans="1:22">
      <c r="A2075" s="3">
        <v>2058</v>
      </c>
      <c r="B2075" s="1">
        <f t="shared" si="511"/>
        <v>0</v>
      </c>
      <c r="C2075" s="1">
        <f t="shared" si="512"/>
        <v>0</v>
      </c>
      <c r="D2075" s="1">
        <f t="shared" si="506"/>
        <v>0</v>
      </c>
      <c r="E2075" s="1">
        <f t="shared" si="510"/>
        <v>0</v>
      </c>
      <c r="F2075" s="1">
        <f t="shared" si="510"/>
        <v>0</v>
      </c>
      <c r="G2075" s="1" t="str">
        <f t="shared" si="508"/>
        <v>24092502</v>
      </c>
      <c r="H2075" s="2">
        <v>45560</v>
      </c>
      <c r="I2075" s="36">
        <v>2</v>
      </c>
      <c r="J2075" s="1" t="str">
        <f t="shared" si="501"/>
        <v>02</v>
      </c>
      <c r="K2075" s="3">
        <f t="shared" si="502"/>
        <v>24</v>
      </c>
      <c r="L2075" s="3">
        <f t="shared" si="503"/>
        <v>9</v>
      </c>
      <c r="M2075" s="3">
        <f t="shared" si="504"/>
        <v>25</v>
      </c>
      <c r="N2075" s="3" t="str">
        <f t="shared" si="505"/>
        <v>09</v>
      </c>
      <c r="O2075" s="14">
        <f t="shared" si="505"/>
        <v>25</v>
      </c>
      <c r="P2075" s="4">
        <v>2064.5100000000002</v>
      </c>
      <c r="R2075" s="6">
        <v>511</v>
      </c>
      <c r="S2075" s="5">
        <f t="shared" si="509"/>
        <v>4.0401369863013699</v>
      </c>
      <c r="T2075" s="5" t="s">
        <v>1038</v>
      </c>
      <c r="U2075" s="3" t="s">
        <v>29</v>
      </c>
      <c r="V2075" s="3" t="s">
        <v>5</v>
      </c>
    </row>
    <row r="2076" spans="1:22">
      <c r="A2076" s="3">
        <v>2059</v>
      </c>
      <c r="B2076" s="1">
        <f t="shared" si="511"/>
        <v>0</v>
      </c>
      <c r="C2076" s="1">
        <f t="shared" si="512"/>
        <v>0</v>
      </c>
      <c r="D2076" s="1">
        <f t="shared" si="506"/>
        <v>0</v>
      </c>
      <c r="E2076" s="1">
        <f t="shared" si="510"/>
        <v>0</v>
      </c>
      <c r="F2076" s="1">
        <f t="shared" si="510"/>
        <v>0</v>
      </c>
      <c r="G2076" s="1" t="str">
        <f t="shared" si="508"/>
        <v>24092503</v>
      </c>
      <c r="H2076" s="2">
        <v>45560</v>
      </c>
      <c r="I2076" s="36">
        <v>3</v>
      </c>
      <c r="J2076" s="1" t="str">
        <f t="shared" si="501"/>
        <v>03</v>
      </c>
      <c r="K2076" s="3">
        <f t="shared" si="502"/>
        <v>24</v>
      </c>
      <c r="L2076" s="3">
        <f t="shared" si="503"/>
        <v>9</v>
      </c>
      <c r="M2076" s="3">
        <f t="shared" si="504"/>
        <v>25</v>
      </c>
      <c r="N2076" s="3" t="str">
        <f t="shared" si="505"/>
        <v>09</v>
      </c>
      <c r="O2076" s="14">
        <f t="shared" si="505"/>
        <v>25</v>
      </c>
      <c r="P2076" s="4">
        <v>640000</v>
      </c>
      <c r="R2076" s="6">
        <v>511</v>
      </c>
      <c r="S2076" s="5">
        <f t="shared" si="509"/>
        <v>1252.4461839530334</v>
      </c>
      <c r="T2076" s="5" t="s">
        <v>872</v>
      </c>
      <c r="U2076" s="3" t="s">
        <v>2</v>
      </c>
      <c r="V2076" s="3" t="s">
        <v>5</v>
      </c>
    </row>
    <row r="2077" spans="1:22" hidden="1">
      <c r="J2077" s="1" t="str">
        <f t="shared" si="501"/>
        <v>0</v>
      </c>
      <c r="K2077" s="3">
        <f t="shared" si="502"/>
        <v>-100</v>
      </c>
      <c r="L2077" s="3">
        <f t="shared" si="503"/>
        <v>1</v>
      </c>
      <c r="M2077" s="3">
        <f t="shared" si="504"/>
        <v>0</v>
      </c>
      <c r="N2077" s="3" t="str">
        <f t="shared" si="505"/>
        <v>01</v>
      </c>
      <c r="O2077" s="14" t="str">
        <f t="shared" si="505"/>
        <v>00</v>
      </c>
      <c r="R2077" s="6">
        <v>511</v>
      </c>
      <c r="S2077" s="5">
        <f t="shared" si="509"/>
        <v>0</v>
      </c>
    </row>
    <row r="2078" spans="1:22">
      <c r="A2078" s="3">
        <v>2061</v>
      </c>
      <c r="B2078" s="1">
        <f t="shared" si="511"/>
        <v>0</v>
      </c>
      <c r="C2078" s="1">
        <f t="shared" si="512"/>
        <v>1</v>
      </c>
      <c r="D2078" s="1">
        <f t="shared" si="506"/>
        <v>0</v>
      </c>
      <c r="E2078" s="1">
        <f t="shared" si="510"/>
        <v>0</v>
      </c>
      <c r="F2078" s="1">
        <f t="shared" si="510"/>
        <v>0</v>
      </c>
      <c r="G2078" s="1" t="str">
        <f t="shared" si="508"/>
        <v>24092505</v>
      </c>
      <c r="H2078" s="2">
        <v>45560</v>
      </c>
      <c r="I2078" s="36">
        <v>5</v>
      </c>
      <c r="J2078" s="1" t="str">
        <f t="shared" si="501"/>
        <v>05</v>
      </c>
      <c r="K2078" s="3">
        <f t="shared" si="502"/>
        <v>24</v>
      </c>
      <c r="L2078" s="3">
        <f t="shared" si="503"/>
        <v>9</v>
      </c>
      <c r="M2078" s="3">
        <f t="shared" si="504"/>
        <v>25</v>
      </c>
      <c r="N2078" s="3" t="str">
        <f t="shared" si="505"/>
        <v>09</v>
      </c>
      <c r="O2078" s="14">
        <f t="shared" si="505"/>
        <v>25</v>
      </c>
      <c r="P2078" s="4">
        <v>203608.77</v>
      </c>
      <c r="R2078" s="6">
        <v>511</v>
      </c>
      <c r="S2078" s="5">
        <f t="shared" si="509"/>
        <v>398.45160469667314</v>
      </c>
      <c r="T2078" s="5" t="s">
        <v>1188</v>
      </c>
      <c r="U2078" s="3" t="s">
        <v>2</v>
      </c>
      <c r="V2078" s="3" t="s">
        <v>5</v>
      </c>
    </row>
    <row r="2079" spans="1:22" hidden="1">
      <c r="J2079" s="1" t="str">
        <f t="shared" si="501"/>
        <v>0</v>
      </c>
      <c r="K2079" s="3">
        <f t="shared" si="502"/>
        <v>-100</v>
      </c>
      <c r="L2079" s="3">
        <f t="shared" si="503"/>
        <v>1</v>
      </c>
      <c r="M2079" s="3">
        <f t="shared" si="504"/>
        <v>0</v>
      </c>
      <c r="N2079" s="3" t="str">
        <f t="shared" si="505"/>
        <v>01</v>
      </c>
      <c r="O2079" s="14" t="str">
        <f t="shared" si="505"/>
        <v>00</v>
      </c>
      <c r="R2079" s="6">
        <v>511</v>
      </c>
      <c r="S2079" s="5">
        <f t="shared" si="509"/>
        <v>0</v>
      </c>
    </row>
    <row r="2080" spans="1:22" hidden="1">
      <c r="J2080" s="1" t="str">
        <f t="shared" si="501"/>
        <v>0</v>
      </c>
      <c r="K2080" s="3">
        <f t="shared" si="502"/>
        <v>-100</v>
      </c>
      <c r="L2080" s="3">
        <f t="shared" si="503"/>
        <v>1</v>
      </c>
      <c r="M2080" s="3">
        <f t="shared" si="504"/>
        <v>0</v>
      </c>
      <c r="N2080" s="3" t="str">
        <f t="shared" si="505"/>
        <v>01</v>
      </c>
      <c r="O2080" s="14" t="str">
        <f t="shared" si="505"/>
        <v>00</v>
      </c>
      <c r="P2080" s="57"/>
      <c r="R2080" s="6">
        <v>511</v>
      </c>
      <c r="S2080" s="5">
        <f t="shared" si="509"/>
        <v>0</v>
      </c>
    </row>
    <row r="2081" spans="1:22" hidden="1">
      <c r="J2081" s="1" t="str">
        <f t="shared" si="501"/>
        <v>0</v>
      </c>
      <c r="K2081" s="3">
        <f t="shared" si="502"/>
        <v>-100</v>
      </c>
      <c r="L2081" s="3">
        <f t="shared" si="503"/>
        <v>1</v>
      </c>
      <c r="M2081" s="3">
        <f t="shared" si="504"/>
        <v>0</v>
      </c>
      <c r="N2081" s="3" t="str">
        <f t="shared" si="505"/>
        <v>01</v>
      </c>
      <c r="O2081" s="14" t="str">
        <f t="shared" si="505"/>
        <v>00</v>
      </c>
      <c r="R2081" s="6">
        <v>511</v>
      </c>
      <c r="S2081" s="5">
        <f t="shared" si="509"/>
        <v>0</v>
      </c>
    </row>
    <row r="2082" spans="1:22" hidden="1">
      <c r="J2082" s="1" t="str">
        <f t="shared" si="501"/>
        <v>0</v>
      </c>
      <c r="K2082" s="3">
        <f t="shared" si="502"/>
        <v>-100</v>
      </c>
      <c r="L2082" s="3">
        <f t="shared" si="503"/>
        <v>1</v>
      </c>
      <c r="M2082" s="3">
        <f t="shared" si="504"/>
        <v>0</v>
      </c>
      <c r="N2082" s="3" t="str">
        <f t="shared" si="505"/>
        <v>01</v>
      </c>
      <c r="O2082" s="14" t="str">
        <f t="shared" si="505"/>
        <v>00</v>
      </c>
      <c r="R2082" s="6">
        <v>511</v>
      </c>
      <c r="S2082" s="5">
        <f t="shared" si="509"/>
        <v>0</v>
      </c>
    </row>
    <row r="2083" spans="1:22" hidden="1">
      <c r="J2083" s="1" t="str">
        <f t="shared" si="501"/>
        <v>0</v>
      </c>
      <c r="K2083" s="3">
        <f t="shared" si="502"/>
        <v>-100</v>
      </c>
      <c r="L2083" s="3">
        <f t="shared" si="503"/>
        <v>1</v>
      </c>
      <c r="M2083" s="3">
        <f t="shared" si="504"/>
        <v>0</v>
      </c>
      <c r="N2083" s="3" t="str">
        <f t="shared" si="505"/>
        <v>01</v>
      </c>
      <c r="O2083" s="14" t="str">
        <f t="shared" si="505"/>
        <v>00</v>
      </c>
    </row>
    <row r="2084" spans="1:22" hidden="1">
      <c r="J2084" s="1" t="str">
        <f t="shared" si="501"/>
        <v>0</v>
      </c>
      <c r="K2084" s="3">
        <f t="shared" si="502"/>
        <v>-100</v>
      </c>
      <c r="L2084" s="3">
        <f t="shared" si="503"/>
        <v>1</v>
      </c>
      <c r="M2084" s="3">
        <f t="shared" si="504"/>
        <v>0</v>
      </c>
      <c r="N2084" s="3" t="str">
        <f t="shared" si="505"/>
        <v>01</v>
      </c>
      <c r="O2084" s="14" t="str">
        <f t="shared" si="505"/>
        <v>00</v>
      </c>
      <c r="R2084" s="6">
        <v>514</v>
      </c>
      <c r="S2084" s="5">
        <f t="shared" ref="S2084:S2090" si="513">IFERROR(P2084/R2084,"")</f>
        <v>0</v>
      </c>
    </row>
    <row r="2085" spans="1:22" hidden="1">
      <c r="J2085" s="1" t="str">
        <f t="shared" si="501"/>
        <v>0</v>
      </c>
      <c r="K2085" s="3">
        <f t="shared" si="502"/>
        <v>-100</v>
      </c>
      <c r="L2085" s="3">
        <f t="shared" si="503"/>
        <v>1</v>
      </c>
      <c r="M2085" s="3">
        <f t="shared" si="504"/>
        <v>0</v>
      </c>
      <c r="N2085" s="3" t="str">
        <f t="shared" si="505"/>
        <v>01</v>
      </c>
      <c r="O2085" s="14" t="str">
        <f t="shared" si="505"/>
        <v>00</v>
      </c>
      <c r="R2085" s="6">
        <v>514</v>
      </c>
      <c r="S2085" s="5">
        <f t="shared" si="513"/>
        <v>0</v>
      </c>
    </row>
    <row r="2086" spans="1:22" hidden="1">
      <c r="J2086" s="1" t="str">
        <f t="shared" si="501"/>
        <v>0</v>
      </c>
      <c r="K2086" s="3">
        <f t="shared" si="502"/>
        <v>-100</v>
      </c>
      <c r="L2086" s="3">
        <f t="shared" si="503"/>
        <v>1</v>
      </c>
      <c r="M2086" s="3">
        <f t="shared" si="504"/>
        <v>0</v>
      </c>
      <c r="N2086" s="3" t="str">
        <f t="shared" si="505"/>
        <v>01</v>
      </c>
      <c r="O2086" s="14" t="str">
        <f t="shared" si="505"/>
        <v>00</v>
      </c>
      <c r="R2086" s="6">
        <v>514</v>
      </c>
      <c r="S2086" s="5">
        <f t="shared" si="513"/>
        <v>0</v>
      </c>
    </row>
    <row r="2087" spans="1:22" hidden="1">
      <c r="J2087" s="1" t="str">
        <f t="shared" si="501"/>
        <v>0</v>
      </c>
      <c r="K2087" s="3">
        <f t="shared" si="502"/>
        <v>-100</v>
      </c>
      <c r="L2087" s="3">
        <f t="shared" si="503"/>
        <v>1</v>
      </c>
      <c r="M2087" s="3">
        <f t="shared" si="504"/>
        <v>0</v>
      </c>
      <c r="N2087" s="3" t="str">
        <f t="shared" si="505"/>
        <v>01</v>
      </c>
      <c r="O2087" s="14" t="str">
        <f t="shared" si="505"/>
        <v>00</v>
      </c>
      <c r="R2087" s="6">
        <v>514</v>
      </c>
      <c r="S2087" s="5">
        <f t="shared" si="513"/>
        <v>0</v>
      </c>
    </row>
    <row r="2088" spans="1:22">
      <c r="A2088" s="3">
        <v>2071</v>
      </c>
      <c r="B2088" s="1">
        <f t="shared" si="511"/>
        <v>0</v>
      </c>
      <c r="C2088" s="1">
        <f t="shared" si="512"/>
        <v>1</v>
      </c>
      <c r="D2088" s="1">
        <f t="shared" si="506"/>
        <v>0</v>
      </c>
      <c r="E2088" s="1">
        <f t="shared" si="510"/>
        <v>0</v>
      </c>
      <c r="F2088" s="1">
        <f t="shared" si="510"/>
        <v>0</v>
      </c>
      <c r="G2088" s="1" t="str">
        <f t="shared" si="508"/>
        <v>24092605</v>
      </c>
      <c r="H2088" s="2">
        <v>45561</v>
      </c>
      <c r="I2088" s="36">
        <v>5</v>
      </c>
      <c r="J2088" s="1" t="str">
        <f t="shared" si="501"/>
        <v>05</v>
      </c>
      <c r="K2088" s="3">
        <f t="shared" si="502"/>
        <v>24</v>
      </c>
      <c r="L2088" s="3">
        <f t="shared" si="503"/>
        <v>9</v>
      </c>
      <c r="M2088" s="3">
        <f t="shared" si="504"/>
        <v>26</v>
      </c>
      <c r="N2088" s="3" t="str">
        <f t="shared" si="505"/>
        <v>09</v>
      </c>
      <c r="O2088" s="14">
        <f t="shared" si="505"/>
        <v>26</v>
      </c>
      <c r="P2088" s="4">
        <v>10134.15</v>
      </c>
      <c r="R2088" s="6">
        <v>514</v>
      </c>
      <c r="S2088" s="5">
        <f t="shared" si="513"/>
        <v>19.716245136186771</v>
      </c>
      <c r="T2088" s="5" t="s">
        <v>1181</v>
      </c>
      <c r="U2088" s="3" t="s">
        <v>29</v>
      </c>
      <c r="V2088" s="3" t="s">
        <v>5</v>
      </c>
    </row>
    <row r="2089" spans="1:22">
      <c r="A2089" s="3">
        <v>2072</v>
      </c>
      <c r="B2089" s="1">
        <f t="shared" si="511"/>
        <v>0</v>
      </c>
      <c r="C2089" s="1">
        <f t="shared" si="512"/>
        <v>0</v>
      </c>
      <c r="D2089" s="1">
        <f t="shared" si="506"/>
        <v>0</v>
      </c>
      <c r="E2089" s="1">
        <f t="shared" si="510"/>
        <v>0</v>
      </c>
      <c r="F2089" s="1">
        <f t="shared" si="510"/>
        <v>0</v>
      </c>
      <c r="G2089" s="1" t="str">
        <f t="shared" si="508"/>
        <v>24092606</v>
      </c>
      <c r="H2089" s="2">
        <v>45561</v>
      </c>
      <c r="I2089" s="36">
        <v>6</v>
      </c>
      <c r="J2089" s="1" t="str">
        <f t="shared" si="501"/>
        <v>06</v>
      </c>
      <c r="K2089" s="3">
        <f t="shared" si="502"/>
        <v>24</v>
      </c>
      <c r="L2089" s="3">
        <f t="shared" si="503"/>
        <v>9</v>
      </c>
      <c r="M2089" s="3">
        <f t="shared" si="504"/>
        <v>26</v>
      </c>
      <c r="N2089" s="3" t="str">
        <f t="shared" si="505"/>
        <v>09</v>
      </c>
      <c r="O2089" s="14">
        <f t="shared" si="505"/>
        <v>26</v>
      </c>
      <c r="P2089" s="4">
        <v>10000</v>
      </c>
      <c r="R2089" s="6">
        <v>514</v>
      </c>
      <c r="S2089" s="5">
        <f t="shared" si="513"/>
        <v>19.455252918287936</v>
      </c>
      <c r="T2089" s="5" t="s">
        <v>361</v>
      </c>
      <c r="U2089" s="3" t="s">
        <v>29</v>
      </c>
      <c r="V2089" s="3" t="s">
        <v>5</v>
      </c>
    </row>
    <row r="2090" spans="1:22" hidden="1">
      <c r="J2090" s="1" t="str">
        <f t="shared" si="501"/>
        <v>0</v>
      </c>
      <c r="K2090" s="3">
        <f t="shared" si="502"/>
        <v>-100</v>
      </c>
      <c r="L2090" s="3">
        <f t="shared" si="503"/>
        <v>1</v>
      </c>
      <c r="M2090" s="3">
        <f t="shared" si="504"/>
        <v>0</v>
      </c>
      <c r="N2090" s="3" t="str">
        <f t="shared" si="505"/>
        <v>01</v>
      </c>
      <c r="O2090" s="14" t="str">
        <f t="shared" si="505"/>
        <v>00</v>
      </c>
      <c r="R2090" s="6">
        <v>514</v>
      </c>
      <c r="S2090" s="5">
        <f t="shared" si="513"/>
        <v>0</v>
      </c>
    </row>
    <row r="2091" spans="1:22" hidden="1">
      <c r="J2091" s="1" t="str">
        <f t="shared" si="501"/>
        <v>0</v>
      </c>
      <c r="K2091" s="3">
        <f t="shared" si="502"/>
        <v>-100</v>
      </c>
      <c r="L2091" s="3">
        <f t="shared" si="503"/>
        <v>1</v>
      </c>
      <c r="M2091" s="3">
        <f t="shared" si="504"/>
        <v>0</v>
      </c>
      <c r="N2091" s="3" t="str">
        <f t="shared" si="505"/>
        <v>01</v>
      </c>
      <c r="O2091" s="14" t="str">
        <f t="shared" si="505"/>
        <v>00</v>
      </c>
    </row>
    <row r="2092" spans="1:22" hidden="1">
      <c r="J2092" s="1" t="str">
        <f t="shared" si="501"/>
        <v>0</v>
      </c>
      <c r="K2092" s="3">
        <f t="shared" si="502"/>
        <v>-100</v>
      </c>
      <c r="L2092" s="3">
        <f t="shared" si="503"/>
        <v>1</v>
      </c>
      <c r="M2092" s="3">
        <f t="shared" si="504"/>
        <v>0</v>
      </c>
      <c r="N2092" s="3" t="str">
        <f t="shared" si="505"/>
        <v>01</v>
      </c>
      <c r="O2092" s="14" t="str">
        <f t="shared" si="505"/>
        <v>00</v>
      </c>
    </row>
    <row r="2093" spans="1:22" hidden="1">
      <c r="J2093" s="1" t="str">
        <f t="shared" si="501"/>
        <v>0</v>
      </c>
      <c r="K2093" s="3">
        <f t="shared" si="502"/>
        <v>-100</v>
      </c>
      <c r="L2093" s="3">
        <f t="shared" si="503"/>
        <v>1</v>
      </c>
      <c r="M2093" s="3">
        <f t="shared" si="504"/>
        <v>0</v>
      </c>
      <c r="N2093" s="3" t="str">
        <f t="shared" si="505"/>
        <v>01</v>
      </c>
      <c r="O2093" s="14" t="str">
        <f t="shared" si="505"/>
        <v>00</v>
      </c>
    </row>
    <row r="2094" spans="1:22">
      <c r="A2094" s="3">
        <v>2075</v>
      </c>
      <c r="B2094" s="1">
        <f t="shared" ref="B2094:B2154" si="514">IF(G2094="-",0,IF(G2093=G2094,1,0))</f>
        <v>0</v>
      </c>
      <c r="C2094" s="1">
        <f t="shared" ref="C2094:C2154" si="515">+IF(G2094="-",0,IF(I2094=I2093+1,0,(IF(I2094=1,0,1))))</f>
        <v>0</v>
      </c>
      <c r="D2094" s="1">
        <f t="shared" si="506"/>
        <v>0</v>
      </c>
      <c r="E2094" s="1">
        <f t="shared" ref="E2094:F2120" si="516">IF(U2094="",1,0)</f>
        <v>0</v>
      </c>
      <c r="F2094" s="1">
        <f t="shared" si="516"/>
        <v>0</v>
      </c>
      <c r="G2094" s="1" t="str">
        <f t="shared" si="508"/>
        <v>24092701</v>
      </c>
      <c r="H2094" s="2">
        <v>45562</v>
      </c>
      <c r="I2094" s="36">
        <v>1</v>
      </c>
      <c r="J2094" s="1" t="str">
        <f t="shared" si="501"/>
        <v>01</v>
      </c>
      <c r="K2094" s="3">
        <f t="shared" si="502"/>
        <v>24</v>
      </c>
      <c r="L2094" s="3">
        <f t="shared" si="503"/>
        <v>9</v>
      </c>
      <c r="M2094" s="3">
        <f t="shared" si="504"/>
        <v>27</v>
      </c>
      <c r="N2094" s="3" t="str">
        <f t="shared" si="505"/>
        <v>09</v>
      </c>
      <c r="O2094" s="14">
        <f t="shared" si="505"/>
        <v>27</v>
      </c>
      <c r="Q2094" s="5">
        <v>706.25</v>
      </c>
      <c r="R2094" s="6">
        <v>514</v>
      </c>
      <c r="S2094" s="5">
        <f t="shared" ref="S2094:S2136" si="517">IFERROR(P2094/R2094,"")</f>
        <v>0</v>
      </c>
      <c r="T2094" s="5" t="s">
        <v>870</v>
      </c>
      <c r="U2094" s="3" t="s">
        <v>2</v>
      </c>
      <c r="V2094" s="3" t="s">
        <v>5</v>
      </c>
    </row>
    <row r="2095" spans="1:22" hidden="1">
      <c r="J2095" s="1" t="str">
        <f t="shared" si="501"/>
        <v>0</v>
      </c>
      <c r="K2095" s="3">
        <f t="shared" si="502"/>
        <v>-100</v>
      </c>
      <c r="L2095" s="3">
        <f t="shared" si="503"/>
        <v>1</v>
      </c>
      <c r="M2095" s="3">
        <f t="shared" si="504"/>
        <v>0</v>
      </c>
      <c r="N2095" s="3" t="str">
        <f t="shared" si="505"/>
        <v>01</v>
      </c>
      <c r="O2095" s="14" t="str">
        <f t="shared" si="505"/>
        <v>00</v>
      </c>
      <c r="R2095" s="6">
        <v>514</v>
      </c>
      <c r="S2095" s="5">
        <f t="shared" si="517"/>
        <v>0</v>
      </c>
    </row>
    <row r="2096" spans="1:22" hidden="1">
      <c r="J2096" s="1" t="str">
        <f t="shared" si="501"/>
        <v>0</v>
      </c>
      <c r="K2096" s="3">
        <f t="shared" si="502"/>
        <v>-100</v>
      </c>
      <c r="L2096" s="3">
        <f t="shared" si="503"/>
        <v>1</v>
      </c>
      <c r="M2096" s="3">
        <f t="shared" si="504"/>
        <v>0</v>
      </c>
      <c r="N2096" s="3" t="str">
        <f t="shared" si="505"/>
        <v>01</v>
      </c>
      <c r="O2096" s="14" t="str">
        <f t="shared" si="505"/>
        <v>00</v>
      </c>
      <c r="R2096" s="6">
        <v>514</v>
      </c>
      <c r="S2096" s="5">
        <f t="shared" si="517"/>
        <v>0</v>
      </c>
    </row>
    <row r="2097" spans="1:23" hidden="1">
      <c r="J2097" s="1" t="str">
        <f t="shared" si="501"/>
        <v>0</v>
      </c>
      <c r="K2097" s="3">
        <f t="shared" si="502"/>
        <v>-100</v>
      </c>
      <c r="L2097" s="3">
        <f t="shared" si="503"/>
        <v>1</v>
      </c>
      <c r="M2097" s="3">
        <f t="shared" si="504"/>
        <v>0</v>
      </c>
      <c r="N2097" s="3" t="str">
        <f t="shared" si="505"/>
        <v>01</v>
      </c>
      <c r="O2097" s="14" t="str">
        <f t="shared" si="505"/>
        <v>00</v>
      </c>
      <c r="R2097" s="6">
        <v>514</v>
      </c>
      <c r="S2097" s="5">
        <f t="shared" si="517"/>
        <v>0</v>
      </c>
    </row>
    <row r="2098" spans="1:23">
      <c r="A2098" s="3">
        <v>2079</v>
      </c>
      <c r="B2098" s="1">
        <f t="shared" si="514"/>
        <v>0</v>
      </c>
      <c r="C2098" s="1">
        <f t="shared" si="515"/>
        <v>1</v>
      </c>
      <c r="D2098" s="1">
        <f t="shared" ref="D2098:D2161" si="518">+IF(AND(P2098="",Q2098=""),1,0)</f>
        <v>0</v>
      </c>
      <c r="E2098" s="1">
        <f t="shared" si="516"/>
        <v>0</v>
      </c>
      <c r="F2098" s="1">
        <f t="shared" si="516"/>
        <v>0</v>
      </c>
      <c r="G2098" s="1" t="str">
        <f t="shared" ref="G2098:G2161" si="519">IF(H2098=0,"-",_xlfn.CONCAT(K2098,N2098,O2098,J2098))</f>
        <v>24092705</v>
      </c>
      <c r="H2098" s="2">
        <v>45562</v>
      </c>
      <c r="I2098" s="36">
        <v>5</v>
      </c>
      <c r="J2098" s="1" t="str">
        <f t="shared" ref="J2098:J2161" si="520">+IF(I2098&lt;10,_xlfn.CONCAT("0",I2098),I2098)</f>
        <v>05</v>
      </c>
      <c r="K2098" s="3">
        <f t="shared" ref="K2098:K2161" si="521">+YEAR(H2098)-2000</f>
        <v>24</v>
      </c>
      <c r="L2098" s="3">
        <f t="shared" ref="L2098:L2161" si="522">+MONTH(H2098)</f>
        <v>9</v>
      </c>
      <c r="M2098" s="3">
        <f t="shared" ref="M2098:M2161" si="523">+DAY(H2098)</f>
        <v>27</v>
      </c>
      <c r="N2098" s="3" t="str">
        <f t="shared" ref="N2098:O2161" si="524">+IF(L2098&lt;10,_xlfn.CONCAT("0",L2098),L2098)</f>
        <v>09</v>
      </c>
      <c r="O2098" s="14">
        <f t="shared" si="524"/>
        <v>27</v>
      </c>
      <c r="P2098" s="4">
        <v>43200</v>
      </c>
      <c r="R2098" s="6">
        <v>514</v>
      </c>
      <c r="S2098" s="5">
        <f t="shared" si="517"/>
        <v>84.046692607003891</v>
      </c>
      <c r="T2098" s="5" t="s">
        <v>878</v>
      </c>
      <c r="U2098" s="3" t="s">
        <v>29</v>
      </c>
      <c r="V2098" s="3" t="s">
        <v>5</v>
      </c>
    </row>
    <row r="2099" spans="1:23" hidden="1">
      <c r="I2099" s="1"/>
      <c r="J2099" s="1" t="str">
        <f t="shared" si="520"/>
        <v>0</v>
      </c>
      <c r="K2099" s="3">
        <f t="shared" si="521"/>
        <v>-100</v>
      </c>
      <c r="L2099" s="3">
        <f t="shared" si="522"/>
        <v>1</v>
      </c>
      <c r="M2099" s="3">
        <f t="shared" si="523"/>
        <v>0</v>
      </c>
      <c r="N2099" s="3" t="str">
        <f t="shared" si="524"/>
        <v>01</v>
      </c>
      <c r="O2099" s="14" t="str">
        <f t="shared" si="524"/>
        <v>00</v>
      </c>
      <c r="R2099" s="6">
        <v>514</v>
      </c>
      <c r="S2099" s="5">
        <f t="shared" si="517"/>
        <v>0</v>
      </c>
      <c r="T2099" s="128"/>
    </row>
    <row r="2100" spans="1:23" hidden="1">
      <c r="I2100" s="1"/>
      <c r="J2100" s="1" t="str">
        <f t="shared" si="520"/>
        <v>0</v>
      </c>
      <c r="K2100" s="3">
        <f t="shared" si="521"/>
        <v>-100</v>
      </c>
      <c r="L2100" s="3">
        <f t="shared" si="522"/>
        <v>1</v>
      </c>
      <c r="M2100" s="3">
        <f t="shared" si="523"/>
        <v>0</v>
      </c>
      <c r="N2100" s="3" t="str">
        <f t="shared" si="524"/>
        <v>01</v>
      </c>
      <c r="O2100" s="14" t="str">
        <f t="shared" si="524"/>
        <v>00</v>
      </c>
      <c r="R2100" s="6">
        <v>514</v>
      </c>
      <c r="S2100" s="5">
        <f t="shared" si="517"/>
        <v>0</v>
      </c>
      <c r="T2100" s="128"/>
    </row>
    <row r="2101" spans="1:23" hidden="1">
      <c r="I2101" s="1"/>
      <c r="J2101" s="1" t="str">
        <f t="shared" si="520"/>
        <v>0</v>
      </c>
      <c r="K2101" s="3">
        <f t="shared" si="521"/>
        <v>-100</v>
      </c>
      <c r="L2101" s="3">
        <f t="shared" si="522"/>
        <v>1</v>
      </c>
      <c r="M2101" s="3">
        <f t="shared" si="523"/>
        <v>0</v>
      </c>
      <c r="N2101" s="3" t="str">
        <f t="shared" si="524"/>
        <v>01</v>
      </c>
      <c r="O2101" s="14" t="str">
        <f t="shared" si="524"/>
        <v>00</v>
      </c>
      <c r="R2101" s="6">
        <v>514</v>
      </c>
      <c r="S2101" s="5">
        <f t="shared" si="517"/>
        <v>0</v>
      </c>
      <c r="T2101" s="128"/>
    </row>
    <row r="2102" spans="1:23" hidden="1">
      <c r="I2102" s="1"/>
      <c r="J2102" s="1" t="str">
        <f t="shared" si="520"/>
        <v>0</v>
      </c>
      <c r="K2102" s="3">
        <f t="shared" si="521"/>
        <v>-100</v>
      </c>
      <c r="L2102" s="3">
        <f t="shared" si="522"/>
        <v>1</v>
      </c>
      <c r="M2102" s="3">
        <f t="shared" si="523"/>
        <v>0</v>
      </c>
      <c r="N2102" s="3" t="str">
        <f t="shared" si="524"/>
        <v>01</v>
      </c>
      <c r="O2102" s="14" t="str">
        <f t="shared" si="524"/>
        <v>00</v>
      </c>
      <c r="R2102" s="6">
        <v>514</v>
      </c>
      <c r="S2102" s="5">
        <f t="shared" si="517"/>
        <v>0</v>
      </c>
      <c r="T2102" s="128"/>
    </row>
    <row r="2103" spans="1:23" hidden="1">
      <c r="I2103" s="1"/>
      <c r="J2103" s="1" t="str">
        <f t="shared" si="520"/>
        <v>0</v>
      </c>
      <c r="K2103" s="3">
        <f t="shared" si="521"/>
        <v>-100</v>
      </c>
      <c r="L2103" s="3">
        <f t="shared" si="522"/>
        <v>1</v>
      </c>
      <c r="M2103" s="3">
        <f t="shared" si="523"/>
        <v>0</v>
      </c>
      <c r="N2103" s="3" t="str">
        <f t="shared" si="524"/>
        <v>01</v>
      </c>
      <c r="O2103" s="14" t="str">
        <f t="shared" si="524"/>
        <v>00</v>
      </c>
      <c r="R2103" s="6">
        <v>514</v>
      </c>
      <c r="S2103" s="5">
        <f t="shared" si="517"/>
        <v>0</v>
      </c>
      <c r="T2103" s="128"/>
    </row>
    <row r="2104" spans="1:23" hidden="1">
      <c r="I2104" s="1"/>
      <c r="J2104" s="1" t="str">
        <f t="shared" si="520"/>
        <v>0</v>
      </c>
      <c r="K2104" s="3">
        <f t="shared" si="521"/>
        <v>-100</v>
      </c>
      <c r="L2104" s="3">
        <f t="shared" si="522"/>
        <v>1</v>
      </c>
      <c r="M2104" s="3">
        <f t="shared" si="523"/>
        <v>0</v>
      </c>
      <c r="N2104" s="3" t="str">
        <f t="shared" si="524"/>
        <v>01</v>
      </c>
      <c r="O2104" s="14" t="str">
        <f t="shared" si="524"/>
        <v>00</v>
      </c>
      <c r="P2104" s="57"/>
      <c r="R2104" s="6">
        <v>514</v>
      </c>
      <c r="S2104" s="5">
        <f t="shared" si="517"/>
        <v>0</v>
      </c>
      <c r="T2104" s="129"/>
    </row>
    <row r="2105" spans="1:23" hidden="1">
      <c r="I2105" s="1"/>
      <c r="J2105" s="1" t="str">
        <f t="shared" si="520"/>
        <v>0</v>
      </c>
      <c r="K2105" s="3">
        <f t="shared" si="521"/>
        <v>-100</v>
      </c>
      <c r="L2105" s="3">
        <f t="shared" si="522"/>
        <v>1</v>
      </c>
      <c r="M2105" s="3">
        <f t="shared" si="523"/>
        <v>0</v>
      </c>
      <c r="N2105" s="3" t="str">
        <f t="shared" si="524"/>
        <v>01</v>
      </c>
      <c r="O2105" s="14" t="str">
        <f t="shared" si="524"/>
        <v>00</v>
      </c>
      <c r="P2105" s="57"/>
      <c r="R2105" s="6">
        <v>514</v>
      </c>
      <c r="S2105" s="5">
        <f t="shared" si="517"/>
        <v>0</v>
      </c>
      <c r="T2105" s="35"/>
    </row>
    <row r="2106" spans="1:23" hidden="1">
      <c r="I2106" s="1"/>
      <c r="J2106" s="1" t="str">
        <f t="shared" si="520"/>
        <v>0</v>
      </c>
      <c r="K2106" s="3">
        <f t="shared" si="521"/>
        <v>-100</v>
      </c>
      <c r="L2106" s="3">
        <f t="shared" si="522"/>
        <v>1</v>
      </c>
      <c r="M2106" s="3">
        <f t="shared" si="523"/>
        <v>0</v>
      </c>
      <c r="N2106" s="3" t="str">
        <f t="shared" si="524"/>
        <v>01</v>
      </c>
      <c r="O2106" s="14" t="str">
        <f t="shared" si="524"/>
        <v>00</v>
      </c>
      <c r="P2106" s="57"/>
      <c r="R2106" s="6">
        <v>514</v>
      </c>
      <c r="S2106" s="5">
        <f t="shared" si="517"/>
        <v>0</v>
      </c>
      <c r="T2106" s="35"/>
    </row>
    <row r="2107" spans="1:23" hidden="1">
      <c r="I2107" s="1"/>
      <c r="J2107" s="1" t="str">
        <f t="shared" si="520"/>
        <v>0</v>
      </c>
      <c r="K2107" s="3">
        <f t="shared" si="521"/>
        <v>-100</v>
      </c>
      <c r="L2107" s="3">
        <f t="shared" si="522"/>
        <v>1</v>
      </c>
      <c r="M2107" s="3">
        <f t="shared" si="523"/>
        <v>0</v>
      </c>
      <c r="N2107" s="3" t="str">
        <f t="shared" si="524"/>
        <v>01</v>
      </c>
      <c r="O2107" s="14" t="str">
        <f t="shared" si="524"/>
        <v>00</v>
      </c>
      <c r="P2107" s="57"/>
      <c r="R2107" s="6">
        <v>514</v>
      </c>
      <c r="S2107" s="5">
        <f t="shared" si="517"/>
        <v>0</v>
      </c>
      <c r="T2107" s="130"/>
    </row>
    <row r="2108" spans="1:23" hidden="1">
      <c r="I2108" s="1"/>
      <c r="J2108" s="1" t="str">
        <f t="shared" si="520"/>
        <v>0</v>
      </c>
      <c r="K2108" s="3">
        <f t="shared" si="521"/>
        <v>-100</v>
      </c>
      <c r="L2108" s="3">
        <f t="shared" si="522"/>
        <v>1</v>
      </c>
      <c r="M2108" s="3">
        <f t="shared" si="523"/>
        <v>0</v>
      </c>
      <c r="N2108" s="3" t="str">
        <f t="shared" si="524"/>
        <v>01</v>
      </c>
      <c r="O2108" s="14" t="str">
        <f t="shared" si="524"/>
        <v>00</v>
      </c>
      <c r="R2108" s="6">
        <v>514</v>
      </c>
      <c r="S2108" s="5">
        <f t="shared" si="517"/>
        <v>0</v>
      </c>
    </row>
    <row r="2109" spans="1:23" hidden="1">
      <c r="I2109" s="1"/>
      <c r="J2109" s="1" t="str">
        <f t="shared" si="520"/>
        <v>0</v>
      </c>
      <c r="K2109" s="3">
        <f t="shared" si="521"/>
        <v>-100</v>
      </c>
      <c r="L2109" s="3">
        <f t="shared" si="522"/>
        <v>1</v>
      </c>
      <c r="M2109" s="3">
        <f t="shared" si="523"/>
        <v>0</v>
      </c>
      <c r="N2109" s="3" t="str">
        <f t="shared" si="524"/>
        <v>01</v>
      </c>
      <c r="O2109" s="14" t="str">
        <f t="shared" si="524"/>
        <v>00</v>
      </c>
      <c r="R2109" s="6">
        <v>514</v>
      </c>
      <c r="S2109" s="5">
        <f t="shared" si="517"/>
        <v>0</v>
      </c>
    </row>
    <row r="2110" spans="1:23">
      <c r="A2110" s="3">
        <v>2091</v>
      </c>
      <c r="B2110" s="1">
        <f t="shared" si="514"/>
        <v>0</v>
      </c>
      <c r="C2110" s="1">
        <f t="shared" si="515"/>
        <v>1</v>
      </c>
      <c r="D2110" s="1">
        <f t="shared" si="518"/>
        <v>0</v>
      </c>
      <c r="E2110" s="1">
        <f t="shared" si="516"/>
        <v>0</v>
      </c>
      <c r="F2110" s="1">
        <f t="shared" si="516"/>
        <v>0</v>
      </c>
      <c r="G2110" s="1" t="str">
        <f t="shared" si="519"/>
        <v>24092812</v>
      </c>
      <c r="H2110" s="2">
        <v>45563</v>
      </c>
      <c r="I2110" s="36">
        <v>12</v>
      </c>
      <c r="J2110" s="1">
        <f t="shared" si="520"/>
        <v>12</v>
      </c>
      <c r="K2110" s="3">
        <f t="shared" si="521"/>
        <v>24</v>
      </c>
      <c r="L2110" s="3">
        <f t="shared" si="522"/>
        <v>9</v>
      </c>
      <c r="M2110" s="3">
        <f t="shared" si="523"/>
        <v>28</v>
      </c>
      <c r="N2110" s="3" t="str">
        <f t="shared" si="524"/>
        <v>09</v>
      </c>
      <c r="O2110" s="14">
        <f t="shared" si="524"/>
        <v>28</v>
      </c>
      <c r="P2110" s="11">
        <v>108000</v>
      </c>
      <c r="R2110" s="6">
        <v>514</v>
      </c>
      <c r="S2110" s="5">
        <f t="shared" si="517"/>
        <v>210.11673151750972</v>
      </c>
      <c r="T2110" s="18" t="s">
        <v>847</v>
      </c>
      <c r="U2110" s="3" t="s">
        <v>1</v>
      </c>
      <c r="V2110" s="3" t="s">
        <v>5</v>
      </c>
      <c r="W2110" s="3" t="s">
        <v>1079</v>
      </c>
    </row>
    <row r="2111" spans="1:23">
      <c r="A2111" s="3">
        <v>2092</v>
      </c>
      <c r="B2111" s="1">
        <f t="shared" si="514"/>
        <v>0</v>
      </c>
      <c r="C2111" s="1">
        <f t="shared" si="515"/>
        <v>0</v>
      </c>
      <c r="D2111" s="1">
        <f t="shared" si="518"/>
        <v>0</v>
      </c>
      <c r="E2111" s="1">
        <f t="shared" si="516"/>
        <v>0</v>
      </c>
      <c r="F2111" s="1">
        <f t="shared" si="516"/>
        <v>0</v>
      </c>
      <c r="G2111" s="1" t="str">
        <f t="shared" si="519"/>
        <v>24092813</v>
      </c>
      <c r="H2111" s="2">
        <v>45563</v>
      </c>
      <c r="I2111" s="36">
        <v>13</v>
      </c>
      <c r="J2111" s="1">
        <f t="shared" si="520"/>
        <v>13</v>
      </c>
      <c r="K2111" s="3">
        <f t="shared" si="521"/>
        <v>24</v>
      </c>
      <c r="L2111" s="3">
        <f t="shared" si="522"/>
        <v>9</v>
      </c>
      <c r="M2111" s="3">
        <f t="shared" si="523"/>
        <v>28</v>
      </c>
      <c r="N2111" s="3" t="str">
        <f t="shared" si="524"/>
        <v>09</v>
      </c>
      <c r="O2111" s="14">
        <f t="shared" si="524"/>
        <v>28</v>
      </c>
      <c r="P2111" s="11">
        <v>159000</v>
      </c>
      <c r="R2111" s="6">
        <v>514</v>
      </c>
      <c r="S2111" s="5">
        <f t="shared" si="517"/>
        <v>309.33852140077823</v>
      </c>
      <c r="T2111" s="20" t="s">
        <v>848</v>
      </c>
      <c r="U2111" s="3" t="s">
        <v>1</v>
      </c>
      <c r="V2111" s="3" t="s">
        <v>5</v>
      </c>
    </row>
    <row r="2112" spans="1:23">
      <c r="A2112" s="3">
        <v>2093</v>
      </c>
      <c r="B2112" s="1">
        <f t="shared" si="514"/>
        <v>0</v>
      </c>
      <c r="C2112" s="1">
        <f t="shared" si="515"/>
        <v>0</v>
      </c>
      <c r="D2112" s="1">
        <f t="shared" si="518"/>
        <v>0</v>
      </c>
      <c r="E2112" s="1">
        <f t="shared" si="516"/>
        <v>0</v>
      </c>
      <c r="F2112" s="1">
        <f t="shared" si="516"/>
        <v>0</v>
      </c>
      <c r="G2112" s="1" t="str">
        <f t="shared" si="519"/>
        <v>24092814</v>
      </c>
      <c r="H2112" s="2">
        <v>45563</v>
      </c>
      <c r="I2112" s="36">
        <v>14</v>
      </c>
      <c r="J2112" s="1">
        <f t="shared" si="520"/>
        <v>14</v>
      </c>
      <c r="K2112" s="3">
        <f t="shared" si="521"/>
        <v>24</v>
      </c>
      <c r="L2112" s="3">
        <f t="shared" si="522"/>
        <v>9</v>
      </c>
      <c r="M2112" s="3">
        <f t="shared" si="523"/>
        <v>28</v>
      </c>
      <c r="N2112" s="3" t="str">
        <f t="shared" si="524"/>
        <v>09</v>
      </c>
      <c r="O2112" s="14">
        <f t="shared" si="524"/>
        <v>28</v>
      </c>
      <c r="P2112" s="11">
        <v>150000</v>
      </c>
      <c r="R2112" s="6">
        <v>514</v>
      </c>
      <c r="S2112" s="5">
        <f t="shared" si="517"/>
        <v>291.82879377431908</v>
      </c>
      <c r="T2112" s="21" t="s">
        <v>577</v>
      </c>
      <c r="U2112" s="3" t="s">
        <v>1</v>
      </c>
      <c r="V2112" s="3" t="s">
        <v>5</v>
      </c>
    </row>
    <row r="2113" spans="1:22">
      <c r="A2113" s="3">
        <v>2094</v>
      </c>
      <c r="B2113" s="1">
        <f t="shared" si="514"/>
        <v>0</v>
      </c>
      <c r="C2113" s="1">
        <f t="shared" si="515"/>
        <v>0</v>
      </c>
      <c r="D2113" s="1">
        <f t="shared" si="518"/>
        <v>0</v>
      </c>
      <c r="E2113" s="1">
        <f t="shared" si="516"/>
        <v>0</v>
      </c>
      <c r="F2113" s="1">
        <f t="shared" si="516"/>
        <v>0</v>
      </c>
      <c r="G2113" s="1" t="str">
        <f t="shared" si="519"/>
        <v>24092815</v>
      </c>
      <c r="H2113" s="2">
        <v>45563</v>
      </c>
      <c r="I2113" s="36">
        <v>15</v>
      </c>
      <c r="J2113" s="1">
        <f t="shared" si="520"/>
        <v>15</v>
      </c>
      <c r="K2113" s="3">
        <f t="shared" si="521"/>
        <v>24</v>
      </c>
      <c r="L2113" s="3">
        <f t="shared" si="522"/>
        <v>9</v>
      </c>
      <c r="M2113" s="3">
        <f t="shared" si="523"/>
        <v>28</v>
      </c>
      <c r="N2113" s="3" t="str">
        <f t="shared" si="524"/>
        <v>09</v>
      </c>
      <c r="O2113" s="14">
        <f t="shared" si="524"/>
        <v>28</v>
      </c>
      <c r="P2113" s="11">
        <v>159000</v>
      </c>
      <c r="R2113" s="6">
        <v>514</v>
      </c>
      <c r="S2113" s="5">
        <f t="shared" si="517"/>
        <v>309.33852140077823</v>
      </c>
      <c r="T2113" s="21" t="s">
        <v>849</v>
      </c>
      <c r="U2113" s="3" t="s">
        <v>1</v>
      </c>
      <c r="V2113" s="3" t="s">
        <v>5</v>
      </c>
    </row>
    <row r="2114" spans="1:22">
      <c r="A2114" s="3">
        <v>2095</v>
      </c>
      <c r="B2114" s="1">
        <f t="shared" si="514"/>
        <v>0</v>
      </c>
      <c r="C2114" s="1">
        <f t="shared" si="515"/>
        <v>0</v>
      </c>
      <c r="D2114" s="1">
        <f t="shared" si="518"/>
        <v>0</v>
      </c>
      <c r="E2114" s="1">
        <f t="shared" si="516"/>
        <v>0</v>
      </c>
      <c r="F2114" s="1">
        <f t="shared" si="516"/>
        <v>0</v>
      </c>
      <c r="G2114" s="1" t="str">
        <f t="shared" si="519"/>
        <v>24092816</v>
      </c>
      <c r="H2114" s="2">
        <v>45563</v>
      </c>
      <c r="I2114" s="36">
        <v>16</v>
      </c>
      <c r="J2114" s="1">
        <f t="shared" si="520"/>
        <v>16</v>
      </c>
      <c r="K2114" s="3">
        <f t="shared" si="521"/>
        <v>24</v>
      </c>
      <c r="L2114" s="3">
        <f t="shared" si="522"/>
        <v>9</v>
      </c>
      <c r="M2114" s="3">
        <f t="shared" si="523"/>
        <v>28</v>
      </c>
      <c r="N2114" s="3" t="str">
        <f t="shared" si="524"/>
        <v>09</v>
      </c>
      <c r="O2114" s="14">
        <f t="shared" si="524"/>
        <v>28</v>
      </c>
      <c r="P2114" s="11">
        <v>108000</v>
      </c>
      <c r="R2114" s="6">
        <v>514</v>
      </c>
      <c r="S2114" s="5">
        <f t="shared" si="517"/>
        <v>210.11673151750972</v>
      </c>
      <c r="T2114" s="21" t="s">
        <v>850</v>
      </c>
      <c r="U2114" s="3" t="s">
        <v>1</v>
      </c>
      <c r="V2114" s="3" t="s">
        <v>5</v>
      </c>
    </row>
    <row r="2115" spans="1:22">
      <c r="A2115" s="3">
        <v>2096</v>
      </c>
      <c r="B2115" s="1">
        <f t="shared" si="514"/>
        <v>0</v>
      </c>
      <c r="C2115" s="1">
        <f t="shared" si="515"/>
        <v>0</v>
      </c>
      <c r="D2115" s="1">
        <f t="shared" si="518"/>
        <v>0</v>
      </c>
      <c r="E2115" s="1">
        <f t="shared" si="516"/>
        <v>0</v>
      </c>
      <c r="F2115" s="1">
        <f t="shared" si="516"/>
        <v>0</v>
      </c>
      <c r="G2115" s="1" t="str">
        <f t="shared" si="519"/>
        <v>24092817</v>
      </c>
      <c r="H2115" s="2">
        <v>45563</v>
      </c>
      <c r="I2115" s="36">
        <v>17</v>
      </c>
      <c r="J2115" s="1">
        <f t="shared" si="520"/>
        <v>17</v>
      </c>
      <c r="K2115" s="3">
        <f t="shared" si="521"/>
        <v>24</v>
      </c>
      <c r="L2115" s="3">
        <f t="shared" si="522"/>
        <v>9</v>
      </c>
      <c r="M2115" s="3">
        <f t="shared" si="523"/>
        <v>28</v>
      </c>
      <c r="N2115" s="3" t="str">
        <f t="shared" si="524"/>
        <v>09</v>
      </c>
      <c r="O2115" s="14">
        <f t="shared" si="524"/>
        <v>28</v>
      </c>
      <c r="P2115" s="11">
        <v>110000</v>
      </c>
      <c r="R2115" s="6">
        <v>514</v>
      </c>
      <c r="S2115" s="5">
        <f t="shared" si="517"/>
        <v>214.00778210116732</v>
      </c>
      <c r="T2115" s="23" t="s">
        <v>851</v>
      </c>
      <c r="U2115" s="3" t="s">
        <v>1</v>
      </c>
      <c r="V2115" s="3" t="s">
        <v>5</v>
      </c>
    </row>
    <row r="2116" spans="1:22" hidden="1">
      <c r="J2116" s="1" t="str">
        <f t="shared" si="520"/>
        <v>0</v>
      </c>
      <c r="K2116" s="3">
        <f t="shared" si="521"/>
        <v>-100</v>
      </c>
      <c r="L2116" s="3">
        <f t="shared" si="522"/>
        <v>1</v>
      </c>
      <c r="M2116" s="3">
        <f t="shared" si="523"/>
        <v>0</v>
      </c>
      <c r="N2116" s="3" t="str">
        <f t="shared" si="524"/>
        <v>01</v>
      </c>
      <c r="O2116" s="14" t="str">
        <f t="shared" si="524"/>
        <v>00</v>
      </c>
      <c r="P2116" s="11"/>
      <c r="R2116" s="6">
        <v>514</v>
      </c>
      <c r="S2116" s="5">
        <f t="shared" si="517"/>
        <v>0</v>
      </c>
      <c r="T2116" s="23"/>
    </row>
    <row r="2117" spans="1:22" hidden="1">
      <c r="J2117" s="1" t="str">
        <f t="shared" si="520"/>
        <v>0</v>
      </c>
      <c r="K2117" s="3">
        <f t="shared" si="521"/>
        <v>-100</v>
      </c>
      <c r="L2117" s="3">
        <f t="shared" si="522"/>
        <v>1</v>
      </c>
      <c r="M2117" s="3">
        <f t="shared" si="523"/>
        <v>0</v>
      </c>
      <c r="N2117" s="3" t="str">
        <f t="shared" si="524"/>
        <v>01</v>
      </c>
      <c r="O2117" s="14" t="str">
        <f t="shared" si="524"/>
        <v>00</v>
      </c>
      <c r="P2117" s="11"/>
      <c r="R2117" s="6">
        <v>514</v>
      </c>
      <c r="S2117" s="5">
        <f t="shared" si="517"/>
        <v>0</v>
      </c>
      <c r="T2117" s="23"/>
    </row>
    <row r="2118" spans="1:22">
      <c r="A2118" s="3">
        <v>2099</v>
      </c>
      <c r="B2118" s="1">
        <f t="shared" si="514"/>
        <v>0</v>
      </c>
      <c r="C2118" s="1">
        <f t="shared" si="515"/>
        <v>1</v>
      </c>
      <c r="D2118" s="1">
        <f t="shared" si="518"/>
        <v>0</v>
      </c>
      <c r="E2118" s="1">
        <f t="shared" si="516"/>
        <v>0</v>
      </c>
      <c r="F2118" s="1">
        <f t="shared" si="516"/>
        <v>0</v>
      </c>
      <c r="G2118" s="1" t="str">
        <f t="shared" si="519"/>
        <v>24092820</v>
      </c>
      <c r="H2118" s="2">
        <v>45563</v>
      </c>
      <c r="I2118" s="36">
        <v>20</v>
      </c>
      <c r="J2118" s="1">
        <f t="shared" si="520"/>
        <v>20</v>
      </c>
      <c r="K2118" s="3">
        <f t="shared" si="521"/>
        <v>24</v>
      </c>
      <c r="L2118" s="3">
        <f t="shared" si="522"/>
        <v>9</v>
      </c>
      <c r="M2118" s="3">
        <f t="shared" si="523"/>
        <v>28</v>
      </c>
      <c r="N2118" s="3" t="str">
        <f t="shared" si="524"/>
        <v>09</v>
      </c>
      <c r="O2118" s="14">
        <f t="shared" si="524"/>
        <v>28</v>
      </c>
      <c r="P2118" s="11">
        <v>132000</v>
      </c>
      <c r="R2118" s="6">
        <v>514</v>
      </c>
      <c r="S2118" s="5">
        <f t="shared" si="517"/>
        <v>256.80933852140078</v>
      </c>
      <c r="T2118" s="23" t="s">
        <v>854</v>
      </c>
      <c r="U2118" s="3" t="s">
        <v>1</v>
      </c>
      <c r="V2118" s="3" t="s">
        <v>5</v>
      </c>
    </row>
    <row r="2119" spans="1:22">
      <c r="A2119" s="3">
        <v>2100</v>
      </c>
      <c r="B2119" s="1">
        <f t="shared" si="514"/>
        <v>0</v>
      </c>
      <c r="C2119" s="1">
        <f t="shared" si="515"/>
        <v>0</v>
      </c>
      <c r="D2119" s="1">
        <f t="shared" si="518"/>
        <v>0</v>
      </c>
      <c r="E2119" s="1">
        <f t="shared" si="516"/>
        <v>0</v>
      </c>
      <c r="F2119" s="1">
        <f t="shared" si="516"/>
        <v>0</v>
      </c>
      <c r="G2119" s="1" t="str">
        <f t="shared" si="519"/>
        <v>24092821</v>
      </c>
      <c r="H2119" s="2">
        <v>45563</v>
      </c>
      <c r="I2119" s="36">
        <v>21</v>
      </c>
      <c r="J2119" s="1">
        <f t="shared" si="520"/>
        <v>21</v>
      </c>
      <c r="K2119" s="3">
        <f t="shared" si="521"/>
        <v>24</v>
      </c>
      <c r="L2119" s="3">
        <f t="shared" si="522"/>
        <v>9</v>
      </c>
      <c r="M2119" s="3">
        <f t="shared" si="523"/>
        <v>28</v>
      </c>
      <c r="N2119" s="3" t="str">
        <f t="shared" si="524"/>
        <v>09</v>
      </c>
      <c r="O2119" s="14">
        <f t="shared" si="524"/>
        <v>28</v>
      </c>
      <c r="P2119" s="11">
        <v>132000</v>
      </c>
      <c r="R2119" s="6">
        <v>514</v>
      </c>
      <c r="S2119" s="5">
        <f t="shared" si="517"/>
        <v>256.80933852140078</v>
      </c>
      <c r="T2119" s="25" t="s">
        <v>856</v>
      </c>
      <c r="U2119" s="3" t="s">
        <v>1</v>
      </c>
      <c r="V2119" s="3" t="s">
        <v>5</v>
      </c>
    </row>
    <row r="2120" spans="1:22">
      <c r="A2120" s="3">
        <v>2101</v>
      </c>
      <c r="B2120" s="1">
        <f t="shared" si="514"/>
        <v>0</v>
      </c>
      <c r="C2120" s="1">
        <f t="shared" si="515"/>
        <v>0</v>
      </c>
      <c r="D2120" s="1">
        <f t="shared" si="518"/>
        <v>0</v>
      </c>
      <c r="E2120" s="1">
        <f t="shared" si="516"/>
        <v>0</v>
      </c>
      <c r="F2120" s="1">
        <f t="shared" si="516"/>
        <v>0</v>
      </c>
      <c r="G2120" s="1" t="str">
        <f t="shared" si="519"/>
        <v>24092822</v>
      </c>
      <c r="H2120" s="2">
        <v>45563</v>
      </c>
      <c r="I2120" s="36">
        <v>22</v>
      </c>
      <c r="J2120" s="1">
        <f t="shared" si="520"/>
        <v>22</v>
      </c>
      <c r="K2120" s="3">
        <f t="shared" si="521"/>
        <v>24</v>
      </c>
      <c r="L2120" s="3">
        <f t="shared" si="522"/>
        <v>9</v>
      </c>
      <c r="M2120" s="3">
        <f t="shared" si="523"/>
        <v>28</v>
      </c>
      <c r="N2120" s="3" t="str">
        <f t="shared" si="524"/>
        <v>09</v>
      </c>
      <c r="O2120" s="14">
        <f t="shared" si="524"/>
        <v>28</v>
      </c>
      <c r="P2120" s="11">
        <v>108000</v>
      </c>
      <c r="R2120" s="6">
        <v>514</v>
      </c>
      <c r="S2120" s="5">
        <f t="shared" si="517"/>
        <v>210.11673151750972</v>
      </c>
      <c r="T2120" s="25" t="s">
        <v>857</v>
      </c>
      <c r="U2120" s="3" t="s">
        <v>1</v>
      </c>
      <c r="V2120" s="3" t="s">
        <v>5</v>
      </c>
    </row>
    <row r="2121" spans="1:22" hidden="1">
      <c r="J2121" s="1" t="str">
        <f t="shared" si="520"/>
        <v>0</v>
      </c>
      <c r="K2121" s="3">
        <f t="shared" si="521"/>
        <v>-100</v>
      </c>
      <c r="L2121" s="3">
        <f t="shared" si="522"/>
        <v>1</v>
      </c>
      <c r="M2121" s="3">
        <f t="shared" si="523"/>
        <v>0</v>
      </c>
      <c r="N2121" s="3" t="str">
        <f t="shared" si="524"/>
        <v>01</v>
      </c>
      <c r="O2121" s="14" t="str">
        <f t="shared" si="524"/>
        <v>00</v>
      </c>
      <c r="P2121" s="11"/>
      <c r="R2121" s="6">
        <v>514</v>
      </c>
      <c r="S2121" s="5">
        <f t="shared" si="517"/>
        <v>0</v>
      </c>
      <c r="T2121" s="25"/>
    </row>
    <row r="2122" spans="1:22" hidden="1">
      <c r="J2122" s="1" t="str">
        <f t="shared" si="520"/>
        <v>0</v>
      </c>
      <c r="K2122" s="3">
        <f t="shared" si="521"/>
        <v>-100</v>
      </c>
      <c r="L2122" s="3">
        <f t="shared" si="522"/>
        <v>1</v>
      </c>
      <c r="M2122" s="3">
        <f t="shared" si="523"/>
        <v>0</v>
      </c>
      <c r="N2122" s="3" t="str">
        <f t="shared" si="524"/>
        <v>01</v>
      </c>
      <c r="O2122" s="14" t="str">
        <f t="shared" si="524"/>
        <v>00</v>
      </c>
      <c r="P2122" s="11"/>
      <c r="R2122" s="6">
        <v>514</v>
      </c>
      <c r="S2122" s="5">
        <f t="shared" si="517"/>
        <v>0</v>
      </c>
      <c r="T2122" s="25"/>
    </row>
    <row r="2123" spans="1:22" hidden="1">
      <c r="J2123" s="1" t="str">
        <f t="shared" si="520"/>
        <v>0</v>
      </c>
      <c r="K2123" s="3">
        <f t="shared" si="521"/>
        <v>-100</v>
      </c>
      <c r="L2123" s="3">
        <f t="shared" si="522"/>
        <v>1</v>
      </c>
      <c r="M2123" s="3">
        <f t="shared" si="523"/>
        <v>0</v>
      </c>
      <c r="N2123" s="3" t="str">
        <f t="shared" si="524"/>
        <v>01</v>
      </c>
      <c r="O2123" s="14" t="str">
        <f t="shared" si="524"/>
        <v>00</v>
      </c>
      <c r="P2123" s="11"/>
      <c r="R2123" s="6">
        <v>514</v>
      </c>
      <c r="S2123" s="5">
        <f t="shared" si="517"/>
        <v>0</v>
      </c>
      <c r="T2123" s="25"/>
    </row>
    <row r="2124" spans="1:22" hidden="1">
      <c r="J2124" s="1" t="str">
        <f t="shared" si="520"/>
        <v>0</v>
      </c>
      <c r="K2124" s="3">
        <f t="shared" si="521"/>
        <v>-100</v>
      </c>
      <c r="L2124" s="3">
        <f t="shared" si="522"/>
        <v>1</v>
      </c>
      <c r="M2124" s="3">
        <f t="shared" si="523"/>
        <v>0</v>
      </c>
      <c r="N2124" s="3" t="str">
        <f t="shared" si="524"/>
        <v>01</v>
      </c>
      <c r="O2124" s="14" t="str">
        <f t="shared" si="524"/>
        <v>00</v>
      </c>
      <c r="P2124" s="11"/>
      <c r="R2124" s="6">
        <v>514</v>
      </c>
      <c r="S2124" s="5">
        <f t="shared" si="517"/>
        <v>0</v>
      </c>
      <c r="T2124" s="25"/>
    </row>
    <row r="2125" spans="1:22" hidden="1">
      <c r="J2125" s="1" t="str">
        <f t="shared" si="520"/>
        <v>0</v>
      </c>
      <c r="K2125" s="3">
        <f t="shared" si="521"/>
        <v>-100</v>
      </c>
      <c r="L2125" s="3">
        <f t="shared" si="522"/>
        <v>1</v>
      </c>
      <c r="M2125" s="3">
        <f t="shared" si="523"/>
        <v>0</v>
      </c>
      <c r="N2125" s="3" t="str">
        <f t="shared" si="524"/>
        <v>01</v>
      </c>
      <c r="O2125" s="14" t="str">
        <f t="shared" si="524"/>
        <v>00</v>
      </c>
      <c r="P2125" s="11"/>
      <c r="R2125" s="6">
        <v>514</v>
      </c>
      <c r="S2125" s="5">
        <f t="shared" si="517"/>
        <v>0</v>
      </c>
      <c r="T2125" s="25"/>
    </row>
    <row r="2126" spans="1:22">
      <c r="A2126" s="3">
        <v>2107</v>
      </c>
      <c r="B2126" s="1">
        <f t="shared" si="514"/>
        <v>0</v>
      </c>
      <c r="C2126" s="1">
        <f t="shared" si="515"/>
        <v>1</v>
      </c>
      <c r="D2126" s="1">
        <f t="shared" si="518"/>
        <v>0</v>
      </c>
      <c r="E2126" s="1">
        <f t="shared" ref="E2126:F2154" si="525">IF(U2126="",1,0)</f>
        <v>0</v>
      </c>
      <c r="F2126" s="1">
        <f t="shared" si="525"/>
        <v>0</v>
      </c>
      <c r="G2126" s="1" t="str">
        <f t="shared" si="519"/>
        <v>24092828</v>
      </c>
      <c r="H2126" s="2">
        <v>45563</v>
      </c>
      <c r="I2126" s="36">
        <v>28</v>
      </c>
      <c r="J2126" s="1">
        <f t="shared" si="520"/>
        <v>28</v>
      </c>
      <c r="K2126" s="3">
        <f t="shared" si="521"/>
        <v>24</v>
      </c>
      <c r="L2126" s="3">
        <f t="shared" si="522"/>
        <v>9</v>
      </c>
      <c r="M2126" s="3">
        <f t="shared" si="523"/>
        <v>28</v>
      </c>
      <c r="N2126" s="3" t="str">
        <f t="shared" si="524"/>
        <v>09</v>
      </c>
      <c r="O2126" s="14">
        <f t="shared" si="524"/>
        <v>28</v>
      </c>
      <c r="P2126" s="11">
        <v>252000</v>
      </c>
      <c r="R2126" s="6">
        <v>514</v>
      </c>
      <c r="S2126" s="5">
        <f t="shared" si="517"/>
        <v>490.27237354085605</v>
      </c>
      <c r="T2126" s="25" t="s">
        <v>858</v>
      </c>
      <c r="U2126" s="3" t="s">
        <v>1</v>
      </c>
      <c r="V2126" s="3" t="s">
        <v>5</v>
      </c>
    </row>
    <row r="2127" spans="1:22">
      <c r="A2127" s="3">
        <v>2108</v>
      </c>
      <c r="B2127" s="1">
        <f t="shared" si="514"/>
        <v>0</v>
      </c>
      <c r="C2127" s="1">
        <f t="shared" si="515"/>
        <v>0</v>
      </c>
      <c r="D2127" s="1">
        <f t="shared" si="518"/>
        <v>0</v>
      </c>
      <c r="E2127" s="1">
        <f t="shared" si="525"/>
        <v>0</v>
      </c>
      <c r="F2127" s="1">
        <f t="shared" si="525"/>
        <v>0</v>
      </c>
      <c r="G2127" s="1" t="str">
        <f t="shared" si="519"/>
        <v>24092829</v>
      </c>
      <c r="H2127" s="2">
        <v>45563</v>
      </c>
      <c r="I2127" s="36">
        <v>29</v>
      </c>
      <c r="J2127" s="1">
        <f t="shared" si="520"/>
        <v>29</v>
      </c>
      <c r="K2127" s="3">
        <f t="shared" si="521"/>
        <v>24</v>
      </c>
      <c r="L2127" s="3">
        <f t="shared" si="522"/>
        <v>9</v>
      </c>
      <c r="M2127" s="3">
        <f t="shared" si="523"/>
        <v>28</v>
      </c>
      <c r="N2127" s="3" t="str">
        <f t="shared" si="524"/>
        <v>09</v>
      </c>
      <c r="O2127" s="14">
        <f t="shared" si="524"/>
        <v>28</v>
      </c>
      <c r="P2127" s="11">
        <v>90000</v>
      </c>
      <c r="R2127" s="6">
        <v>514</v>
      </c>
      <c r="S2127" s="5">
        <f t="shared" si="517"/>
        <v>175.09727626459144</v>
      </c>
      <c r="T2127" s="25" t="s">
        <v>855</v>
      </c>
      <c r="U2127" s="3" t="s">
        <v>1</v>
      </c>
      <c r="V2127" s="3" t="s">
        <v>5</v>
      </c>
    </row>
    <row r="2128" spans="1:22">
      <c r="A2128" s="3">
        <v>2109</v>
      </c>
      <c r="B2128" s="1">
        <f t="shared" si="514"/>
        <v>0</v>
      </c>
      <c r="C2128" s="1">
        <f t="shared" si="515"/>
        <v>0</v>
      </c>
      <c r="D2128" s="1">
        <f t="shared" si="518"/>
        <v>0</v>
      </c>
      <c r="E2128" s="1">
        <f t="shared" si="525"/>
        <v>0</v>
      </c>
      <c r="F2128" s="1">
        <f t="shared" si="525"/>
        <v>0</v>
      </c>
      <c r="G2128" s="1" t="str">
        <f t="shared" si="519"/>
        <v>24092830</v>
      </c>
      <c r="H2128" s="2">
        <v>45563</v>
      </c>
      <c r="I2128" s="36">
        <v>30</v>
      </c>
      <c r="J2128" s="1">
        <f t="shared" si="520"/>
        <v>30</v>
      </c>
      <c r="K2128" s="3">
        <f t="shared" si="521"/>
        <v>24</v>
      </c>
      <c r="L2128" s="3">
        <f t="shared" si="522"/>
        <v>9</v>
      </c>
      <c r="M2128" s="3">
        <f t="shared" si="523"/>
        <v>28</v>
      </c>
      <c r="N2128" s="3" t="str">
        <f t="shared" si="524"/>
        <v>09</v>
      </c>
      <c r="O2128" s="14">
        <f t="shared" si="524"/>
        <v>28</v>
      </c>
      <c r="P2128" s="11">
        <v>30000</v>
      </c>
      <c r="R2128" s="6">
        <v>514</v>
      </c>
      <c r="S2128" s="5">
        <f t="shared" si="517"/>
        <v>58.365758754863812</v>
      </c>
      <c r="T2128" s="27" t="s">
        <v>864</v>
      </c>
      <c r="U2128" s="3" t="s">
        <v>1</v>
      </c>
      <c r="V2128" s="3" t="s">
        <v>5</v>
      </c>
    </row>
    <row r="2129" spans="1:22">
      <c r="A2129" s="3">
        <v>2110</v>
      </c>
      <c r="B2129" s="1">
        <f t="shared" si="514"/>
        <v>0</v>
      </c>
      <c r="C2129" s="1">
        <f t="shared" si="515"/>
        <v>0</v>
      </c>
      <c r="D2129" s="1">
        <f t="shared" si="518"/>
        <v>0</v>
      </c>
      <c r="E2129" s="1">
        <f t="shared" si="525"/>
        <v>0</v>
      </c>
      <c r="F2129" s="1">
        <f t="shared" si="525"/>
        <v>0</v>
      </c>
      <c r="G2129" s="1" t="str">
        <f t="shared" si="519"/>
        <v>24092831</v>
      </c>
      <c r="H2129" s="2">
        <v>45563</v>
      </c>
      <c r="I2129" s="36">
        <v>31</v>
      </c>
      <c r="J2129" s="1">
        <f t="shared" si="520"/>
        <v>31</v>
      </c>
      <c r="K2129" s="3">
        <f t="shared" si="521"/>
        <v>24</v>
      </c>
      <c r="L2129" s="3">
        <f t="shared" si="522"/>
        <v>9</v>
      </c>
      <c r="M2129" s="3">
        <f t="shared" si="523"/>
        <v>28</v>
      </c>
      <c r="N2129" s="3" t="str">
        <f t="shared" si="524"/>
        <v>09</v>
      </c>
      <c r="O2129" s="14">
        <f t="shared" si="524"/>
        <v>28</v>
      </c>
      <c r="P2129" s="11">
        <v>60000</v>
      </c>
      <c r="R2129" s="6">
        <v>514</v>
      </c>
      <c r="S2129" s="5">
        <f t="shared" si="517"/>
        <v>116.73151750972762</v>
      </c>
      <c r="T2129" s="27" t="s">
        <v>865</v>
      </c>
      <c r="U2129" s="3" t="s">
        <v>1</v>
      </c>
      <c r="V2129" s="3" t="s">
        <v>5</v>
      </c>
    </row>
    <row r="2130" spans="1:22">
      <c r="A2130" s="3">
        <v>2111</v>
      </c>
      <c r="B2130" s="1">
        <f t="shared" si="514"/>
        <v>0</v>
      </c>
      <c r="C2130" s="1">
        <f t="shared" si="515"/>
        <v>0</v>
      </c>
      <c r="D2130" s="1">
        <f t="shared" si="518"/>
        <v>0</v>
      </c>
      <c r="E2130" s="1">
        <f t="shared" si="525"/>
        <v>0</v>
      </c>
      <c r="F2130" s="1">
        <f t="shared" si="525"/>
        <v>0</v>
      </c>
      <c r="G2130" s="1" t="str">
        <f t="shared" si="519"/>
        <v>24092832</v>
      </c>
      <c r="H2130" s="2">
        <v>45563</v>
      </c>
      <c r="I2130" s="36">
        <v>32</v>
      </c>
      <c r="J2130" s="1">
        <f t="shared" si="520"/>
        <v>32</v>
      </c>
      <c r="K2130" s="3">
        <f t="shared" si="521"/>
        <v>24</v>
      </c>
      <c r="L2130" s="3">
        <f t="shared" si="522"/>
        <v>9</v>
      </c>
      <c r="M2130" s="3">
        <f t="shared" si="523"/>
        <v>28</v>
      </c>
      <c r="N2130" s="3" t="str">
        <f t="shared" si="524"/>
        <v>09</v>
      </c>
      <c r="O2130" s="14">
        <f t="shared" si="524"/>
        <v>28</v>
      </c>
      <c r="P2130" s="11">
        <v>30000</v>
      </c>
      <c r="R2130" s="6">
        <v>514</v>
      </c>
      <c r="S2130" s="5">
        <f t="shared" si="517"/>
        <v>58.365758754863812</v>
      </c>
      <c r="T2130" s="27" t="s">
        <v>866</v>
      </c>
      <c r="U2130" s="3" t="s">
        <v>1</v>
      </c>
      <c r="V2130" s="3" t="s">
        <v>5</v>
      </c>
    </row>
    <row r="2131" spans="1:22">
      <c r="A2131" s="3">
        <v>2112</v>
      </c>
      <c r="B2131" s="1">
        <f t="shared" si="514"/>
        <v>0</v>
      </c>
      <c r="C2131" s="1">
        <f t="shared" si="515"/>
        <v>0</v>
      </c>
      <c r="D2131" s="1">
        <f t="shared" si="518"/>
        <v>0</v>
      </c>
      <c r="E2131" s="1">
        <f t="shared" si="525"/>
        <v>0</v>
      </c>
      <c r="F2131" s="1">
        <f t="shared" si="525"/>
        <v>0</v>
      </c>
      <c r="G2131" s="1" t="str">
        <f t="shared" si="519"/>
        <v>24092833</v>
      </c>
      <c r="H2131" s="2">
        <v>45563</v>
      </c>
      <c r="I2131" s="36">
        <v>33</v>
      </c>
      <c r="J2131" s="1">
        <f t="shared" si="520"/>
        <v>33</v>
      </c>
      <c r="K2131" s="3">
        <f t="shared" si="521"/>
        <v>24</v>
      </c>
      <c r="L2131" s="3">
        <f t="shared" si="522"/>
        <v>9</v>
      </c>
      <c r="M2131" s="3">
        <f t="shared" si="523"/>
        <v>28</v>
      </c>
      <c r="N2131" s="3" t="str">
        <f t="shared" si="524"/>
        <v>09</v>
      </c>
      <c r="O2131" s="14">
        <f t="shared" si="524"/>
        <v>28</v>
      </c>
      <c r="P2131" s="11">
        <v>25000</v>
      </c>
      <c r="R2131" s="6">
        <v>514</v>
      </c>
      <c r="S2131" s="5">
        <f t="shared" si="517"/>
        <v>48.638132295719842</v>
      </c>
      <c r="T2131" s="27" t="s">
        <v>867</v>
      </c>
      <c r="U2131" s="3" t="s">
        <v>1</v>
      </c>
      <c r="V2131" s="3" t="s">
        <v>5</v>
      </c>
    </row>
    <row r="2132" spans="1:22">
      <c r="A2132" s="3">
        <v>2113</v>
      </c>
      <c r="B2132" s="1">
        <f t="shared" si="514"/>
        <v>0</v>
      </c>
      <c r="C2132" s="1">
        <f t="shared" si="515"/>
        <v>0</v>
      </c>
      <c r="D2132" s="1">
        <f t="shared" si="518"/>
        <v>0</v>
      </c>
      <c r="E2132" s="1">
        <f t="shared" si="525"/>
        <v>0</v>
      </c>
      <c r="F2132" s="1">
        <f t="shared" si="525"/>
        <v>0</v>
      </c>
      <c r="G2132" s="1" t="str">
        <f t="shared" si="519"/>
        <v>24092834</v>
      </c>
      <c r="H2132" s="2">
        <v>45563</v>
      </c>
      <c r="I2132" s="36">
        <v>34</v>
      </c>
      <c r="J2132" s="1">
        <f t="shared" si="520"/>
        <v>34</v>
      </c>
      <c r="K2132" s="3">
        <f t="shared" si="521"/>
        <v>24</v>
      </c>
      <c r="L2132" s="3">
        <f t="shared" si="522"/>
        <v>9</v>
      </c>
      <c r="M2132" s="3">
        <f t="shared" si="523"/>
        <v>28</v>
      </c>
      <c r="N2132" s="3" t="str">
        <f t="shared" si="524"/>
        <v>09</v>
      </c>
      <c r="O2132" s="14">
        <f t="shared" si="524"/>
        <v>28</v>
      </c>
      <c r="P2132" s="11">
        <v>30000</v>
      </c>
      <c r="R2132" s="6">
        <v>514</v>
      </c>
      <c r="S2132" s="5">
        <f t="shared" si="517"/>
        <v>58.365758754863812</v>
      </c>
      <c r="T2132" s="27" t="s">
        <v>864</v>
      </c>
      <c r="U2132" s="3" t="s">
        <v>1</v>
      </c>
      <c r="V2132" s="3" t="s">
        <v>5</v>
      </c>
    </row>
    <row r="2133" spans="1:22">
      <c r="A2133" s="3">
        <v>2114</v>
      </c>
      <c r="B2133" s="1">
        <f t="shared" si="514"/>
        <v>0</v>
      </c>
      <c r="C2133" s="1">
        <f t="shared" si="515"/>
        <v>0</v>
      </c>
      <c r="D2133" s="1">
        <f t="shared" si="518"/>
        <v>0</v>
      </c>
      <c r="E2133" s="1">
        <f t="shared" si="525"/>
        <v>0</v>
      </c>
      <c r="F2133" s="1">
        <f t="shared" si="525"/>
        <v>0</v>
      </c>
      <c r="G2133" s="1" t="str">
        <f t="shared" si="519"/>
        <v>24092835</v>
      </c>
      <c r="H2133" s="2">
        <v>45563</v>
      </c>
      <c r="I2133" s="36">
        <v>35</v>
      </c>
      <c r="J2133" s="1">
        <f t="shared" si="520"/>
        <v>35</v>
      </c>
      <c r="K2133" s="3">
        <f t="shared" si="521"/>
        <v>24</v>
      </c>
      <c r="L2133" s="3">
        <f t="shared" si="522"/>
        <v>9</v>
      </c>
      <c r="M2133" s="3">
        <f t="shared" si="523"/>
        <v>28</v>
      </c>
      <c r="N2133" s="3" t="str">
        <f t="shared" si="524"/>
        <v>09</v>
      </c>
      <c r="O2133" s="14">
        <f t="shared" si="524"/>
        <v>28</v>
      </c>
      <c r="P2133" s="11">
        <v>30000</v>
      </c>
      <c r="R2133" s="6">
        <v>514</v>
      </c>
      <c r="S2133" s="5">
        <f t="shared" si="517"/>
        <v>58.365758754863812</v>
      </c>
      <c r="T2133" s="27" t="s">
        <v>868</v>
      </c>
      <c r="U2133" s="3" t="s">
        <v>1</v>
      </c>
      <c r="V2133" s="3" t="s">
        <v>5</v>
      </c>
    </row>
    <row r="2134" spans="1:22">
      <c r="A2134" s="3">
        <v>2115</v>
      </c>
      <c r="B2134" s="1">
        <f t="shared" si="514"/>
        <v>0</v>
      </c>
      <c r="C2134" s="1">
        <f t="shared" si="515"/>
        <v>0</v>
      </c>
      <c r="D2134" s="1">
        <f t="shared" si="518"/>
        <v>0</v>
      </c>
      <c r="E2134" s="1">
        <f t="shared" si="525"/>
        <v>0</v>
      </c>
      <c r="F2134" s="1">
        <f t="shared" si="525"/>
        <v>0</v>
      </c>
      <c r="G2134" s="1" t="str">
        <f t="shared" si="519"/>
        <v>24092836</v>
      </c>
      <c r="H2134" s="2">
        <v>45563</v>
      </c>
      <c r="I2134" s="36">
        <v>36</v>
      </c>
      <c r="J2134" s="1">
        <f t="shared" si="520"/>
        <v>36</v>
      </c>
      <c r="K2134" s="3">
        <f t="shared" si="521"/>
        <v>24</v>
      </c>
      <c r="L2134" s="3">
        <f t="shared" si="522"/>
        <v>9</v>
      </c>
      <c r="M2134" s="3">
        <f t="shared" si="523"/>
        <v>28</v>
      </c>
      <c r="N2134" s="3" t="str">
        <f t="shared" si="524"/>
        <v>09</v>
      </c>
      <c r="O2134" s="14">
        <f t="shared" si="524"/>
        <v>28</v>
      </c>
      <c r="P2134" s="11">
        <v>30000</v>
      </c>
      <c r="R2134" s="6">
        <v>514</v>
      </c>
      <c r="S2134" s="5">
        <f t="shared" si="517"/>
        <v>58.365758754863812</v>
      </c>
      <c r="T2134" s="27" t="s">
        <v>869</v>
      </c>
      <c r="U2134" s="3" t="s">
        <v>1</v>
      </c>
      <c r="V2134" s="3" t="s">
        <v>5</v>
      </c>
    </row>
    <row r="2135" spans="1:22">
      <c r="A2135" s="3">
        <v>2116</v>
      </c>
      <c r="B2135" s="1">
        <f t="shared" si="514"/>
        <v>0</v>
      </c>
      <c r="C2135" s="1">
        <f t="shared" si="515"/>
        <v>0</v>
      </c>
      <c r="D2135" s="1">
        <f t="shared" si="518"/>
        <v>0</v>
      </c>
      <c r="E2135" s="1">
        <f t="shared" si="525"/>
        <v>0</v>
      </c>
      <c r="F2135" s="1">
        <f t="shared" si="525"/>
        <v>0</v>
      </c>
      <c r="G2135" s="1" t="str">
        <f t="shared" si="519"/>
        <v>24092837</v>
      </c>
      <c r="H2135" s="2">
        <v>45563</v>
      </c>
      <c r="I2135" s="36">
        <v>37</v>
      </c>
      <c r="J2135" s="1">
        <f t="shared" si="520"/>
        <v>37</v>
      </c>
      <c r="K2135" s="3">
        <f t="shared" si="521"/>
        <v>24</v>
      </c>
      <c r="L2135" s="3">
        <f t="shared" si="522"/>
        <v>9</v>
      </c>
      <c r="M2135" s="3">
        <f t="shared" si="523"/>
        <v>28</v>
      </c>
      <c r="N2135" s="3" t="str">
        <f t="shared" si="524"/>
        <v>09</v>
      </c>
      <c r="O2135" s="14">
        <f t="shared" si="524"/>
        <v>28</v>
      </c>
      <c r="P2135" s="4">
        <v>16380.48</v>
      </c>
      <c r="R2135" s="6">
        <v>514</v>
      </c>
      <c r="S2135" s="5">
        <f t="shared" si="517"/>
        <v>31.868638132295718</v>
      </c>
      <c r="T2135" s="5" t="s">
        <v>1174</v>
      </c>
      <c r="U2135" s="3" t="s">
        <v>29</v>
      </c>
      <c r="V2135" s="3" t="s">
        <v>5</v>
      </c>
    </row>
    <row r="2136" spans="1:22">
      <c r="A2136" s="3">
        <v>2117</v>
      </c>
      <c r="B2136" s="1">
        <f t="shared" si="514"/>
        <v>0</v>
      </c>
      <c r="C2136" s="1">
        <f t="shared" si="515"/>
        <v>0</v>
      </c>
      <c r="D2136" s="1">
        <f t="shared" si="518"/>
        <v>0</v>
      </c>
      <c r="E2136" s="1">
        <f t="shared" si="525"/>
        <v>0</v>
      </c>
      <c r="F2136" s="1">
        <f t="shared" si="525"/>
        <v>0</v>
      </c>
      <c r="G2136" s="1" t="str">
        <f t="shared" si="519"/>
        <v>24092838</v>
      </c>
      <c r="H2136" s="2">
        <v>45563</v>
      </c>
      <c r="I2136" s="36">
        <v>38</v>
      </c>
      <c r="J2136" s="1">
        <f t="shared" si="520"/>
        <v>38</v>
      </c>
      <c r="K2136" s="3">
        <f t="shared" si="521"/>
        <v>24</v>
      </c>
      <c r="L2136" s="3">
        <f t="shared" si="522"/>
        <v>9</v>
      </c>
      <c r="M2136" s="3">
        <f t="shared" si="523"/>
        <v>28</v>
      </c>
      <c r="N2136" s="3" t="str">
        <f t="shared" si="524"/>
        <v>09</v>
      </c>
      <c r="O2136" s="14">
        <f t="shared" si="524"/>
        <v>28</v>
      </c>
      <c r="P2136" s="4">
        <v>7000</v>
      </c>
      <c r="R2136" s="6">
        <v>514</v>
      </c>
      <c r="S2136" s="5">
        <f t="shared" si="517"/>
        <v>13.618677042801556</v>
      </c>
      <c r="T2136" s="5" t="s">
        <v>361</v>
      </c>
      <c r="U2136" s="3" t="s">
        <v>29</v>
      </c>
      <c r="V2136" s="3" t="s">
        <v>5</v>
      </c>
    </row>
    <row r="2137" spans="1:22" hidden="1">
      <c r="J2137" s="1" t="str">
        <f t="shared" si="520"/>
        <v>0</v>
      </c>
      <c r="K2137" s="3">
        <f t="shared" si="521"/>
        <v>-100</v>
      </c>
      <c r="L2137" s="3">
        <f t="shared" si="522"/>
        <v>1</v>
      </c>
      <c r="M2137" s="3">
        <f t="shared" si="523"/>
        <v>0</v>
      </c>
      <c r="N2137" s="3" t="str">
        <f t="shared" si="524"/>
        <v>01</v>
      </c>
      <c r="O2137" s="14" t="str">
        <f t="shared" si="524"/>
        <v>00</v>
      </c>
    </row>
    <row r="2138" spans="1:22" hidden="1">
      <c r="J2138" s="1" t="str">
        <f t="shared" si="520"/>
        <v>0</v>
      </c>
      <c r="K2138" s="3">
        <f t="shared" si="521"/>
        <v>-100</v>
      </c>
      <c r="L2138" s="3">
        <f t="shared" si="522"/>
        <v>1</v>
      </c>
      <c r="M2138" s="3">
        <f t="shared" si="523"/>
        <v>0</v>
      </c>
      <c r="N2138" s="3" t="str">
        <f t="shared" si="524"/>
        <v>01</v>
      </c>
      <c r="O2138" s="14" t="str">
        <f t="shared" si="524"/>
        <v>00</v>
      </c>
      <c r="P2138" s="132"/>
      <c r="R2138" s="6">
        <v>514</v>
      </c>
      <c r="S2138" s="5">
        <f t="shared" ref="S2138:S2145" si="526">IFERROR(P2138/R2138,"")</f>
        <v>0</v>
      </c>
    </row>
    <row r="2139" spans="1:22" hidden="1">
      <c r="J2139" s="1" t="str">
        <f t="shared" si="520"/>
        <v>0</v>
      </c>
      <c r="K2139" s="3">
        <f t="shared" si="521"/>
        <v>-100</v>
      </c>
      <c r="L2139" s="3">
        <f t="shared" si="522"/>
        <v>1</v>
      </c>
      <c r="M2139" s="3">
        <f t="shared" si="523"/>
        <v>0</v>
      </c>
      <c r="N2139" s="3" t="str">
        <f t="shared" si="524"/>
        <v>01</v>
      </c>
      <c r="O2139" s="14" t="str">
        <f t="shared" si="524"/>
        <v>00</v>
      </c>
      <c r="R2139" s="6">
        <v>514</v>
      </c>
      <c r="S2139" s="5">
        <f t="shared" si="526"/>
        <v>0</v>
      </c>
    </row>
    <row r="2140" spans="1:22" hidden="1">
      <c r="J2140" s="1" t="str">
        <f t="shared" si="520"/>
        <v>0</v>
      </c>
      <c r="K2140" s="3">
        <f t="shared" si="521"/>
        <v>-100</v>
      </c>
      <c r="L2140" s="3">
        <f t="shared" si="522"/>
        <v>1</v>
      </c>
      <c r="M2140" s="3">
        <f t="shared" si="523"/>
        <v>0</v>
      </c>
      <c r="N2140" s="3" t="str">
        <f t="shared" si="524"/>
        <v>01</v>
      </c>
      <c r="O2140" s="14" t="str">
        <f t="shared" si="524"/>
        <v>00</v>
      </c>
      <c r="R2140" s="6">
        <v>514</v>
      </c>
      <c r="S2140" s="5">
        <f t="shared" si="526"/>
        <v>0</v>
      </c>
    </row>
    <row r="2141" spans="1:22" hidden="1">
      <c r="J2141" s="1" t="str">
        <f t="shared" si="520"/>
        <v>0</v>
      </c>
      <c r="K2141" s="3">
        <f t="shared" si="521"/>
        <v>-100</v>
      </c>
      <c r="L2141" s="3">
        <f t="shared" si="522"/>
        <v>1</v>
      </c>
      <c r="M2141" s="3">
        <f t="shared" si="523"/>
        <v>0</v>
      </c>
      <c r="N2141" s="3" t="str">
        <f t="shared" si="524"/>
        <v>01</v>
      </c>
      <c r="O2141" s="14" t="str">
        <f t="shared" si="524"/>
        <v>00</v>
      </c>
      <c r="R2141" s="6">
        <v>514</v>
      </c>
      <c r="S2141" s="5">
        <f t="shared" si="526"/>
        <v>0</v>
      </c>
    </row>
    <row r="2142" spans="1:22" hidden="1">
      <c r="J2142" s="1" t="str">
        <f t="shared" si="520"/>
        <v>0</v>
      </c>
      <c r="K2142" s="3">
        <f t="shared" si="521"/>
        <v>-100</v>
      </c>
      <c r="L2142" s="3">
        <f t="shared" si="522"/>
        <v>1</v>
      </c>
      <c r="M2142" s="3">
        <f t="shared" si="523"/>
        <v>0</v>
      </c>
      <c r="N2142" s="3" t="str">
        <f t="shared" si="524"/>
        <v>01</v>
      </c>
      <c r="O2142" s="14" t="str">
        <f t="shared" si="524"/>
        <v>00</v>
      </c>
      <c r="R2142" s="6">
        <v>514</v>
      </c>
      <c r="S2142" s="5">
        <f t="shared" si="526"/>
        <v>0</v>
      </c>
    </row>
    <row r="2143" spans="1:22" hidden="1">
      <c r="J2143" s="1" t="str">
        <f t="shared" si="520"/>
        <v>0</v>
      </c>
      <c r="K2143" s="3">
        <f t="shared" si="521"/>
        <v>-100</v>
      </c>
      <c r="L2143" s="3">
        <f t="shared" si="522"/>
        <v>1</v>
      </c>
      <c r="M2143" s="3">
        <f t="shared" si="523"/>
        <v>0</v>
      </c>
      <c r="N2143" s="3" t="str">
        <f t="shared" si="524"/>
        <v>01</v>
      </c>
      <c r="O2143" s="14" t="str">
        <f t="shared" si="524"/>
        <v>00</v>
      </c>
      <c r="R2143" s="6">
        <v>514</v>
      </c>
      <c r="S2143" s="5">
        <f t="shared" si="526"/>
        <v>0</v>
      </c>
    </row>
    <row r="2144" spans="1:22" hidden="1">
      <c r="J2144" s="1" t="str">
        <f t="shared" si="520"/>
        <v>0</v>
      </c>
      <c r="K2144" s="3">
        <f t="shared" si="521"/>
        <v>-100</v>
      </c>
      <c r="L2144" s="3">
        <f t="shared" si="522"/>
        <v>1</v>
      </c>
      <c r="M2144" s="3">
        <f t="shared" si="523"/>
        <v>0</v>
      </c>
      <c r="N2144" s="3" t="str">
        <f t="shared" si="524"/>
        <v>01</v>
      </c>
      <c r="O2144" s="14" t="str">
        <f t="shared" si="524"/>
        <v>00</v>
      </c>
      <c r="R2144" s="6">
        <v>514</v>
      </c>
      <c r="S2144" s="5">
        <f t="shared" si="526"/>
        <v>0</v>
      </c>
    </row>
    <row r="2145" spans="1:23" hidden="1">
      <c r="J2145" s="1" t="str">
        <f t="shared" si="520"/>
        <v>0</v>
      </c>
      <c r="K2145" s="3">
        <f t="shared" si="521"/>
        <v>-100</v>
      </c>
      <c r="L2145" s="3">
        <f t="shared" si="522"/>
        <v>1</v>
      </c>
      <c r="M2145" s="3">
        <f t="shared" si="523"/>
        <v>0</v>
      </c>
      <c r="N2145" s="3" t="str">
        <f t="shared" si="524"/>
        <v>01</v>
      </c>
      <c r="O2145" s="14" t="str">
        <f t="shared" si="524"/>
        <v>00</v>
      </c>
      <c r="R2145" s="6">
        <v>514</v>
      </c>
      <c r="S2145" s="5">
        <f t="shared" si="526"/>
        <v>0</v>
      </c>
    </row>
    <row r="2146" spans="1:23" hidden="1">
      <c r="J2146" s="1" t="str">
        <f t="shared" si="520"/>
        <v>0</v>
      </c>
      <c r="K2146" s="3">
        <f t="shared" si="521"/>
        <v>-100</v>
      </c>
      <c r="L2146" s="3">
        <f t="shared" si="522"/>
        <v>1</v>
      </c>
      <c r="M2146" s="3">
        <f t="shared" si="523"/>
        <v>0</v>
      </c>
      <c r="N2146" s="3" t="str">
        <f t="shared" si="524"/>
        <v>01</v>
      </c>
      <c r="O2146" s="14" t="str">
        <f t="shared" si="524"/>
        <v>00</v>
      </c>
    </row>
    <row r="2147" spans="1:23">
      <c r="A2147" s="3">
        <v>2128</v>
      </c>
      <c r="B2147" s="1">
        <f t="shared" si="514"/>
        <v>0</v>
      </c>
      <c r="C2147" s="1">
        <f t="shared" si="515"/>
        <v>0</v>
      </c>
      <c r="D2147" s="1">
        <f t="shared" si="518"/>
        <v>0</v>
      </c>
      <c r="E2147" s="1">
        <f t="shared" si="525"/>
        <v>0</v>
      </c>
      <c r="F2147" s="1">
        <f t="shared" si="525"/>
        <v>0</v>
      </c>
      <c r="G2147" s="1" t="str">
        <f t="shared" si="519"/>
        <v>24093001</v>
      </c>
      <c r="H2147" s="2">
        <v>45565</v>
      </c>
      <c r="I2147" s="36">
        <v>1</v>
      </c>
      <c r="J2147" s="1" t="str">
        <f t="shared" si="520"/>
        <v>01</v>
      </c>
      <c r="K2147" s="3">
        <f t="shared" si="521"/>
        <v>24</v>
      </c>
      <c r="L2147" s="3">
        <f t="shared" si="522"/>
        <v>9</v>
      </c>
      <c r="M2147" s="3">
        <f t="shared" si="523"/>
        <v>30</v>
      </c>
      <c r="N2147" s="3" t="str">
        <f t="shared" si="524"/>
        <v>09</v>
      </c>
      <c r="O2147" s="14">
        <f t="shared" si="524"/>
        <v>30</v>
      </c>
      <c r="P2147" s="4">
        <v>25663.71</v>
      </c>
      <c r="R2147" s="6">
        <v>512</v>
      </c>
      <c r="S2147" s="5">
        <f>IFERROR(P2147/R2147,"")</f>
        <v>50.124433593749998</v>
      </c>
      <c r="T2147" s="5" t="s">
        <v>908</v>
      </c>
      <c r="U2147" s="3" t="s">
        <v>29</v>
      </c>
      <c r="V2147" s="3" t="s">
        <v>5</v>
      </c>
    </row>
    <row r="2148" spans="1:23" hidden="1">
      <c r="J2148" s="1" t="str">
        <f t="shared" si="520"/>
        <v>0</v>
      </c>
      <c r="K2148" s="3">
        <f t="shared" si="521"/>
        <v>-100</v>
      </c>
      <c r="L2148" s="3">
        <f t="shared" si="522"/>
        <v>1</v>
      </c>
      <c r="M2148" s="3">
        <f t="shared" si="523"/>
        <v>0</v>
      </c>
      <c r="N2148" s="3" t="str">
        <f t="shared" si="524"/>
        <v>01</v>
      </c>
      <c r="O2148" s="14" t="str">
        <f t="shared" si="524"/>
        <v>00</v>
      </c>
      <c r="R2148" s="6">
        <v>512</v>
      </c>
      <c r="S2148" s="5">
        <f>IFERROR(P2148/R2148,"")</f>
        <v>0</v>
      </c>
    </row>
    <row r="2149" spans="1:23" hidden="1">
      <c r="J2149" s="1" t="str">
        <f t="shared" si="520"/>
        <v>0</v>
      </c>
      <c r="K2149" s="3">
        <f t="shared" si="521"/>
        <v>-100</v>
      </c>
      <c r="L2149" s="3">
        <f t="shared" si="522"/>
        <v>1</v>
      </c>
      <c r="M2149" s="3">
        <f t="shared" si="523"/>
        <v>0</v>
      </c>
      <c r="N2149" s="3" t="str">
        <f t="shared" si="524"/>
        <v>01</v>
      </c>
      <c r="O2149" s="14" t="str">
        <f t="shared" si="524"/>
        <v>00</v>
      </c>
    </row>
    <row r="2150" spans="1:23" hidden="1">
      <c r="J2150" s="1" t="str">
        <f t="shared" si="520"/>
        <v>0</v>
      </c>
      <c r="K2150" s="3">
        <f t="shared" si="521"/>
        <v>-100</v>
      </c>
      <c r="L2150" s="3">
        <f t="shared" si="522"/>
        <v>1</v>
      </c>
      <c r="M2150" s="3">
        <f t="shared" si="523"/>
        <v>0</v>
      </c>
      <c r="N2150" s="3" t="str">
        <f t="shared" si="524"/>
        <v>01</v>
      </c>
      <c r="O2150" s="14" t="str">
        <f t="shared" si="524"/>
        <v>00</v>
      </c>
      <c r="R2150" s="6">
        <v>512</v>
      </c>
      <c r="S2150" s="5">
        <f t="shared" ref="S2150:S2170" si="527">IFERROR(P2150/R2150,"")</f>
        <v>0</v>
      </c>
    </row>
    <row r="2151" spans="1:23" s="42" customFormat="1">
      <c r="A2151" s="3">
        <v>2132</v>
      </c>
      <c r="B2151" s="1">
        <f t="shared" si="514"/>
        <v>0</v>
      </c>
      <c r="C2151" s="1">
        <f t="shared" si="515"/>
        <v>0</v>
      </c>
      <c r="D2151" s="1">
        <f t="shared" si="518"/>
        <v>0</v>
      </c>
      <c r="E2151" s="1">
        <f t="shared" si="525"/>
        <v>0</v>
      </c>
      <c r="F2151" s="1">
        <f t="shared" si="525"/>
        <v>0</v>
      </c>
      <c r="G2151" s="1" t="str">
        <f t="shared" si="519"/>
        <v>24100101</v>
      </c>
      <c r="H2151" s="2">
        <v>45566</v>
      </c>
      <c r="I2151" s="36">
        <v>1</v>
      </c>
      <c r="J2151" s="1" t="str">
        <f t="shared" si="520"/>
        <v>01</v>
      </c>
      <c r="K2151" s="3">
        <f t="shared" si="521"/>
        <v>24</v>
      </c>
      <c r="L2151" s="3">
        <f t="shared" si="522"/>
        <v>10</v>
      </c>
      <c r="M2151" s="3">
        <f t="shared" si="523"/>
        <v>1</v>
      </c>
      <c r="N2151" s="3">
        <f t="shared" si="524"/>
        <v>10</v>
      </c>
      <c r="O2151" s="14" t="str">
        <f t="shared" si="524"/>
        <v>01</v>
      </c>
      <c r="P2151" s="4">
        <v>200000</v>
      </c>
      <c r="Q2151" s="5"/>
      <c r="R2151" s="6">
        <v>511</v>
      </c>
      <c r="S2151" s="5">
        <f t="shared" si="527"/>
        <v>391.38943248532291</v>
      </c>
      <c r="T2151" s="5" t="s">
        <v>871</v>
      </c>
      <c r="U2151" s="3" t="s">
        <v>2</v>
      </c>
      <c r="V2151" s="3" t="s">
        <v>5</v>
      </c>
      <c r="W2151" s="3"/>
    </row>
    <row r="2152" spans="1:23" s="42" customFormat="1" hidden="1">
      <c r="A2152" s="3"/>
      <c r="B2152" s="1"/>
      <c r="C2152" s="1"/>
      <c r="D2152" s="1"/>
      <c r="E2152" s="1"/>
      <c r="F2152" s="1"/>
      <c r="G2152" s="1"/>
      <c r="H2152" s="2"/>
      <c r="I2152" s="36"/>
      <c r="J2152" s="1" t="str">
        <f t="shared" si="520"/>
        <v>0</v>
      </c>
      <c r="K2152" s="3">
        <f t="shared" si="521"/>
        <v>-100</v>
      </c>
      <c r="L2152" s="3">
        <f t="shared" si="522"/>
        <v>1</v>
      </c>
      <c r="M2152" s="3">
        <f t="shared" si="523"/>
        <v>0</v>
      </c>
      <c r="N2152" s="3" t="str">
        <f t="shared" si="524"/>
        <v>01</v>
      </c>
      <c r="O2152" s="14" t="str">
        <f t="shared" si="524"/>
        <v>00</v>
      </c>
      <c r="P2152" s="4"/>
      <c r="Q2152" s="5"/>
      <c r="R2152" s="6">
        <v>511</v>
      </c>
      <c r="S2152" s="5">
        <f t="shared" si="527"/>
        <v>0</v>
      </c>
      <c r="T2152" s="5"/>
      <c r="U2152" s="3"/>
      <c r="V2152" s="3"/>
      <c r="W2152" s="3"/>
    </row>
    <row r="2153" spans="1:23" hidden="1">
      <c r="J2153" s="1" t="str">
        <f t="shared" si="520"/>
        <v>0</v>
      </c>
      <c r="K2153" s="3">
        <f t="shared" si="521"/>
        <v>-100</v>
      </c>
      <c r="L2153" s="3">
        <f t="shared" si="522"/>
        <v>1</v>
      </c>
      <c r="M2153" s="3">
        <f t="shared" si="523"/>
        <v>0</v>
      </c>
      <c r="N2153" s="3" t="str">
        <f t="shared" si="524"/>
        <v>01</v>
      </c>
      <c r="O2153" s="14" t="str">
        <f t="shared" si="524"/>
        <v>00</v>
      </c>
      <c r="R2153" s="6">
        <v>511</v>
      </c>
      <c r="S2153" s="5">
        <f t="shared" si="527"/>
        <v>0</v>
      </c>
    </row>
    <row r="2154" spans="1:23">
      <c r="A2154" s="3">
        <v>2135</v>
      </c>
      <c r="B2154" s="1">
        <f t="shared" si="514"/>
        <v>0</v>
      </c>
      <c r="C2154" s="1">
        <f t="shared" si="515"/>
        <v>1</v>
      </c>
      <c r="D2154" s="1">
        <f t="shared" si="518"/>
        <v>0</v>
      </c>
      <c r="E2154" s="1">
        <f t="shared" si="525"/>
        <v>0</v>
      </c>
      <c r="F2154" s="1">
        <f t="shared" si="525"/>
        <v>0</v>
      </c>
      <c r="G2154" s="1" t="str">
        <f t="shared" si="519"/>
        <v>24100104</v>
      </c>
      <c r="H2154" s="2">
        <v>45566</v>
      </c>
      <c r="I2154" s="36">
        <v>4</v>
      </c>
      <c r="J2154" s="1" t="str">
        <f t="shared" si="520"/>
        <v>04</v>
      </c>
      <c r="K2154" s="3">
        <f t="shared" si="521"/>
        <v>24</v>
      </c>
      <c r="L2154" s="3">
        <f t="shared" si="522"/>
        <v>10</v>
      </c>
      <c r="M2154" s="3">
        <f t="shared" si="523"/>
        <v>1</v>
      </c>
      <c r="N2154" s="3">
        <f t="shared" si="524"/>
        <v>10</v>
      </c>
      <c r="O2154" s="14" t="str">
        <f t="shared" si="524"/>
        <v>01</v>
      </c>
      <c r="P2154" s="4">
        <v>499701.03</v>
      </c>
      <c r="R2154" s="6">
        <v>511</v>
      </c>
      <c r="S2154" s="5">
        <f t="shared" si="527"/>
        <v>977.88851272015665</v>
      </c>
      <c r="T2154" s="5" t="s">
        <v>1201</v>
      </c>
      <c r="U2154" s="3" t="s">
        <v>2</v>
      </c>
      <c r="V2154" s="3" t="s">
        <v>5</v>
      </c>
    </row>
    <row r="2155" spans="1:23" hidden="1">
      <c r="J2155" s="1" t="str">
        <f t="shared" si="520"/>
        <v>0</v>
      </c>
      <c r="K2155" s="3">
        <f t="shared" si="521"/>
        <v>-100</v>
      </c>
      <c r="L2155" s="3">
        <f t="shared" si="522"/>
        <v>1</v>
      </c>
      <c r="M2155" s="3">
        <f t="shared" si="523"/>
        <v>0</v>
      </c>
      <c r="N2155" s="3" t="str">
        <f t="shared" si="524"/>
        <v>01</v>
      </c>
      <c r="O2155" s="14" t="str">
        <f t="shared" si="524"/>
        <v>00</v>
      </c>
      <c r="R2155" s="6">
        <v>511</v>
      </c>
      <c r="S2155" s="5">
        <f t="shared" si="527"/>
        <v>0</v>
      </c>
    </row>
    <row r="2156" spans="1:23" hidden="1">
      <c r="J2156" s="1" t="str">
        <f t="shared" si="520"/>
        <v>0</v>
      </c>
      <c r="K2156" s="3">
        <f t="shared" si="521"/>
        <v>-100</v>
      </c>
      <c r="L2156" s="3">
        <f t="shared" si="522"/>
        <v>1</v>
      </c>
      <c r="M2156" s="3">
        <f t="shared" si="523"/>
        <v>0</v>
      </c>
      <c r="N2156" s="3" t="str">
        <f t="shared" si="524"/>
        <v>01</v>
      </c>
      <c r="O2156" s="14" t="str">
        <f t="shared" si="524"/>
        <v>00</v>
      </c>
      <c r="R2156" s="6">
        <v>511</v>
      </c>
      <c r="S2156" s="5">
        <f t="shared" si="527"/>
        <v>0</v>
      </c>
    </row>
    <row r="2157" spans="1:23" hidden="1">
      <c r="J2157" s="1" t="str">
        <f t="shared" si="520"/>
        <v>0</v>
      </c>
      <c r="K2157" s="3">
        <f t="shared" si="521"/>
        <v>-100</v>
      </c>
      <c r="L2157" s="3">
        <f t="shared" si="522"/>
        <v>1</v>
      </c>
      <c r="M2157" s="3">
        <f t="shared" si="523"/>
        <v>0</v>
      </c>
      <c r="N2157" s="3" t="str">
        <f t="shared" si="524"/>
        <v>01</v>
      </c>
      <c r="O2157" s="14" t="str">
        <f t="shared" si="524"/>
        <v>00</v>
      </c>
      <c r="R2157" s="6">
        <v>511</v>
      </c>
      <c r="S2157" s="5">
        <f t="shared" si="527"/>
        <v>0</v>
      </c>
    </row>
    <row r="2158" spans="1:23" hidden="1">
      <c r="J2158" s="1" t="str">
        <f t="shared" si="520"/>
        <v>0</v>
      </c>
      <c r="K2158" s="3">
        <f t="shared" si="521"/>
        <v>-100</v>
      </c>
      <c r="L2158" s="3">
        <f t="shared" si="522"/>
        <v>1</v>
      </c>
      <c r="M2158" s="3">
        <f t="shared" si="523"/>
        <v>0</v>
      </c>
      <c r="N2158" s="3" t="str">
        <f t="shared" si="524"/>
        <v>01</v>
      </c>
      <c r="O2158" s="14" t="str">
        <f t="shared" si="524"/>
        <v>00</v>
      </c>
      <c r="R2158" s="6">
        <v>511</v>
      </c>
      <c r="S2158" s="5">
        <f t="shared" si="527"/>
        <v>0</v>
      </c>
    </row>
    <row r="2159" spans="1:23" hidden="1">
      <c r="J2159" s="1" t="str">
        <f t="shared" si="520"/>
        <v>0</v>
      </c>
      <c r="K2159" s="3">
        <f t="shared" si="521"/>
        <v>-100</v>
      </c>
      <c r="L2159" s="3">
        <f t="shared" si="522"/>
        <v>1</v>
      </c>
      <c r="M2159" s="3">
        <f t="shared" si="523"/>
        <v>0</v>
      </c>
      <c r="N2159" s="3" t="str">
        <f t="shared" si="524"/>
        <v>01</v>
      </c>
      <c r="O2159" s="14" t="str">
        <f t="shared" si="524"/>
        <v>00</v>
      </c>
      <c r="R2159" s="6">
        <v>511</v>
      </c>
      <c r="S2159" s="5">
        <f t="shared" si="527"/>
        <v>0</v>
      </c>
    </row>
    <row r="2160" spans="1:23" hidden="1">
      <c r="J2160" s="1" t="str">
        <f t="shared" si="520"/>
        <v>0</v>
      </c>
      <c r="K2160" s="3">
        <f t="shared" si="521"/>
        <v>-100</v>
      </c>
      <c r="L2160" s="3">
        <f t="shared" si="522"/>
        <v>1</v>
      </c>
      <c r="M2160" s="3">
        <f t="shared" si="523"/>
        <v>0</v>
      </c>
      <c r="N2160" s="3" t="str">
        <f t="shared" si="524"/>
        <v>01</v>
      </c>
      <c r="O2160" s="14" t="str">
        <f t="shared" si="524"/>
        <v>00</v>
      </c>
      <c r="R2160" s="6">
        <v>511</v>
      </c>
      <c r="S2160" s="5">
        <f t="shared" si="527"/>
        <v>0</v>
      </c>
    </row>
    <row r="2161" spans="1:23">
      <c r="A2161" s="3">
        <v>2142</v>
      </c>
      <c r="B2161" s="1">
        <f t="shared" ref="B2161:B2188" si="528">IF(G2161="-",0,IF(G2160=G2161,1,0))</f>
        <v>0</v>
      </c>
      <c r="C2161" s="1">
        <f t="shared" ref="C2161:C2188" si="529">+IF(G2161="-",0,IF(I2161=I2160+1,0,(IF(I2161=1,0,1))))</f>
        <v>1</v>
      </c>
      <c r="D2161" s="1">
        <f t="shared" si="518"/>
        <v>0</v>
      </c>
      <c r="E2161" s="1">
        <f t="shared" ref="E2161:F2188" si="530">IF(U2161="",1,0)</f>
        <v>0</v>
      </c>
      <c r="F2161" s="1">
        <f t="shared" si="530"/>
        <v>0</v>
      </c>
      <c r="G2161" s="38" t="str">
        <f t="shared" si="519"/>
        <v>24100111</v>
      </c>
      <c r="H2161" s="37">
        <v>45566</v>
      </c>
      <c r="I2161" s="36">
        <v>11</v>
      </c>
      <c r="J2161" s="38">
        <f t="shared" si="520"/>
        <v>11</v>
      </c>
      <c r="K2161" s="42">
        <f t="shared" si="521"/>
        <v>24</v>
      </c>
      <c r="L2161" s="42">
        <f t="shared" si="522"/>
        <v>10</v>
      </c>
      <c r="M2161" s="42">
        <f t="shared" si="523"/>
        <v>1</v>
      </c>
      <c r="N2161" s="42">
        <f t="shared" si="524"/>
        <v>10</v>
      </c>
      <c r="O2161" s="50" t="str">
        <f t="shared" si="524"/>
        <v>01</v>
      </c>
      <c r="P2161" s="39">
        <v>38193.31</v>
      </c>
      <c r="Q2161" s="40"/>
      <c r="R2161" s="41">
        <v>511</v>
      </c>
      <c r="S2161" s="40">
        <f t="shared" si="527"/>
        <v>74.742289628180032</v>
      </c>
      <c r="T2161" s="40" t="s">
        <v>1184</v>
      </c>
      <c r="U2161" s="42" t="s">
        <v>29</v>
      </c>
      <c r="V2161" s="42" t="s">
        <v>5</v>
      </c>
      <c r="W2161" s="42"/>
    </row>
    <row r="2162" spans="1:23">
      <c r="A2162" s="3">
        <v>2143</v>
      </c>
      <c r="B2162" s="1">
        <f t="shared" si="528"/>
        <v>0</v>
      </c>
      <c r="C2162" s="1">
        <f t="shared" si="529"/>
        <v>0</v>
      </c>
      <c r="D2162" s="1">
        <f t="shared" ref="D2162:D2218" si="531">+IF(AND(P2162="",Q2162=""),1,0)</f>
        <v>0</v>
      </c>
      <c r="E2162" s="1">
        <f t="shared" si="530"/>
        <v>0</v>
      </c>
      <c r="F2162" s="1">
        <f t="shared" si="530"/>
        <v>0</v>
      </c>
      <c r="G2162" s="1" t="str">
        <f t="shared" ref="G2162:G2203" si="532">IF(H2162=0,"-",_xlfn.CONCAT(K2162,N2162,O2162,J2162))</f>
        <v>24100112</v>
      </c>
      <c r="H2162" s="2">
        <v>45566</v>
      </c>
      <c r="I2162" s="36">
        <v>12</v>
      </c>
      <c r="J2162" s="1">
        <f t="shared" ref="J2162:J2208" si="533">+IF(I2162&lt;10,_xlfn.CONCAT("0",I2162),I2162)</f>
        <v>12</v>
      </c>
      <c r="K2162" s="3">
        <f t="shared" ref="K2162:K2208" si="534">+YEAR(H2162)-2000</f>
        <v>24</v>
      </c>
      <c r="L2162" s="3">
        <f t="shared" ref="L2162:L2208" si="535">+MONTH(H2162)</f>
        <v>10</v>
      </c>
      <c r="M2162" s="3">
        <f t="shared" ref="M2162:M2208" si="536">+DAY(H2162)</f>
        <v>1</v>
      </c>
      <c r="N2162" s="3">
        <f t="shared" ref="N2162:O2208" si="537">+IF(L2162&lt;10,_xlfn.CONCAT("0",L2162),L2162)</f>
        <v>10</v>
      </c>
      <c r="O2162" s="14" t="str">
        <f t="shared" si="537"/>
        <v>01</v>
      </c>
      <c r="P2162" s="4">
        <v>32704.11</v>
      </c>
      <c r="R2162" s="6">
        <v>511</v>
      </c>
      <c r="S2162" s="5">
        <f t="shared" si="527"/>
        <v>64.000215264187872</v>
      </c>
      <c r="T2162" s="5" t="s">
        <v>1193</v>
      </c>
      <c r="U2162" s="3" t="s">
        <v>29</v>
      </c>
      <c r="V2162" s="3" t="s">
        <v>5</v>
      </c>
    </row>
    <row r="2163" spans="1:23" hidden="1">
      <c r="J2163" s="1" t="str">
        <f t="shared" si="533"/>
        <v>0</v>
      </c>
      <c r="K2163" s="3">
        <f t="shared" si="534"/>
        <v>-100</v>
      </c>
      <c r="L2163" s="3">
        <f t="shared" si="535"/>
        <v>1</v>
      </c>
      <c r="M2163" s="3">
        <f t="shared" si="536"/>
        <v>0</v>
      </c>
      <c r="N2163" s="3" t="str">
        <f t="shared" si="537"/>
        <v>01</v>
      </c>
      <c r="O2163" s="14" t="str">
        <f t="shared" si="537"/>
        <v>00</v>
      </c>
      <c r="S2163" s="5" t="str">
        <f t="shared" si="527"/>
        <v/>
      </c>
    </row>
    <row r="2164" spans="1:23" hidden="1">
      <c r="J2164" s="1" t="str">
        <f t="shared" si="533"/>
        <v>0</v>
      </c>
      <c r="K2164" s="3">
        <f t="shared" si="534"/>
        <v>-100</v>
      </c>
      <c r="L2164" s="3">
        <f t="shared" si="535"/>
        <v>1</v>
      </c>
      <c r="M2164" s="3">
        <f t="shared" si="536"/>
        <v>0</v>
      </c>
      <c r="N2164" s="3" t="str">
        <f t="shared" si="537"/>
        <v>01</v>
      </c>
      <c r="O2164" s="14" t="str">
        <f t="shared" si="537"/>
        <v>00</v>
      </c>
      <c r="S2164" s="5" t="str">
        <f t="shared" si="527"/>
        <v/>
      </c>
    </row>
    <row r="2165" spans="1:23" hidden="1">
      <c r="J2165" s="1" t="str">
        <f t="shared" si="533"/>
        <v>0</v>
      </c>
      <c r="K2165" s="3">
        <f t="shared" si="534"/>
        <v>-100</v>
      </c>
      <c r="L2165" s="3">
        <f t="shared" si="535"/>
        <v>1</v>
      </c>
      <c r="M2165" s="3">
        <f t="shared" si="536"/>
        <v>0</v>
      </c>
      <c r="N2165" s="3" t="str">
        <f t="shared" si="537"/>
        <v>01</v>
      </c>
      <c r="O2165" s="14" t="str">
        <f t="shared" si="537"/>
        <v>00</v>
      </c>
      <c r="S2165" s="5" t="str">
        <f t="shared" si="527"/>
        <v/>
      </c>
    </row>
    <row r="2166" spans="1:23" hidden="1">
      <c r="G2166" s="38"/>
      <c r="H2166" s="37"/>
      <c r="J2166" s="38" t="str">
        <f t="shared" si="533"/>
        <v>0</v>
      </c>
      <c r="K2166" s="42">
        <f t="shared" si="534"/>
        <v>-100</v>
      </c>
      <c r="L2166" s="42">
        <f t="shared" si="535"/>
        <v>1</v>
      </c>
      <c r="M2166" s="42">
        <f t="shared" si="536"/>
        <v>0</v>
      </c>
      <c r="N2166" s="42" t="str">
        <f t="shared" si="537"/>
        <v>01</v>
      </c>
      <c r="O2166" s="50" t="str">
        <f t="shared" si="537"/>
        <v>00</v>
      </c>
      <c r="P2166" s="39"/>
      <c r="Q2166" s="40"/>
      <c r="R2166" s="41">
        <v>511</v>
      </c>
      <c r="S2166" s="40">
        <f t="shared" si="527"/>
        <v>0</v>
      </c>
      <c r="T2166" s="40"/>
      <c r="U2166" s="42"/>
      <c r="V2166" s="42"/>
      <c r="W2166" s="42"/>
    </row>
    <row r="2167" spans="1:23" hidden="1">
      <c r="J2167" s="1" t="str">
        <f t="shared" si="533"/>
        <v>0</v>
      </c>
      <c r="K2167" s="3">
        <f t="shared" si="534"/>
        <v>-100</v>
      </c>
      <c r="L2167" s="3">
        <f t="shared" si="535"/>
        <v>1</v>
      </c>
      <c r="M2167" s="3">
        <f t="shared" si="536"/>
        <v>0</v>
      </c>
      <c r="N2167" s="3" t="str">
        <f t="shared" si="537"/>
        <v>01</v>
      </c>
      <c r="O2167" s="14" t="str">
        <f t="shared" si="537"/>
        <v>00</v>
      </c>
      <c r="R2167" s="6">
        <v>511</v>
      </c>
      <c r="S2167" s="5">
        <f t="shared" si="527"/>
        <v>0</v>
      </c>
    </row>
    <row r="2168" spans="1:23" hidden="1">
      <c r="J2168" s="1" t="str">
        <f t="shared" si="533"/>
        <v>0</v>
      </c>
      <c r="K2168" s="3">
        <f t="shared" si="534"/>
        <v>-100</v>
      </c>
      <c r="L2168" s="3">
        <f t="shared" si="535"/>
        <v>1</v>
      </c>
      <c r="M2168" s="3">
        <f t="shared" si="536"/>
        <v>0</v>
      </c>
      <c r="N2168" s="3" t="str">
        <f t="shared" si="537"/>
        <v>01</v>
      </c>
      <c r="O2168" s="14" t="str">
        <f t="shared" si="537"/>
        <v>00</v>
      </c>
      <c r="R2168" s="6">
        <v>512</v>
      </c>
      <c r="S2168" s="5">
        <f t="shared" si="527"/>
        <v>0</v>
      </c>
    </row>
    <row r="2169" spans="1:23" hidden="1">
      <c r="J2169" s="1" t="str">
        <f t="shared" si="533"/>
        <v>0</v>
      </c>
      <c r="K2169" s="3">
        <f t="shared" si="534"/>
        <v>-100</v>
      </c>
      <c r="L2169" s="3">
        <f t="shared" si="535"/>
        <v>1</v>
      </c>
      <c r="M2169" s="3">
        <f t="shared" si="536"/>
        <v>0</v>
      </c>
      <c r="N2169" s="3" t="str">
        <f t="shared" si="537"/>
        <v>01</v>
      </c>
      <c r="O2169" s="14" t="str">
        <f t="shared" si="537"/>
        <v>00</v>
      </c>
      <c r="R2169" s="6">
        <v>512</v>
      </c>
      <c r="S2169" s="5">
        <f t="shared" si="527"/>
        <v>0</v>
      </c>
    </row>
    <row r="2170" spans="1:23" hidden="1">
      <c r="J2170" s="1" t="str">
        <f t="shared" si="533"/>
        <v>0</v>
      </c>
      <c r="K2170" s="3">
        <f t="shared" si="534"/>
        <v>-100</v>
      </c>
      <c r="L2170" s="3">
        <f t="shared" si="535"/>
        <v>1</v>
      </c>
      <c r="M2170" s="3">
        <f t="shared" si="536"/>
        <v>0</v>
      </c>
      <c r="N2170" s="3" t="str">
        <f t="shared" si="537"/>
        <v>01</v>
      </c>
      <c r="O2170" s="14" t="str">
        <f t="shared" si="537"/>
        <v>00</v>
      </c>
      <c r="R2170" s="6">
        <v>512</v>
      </c>
      <c r="S2170" s="5">
        <f t="shared" si="527"/>
        <v>0</v>
      </c>
    </row>
    <row r="2171" spans="1:23" hidden="1">
      <c r="J2171" s="1" t="str">
        <f t="shared" si="533"/>
        <v>0</v>
      </c>
      <c r="K2171" s="3">
        <f t="shared" si="534"/>
        <v>-100</v>
      </c>
      <c r="L2171" s="3">
        <f t="shared" si="535"/>
        <v>1</v>
      </c>
      <c r="M2171" s="3">
        <f t="shared" si="536"/>
        <v>0</v>
      </c>
      <c r="N2171" s="3" t="str">
        <f t="shared" si="537"/>
        <v>01</v>
      </c>
      <c r="O2171" s="14" t="str">
        <f t="shared" si="537"/>
        <v>00</v>
      </c>
    </row>
    <row r="2172" spans="1:23" hidden="1">
      <c r="J2172" s="1" t="str">
        <f t="shared" si="533"/>
        <v>0</v>
      </c>
      <c r="K2172" s="3">
        <f t="shared" si="534"/>
        <v>-100</v>
      </c>
      <c r="L2172" s="3">
        <f t="shared" si="535"/>
        <v>1</v>
      </c>
      <c r="M2172" s="3">
        <f t="shared" si="536"/>
        <v>0</v>
      </c>
      <c r="N2172" s="3" t="str">
        <f t="shared" si="537"/>
        <v>01</v>
      </c>
      <c r="O2172" s="14" t="str">
        <f t="shared" si="537"/>
        <v>00</v>
      </c>
      <c r="R2172" s="6">
        <v>513</v>
      </c>
      <c r="S2172" s="5">
        <f>IFERROR(P2172/R2172,"")</f>
        <v>0</v>
      </c>
    </row>
    <row r="2173" spans="1:23" hidden="1">
      <c r="J2173" s="1" t="str">
        <f t="shared" si="533"/>
        <v>0</v>
      </c>
      <c r="K2173" s="3">
        <f t="shared" si="534"/>
        <v>-100</v>
      </c>
      <c r="L2173" s="3">
        <f t="shared" si="535"/>
        <v>1</v>
      </c>
      <c r="M2173" s="3">
        <f t="shared" si="536"/>
        <v>0</v>
      </c>
      <c r="N2173" s="3" t="str">
        <f t="shared" si="537"/>
        <v>01</v>
      </c>
      <c r="O2173" s="14" t="str">
        <f t="shared" si="537"/>
        <v>00</v>
      </c>
      <c r="R2173" s="6">
        <v>513</v>
      </c>
      <c r="S2173" s="5">
        <f>IFERROR(P2173/R2173,"")</f>
        <v>0</v>
      </c>
    </row>
    <row r="2174" spans="1:23" hidden="1">
      <c r="J2174" s="1" t="str">
        <f t="shared" si="533"/>
        <v>0</v>
      </c>
      <c r="K2174" s="3">
        <f t="shared" si="534"/>
        <v>-100</v>
      </c>
      <c r="L2174" s="3">
        <f t="shared" si="535"/>
        <v>1</v>
      </c>
      <c r="M2174" s="3">
        <f t="shared" si="536"/>
        <v>0</v>
      </c>
      <c r="N2174" s="3" t="str">
        <f t="shared" si="537"/>
        <v>01</v>
      </c>
      <c r="O2174" s="14" t="str">
        <f t="shared" si="537"/>
        <v>00</v>
      </c>
      <c r="R2174" s="6">
        <v>513</v>
      </c>
      <c r="S2174" s="5">
        <f>IFERROR(P2174/R2174,"")</f>
        <v>0</v>
      </c>
    </row>
    <row r="2175" spans="1:23" hidden="1">
      <c r="J2175" s="1" t="str">
        <f t="shared" si="533"/>
        <v>0</v>
      </c>
      <c r="K2175" s="3">
        <f t="shared" si="534"/>
        <v>-100</v>
      </c>
      <c r="L2175" s="3">
        <f t="shared" si="535"/>
        <v>1</v>
      </c>
      <c r="M2175" s="3">
        <f t="shared" si="536"/>
        <v>0</v>
      </c>
      <c r="N2175" s="3" t="str">
        <f t="shared" si="537"/>
        <v>01</v>
      </c>
      <c r="O2175" s="14" t="str">
        <f t="shared" si="537"/>
        <v>00</v>
      </c>
      <c r="R2175" s="6">
        <v>513</v>
      </c>
      <c r="S2175" s="5">
        <f>IFERROR(P2175/R2175,"")</f>
        <v>0</v>
      </c>
    </row>
    <row r="2176" spans="1:23" hidden="1">
      <c r="J2176" s="1" t="str">
        <f t="shared" si="533"/>
        <v>0</v>
      </c>
      <c r="K2176" s="3">
        <f t="shared" si="534"/>
        <v>-100</v>
      </c>
      <c r="L2176" s="3">
        <f t="shared" si="535"/>
        <v>1</v>
      </c>
      <c r="M2176" s="3">
        <f t="shared" si="536"/>
        <v>0</v>
      </c>
      <c r="N2176" s="3" t="str">
        <f t="shared" si="537"/>
        <v>01</v>
      </c>
      <c r="O2176" s="14" t="str">
        <f t="shared" si="537"/>
        <v>00</v>
      </c>
    </row>
    <row r="2177" spans="1:22" hidden="1">
      <c r="J2177" s="1" t="str">
        <f t="shared" si="533"/>
        <v>0</v>
      </c>
      <c r="K2177" s="3">
        <f t="shared" si="534"/>
        <v>-100</v>
      </c>
      <c r="L2177" s="3">
        <f t="shared" si="535"/>
        <v>1</v>
      </c>
      <c r="M2177" s="3">
        <f t="shared" si="536"/>
        <v>0</v>
      </c>
      <c r="N2177" s="3" t="str">
        <f t="shared" si="537"/>
        <v>01</v>
      </c>
      <c r="O2177" s="14" t="str">
        <f t="shared" si="537"/>
        <v>00</v>
      </c>
    </row>
    <row r="2178" spans="1:22">
      <c r="A2178" s="3">
        <v>2159</v>
      </c>
      <c r="B2178" s="1">
        <f t="shared" si="528"/>
        <v>0</v>
      </c>
      <c r="C2178" s="1">
        <f t="shared" si="529"/>
        <v>0</v>
      </c>
      <c r="D2178" s="1">
        <f t="shared" si="531"/>
        <v>0</v>
      </c>
      <c r="E2178" s="1">
        <f t="shared" si="530"/>
        <v>0</v>
      </c>
      <c r="F2178" s="1">
        <f t="shared" si="530"/>
        <v>0</v>
      </c>
      <c r="G2178" s="1" t="str">
        <f t="shared" si="532"/>
        <v>24100501</v>
      </c>
      <c r="H2178" s="2">
        <v>45570</v>
      </c>
      <c r="I2178" s="36">
        <v>1</v>
      </c>
      <c r="J2178" s="1" t="str">
        <f t="shared" si="533"/>
        <v>01</v>
      </c>
      <c r="K2178" s="3">
        <f t="shared" si="534"/>
        <v>24</v>
      </c>
      <c r="L2178" s="3">
        <f t="shared" si="535"/>
        <v>10</v>
      </c>
      <c r="M2178" s="3">
        <f t="shared" si="536"/>
        <v>5</v>
      </c>
      <c r="N2178" s="3">
        <f t="shared" si="537"/>
        <v>10</v>
      </c>
      <c r="O2178" s="14" t="str">
        <f t="shared" si="537"/>
        <v>05</v>
      </c>
      <c r="P2178" s="4">
        <v>108000</v>
      </c>
      <c r="R2178" s="6">
        <v>513</v>
      </c>
      <c r="S2178" s="5">
        <f>IFERROR(P2178/R2178,"")</f>
        <v>210.52631578947367</v>
      </c>
      <c r="T2178" s="18" t="s">
        <v>880</v>
      </c>
      <c r="U2178" s="3" t="s">
        <v>1</v>
      </c>
      <c r="V2178" s="3" t="s">
        <v>5</v>
      </c>
    </row>
    <row r="2179" spans="1:22">
      <c r="A2179" s="3">
        <v>2160</v>
      </c>
      <c r="B2179" s="1">
        <f t="shared" si="528"/>
        <v>0</v>
      </c>
      <c r="C2179" s="1">
        <f t="shared" si="529"/>
        <v>0</v>
      </c>
      <c r="D2179" s="1">
        <f t="shared" si="531"/>
        <v>0</v>
      </c>
      <c r="E2179" s="1">
        <f t="shared" si="530"/>
        <v>0</v>
      </c>
      <c r="F2179" s="1">
        <f t="shared" si="530"/>
        <v>0</v>
      </c>
      <c r="G2179" s="1" t="str">
        <f t="shared" si="532"/>
        <v>24100502</v>
      </c>
      <c r="H2179" s="2">
        <v>45570</v>
      </c>
      <c r="I2179" s="36">
        <v>2</v>
      </c>
      <c r="J2179" s="1" t="str">
        <f t="shared" si="533"/>
        <v>02</v>
      </c>
      <c r="K2179" s="3">
        <f t="shared" si="534"/>
        <v>24</v>
      </c>
      <c r="L2179" s="3">
        <f t="shared" si="535"/>
        <v>10</v>
      </c>
      <c r="M2179" s="3">
        <f t="shared" si="536"/>
        <v>5</v>
      </c>
      <c r="N2179" s="3">
        <f t="shared" si="537"/>
        <v>10</v>
      </c>
      <c r="O2179" s="14" t="str">
        <f t="shared" si="537"/>
        <v>05</v>
      </c>
      <c r="P2179" s="4">
        <v>159000</v>
      </c>
      <c r="R2179" s="6">
        <v>513</v>
      </c>
      <c r="S2179" s="5">
        <f>IFERROR(P2179/R2179,"")</f>
        <v>309.94152046783626</v>
      </c>
      <c r="T2179" s="20" t="s">
        <v>881</v>
      </c>
      <c r="U2179" s="3" t="s">
        <v>1</v>
      </c>
      <c r="V2179" s="3" t="s">
        <v>5</v>
      </c>
    </row>
    <row r="2180" spans="1:22">
      <c r="A2180" s="3">
        <v>2161</v>
      </c>
      <c r="B2180" s="1">
        <f t="shared" si="528"/>
        <v>0</v>
      </c>
      <c r="C2180" s="1">
        <f t="shared" si="529"/>
        <v>0</v>
      </c>
      <c r="D2180" s="1">
        <f t="shared" si="531"/>
        <v>0</v>
      </c>
      <c r="E2180" s="1">
        <f t="shared" si="530"/>
        <v>0</v>
      </c>
      <c r="F2180" s="1">
        <f t="shared" si="530"/>
        <v>0</v>
      </c>
      <c r="G2180" s="1" t="str">
        <f t="shared" si="532"/>
        <v>24100503</v>
      </c>
      <c r="H2180" s="2">
        <v>45570</v>
      </c>
      <c r="I2180" s="36">
        <v>3</v>
      </c>
      <c r="J2180" s="1" t="str">
        <f t="shared" si="533"/>
        <v>03</v>
      </c>
      <c r="K2180" s="3">
        <f t="shared" si="534"/>
        <v>24</v>
      </c>
      <c r="L2180" s="3">
        <f t="shared" si="535"/>
        <v>10</v>
      </c>
      <c r="M2180" s="3">
        <f t="shared" si="536"/>
        <v>5</v>
      </c>
      <c r="N2180" s="3">
        <f t="shared" si="537"/>
        <v>10</v>
      </c>
      <c r="O2180" s="14" t="str">
        <f t="shared" si="537"/>
        <v>05</v>
      </c>
      <c r="P2180" s="4">
        <v>159000</v>
      </c>
      <c r="R2180" s="6">
        <v>513</v>
      </c>
      <c r="S2180" s="5">
        <f>IFERROR(P2180/R2180,"")</f>
        <v>309.94152046783626</v>
      </c>
      <c r="T2180" s="29" t="s">
        <v>882</v>
      </c>
      <c r="U2180" s="3" t="s">
        <v>1</v>
      </c>
      <c r="V2180" s="3" t="s">
        <v>5</v>
      </c>
    </row>
    <row r="2181" spans="1:22" hidden="1">
      <c r="J2181" s="1" t="str">
        <f t="shared" si="533"/>
        <v>0</v>
      </c>
      <c r="K2181" s="3">
        <f t="shared" si="534"/>
        <v>-100</v>
      </c>
      <c r="L2181" s="3">
        <f t="shared" si="535"/>
        <v>1</v>
      </c>
      <c r="M2181" s="3">
        <f t="shared" si="536"/>
        <v>0</v>
      </c>
      <c r="N2181" s="3" t="str">
        <f t="shared" si="537"/>
        <v>01</v>
      </c>
      <c r="O2181" s="14" t="str">
        <f t="shared" si="537"/>
        <v>00</v>
      </c>
    </row>
    <row r="2182" spans="1:22">
      <c r="A2182" s="3">
        <v>2162</v>
      </c>
      <c r="B2182" s="1">
        <f t="shared" si="528"/>
        <v>0</v>
      </c>
      <c r="C2182" s="1">
        <f t="shared" si="529"/>
        <v>1</v>
      </c>
      <c r="D2182" s="1">
        <f t="shared" si="531"/>
        <v>0</v>
      </c>
      <c r="E2182" s="1">
        <f t="shared" si="530"/>
        <v>0</v>
      </c>
      <c r="F2182" s="1">
        <f t="shared" si="530"/>
        <v>0</v>
      </c>
      <c r="G2182" s="1" t="str">
        <f t="shared" si="532"/>
        <v>24100504</v>
      </c>
      <c r="H2182" s="2">
        <v>45570</v>
      </c>
      <c r="I2182" s="36">
        <v>4</v>
      </c>
      <c r="J2182" s="1" t="str">
        <f t="shared" si="533"/>
        <v>04</v>
      </c>
      <c r="K2182" s="3">
        <f t="shared" si="534"/>
        <v>24</v>
      </c>
      <c r="L2182" s="3">
        <f t="shared" si="535"/>
        <v>10</v>
      </c>
      <c r="M2182" s="3">
        <f t="shared" si="536"/>
        <v>5</v>
      </c>
      <c r="N2182" s="3">
        <f t="shared" si="537"/>
        <v>10</v>
      </c>
      <c r="O2182" s="14" t="str">
        <f t="shared" si="537"/>
        <v>05</v>
      </c>
      <c r="P2182" s="4">
        <v>132000</v>
      </c>
      <c r="R2182" s="6">
        <v>513</v>
      </c>
      <c r="S2182" s="5">
        <f>IFERROR(P2182/R2182,"")</f>
        <v>257.30994152046782</v>
      </c>
      <c r="T2182" s="29" t="s">
        <v>883</v>
      </c>
      <c r="U2182" s="3" t="s">
        <v>1</v>
      </c>
      <c r="V2182" s="3" t="s">
        <v>5</v>
      </c>
    </row>
    <row r="2183" spans="1:22" hidden="1">
      <c r="J2183" s="1" t="str">
        <f t="shared" si="533"/>
        <v>0</v>
      </c>
      <c r="K2183" s="3">
        <f t="shared" si="534"/>
        <v>-100</v>
      </c>
      <c r="L2183" s="3">
        <f t="shared" si="535"/>
        <v>1</v>
      </c>
      <c r="M2183" s="3">
        <f t="shared" si="536"/>
        <v>0</v>
      </c>
      <c r="N2183" s="3" t="str">
        <f t="shared" si="537"/>
        <v>01</v>
      </c>
      <c r="O2183" s="14" t="str">
        <f t="shared" si="537"/>
        <v>00</v>
      </c>
    </row>
    <row r="2184" spans="1:22" hidden="1">
      <c r="J2184" s="1" t="str">
        <f t="shared" si="533"/>
        <v>0</v>
      </c>
      <c r="K2184" s="3">
        <f t="shared" si="534"/>
        <v>-100</v>
      </c>
      <c r="L2184" s="3">
        <f t="shared" si="535"/>
        <v>1</v>
      </c>
      <c r="M2184" s="3">
        <f t="shared" si="536"/>
        <v>0</v>
      </c>
      <c r="N2184" s="3" t="str">
        <f t="shared" si="537"/>
        <v>01</v>
      </c>
      <c r="O2184" s="14" t="str">
        <f t="shared" si="537"/>
        <v>00</v>
      </c>
      <c r="R2184" s="6">
        <v>513</v>
      </c>
      <c r="S2184" s="5">
        <f>IFERROR(P2184/R2184,"")</f>
        <v>0</v>
      </c>
      <c r="T2184" s="29"/>
    </row>
    <row r="2185" spans="1:22" hidden="1">
      <c r="J2185" s="1" t="str">
        <f t="shared" si="533"/>
        <v>0</v>
      </c>
      <c r="K2185" s="3">
        <f t="shared" si="534"/>
        <v>-100</v>
      </c>
      <c r="L2185" s="3">
        <f t="shared" si="535"/>
        <v>1</v>
      </c>
      <c r="M2185" s="3">
        <f t="shared" si="536"/>
        <v>0</v>
      </c>
      <c r="N2185" s="3" t="str">
        <f t="shared" si="537"/>
        <v>01</v>
      </c>
      <c r="O2185" s="14" t="str">
        <f t="shared" si="537"/>
        <v>00</v>
      </c>
    </row>
    <row r="2186" spans="1:22">
      <c r="A2186" s="3">
        <v>2164</v>
      </c>
      <c r="B2186" s="1">
        <f t="shared" si="528"/>
        <v>0</v>
      </c>
      <c r="C2186" s="1">
        <f t="shared" si="529"/>
        <v>1</v>
      </c>
      <c r="D2186" s="1">
        <f t="shared" si="531"/>
        <v>0</v>
      </c>
      <c r="E2186" s="1">
        <f t="shared" si="530"/>
        <v>0</v>
      </c>
      <c r="F2186" s="1">
        <f t="shared" si="530"/>
        <v>0</v>
      </c>
      <c r="G2186" s="1" t="str">
        <f t="shared" si="532"/>
        <v>24100506</v>
      </c>
      <c r="H2186" s="2">
        <v>45570</v>
      </c>
      <c r="I2186" s="36">
        <v>6</v>
      </c>
      <c r="J2186" s="1" t="str">
        <f t="shared" si="533"/>
        <v>06</v>
      </c>
      <c r="K2186" s="3">
        <f t="shared" si="534"/>
        <v>24</v>
      </c>
      <c r="L2186" s="3">
        <f t="shared" si="535"/>
        <v>10</v>
      </c>
      <c r="M2186" s="3">
        <f t="shared" si="536"/>
        <v>5</v>
      </c>
      <c r="N2186" s="3">
        <f t="shared" si="537"/>
        <v>10</v>
      </c>
      <c r="O2186" s="14" t="str">
        <f t="shared" si="537"/>
        <v>05</v>
      </c>
      <c r="P2186" s="4">
        <v>132000</v>
      </c>
      <c r="R2186" s="6">
        <v>513</v>
      </c>
      <c r="S2186" s="5">
        <f>IFERROR(P2186/R2186,"")</f>
        <v>257.30994152046782</v>
      </c>
      <c r="T2186" s="29" t="s">
        <v>894</v>
      </c>
      <c r="U2186" s="3" t="s">
        <v>1</v>
      </c>
      <c r="V2186" s="3" t="s">
        <v>5</v>
      </c>
    </row>
    <row r="2187" spans="1:22" hidden="1">
      <c r="J2187" s="1" t="str">
        <f t="shared" si="533"/>
        <v>0</v>
      </c>
      <c r="K2187" s="3">
        <f t="shared" si="534"/>
        <v>-100</v>
      </c>
      <c r="L2187" s="3">
        <f t="shared" si="535"/>
        <v>1</v>
      </c>
      <c r="M2187" s="3">
        <f t="shared" si="536"/>
        <v>0</v>
      </c>
      <c r="N2187" s="3" t="str">
        <f t="shared" si="537"/>
        <v>01</v>
      </c>
      <c r="O2187" s="14" t="str">
        <f t="shared" si="537"/>
        <v>00</v>
      </c>
    </row>
    <row r="2188" spans="1:22">
      <c r="A2188" s="3">
        <v>2165</v>
      </c>
      <c r="B2188" s="1">
        <f t="shared" si="528"/>
        <v>0</v>
      </c>
      <c r="C2188" s="1">
        <f t="shared" si="529"/>
        <v>1</v>
      </c>
      <c r="D2188" s="1">
        <f t="shared" si="531"/>
        <v>0</v>
      </c>
      <c r="E2188" s="1">
        <f t="shared" si="530"/>
        <v>0</v>
      </c>
      <c r="F2188" s="1">
        <f t="shared" si="530"/>
        <v>0</v>
      </c>
      <c r="G2188" s="1" t="str">
        <f t="shared" si="532"/>
        <v>24100507</v>
      </c>
      <c r="H2188" s="2">
        <v>45570</v>
      </c>
      <c r="I2188" s="36">
        <v>7</v>
      </c>
      <c r="J2188" s="1" t="str">
        <f t="shared" si="533"/>
        <v>07</v>
      </c>
      <c r="K2188" s="3">
        <f t="shared" si="534"/>
        <v>24</v>
      </c>
      <c r="L2188" s="3">
        <f t="shared" si="535"/>
        <v>10</v>
      </c>
      <c r="M2188" s="3">
        <f t="shared" si="536"/>
        <v>5</v>
      </c>
      <c r="N2188" s="3">
        <f t="shared" si="537"/>
        <v>10</v>
      </c>
      <c r="O2188" s="14" t="str">
        <f t="shared" si="537"/>
        <v>05</v>
      </c>
      <c r="P2188" s="4">
        <v>132000</v>
      </c>
      <c r="R2188" s="6">
        <v>513</v>
      </c>
      <c r="S2188" s="5">
        <f>IFERROR(P2188/R2188,"")</f>
        <v>257.30994152046782</v>
      </c>
      <c r="T2188" s="29" t="s">
        <v>885</v>
      </c>
      <c r="U2188" s="3" t="s">
        <v>1</v>
      </c>
      <c r="V2188" s="3" t="s">
        <v>5</v>
      </c>
    </row>
    <row r="2189" spans="1:22" hidden="1">
      <c r="J2189" s="1" t="str">
        <f t="shared" si="533"/>
        <v>0</v>
      </c>
      <c r="K2189" s="3">
        <f t="shared" si="534"/>
        <v>-100</v>
      </c>
      <c r="L2189" s="3">
        <f t="shared" si="535"/>
        <v>1</v>
      </c>
      <c r="M2189" s="3">
        <f t="shared" si="536"/>
        <v>0</v>
      </c>
      <c r="N2189" s="3" t="str">
        <f t="shared" si="537"/>
        <v>01</v>
      </c>
      <c r="O2189" s="14" t="str">
        <f t="shared" si="537"/>
        <v>00</v>
      </c>
    </row>
    <row r="2190" spans="1:22">
      <c r="A2190" s="3">
        <v>2166</v>
      </c>
      <c r="B2190" s="1">
        <f t="shared" ref="B2190:B2203" si="538">IF(G2190="-",0,IF(G2189=G2190,1,0))</f>
        <v>0</v>
      </c>
      <c r="C2190" s="1">
        <f t="shared" ref="C2190:C2203" si="539">+IF(G2190="-",0,IF(I2190=I2189+1,0,(IF(I2190=1,0,1))))</f>
        <v>1</v>
      </c>
      <c r="D2190" s="1">
        <f t="shared" si="531"/>
        <v>0</v>
      </c>
      <c r="E2190" s="1">
        <f t="shared" ref="E2190:F2203" si="540">IF(U2190="",1,0)</f>
        <v>0</v>
      </c>
      <c r="F2190" s="1">
        <f t="shared" si="540"/>
        <v>0</v>
      </c>
      <c r="G2190" s="1" t="str">
        <f t="shared" si="532"/>
        <v>24100508</v>
      </c>
      <c r="H2190" s="2">
        <v>45570</v>
      </c>
      <c r="I2190" s="36">
        <v>8</v>
      </c>
      <c r="J2190" s="1" t="str">
        <f t="shared" si="533"/>
        <v>08</v>
      </c>
      <c r="K2190" s="3">
        <f t="shared" si="534"/>
        <v>24</v>
      </c>
      <c r="L2190" s="3">
        <f t="shared" si="535"/>
        <v>10</v>
      </c>
      <c r="M2190" s="3">
        <f t="shared" si="536"/>
        <v>5</v>
      </c>
      <c r="N2190" s="3">
        <f t="shared" si="537"/>
        <v>10</v>
      </c>
      <c r="O2190" s="14" t="str">
        <f t="shared" si="537"/>
        <v>05</v>
      </c>
      <c r="P2190" s="4">
        <v>132000</v>
      </c>
      <c r="R2190" s="6">
        <v>513</v>
      </c>
      <c r="S2190" s="5">
        <f t="shared" ref="S2190:S2208" si="541">IFERROR(P2190/R2190,"")</f>
        <v>257.30994152046782</v>
      </c>
      <c r="T2190" s="26" t="s">
        <v>886</v>
      </c>
      <c r="U2190" s="3" t="s">
        <v>1</v>
      </c>
      <c r="V2190" s="3" t="s">
        <v>5</v>
      </c>
    </row>
    <row r="2191" spans="1:22">
      <c r="A2191" s="3">
        <v>2167</v>
      </c>
      <c r="B2191" s="1">
        <f t="shared" si="538"/>
        <v>0</v>
      </c>
      <c r="C2191" s="1">
        <f t="shared" si="539"/>
        <v>0</v>
      </c>
      <c r="D2191" s="1">
        <f t="shared" si="531"/>
        <v>0</v>
      </c>
      <c r="E2191" s="1">
        <f t="shared" si="540"/>
        <v>0</v>
      </c>
      <c r="F2191" s="1">
        <f t="shared" si="540"/>
        <v>0</v>
      </c>
      <c r="G2191" s="1" t="str">
        <f t="shared" si="532"/>
        <v>24100509</v>
      </c>
      <c r="H2191" s="2">
        <v>45570</v>
      </c>
      <c r="I2191" s="36">
        <v>9</v>
      </c>
      <c r="J2191" s="1" t="str">
        <f t="shared" si="533"/>
        <v>09</v>
      </c>
      <c r="K2191" s="3">
        <f t="shared" si="534"/>
        <v>24</v>
      </c>
      <c r="L2191" s="3">
        <f t="shared" si="535"/>
        <v>10</v>
      </c>
      <c r="M2191" s="3">
        <f t="shared" si="536"/>
        <v>5</v>
      </c>
      <c r="N2191" s="3">
        <f t="shared" si="537"/>
        <v>10</v>
      </c>
      <c r="O2191" s="14" t="str">
        <f t="shared" si="537"/>
        <v>05</v>
      </c>
      <c r="P2191" s="4">
        <v>108000</v>
      </c>
      <c r="R2191" s="6">
        <v>513</v>
      </c>
      <c r="S2191" s="5">
        <f t="shared" si="541"/>
        <v>210.52631578947367</v>
      </c>
      <c r="T2191" s="26" t="s">
        <v>887</v>
      </c>
      <c r="U2191" s="3" t="s">
        <v>1</v>
      </c>
      <c r="V2191" s="3" t="s">
        <v>5</v>
      </c>
    </row>
    <row r="2192" spans="1:22" hidden="1">
      <c r="J2192" s="1" t="str">
        <f t="shared" si="533"/>
        <v>0</v>
      </c>
      <c r="K2192" s="3">
        <f t="shared" si="534"/>
        <v>-100</v>
      </c>
      <c r="L2192" s="3">
        <f t="shared" si="535"/>
        <v>1</v>
      </c>
      <c r="M2192" s="3">
        <f t="shared" si="536"/>
        <v>0</v>
      </c>
      <c r="N2192" s="3" t="str">
        <f t="shared" si="537"/>
        <v>01</v>
      </c>
      <c r="O2192" s="14" t="str">
        <f t="shared" si="537"/>
        <v>00</v>
      </c>
      <c r="R2192" s="6">
        <v>513</v>
      </c>
      <c r="S2192" s="5">
        <f t="shared" si="541"/>
        <v>0</v>
      </c>
      <c r="T2192" s="26"/>
    </row>
    <row r="2193" spans="1:23" hidden="1">
      <c r="J2193" s="1" t="str">
        <f t="shared" si="533"/>
        <v>0</v>
      </c>
      <c r="K2193" s="3">
        <f t="shared" si="534"/>
        <v>-100</v>
      </c>
      <c r="L2193" s="3">
        <f t="shared" si="535"/>
        <v>1</v>
      </c>
      <c r="M2193" s="3">
        <f t="shared" si="536"/>
        <v>0</v>
      </c>
      <c r="N2193" s="3" t="str">
        <f t="shared" si="537"/>
        <v>01</v>
      </c>
      <c r="O2193" s="14" t="str">
        <f t="shared" si="537"/>
        <v>00</v>
      </c>
      <c r="R2193" s="6">
        <v>513</v>
      </c>
      <c r="S2193" s="5">
        <f t="shared" si="541"/>
        <v>0</v>
      </c>
      <c r="T2193" s="26"/>
    </row>
    <row r="2194" spans="1:23" hidden="1">
      <c r="J2194" s="1" t="str">
        <f t="shared" si="533"/>
        <v>0</v>
      </c>
      <c r="K2194" s="3">
        <f t="shared" si="534"/>
        <v>-100</v>
      </c>
      <c r="L2194" s="3">
        <f t="shared" si="535"/>
        <v>1</v>
      </c>
      <c r="M2194" s="3">
        <f t="shared" si="536"/>
        <v>0</v>
      </c>
      <c r="N2194" s="3" t="str">
        <f t="shared" si="537"/>
        <v>01</v>
      </c>
      <c r="O2194" s="14" t="str">
        <f t="shared" si="537"/>
        <v>00</v>
      </c>
      <c r="R2194" s="6">
        <v>513</v>
      </c>
      <c r="S2194" s="5">
        <f t="shared" si="541"/>
        <v>0</v>
      </c>
      <c r="T2194" s="26"/>
    </row>
    <row r="2195" spans="1:23" hidden="1">
      <c r="J2195" s="1" t="str">
        <f t="shared" si="533"/>
        <v>0</v>
      </c>
      <c r="K2195" s="3">
        <f t="shared" si="534"/>
        <v>-100</v>
      </c>
      <c r="L2195" s="3">
        <f t="shared" si="535"/>
        <v>1</v>
      </c>
      <c r="M2195" s="3">
        <f t="shared" si="536"/>
        <v>0</v>
      </c>
      <c r="N2195" s="3" t="str">
        <f t="shared" si="537"/>
        <v>01</v>
      </c>
      <c r="O2195" s="14" t="str">
        <f t="shared" si="537"/>
        <v>00</v>
      </c>
      <c r="R2195" s="6">
        <v>513</v>
      </c>
      <c r="S2195" s="5">
        <f t="shared" si="541"/>
        <v>0</v>
      </c>
      <c r="T2195" s="26"/>
    </row>
    <row r="2196" spans="1:23">
      <c r="A2196" s="3">
        <v>2172</v>
      </c>
      <c r="B2196" s="1">
        <f t="shared" si="538"/>
        <v>0</v>
      </c>
      <c r="C2196" s="1">
        <f t="shared" si="539"/>
        <v>1</v>
      </c>
      <c r="D2196" s="1">
        <f t="shared" si="531"/>
        <v>0</v>
      </c>
      <c r="E2196" s="1">
        <f t="shared" si="540"/>
        <v>0</v>
      </c>
      <c r="F2196" s="1">
        <f t="shared" si="540"/>
        <v>0</v>
      </c>
      <c r="G2196" s="1" t="str">
        <f t="shared" si="532"/>
        <v>24100514</v>
      </c>
      <c r="H2196" s="2">
        <v>45570</v>
      </c>
      <c r="I2196" s="36">
        <v>14</v>
      </c>
      <c r="J2196" s="1">
        <f t="shared" si="533"/>
        <v>14</v>
      </c>
      <c r="K2196" s="3">
        <f t="shared" si="534"/>
        <v>24</v>
      </c>
      <c r="L2196" s="3">
        <f t="shared" si="535"/>
        <v>10</v>
      </c>
      <c r="M2196" s="3">
        <f t="shared" si="536"/>
        <v>5</v>
      </c>
      <c r="N2196" s="3">
        <f t="shared" si="537"/>
        <v>10</v>
      </c>
      <c r="O2196" s="14" t="str">
        <f t="shared" si="537"/>
        <v>05</v>
      </c>
      <c r="P2196" s="4">
        <v>108000</v>
      </c>
      <c r="R2196" s="6">
        <v>513</v>
      </c>
      <c r="S2196" s="5">
        <f t="shared" si="541"/>
        <v>210.52631578947367</v>
      </c>
      <c r="T2196" s="26" t="s">
        <v>895</v>
      </c>
      <c r="U2196" s="3" t="s">
        <v>1</v>
      </c>
      <c r="V2196" s="3" t="s">
        <v>5</v>
      </c>
    </row>
    <row r="2197" spans="1:23">
      <c r="A2197" s="3">
        <v>2173</v>
      </c>
      <c r="B2197" s="1">
        <f t="shared" si="538"/>
        <v>0</v>
      </c>
      <c r="C2197" s="1">
        <f t="shared" si="539"/>
        <v>0</v>
      </c>
      <c r="D2197" s="1">
        <f t="shared" si="531"/>
        <v>0</v>
      </c>
      <c r="E2197" s="1">
        <f t="shared" si="540"/>
        <v>0</v>
      </c>
      <c r="F2197" s="1">
        <f t="shared" si="540"/>
        <v>0</v>
      </c>
      <c r="G2197" s="1" t="str">
        <f t="shared" si="532"/>
        <v>24100515</v>
      </c>
      <c r="H2197" s="2">
        <v>45570</v>
      </c>
      <c r="I2197" s="36">
        <v>15</v>
      </c>
      <c r="J2197" s="1">
        <f t="shared" si="533"/>
        <v>15</v>
      </c>
      <c r="K2197" s="3">
        <f t="shared" si="534"/>
        <v>24</v>
      </c>
      <c r="L2197" s="3">
        <f t="shared" si="535"/>
        <v>10</v>
      </c>
      <c r="M2197" s="3">
        <f t="shared" si="536"/>
        <v>5</v>
      </c>
      <c r="N2197" s="3">
        <f t="shared" si="537"/>
        <v>10</v>
      </c>
      <c r="O2197" s="14" t="str">
        <f t="shared" si="537"/>
        <v>05</v>
      </c>
      <c r="P2197" s="4">
        <v>252000</v>
      </c>
      <c r="R2197" s="6">
        <v>513</v>
      </c>
      <c r="S2197" s="5">
        <f t="shared" si="541"/>
        <v>491.22807017543857</v>
      </c>
      <c r="T2197" s="26" t="s">
        <v>892</v>
      </c>
      <c r="U2197" s="3" t="s">
        <v>1</v>
      </c>
      <c r="V2197" s="3" t="s">
        <v>5</v>
      </c>
    </row>
    <row r="2198" spans="1:23">
      <c r="A2198" s="3">
        <v>2174</v>
      </c>
      <c r="B2198" s="1">
        <f t="shared" si="538"/>
        <v>0</v>
      </c>
      <c r="C2198" s="1">
        <f t="shared" si="539"/>
        <v>0</v>
      </c>
      <c r="D2198" s="1">
        <f t="shared" si="531"/>
        <v>0</v>
      </c>
      <c r="E2198" s="1">
        <f t="shared" si="540"/>
        <v>0</v>
      </c>
      <c r="F2198" s="1">
        <f t="shared" si="540"/>
        <v>0</v>
      </c>
      <c r="G2198" s="1" t="str">
        <f t="shared" si="532"/>
        <v>24100516</v>
      </c>
      <c r="H2198" s="2">
        <v>45570</v>
      </c>
      <c r="I2198" s="36">
        <v>16</v>
      </c>
      <c r="J2198" s="1">
        <f t="shared" si="533"/>
        <v>16</v>
      </c>
      <c r="K2198" s="3">
        <f t="shared" si="534"/>
        <v>24</v>
      </c>
      <c r="L2198" s="3">
        <f t="shared" si="535"/>
        <v>10</v>
      </c>
      <c r="M2198" s="3">
        <f t="shared" si="536"/>
        <v>5</v>
      </c>
      <c r="N2198" s="3">
        <f t="shared" si="537"/>
        <v>10</v>
      </c>
      <c r="O2198" s="14" t="str">
        <f t="shared" si="537"/>
        <v>05</v>
      </c>
      <c r="P2198" s="4">
        <v>90000</v>
      </c>
      <c r="R2198" s="6">
        <v>513</v>
      </c>
      <c r="S2198" s="5">
        <f t="shared" si="541"/>
        <v>175.43859649122808</v>
      </c>
      <c r="T2198" s="26" t="s">
        <v>893</v>
      </c>
      <c r="U2198" s="3" t="s">
        <v>1</v>
      </c>
      <c r="V2198" s="3" t="s">
        <v>5</v>
      </c>
    </row>
    <row r="2199" spans="1:23">
      <c r="A2199" s="3">
        <v>2175</v>
      </c>
      <c r="B2199" s="1">
        <f t="shared" si="538"/>
        <v>0</v>
      </c>
      <c r="C2199" s="1">
        <f t="shared" si="539"/>
        <v>0</v>
      </c>
      <c r="D2199" s="1">
        <f t="shared" si="531"/>
        <v>0</v>
      </c>
      <c r="E2199" s="1">
        <f t="shared" si="540"/>
        <v>0</v>
      </c>
      <c r="F2199" s="1">
        <f t="shared" si="540"/>
        <v>0</v>
      </c>
      <c r="G2199" s="1" t="str">
        <f t="shared" si="532"/>
        <v>24100517</v>
      </c>
      <c r="H2199" s="2">
        <v>45570</v>
      </c>
      <c r="I2199" s="36">
        <v>17</v>
      </c>
      <c r="J2199" s="1">
        <f t="shared" si="533"/>
        <v>17</v>
      </c>
      <c r="K2199" s="3">
        <f t="shared" si="534"/>
        <v>24</v>
      </c>
      <c r="L2199" s="3">
        <f t="shared" si="535"/>
        <v>10</v>
      </c>
      <c r="M2199" s="3">
        <f t="shared" si="536"/>
        <v>5</v>
      </c>
      <c r="N2199" s="3">
        <f t="shared" si="537"/>
        <v>10</v>
      </c>
      <c r="O2199" s="14" t="str">
        <f t="shared" si="537"/>
        <v>05</v>
      </c>
      <c r="P2199" s="4">
        <v>150000</v>
      </c>
      <c r="R2199" s="6">
        <v>513</v>
      </c>
      <c r="S2199" s="5">
        <f t="shared" si="541"/>
        <v>292.39766081871346</v>
      </c>
      <c r="T2199" s="26" t="s">
        <v>896</v>
      </c>
      <c r="U2199" s="3" t="s">
        <v>1</v>
      </c>
      <c r="V2199" s="3" t="s">
        <v>5</v>
      </c>
    </row>
    <row r="2200" spans="1:23">
      <c r="A2200" s="3">
        <v>2176</v>
      </c>
      <c r="B2200" s="1">
        <f t="shared" si="538"/>
        <v>0</v>
      </c>
      <c r="C2200" s="1">
        <f t="shared" si="539"/>
        <v>0</v>
      </c>
      <c r="D2200" s="1">
        <f t="shared" si="531"/>
        <v>0</v>
      </c>
      <c r="E2200" s="1">
        <f t="shared" si="540"/>
        <v>0</v>
      </c>
      <c r="F2200" s="1">
        <f t="shared" si="540"/>
        <v>0</v>
      </c>
      <c r="G2200" s="1" t="str">
        <f t="shared" si="532"/>
        <v>24100518</v>
      </c>
      <c r="H2200" s="2">
        <v>45570</v>
      </c>
      <c r="I2200" s="36">
        <v>18</v>
      </c>
      <c r="J2200" s="1">
        <f t="shared" si="533"/>
        <v>18</v>
      </c>
      <c r="K2200" s="3">
        <f t="shared" si="534"/>
        <v>24</v>
      </c>
      <c r="L2200" s="3">
        <f t="shared" si="535"/>
        <v>10</v>
      </c>
      <c r="M2200" s="3">
        <f t="shared" si="536"/>
        <v>5</v>
      </c>
      <c r="N2200" s="3">
        <f t="shared" si="537"/>
        <v>10</v>
      </c>
      <c r="O2200" s="14" t="str">
        <f t="shared" si="537"/>
        <v>05</v>
      </c>
      <c r="P2200" s="4">
        <v>200000</v>
      </c>
      <c r="R2200" s="6">
        <v>513</v>
      </c>
      <c r="S2200" s="5">
        <f t="shared" si="541"/>
        <v>389.8635477582846</v>
      </c>
      <c r="T2200" s="26" t="s">
        <v>899</v>
      </c>
      <c r="U2200" s="3" t="s">
        <v>1</v>
      </c>
      <c r="V2200" s="3" t="s">
        <v>5</v>
      </c>
    </row>
    <row r="2201" spans="1:23">
      <c r="A2201" s="3">
        <v>2177</v>
      </c>
      <c r="B2201" s="1">
        <f t="shared" si="538"/>
        <v>0</v>
      </c>
      <c r="C2201" s="1">
        <f t="shared" si="539"/>
        <v>0</v>
      </c>
      <c r="D2201" s="1">
        <f t="shared" si="531"/>
        <v>0</v>
      </c>
      <c r="E2201" s="1">
        <f t="shared" si="540"/>
        <v>0</v>
      </c>
      <c r="F2201" s="1">
        <f t="shared" si="540"/>
        <v>0</v>
      </c>
      <c r="G2201" s="1" t="str">
        <f t="shared" si="532"/>
        <v>24100519</v>
      </c>
      <c r="H2201" s="2">
        <v>45570</v>
      </c>
      <c r="I2201" s="36">
        <v>19</v>
      </c>
      <c r="J2201" s="1">
        <f t="shared" si="533"/>
        <v>19</v>
      </c>
      <c r="K2201" s="3">
        <f t="shared" si="534"/>
        <v>24</v>
      </c>
      <c r="L2201" s="3">
        <f t="shared" si="535"/>
        <v>10</v>
      </c>
      <c r="M2201" s="3">
        <f t="shared" si="536"/>
        <v>5</v>
      </c>
      <c r="N2201" s="3">
        <f t="shared" si="537"/>
        <v>10</v>
      </c>
      <c r="O2201" s="14" t="str">
        <f t="shared" si="537"/>
        <v>05</v>
      </c>
      <c r="P2201" s="4">
        <v>30000</v>
      </c>
      <c r="R2201" s="6">
        <v>513</v>
      </c>
      <c r="S2201" s="5">
        <f t="shared" si="541"/>
        <v>58.479532163742689</v>
      </c>
      <c r="T2201" s="27" t="s">
        <v>898</v>
      </c>
      <c r="U2201" s="3" t="s">
        <v>1</v>
      </c>
      <c r="V2201" s="3" t="s">
        <v>5</v>
      </c>
      <c r="W2201" s="3" t="s">
        <v>902</v>
      </c>
    </row>
    <row r="2202" spans="1:23" hidden="1">
      <c r="J2202" s="1" t="str">
        <f t="shared" si="533"/>
        <v>0</v>
      </c>
      <c r="K2202" s="3">
        <f t="shared" si="534"/>
        <v>-100</v>
      </c>
      <c r="L2202" s="3">
        <f t="shared" si="535"/>
        <v>1</v>
      </c>
      <c r="M2202" s="3">
        <f t="shared" si="536"/>
        <v>0</v>
      </c>
      <c r="N2202" s="3" t="str">
        <f t="shared" si="537"/>
        <v>01</v>
      </c>
      <c r="O2202" s="14" t="str">
        <f t="shared" si="537"/>
        <v>00</v>
      </c>
      <c r="R2202" s="6">
        <v>513</v>
      </c>
      <c r="S2202" s="5">
        <f t="shared" si="541"/>
        <v>0</v>
      </c>
      <c r="T2202" s="27"/>
    </row>
    <row r="2203" spans="1:23">
      <c r="A2203" s="3">
        <v>2179</v>
      </c>
      <c r="B2203" s="1">
        <f t="shared" si="538"/>
        <v>0</v>
      </c>
      <c r="C2203" s="1">
        <f t="shared" si="539"/>
        <v>1</v>
      </c>
      <c r="D2203" s="1">
        <f t="shared" si="531"/>
        <v>0</v>
      </c>
      <c r="E2203" s="1">
        <f t="shared" si="540"/>
        <v>0</v>
      </c>
      <c r="F2203" s="1">
        <f t="shared" si="540"/>
        <v>0</v>
      </c>
      <c r="G2203" s="1" t="str">
        <f t="shared" si="532"/>
        <v>24100521</v>
      </c>
      <c r="H2203" s="2">
        <v>45570</v>
      </c>
      <c r="I2203" s="36">
        <v>21</v>
      </c>
      <c r="J2203" s="1">
        <f t="shared" si="533"/>
        <v>21</v>
      </c>
      <c r="K2203" s="3">
        <f t="shared" si="534"/>
        <v>24</v>
      </c>
      <c r="L2203" s="3">
        <f t="shared" si="535"/>
        <v>10</v>
      </c>
      <c r="M2203" s="3">
        <f t="shared" si="536"/>
        <v>5</v>
      </c>
      <c r="N2203" s="3">
        <f t="shared" si="537"/>
        <v>10</v>
      </c>
      <c r="O2203" s="14" t="str">
        <f t="shared" si="537"/>
        <v>05</v>
      </c>
      <c r="P2203" s="4">
        <v>3299.98</v>
      </c>
      <c r="R2203" s="6">
        <v>513</v>
      </c>
      <c r="S2203" s="5">
        <f t="shared" si="541"/>
        <v>6.4327095516569202</v>
      </c>
      <c r="T2203" s="5" t="s">
        <v>904</v>
      </c>
      <c r="U2203" s="3" t="s">
        <v>29</v>
      </c>
      <c r="V2203" s="3" t="s">
        <v>5</v>
      </c>
    </row>
    <row r="2204" spans="1:23" hidden="1">
      <c r="J2204" s="1" t="str">
        <f t="shared" si="533"/>
        <v>0</v>
      </c>
      <c r="K2204" s="3">
        <f t="shared" si="534"/>
        <v>-100</v>
      </c>
      <c r="L2204" s="3">
        <f t="shared" si="535"/>
        <v>1</v>
      </c>
      <c r="M2204" s="3">
        <f t="shared" si="536"/>
        <v>0</v>
      </c>
      <c r="N2204" s="3" t="str">
        <f t="shared" si="537"/>
        <v>01</v>
      </c>
      <c r="O2204" s="14" t="str">
        <f t="shared" si="537"/>
        <v>00</v>
      </c>
      <c r="R2204" s="6">
        <v>513</v>
      </c>
      <c r="S2204" s="5">
        <f t="shared" si="541"/>
        <v>0</v>
      </c>
    </row>
    <row r="2205" spans="1:23" hidden="1">
      <c r="J2205" s="1" t="str">
        <f t="shared" si="533"/>
        <v>0</v>
      </c>
      <c r="K2205" s="3">
        <f t="shared" si="534"/>
        <v>-100</v>
      </c>
      <c r="L2205" s="3">
        <f t="shared" si="535"/>
        <v>1</v>
      </c>
      <c r="M2205" s="3">
        <f t="shared" si="536"/>
        <v>0</v>
      </c>
      <c r="N2205" s="3" t="str">
        <f t="shared" si="537"/>
        <v>01</v>
      </c>
      <c r="O2205" s="14" t="str">
        <f t="shared" si="537"/>
        <v>00</v>
      </c>
      <c r="R2205" s="6">
        <v>513</v>
      </c>
      <c r="S2205" s="5">
        <f t="shared" si="541"/>
        <v>0</v>
      </c>
    </row>
    <row r="2206" spans="1:23" hidden="1">
      <c r="J2206" s="1" t="str">
        <f t="shared" si="533"/>
        <v>0</v>
      </c>
      <c r="K2206" s="3">
        <f t="shared" si="534"/>
        <v>-100</v>
      </c>
      <c r="L2206" s="3">
        <f t="shared" si="535"/>
        <v>1</v>
      </c>
      <c r="M2206" s="3">
        <f t="shared" si="536"/>
        <v>0</v>
      </c>
      <c r="N2206" s="3" t="str">
        <f t="shared" si="537"/>
        <v>01</v>
      </c>
      <c r="O2206" s="14" t="str">
        <f t="shared" si="537"/>
        <v>00</v>
      </c>
      <c r="R2206" s="6">
        <v>513</v>
      </c>
      <c r="S2206" s="5">
        <f t="shared" si="541"/>
        <v>0</v>
      </c>
    </row>
    <row r="2207" spans="1:23" hidden="1">
      <c r="J2207" s="1" t="str">
        <f t="shared" si="533"/>
        <v>0</v>
      </c>
      <c r="K2207" s="3">
        <f t="shared" si="534"/>
        <v>-100</v>
      </c>
      <c r="L2207" s="3">
        <f t="shared" si="535"/>
        <v>1</v>
      </c>
      <c r="M2207" s="3">
        <f t="shared" si="536"/>
        <v>0</v>
      </c>
      <c r="N2207" s="3" t="str">
        <f t="shared" si="537"/>
        <v>01</v>
      </c>
      <c r="O2207" s="14" t="str">
        <f t="shared" si="537"/>
        <v>00</v>
      </c>
      <c r="R2207" s="6">
        <v>513</v>
      </c>
      <c r="S2207" s="5">
        <f t="shared" si="541"/>
        <v>0</v>
      </c>
    </row>
    <row r="2208" spans="1:23" hidden="1">
      <c r="J2208" s="1" t="str">
        <f t="shared" si="533"/>
        <v>0</v>
      </c>
      <c r="K2208" s="3">
        <f t="shared" si="534"/>
        <v>-100</v>
      </c>
      <c r="L2208" s="3">
        <f t="shared" si="535"/>
        <v>1</v>
      </c>
      <c r="M2208" s="3">
        <f t="shared" si="536"/>
        <v>0</v>
      </c>
      <c r="N2208" s="3" t="str">
        <f t="shared" si="537"/>
        <v>01</v>
      </c>
      <c r="O2208" s="14" t="str">
        <f t="shared" si="537"/>
        <v>00</v>
      </c>
      <c r="R2208" s="6">
        <v>513</v>
      </c>
      <c r="S2208" s="5">
        <f t="shared" si="541"/>
        <v>0</v>
      </c>
    </row>
    <row r="2209" spans="1:22" hidden="1"/>
    <row r="2210" spans="1:22" hidden="1">
      <c r="J2210" s="1" t="str">
        <f t="shared" ref="J2210:J2273" si="542">+IF(I2210&lt;10,_xlfn.CONCAT("0",I2210),I2210)</f>
        <v>0</v>
      </c>
      <c r="K2210" s="3">
        <f t="shared" ref="K2210:K2273" si="543">+YEAR(H2210)-2000</f>
        <v>-100</v>
      </c>
      <c r="L2210" s="3">
        <f t="shared" ref="L2210:L2273" si="544">+MONTH(H2210)</f>
        <v>1</v>
      </c>
      <c r="M2210" s="3">
        <f t="shared" ref="M2210:M2273" si="545">+DAY(H2210)</f>
        <v>0</v>
      </c>
      <c r="N2210" s="3" t="str">
        <f t="shared" ref="N2210:O2241" si="546">+IF(L2210&lt;10,_xlfn.CONCAT("0",L2210),L2210)</f>
        <v>01</v>
      </c>
      <c r="O2210" s="14" t="str">
        <f t="shared" si="546"/>
        <v>00</v>
      </c>
      <c r="R2210" s="6">
        <v>513</v>
      </c>
      <c r="S2210" s="5">
        <f t="shared" ref="S2210:S2217" si="547">IFERROR(P2210/R2210,"")</f>
        <v>0</v>
      </c>
    </row>
    <row r="2211" spans="1:22" hidden="1">
      <c r="J2211" s="1" t="str">
        <f t="shared" si="542"/>
        <v>0</v>
      </c>
      <c r="K2211" s="3">
        <f t="shared" si="543"/>
        <v>-100</v>
      </c>
      <c r="L2211" s="3">
        <f t="shared" si="544"/>
        <v>1</v>
      </c>
      <c r="M2211" s="3">
        <f t="shared" si="545"/>
        <v>0</v>
      </c>
      <c r="N2211" s="3" t="str">
        <f t="shared" si="546"/>
        <v>01</v>
      </c>
      <c r="O2211" s="14" t="str">
        <f t="shared" si="546"/>
        <v>00</v>
      </c>
      <c r="R2211" s="6">
        <v>513</v>
      </c>
      <c r="S2211" s="5">
        <f t="shared" si="547"/>
        <v>0</v>
      </c>
    </row>
    <row r="2212" spans="1:22" hidden="1">
      <c r="J2212" s="1" t="str">
        <f t="shared" si="542"/>
        <v>0</v>
      </c>
      <c r="K2212" s="3">
        <f t="shared" si="543"/>
        <v>-100</v>
      </c>
      <c r="L2212" s="3">
        <f t="shared" si="544"/>
        <v>1</v>
      </c>
      <c r="M2212" s="3">
        <f t="shared" si="545"/>
        <v>0</v>
      </c>
      <c r="N2212" s="3" t="str">
        <f t="shared" si="546"/>
        <v>01</v>
      </c>
      <c r="O2212" s="14" t="str">
        <f t="shared" si="546"/>
        <v>00</v>
      </c>
      <c r="R2212" s="6">
        <v>511</v>
      </c>
      <c r="S2212" s="5">
        <f t="shared" si="547"/>
        <v>0</v>
      </c>
    </row>
    <row r="2213" spans="1:22" hidden="1">
      <c r="J2213" s="1" t="str">
        <f t="shared" si="542"/>
        <v>0</v>
      </c>
      <c r="K2213" s="3">
        <f t="shared" si="543"/>
        <v>-100</v>
      </c>
      <c r="L2213" s="3">
        <f t="shared" si="544"/>
        <v>1</v>
      </c>
      <c r="M2213" s="3">
        <f t="shared" si="545"/>
        <v>0</v>
      </c>
      <c r="N2213" s="3" t="str">
        <f t="shared" si="546"/>
        <v>01</v>
      </c>
      <c r="O2213" s="14" t="str">
        <f t="shared" si="546"/>
        <v>00</v>
      </c>
      <c r="R2213" s="6">
        <v>511</v>
      </c>
      <c r="S2213" s="5">
        <f t="shared" si="547"/>
        <v>0</v>
      </c>
    </row>
    <row r="2214" spans="1:22" hidden="1">
      <c r="J2214" s="1" t="str">
        <f t="shared" si="542"/>
        <v>0</v>
      </c>
      <c r="K2214" s="3">
        <f t="shared" si="543"/>
        <v>-100</v>
      </c>
      <c r="L2214" s="3">
        <f t="shared" si="544"/>
        <v>1</v>
      </c>
      <c r="M2214" s="3">
        <f t="shared" si="545"/>
        <v>0</v>
      </c>
      <c r="N2214" s="3" t="str">
        <f t="shared" si="546"/>
        <v>01</v>
      </c>
      <c r="O2214" s="14" t="str">
        <f t="shared" si="546"/>
        <v>00</v>
      </c>
      <c r="R2214" s="6">
        <v>511</v>
      </c>
      <c r="S2214" s="5">
        <f t="shared" si="547"/>
        <v>0</v>
      </c>
    </row>
    <row r="2215" spans="1:22" hidden="1">
      <c r="J2215" s="1" t="str">
        <f t="shared" si="542"/>
        <v>0</v>
      </c>
      <c r="K2215" s="3">
        <f t="shared" si="543"/>
        <v>-100</v>
      </c>
      <c r="L2215" s="3">
        <f t="shared" si="544"/>
        <v>1</v>
      </c>
      <c r="M2215" s="3">
        <f t="shared" si="545"/>
        <v>0</v>
      </c>
      <c r="N2215" s="3" t="str">
        <f t="shared" si="546"/>
        <v>01</v>
      </c>
      <c r="O2215" s="14" t="str">
        <f t="shared" si="546"/>
        <v>00</v>
      </c>
      <c r="R2215" s="6">
        <v>511</v>
      </c>
      <c r="S2215" s="5">
        <f t="shared" si="547"/>
        <v>0</v>
      </c>
    </row>
    <row r="2216" spans="1:22" hidden="1">
      <c r="J2216" s="1" t="str">
        <f t="shared" si="542"/>
        <v>0</v>
      </c>
      <c r="K2216" s="3">
        <f t="shared" si="543"/>
        <v>-100</v>
      </c>
      <c r="L2216" s="3">
        <f t="shared" si="544"/>
        <v>1</v>
      </c>
      <c r="M2216" s="3">
        <f t="shared" si="545"/>
        <v>0</v>
      </c>
      <c r="N2216" s="3" t="str">
        <f t="shared" si="546"/>
        <v>01</v>
      </c>
      <c r="O2216" s="14" t="str">
        <f t="shared" si="546"/>
        <v>00</v>
      </c>
      <c r="R2216" s="6">
        <v>511</v>
      </c>
      <c r="S2216" s="5">
        <f t="shared" si="547"/>
        <v>0</v>
      </c>
    </row>
    <row r="2217" spans="1:22" hidden="1">
      <c r="J2217" s="1" t="str">
        <f t="shared" si="542"/>
        <v>0</v>
      </c>
      <c r="K2217" s="3">
        <f t="shared" si="543"/>
        <v>-100</v>
      </c>
      <c r="L2217" s="3">
        <f t="shared" si="544"/>
        <v>1</v>
      </c>
      <c r="M2217" s="3">
        <f t="shared" si="545"/>
        <v>0</v>
      </c>
      <c r="N2217" s="3" t="str">
        <f t="shared" si="546"/>
        <v>01</v>
      </c>
      <c r="O2217" s="14" t="str">
        <f t="shared" si="546"/>
        <v>00</v>
      </c>
      <c r="S2217" s="5" t="str">
        <f t="shared" si="547"/>
        <v/>
      </c>
    </row>
    <row r="2218" spans="1:22">
      <c r="A2218" s="3">
        <v>2193</v>
      </c>
      <c r="B2218" s="1">
        <f t="shared" ref="B2218:B2240" si="548">IF(G2218="-",0,IF(G2217=G2218,1,0))</f>
        <v>0</v>
      </c>
      <c r="C2218" s="1">
        <f t="shared" ref="C2218:C2240" si="549">+IF(G2218="-",0,IF(I2218=I2217+1,0,(IF(I2218=1,0,1))))</f>
        <v>1</v>
      </c>
      <c r="D2218" s="1">
        <f t="shared" si="531"/>
        <v>0</v>
      </c>
      <c r="E2218" s="1">
        <f t="shared" ref="E2218:F2240" si="550">IF(U2218="",1,0)</f>
        <v>1</v>
      </c>
      <c r="F2218" s="1">
        <f t="shared" si="550"/>
        <v>0</v>
      </c>
      <c r="G2218" s="1" t="str">
        <f t="shared" ref="G2218:G2240" si="551">IF(H2218=0,"-",_xlfn.CONCAT(K2218,N2218,O2218,J2218))</f>
        <v>24100707</v>
      </c>
      <c r="H2218" s="2">
        <v>45572</v>
      </c>
      <c r="I2218" s="36">
        <v>7</v>
      </c>
      <c r="J2218" s="1" t="str">
        <f t="shared" si="542"/>
        <v>07</v>
      </c>
      <c r="K2218" s="3">
        <f t="shared" si="543"/>
        <v>24</v>
      </c>
      <c r="L2218" s="3">
        <f t="shared" si="544"/>
        <v>10</v>
      </c>
      <c r="M2218" s="3">
        <f t="shared" si="545"/>
        <v>7</v>
      </c>
      <c r="N2218" s="3">
        <f t="shared" si="546"/>
        <v>10</v>
      </c>
      <c r="O2218" s="14" t="str">
        <f t="shared" si="546"/>
        <v>07</v>
      </c>
      <c r="P2218" s="4">
        <v>85000</v>
      </c>
      <c r="T2218" s="5" t="s">
        <v>966</v>
      </c>
      <c r="V2218" s="3" t="s">
        <v>5</v>
      </c>
    </row>
    <row r="2219" spans="1:22" hidden="1">
      <c r="J2219" s="1" t="str">
        <f t="shared" si="542"/>
        <v>0</v>
      </c>
      <c r="K2219" s="3">
        <f t="shared" si="543"/>
        <v>-100</v>
      </c>
      <c r="L2219" s="3">
        <f t="shared" si="544"/>
        <v>1</v>
      </c>
      <c r="M2219" s="3">
        <f t="shared" si="545"/>
        <v>0</v>
      </c>
      <c r="N2219" s="3" t="str">
        <f t="shared" si="546"/>
        <v>01</v>
      </c>
      <c r="O2219" s="14" t="str">
        <f t="shared" si="546"/>
        <v>00</v>
      </c>
    </row>
    <row r="2220" spans="1:22" hidden="1">
      <c r="J2220" s="1" t="str">
        <f t="shared" si="542"/>
        <v>0</v>
      </c>
      <c r="K2220" s="3">
        <f t="shared" si="543"/>
        <v>-100</v>
      </c>
      <c r="L2220" s="3">
        <f t="shared" si="544"/>
        <v>1</v>
      </c>
      <c r="M2220" s="3">
        <f t="shared" si="545"/>
        <v>0</v>
      </c>
      <c r="N2220" s="3" t="str">
        <f t="shared" si="546"/>
        <v>01</v>
      </c>
      <c r="O2220" s="14" t="str">
        <f t="shared" si="546"/>
        <v>00</v>
      </c>
      <c r="S2220" s="5" t="str">
        <f>IFERROR(P2220/R2220,"")</f>
        <v/>
      </c>
    </row>
    <row r="2221" spans="1:22" hidden="1">
      <c r="J2221" s="1" t="str">
        <f t="shared" si="542"/>
        <v>0</v>
      </c>
      <c r="K2221" s="3">
        <f t="shared" si="543"/>
        <v>-100</v>
      </c>
      <c r="L2221" s="3">
        <f t="shared" si="544"/>
        <v>1</v>
      </c>
      <c r="M2221" s="3">
        <f t="shared" si="545"/>
        <v>0</v>
      </c>
      <c r="N2221" s="3" t="str">
        <f t="shared" si="546"/>
        <v>01</v>
      </c>
      <c r="O2221" s="14" t="str">
        <f t="shared" si="546"/>
        <v>00</v>
      </c>
    </row>
    <row r="2222" spans="1:22" hidden="1">
      <c r="J2222" s="1" t="str">
        <f t="shared" si="542"/>
        <v>0</v>
      </c>
      <c r="K2222" s="3">
        <f t="shared" si="543"/>
        <v>-100</v>
      </c>
      <c r="L2222" s="3">
        <f t="shared" si="544"/>
        <v>1</v>
      </c>
      <c r="M2222" s="3">
        <f t="shared" si="545"/>
        <v>0</v>
      </c>
      <c r="N2222" s="3" t="str">
        <f t="shared" si="546"/>
        <v>01</v>
      </c>
      <c r="O2222" s="14" t="str">
        <f t="shared" si="546"/>
        <v>00</v>
      </c>
    </row>
    <row r="2223" spans="1:22" hidden="1">
      <c r="J2223" s="1" t="str">
        <f t="shared" si="542"/>
        <v>0</v>
      </c>
      <c r="K2223" s="3">
        <f t="shared" si="543"/>
        <v>-100</v>
      </c>
      <c r="L2223" s="3">
        <f t="shared" si="544"/>
        <v>1</v>
      </c>
      <c r="M2223" s="3">
        <f t="shared" si="545"/>
        <v>0</v>
      </c>
      <c r="N2223" s="3" t="str">
        <f t="shared" si="546"/>
        <v>01</v>
      </c>
      <c r="O2223" s="14" t="str">
        <f t="shared" si="546"/>
        <v>00</v>
      </c>
    </row>
    <row r="2224" spans="1:22" hidden="1">
      <c r="J2224" s="1" t="str">
        <f t="shared" si="542"/>
        <v>0</v>
      </c>
      <c r="K2224" s="3">
        <f t="shared" si="543"/>
        <v>-100</v>
      </c>
      <c r="L2224" s="3">
        <f t="shared" si="544"/>
        <v>1</v>
      </c>
      <c r="M2224" s="3">
        <f t="shared" si="545"/>
        <v>0</v>
      </c>
      <c r="N2224" s="3" t="str">
        <f t="shared" si="546"/>
        <v>01</v>
      </c>
      <c r="O2224" s="14" t="str">
        <f t="shared" si="546"/>
        <v>00</v>
      </c>
    </row>
    <row r="2225" spans="1:22" hidden="1">
      <c r="J2225" s="1" t="str">
        <f t="shared" si="542"/>
        <v>0</v>
      </c>
      <c r="K2225" s="3">
        <f t="shared" si="543"/>
        <v>-100</v>
      </c>
      <c r="L2225" s="3">
        <f t="shared" si="544"/>
        <v>1</v>
      </c>
      <c r="M2225" s="3">
        <f t="shared" si="545"/>
        <v>0</v>
      </c>
      <c r="N2225" s="3" t="str">
        <f t="shared" si="546"/>
        <v>01</v>
      </c>
      <c r="O2225" s="14" t="str">
        <f t="shared" si="546"/>
        <v>00</v>
      </c>
    </row>
    <row r="2226" spans="1:22">
      <c r="A2226" s="3">
        <v>2201</v>
      </c>
      <c r="B2226" s="1">
        <f t="shared" si="548"/>
        <v>0</v>
      </c>
      <c r="C2226" s="1">
        <f t="shared" si="549"/>
        <v>1</v>
      </c>
      <c r="D2226" s="1">
        <f t="shared" ref="D2226:D2284" si="552">+IF(AND(P2226="",Q2226=""),1,0)</f>
        <v>0</v>
      </c>
      <c r="E2226" s="1">
        <f t="shared" si="550"/>
        <v>0</v>
      </c>
      <c r="F2226" s="1">
        <f t="shared" si="550"/>
        <v>0</v>
      </c>
      <c r="G2226" s="1" t="str">
        <f t="shared" si="551"/>
        <v>24100807</v>
      </c>
      <c r="H2226" s="2">
        <v>45573</v>
      </c>
      <c r="I2226" s="36">
        <v>7</v>
      </c>
      <c r="J2226" s="1" t="str">
        <f t="shared" si="542"/>
        <v>07</v>
      </c>
      <c r="K2226" s="3">
        <f t="shared" si="543"/>
        <v>24</v>
      </c>
      <c r="L2226" s="3">
        <f t="shared" si="544"/>
        <v>10</v>
      </c>
      <c r="M2226" s="3">
        <f t="shared" si="545"/>
        <v>8</v>
      </c>
      <c r="N2226" s="3">
        <f t="shared" si="546"/>
        <v>10</v>
      </c>
      <c r="O2226" s="14" t="str">
        <f t="shared" si="546"/>
        <v>08</v>
      </c>
      <c r="P2226" s="4">
        <v>1741.33</v>
      </c>
      <c r="T2226" s="5" t="s">
        <v>928</v>
      </c>
      <c r="U2226" s="3" t="s">
        <v>1</v>
      </c>
      <c r="V2226" s="3" t="s">
        <v>5</v>
      </c>
    </row>
    <row r="2227" spans="1:22" hidden="1">
      <c r="J2227" s="1" t="str">
        <f t="shared" si="542"/>
        <v>0</v>
      </c>
      <c r="K2227" s="3">
        <f t="shared" si="543"/>
        <v>-100</v>
      </c>
      <c r="L2227" s="3">
        <f t="shared" si="544"/>
        <v>1</v>
      </c>
      <c r="M2227" s="3">
        <f t="shared" si="545"/>
        <v>0</v>
      </c>
      <c r="N2227" s="3" t="str">
        <f t="shared" si="546"/>
        <v>01</v>
      </c>
      <c r="O2227" s="14" t="str">
        <f t="shared" si="546"/>
        <v>00</v>
      </c>
    </row>
    <row r="2228" spans="1:22" hidden="1">
      <c r="J2228" s="1" t="str">
        <f t="shared" si="542"/>
        <v>0</v>
      </c>
      <c r="K2228" s="3">
        <f t="shared" si="543"/>
        <v>-100</v>
      </c>
      <c r="L2228" s="3">
        <f t="shared" si="544"/>
        <v>1</v>
      </c>
      <c r="M2228" s="3">
        <f t="shared" si="545"/>
        <v>0</v>
      </c>
      <c r="N2228" s="3" t="str">
        <f t="shared" si="546"/>
        <v>01</v>
      </c>
      <c r="O2228" s="14" t="str">
        <f t="shared" si="546"/>
        <v>00</v>
      </c>
    </row>
    <row r="2229" spans="1:22">
      <c r="A2229" s="3">
        <v>2204</v>
      </c>
      <c r="B2229" s="1">
        <f t="shared" si="548"/>
        <v>0</v>
      </c>
      <c r="C2229" s="1">
        <f t="shared" si="549"/>
        <v>1</v>
      </c>
      <c r="D2229" s="1">
        <f t="shared" si="552"/>
        <v>0</v>
      </c>
      <c r="E2229" s="1">
        <f t="shared" si="550"/>
        <v>0</v>
      </c>
      <c r="F2229" s="1">
        <f t="shared" si="550"/>
        <v>0</v>
      </c>
      <c r="G2229" s="1" t="str">
        <f t="shared" si="551"/>
        <v>24100810</v>
      </c>
      <c r="H2229" s="2">
        <v>45573</v>
      </c>
      <c r="I2229" s="36">
        <v>10</v>
      </c>
      <c r="J2229" s="1">
        <f t="shared" si="542"/>
        <v>10</v>
      </c>
      <c r="K2229" s="3">
        <f t="shared" si="543"/>
        <v>24</v>
      </c>
      <c r="L2229" s="3">
        <f t="shared" si="544"/>
        <v>10</v>
      </c>
      <c r="M2229" s="3">
        <f t="shared" si="545"/>
        <v>8</v>
      </c>
      <c r="N2229" s="3">
        <f t="shared" si="546"/>
        <v>10</v>
      </c>
      <c r="O2229" s="14" t="str">
        <f t="shared" si="546"/>
        <v>08</v>
      </c>
      <c r="P2229" s="4">
        <v>100000</v>
      </c>
      <c r="T2229" s="5" t="s">
        <v>964</v>
      </c>
      <c r="U2229" s="3" t="s">
        <v>1</v>
      </c>
      <c r="V2229" s="3" t="s">
        <v>5</v>
      </c>
    </row>
    <row r="2230" spans="1:22" hidden="1">
      <c r="J2230" s="1" t="str">
        <f t="shared" si="542"/>
        <v>0</v>
      </c>
      <c r="K2230" s="3">
        <f t="shared" si="543"/>
        <v>-100</v>
      </c>
      <c r="L2230" s="3">
        <f t="shared" si="544"/>
        <v>1</v>
      </c>
      <c r="M2230" s="3">
        <f t="shared" si="545"/>
        <v>0</v>
      </c>
      <c r="N2230" s="3" t="str">
        <f t="shared" si="546"/>
        <v>01</v>
      </c>
      <c r="O2230" s="14" t="str">
        <f t="shared" si="546"/>
        <v>00</v>
      </c>
    </row>
    <row r="2231" spans="1:22" hidden="1">
      <c r="J2231" s="1" t="str">
        <f t="shared" si="542"/>
        <v>0</v>
      </c>
      <c r="K2231" s="3">
        <f t="shared" si="543"/>
        <v>-100</v>
      </c>
      <c r="L2231" s="3">
        <f t="shared" si="544"/>
        <v>1</v>
      </c>
      <c r="M2231" s="3">
        <f t="shared" si="545"/>
        <v>0</v>
      </c>
      <c r="N2231" s="3" t="str">
        <f t="shared" si="546"/>
        <v>01</v>
      </c>
      <c r="O2231" s="14" t="str">
        <f t="shared" si="546"/>
        <v>00</v>
      </c>
    </row>
    <row r="2232" spans="1:22" hidden="1">
      <c r="J2232" s="1" t="str">
        <f t="shared" si="542"/>
        <v>0</v>
      </c>
      <c r="K2232" s="3">
        <f t="shared" si="543"/>
        <v>-100</v>
      </c>
      <c r="L2232" s="3">
        <f t="shared" si="544"/>
        <v>1</v>
      </c>
      <c r="M2232" s="3">
        <f t="shared" si="545"/>
        <v>0</v>
      </c>
      <c r="N2232" s="3" t="str">
        <f t="shared" si="546"/>
        <v>01</v>
      </c>
      <c r="O2232" s="14" t="str">
        <f t="shared" si="546"/>
        <v>00</v>
      </c>
    </row>
    <row r="2233" spans="1:22" hidden="1">
      <c r="J2233" s="1" t="str">
        <f t="shared" si="542"/>
        <v>0</v>
      </c>
      <c r="K2233" s="3">
        <f t="shared" si="543"/>
        <v>-100</v>
      </c>
      <c r="L2233" s="3">
        <f t="shared" si="544"/>
        <v>1</v>
      </c>
      <c r="M2233" s="3">
        <f t="shared" si="545"/>
        <v>0</v>
      </c>
      <c r="N2233" s="3" t="str">
        <f t="shared" si="546"/>
        <v>01</v>
      </c>
      <c r="O2233" s="14" t="str">
        <f t="shared" si="546"/>
        <v>00</v>
      </c>
    </row>
    <row r="2234" spans="1:22" hidden="1">
      <c r="J2234" s="1" t="str">
        <f t="shared" si="542"/>
        <v>0</v>
      </c>
      <c r="K2234" s="3">
        <f t="shared" si="543"/>
        <v>-100</v>
      </c>
      <c r="L2234" s="3">
        <f t="shared" si="544"/>
        <v>1</v>
      </c>
      <c r="M2234" s="3">
        <f t="shared" si="545"/>
        <v>0</v>
      </c>
      <c r="N2234" s="3" t="str">
        <f t="shared" si="546"/>
        <v>01</v>
      </c>
      <c r="O2234" s="14" t="str">
        <f t="shared" si="546"/>
        <v>00</v>
      </c>
    </row>
    <row r="2235" spans="1:22" hidden="1">
      <c r="J2235" s="1" t="str">
        <f t="shared" si="542"/>
        <v>0</v>
      </c>
      <c r="K2235" s="3">
        <f t="shared" si="543"/>
        <v>-100</v>
      </c>
      <c r="L2235" s="3">
        <f t="shared" si="544"/>
        <v>1</v>
      </c>
      <c r="M2235" s="3">
        <f t="shared" si="545"/>
        <v>0</v>
      </c>
      <c r="N2235" s="3" t="str">
        <f t="shared" si="546"/>
        <v>01</v>
      </c>
      <c r="O2235" s="14" t="str">
        <f t="shared" si="546"/>
        <v>00</v>
      </c>
    </row>
    <row r="2236" spans="1:22" hidden="1">
      <c r="J2236" s="1" t="str">
        <f t="shared" si="542"/>
        <v>0</v>
      </c>
      <c r="K2236" s="3">
        <f t="shared" si="543"/>
        <v>-100</v>
      </c>
      <c r="L2236" s="3">
        <f t="shared" si="544"/>
        <v>1</v>
      </c>
      <c r="M2236" s="3">
        <f t="shared" si="545"/>
        <v>0</v>
      </c>
      <c r="N2236" s="3" t="str">
        <f t="shared" si="546"/>
        <v>01</v>
      </c>
      <c r="O2236" s="14" t="str">
        <f t="shared" si="546"/>
        <v>00</v>
      </c>
    </row>
    <row r="2237" spans="1:22" hidden="1">
      <c r="J2237" s="1" t="str">
        <f t="shared" si="542"/>
        <v>0</v>
      </c>
      <c r="K2237" s="3">
        <f t="shared" si="543"/>
        <v>-100</v>
      </c>
      <c r="L2237" s="3">
        <f t="shared" si="544"/>
        <v>1</v>
      </c>
      <c r="M2237" s="3">
        <f t="shared" si="545"/>
        <v>0</v>
      </c>
      <c r="N2237" s="3" t="str">
        <f t="shared" si="546"/>
        <v>01</v>
      </c>
      <c r="O2237" s="14" t="str">
        <f t="shared" si="546"/>
        <v>00</v>
      </c>
    </row>
    <row r="2238" spans="1:22" hidden="1">
      <c r="J2238" s="1" t="str">
        <f t="shared" si="542"/>
        <v>0</v>
      </c>
      <c r="K2238" s="3">
        <f t="shared" si="543"/>
        <v>-100</v>
      </c>
      <c r="L2238" s="3">
        <f t="shared" si="544"/>
        <v>1</v>
      </c>
      <c r="M2238" s="3">
        <f t="shared" si="545"/>
        <v>0</v>
      </c>
      <c r="N2238" s="3" t="str">
        <f t="shared" si="546"/>
        <v>01</v>
      </c>
      <c r="O2238" s="14" t="str">
        <f t="shared" si="546"/>
        <v>00</v>
      </c>
    </row>
    <row r="2239" spans="1:22" hidden="1">
      <c r="J2239" s="1" t="str">
        <f t="shared" si="542"/>
        <v>0</v>
      </c>
      <c r="K2239" s="3">
        <f t="shared" si="543"/>
        <v>-100</v>
      </c>
      <c r="L2239" s="3">
        <f t="shared" si="544"/>
        <v>1</v>
      </c>
      <c r="M2239" s="3">
        <f t="shared" si="545"/>
        <v>0</v>
      </c>
      <c r="N2239" s="3" t="str">
        <f t="shared" si="546"/>
        <v>01</v>
      </c>
      <c r="O2239" s="14" t="str">
        <f t="shared" si="546"/>
        <v>00</v>
      </c>
    </row>
    <row r="2240" spans="1:22">
      <c r="A2240" s="3">
        <v>2215</v>
      </c>
      <c r="B2240" s="1">
        <f t="shared" si="548"/>
        <v>0</v>
      </c>
      <c r="C2240" s="1">
        <f t="shared" si="549"/>
        <v>1</v>
      </c>
      <c r="D2240" s="1">
        <f t="shared" si="552"/>
        <v>0</v>
      </c>
      <c r="E2240" s="1">
        <f t="shared" si="550"/>
        <v>0</v>
      </c>
      <c r="F2240" s="1">
        <f t="shared" si="550"/>
        <v>0</v>
      </c>
      <c r="G2240" s="1" t="str">
        <f t="shared" si="551"/>
        <v>24101102</v>
      </c>
      <c r="H2240" s="2">
        <v>45576</v>
      </c>
      <c r="I2240" s="36">
        <v>2</v>
      </c>
      <c r="J2240" s="1" t="str">
        <f t="shared" si="542"/>
        <v>02</v>
      </c>
      <c r="K2240" s="3">
        <f t="shared" si="543"/>
        <v>24</v>
      </c>
      <c r="L2240" s="3">
        <f t="shared" si="544"/>
        <v>10</v>
      </c>
      <c r="M2240" s="3">
        <f t="shared" si="545"/>
        <v>11</v>
      </c>
      <c r="N2240" s="3">
        <f t="shared" si="546"/>
        <v>10</v>
      </c>
      <c r="O2240" s="14">
        <f t="shared" si="546"/>
        <v>11</v>
      </c>
      <c r="P2240" s="4">
        <v>15000</v>
      </c>
      <c r="T2240" s="5" t="s">
        <v>925</v>
      </c>
      <c r="U2240" s="3" t="s">
        <v>29</v>
      </c>
      <c r="V2240" s="3" t="s">
        <v>5</v>
      </c>
    </row>
    <row r="2241" spans="1:23" hidden="1">
      <c r="J2241" s="1" t="str">
        <f t="shared" si="542"/>
        <v>0</v>
      </c>
      <c r="K2241" s="3">
        <f t="shared" si="543"/>
        <v>-100</v>
      </c>
      <c r="L2241" s="3">
        <f t="shared" si="544"/>
        <v>1</v>
      </c>
      <c r="M2241" s="3">
        <f t="shared" si="545"/>
        <v>0</v>
      </c>
      <c r="N2241" s="3" t="str">
        <f t="shared" si="546"/>
        <v>01</v>
      </c>
      <c r="O2241" s="14" t="str">
        <f t="shared" si="546"/>
        <v>00</v>
      </c>
    </row>
    <row r="2242" spans="1:23" hidden="1">
      <c r="J2242" s="1" t="str">
        <f t="shared" si="542"/>
        <v>0</v>
      </c>
      <c r="K2242" s="3">
        <f t="shared" si="543"/>
        <v>-100</v>
      </c>
      <c r="L2242" s="3">
        <f t="shared" si="544"/>
        <v>1</v>
      </c>
      <c r="M2242" s="3">
        <f t="shared" si="545"/>
        <v>0</v>
      </c>
      <c r="N2242" s="3" t="str">
        <f t="shared" ref="N2242:O2273" si="553">+IF(L2242&lt;10,_xlfn.CONCAT("0",L2242),L2242)</f>
        <v>01</v>
      </c>
      <c r="O2242" s="14" t="str">
        <f t="shared" si="553"/>
        <v>00</v>
      </c>
    </row>
    <row r="2243" spans="1:23" hidden="1">
      <c r="J2243" s="1" t="str">
        <f t="shared" si="542"/>
        <v>0</v>
      </c>
      <c r="K2243" s="3">
        <f t="shared" si="543"/>
        <v>-100</v>
      </c>
      <c r="L2243" s="3">
        <f t="shared" si="544"/>
        <v>1</v>
      </c>
      <c r="M2243" s="3">
        <f t="shared" si="545"/>
        <v>0</v>
      </c>
      <c r="N2243" s="3" t="str">
        <f t="shared" si="553"/>
        <v>01</v>
      </c>
      <c r="O2243" s="14" t="str">
        <f t="shared" si="553"/>
        <v>00</v>
      </c>
    </row>
    <row r="2244" spans="1:23" hidden="1">
      <c r="J2244" s="1" t="str">
        <f t="shared" si="542"/>
        <v>0</v>
      </c>
      <c r="K2244" s="3">
        <f t="shared" si="543"/>
        <v>-100</v>
      </c>
      <c r="L2244" s="3">
        <f t="shared" si="544"/>
        <v>1</v>
      </c>
      <c r="M2244" s="3">
        <f t="shared" si="545"/>
        <v>0</v>
      </c>
      <c r="N2244" s="3" t="str">
        <f t="shared" si="553"/>
        <v>01</v>
      </c>
      <c r="O2244" s="14" t="str">
        <f t="shared" si="553"/>
        <v>00</v>
      </c>
    </row>
    <row r="2245" spans="1:23" hidden="1">
      <c r="J2245" s="1" t="str">
        <f t="shared" si="542"/>
        <v>0</v>
      </c>
      <c r="K2245" s="3">
        <f t="shared" si="543"/>
        <v>-100</v>
      </c>
      <c r="L2245" s="3">
        <f t="shared" si="544"/>
        <v>1</v>
      </c>
      <c r="M2245" s="3">
        <f t="shared" si="545"/>
        <v>0</v>
      </c>
      <c r="N2245" s="3" t="str">
        <f t="shared" si="553"/>
        <v>01</v>
      </c>
      <c r="O2245" s="14" t="str">
        <f t="shared" si="553"/>
        <v>00</v>
      </c>
    </row>
    <row r="2246" spans="1:23" hidden="1">
      <c r="J2246" s="1" t="str">
        <f t="shared" si="542"/>
        <v>0</v>
      </c>
      <c r="K2246" s="3">
        <f t="shared" si="543"/>
        <v>-100</v>
      </c>
      <c r="L2246" s="3">
        <f t="shared" si="544"/>
        <v>1</v>
      </c>
      <c r="M2246" s="3">
        <f t="shared" si="545"/>
        <v>0</v>
      </c>
      <c r="N2246" s="3" t="str">
        <f t="shared" si="553"/>
        <v>01</v>
      </c>
      <c r="O2246" s="14" t="str">
        <f t="shared" si="553"/>
        <v>00</v>
      </c>
    </row>
    <row r="2247" spans="1:23" hidden="1">
      <c r="J2247" s="1" t="str">
        <f t="shared" si="542"/>
        <v>0</v>
      </c>
      <c r="K2247" s="3">
        <f t="shared" si="543"/>
        <v>-100</v>
      </c>
      <c r="L2247" s="3">
        <f t="shared" si="544"/>
        <v>1</v>
      </c>
      <c r="M2247" s="3">
        <f t="shared" si="545"/>
        <v>0</v>
      </c>
      <c r="N2247" s="3" t="str">
        <f t="shared" si="553"/>
        <v>01</v>
      </c>
      <c r="O2247" s="14" t="str">
        <f t="shared" si="553"/>
        <v>00</v>
      </c>
    </row>
    <row r="2248" spans="1:23" hidden="1">
      <c r="J2248" s="1" t="str">
        <f t="shared" si="542"/>
        <v>0</v>
      </c>
      <c r="K2248" s="3">
        <f t="shared" si="543"/>
        <v>-100</v>
      </c>
      <c r="L2248" s="3">
        <f t="shared" si="544"/>
        <v>1</v>
      </c>
      <c r="M2248" s="3">
        <f t="shared" si="545"/>
        <v>0</v>
      </c>
      <c r="N2248" s="3" t="str">
        <f t="shared" si="553"/>
        <v>01</v>
      </c>
      <c r="O2248" s="14" t="str">
        <f t="shared" si="553"/>
        <v>00</v>
      </c>
    </row>
    <row r="2249" spans="1:23" hidden="1">
      <c r="J2249" s="1" t="str">
        <f t="shared" si="542"/>
        <v>0</v>
      </c>
      <c r="K2249" s="3">
        <f t="shared" si="543"/>
        <v>-100</v>
      </c>
      <c r="L2249" s="3">
        <f t="shared" si="544"/>
        <v>1</v>
      </c>
      <c r="M2249" s="3">
        <f t="shared" si="545"/>
        <v>0</v>
      </c>
      <c r="N2249" s="3" t="str">
        <f t="shared" si="553"/>
        <v>01</v>
      </c>
      <c r="O2249" s="14" t="str">
        <f t="shared" si="553"/>
        <v>00</v>
      </c>
    </row>
    <row r="2250" spans="1:23">
      <c r="A2250" s="3">
        <v>2225</v>
      </c>
      <c r="B2250" s="1">
        <f t="shared" ref="B2250:B2270" si="554">IF(G2250="-",0,IF(G2249=G2250,1,0))</f>
        <v>0</v>
      </c>
      <c r="C2250" s="1">
        <f t="shared" ref="C2250:C2270" si="555">+IF(G2250="-",0,IF(I2250=I2249+1,0,(IF(I2250=1,0,1))))</f>
        <v>1</v>
      </c>
      <c r="D2250" s="1">
        <f t="shared" si="552"/>
        <v>0</v>
      </c>
      <c r="E2250" s="1">
        <f t="shared" ref="E2250:F2270" si="556">IF(U2250="",1,0)</f>
        <v>0</v>
      </c>
      <c r="F2250" s="1">
        <f t="shared" si="556"/>
        <v>0</v>
      </c>
      <c r="G2250" s="1" t="str">
        <f t="shared" ref="G2250:G2270" si="557">IF(H2250=0,"-",_xlfn.CONCAT(K2250,N2250,O2250,J2250))</f>
        <v>24101202</v>
      </c>
      <c r="H2250" s="2">
        <v>45577</v>
      </c>
      <c r="I2250" s="36">
        <v>2</v>
      </c>
      <c r="J2250" s="1" t="str">
        <f t="shared" si="542"/>
        <v>02</v>
      </c>
      <c r="K2250" s="3">
        <f t="shared" si="543"/>
        <v>24</v>
      </c>
      <c r="L2250" s="3">
        <f t="shared" si="544"/>
        <v>10</v>
      </c>
      <c r="M2250" s="3">
        <f t="shared" si="545"/>
        <v>12</v>
      </c>
      <c r="N2250" s="3">
        <f t="shared" si="553"/>
        <v>10</v>
      </c>
      <c r="O2250" s="14">
        <f t="shared" si="553"/>
        <v>12</v>
      </c>
      <c r="P2250" s="4">
        <v>108000</v>
      </c>
      <c r="T2250" s="5" t="s">
        <v>909</v>
      </c>
      <c r="U2250" s="3" t="s">
        <v>1</v>
      </c>
      <c r="V2250" s="3" t="s">
        <v>5</v>
      </c>
    </row>
    <row r="2251" spans="1:23">
      <c r="A2251" s="3">
        <v>2226</v>
      </c>
      <c r="B2251" s="1">
        <f t="shared" si="554"/>
        <v>0</v>
      </c>
      <c r="C2251" s="1">
        <f t="shared" si="555"/>
        <v>0</v>
      </c>
      <c r="D2251" s="1">
        <f t="shared" si="552"/>
        <v>0</v>
      </c>
      <c r="E2251" s="1">
        <f t="shared" si="556"/>
        <v>0</v>
      </c>
      <c r="F2251" s="1">
        <f t="shared" si="556"/>
        <v>0</v>
      </c>
      <c r="G2251" s="1" t="str">
        <f t="shared" si="557"/>
        <v>24101203</v>
      </c>
      <c r="H2251" s="2">
        <v>45577</v>
      </c>
      <c r="I2251" s="36">
        <v>3</v>
      </c>
      <c r="J2251" s="1" t="str">
        <f t="shared" si="542"/>
        <v>03</v>
      </c>
      <c r="K2251" s="3">
        <f t="shared" si="543"/>
        <v>24</v>
      </c>
      <c r="L2251" s="3">
        <f t="shared" si="544"/>
        <v>10</v>
      </c>
      <c r="M2251" s="3">
        <f t="shared" si="545"/>
        <v>12</v>
      </c>
      <c r="N2251" s="3">
        <f t="shared" si="553"/>
        <v>10</v>
      </c>
      <c r="O2251" s="14">
        <f t="shared" si="553"/>
        <v>12</v>
      </c>
      <c r="P2251" s="4">
        <v>159000</v>
      </c>
      <c r="T2251" s="5" t="s">
        <v>910</v>
      </c>
      <c r="U2251" s="3" t="s">
        <v>1</v>
      </c>
      <c r="V2251" s="3" t="s">
        <v>5</v>
      </c>
      <c r="W2251" s="3" t="s">
        <v>810</v>
      </c>
    </row>
    <row r="2252" spans="1:23">
      <c r="A2252" s="3">
        <v>2227</v>
      </c>
      <c r="B2252" s="1">
        <f t="shared" si="554"/>
        <v>0</v>
      </c>
      <c r="C2252" s="1">
        <f t="shared" si="555"/>
        <v>0</v>
      </c>
      <c r="D2252" s="1">
        <f t="shared" si="552"/>
        <v>0</v>
      </c>
      <c r="E2252" s="1">
        <f t="shared" si="556"/>
        <v>0</v>
      </c>
      <c r="F2252" s="1">
        <f t="shared" si="556"/>
        <v>0</v>
      </c>
      <c r="G2252" s="1" t="str">
        <f t="shared" si="557"/>
        <v>24101204</v>
      </c>
      <c r="H2252" s="2">
        <v>45577</v>
      </c>
      <c r="I2252" s="36">
        <v>4</v>
      </c>
      <c r="J2252" s="1" t="str">
        <f t="shared" si="542"/>
        <v>04</v>
      </c>
      <c r="K2252" s="3">
        <f t="shared" si="543"/>
        <v>24</v>
      </c>
      <c r="L2252" s="3">
        <f t="shared" si="544"/>
        <v>10</v>
      </c>
      <c r="M2252" s="3">
        <f t="shared" si="545"/>
        <v>12</v>
      </c>
      <c r="N2252" s="3">
        <f t="shared" si="553"/>
        <v>10</v>
      </c>
      <c r="O2252" s="14">
        <f t="shared" si="553"/>
        <v>12</v>
      </c>
      <c r="P2252" s="4">
        <v>159000</v>
      </c>
      <c r="T2252" s="5" t="s">
        <v>911</v>
      </c>
      <c r="U2252" s="3" t="s">
        <v>1</v>
      </c>
      <c r="V2252" s="3" t="s">
        <v>5</v>
      </c>
      <c r="W2252" s="3" t="s">
        <v>811</v>
      </c>
    </row>
    <row r="2253" spans="1:23">
      <c r="A2253" s="3">
        <v>2228</v>
      </c>
      <c r="B2253" s="1">
        <f t="shared" si="554"/>
        <v>0</v>
      </c>
      <c r="C2253" s="1">
        <f t="shared" si="555"/>
        <v>0</v>
      </c>
      <c r="D2253" s="1">
        <f t="shared" si="552"/>
        <v>0</v>
      </c>
      <c r="E2253" s="1">
        <f t="shared" si="556"/>
        <v>0</v>
      </c>
      <c r="F2253" s="1">
        <f t="shared" si="556"/>
        <v>0</v>
      </c>
      <c r="G2253" s="1" t="str">
        <f t="shared" si="557"/>
        <v>24101205</v>
      </c>
      <c r="H2253" s="2">
        <v>45577</v>
      </c>
      <c r="I2253" s="36">
        <v>5</v>
      </c>
      <c r="J2253" s="1" t="str">
        <f t="shared" si="542"/>
        <v>05</v>
      </c>
      <c r="K2253" s="3">
        <f t="shared" si="543"/>
        <v>24</v>
      </c>
      <c r="L2253" s="3">
        <f t="shared" si="544"/>
        <v>10</v>
      </c>
      <c r="M2253" s="3">
        <f t="shared" si="545"/>
        <v>12</v>
      </c>
      <c r="N2253" s="3">
        <f t="shared" si="553"/>
        <v>10</v>
      </c>
      <c r="O2253" s="14">
        <f t="shared" si="553"/>
        <v>12</v>
      </c>
      <c r="P2253" s="4">
        <v>132000</v>
      </c>
      <c r="T2253" s="5" t="s">
        <v>912</v>
      </c>
      <c r="U2253" s="3" t="s">
        <v>1</v>
      </c>
      <c r="V2253" s="3" t="s">
        <v>5</v>
      </c>
      <c r="W2253" s="3" t="s">
        <v>812</v>
      </c>
    </row>
    <row r="2254" spans="1:23" hidden="1">
      <c r="J2254" s="1" t="str">
        <f t="shared" si="542"/>
        <v>0</v>
      </c>
      <c r="K2254" s="3">
        <f t="shared" si="543"/>
        <v>-100</v>
      </c>
      <c r="L2254" s="3">
        <f t="shared" si="544"/>
        <v>1</v>
      </c>
      <c r="M2254" s="3">
        <f t="shared" si="545"/>
        <v>0</v>
      </c>
      <c r="N2254" s="3" t="str">
        <f t="shared" si="553"/>
        <v>01</v>
      </c>
      <c r="O2254" s="14" t="str">
        <f t="shared" si="553"/>
        <v>00</v>
      </c>
    </row>
    <row r="2255" spans="1:23">
      <c r="A2255" s="3">
        <v>2230</v>
      </c>
      <c r="B2255" s="1">
        <f t="shared" si="554"/>
        <v>0</v>
      </c>
      <c r="C2255" s="1">
        <f t="shared" si="555"/>
        <v>1</v>
      </c>
      <c r="D2255" s="1">
        <f t="shared" si="552"/>
        <v>0</v>
      </c>
      <c r="E2255" s="1">
        <f t="shared" si="556"/>
        <v>0</v>
      </c>
      <c r="F2255" s="1">
        <f t="shared" si="556"/>
        <v>0</v>
      </c>
      <c r="G2255" s="1" t="str">
        <f t="shared" si="557"/>
        <v>24101207</v>
      </c>
      <c r="H2255" s="2">
        <v>45577</v>
      </c>
      <c r="I2255" s="36">
        <v>7</v>
      </c>
      <c r="J2255" s="1" t="str">
        <f t="shared" si="542"/>
        <v>07</v>
      </c>
      <c r="K2255" s="3">
        <f t="shared" si="543"/>
        <v>24</v>
      </c>
      <c r="L2255" s="3">
        <f t="shared" si="544"/>
        <v>10</v>
      </c>
      <c r="M2255" s="3">
        <f t="shared" si="545"/>
        <v>12</v>
      </c>
      <c r="N2255" s="3">
        <f t="shared" si="553"/>
        <v>10</v>
      </c>
      <c r="O2255" s="14">
        <f t="shared" si="553"/>
        <v>12</v>
      </c>
      <c r="P2255" s="4">
        <v>132000</v>
      </c>
      <c r="T2255" s="5" t="s">
        <v>914</v>
      </c>
      <c r="U2255" s="3" t="s">
        <v>1</v>
      </c>
      <c r="V2255" s="3" t="s">
        <v>5</v>
      </c>
      <c r="W2255" s="3" t="s">
        <v>814</v>
      </c>
    </row>
    <row r="2256" spans="1:23">
      <c r="A2256" s="3">
        <v>2231</v>
      </c>
      <c r="B2256" s="1">
        <f t="shared" si="554"/>
        <v>0</v>
      </c>
      <c r="C2256" s="1">
        <f t="shared" si="555"/>
        <v>0</v>
      </c>
      <c r="D2256" s="1">
        <f t="shared" si="552"/>
        <v>0</v>
      </c>
      <c r="E2256" s="1">
        <f t="shared" si="556"/>
        <v>0</v>
      </c>
      <c r="F2256" s="1">
        <f t="shared" si="556"/>
        <v>0</v>
      </c>
      <c r="G2256" s="1" t="str">
        <f t="shared" si="557"/>
        <v>24101208</v>
      </c>
      <c r="H2256" s="2">
        <v>45577</v>
      </c>
      <c r="I2256" s="36">
        <v>8</v>
      </c>
      <c r="J2256" s="1" t="str">
        <f t="shared" si="542"/>
        <v>08</v>
      </c>
      <c r="K2256" s="3">
        <f t="shared" si="543"/>
        <v>24</v>
      </c>
      <c r="L2256" s="3">
        <f t="shared" si="544"/>
        <v>10</v>
      </c>
      <c r="M2256" s="3">
        <f t="shared" si="545"/>
        <v>12</v>
      </c>
      <c r="N2256" s="3">
        <f t="shared" si="553"/>
        <v>10</v>
      </c>
      <c r="O2256" s="14">
        <f t="shared" si="553"/>
        <v>12</v>
      </c>
      <c r="P2256" s="4">
        <v>132000</v>
      </c>
      <c r="T2256" s="5" t="s">
        <v>915</v>
      </c>
      <c r="U2256" s="3" t="s">
        <v>1</v>
      </c>
      <c r="V2256" s="3" t="s">
        <v>5</v>
      </c>
      <c r="W2256" s="3" t="s">
        <v>815</v>
      </c>
    </row>
    <row r="2257" spans="1:23">
      <c r="A2257" s="3">
        <v>2232</v>
      </c>
      <c r="B2257" s="1">
        <f t="shared" si="554"/>
        <v>0</v>
      </c>
      <c r="C2257" s="1">
        <f t="shared" si="555"/>
        <v>0</v>
      </c>
      <c r="D2257" s="1">
        <f t="shared" si="552"/>
        <v>0</v>
      </c>
      <c r="E2257" s="1">
        <f t="shared" si="556"/>
        <v>0</v>
      </c>
      <c r="F2257" s="1">
        <f t="shared" si="556"/>
        <v>0</v>
      </c>
      <c r="G2257" s="1" t="str">
        <f t="shared" si="557"/>
        <v>24101209</v>
      </c>
      <c r="H2257" s="2">
        <v>45577</v>
      </c>
      <c r="I2257" s="36">
        <v>9</v>
      </c>
      <c r="J2257" s="1" t="str">
        <f t="shared" si="542"/>
        <v>09</v>
      </c>
      <c r="K2257" s="3">
        <f t="shared" si="543"/>
        <v>24</v>
      </c>
      <c r="L2257" s="3">
        <f t="shared" si="544"/>
        <v>10</v>
      </c>
      <c r="M2257" s="3">
        <f t="shared" si="545"/>
        <v>12</v>
      </c>
      <c r="N2257" s="3">
        <f t="shared" si="553"/>
        <v>10</v>
      </c>
      <c r="O2257" s="14">
        <f t="shared" si="553"/>
        <v>12</v>
      </c>
      <c r="P2257" s="4">
        <v>132000</v>
      </c>
      <c r="T2257" s="5" t="s">
        <v>916</v>
      </c>
      <c r="U2257" s="3" t="s">
        <v>1</v>
      </c>
      <c r="V2257" s="3" t="s">
        <v>5</v>
      </c>
    </row>
    <row r="2258" spans="1:23">
      <c r="A2258" s="3">
        <v>2233</v>
      </c>
      <c r="B2258" s="1">
        <f t="shared" si="554"/>
        <v>0</v>
      </c>
      <c r="C2258" s="1">
        <f t="shared" si="555"/>
        <v>0</v>
      </c>
      <c r="D2258" s="1">
        <f t="shared" si="552"/>
        <v>0</v>
      </c>
      <c r="E2258" s="1">
        <f t="shared" si="556"/>
        <v>0</v>
      </c>
      <c r="F2258" s="1">
        <f t="shared" si="556"/>
        <v>0</v>
      </c>
      <c r="G2258" s="1" t="str">
        <f t="shared" si="557"/>
        <v>24101210</v>
      </c>
      <c r="H2258" s="2">
        <v>45577</v>
      </c>
      <c r="I2258" s="36">
        <v>10</v>
      </c>
      <c r="J2258" s="1">
        <f t="shared" si="542"/>
        <v>10</v>
      </c>
      <c r="K2258" s="3">
        <f t="shared" si="543"/>
        <v>24</v>
      </c>
      <c r="L2258" s="3">
        <f t="shared" si="544"/>
        <v>10</v>
      </c>
      <c r="M2258" s="3">
        <f t="shared" si="545"/>
        <v>12</v>
      </c>
      <c r="N2258" s="3">
        <f t="shared" si="553"/>
        <v>10</v>
      </c>
      <c r="O2258" s="14">
        <f t="shared" si="553"/>
        <v>12</v>
      </c>
      <c r="P2258" s="4">
        <v>108000</v>
      </c>
      <c r="T2258" s="5" t="s">
        <v>917</v>
      </c>
      <c r="U2258" s="3" t="s">
        <v>1</v>
      </c>
      <c r="V2258" s="3" t="s">
        <v>5</v>
      </c>
    </row>
    <row r="2259" spans="1:23" hidden="1">
      <c r="J2259" s="1" t="str">
        <f t="shared" si="542"/>
        <v>0</v>
      </c>
      <c r="K2259" s="3">
        <f t="shared" si="543"/>
        <v>-100</v>
      </c>
      <c r="L2259" s="3">
        <f t="shared" si="544"/>
        <v>1</v>
      </c>
      <c r="M2259" s="3">
        <f t="shared" si="545"/>
        <v>0</v>
      </c>
      <c r="N2259" s="3" t="str">
        <f t="shared" si="553"/>
        <v>01</v>
      </c>
      <c r="O2259" s="14" t="str">
        <f t="shared" si="553"/>
        <v>00</v>
      </c>
    </row>
    <row r="2260" spans="1:23" hidden="1">
      <c r="J2260" s="1" t="str">
        <f t="shared" si="542"/>
        <v>0</v>
      </c>
      <c r="K2260" s="3">
        <f t="shared" si="543"/>
        <v>-100</v>
      </c>
      <c r="L2260" s="3">
        <f t="shared" si="544"/>
        <v>1</v>
      </c>
      <c r="M2260" s="3">
        <f t="shared" si="545"/>
        <v>0</v>
      </c>
      <c r="N2260" s="3" t="str">
        <f t="shared" si="553"/>
        <v>01</v>
      </c>
      <c r="O2260" s="14" t="str">
        <f t="shared" si="553"/>
        <v>00</v>
      </c>
    </row>
    <row r="2261" spans="1:23" hidden="1">
      <c r="J2261" s="1" t="str">
        <f t="shared" si="542"/>
        <v>0</v>
      </c>
      <c r="K2261" s="3">
        <f t="shared" si="543"/>
        <v>-100</v>
      </c>
      <c r="L2261" s="3">
        <f t="shared" si="544"/>
        <v>1</v>
      </c>
      <c r="M2261" s="3">
        <f t="shared" si="545"/>
        <v>0</v>
      </c>
      <c r="N2261" s="3" t="str">
        <f t="shared" si="553"/>
        <v>01</v>
      </c>
      <c r="O2261" s="14" t="str">
        <f t="shared" si="553"/>
        <v>00</v>
      </c>
    </row>
    <row r="2262" spans="1:23" hidden="1">
      <c r="J2262" s="1" t="str">
        <f t="shared" si="542"/>
        <v>0</v>
      </c>
      <c r="K2262" s="3">
        <f t="shared" si="543"/>
        <v>-100</v>
      </c>
      <c r="L2262" s="3">
        <f t="shared" si="544"/>
        <v>1</v>
      </c>
      <c r="M2262" s="3">
        <f t="shared" si="545"/>
        <v>0</v>
      </c>
      <c r="N2262" s="3" t="str">
        <f t="shared" si="553"/>
        <v>01</v>
      </c>
      <c r="O2262" s="14" t="str">
        <f t="shared" si="553"/>
        <v>00</v>
      </c>
    </row>
    <row r="2263" spans="1:23" hidden="1">
      <c r="J2263" s="1" t="str">
        <f t="shared" si="542"/>
        <v>0</v>
      </c>
      <c r="K2263" s="3">
        <f t="shared" si="543"/>
        <v>-100</v>
      </c>
      <c r="L2263" s="3">
        <f t="shared" si="544"/>
        <v>1</v>
      </c>
      <c r="M2263" s="3">
        <f t="shared" si="545"/>
        <v>0</v>
      </c>
      <c r="N2263" s="3" t="str">
        <f t="shared" si="553"/>
        <v>01</v>
      </c>
      <c r="O2263" s="14" t="str">
        <f t="shared" si="553"/>
        <v>00</v>
      </c>
    </row>
    <row r="2264" spans="1:23">
      <c r="A2264" s="3">
        <v>2238</v>
      </c>
      <c r="B2264" s="1">
        <f t="shared" si="554"/>
        <v>0</v>
      </c>
      <c r="C2264" s="1">
        <f t="shared" si="555"/>
        <v>1</v>
      </c>
      <c r="D2264" s="1">
        <f t="shared" si="552"/>
        <v>0</v>
      </c>
      <c r="E2264" s="1">
        <f t="shared" si="556"/>
        <v>0</v>
      </c>
      <c r="F2264" s="1">
        <f t="shared" si="556"/>
        <v>0</v>
      </c>
      <c r="G2264" s="1" t="str">
        <f t="shared" si="557"/>
        <v>24101215</v>
      </c>
      <c r="H2264" s="2">
        <v>45577</v>
      </c>
      <c r="I2264" s="36">
        <v>15</v>
      </c>
      <c r="J2264" s="1">
        <f t="shared" si="542"/>
        <v>15</v>
      </c>
      <c r="K2264" s="3">
        <f t="shared" si="543"/>
        <v>24</v>
      </c>
      <c r="L2264" s="3">
        <f t="shared" si="544"/>
        <v>10</v>
      </c>
      <c r="M2264" s="3">
        <f t="shared" si="545"/>
        <v>12</v>
      </c>
      <c r="N2264" s="3">
        <f t="shared" si="553"/>
        <v>10</v>
      </c>
      <c r="O2264" s="14">
        <f t="shared" si="553"/>
        <v>12</v>
      </c>
      <c r="P2264" s="4">
        <v>108000</v>
      </c>
      <c r="T2264" s="5" t="s">
        <v>923</v>
      </c>
      <c r="U2264" s="3" t="s">
        <v>1</v>
      </c>
      <c r="V2264" s="3" t="s">
        <v>5</v>
      </c>
    </row>
    <row r="2265" spans="1:23">
      <c r="A2265" s="3">
        <v>2239</v>
      </c>
      <c r="B2265" s="1">
        <f t="shared" si="554"/>
        <v>0</v>
      </c>
      <c r="C2265" s="1">
        <f t="shared" si="555"/>
        <v>0</v>
      </c>
      <c r="D2265" s="1">
        <f t="shared" si="552"/>
        <v>0</v>
      </c>
      <c r="E2265" s="1">
        <f t="shared" si="556"/>
        <v>0</v>
      </c>
      <c r="F2265" s="1">
        <f t="shared" si="556"/>
        <v>0</v>
      </c>
      <c r="G2265" s="1" t="str">
        <f t="shared" si="557"/>
        <v>24101216</v>
      </c>
      <c r="H2265" s="2">
        <v>45577</v>
      </c>
      <c r="I2265" s="36">
        <v>16</v>
      </c>
      <c r="J2265" s="1">
        <f t="shared" si="542"/>
        <v>16</v>
      </c>
      <c r="K2265" s="3">
        <f t="shared" si="543"/>
        <v>24</v>
      </c>
      <c r="L2265" s="3">
        <f t="shared" si="544"/>
        <v>10</v>
      </c>
      <c r="M2265" s="3">
        <f t="shared" si="545"/>
        <v>12</v>
      </c>
      <c r="N2265" s="3">
        <f t="shared" si="553"/>
        <v>10</v>
      </c>
      <c r="O2265" s="14">
        <f t="shared" si="553"/>
        <v>12</v>
      </c>
      <c r="P2265" s="4">
        <v>252000</v>
      </c>
      <c r="T2265" s="5" t="s">
        <v>921</v>
      </c>
      <c r="U2265" s="3" t="s">
        <v>1</v>
      </c>
      <c r="V2265" s="3" t="s">
        <v>5</v>
      </c>
    </row>
    <row r="2266" spans="1:23">
      <c r="A2266" s="3">
        <v>2240</v>
      </c>
      <c r="B2266" s="1">
        <f t="shared" si="554"/>
        <v>0</v>
      </c>
      <c r="C2266" s="1">
        <f t="shared" si="555"/>
        <v>0</v>
      </c>
      <c r="D2266" s="1">
        <f t="shared" si="552"/>
        <v>0</v>
      </c>
      <c r="E2266" s="1">
        <f t="shared" si="556"/>
        <v>0</v>
      </c>
      <c r="F2266" s="1">
        <f t="shared" si="556"/>
        <v>0</v>
      </c>
      <c r="G2266" s="1" t="str">
        <f t="shared" si="557"/>
        <v>24101217</v>
      </c>
      <c r="H2266" s="2">
        <v>45577</v>
      </c>
      <c r="I2266" s="36">
        <v>17</v>
      </c>
      <c r="J2266" s="1">
        <f t="shared" si="542"/>
        <v>17</v>
      </c>
      <c r="K2266" s="3">
        <f t="shared" si="543"/>
        <v>24</v>
      </c>
      <c r="L2266" s="3">
        <f t="shared" si="544"/>
        <v>10</v>
      </c>
      <c r="M2266" s="3">
        <f t="shared" si="545"/>
        <v>12</v>
      </c>
      <c r="N2266" s="3">
        <f t="shared" si="553"/>
        <v>10</v>
      </c>
      <c r="O2266" s="14">
        <f t="shared" si="553"/>
        <v>12</v>
      </c>
      <c r="P2266" s="4">
        <v>90000</v>
      </c>
      <c r="T2266" s="5" t="s">
        <v>924</v>
      </c>
      <c r="U2266" s="3" t="s">
        <v>1</v>
      </c>
      <c r="V2266" s="3" t="s">
        <v>5</v>
      </c>
    </row>
    <row r="2267" spans="1:23">
      <c r="A2267" s="3">
        <v>2241</v>
      </c>
      <c r="B2267" s="1">
        <f t="shared" si="554"/>
        <v>0</v>
      </c>
      <c r="C2267" s="1">
        <f t="shared" si="555"/>
        <v>0</v>
      </c>
      <c r="D2267" s="1">
        <f t="shared" si="552"/>
        <v>0</v>
      </c>
      <c r="E2267" s="1">
        <f t="shared" si="556"/>
        <v>0</v>
      </c>
      <c r="F2267" s="1">
        <f t="shared" si="556"/>
        <v>0</v>
      </c>
      <c r="G2267" s="1" t="str">
        <f t="shared" si="557"/>
        <v>24101218</v>
      </c>
      <c r="H2267" s="2">
        <v>45577</v>
      </c>
      <c r="I2267" s="36">
        <v>18</v>
      </c>
      <c r="J2267" s="1">
        <f t="shared" si="542"/>
        <v>18</v>
      </c>
      <c r="K2267" s="3">
        <f t="shared" si="543"/>
        <v>24</v>
      </c>
      <c r="L2267" s="3">
        <f t="shared" si="544"/>
        <v>10</v>
      </c>
      <c r="M2267" s="3">
        <f t="shared" si="545"/>
        <v>12</v>
      </c>
      <c r="N2267" s="3">
        <f t="shared" si="553"/>
        <v>10</v>
      </c>
      <c r="O2267" s="14">
        <f t="shared" si="553"/>
        <v>12</v>
      </c>
      <c r="P2267" s="4">
        <v>150000</v>
      </c>
      <c r="T2267" s="5" t="s">
        <v>896</v>
      </c>
      <c r="U2267" s="3" t="s">
        <v>1</v>
      </c>
      <c r="V2267" s="3" t="s">
        <v>5</v>
      </c>
      <c r="W2267" s="3" t="s">
        <v>816</v>
      </c>
    </row>
    <row r="2268" spans="1:23">
      <c r="A2268" s="3">
        <v>2242</v>
      </c>
      <c r="B2268" s="1">
        <f t="shared" si="554"/>
        <v>0</v>
      </c>
      <c r="C2268" s="1">
        <f t="shared" si="555"/>
        <v>0</v>
      </c>
      <c r="D2268" s="1">
        <f t="shared" si="552"/>
        <v>0</v>
      </c>
      <c r="E2268" s="1">
        <f t="shared" si="556"/>
        <v>0</v>
      </c>
      <c r="F2268" s="1">
        <f t="shared" si="556"/>
        <v>0</v>
      </c>
      <c r="G2268" s="1" t="str">
        <f t="shared" si="557"/>
        <v>24101219</v>
      </c>
      <c r="H2268" s="2">
        <v>45577</v>
      </c>
      <c r="I2268" s="36">
        <v>19</v>
      </c>
      <c r="J2268" s="1">
        <f t="shared" si="542"/>
        <v>19</v>
      </c>
      <c r="K2268" s="3">
        <f t="shared" si="543"/>
        <v>24</v>
      </c>
      <c r="L2268" s="3">
        <f t="shared" si="544"/>
        <v>10</v>
      </c>
      <c r="M2268" s="3">
        <f t="shared" si="545"/>
        <v>12</v>
      </c>
      <c r="N2268" s="3">
        <f t="shared" si="553"/>
        <v>10</v>
      </c>
      <c r="O2268" s="14">
        <f t="shared" si="553"/>
        <v>12</v>
      </c>
      <c r="P2268" s="4">
        <v>30000</v>
      </c>
      <c r="T2268" s="5" t="s">
        <v>931</v>
      </c>
      <c r="U2268" s="3" t="s">
        <v>1</v>
      </c>
      <c r="V2268" s="3" t="s">
        <v>5</v>
      </c>
      <c r="W2268" s="3" t="s">
        <v>933</v>
      </c>
    </row>
    <row r="2269" spans="1:23">
      <c r="A2269" s="3">
        <v>2243</v>
      </c>
      <c r="B2269" s="1">
        <f t="shared" si="554"/>
        <v>0</v>
      </c>
      <c r="C2269" s="1">
        <f t="shared" si="555"/>
        <v>0</v>
      </c>
      <c r="D2269" s="1">
        <f t="shared" si="552"/>
        <v>0</v>
      </c>
      <c r="E2269" s="1">
        <f t="shared" si="556"/>
        <v>0</v>
      </c>
      <c r="F2269" s="1">
        <f t="shared" si="556"/>
        <v>0</v>
      </c>
      <c r="G2269" s="1" t="str">
        <f t="shared" si="557"/>
        <v>24101220</v>
      </c>
      <c r="H2269" s="2">
        <v>45577</v>
      </c>
      <c r="I2269" s="36">
        <v>20</v>
      </c>
      <c r="J2269" s="1">
        <f t="shared" si="542"/>
        <v>20</v>
      </c>
      <c r="K2269" s="3">
        <f t="shared" si="543"/>
        <v>24</v>
      </c>
      <c r="L2269" s="3">
        <f t="shared" si="544"/>
        <v>10</v>
      </c>
      <c r="M2269" s="3">
        <f t="shared" si="545"/>
        <v>12</v>
      </c>
      <c r="N2269" s="3">
        <f t="shared" si="553"/>
        <v>10</v>
      </c>
      <c r="O2269" s="14">
        <f t="shared" si="553"/>
        <v>12</v>
      </c>
      <c r="P2269" s="4">
        <v>30000</v>
      </c>
      <c r="T2269" s="5" t="s">
        <v>932</v>
      </c>
      <c r="U2269" s="3" t="s">
        <v>1</v>
      </c>
      <c r="V2269" s="3" t="s">
        <v>5</v>
      </c>
      <c r="W2269" s="3" t="s">
        <v>933</v>
      </c>
    </row>
    <row r="2270" spans="1:23">
      <c r="A2270" s="3">
        <v>2244</v>
      </c>
      <c r="B2270" s="1">
        <f t="shared" si="554"/>
        <v>0</v>
      </c>
      <c r="C2270" s="1">
        <f t="shared" si="555"/>
        <v>0</v>
      </c>
      <c r="D2270" s="1">
        <f t="shared" si="552"/>
        <v>0</v>
      </c>
      <c r="E2270" s="1">
        <f t="shared" si="556"/>
        <v>0</v>
      </c>
      <c r="F2270" s="1">
        <f t="shared" si="556"/>
        <v>0</v>
      </c>
      <c r="G2270" s="1" t="str">
        <f t="shared" si="557"/>
        <v>24101221</v>
      </c>
      <c r="H2270" s="2">
        <v>45577</v>
      </c>
      <c r="I2270" s="36">
        <v>21</v>
      </c>
      <c r="J2270" s="1">
        <f t="shared" si="542"/>
        <v>21</v>
      </c>
      <c r="K2270" s="3">
        <f t="shared" si="543"/>
        <v>24</v>
      </c>
      <c r="L2270" s="3">
        <f t="shared" si="544"/>
        <v>10</v>
      </c>
      <c r="M2270" s="3">
        <f t="shared" si="545"/>
        <v>12</v>
      </c>
      <c r="N2270" s="3">
        <f t="shared" si="553"/>
        <v>10</v>
      </c>
      <c r="O2270" s="14">
        <f t="shared" si="553"/>
        <v>12</v>
      </c>
      <c r="P2270" s="4">
        <v>30000</v>
      </c>
      <c r="T2270" s="5" t="s">
        <v>932</v>
      </c>
      <c r="U2270" s="3" t="s">
        <v>1</v>
      </c>
      <c r="V2270" s="3" t="s">
        <v>5</v>
      </c>
      <c r="W2270" s="3" t="s">
        <v>934</v>
      </c>
    </row>
    <row r="2271" spans="1:23" hidden="1">
      <c r="J2271" s="1" t="str">
        <f t="shared" si="542"/>
        <v>0</v>
      </c>
      <c r="K2271" s="3">
        <f t="shared" si="543"/>
        <v>-100</v>
      </c>
      <c r="L2271" s="3">
        <f t="shared" si="544"/>
        <v>1</v>
      </c>
      <c r="M2271" s="3">
        <f t="shared" si="545"/>
        <v>0</v>
      </c>
      <c r="N2271" s="3" t="str">
        <f t="shared" si="553"/>
        <v>01</v>
      </c>
      <c r="O2271" s="14" t="str">
        <f t="shared" si="553"/>
        <v>00</v>
      </c>
    </row>
    <row r="2272" spans="1:23" hidden="1">
      <c r="J2272" s="1" t="str">
        <f t="shared" si="542"/>
        <v>0</v>
      </c>
      <c r="K2272" s="3">
        <f t="shared" si="543"/>
        <v>-100</v>
      </c>
      <c r="L2272" s="3">
        <f t="shared" si="544"/>
        <v>1</v>
      </c>
      <c r="M2272" s="3">
        <f t="shared" si="545"/>
        <v>0</v>
      </c>
      <c r="N2272" s="3" t="str">
        <f t="shared" si="553"/>
        <v>01</v>
      </c>
      <c r="O2272" s="14" t="str">
        <f t="shared" si="553"/>
        <v>00</v>
      </c>
    </row>
    <row r="2273" spans="1:22" hidden="1">
      <c r="J2273" s="1" t="str">
        <f t="shared" si="542"/>
        <v>0</v>
      </c>
      <c r="K2273" s="3">
        <f t="shared" si="543"/>
        <v>-100</v>
      </c>
      <c r="L2273" s="3">
        <f t="shared" si="544"/>
        <v>1</v>
      </c>
      <c r="M2273" s="3">
        <f t="shared" si="545"/>
        <v>0</v>
      </c>
      <c r="N2273" s="3" t="str">
        <f t="shared" si="553"/>
        <v>01</v>
      </c>
      <c r="O2273" s="14" t="str">
        <f t="shared" si="553"/>
        <v>00</v>
      </c>
    </row>
    <row r="2274" spans="1:22" hidden="1">
      <c r="J2274" s="1" t="str">
        <f t="shared" ref="J2274:J2336" si="558">+IF(I2274&lt;10,_xlfn.CONCAT("0",I2274),I2274)</f>
        <v>0</v>
      </c>
      <c r="K2274" s="3">
        <f t="shared" ref="K2274:K2336" si="559">+YEAR(H2274)-2000</f>
        <v>-100</v>
      </c>
      <c r="L2274" s="3">
        <f t="shared" ref="L2274:L2336" si="560">+MONTH(H2274)</f>
        <v>1</v>
      </c>
      <c r="M2274" s="3">
        <f t="shared" ref="M2274:M2336" si="561">+DAY(H2274)</f>
        <v>0</v>
      </c>
      <c r="N2274" s="3" t="str">
        <f t="shared" ref="N2274:O2305" si="562">+IF(L2274&lt;10,_xlfn.CONCAT("0",L2274),L2274)</f>
        <v>01</v>
      </c>
      <c r="O2274" s="14" t="str">
        <f t="shared" si="562"/>
        <v>00</v>
      </c>
    </row>
    <row r="2275" spans="1:22" hidden="1">
      <c r="J2275" s="1" t="str">
        <f t="shared" si="558"/>
        <v>0</v>
      </c>
      <c r="K2275" s="3">
        <f t="shared" si="559"/>
        <v>-100</v>
      </c>
      <c r="L2275" s="3">
        <f t="shared" si="560"/>
        <v>1</v>
      </c>
      <c r="M2275" s="3">
        <f t="shared" si="561"/>
        <v>0</v>
      </c>
      <c r="N2275" s="3" t="str">
        <f t="shared" si="562"/>
        <v>01</v>
      </c>
      <c r="O2275" s="14" t="str">
        <f t="shared" si="562"/>
        <v>00</v>
      </c>
    </row>
    <row r="2276" spans="1:22" hidden="1">
      <c r="J2276" s="1" t="str">
        <f t="shared" si="558"/>
        <v>0</v>
      </c>
      <c r="K2276" s="3">
        <f t="shared" si="559"/>
        <v>-100</v>
      </c>
      <c r="L2276" s="3">
        <f t="shared" si="560"/>
        <v>1</v>
      </c>
      <c r="M2276" s="3">
        <f t="shared" si="561"/>
        <v>0</v>
      </c>
      <c r="N2276" s="3" t="str">
        <f t="shared" si="562"/>
        <v>01</v>
      </c>
      <c r="O2276" s="14" t="str">
        <f t="shared" si="562"/>
        <v>00</v>
      </c>
    </row>
    <row r="2277" spans="1:22" hidden="1">
      <c r="J2277" s="1" t="str">
        <f t="shared" si="558"/>
        <v>0</v>
      </c>
      <c r="K2277" s="3">
        <f t="shared" si="559"/>
        <v>-100</v>
      </c>
      <c r="L2277" s="3">
        <f t="shared" si="560"/>
        <v>1</v>
      </c>
      <c r="M2277" s="3">
        <f t="shared" si="561"/>
        <v>0</v>
      </c>
      <c r="N2277" s="3" t="str">
        <f t="shared" si="562"/>
        <v>01</v>
      </c>
      <c r="O2277" s="14" t="str">
        <f t="shared" si="562"/>
        <v>00</v>
      </c>
    </row>
    <row r="2278" spans="1:22" hidden="1">
      <c r="J2278" s="1" t="str">
        <f t="shared" si="558"/>
        <v>0</v>
      </c>
      <c r="K2278" s="3">
        <f t="shared" si="559"/>
        <v>-100</v>
      </c>
      <c r="L2278" s="3">
        <f t="shared" si="560"/>
        <v>1</v>
      </c>
      <c r="M2278" s="3">
        <f t="shared" si="561"/>
        <v>0</v>
      </c>
      <c r="N2278" s="3" t="str">
        <f t="shared" si="562"/>
        <v>01</v>
      </c>
      <c r="O2278" s="14" t="str">
        <f t="shared" si="562"/>
        <v>00</v>
      </c>
    </row>
    <row r="2279" spans="1:22" hidden="1">
      <c r="J2279" s="1" t="str">
        <f t="shared" si="558"/>
        <v>0</v>
      </c>
      <c r="K2279" s="3">
        <f t="shared" si="559"/>
        <v>-100</v>
      </c>
      <c r="L2279" s="3">
        <f t="shared" si="560"/>
        <v>1</v>
      </c>
      <c r="M2279" s="3">
        <f t="shared" si="561"/>
        <v>0</v>
      </c>
      <c r="N2279" s="3" t="str">
        <f t="shared" si="562"/>
        <v>01</v>
      </c>
      <c r="O2279" s="14" t="str">
        <f t="shared" si="562"/>
        <v>00</v>
      </c>
    </row>
    <row r="2280" spans="1:22" hidden="1">
      <c r="J2280" s="1" t="str">
        <f t="shared" si="558"/>
        <v>0</v>
      </c>
      <c r="K2280" s="3">
        <f t="shared" si="559"/>
        <v>-100</v>
      </c>
      <c r="L2280" s="3">
        <f t="shared" si="560"/>
        <v>1</v>
      </c>
      <c r="M2280" s="3">
        <f t="shared" si="561"/>
        <v>0</v>
      </c>
      <c r="N2280" s="3" t="str">
        <f t="shared" si="562"/>
        <v>01</v>
      </c>
      <c r="O2280" s="14" t="str">
        <f t="shared" si="562"/>
        <v>00</v>
      </c>
    </row>
    <row r="2281" spans="1:22" hidden="1">
      <c r="J2281" s="1" t="str">
        <f t="shared" si="558"/>
        <v>0</v>
      </c>
      <c r="K2281" s="3">
        <f t="shared" si="559"/>
        <v>-100</v>
      </c>
      <c r="L2281" s="3">
        <f t="shared" si="560"/>
        <v>1</v>
      </c>
      <c r="M2281" s="3">
        <f t="shared" si="561"/>
        <v>0</v>
      </c>
      <c r="N2281" s="3" t="str">
        <f t="shared" si="562"/>
        <v>01</v>
      </c>
      <c r="O2281" s="14" t="str">
        <f t="shared" si="562"/>
        <v>00</v>
      </c>
    </row>
    <row r="2282" spans="1:22" hidden="1">
      <c r="J2282" s="1" t="str">
        <f t="shared" si="558"/>
        <v>0</v>
      </c>
      <c r="K2282" s="3">
        <f t="shared" si="559"/>
        <v>-100</v>
      </c>
      <c r="L2282" s="3">
        <f t="shared" si="560"/>
        <v>1</v>
      </c>
      <c r="M2282" s="3">
        <f t="shared" si="561"/>
        <v>0</v>
      </c>
      <c r="N2282" s="3" t="str">
        <f t="shared" si="562"/>
        <v>01</v>
      </c>
      <c r="O2282" s="14" t="str">
        <f t="shared" si="562"/>
        <v>00</v>
      </c>
    </row>
    <row r="2283" spans="1:22" hidden="1">
      <c r="J2283" s="1" t="str">
        <f t="shared" si="558"/>
        <v>0</v>
      </c>
      <c r="K2283" s="3">
        <f t="shared" si="559"/>
        <v>-100</v>
      </c>
      <c r="L2283" s="3">
        <f t="shared" si="560"/>
        <v>1</v>
      </c>
      <c r="M2283" s="3">
        <f t="shared" si="561"/>
        <v>0</v>
      </c>
      <c r="N2283" s="3" t="str">
        <f t="shared" si="562"/>
        <v>01</v>
      </c>
      <c r="O2283" s="14" t="str">
        <f t="shared" si="562"/>
        <v>00</v>
      </c>
    </row>
    <row r="2284" spans="1:22">
      <c r="A2284" s="3">
        <v>2258</v>
      </c>
      <c r="B2284" s="1">
        <f t="shared" ref="B2284:B2305" si="563">IF(G2284="-",0,IF(G2283=G2284,1,0))</f>
        <v>0</v>
      </c>
      <c r="C2284" s="1">
        <f t="shared" ref="C2284:C2305" si="564">+IF(G2284="-",0,IF(I2284=I2283+1,0,(IF(I2284=1,0,1))))</f>
        <v>0</v>
      </c>
      <c r="D2284" s="1">
        <f t="shared" si="552"/>
        <v>0</v>
      </c>
      <c r="E2284" s="1">
        <f t="shared" ref="E2284:F2305" si="565">IF(U2284="",1,0)</f>
        <v>0</v>
      </c>
      <c r="F2284" s="1">
        <f t="shared" si="565"/>
        <v>0</v>
      </c>
      <c r="G2284" s="1" t="str">
        <f t="shared" ref="G2284:G2305" si="566">IF(H2284=0,"-",_xlfn.CONCAT(K2284,N2284,O2284,J2284))</f>
        <v>24101501</v>
      </c>
      <c r="H2284" s="2">
        <v>45580</v>
      </c>
      <c r="I2284" s="36">
        <v>1</v>
      </c>
      <c r="J2284" s="1" t="str">
        <f t="shared" si="558"/>
        <v>01</v>
      </c>
      <c r="K2284" s="3">
        <f t="shared" si="559"/>
        <v>24</v>
      </c>
      <c r="L2284" s="3">
        <f t="shared" si="560"/>
        <v>10</v>
      </c>
      <c r="M2284" s="3">
        <f t="shared" si="561"/>
        <v>15</v>
      </c>
      <c r="N2284" s="3">
        <f t="shared" si="562"/>
        <v>10</v>
      </c>
      <c r="O2284" s="14">
        <f t="shared" si="562"/>
        <v>15</v>
      </c>
      <c r="P2284" s="4">
        <v>136363.74</v>
      </c>
      <c r="T2284" s="5" t="s">
        <v>927</v>
      </c>
      <c r="U2284" s="3" t="s">
        <v>29</v>
      </c>
      <c r="V2284" s="3" t="s">
        <v>5</v>
      </c>
    </row>
    <row r="2285" spans="1:22" hidden="1">
      <c r="J2285" s="1" t="str">
        <f t="shared" si="558"/>
        <v>0</v>
      </c>
      <c r="K2285" s="3">
        <f t="shared" si="559"/>
        <v>-100</v>
      </c>
      <c r="L2285" s="3">
        <f t="shared" si="560"/>
        <v>1</v>
      </c>
      <c r="M2285" s="3">
        <f t="shared" si="561"/>
        <v>0</v>
      </c>
      <c r="N2285" s="3" t="str">
        <f t="shared" si="562"/>
        <v>01</v>
      </c>
      <c r="O2285" s="14" t="str">
        <f t="shared" si="562"/>
        <v>00</v>
      </c>
    </row>
    <row r="2286" spans="1:22" hidden="1">
      <c r="J2286" s="1" t="str">
        <f t="shared" si="558"/>
        <v>0</v>
      </c>
      <c r="K2286" s="3">
        <f t="shared" si="559"/>
        <v>-100</v>
      </c>
      <c r="L2286" s="3">
        <f t="shared" si="560"/>
        <v>1</v>
      </c>
      <c r="M2286" s="3">
        <f t="shared" si="561"/>
        <v>0</v>
      </c>
      <c r="N2286" s="3" t="str">
        <f t="shared" si="562"/>
        <v>01</v>
      </c>
      <c r="O2286" s="14" t="str">
        <f t="shared" si="562"/>
        <v>00</v>
      </c>
    </row>
    <row r="2287" spans="1:22" hidden="1">
      <c r="J2287" s="1" t="str">
        <f t="shared" si="558"/>
        <v>0</v>
      </c>
      <c r="K2287" s="3">
        <f t="shared" si="559"/>
        <v>-100</v>
      </c>
      <c r="L2287" s="3">
        <f t="shared" si="560"/>
        <v>1</v>
      </c>
      <c r="M2287" s="3">
        <f t="shared" si="561"/>
        <v>0</v>
      </c>
      <c r="N2287" s="3" t="str">
        <f t="shared" si="562"/>
        <v>01</v>
      </c>
      <c r="O2287" s="14" t="str">
        <f t="shared" si="562"/>
        <v>00</v>
      </c>
    </row>
    <row r="2288" spans="1:22" hidden="1">
      <c r="J2288" s="1" t="str">
        <f t="shared" si="558"/>
        <v>0</v>
      </c>
      <c r="K2288" s="3">
        <f t="shared" si="559"/>
        <v>-100</v>
      </c>
      <c r="L2288" s="3">
        <f t="shared" si="560"/>
        <v>1</v>
      </c>
      <c r="M2288" s="3">
        <f t="shared" si="561"/>
        <v>0</v>
      </c>
      <c r="N2288" s="3" t="str">
        <f t="shared" si="562"/>
        <v>01</v>
      </c>
      <c r="O2288" s="14" t="str">
        <f t="shared" si="562"/>
        <v>00</v>
      </c>
    </row>
    <row r="2289" spans="1:23" hidden="1">
      <c r="J2289" s="1" t="str">
        <f t="shared" si="558"/>
        <v>0</v>
      </c>
      <c r="K2289" s="3">
        <f t="shared" si="559"/>
        <v>-100</v>
      </c>
      <c r="L2289" s="3">
        <f t="shared" si="560"/>
        <v>1</v>
      </c>
      <c r="M2289" s="3">
        <f t="shared" si="561"/>
        <v>0</v>
      </c>
      <c r="N2289" s="3" t="str">
        <f t="shared" si="562"/>
        <v>01</v>
      </c>
      <c r="O2289" s="14" t="str">
        <f t="shared" si="562"/>
        <v>00</v>
      </c>
    </row>
    <row r="2290" spans="1:23" hidden="1">
      <c r="J2290" s="1" t="str">
        <f t="shared" si="558"/>
        <v>0</v>
      </c>
      <c r="K2290" s="3">
        <f t="shared" si="559"/>
        <v>-100</v>
      </c>
      <c r="L2290" s="3">
        <f t="shared" si="560"/>
        <v>1</v>
      </c>
      <c r="M2290" s="3">
        <f t="shared" si="561"/>
        <v>0</v>
      </c>
      <c r="N2290" s="3" t="str">
        <f t="shared" si="562"/>
        <v>01</v>
      </c>
      <c r="O2290" s="14" t="str">
        <f t="shared" si="562"/>
        <v>00</v>
      </c>
    </row>
    <row r="2291" spans="1:23" hidden="1">
      <c r="J2291" s="1" t="str">
        <f t="shared" si="558"/>
        <v>0</v>
      </c>
      <c r="K2291" s="3">
        <f t="shared" si="559"/>
        <v>-100</v>
      </c>
      <c r="L2291" s="3">
        <f t="shared" si="560"/>
        <v>1</v>
      </c>
      <c r="M2291" s="3">
        <f t="shared" si="561"/>
        <v>0</v>
      </c>
      <c r="N2291" s="3" t="str">
        <f t="shared" si="562"/>
        <v>01</v>
      </c>
      <c r="O2291" s="14" t="str">
        <f t="shared" si="562"/>
        <v>00</v>
      </c>
    </row>
    <row r="2292" spans="1:23">
      <c r="A2292" s="3">
        <v>2266</v>
      </c>
      <c r="B2292" s="1">
        <f t="shared" si="563"/>
        <v>0</v>
      </c>
      <c r="C2292" s="1">
        <f t="shared" si="564"/>
        <v>1</v>
      </c>
      <c r="D2292" s="1">
        <f t="shared" ref="D2292:D2333" si="567">+IF(AND(P2292="",Q2292=""),1,0)</f>
        <v>0</v>
      </c>
      <c r="E2292" s="1">
        <f t="shared" si="565"/>
        <v>0</v>
      </c>
      <c r="F2292" s="1">
        <f t="shared" si="565"/>
        <v>0</v>
      </c>
      <c r="G2292" s="1" t="str">
        <f t="shared" si="566"/>
        <v>24101509</v>
      </c>
      <c r="H2292" s="2">
        <v>45580</v>
      </c>
      <c r="I2292" s="36">
        <v>9</v>
      </c>
      <c r="J2292" s="1" t="str">
        <f t="shared" si="558"/>
        <v>09</v>
      </c>
      <c r="K2292" s="3">
        <f t="shared" si="559"/>
        <v>24</v>
      </c>
      <c r="L2292" s="3">
        <f t="shared" si="560"/>
        <v>10</v>
      </c>
      <c r="M2292" s="3">
        <f t="shared" si="561"/>
        <v>15</v>
      </c>
      <c r="N2292" s="3">
        <f t="shared" si="562"/>
        <v>10</v>
      </c>
      <c r="O2292" s="14">
        <f t="shared" si="562"/>
        <v>15</v>
      </c>
      <c r="P2292" s="4">
        <v>747396.42</v>
      </c>
      <c r="T2292" s="5" t="s">
        <v>1034</v>
      </c>
      <c r="U2292" s="3" t="s">
        <v>2</v>
      </c>
      <c r="V2292" s="3" t="s">
        <v>5</v>
      </c>
      <c r="W2292" s="3" t="s">
        <v>935</v>
      </c>
    </row>
    <row r="2293" spans="1:23" hidden="1">
      <c r="J2293" s="1" t="str">
        <f t="shared" si="558"/>
        <v>0</v>
      </c>
      <c r="K2293" s="3">
        <f t="shared" si="559"/>
        <v>-100</v>
      </c>
      <c r="L2293" s="3">
        <f t="shared" si="560"/>
        <v>1</v>
      </c>
      <c r="M2293" s="3">
        <f t="shared" si="561"/>
        <v>0</v>
      </c>
      <c r="N2293" s="3" t="str">
        <f t="shared" si="562"/>
        <v>01</v>
      </c>
      <c r="O2293" s="14" t="str">
        <f t="shared" si="562"/>
        <v>00</v>
      </c>
    </row>
    <row r="2294" spans="1:23" hidden="1">
      <c r="J2294" s="1" t="str">
        <f t="shared" si="558"/>
        <v>0</v>
      </c>
      <c r="K2294" s="3">
        <f t="shared" si="559"/>
        <v>-100</v>
      </c>
      <c r="L2294" s="3">
        <f t="shared" si="560"/>
        <v>1</v>
      </c>
      <c r="M2294" s="3">
        <f t="shared" si="561"/>
        <v>0</v>
      </c>
      <c r="N2294" s="3" t="str">
        <f t="shared" si="562"/>
        <v>01</v>
      </c>
      <c r="O2294" s="14" t="str">
        <f t="shared" si="562"/>
        <v>00</v>
      </c>
    </row>
    <row r="2295" spans="1:23" hidden="1">
      <c r="J2295" s="1" t="str">
        <f t="shared" si="558"/>
        <v>0</v>
      </c>
      <c r="K2295" s="3">
        <f t="shared" si="559"/>
        <v>-100</v>
      </c>
      <c r="L2295" s="3">
        <f t="shared" si="560"/>
        <v>1</v>
      </c>
      <c r="M2295" s="3">
        <f t="shared" si="561"/>
        <v>0</v>
      </c>
      <c r="N2295" s="3" t="str">
        <f t="shared" si="562"/>
        <v>01</v>
      </c>
      <c r="O2295" s="14" t="str">
        <f t="shared" si="562"/>
        <v>00</v>
      </c>
    </row>
    <row r="2296" spans="1:23" hidden="1">
      <c r="J2296" s="1" t="str">
        <f t="shared" si="558"/>
        <v>0</v>
      </c>
      <c r="K2296" s="3">
        <f t="shared" si="559"/>
        <v>-100</v>
      </c>
      <c r="L2296" s="3">
        <f t="shared" si="560"/>
        <v>1</v>
      </c>
      <c r="M2296" s="3">
        <f t="shared" si="561"/>
        <v>0</v>
      </c>
      <c r="N2296" s="3" t="str">
        <f t="shared" si="562"/>
        <v>01</v>
      </c>
      <c r="O2296" s="14" t="str">
        <f t="shared" si="562"/>
        <v>00</v>
      </c>
    </row>
    <row r="2297" spans="1:23" hidden="1">
      <c r="J2297" s="1" t="str">
        <f t="shared" si="558"/>
        <v>0</v>
      </c>
      <c r="K2297" s="3">
        <f t="shared" si="559"/>
        <v>-100</v>
      </c>
      <c r="L2297" s="3">
        <f t="shared" si="560"/>
        <v>1</v>
      </c>
      <c r="M2297" s="3">
        <f t="shared" si="561"/>
        <v>0</v>
      </c>
      <c r="N2297" s="3" t="str">
        <f t="shared" si="562"/>
        <v>01</v>
      </c>
      <c r="O2297" s="14" t="str">
        <f t="shared" si="562"/>
        <v>00</v>
      </c>
      <c r="T2297" s="3"/>
    </row>
    <row r="2298" spans="1:23" hidden="1">
      <c r="J2298" s="1" t="str">
        <f t="shared" si="558"/>
        <v>0</v>
      </c>
      <c r="K2298" s="3">
        <f t="shared" si="559"/>
        <v>-100</v>
      </c>
      <c r="L2298" s="3">
        <f t="shared" si="560"/>
        <v>1</v>
      </c>
      <c r="M2298" s="3">
        <f t="shared" si="561"/>
        <v>0</v>
      </c>
      <c r="N2298" s="3" t="str">
        <f t="shared" si="562"/>
        <v>01</v>
      </c>
      <c r="O2298" s="14" t="str">
        <f t="shared" si="562"/>
        <v>00</v>
      </c>
      <c r="T2298" s="3"/>
    </row>
    <row r="2299" spans="1:23" hidden="1">
      <c r="J2299" s="1" t="str">
        <f t="shared" si="558"/>
        <v>0</v>
      </c>
      <c r="K2299" s="3">
        <f t="shared" si="559"/>
        <v>-100</v>
      </c>
      <c r="L2299" s="3">
        <f t="shared" si="560"/>
        <v>1</v>
      </c>
      <c r="M2299" s="3">
        <f t="shared" si="561"/>
        <v>0</v>
      </c>
      <c r="N2299" s="3" t="str">
        <f t="shared" si="562"/>
        <v>01</v>
      </c>
      <c r="O2299" s="14" t="str">
        <f t="shared" si="562"/>
        <v>00</v>
      </c>
      <c r="T2299" s="3"/>
    </row>
    <row r="2300" spans="1:23" hidden="1">
      <c r="J2300" s="1" t="str">
        <f t="shared" si="558"/>
        <v>0</v>
      </c>
      <c r="K2300" s="3">
        <f t="shared" si="559"/>
        <v>-100</v>
      </c>
      <c r="L2300" s="3">
        <f t="shared" si="560"/>
        <v>1</v>
      </c>
      <c r="M2300" s="3">
        <f t="shared" si="561"/>
        <v>0</v>
      </c>
      <c r="N2300" s="3" t="str">
        <f t="shared" si="562"/>
        <v>01</v>
      </c>
      <c r="O2300" s="14" t="str">
        <f t="shared" si="562"/>
        <v>00</v>
      </c>
      <c r="T2300" s="3"/>
    </row>
    <row r="2301" spans="1:23" hidden="1">
      <c r="J2301" s="1" t="str">
        <f t="shared" si="558"/>
        <v>0</v>
      </c>
      <c r="K2301" s="3">
        <f t="shared" si="559"/>
        <v>-100</v>
      </c>
      <c r="L2301" s="3">
        <f t="shared" si="560"/>
        <v>1</v>
      </c>
      <c r="M2301" s="3">
        <f t="shared" si="561"/>
        <v>0</v>
      </c>
      <c r="N2301" s="3" t="str">
        <f t="shared" si="562"/>
        <v>01</v>
      </c>
      <c r="O2301" s="14" t="str">
        <f t="shared" si="562"/>
        <v>00</v>
      </c>
      <c r="T2301" s="3"/>
    </row>
    <row r="2302" spans="1:23" hidden="1">
      <c r="J2302" s="1" t="str">
        <f t="shared" si="558"/>
        <v>0</v>
      </c>
      <c r="K2302" s="3">
        <f t="shared" si="559"/>
        <v>-100</v>
      </c>
      <c r="L2302" s="3">
        <f t="shared" si="560"/>
        <v>1</v>
      </c>
      <c r="M2302" s="3">
        <f t="shared" si="561"/>
        <v>0</v>
      </c>
      <c r="N2302" s="3" t="str">
        <f t="shared" si="562"/>
        <v>01</v>
      </c>
      <c r="O2302" s="14" t="str">
        <f t="shared" si="562"/>
        <v>00</v>
      </c>
      <c r="T2302" s="3"/>
    </row>
    <row r="2303" spans="1:23" hidden="1">
      <c r="J2303" s="1" t="str">
        <f t="shared" si="558"/>
        <v>0</v>
      </c>
      <c r="K2303" s="3">
        <f t="shared" si="559"/>
        <v>-100</v>
      </c>
      <c r="L2303" s="3">
        <f t="shared" si="560"/>
        <v>1</v>
      </c>
      <c r="M2303" s="3">
        <f t="shared" si="561"/>
        <v>0</v>
      </c>
      <c r="N2303" s="3" t="str">
        <f t="shared" si="562"/>
        <v>01</v>
      </c>
      <c r="O2303" s="14" t="str">
        <f t="shared" si="562"/>
        <v>00</v>
      </c>
      <c r="T2303" s="3"/>
    </row>
    <row r="2304" spans="1:23" hidden="1">
      <c r="J2304" s="1" t="str">
        <f t="shared" si="558"/>
        <v>0</v>
      </c>
      <c r="K2304" s="3">
        <f t="shared" si="559"/>
        <v>-100</v>
      </c>
      <c r="L2304" s="3">
        <f t="shared" si="560"/>
        <v>1</v>
      </c>
      <c r="M2304" s="3">
        <f t="shared" si="561"/>
        <v>0</v>
      </c>
      <c r="N2304" s="3" t="str">
        <f t="shared" si="562"/>
        <v>01</v>
      </c>
      <c r="O2304" s="14" t="str">
        <f t="shared" si="562"/>
        <v>00</v>
      </c>
    </row>
    <row r="2305" spans="1:23">
      <c r="A2305" s="3">
        <v>2279</v>
      </c>
      <c r="B2305" s="1">
        <f t="shared" si="563"/>
        <v>0</v>
      </c>
      <c r="C2305" s="1">
        <f t="shared" si="564"/>
        <v>1</v>
      </c>
      <c r="D2305" s="1">
        <f t="shared" si="567"/>
        <v>0</v>
      </c>
      <c r="E2305" s="1">
        <f t="shared" si="565"/>
        <v>0</v>
      </c>
      <c r="F2305" s="1">
        <f t="shared" si="565"/>
        <v>0</v>
      </c>
      <c r="G2305" s="1" t="str">
        <f t="shared" si="566"/>
        <v>24101711</v>
      </c>
      <c r="H2305" s="2">
        <v>45582</v>
      </c>
      <c r="I2305" s="36">
        <v>11</v>
      </c>
      <c r="J2305" s="1">
        <f t="shared" si="558"/>
        <v>11</v>
      </c>
      <c r="K2305" s="3">
        <f t="shared" si="559"/>
        <v>24</v>
      </c>
      <c r="L2305" s="3">
        <f t="shared" si="560"/>
        <v>10</v>
      </c>
      <c r="M2305" s="3">
        <f t="shared" si="561"/>
        <v>17</v>
      </c>
      <c r="N2305" s="3">
        <f t="shared" si="562"/>
        <v>10</v>
      </c>
      <c r="O2305" s="14">
        <f t="shared" si="562"/>
        <v>17</v>
      </c>
      <c r="P2305" s="4">
        <v>96259.73</v>
      </c>
      <c r="T2305" s="5" t="s">
        <v>1195</v>
      </c>
      <c r="U2305" s="3" t="s">
        <v>1</v>
      </c>
      <c r="V2305" s="3" t="s">
        <v>5</v>
      </c>
    </row>
    <row r="2306" spans="1:23" hidden="1">
      <c r="J2306" s="1" t="str">
        <f t="shared" si="558"/>
        <v>0</v>
      </c>
      <c r="K2306" s="3">
        <f t="shared" si="559"/>
        <v>-100</v>
      </c>
      <c r="L2306" s="3">
        <f t="shared" si="560"/>
        <v>1</v>
      </c>
      <c r="M2306" s="3">
        <f t="shared" si="561"/>
        <v>0</v>
      </c>
      <c r="N2306" s="3" t="str">
        <f t="shared" ref="N2306:O2336" si="568">+IF(L2306&lt;10,_xlfn.CONCAT("0",L2306),L2306)</f>
        <v>01</v>
      </c>
      <c r="O2306" s="14" t="str">
        <f t="shared" si="568"/>
        <v>00</v>
      </c>
    </row>
    <row r="2307" spans="1:23" hidden="1">
      <c r="J2307" s="1" t="str">
        <f t="shared" si="558"/>
        <v>0</v>
      </c>
      <c r="K2307" s="3">
        <f t="shared" si="559"/>
        <v>-100</v>
      </c>
      <c r="L2307" s="3">
        <f t="shared" si="560"/>
        <v>1</v>
      </c>
      <c r="M2307" s="3">
        <f t="shared" si="561"/>
        <v>0</v>
      </c>
      <c r="N2307" s="3" t="str">
        <f t="shared" si="568"/>
        <v>01</v>
      </c>
      <c r="O2307" s="14" t="str">
        <f t="shared" si="568"/>
        <v>00</v>
      </c>
      <c r="T2307" s="3"/>
    </row>
    <row r="2308" spans="1:23" hidden="1">
      <c r="J2308" s="1" t="str">
        <f t="shared" si="558"/>
        <v>0</v>
      </c>
      <c r="K2308" s="3">
        <f t="shared" si="559"/>
        <v>-100</v>
      </c>
      <c r="L2308" s="3">
        <f t="shared" si="560"/>
        <v>1</v>
      </c>
      <c r="M2308" s="3">
        <f t="shared" si="561"/>
        <v>0</v>
      </c>
      <c r="N2308" s="3" t="str">
        <f t="shared" si="568"/>
        <v>01</v>
      </c>
      <c r="O2308" s="14" t="str">
        <f t="shared" si="568"/>
        <v>00</v>
      </c>
    </row>
    <row r="2309" spans="1:23" hidden="1">
      <c r="J2309" s="1" t="str">
        <f t="shared" si="558"/>
        <v>0</v>
      </c>
      <c r="K2309" s="3">
        <f t="shared" si="559"/>
        <v>-100</v>
      </c>
      <c r="L2309" s="3">
        <f t="shared" si="560"/>
        <v>1</v>
      </c>
      <c r="M2309" s="3">
        <f t="shared" si="561"/>
        <v>0</v>
      </c>
      <c r="N2309" s="3" t="str">
        <f t="shared" si="568"/>
        <v>01</v>
      </c>
      <c r="O2309" s="14" t="str">
        <f t="shared" si="568"/>
        <v>00</v>
      </c>
    </row>
    <row r="2310" spans="1:23" hidden="1">
      <c r="J2310" s="1" t="str">
        <f t="shared" si="558"/>
        <v>0</v>
      </c>
      <c r="K2310" s="3">
        <f t="shared" si="559"/>
        <v>-100</v>
      </c>
      <c r="L2310" s="3">
        <f t="shared" si="560"/>
        <v>1</v>
      </c>
      <c r="M2310" s="3">
        <f t="shared" si="561"/>
        <v>0</v>
      </c>
      <c r="N2310" s="3" t="str">
        <f t="shared" si="568"/>
        <v>01</v>
      </c>
      <c r="O2310" s="14" t="str">
        <f t="shared" si="568"/>
        <v>00</v>
      </c>
    </row>
    <row r="2311" spans="1:23" hidden="1">
      <c r="J2311" s="1" t="str">
        <f t="shared" si="558"/>
        <v>0</v>
      </c>
      <c r="K2311" s="3">
        <f t="shared" si="559"/>
        <v>-100</v>
      </c>
      <c r="L2311" s="3">
        <f t="shared" si="560"/>
        <v>1</v>
      </c>
      <c r="M2311" s="3">
        <f t="shared" si="561"/>
        <v>0</v>
      </c>
      <c r="N2311" s="3" t="str">
        <f t="shared" si="568"/>
        <v>01</v>
      </c>
      <c r="O2311" s="14" t="str">
        <f t="shared" si="568"/>
        <v>00</v>
      </c>
    </row>
    <row r="2312" spans="1:23" hidden="1">
      <c r="J2312" s="1" t="str">
        <f t="shared" si="558"/>
        <v>0</v>
      </c>
      <c r="K2312" s="3">
        <f t="shared" si="559"/>
        <v>-100</v>
      </c>
      <c r="L2312" s="3">
        <f t="shared" si="560"/>
        <v>1</v>
      </c>
      <c r="M2312" s="3">
        <f t="shared" si="561"/>
        <v>0</v>
      </c>
      <c r="N2312" s="3" t="str">
        <f t="shared" si="568"/>
        <v>01</v>
      </c>
      <c r="O2312" s="14" t="str">
        <f t="shared" si="568"/>
        <v>00</v>
      </c>
    </row>
    <row r="2313" spans="1:23" hidden="1">
      <c r="J2313" s="1" t="str">
        <f t="shared" si="558"/>
        <v>0</v>
      </c>
      <c r="K2313" s="3">
        <f t="shared" si="559"/>
        <v>-100</v>
      </c>
      <c r="L2313" s="3">
        <f t="shared" si="560"/>
        <v>1</v>
      </c>
      <c r="M2313" s="3">
        <f t="shared" si="561"/>
        <v>0</v>
      </c>
      <c r="N2313" s="3" t="str">
        <f t="shared" si="568"/>
        <v>01</v>
      </c>
      <c r="O2313" s="14" t="str">
        <f t="shared" si="568"/>
        <v>00</v>
      </c>
    </row>
    <row r="2314" spans="1:23">
      <c r="A2314" s="3">
        <v>2288</v>
      </c>
      <c r="B2314" s="1">
        <f t="shared" ref="B2314:B2333" si="569">IF(G2314="-",0,IF(G2313=G2314,1,0))</f>
        <v>0</v>
      </c>
      <c r="C2314" s="1">
        <f t="shared" ref="C2314:C2333" si="570">+IF(G2314="-",0,IF(I2314=I2313+1,0,(IF(I2314=1,0,1))))</f>
        <v>1</v>
      </c>
      <c r="D2314" s="1">
        <f t="shared" si="567"/>
        <v>0</v>
      </c>
      <c r="E2314" s="1">
        <f t="shared" ref="E2314:F2333" si="571">IF(U2314="",1,0)</f>
        <v>1</v>
      </c>
      <c r="F2314" s="1">
        <f t="shared" si="571"/>
        <v>0</v>
      </c>
      <c r="G2314" s="1" t="str">
        <f t="shared" ref="G2314:G2333" si="572">IF(H2314=0,"-",_xlfn.CONCAT(K2314,N2314,O2314,J2314))</f>
        <v>24101808</v>
      </c>
      <c r="H2314" s="2">
        <v>45583</v>
      </c>
      <c r="I2314" s="36">
        <v>8</v>
      </c>
      <c r="J2314" s="1" t="str">
        <f t="shared" si="558"/>
        <v>08</v>
      </c>
      <c r="K2314" s="3">
        <f t="shared" si="559"/>
        <v>24</v>
      </c>
      <c r="L2314" s="3">
        <f t="shared" si="560"/>
        <v>10</v>
      </c>
      <c r="M2314" s="3">
        <f t="shared" si="561"/>
        <v>18</v>
      </c>
      <c r="N2314" s="3">
        <f t="shared" si="568"/>
        <v>10</v>
      </c>
      <c r="O2314" s="14">
        <f t="shared" si="568"/>
        <v>18</v>
      </c>
      <c r="P2314" s="4">
        <v>157602.79999999999</v>
      </c>
      <c r="T2314" s="5" t="s">
        <v>1021</v>
      </c>
      <c r="V2314" s="3" t="s">
        <v>5</v>
      </c>
      <c r="W2314" s="3" t="s">
        <v>1022</v>
      </c>
    </row>
    <row r="2315" spans="1:23">
      <c r="A2315" s="3">
        <v>2289</v>
      </c>
      <c r="B2315" s="1">
        <f t="shared" si="569"/>
        <v>0</v>
      </c>
      <c r="C2315" s="1">
        <f t="shared" si="570"/>
        <v>0</v>
      </c>
      <c r="D2315" s="1">
        <f t="shared" si="567"/>
        <v>0</v>
      </c>
      <c r="E2315" s="1">
        <f t="shared" si="571"/>
        <v>0</v>
      </c>
      <c r="F2315" s="1">
        <f t="shared" si="571"/>
        <v>0</v>
      </c>
      <c r="G2315" s="1" t="str">
        <f t="shared" si="572"/>
        <v>24101809</v>
      </c>
      <c r="H2315" s="2">
        <v>45583</v>
      </c>
      <c r="I2315" s="36">
        <v>9</v>
      </c>
      <c r="J2315" s="1" t="str">
        <f t="shared" si="558"/>
        <v>09</v>
      </c>
      <c r="K2315" s="3">
        <f t="shared" si="559"/>
        <v>24</v>
      </c>
      <c r="L2315" s="3">
        <f t="shared" si="560"/>
        <v>10</v>
      </c>
      <c r="M2315" s="3">
        <f t="shared" si="561"/>
        <v>18</v>
      </c>
      <c r="N2315" s="3">
        <f t="shared" si="568"/>
        <v>10</v>
      </c>
      <c r="O2315" s="14">
        <f t="shared" si="568"/>
        <v>18</v>
      </c>
      <c r="Q2315" s="5">
        <v>131.59</v>
      </c>
      <c r="T2315" s="5" t="s">
        <v>1023</v>
      </c>
      <c r="U2315" s="3" t="s">
        <v>2</v>
      </c>
      <c r="V2315" s="3" t="s">
        <v>5</v>
      </c>
    </row>
    <row r="2316" spans="1:23">
      <c r="A2316" s="3">
        <v>2290</v>
      </c>
      <c r="B2316" s="1">
        <f t="shared" si="569"/>
        <v>0</v>
      </c>
      <c r="C2316" s="1">
        <f t="shared" si="570"/>
        <v>0</v>
      </c>
      <c r="D2316" s="1">
        <f t="shared" si="567"/>
        <v>0</v>
      </c>
      <c r="E2316" s="1">
        <f t="shared" si="571"/>
        <v>0</v>
      </c>
      <c r="F2316" s="1">
        <f t="shared" si="571"/>
        <v>0</v>
      </c>
      <c r="G2316" s="1" t="str">
        <f t="shared" si="572"/>
        <v>24101901</v>
      </c>
      <c r="H2316" s="2">
        <v>45584</v>
      </c>
      <c r="I2316" s="36">
        <v>1</v>
      </c>
      <c r="J2316" s="1" t="str">
        <f t="shared" si="558"/>
        <v>01</v>
      </c>
      <c r="K2316" s="3">
        <f t="shared" si="559"/>
        <v>24</v>
      </c>
      <c r="L2316" s="3">
        <f t="shared" si="560"/>
        <v>10</v>
      </c>
      <c r="M2316" s="3">
        <f t="shared" si="561"/>
        <v>19</v>
      </c>
      <c r="N2316" s="3">
        <f t="shared" si="568"/>
        <v>10</v>
      </c>
      <c r="O2316" s="14">
        <f t="shared" si="568"/>
        <v>19</v>
      </c>
      <c r="P2316" s="11">
        <v>108000</v>
      </c>
      <c r="R2316" s="6">
        <v>507</v>
      </c>
      <c r="T2316" s="19" t="s">
        <v>938</v>
      </c>
      <c r="U2316" s="3" t="s">
        <v>1</v>
      </c>
      <c r="V2316" s="3" t="s">
        <v>5</v>
      </c>
      <c r="W2316" s="3" t="s">
        <v>1081</v>
      </c>
    </row>
    <row r="2317" spans="1:23">
      <c r="A2317" s="3">
        <v>2291</v>
      </c>
      <c r="B2317" s="1">
        <f t="shared" si="569"/>
        <v>0</v>
      </c>
      <c r="C2317" s="1">
        <f t="shared" si="570"/>
        <v>0</v>
      </c>
      <c r="D2317" s="1">
        <f t="shared" si="567"/>
        <v>0</v>
      </c>
      <c r="E2317" s="1">
        <f t="shared" si="571"/>
        <v>0</v>
      </c>
      <c r="F2317" s="1">
        <f t="shared" si="571"/>
        <v>0</v>
      </c>
      <c r="G2317" s="1" t="str">
        <f t="shared" si="572"/>
        <v>24101902</v>
      </c>
      <c r="H2317" s="2">
        <v>45584</v>
      </c>
      <c r="I2317" s="36">
        <v>2</v>
      </c>
      <c r="J2317" s="1" t="str">
        <f t="shared" si="558"/>
        <v>02</v>
      </c>
      <c r="K2317" s="3">
        <f t="shared" si="559"/>
        <v>24</v>
      </c>
      <c r="L2317" s="3">
        <f t="shared" si="560"/>
        <v>10</v>
      </c>
      <c r="M2317" s="3">
        <f t="shared" si="561"/>
        <v>19</v>
      </c>
      <c r="N2317" s="3">
        <f t="shared" si="568"/>
        <v>10</v>
      </c>
      <c r="O2317" s="14">
        <f t="shared" si="568"/>
        <v>19</v>
      </c>
      <c r="P2317" s="11">
        <v>159000</v>
      </c>
      <c r="T2317" s="35" t="s">
        <v>962</v>
      </c>
      <c r="U2317" s="3" t="s">
        <v>1</v>
      </c>
      <c r="V2317" s="3" t="s">
        <v>5</v>
      </c>
      <c r="W2317" s="3" t="s">
        <v>954</v>
      </c>
    </row>
    <row r="2318" spans="1:23">
      <c r="A2318" s="3">
        <v>2292</v>
      </c>
      <c r="B2318" s="1">
        <f t="shared" si="569"/>
        <v>0</v>
      </c>
      <c r="C2318" s="1">
        <f t="shared" si="570"/>
        <v>0</v>
      </c>
      <c r="D2318" s="1">
        <f t="shared" si="567"/>
        <v>0</v>
      </c>
      <c r="E2318" s="1">
        <f t="shared" si="571"/>
        <v>0</v>
      </c>
      <c r="F2318" s="1">
        <f t="shared" si="571"/>
        <v>0</v>
      </c>
      <c r="G2318" s="1" t="str">
        <f t="shared" si="572"/>
        <v>24101903</v>
      </c>
      <c r="H2318" s="2">
        <v>45584</v>
      </c>
      <c r="I2318" s="36">
        <v>3</v>
      </c>
      <c r="J2318" s="1" t="str">
        <f t="shared" si="558"/>
        <v>03</v>
      </c>
      <c r="K2318" s="3">
        <f t="shared" si="559"/>
        <v>24</v>
      </c>
      <c r="L2318" s="3">
        <f t="shared" si="560"/>
        <v>10</v>
      </c>
      <c r="M2318" s="3">
        <f t="shared" si="561"/>
        <v>19</v>
      </c>
      <c r="N2318" s="3">
        <f t="shared" si="568"/>
        <v>10</v>
      </c>
      <c r="O2318" s="14">
        <f t="shared" si="568"/>
        <v>19</v>
      </c>
      <c r="P2318" s="11">
        <v>159000</v>
      </c>
      <c r="T2318" s="29" t="s">
        <v>939</v>
      </c>
      <c r="U2318" s="3" t="s">
        <v>1</v>
      </c>
      <c r="V2318" s="3" t="s">
        <v>5</v>
      </c>
      <c r="W2318" s="3" t="s">
        <v>955</v>
      </c>
    </row>
    <row r="2319" spans="1:23">
      <c r="A2319" s="3">
        <v>2293</v>
      </c>
      <c r="B2319" s="1">
        <f t="shared" si="569"/>
        <v>0</v>
      </c>
      <c r="C2319" s="1">
        <f t="shared" si="570"/>
        <v>0</v>
      </c>
      <c r="D2319" s="1">
        <f t="shared" si="567"/>
        <v>0</v>
      </c>
      <c r="E2319" s="1">
        <f t="shared" si="571"/>
        <v>0</v>
      </c>
      <c r="F2319" s="1">
        <f t="shared" si="571"/>
        <v>0</v>
      </c>
      <c r="G2319" s="1" t="str">
        <f t="shared" si="572"/>
        <v>24101904</v>
      </c>
      <c r="H2319" s="2">
        <v>45584</v>
      </c>
      <c r="I2319" s="36">
        <v>4</v>
      </c>
      <c r="J2319" s="1" t="str">
        <f t="shared" si="558"/>
        <v>04</v>
      </c>
      <c r="K2319" s="3">
        <f t="shared" si="559"/>
        <v>24</v>
      </c>
      <c r="L2319" s="3">
        <f t="shared" si="560"/>
        <v>10</v>
      </c>
      <c r="M2319" s="3">
        <f t="shared" si="561"/>
        <v>19</v>
      </c>
      <c r="N2319" s="3">
        <f t="shared" si="568"/>
        <v>10</v>
      </c>
      <c r="O2319" s="14">
        <f t="shared" si="568"/>
        <v>19</v>
      </c>
      <c r="P2319" s="11">
        <v>132000</v>
      </c>
      <c r="T2319" s="29" t="s">
        <v>940</v>
      </c>
      <c r="U2319" s="3" t="s">
        <v>1</v>
      </c>
      <c r="V2319" s="3" t="s">
        <v>5</v>
      </c>
      <c r="W2319" s="3" t="s">
        <v>956</v>
      </c>
    </row>
    <row r="2320" spans="1:23" hidden="1">
      <c r="J2320" s="1" t="str">
        <f t="shared" si="558"/>
        <v>0</v>
      </c>
      <c r="K2320" s="3">
        <f t="shared" si="559"/>
        <v>-100</v>
      </c>
      <c r="L2320" s="3">
        <f t="shared" si="560"/>
        <v>1</v>
      </c>
      <c r="M2320" s="3">
        <f t="shared" si="561"/>
        <v>0</v>
      </c>
      <c r="N2320" s="3" t="str">
        <f t="shared" si="568"/>
        <v>01</v>
      </c>
      <c r="O2320" s="14" t="str">
        <f t="shared" si="568"/>
        <v>00</v>
      </c>
      <c r="P2320" s="11"/>
      <c r="T2320" s="29"/>
    </row>
    <row r="2321" spans="1:23">
      <c r="A2321" s="3">
        <v>2295</v>
      </c>
      <c r="B2321" s="1">
        <f t="shared" si="569"/>
        <v>0</v>
      </c>
      <c r="C2321" s="1">
        <f t="shared" si="570"/>
        <v>1</v>
      </c>
      <c r="D2321" s="1">
        <f t="shared" si="567"/>
        <v>0</v>
      </c>
      <c r="E2321" s="1">
        <f t="shared" si="571"/>
        <v>0</v>
      </c>
      <c r="F2321" s="1">
        <f t="shared" si="571"/>
        <v>0</v>
      </c>
      <c r="G2321" s="1" t="str">
        <f t="shared" si="572"/>
        <v>24101906</v>
      </c>
      <c r="H2321" s="2">
        <v>45584</v>
      </c>
      <c r="I2321" s="36">
        <v>6</v>
      </c>
      <c r="J2321" s="1" t="str">
        <f t="shared" si="558"/>
        <v>06</v>
      </c>
      <c r="K2321" s="3">
        <f t="shared" si="559"/>
        <v>24</v>
      </c>
      <c r="L2321" s="3">
        <f t="shared" si="560"/>
        <v>10</v>
      </c>
      <c r="M2321" s="3">
        <f t="shared" si="561"/>
        <v>19</v>
      </c>
      <c r="N2321" s="3">
        <f t="shared" si="568"/>
        <v>10</v>
      </c>
      <c r="O2321" s="14">
        <f t="shared" si="568"/>
        <v>19</v>
      </c>
      <c r="P2321" s="11">
        <v>132000</v>
      </c>
      <c r="T2321" s="29" t="s">
        <v>942</v>
      </c>
      <c r="U2321" s="3" t="s">
        <v>1</v>
      </c>
      <c r="V2321" s="3" t="s">
        <v>5</v>
      </c>
      <c r="W2321" s="3" t="s">
        <v>958</v>
      </c>
    </row>
    <row r="2322" spans="1:23">
      <c r="A2322" s="3">
        <v>2296</v>
      </c>
      <c r="B2322" s="1">
        <f t="shared" si="569"/>
        <v>0</v>
      </c>
      <c r="C2322" s="1">
        <f t="shared" si="570"/>
        <v>0</v>
      </c>
      <c r="D2322" s="1">
        <f t="shared" si="567"/>
        <v>0</v>
      </c>
      <c r="E2322" s="1">
        <f t="shared" si="571"/>
        <v>0</v>
      </c>
      <c r="F2322" s="1">
        <f t="shared" si="571"/>
        <v>0</v>
      </c>
      <c r="G2322" s="1" t="str">
        <f t="shared" si="572"/>
        <v>24101907</v>
      </c>
      <c r="H2322" s="2">
        <v>45584</v>
      </c>
      <c r="I2322" s="36">
        <v>7</v>
      </c>
      <c r="J2322" s="1" t="str">
        <f t="shared" si="558"/>
        <v>07</v>
      </c>
      <c r="K2322" s="3">
        <f t="shared" si="559"/>
        <v>24</v>
      </c>
      <c r="L2322" s="3">
        <f t="shared" si="560"/>
        <v>10</v>
      </c>
      <c r="M2322" s="3">
        <f t="shared" si="561"/>
        <v>19</v>
      </c>
      <c r="N2322" s="3">
        <f t="shared" si="568"/>
        <v>10</v>
      </c>
      <c r="O2322" s="14">
        <f t="shared" si="568"/>
        <v>19</v>
      </c>
      <c r="P2322" s="11">
        <v>132000</v>
      </c>
      <c r="T2322" s="29" t="s">
        <v>943</v>
      </c>
      <c r="U2322" s="3" t="s">
        <v>1</v>
      </c>
      <c r="V2322" s="3" t="s">
        <v>5</v>
      </c>
      <c r="W2322" s="3" t="s">
        <v>959</v>
      </c>
    </row>
    <row r="2323" spans="1:23">
      <c r="A2323" s="3">
        <v>2297</v>
      </c>
      <c r="B2323" s="1">
        <f t="shared" si="569"/>
        <v>0</v>
      </c>
      <c r="C2323" s="1">
        <f t="shared" si="570"/>
        <v>0</v>
      </c>
      <c r="D2323" s="1">
        <f t="shared" si="567"/>
        <v>0</v>
      </c>
      <c r="E2323" s="1">
        <f t="shared" si="571"/>
        <v>0</v>
      </c>
      <c r="F2323" s="1">
        <f t="shared" si="571"/>
        <v>0</v>
      </c>
      <c r="G2323" s="1" t="str">
        <f t="shared" si="572"/>
        <v>24101908</v>
      </c>
      <c r="H2323" s="2">
        <v>45584</v>
      </c>
      <c r="I2323" s="36">
        <v>8</v>
      </c>
      <c r="J2323" s="1" t="str">
        <f t="shared" si="558"/>
        <v>08</v>
      </c>
      <c r="K2323" s="3">
        <f t="shared" si="559"/>
        <v>24</v>
      </c>
      <c r="L2323" s="3">
        <f t="shared" si="560"/>
        <v>10</v>
      </c>
      <c r="M2323" s="3">
        <f t="shared" si="561"/>
        <v>19</v>
      </c>
      <c r="N2323" s="3">
        <f t="shared" si="568"/>
        <v>10</v>
      </c>
      <c r="O2323" s="14">
        <f t="shared" si="568"/>
        <v>19</v>
      </c>
      <c r="P2323" s="11">
        <v>132000</v>
      </c>
      <c r="T2323" s="32" t="s">
        <v>944</v>
      </c>
      <c r="U2323" s="3" t="s">
        <v>1</v>
      </c>
      <c r="V2323" s="3" t="s">
        <v>5</v>
      </c>
    </row>
    <row r="2324" spans="1:23">
      <c r="A2324" s="3">
        <v>2298</v>
      </c>
      <c r="B2324" s="1">
        <f t="shared" si="569"/>
        <v>0</v>
      </c>
      <c r="C2324" s="1">
        <f t="shared" si="570"/>
        <v>0</v>
      </c>
      <c r="D2324" s="1">
        <f t="shared" si="567"/>
        <v>0</v>
      </c>
      <c r="E2324" s="1">
        <f t="shared" si="571"/>
        <v>0</v>
      </c>
      <c r="F2324" s="1">
        <f t="shared" si="571"/>
        <v>0</v>
      </c>
      <c r="G2324" s="1" t="str">
        <f t="shared" si="572"/>
        <v>24101909</v>
      </c>
      <c r="H2324" s="2">
        <v>45584</v>
      </c>
      <c r="I2324" s="36">
        <v>9</v>
      </c>
      <c r="J2324" s="1" t="str">
        <f t="shared" si="558"/>
        <v>09</v>
      </c>
      <c r="K2324" s="3">
        <f t="shared" si="559"/>
        <v>24</v>
      </c>
      <c r="L2324" s="3">
        <f t="shared" si="560"/>
        <v>10</v>
      </c>
      <c r="M2324" s="3">
        <f t="shared" si="561"/>
        <v>19</v>
      </c>
      <c r="N2324" s="3">
        <f t="shared" si="568"/>
        <v>10</v>
      </c>
      <c r="O2324" s="14">
        <f t="shared" si="568"/>
        <v>19</v>
      </c>
      <c r="P2324" s="11">
        <v>108000</v>
      </c>
      <c r="T2324" s="32" t="s">
        <v>945</v>
      </c>
      <c r="U2324" s="3" t="s">
        <v>1</v>
      </c>
      <c r="V2324" s="3" t="s">
        <v>5</v>
      </c>
    </row>
    <row r="2325" spans="1:23" hidden="1">
      <c r="J2325" s="1" t="str">
        <f t="shared" si="558"/>
        <v>0</v>
      </c>
      <c r="K2325" s="3">
        <f t="shared" si="559"/>
        <v>-100</v>
      </c>
      <c r="L2325" s="3">
        <f t="shared" si="560"/>
        <v>1</v>
      </c>
      <c r="M2325" s="3">
        <f t="shared" si="561"/>
        <v>0</v>
      </c>
      <c r="N2325" s="3" t="str">
        <f t="shared" si="568"/>
        <v>01</v>
      </c>
      <c r="O2325" s="14" t="str">
        <f t="shared" si="568"/>
        <v>00</v>
      </c>
      <c r="P2325" s="11"/>
      <c r="T2325" s="32"/>
    </row>
    <row r="2326" spans="1:23" hidden="1">
      <c r="J2326" s="1" t="str">
        <f t="shared" si="558"/>
        <v>0</v>
      </c>
      <c r="K2326" s="3">
        <f t="shared" si="559"/>
        <v>-100</v>
      </c>
      <c r="L2326" s="3">
        <f t="shared" si="560"/>
        <v>1</v>
      </c>
      <c r="M2326" s="3">
        <f t="shared" si="561"/>
        <v>0</v>
      </c>
      <c r="N2326" s="3" t="str">
        <f t="shared" si="568"/>
        <v>01</v>
      </c>
      <c r="O2326" s="14" t="str">
        <f t="shared" si="568"/>
        <v>00</v>
      </c>
      <c r="P2326" s="11"/>
      <c r="T2326" s="32"/>
    </row>
    <row r="2327" spans="1:23" hidden="1">
      <c r="J2327" s="1" t="str">
        <f t="shared" si="558"/>
        <v>0</v>
      </c>
      <c r="K2327" s="3">
        <f t="shared" si="559"/>
        <v>-100</v>
      </c>
      <c r="L2327" s="3">
        <f t="shared" si="560"/>
        <v>1</v>
      </c>
      <c r="M2327" s="3">
        <f t="shared" si="561"/>
        <v>0</v>
      </c>
      <c r="N2327" s="3" t="str">
        <f t="shared" si="568"/>
        <v>01</v>
      </c>
      <c r="O2327" s="14" t="str">
        <f t="shared" si="568"/>
        <v>00</v>
      </c>
      <c r="P2327" s="11"/>
      <c r="T2327" s="32"/>
    </row>
    <row r="2328" spans="1:23">
      <c r="A2328" s="3">
        <v>2302</v>
      </c>
      <c r="B2328" s="1">
        <f t="shared" si="569"/>
        <v>0</v>
      </c>
      <c r="C2328" s="1">
        <f t="shared" si="570"/>
        <v>1</v>
      </c>
      <c r="D2328" s="1">
        <f t="shared" si="567"/>
        <v>0</v>
      </c>
      <c r="E2328" s="1">
        <f t="shared" si="571"/>
        <v>0</v>
      </c>
      <c r="F2328" s="1">
        <f t="shared" si="571"/>
        <v>0</v>
      </c>
      <c r="G2328" s="1" t="str">
        <f t="shared" si="572"/>
        <v>24101913</v>
      </c>
      <c r="H2328" s="2">
        <v>45584</v>
      </c>
      <c r="I2328" s="36">
        <v>13</v>
      </c>
      <c r="J2328" s="1">
        <f t="shared" si="558"/>
        <v>13</v>
      </c>
      <c r="K2328" s="3">
        <f t="shared" si="559"/>
        <v>24</v>
      </c>
      <c r="L2328" s="3">
        <f t="shared" si="560"/>
        <v>10</v>
      </c>
      <c r="M2328" s="3">
        <f t="shared" si="561"/>
        <v>19</v>
      </c>
      <c r="N2328" s="3">
        <f t="shared" si="568"/>
        <v>10</v>
      </c>
      <c r="O2328" s="14">
        <f t="shared" si="568"/>
        <v>19</v>
      </c>
      <c r="P2328" s="11">
        <v>108000</v>
      </c>
      <c r="T2328" s="32" t="s">
        <v>949</v>
      </c>
      <c r="U2328" s="3" t="s">
        <v>1</v>
      </c>
      <c r="V2328" s="3" t="s">
        <v>5</v>
      </c>
    </row>
    <row r="2329" spans="1:23">
      <c r="A2329" s="3">
        <v>2303</v>
      </c>
      <c r="B2329" s="1">
        <f t="shared" si="569"/>
        <v>0</v>
      </c>
      <c r="C2329" s="1">
        <f t="shared" si="570"/>
        <v>0</v>
      </c>
      <c r="D2329" s="1">
        <f t="shared" si="567"/>
        <v>0</v>
      </c>
      <c r="E2329" s="1">
        <f t="shared" si="571"/>
        <v>0</v>
      </c>
      <c r="F2329" s="1">
        <f t="shared" si="571"/>
        <v>0</v>
      </c>
      <c r="G2329" s="1" t="str">
        <f t="shared" si="572"/>
        <v>24101914</v>
      </c>
      <c r="H2329" s="2">
        <v>45584</v>
      </c>
      <c r="I2329" s="36">
        <v>14</v>
      </c>
      <c r="J2329" s="1">
        <f t="shared" si="558"/>
        <v>14</v>
      </c>
      <c r="K2329" s="3">
        <f t="shared" si="559"/>
        <v>24</v>
      </c>
      <c r="L2329" s="3">
        <f t="shared" si="560"/>
        <v>10</v>
      </c>
      <c r="M2329" s="3">
        <f t="shared" si="561"/>
        <v>19</v>
      </c>
      <c r="N2329" s="3">
        <f t="shared" si="568"/>
        <v>10</v>
      </c>
      <c r="O2329" s="14">
        <f t="shared" si="568"/>
        <v>19</v>
      </c>
      <c r="P2329" s="11">
        <v>108000</v>
      </c>
      <c r="T2329" s="32" t="s">
        <v>950</v>
      </c>
      <c r="U2329" s="3" t="s">
        <v>1</v>
      </c>
      <c r="V2329" s="3" t="s">
        <v>5</v>
      </c>
    </row>
    <row r="2330" spans="1:23">
      <c r="A2330" s="3">
        <v>2304</v>
      </c>
      <c r="B2330" s="1">
        <f t="shared" si="569"/>
        <v>0</v>
      </c>
      <c r="C2330" s="1">
        <f t="shared" si="570"/>
        <v>0</v>
      </c>
      <c r="D2330" s="1">
        <f t="shared" si="567"/>
        <v>0</v>
      </c>
      <c r="E2330" s="1">
        <f t="shared" si="571"/>
        <v>0</v>
      </c>
      <c r="F2330" s="1">
        <f t="shared" si="571"/>
        <v>0</v>
      </c>
      <c r="G2330" s="1" t="str">
        <f t="shared" si="572"/>
        <v>24101915</v>
      </c>
      <c r="H2330" s="2">
        <v>45584</v>
      </c>
      <c r="I2330" s="36">
        <v>15</v>
      </c>
      <c r="J2330" s="1">
        <f t="shared" si="558"/>
        <v>15</v>
      </c>
      <c r="K2330" s="3">
        <f t="shared" si="559"/>
        <v>24</v>
      </c>
      <c r="L2330" s="3">
        <f t="shared" si="560"/>
        <v>10</v>
      </c>
      <c r="M2330" s="3">
        <f t="shared" si="561"/>
        <v>19</v>
      </c>
      <c r="N2330" s="3">
        <f t="shared" si="568"/>
        <v>10</v>
      </c>
      <c r="O2330" s="14">
        <f t="shared" si="568"/>
        <v>19</v>
      </c>
      <c r="P2330" s="11">
        <v>252000</v>
      </c>
      <c r="T2330" s="32" t="s">
        <v>951</v>
      </c>
      <c r="U2330" s="3" t="s">
        <v>1</v>
      </c>
      <c r="V2330" s="3" t="s">
        <v>5</v>
      </c>
    </row>
    <row r="2331" spans="1:23">
      <c r="A2331" s="3">
        <v>2305</v>
      </c>
      <c r="B2331" s="1">
        <f t="shared" si="569"/>
        <v>0</v>
      </c>
      <c r="C2331" s="1">
        <f t="shared" si="570"/>
        <v>0</v>
      </c>
      <c r="D2331" s="1">
        <f t="shared" si="567"/>
        <v>0</v>
      </c>
      <c r="E2331" s="1">
        <f t="shared" si="571"/>
        <v>0</v>
      </c>
      <c r="F2331" s="1">
        <f t="shared" si="571"/>
        <v>0</v>
      </c>
      <c r="G2331" s="1" t="str">
        <f t="shared" si="572"/>
        <v>24101916</v>
      </c>
      <c r="H2331" s="2">
        <v>45584</v>
      </c>
      <c r="I2331" s="36">
        <v>16</v>
      </c>
      <c r="J2331" s="1">
        <f t="shared" si="558"/>
        <v>16</v>
      </c>
      <c r="K2331" s="3">
        <f t="shared" si="559"/>
        <v>24</v>
      </c>
      <c r="L2331" s="3">
        <f t="shared" si="560"/>
        <v>10</v>
      </c>
      <c r="M2331" s="3">
        <f t="shared" si="561"/>
        <v>19</v>
      </c>
      <c r="N2331" s="3">
        <f t="shared" si="568"/>
        <v>10</v>
      </c>
      <c r="O2331" s="14">
        <f t="shared" si="568"/>
        <v>19</v>
      </c>
      <c r="P2331" s="11">
        <v>90000</v>
      </c>
      <c r="T2331" s="32" t="s">
        <v>952</v>
      </c>
      <c r="U2331" s="3" t="s">
        <v>1</v>
      </c>
      <c r="V2331" s="3" t="s">
        <v>5</v>
      </c>
    </row>
    <row r="2332" spans="1:23">
      <c r="A2332" s="3">
        <v>2306</v>
      </c>
      <c r="B2332" s="1">
        <f t="shared" si="569"/>
        <v>0</v>
      </c>
      <c r="C2332" s="1">
        <f t="shared" si="570"/>
        <v>0</v>
      </c>
      <c r="D2332" s="1">
        <f t="shared" si="567"/>
        <v>0</v>
      </c>
      <c r="E2332" s="1">
        <f t="shared" si="571"/>
        <v>0</v>
      </c>
      <c r="F2332" s="1">
        <f t="shared" si="571"/>
        <v>0</v>
      </c>
      <c r="G2332" s="1" t="str">
        <f t="shared" si="572"/>
        <v>24101917</v>
      </c>
      <c r="H2332" s="2">
        <v>45584</v>
      </c>
      <c r="I2332" s="36">
        <v>17</v>
      </c>
      <c r="J2332" s="1">
        <f t="shared" si="558"/>
        <v>17</v>
      </c>
      <c r="K2332" s="3">
        <f t="shared" si="559"/>
        <v>24</v>
      </c>
      <c r="L2332" s="3">
        <f t="shared" si="560"/>
        <v>10</v>
      </c>
      <c r="M2332" s="3">
        <f t="shared" si="561"/>
        <v>19</v>
      </c>
      <c r="N2332" s="3">
        <f t="shared" si="568"/>
        <v>10</v>
      </c>
      <c r="O2332" s="14">
        <f t="shared" si="568"/>
        <v>19</v>
      </c>
      <c r="P2332" s="11">
        <v>150000</v>
      </c>
      <c r="T2332" s="32" t="s">
        <v>896</v>
      </c>
      <c r="U2332" s="3" t="s">
        <v>1</v>
      </c>
      <c r="V2332" s="3" t="s">
        <v>5</v>
      </c>
      <c r="W2332" s="3" t="s">
        <v>961</v>
      </c>
    </row>
    <row r="2333" spans="1:23">
      <c r="A2333" s="3">
        <v>2307</v>
      </c>
      <c r="B2333" s="1">
        <f t="shared" si="569"/>
        <v>0</v>
      </c>
      <c r="C2333" s="1">
        <f t="shared" si="570"/>
        <v>0</v>
      </c>
      <c r="D2333" s="1">
        <f t="shared" si="567"/>
        <v>0</v>
      </c>
      <c r="E2333" s="1">
        <f t="shared" si="571"/>
        <v>0</v>
      </c>
      <c r="F2333" s="1">
        <f t="shared" si="571"/>
        <v>0</v>
      </c>
      <c r="G2333" s="1" t="str">
        <f t="shared" si="572"/>
        <v>24101918</v>
      </c>
      <c r="H2333" s="2">
        <v>45584</v>
      </c>
      <c r="I2333" s="36">
        <v>18</v>
      </c>
      <c r="J2333" s="1">
        <f t="shared" si="558"/>
        <v>18</v>
      </c>
      <c r="K2333" s="3">
        <f t="shared" si="559"/>
        <v>24</v>
      </c>
      <c r="L2333" s="3">
        <f t="shared" si="560"/>
        <v>10</v>
      </c>
      <c r="M2333" s="3">
        <f t="shared" si="561"/>
        <v>19</v>
      </c>
      <c r="N2333" s="3">
        <f t="shared" si="568"/>
        <v>10</v>
      </c>
      <c r="O2333" s="14">
        <f t="shared" si="568"/>
        <v>19</v>
      </c>
      <c r="P2333" s="11">
        <v>30000</v>
      </c>
      <c r="T2333" s="33" t="s">
        <v>937</v>
      </c>
      <c r="U2333" s="3" t="s">
        <v>1</v>
      </c>
      <c r="V2333" s="3" t="s">
        <v>5</v>
      </c>
      <c r="W2333" s="3" t="s">
        <v>960</v>
      </c>
    </row>
    <row r="2334" spans="1:23" hidden="1">
      <c r="J2334" s="1" t="str">
        <f t="shared" si="558"/>
        <v>0</v>
      </c>
      <c r="K2334" s="3">
        <f t="shared" si="559"/>
        <v>-100</v>
      </c>
      <c r="L2334" s="3">
        <f t="shared" si="560"/>
        <v>1</v>
      </c>
      <c r="M2334" s="3">
        <f t="shared" si="561"/>
        <v>0</v>
      </c>
      <c r="N2334" s="3" t="str">
        <f t="shared" si="568"/>
        <v>01</v>
      </c>
      <c r="O2334" s="14" t="str">
        <f t="shared" si="568"/>
        <v>00</v>
      </c>
    </row>
    <row r="2335" spans="1:23" hidden="1">
      <c r="J2335" s="1" t="str">
        <f t="shared" si="558"/>
        <v>0</v>
      </c>
      <c r="K2335" s="3">
        <f t="shared" si="559"/>
        <v>-100</v>
      </c>
      <c r="L2335" s="3">
        <f t="shared" si="560"/>
        <v>1</v>
      </c>
      <c r="M2335" s="3">
        <f t="shared" si="561"/>
        <v>0</v>
      </c>
      <c r="N2335" s="3" t="str">
        <f t="shared" si="568"/>
        <v>01</v>
      </c>
      <c r="O2335" s="14" t="str">
        <f t="shared" si="568"/>
        <v>00</v>
      </c>
    </row>
    <row r="2336" spans="1:23" hidden="1">
      <c r="J2336" s="1" t="str">
        <f t="shared" si="558"/>
        <v>0</v>
      </c>
      <c r="K2336" s="3">
        <f t="shared" si="559"/>
        <v>-100</v>
      </c>
      <c r="L2336" s="3">
        <f t="shared" si="560"/>
        <v>1</v>
      </c>
      <c r="M2336" s="3">
        <f t="shared" si="561"/>
        <v>0</v>
      </c>
      <c r="N2336" s="3" t="str">
        <f t="shared" si="568"/>
        <v>01</v>
      </c>
      <c r="O2336" s="14" t="str">
        <f t="shared" si="568"/>
        <v>00</v>
      </c>
    </row>
    <row r="2337" spans="1:23" hidden="1">
      <c r="P2337" s="11"/>
    </row>
    <row r="2338" spans="1:23" hidden="1">
      <c r="J2338" s="1" t="str">
        <f t="shared" ref="J2338:J2357" si="573">+IF(I2338&lt;10,_xlfn.CONCAT("0",I2338),I2338)</f>
        <v>0</v>
      </c>
      <c r="K2338" s="3">
        <f t="shared" ref="K2338:K2357" si="574">+YEAR(H2338)-2000</f>
        <v>-100</v>
      </c>
      <c r="L2338" s="3">
        <f t="shared" ref="L2338:L2357" si="575">+MONTH(H2338)</f>
        <v>1</v>
      </c>
      <c r="M2338" s="3">
        <f t="shared" ref="M2338:M2357" si="576">+DAY(H2338)</f>
        <v>0</v>
      </c>
      <c r="N2338" s="3" t="str">
        <f t="shared" ref="N2338:O2357" si="577">+IF(L2338&lt;10,_xlfn.CONCAT("0",L2338),L2338)</f>
        <v>01</v>
      </c>
      <c r="O2338" s="14" t="str">
        <f t="shared" si="577"/>
        <v>00</v>
      </c>
    </row>
    <row r="2339" spans="1:23" hidden="1">
      <c r="J2339" s="1" t="str">
        <f t="shared" si="573"/>
        <v>0</v>
      </c>
      <c r="K2339" s="3">
        <f t="shared" si="574"/>
        <v>-100</v>
      </c>
      <c r="L2339" s="3">
        <f t="shared" si="575"/>
        <v>1</v>
      </c>
      <c r="M2339" s="3">
        <f t="shared" si="576"/>
        <v>0</v>
      </c>
      <c r="N2339" s="3" t="str">
        <f t="shared" si="577"/>
        <v>01</v>
      </c>
      <c r="O2339" s="14" t="str">
        <f t="shared" si="577"/>
        <v>00</v>
      </c>
    </row>
    <row r="2340" spans="1:23" s="97" customFormat="1" hidden="1">
      <c r="A2340" s="3"/>
      <c r="B2340" s="1"/>
      <c r="C2340" s="1"/>
      <c r="D2340" s="1"/>
      <c r="E2340" s="1"/>
      <c r="F2340" s="1"/>
      <c r="G2340" s="1"/>
      <c r="H2340" s="2"/>
      <c r="I2340" s="36"/>
      <c r="J2340" s="1" t="str">
        <f t="shared" si="573"/>
        <v>0</v>
      </c>
      <c r="K2340" s="3">
        <f t="shared" si="574"/>
        <v>-100</v>
      </c>
      <c r="L2340" s="3">
        <f t="shared" si="575"/>
        <v>1</v>
      </c>
      <c r="M2340" s="3">
        <f t="shared" si="576"/>
        <v>0</v>
      </c>
      <c r="N2340" s="3" t="str">
        <f t="shared" si="577"/>
        <v>01</v>
      </c>
      <c r="O2340" s="14" t="str">
        <f t="shared" si="577"/>
        <v>00</v>
      </c>
      <c r="P2340" s="4"/>
      <c r="Q2340" s="5"/>
      <c r="R2340" s="6"/>
      <c r="S2340" s="5"/>
      <c r="T2340" s="5"/>
      <c r="U2340" s="3"/>
      <c r="V2340" s="3"/>
      <c r="W2340" s="3"/>
    </row>
    <row r="2341" spans="1:23" hidden="1">
      <c r="J2341" s="1" t="str">
        <f t="shared" si="573"/>
        <v>0</v>
      </c>
      <c r="K2341" s="3">
        <f t="shared" si="574"/>
        <v>-100</v>
      </c>
      <c r="L2341" s="3">
        <f t="shared" si="575"/>
        <v>1</v>
      </c>
      <c r="M2341" s="3">
        <f t="shared" si="576"/>
        <v>0</v>
      </c>
      <c r="N2341" s="3" t="str">
        <f t="shared" si="577"/>
        <v>01</v>
      </c>
      <c r="O2341" s="14" t="str">
        <f t="shared" si="577"/>
        <v>00</v>
      </c>
    </row>
    <row r="2342" spans="1:23" hidden="1">
      <c r="J2342" s="1" t="str">
        <f t="shared" si="573"/>
        <v>0</v>
      </c>
      <c r="K2342" s="3">
        <f t="shared" si="574"/>
        <v>-100</v>
      </c>
      <c r="L2342" s="3">
        <f t="shared" si="575"/>
        <v>1</v>
      </c>
      <c r="M2342" s="3">
        <f t="shared" si="576"/>
        <v>0</v>
      </c>
      <c r="N2342" s="3" t="str">
        <f t="shared" si="577"/>
        <v>01</v>
      </c>
      <c r="O2342" s="14" t="str">
        <f t="shared" si="577"/>
        <v>00</v>
      </c>
    </row>
    <row r="2343" spans="1:23" hidden="1">
      <c r="J2343" s="1" t="str">
        <f t="shared" si="573"/>
        <v>0</v>
      </c>
      <c r="K2343" s="3">
        <f t="shared" si="574"/>
        <v>-100</v>
      </c>
      <c r="L2343" s="3">
        <f t="shared" si="575"/>
        <v>1</v>
      </c>
      <c r="M2343" s="3">
        <f t="shared" si="576"/>
        <v>0</v>
      </c>
      <c r="N2343" s="3" t="str">
        <f t="shared" si="577"/>
        <v>01</v>
      </c>
      <c r="O2343" s="14" t="str">
        <f t="shared" si="577"/>
        <v>00</v>
      </c>
    </row>
    <row r="2344" spans="1:23" hidden="1">
      <c r="J2344" s="1" t="str">
        <f t="shared" si="573"/>
        <v>0</v>
      </c>
      <c r="K2344" s="3">
        <f t="shared" si="574"/>
        <v>-100</v>
      </c>
      <c r="L2344" s="3">
        <f t="shared" si="575"/>
        <v>1</v>
      </c>
      <c r="M2344" s="3">
        <f t="shared" si="576"/>
        <v>0</v>
      </c>
      <c r="N2344" s="3" t="str">
        <f t="shared" si="577"/>
        <v>01</v>
      </c>
      <c r="O2344" s="14" t="str">
        <f t="shared" si="577"/>
        <v>00</v>
      </c>
    </row>
    <row r="2345" spans="1:23" hidden="1">
      <c r="J2345" s="1" t="str">
        <f t="shared" si="573"/>
        <v>0</v>
      </c>
      <c r="K2345" s="3">
        <f t="shared" si="574"/>
        <v>-100</v>
      </c>
      <c r="L2345" s="3">
        <f t="shared" si="575"/>
        <v>1</v>
      </c>
      <c r="M2345" s="3">
        <f t="shared" si="576"/>
        <v>0</v>
      </c>
      <c r="N2345" s="3" t="str">
        <f t="shared" si="577"/>
        <v>01</v>
      </c>
      <c r="O2345" s="14" t="str">
        <f t="shared" si="577"/>
        <v>00</v>
      </c>
    </row>
    <row r="2346" spans="1:23" hidden="1">
      <c r="J2346" s="1" t="str">
        <f t="shared" si="573"/>
        <v>0</v>
      </c>
      <c r="K2346" s="3">
        <f t="shared" si="574"/>
        <v>-100</v>
      </c>
      <c r="L2346" s="3">
        <f t="shared" si="575"/>
        <v>1</v>
      </c>
      <c r="M2346" s="3">
        <f t="shared" si="576"/>
        <v>0</v>
      </c>
      <c r="N2346" s="3" t="str">
        <f t="shared" si="577"/>
        <v>01</v>
      </c>
      <c r="O2346" s="14" t="str">
        <f t="shared" si="577"/>
        <v>00</v>
      </c>
    </row>
    <row r="2347" spans="1:23" hidden="1">
      <c r="J2347" s="1" t="str">
        <f t="shared" si="573"/>
        <v>0</v>
      </c>
      <c r="K2347" s="3">
        <f t="shared" si="574"/>
        <v>-100</v>
      </c>
      <c r="L2347" s="3">
        <f t="shared" si="575"/>
        <v>1</v>
      </c>
      <c r="M2347" s="3">
        <f t="shared" si="576"/>
        <v>0</v>
      </c>
      <c r="N2347" s="3" t="str">
        <f t="shared" si="577"/>
        <v>01</v>
      </c>
      <c r="O2347" s="14" t="str">
        <f t="shared" si="577"/>
        <v>00</v>
      </c>
    </row>
    <row r="2348" spans="1:23" hidden="1">
      <c r="J2348" s="1" t="str">
        <f t="shared" si="573"/>
        <v>0</v>
      </c>
      <c r="K2348" s="3">
        <f t="shared" si="574"/>
        <v>-100</v>
      </c>
      <c r="L2348" s="3">
        <f t="shared" si="575"/>
        <v>1</v>
      </c>
      <c r="M2348" s="3">
        <f t="shared" si="576"/>
        <v>0</v>
      </c>
      <c r="N2348" s="3" t="str">
        <f t="shared" si="577"/>
        <v>01</v>
      </c>
      <c r="O2348" s="14" t="str">
        <f t="shared" si="577"/>
        <v>00</v>
      </c>
    </row>
    <row r="2349" spans="1:23" hidden="1">
      <c r="J2349" s="1" t="str">
        <f t="shared" si="573"/>
        <v>0</v>
      </c>
      <c r="K2349" s="3">
        <f t="shared" si="574"/>
        <v>-100</v>
      </c>
      <c r="L2349" s="3">
        <f t="shared" si="575"/>
        <v>1</v>
      </c>
      <c r="M2349" s="3">
        <f t="shared" si="576"/>
        <v>0</v>
      </c>
      <c r="N2349" s="3" t="str">
        <f t="shared" si="577"/>
        <v>01</v>
      </c>
      <c r="O2349" s="14" t="str">
        <f t="shared" si="577"/>
        <v>00</v>
      </c>
    </row>
    <row r="2350" spans="1:23" hidden="1">
      <c r="J2350" s="1" t="str">
        <f t="shared" si="573"/>
        <v>0</v>
      </c>
      <c r="K2350" s="3">
        <f t="shared" si="574"/>
        <v>-100</v>
      </c>
      <c r="L2350" s="3">
        <f t="shared" si="575"/>
        <v>1</v>
      </c>
      <c r="M2350" s="3">
        <f t="shared" si="576"/>
        <v>0</v>
      </c>
      <c r="N2350" s="3" t="str">
        <f t="shared" si="577"/>
        <v>01</v>
      </c>
      <c r="O2350" s="14" t="str">
        <f t="shared" si="577"/>
        <v>00</v>
      </c>
    </row>
    <row r="2351" spans="1:23" hidden="1">
      <c r="J2351" s="1" t="str">
        <f t="shared" si="573"/>
        <v>0</v>
      </c>
      <c r="K2351" s="3">
        <f t="shared" si="574"/>
        <v>-100</v>
      </c>
      <c r="L2351" s="3">
        <f t="shared" si="575"/>
        <v>1</v>
      </c>
      <c r="M2351" s="3">
        <f t="shared" si="576"/>
        <v>0</v>
      </c>
      <c r="N2351" s="3" t="str">
        <f t="shared" si="577"/>
        <v>01</v>
      </c>
      <c r="O2351" s="14" t="str">
        <f t="shared" si="577"/>
        <v>00</v>
      </c>
    </row>
    <row r="2352" spans="1:23" hidden="1">
      <c r="J2352" s="1" t="str">
        <f t="shared" si="573"/>
        <v>0</v>
      </c>
      <c r="K2352" s="3">
        <f t="shared" si="574"/>
        <v>-100</v>
      </c>
      <c r="L2352" s="3">
        <f t="shared" si="575"/>
        <v>1</v>
      </c>
      <c r="M2352" s="3">
        <f t="shared" si="576"/>
        <v>0</v>
      </c>
      <c r="N2352" s="3" t="str">
        <f t="shared" si="577"/>
        <v>01</v>
      </c>
      <c r="O2352" s="14" t="str">
        <f t="shared" si="577"/>
        <v>00</v>
      </c>
    </row>
    <row r="2353" spans="1:23" hidden="1">
      <c r="I2353" s="140"/>
      <c r="J2353" s="1" t="str">
        <f t="shared" si="573"/>
        <v>0</v>
      </c>
      <c r="K2353" s="3">
        <f t="shared" si="574"/>
        <v>-100</v>
      </c>
      <c r="L2353" s="3">
        <f t="shared" si="575"/>
        <v>1</v>
      </c>
      <c r="M2353" s="3">
        <f t="shared" si="576"/>
        <v>0</v>
      </c>
      <c r="N2353" s="3" t="str">
        <f t="shared" si="577"/>
        <v>01</v>
      </c>
      <c r="O2353" s="14" t="str">
        <f t="shared" si="577"/>
        <v>00</v>
      </c>
    </row>
    <row r="2354" spans="1:23" hidden="1">
      <c r="J2354" s="1" t="str">
        <f t="shared" si="573"/>
        <v>0</v>
      </c>
      <c r="K2354" s="3">
        <f t="shared" si="574"/>
        <v>-100</v>
      </c>
      <c r="L2354" s="3">
        <f t="shared" si="575"/>
        <v>1</v>
      </c>
      <c r="M2354" s="3">
        <f t="shared" si="576"/>
        <v>0</v>
      </c>
      <c r="N2354" s="3" t="str">
        <f t="shared" si="577"/>
        <v>01</v>
      </c>
      <c r="O2354" s="14" t="str">
        <f t="shared" si="577"/>
        <v>00</v>
      </c>
    </row>
    <row r="2355" spans="1:23" hidden="1">
      <c r="J2355" s="1" t="str">
        <f t="shared" si="573"/>
        <v>0</v>
      </c>
      <c r="K2355" s="3">
        <f t="shared" si="574"/>
        <v>-100</v>
      </c>
      <c r="L2355" s="3">
        <f t="shared" si="575"/>
        <v>1</v>
      </c>
      <c r="M2355" s="3">
        <f t="shared" si="576"/>
        <v>0</v>
      </c>
      <c r="N2355" s="3" t="str">
        <f t="shared" si="577"/>
        <v>01</v>
      </c>
      <c r="O2355" s="14" t="str">
        <f t="shared" si="577"/>
        <v>00</v>
      </c>
    </row>
    <row r="2356" spans="1:23" hidden="1">
      <c r="G2356" s="98"/>
      <c r="H2356" s="99"/>
      <c r="I2356" s="98"/>
      <c r="J2356" s="98" t="str">
        <f t="shared" si="573"/>
        <v>0</v>
      </c>
      <c r="K2356" s="97">
        <f t="shared" si="574"/>
        <v>-100</v>
      </c>
      <c r="L2356" s="97">
        <f t="shared" si="575"/>
        <v>1</v>
      </c>
      <c r="M2356" s="97">
        <f t="shared" si="576"/>
        <v>0</v>
      </c>
      <c r="N2356" s="97" t="str">
        <f t="shared" si="577"/>
        <v>01</v>
      </c>
      <c r="O2356" s="100" t="str">
        <f t="shared" si="577"/>
        <v>00</v>
      </c>
      <c r="P2356" s="101"/>
      <c r="Q2356" s="102"/>
      <c r="R2356" s="103"/>
      <c r="S2356" s="102"/>
      <c r="T2356" s="102"/>
      <c r="U2356" s="97"/>
      <c r="V2356" s="97"/>
      <c r="W2356" s="97"/>
    </row>
    <row r="2357" spans="1:23" hidden="1">
      <c r="J2357" s="1" t="str">
        <f t="shared" si="573"/>
        <v>0</v>
      </c>
      <c r="K2357" s="3">
        <f t="shared" si="574"/>
        <v>-100</v>
      </c>
      <c r="L2357" s="3">
        <f t="shared" si="575"/>
        <v>1</v>
      </c>
      <c r="M2357" s="3">
        <f t="shared" si="576"/>
        <v>0</v>
      </c>
      <c r="N2357" s="3" t="str">
        <f t="shared" si="577"/>
        <v>01</v>
      </c>
      <c r="O2357" s="14" t="str">
        <f t="shared" si="577"/>
        <v>00</v>
      </c>
    </row>
    <row r="2358" spans="1:23" hidden="1">
      <c r="I2358" s="1"/>
    </row>
    <row r="2359" spans="1:23" hidden="1">
      <c r="J2359" s="1" t="str">
        <f t="shared" ref="J2359:J2422" si="578">+IF(I2359&lt;10,_xlfn.CONCAT("0",I2359),I2359)</f>
        <v>0</v>
      </c>
      <c r="K2359" s="3">
        <f t="shared" ref="K2359:K2422" si="579">+YEAR(H2359)-2000</f>
        <v>-100</v>
      </c>
      <c r="L2359" s="3">
        <f t="shared" ref="L2359:L2422" si="580">+MONTH(H2359)</f>
        <v>1</v>
      </c>
      <c r="M2359" s="3">
        <f t="shared" ref="M2359:M2422" si="581">+DAY(H2359)</f>
        <v>0</v>
      </c>
      <c r="N2359" s="3" t="str">
        <f t="shared" ref="N2359:O2422" si="582">+IF(L2359&lt;10,_xlfn.CONCAT("0",L2359),L2359)</f>
        <v>01</v>
      </c>
      <c r="O2359" s="14" t="str">
        <f t="shared" si="582"/>
        <v>00</v>
      </c>
    </row>
    <row r="2360" spans="1:23" hidden="1">
      <c r="J2360" s="1" t="str">
        <f t="shared" si="578"/>
        <v>0</v>
      </c>
      <c r="K2360" s="3">
        <f t="shared" si="579"/>
        <v>-100</v>
      </c>
      <c r="L2360" s="3">
        <f t="shared" si="580"/>
        <v>1</v>
      </c>
      <c r="M2360" s="3">
        <f t="shared" si="581"/>
        <v>0</v>
      </c>
      <c r="N2360" s="3" t="str">
        <f t="shared" si="582"/>
        <v>01</v>
      </c>
      <c r="O2360" s="14" t="str">
        <f t="shared" si="582"/>
        <v>00</v>
      </c>
    </row>
    <row r="2361" spans="1:23" hidden="1">
      <c r="J2361" s="1" t="str">
        <f t="shared" si="578"/>
        <v>0</v>
      </c>
      <c r="K2361" s="3">
        <f t="shared" si="579"/>
        <v>-100</v>
      </c>
      <c r="L2361" s="3">
        <f t="shared" si="580"/>
        <v>1</v>
      </c>
      <c r="M2361" s="3">
        <f t="shared" si="581"/>
        <v>0</v>
      </c>
      <c r="N2361" s="3" t="str">
        <f t="shared" si="582"/>
        <v>01</v>
      </c>
      <c r="O2361" s="14" t="str">
        <f t="shared" si="582"/>
        <v>00</v>
      </c>
    </row>
    <row r="2362" spans="1:23">
      <c r="A2362" s="3">
        <v>2334</v>
      </c>
      <c r="B2362" s="1">
        <f t="shared" ref="B2362:B2408" si="583">IF(G2362="-",0,IF(G2361=G2362,1,0))</f>
        <v>0</v>
      </c>
      <c r="C2362" s="1">
        <f t="shared" ref="C2362:C2408" si="584">+IF(G2362="-",0,IF(I2362=I2361+1,0,(IF(I2362=1,0,1))))</f>
        <v>1</v>
      </c>
      <c r="D2362" s="1">
        <f t="shared" ref="D2362:D2414" si="585">+IF(AND(P2362="",Q2362=""),1,0)</f>
        <v>0</v>
      </c>
      <c r="E2362" s="1">
        <f t="shared" ref="E2362:F2393" si="586">IF(U2362="",1,0)</f>
        <v>0</v>
      </c>
      <c r="F2362" s="1">
        <f t="shared" si="586"/>
        <v>0</v>
      </c>
      <c r="G2362" s="1" t="str">
        <f t="shared" ref="G2362:G2414" si="587">IF(H2362=0,"-",_xlfn.CONCAT(K2362,N2362,O2362,J2362))</f>
        <v>24102304</v>
      </c>
      <c r="H2362" s="2">
        <v>45588</v>
      </c>
      <c r="I2362" s="36">
        <v>4</v>
      </c>
      <c r="J2362" s="1" t="str">
        <f t="shared" si="578"/>
        <v>04</v>
      </c>
      <c r="K2362" s="3">
        <f t="shared" si="579"/>
        <v>24</v>
      </c>
      <c r="L2362" s="3">
        <f t="shared" si="580"/>
        <v>10</v>
      </c>
      <c r="M2362" s="3">
        <f t="shared" si="581"/>
        <v>23</v>
      </c>
      <c r="N2362" s="3">
        <f t="shared" si="582"/>
        <v>10</v>
      </c>
      <c r="O2362" s="14">
        <f t="shared" si="582"/>
        <v>23</v>
      </c>
      <c r="P2362" s="4">
        <v>30368.81</v>
      </c>
      <c r="T2362" s="5" t="s">
        <v>963</v>
      </c>
      <c r="U2362" s="3" t="s">
        <v>29</v>
      </c>
      <c r="V2362" s="3" t="s">
        <v>5</v>
      </c>
    </row>
    <row r="2363" spans="1:23">
      <c r="A2363" s="3">
        <v>2335</v>
      </c>
      <c r="B2363" s="1">
        <f t="shared" si="583"/>
        <v>0</v>
      </c>
      <c r="C2363" s="1">
        <f t="shared" si="584"/>
        <v>0</v>
      </c>
      <c r="D2363" s="1">
        <f t="shared" si="585"/>
        <v>0</v>
      </c>
      <c r="E2363" s="1">
        <f t="shared" si="586"/>
        <v>0</v>
      </c>
      <c r="F2363" s="1">
        <f t="shared" si="586"/>
        <v>0</v>
      </c>
      <c r="G2363" s="1" t="str">
        <f t="shared" si="587"/>
        <v>24102305</v>
      </c>
      <c r="H2363" s="2">
        <v>45588</v>
      </c>
      <c r="I2363" s="36">
        <v>5</v>
      </c>
      <c r="J2363" s="1" t="str">
        <f t="shared" si="578"/>
        <v>05</v>
      </c>
      <c r="K2363" s="3">
        <f t="shared" si="579"/>
        <v>24</v>
      </c>
      <c r="L2363" s="3">
        <f t="shared" si="580"/>
        <v>10</v>
      </c>
      <c r="M2363" s="3">
        <f t="shared" si="581"/>
        <v>23</v>
      </c>
      <c r="N2363" s="3">
        <f t="shared" si="582"/>
        <v>10</v>
      </c>
      <c r="O2363" s="14">
        <f t="shared" si="582"/>
        <v>23</v>
      </c>
      <c r="P2363" s="4">
        <v>231568.92</v>
      </c>
      <c r="T2363" s="5" t="s">
        <v>965</v>
      </c>
      <c r="U2363" s="3" t="s">
        <v>2</v>
      </c>
      <c r="V2363" s="3" t="s">
        <v>5</v>
      </c>
    </row>
    <row r="2364" spans="1:23">
      <c r="A2364" s="3">
        <v>2336</v>
      </c>
      <c r="B2364" s="1">
        <f t="shared" si="583"/>
        <v>0</v>
      </c>
      <c r="C2364" s="1">
        <f t="shared" si="584"/>
        <v>0</v>
      </c>
      <c r="D2364" s="1">
        <f t="shared" si="585"/>
        <v>0</v>
      </c>
      <c r="E2364" s="1">
        <f t="shared" si="586"/>
        <v>0</v>
      </c>
      <c r="F2364" s="1">
        <f t="shared" si="586"/>
        <v>0</v>
      </c>
      <c r="G2364" s="1" t="str">
        <f t="shared" si="587"/>
        <v>24102306</v>
      </c>
      <c r="H2364" s="2">
        <v>45588</v>
      </c>
      <c r="I2364" s="36">
        <v>6</v>
      </c>
      <c r="J2364" s="1" t="str">
        <f t="shared" si="578"/>
        <v>06</v>
      </c>
      <c r="K2364" s="3">
        <f t="shared" si="579"/>
        <v>24</v>
      </c>
      <c r="L2364" s="3">
        <f t="shared" si="580"/>
        <v>10</v>
      </c>
      <c r="M2364" s="3">
        <f t="shared" si="581"/>
        <v>23</v>
      </c>
      <c r="N2364" s="3">
        <f t="shared" si="582"/>
        <v>10</v>
      </c>
      <c r="O2364" s="14">
        <f t="shared" si="582"/>
        <v>23</v>
      </c>
      <c r="P2364" s="4">
        <v>200000</v>
      </c>
      <c r="T2364" s="5" t="s">
        <v>871</v>
      </c>
      <c r="U2364" s="3" t="s">
        <v>2</v>
      </c>
      <c r="V2364" s="3" t="s">
        <v>5</v>
      </c>
    </row>
    <row r="2365" spans="1:23" hidden="1">
      <c r="J2365" s="1" t="str">
        <f t="shared" si="578"/>
        <v>0</v>
      </c>
      <c r="K2365" s="3">
        <f t="shared" si="579"/>
        <v>-100</v>
      </c>
      <c r="L2365" s="3">
        <f t="shared" si="580"/>
        <v>1</v>
      </c>
      <c r="M2365" s="3">
        <f t="shared" si="581"/>
        <v>0</v>
      </c>
      <c r="N2365" s="3" t="str">
        <f t="shared" si="582"/>
        <v>01</v>
      </c>
      <c r="O2365" s="14" t="str">
        <f t="shared" si="582"/>
        <v>00</v>
      </c>
    </row>
    <row r="2366" spans="1:23" hidden="1">
      <c r="J2366" s="1" t="str">
        <f t="shared" si="578"/>
        <v>0</v>
      </c>
      <c r="K2366" s="3">
        <f t="shared" si="579"/>
        <v>-100</v>
      </c>
      <c r="L2366" s="3">
        <f t="shared" si="580"/>
        <v>1</v>
      </c>
      <c r="M2366" s="3">
        <f t="shared" si="581"/>
        <v>0</v>
      </c>
      <c r="N2366" s="3" t="str">
        <f t="shared" si="582"/>
        <v>01</v>
      </c>
      <c r="O2366" s="14" t="str">
        <f t="shared" si="582"/>
        <v>00</v>
      </c>
    </row>
    <row r="2367" spans="1:23" hidden="1">
      <c r="J2367" s="1" t="str">
        <f t="shared" si="578"/>
        <v>0</v>
      </c>
      <c r="K2367" s="3">
        <f t="shared" si="579"/>
        <v>-100</v>
      </c>
      <c r="L2367" s="3">
        <f t="shared" si="580"/>
        <v>1</v>
      </c>
      <c r="M2367" s="3">
        <f t="shared" si="581"/>
        <v>0</v>
      </c>
      <c r="N2367" s="3" t="str">
        <f t="shared" si="582"/>
        <v>01</v>
      </c>
      <c r="O2367" s="14" t="str">
        <f t="shared" si="582"/>
        <v>00</v>
      </c>
    </row>
    <row r="2368" spans="1:23" hidden="1">
      <c r="J2368" s="1" t="str">
        <f t="shared" si="578"/>
        <v>0</v>
      </c>
      <c r="K2368" s="3">
        <f t="shared" si="579"/>
        <v>-100</v>
      </c>
      <c r="L2368" s="3">
        <f t="shared" si="580"/>
        <v>1</v>
      </c>
      <c r="M2368" s="3">
        <f t="shared" si="581"/>
        <v>0</v>
      </c>
      <c r="N2368" s="3" t="str">
        <f t="shared" si="582"/>
        <v>01</v>
      </c>
      <c r="O2368" s="14" t="str">
        <f t="shared" si="582"/>
        <v>00</v>
      </c>
    </row>
    <row r="2369" spans="1:22">
      <c r="A2369" s="3">
        <v>2341</v>
      </c>
      <c r="B2369" s="1">
        <f t="shared" si="583"/>
        <v>0</v>
      </c>
      <c r="C2369" s="1">
        <f t="shared" si="584"/>
        <v>1</v>
      </c>
      <c r="D2369" s="1">
        <f t="shared" si="585"/>
        <v>0</v>
      </c>
      <c r="E2369" s="1">
        <f t="shared" si="586"/>
        <v>1</v>
      </c>
      <c r="F2369" s="1">
        <f t="shared" si="586"/>
        <v>0</v>
      </c>
      <c r="G2369" s="1" t="str">
        <f t="shared" si="587"/>
        <v>24102311</v>
      </c>
      <c r="H2369" s="2">
        <v>45588</v>
      </c>
      <c r="I2369" s="36">
        <v>11</v>
      </c>
      <c r="J2369" s="1">
        <f t="shared" si="578"/>
        <v>11</v>
      </c>
      <c r="K2369" s="3">
        <f t="shared" si="579"/>
        <v>24</v>
      </c>
      <c r="L2369" s="3">
        <f t="shared" si="580"/>
        <v>10</v>
      </c>
      <c r="M2369" s="3">
        <f t="shared" si="581"/>
        <v>23</v>
      </c>
      <c r="N2369" s="3">
        <f t="shared" si="582"/>
        <v>10</v>
      </c>
      <c r="O2369" s="14">
        <f t="shared" si="582"/>
        <v>23</v>
      </c>
      <c r="Q2369" s="5">
        <v>350</v>
      </c>
      <c r="T2369" s="5" t="s">
        <v>1025</v>
      </c>
      <c r="V2369" s="3" t="s">
        <v>5</v>
      </c>
    </row>
    <row r="2370" spans="1:22" hidden="1">
      <c r="J2370" s="1" t="str">
        <f t="shared" si="578"/>
        <v>0</v>
      </c>
      <c r="K2370" s="3">
        <f t="shared" si="579"/>
        <v>-100</v>
      </c>
      <c r="L2370" s="3">
        <f t="shared" si="580"/>
        <v>1</v>
      </c>
      <c r="M2370" s="3">
        <f t="shared" si="581"/>
        <v>0</v>
      </c>
      <c r="N2370" s="3" t="str">
        <f t="shared" si="582"/>
        <v>01</v>
      </c>
      <c r="O2370" s="14" t="str">
        <f t="shared" si="582"/>
        <v>00</v>
      </c>
    </row>
    <row r="2371" spans="1:22" hidden="1">
      <c r="J2371" s="1" t="str">
        <f t="shared" si="578"/>
        <v>0</v>
      </c>
      <c r="K2371" s="3">
        <f t="shared" si="579"/>
        <v>-100</v>
      </c>
      <c r="L2371" s="3">
        <f t="shared" si="580"/>
        <v>1</v>
      </c>
      <c r="M2371" s="3">
        <f t="shared" si="581"/>
        <v>0</v>
      </c>
      <c r="N2371" s="3" t="str">
        <f t="shared" si="582"/>
        <v>01</v>
      </c>
      <c r="O2371" s="14" t="str">
        <f t="shared" si="582"/>
        <v>00</v>
      </c>
    </row>
    <row r="2372" spans="1:22" hidden="1">
      <c r="J2372" s="1" t="str">
        <f t="shared" si="578"/>
        <v>0</v>
      </c>
      <c r="K2372" s="3">
        <f t="shared" si="579"/>
        <v>-100</v>
      </c>
      <c r="L2372" s="3">
        <f t="shared" si="580"/>
        <v>1</v>
      </c>
      <c r="M2372" s="3">
        <f t="shared" si="581"/>
        <v>0</v>
      </c>
      <c r="N2372" s="3" t="str">
        <f t="shared" si="582"/>
        <v>01</v>
      </c>
      <c r="O2372" s="14" t="str">
        <f t="shared" si="582"/>
        <v>00</v>
      </c>
    </row>
    <row r="2373" spans="1:22" hidden="1">
      <c r="J2373" s="1" t="str">
        <f t="shared" si="578"/>
        <v>0</v>
      </c>
      <c r="K2373" s="3">
        <f t="shared" si="579"/>
        <v>-100</v>
      </c>
      <c r="L2373" s="3">
        <f t="shared" si="580"/>
        <v>1</v>
      </c>
      <c r="M2373" s="3">
        <f t="shared" si="581"/>
        <v>0</v>
      </c>
      <c r="N2373" s="3" t="str">
        <f t="shared" si="582"/>
        <v>01</v>
      </c>
      <c r="O2373" s="14" t="str">
        <f t="shared" si="582"/>
        <v>00</v>
      </c>
    </row>
    <row r="2374" spans="1:22" hidden="1">
      <c r="J2374" s="1" t="str">
        <f t="shared" si="578"/>
        <v>0</v>
      </c>
      <c r="K2374" s="3">
        <f t="shared" si="579"/>
        <v>-100</v>
      </c>
      <c r="L2374" s="3">
        <f t="shared" si="580"/>
        <v>1</v>
      </c>
      <c r="M2374" s="3">
        <f t="shared" si="581"/>
        <v>0</v>
      </c>
      <c r="N2374" s="3" t="str">
        <f t="shared" si="582"/>
        <v>01</v>
      </c>
      <c r="O2374" s="14" t="str">
        <f t="shared" si="582"/>
        <v>00</v>
      </c>
    </row>
    <row r="2375" spans="1:22" hidden="1">
      <c r="J2375" s="1" t="str">
        <f t="shared" si="578"/>
        <v>0</v>
      </c>
      <c r="K2375" s="3">
        <f t="shared" si="579"/>
        <v>-100</v>
      </c>
      <c r="L2375" s="3">
        <f t="shared" si="580"/>
        <v>1</v>
      </c>
      <c r="M2375" s="3">
        <f t="shared" si="581"/>
        <v>0</v>
      </c>
      <c r="N2375" s="3" t="str">
        <f t="shared" si="582"/>
        <v>01</v>
      </c>
      <c r="O2375" s="14" t="str">
        <f t="shared" si="582"/>
        <v>00</v>
      </c>
    </row>
    <row r="2376" spans="1:22" hidden="1">
      <c r="J2376" s="1" t="str">
        <f t="shared" si="578"/>
        <v>0</v>
      </c>
      <c r="K2376" s="3">
        <f t="shared" si="579"/>
        <v>-100</v>
      </c>
      <c r="L2376" s="3">
        <f t="shared" si="580"/>
        <v>1</v>
      </c>
      <c r="M2376" s="3">
        <f t="shared" si="581"/>
        <v>0</v>
      </c>
      <c r="N2376" s="3" t="str">
        <f t="shared" si="582"/>
        <v>01</v>
      </c>
      <c r="O2376" s="14" t="str">
        <f t="shared" si="582"/>
        <v>00</v>
      </c>
    </row>
    <row r="2377" spans="1:22" hidden="1">
      <c r="J2377" s="1" t="str">
        <f t="shared" si="578"/>
        <v>0</v>
      </c>
      <c r="K2377" s="3">
        <f t="shared" si="579"/>
        <v>-100</v>
      </c>
      <c r="L2377" s="3">
        <f t="shared" si="580"/>
        <v>1</v>
      </c>
      <c r="M2377" s="3">
        <f t="shared" si="581"/>
        <v>0</v>
      </c>
      <c r="N2377" s="3" t="str">
        <f t="shared" si="582"/>
        <v>01</v>
      </c>
      <c r="O2377" s="14" t="str">
        <f t="shared" si="582"/>
        <v>00</v>
      </c>
    </row>
    <row r="2378" spans="1:22" hidden="1">
      <c r="J2378" s="1" t="str">
        <f t="shared" si="578"/>
        <v>0</v>
      </c>
      <c r="K2378" s="3">
        <f t="shared" si="579"/>
        <v>-100</v>
      </c>
      <c r="L2378" s="3">
        <f t="shared" si="580"/>
        <v>1</v>
      </c>
      <c r="M2378" s="3">
        <f t="shared" si="581"/>
        <v>0</v>
      </c>
      <c r="N2378" s="3" t="str">
        <f t="shared" si="582"/>
        <v>01</v>
      </c>
      <c r="O2378" s="14" t="str">
        <f t="shared" si="582"/>
        <v>00</v>
      </c>
    </row>
    <row r="2379" spans="1:22">
      <c r="A2379" s="3">
        <v>2351</v>
      </c>
      <c r="B2379" s="1">
        <f t="shared" si="583"/>
        <v>0</v>
      </c>
      <c r="C2379" s="1">
        <f t="shared" si="584"/>
        <v>1</v>
      </c>
      <c r="D2379" s="1">
        <f t="shared" si="585"/>
        <v>0</v>
      </c>
      <c r="E2379" s="1">
        <f t="shared" si="586"/>
        <v>0</v>
      </c>
      <c r="F2379" s="1">
        <f t="shared" si="586"/>
        <v>0</v>
      </c>
      <c r="G2379" s="1" t="str">
        <f t="shared" si="587"/>
        <v>24102504</v>
      </c>
      <c r="H2379" s="2">
        <v>45590</v>
      </c>
      <c r="I2379" s="36">
        <v>4</v>
      </c>
      <c r="J2379" s="1" t="str">
        <f t="shared" si="578"/>
        <v>04</v>
      </c>
      <c r="K2379" s="3">
        <f t="shared" si="579"/>
        <v>24</v>
      </c>
      <c r="L2379" s="3">
        <f t="shared" si="580"/>
        <v>10</v>
      </c>
      <c r="M2379" s="3">
        <f t="shared" si="581"/>
        <v>25</v>
      </c>
      <c r="N2379" s="3">
        <f t="shared" si="582"/>
        <v>10</v>
      </c>
      <c r="O2379" s="14">
        <f t="shared" si="582"/>
        <v>25</v>
      </c>
      <c r="P2379" s="4">
        <v>10000</v>
      </c>
      <c r="T2379" s="5" t="s">
        <v>448</v>
      </c>
      <c r="U2379" s="3" t="s">
        <v>29</v>
      </c>
      <c r="V2379" s="3" t="s">
        <v>5</v>
      </c>
    </row>
    <row r="2380" spans="1:22" hidden="1">
      <c r="J2380" s="1" t="str">
        <f t="shared" si="578"/>
        <v>0</v>
      </c>
      <c r="K2380" s="3">
        <f t="shared" si="579"/>
        <v>-100</v>
      </c>
      <c r="L2380" s="3">
        <f t="shared" si="580"/>
        <v>1</v>
      </c>
      <c r="M2380" s="3">
        <f t="shared" si="581"/>
        <v>0</v>
      </c>
      <c r="N2380" s="3" t="str">
        <f t="shared" si="582"/>
        <v>01</v>
      </c>
      <c r="O2380" s="14" t="str">
        <f t="shared" si="582"/>
        <v>00</v>
      </c>
    </row>
    <row r="2381" spans="1:22" hidden="1">
      <c r="J2381" s="1" t="str">
        <f t="shared" si="578"/>
        <v>0</v>
      </c>
      <c r="K2381" s="3">
        <f t="shared" si="579"/>
        <v>-100</v>
      </c>
      <c r="L2381" s="3">
        <f t="shared" si="580"/>
        <v>1</v>
      </c>
      <c r="M2381" s="3">
        <f t="shared" si="581"/>
        <v>0</v>
      </c>
      <c r="N2381" s="3" t="str">
        <f t="shared" si="582"/>
        <v>01</v>
      </c>
      <c r="O2381" s="14" t="str">
        <f t="shared" si="582"/>
        <v>00</v>
      </c>
    </row>
    <row r="2382" spans="1:22" hidden="1">
      <c r="J2382" s="1" t="str">
        <f t="shared" si="578"/>
        <v>0</v>
      </c>
      <c r="K2382" s="3">
        <f t="shared" si="579"/>
        <v>-100</v>
      </c>
      <c r="L2382" s="3">
        <f t="shared" si="580"/>
        <v>1</v>
      </c>
      <c r="M2382" s="3">
        <f t="shared" si="581"/>
        <v>0</v>
      </c>
      <c r="N2382" s="3" t="str">
        <f t="shared" si="582"/>
        <v>01</v>
      </c>
      <c r="O2382" s="14" t="str">
        <f t="shared" si="582"/>
        <v>00</v>
      </c>
    </row>
    <row r="2383" spans="1:22" hidden="1">
      <c r="J2383" s="1" t="str">
        <f t="shared" si="578"/>
        <v>0</v>
      </c>
      <c r="K2383" s="3">
        <f t="shared" si="579"/>
        <v>-100</v>
      </c>
      <c r="L2383" s="3">
        <f t="shared" si="580"/>
        <v>1</v>
      </c>
      <c r="M2383" s="3">
        <f t="shared" si="581"/>
        <v>0</v>
      </c>
      <c r="N2383" s="3" t="str">
        <f t="shared" si="582"/>
        <v>01</v>
      </c>
      <c r="O2383" s="14" t="str">
        <f t="shared" si="582"/>
        <v>00</v>
      </c>
    </row>
    <row r="2384" spans="1:22" hidden="1">
      <c r="J2384" s="1" t="str">
        <f t="shared" si="578"/>
        <v>0</v>
      </c>
      <c r="K2384" s="3">
        <f t="shared" si="579"/>
        <v>-100</v>
      </c>
      <c r="L2384" s="3">
        <f t="shared" si="580"/>
        <v>1</v>
      </c>
      <c r="M2384" s="3">
        <f t="shared" si="581"/>
        <v>0</v>
      </c>
      <c r="N2384" s="3" t="str">
        <f t="shared" si="582"/>
        <v>01</v>
      </c>
      <c r="O2384" s="14" t="str">
        <f t="shared" si="582"/>
        <v>00</v>
      </c>
    </row>
    <row r="2385" spans="1:23" hidden="1">
      <c r="J2385" s="1" t="str">
        <f t="shared" si="578"/>
        <v>0</v>
      </c>
      <c r="K2385" s="3">
        <f t="shared" si="579"/>
        <v>-100</v>
      </c>
      <c r="L2385" s="3">
        <f t="shared" si="580"/>
        <v>1</v>
      </c>
      <c r="M2385" s="3">
        <f t="shared" si="581"/>
        <v>0</v>
      </c>
      <c r="N2385" s="3" t="str">
        <f t="shared" si="582"/>
        <v>01</v>
      </c>
      <c r="O2385" s="14" t="str">
        <f t="shared" si="582"/>
        <v>00</v>
      </c>
    </row>
    <row r="2386" spans="1:23">
      <c r="A2386" s="3">
        <v>2358</v>
      </c>
      <c r="B2386" s="1">
        <f t="shared" si="583"/>
        <v>0</v>
      </c>
      <c r="C2386" s="1">
        <f t="shared" si="584"/>
        <v>1</v>
      </c>
      <c r="D2386" s="1">
        <f t="shared" si="585"/>
        <v>0</v>
      </c>
      <c r="E2386" s="1">
        <f t="shared" si="586"/>
        <v>0</v>
      </c>
      <c r="F2386" s="1">
        <f t="shared" si="586"/>
        <v>0</v>
      </c>
      <c r="G2386" s="1" t="str">
        <f t="shared" si="587"/>
        <v>24102511</v>
      </c>
      <c r="H2386" s="2">
        <v>45590</v>
      </c>
      <c r="I2386" s="36">
        <v>11</v>
      </c>
      <c r="J2386" s="1">
        <f t="shared" si="578"/>
        <v>11</v>
      </c>
      <c r="K2386" s="3">
        <f t="shared" si="579"/>
        <v>24</v>
      </c>
      <c r="L2386" s="3">
        <f t="shared" si="580"/>
        <v>10</v>
      </c>
      <c r="M2386" s="3">
        <f t="shared" si="581"/>
        <v>25</v>
      </c>
      <c r="N2386" s="3">
        <f t="shared" si="582"/>
        <v>10</v>
      </c>
      <c r="O2386" s="14">
        <f t="shared" si="582"/>
        <v>25</v>
      </c>
      <c r="P2386" s="4">
        <v>441397.32</v>
      </c>
      <c r="T2386" s="5" t="s">
        <v>1054</v>
      </c>
      <c r="U2386" s="3" t="s">
        <v>1</v>
      </c>
      <c r="V2386" s="3" t="s">
        <v>5</v>
      </c>
    </row>
    <row r="2387" spans="1:23" hidden="1">
      <c r="J2387" s="1" t="str">
        <f t="shared" si="578"/>
        <v>0</v>
      </c>
      <c r="K2387" s="3">
        <f t="shared" si="579"/>
        <v>-100</v>
      </c>
      <c r="L2387" s="3">
        <f t="shared" si="580"/>
        <v>1</v>
      </c>
      <c r="M2387" s="3">
        <f t="shared" si="581"/>
        <v>0</v>
      </c>
      <c r="N2387" s="3" t="str">
        <f t="shared" si="582"/>
        <v>01</v>
      </c>
      <c r="O2387" s="14" t="str">
        <f t="shared" si="582"/>
        <v>00</v>
      </c>
    </row>
    <row r="2388" spans="1:23">
      <c r="A2388" s="3">
        <v>2359</v>
      </c>
      <c r="B2388" s="1">
        <f t="shared" si="583"/>
        <v>0</v>
      </c>
      <c r="C2388" s="1">
        <f t="shared" si="584"/>
        <v>0</v>
      </c>
      <c r="D2388" s="1">
        <f t="shared" si="585"/>
        <v>0</v>
      </c>
      <c r="E2388" s="1">
        <f t="shared" si="586"/>
        <v>0</v>
      </c>
      <c r="F2388" s="1">
        <f t="shared" si="586"/>
        <v>0</v>
      </c>
      <c r="G2388" s="1" t="str">
        <f t="shared" si="587"/>
        <v>24102601</v>
      </c>
      <c r="H2388" s="2">
        <v>45591</v>
      </c>
      <c r="I2388" s="36">
        <v>1</v>
      </c>
      <c r="J2388" s="1" t="str">
        <f t="shared" si="578"/>
        <v>01</v>
      </c>
      <c r="K2388" s="3">
        <f t="shared" si="579"/>
        <v>24</v>
      </c>
      <c r="L2388" s="3">
        <f t="shared" si="580"/>
        <v>10</v>
      </c>
      <c r="M2388" s="3">
        <f t="shared" si="581"/>
        <v>26</v>
      </c>
      <c r="N2388" s="3">
        <f t="shared" si="582"/>
        <v>10</v>
      </c>
      <c r="O2388" s="14">
        <f t="shared" si="582"/>
        <v>26</v>
      </c>
      <c r="P2388" s="4">
        <v>159000</v>
      </c>
      <c r="T2388" s="34" t="s">
        <v>981</v>
      </c>
      <c r="U2388" s="3" t="s">
        <v>1</v>
      </c>
      <c r="V2388" s="3" t="s">
        <v>5</v>
      </c>
      <c r="W2388" s="3" t="s">
        <v>973</v>
      </c>
    </row>
    <row r="2389" spans="1:23">
      <c r="A2389" s="3">
        <v>2360</v>
      </c>
      <c r="B2389" s="1">
        <f t="shared" si="583"/>
        <v>0</v>
      </c>
      <c r="C2389" s="1">
        <f t="shared" si="584"/>
        <v>0</v>
      </c>
      <c r="D2389" s="1">
        <f t="shared" si="585"/>
        <v>0</v>
      </c>
      <c r="E2389" s="1">
        <f t="shared" si="586"/>
        <v>0</v>
      </c>
      <c r="F2389" s="1">
        <f t="shared" si="586"/>
        <v>0</v>
      </c>
      <c r="G2389" s="1" t="str">
        <f t="shared" si="587"/>
        <v>24102602</v>
      </c>
      <c r="H2389" s="2">
        <v>45591</v>
      </c>
      <c r="I2389" s="36">
        <v>2</v>
      </c>
      <c r="J2389" s="1" t="str">
        <f t="shared" si="578"/>
        <v>02</v>
      </c>
      <c r="K2389" s="3">
        <f t="shared" si="579"/>
        <v>24</v>
      </c>
      <c r="L2389" s="3">
        <f t="shared" si="580"/>
        <v>10</v>
      </c>
      <c r="M2389" s="3">
        <f t="shared" si="581"/>
        <v>26</v>
      </c>
      <c r="N2389" s="3">
        <f t="shared" si="582"/>
        <v>10</v>
      </c>
      <c r="O2389" s="14">
        <f t="shared" si="582"/>
        <v>26</v>
      </c>
      <c r="P2389" s="4">
        <v>159000</v>
      </c>
      <c r="T2389" s="29" t="s">
        <v>982</v>
      </c>
      <c r="U2389" s="3" t="s">
        <v>1</v>
      </c>
      <c r="V2389" s="3" t="s">
        <v>5</v>
      </c>
      <c r="W2389" s="3" t="s">
        <v>974</v>
      </c>
    </row>
    <row r="2390" spans="1:23">
      <c r="A2390" s="3">
        <v>2361</v>
      </c>
      <c r="B2390" s="1">
        <f t="shared" si="583"/>
        <v>0</v>
      </c>
      <c r="C2390" s="1">
        <f t="shared" si="584"/>
        <v>0</v>
      </c>
      <c r="D2390" s="1">
        <f t="shared" si="585"/>
        <v>0</v>
      </c>
      <c r="E2390" s="1">
        <f t="shared" si="586"/>
        <v>0</v>
      </c>
      <c r="F2390" s="1">
        <f t="shared" si="586"/>
        <v>0</v>
      </c>
      <c r="G2390" s="1" t="str">
        <f t="shared" si="587"/>
        <v>24102603</v>
      </c>
      <c r="H2390" s="2">
        <v>45591</v>
      </c>
      <c r="I2390" s="36">
        <v>3</v>
      </c>
      <c r="J2390" s="1" t="str">
        <f t="shared" si="578"/>
        <v>03</v>
      </c>
      <c r="K2390" s="3">
        <f t="shared" si="579"/>
        <v>24</v>
      </c>
      <c r="L2390" s="3">
        <f t="shared" si="580"/>
        <v>10</v>
      </c>
      <c r="M2390" s="3">
        <f t="shared" si="581"/>
        <v>26</v>
      </c>
      <c r="N2390" s="3">
        <f t="shared" si="582"/>
        <v>10</v>
      </c>
      <c r="O2390" s="14">
        <f t="shared" si="582"/>
        <v>26</v>
      </c>
      <c r="P2390" s="4">
        <v>132000</v>
      </c>
      <c r="T2390" s="29" t="s">
        <v>983</v>
      </c>
      <c r="U2390" s="3" t="s">
        <v>1</v>
      </c>
      <c r="V2390" s="3" t="s">
        <v>5</v>
      </c>
      <c r="W2390" s="3" t="s">
        <v>975</v>
      </c>
    </row>
    <row r="2391" spans="1:23" hidden="1">
      <c r="J2391" s="1" t="str">
        <f t="shared" si="578"/>
        <v>0</v>
      </c>
      <c r="K2391" s="3">
        <f t="shared" si="579"/>
        <v>-100</v>
      </c>
      <c r="L2391" s="3">
        <f t="shared" si="580"/>
        <v>1</v>
      </c>
      <c r="M2391" s="3">
        <f t="shared" si="581"/>
        <v>0</v>
      </c>
      <c r="N2391" s="3" t="str">
        <f t="shared" si="582"/>
        <v>01</v>
      </c>
      <c r="O2391" s="14" t="str">
        <f t="shared" si="582"/>
        <v>00</v>
      </c>
      <c r="T2391" s="29"/>
    </row>
    <row r="2392" spans="1:23">
      <c r="A2392" s="3">
        <v>2363</v>
      </c>
      <c r="B2392" s="1">
        <f t="shared" si="583"/>
        <v>0</v>
      </c>
      <c r="C2392" s="1">
        <f t="shared" si="584"/>
        <v>1</v>
      </c>
      <c r="D2392" s="1">
        <f t="shared" si="585"/>
        <v>0</v>
      </c>
      <c r="E2392" s="1">
        <f t="shared" si="586"/>
        <v>0</v>
      </c>
      <c r="F2392" s="1">
        <f t="shared" si="586"/>
        <v>0</v>
      </c>
      <c r="G2392" s="1" t="str">
        <f t="shared" si="587"/>
        <v>24102605</v>
      </c>
      <c r="H2392" s="2">
        <v>45591</v>
      </c>
      <c r="I2392" s="36">
        <v>5</v>
      </c>
      <c r="J2392" s="1" t="str">
        <f t="shared" si="578"/>
        <v>05</v>
      </c>
      <c r="K2392" s="3">
        <f t="shared" si="579"/>
        <v>24</v>
      </c>
      <c r="L2392" s="3">
        <f t="shared" si="580"/>
        <v>10</v>
      </c>
      <c r="M2392" s="3">
        <f t="shared" si="581"/>
        <v>26</v>
      </c>
      <c r="N2392" s="3">
        <f t="shared" si="582"/>
        <v>10</v>
      </c>
      <c r="O2392" s="14">
        <f t="shared" si="582"/>
        <v>26</v>
      </c>
      <c r="P2392" s="4">
        <v>132000</v>
      </c>
      <c r="T2392" s="29" t="s">
        <v>985</v>
      </c>
      <c r="U2392" s="3" t="s">
        <v>1</v>
      </c>
      <c r="V2392" s="3" t="s">
        <v>5</v>
      </c>
      <c r="W2392" s="3" t="s">
        <v>977</v>
      </c>
    </row>
    <row r="2393" spans="1:23">
      <c r="A2393" s="3">
        <v>2364</v>
      </c>
      <c r="B2393" s="1">
        <f t="shared" si="583"/>
        <v>0</v>
      </c>
      <c r="C2393" s="1">
        <f t="shared" si="584"/>
        <v>0</v>
      </c>
      <c r="D2393" s="1">
        <f t="shared" si="585"/>
        <v>0</v>
      </c>
      <c r="E2393" s="1">
        <f t="shared" si="586"/>
        <v>0</v>
      </c>
      <c r="F2393" s="1">
        <f t="shared" si="586"/>
        <v>0</v>
      </c>
      <c r="G2393" s="1" t="str">
        <f t="shared" si="587"/>
        <v>24102606</v>
      </c>
      <c r="H2393" s="2">
        <v>45591</v>
      </c>
      <c r="I2393" s="36">
        <v>6</v>
      </c>
      <c r="J2393" s="1" t="str">
        <f t="shared" si="578"/>
        <v>06</v>
      </c>
      <c r="K2393" s="3">
        <f t="shared" si="579"/>
        <v>24</v>
      </c>
      <c r="L2393" s="3">
        <f t="shared" si="580"/>
        <v>10</v>
      </c>
      <c r="M2393" s="3">
        <f t="shared" si="581"/>
        <v>26</v>
      </c>
      <c r="N2393" s="3">
        <f t="shared" si="582"/>
        <v>10</v>
      </c>
      <c r="O2393" s="14">
        <f t="shared" si="582"/>
        <v>26</v>
      </c>
      <c r="P2393" s="4">
        <v>132000</v>
      </c>
      <c r="T2393" s="29" t="s">
        <v>986</v>
      </c>
      <c r="U2393" s="3" t="s">
        <v>1</v>
      </c>
      <c r="V2393" s="3" t="s">
        <v>5</v>
      </c>
      <c r="W2393" s="3" t="s">
        <v>978</v>
      </c>
    </row>
    <row r="2394" spans="1:23">
      <c r="A2394" s="3">
        <v>2365</v>
      </c>
      <c r="B2394" s="1">
        <f t="shared" si="583"/>
        <v>0</v>
      </c>
      <c r="C2394" s="1">
        <f t="shared" si="584"/>
        <v>0</v>
      </c>
      <c r="D2394" s="1">
        <f t="shared" si="585"/>
        <v>0</v>
      </c>
      <c r="E2394" s="1">
        <f t="shared" ref="E2394:F2408" si="588">IF(U2394="",1,0)</f>
        <v>0</v>
      </c>
      <c r="F2394" s="1">
        <f t="shared" si="588"/>
        <v>0</v>
      </c>
      <c r="G2394" s="1" t="str">
        <f t="shared" si="587"/>
        <v>24102607</v>
      </c>
      <c r="H2394" s="2">
        <v>45591</v>
      </c>
      <c r="I2394" s="36">
        <v>7</v>
      </c>
      <c r="J2394" s="1" t="str">
        <f t="shared" si="578"/>
        <v>07</v>
      </c>
      <c r="K2394" s="3">
        <f t="shared" si="579"/>
        <v>24</v>
      </c>
      <c r="L2394" s="3">
        <f t="shared" si="580"/>
        <v>10</v>
      </c>
      <c r="M2394" s="3">
        <f t="shared" si="581"/>
        <v>26</v>
      </c>
      <c r="N2394" s="3">
        <f t="shared" si="582"/>
        <v>10</v>
      </c>
      <c r="O2394" s="14">
        <f t="shared" si="582"/>
        <v>26</v>
      </c>
      <c r="P2394" s="4">
        <v>132000</v>
      </c>
      <c r="T2394" s="32" t="s">
        <v>987</v>
      </c>
      <c r="U2394" s="3" t="s">
        <v>1</v>
      </c>
      <c r="V2394" s="3" t="s">
        <v>5</v>
      </c>
    </row>
    <row r="2395" spans="1:23">
      <c r="A2395" s="3">
        <v>2366</v>
      </c>
      <c r="B2395" s="1">
        <f t="shared" si="583"/>
        <v>0</v>
      </c>
      <c r="C2395" s="1">
        <f t="shared" si="584"/>
        <v>0</v>
      </c>
      <c r="D2395" s="1">
        <f t="shared" si="585"/>
        <v>0</v>
      </c>
      <c r="E2395" s="1">
        <f t="shared" si="588"/>
        <v>0</v>
      </c>
      <c r="F2395" s="1">
        <f t="shared" si="588"/>
        <v>0</v>
      </c>
      <c r="G2395" s="1" t="str">
        <f t="shared" si="587"/>
        <v>24102608</v>
      </c>
      <c r="H2395" s="2">
        <v>45591</v>
      </c>
      <c r="I2395" s="36">
        <v>8</v>
      </c>
      <c r="J2395" s="1" t="str">
        <f t="shared" si="578"/>
        <v>08</v>
      </c>
      <c r="K2395" s="3">
        <f t="shared" si="579"/>
        <v>24</v>
      </c>
      <c r="L2395" s="3">
        <f t="shared" si="580"/>
        <v>10</v>
      </c>
      <c r="M2395" s="3">
        <f t="shared" si="581"/>
        <v>26</v>
      </c>
      <c r="N2395" s="3">
        <f t="shared" si="582"/>
        <v>10</v>
      </c>
      <c r="O2395" s="14">
        <f t="shared" si="582"/>
        <v>26</v>
      </c>
      <c r="P2395" s="4">
        <v>108000</v>
      </c>
      <c r="T2395" s="32" t="s">
        <v>988</v>
      </c>
      <c r="U2395" s="3" t="s">
        <v>1</v>
      </c>
      <c r="V2395" s="3" t="s">
        <v>5</v>
      </c>
    </row>
    <row r="2396" spans="1:23" hidden="1">
      <c r="J2396" s="1" t="str">
        <f t="shared" si="578"/>
        <v>0</v>
      </c>
      <c r="K2396" s="3">
        <f t="shared" si="579"/>
        <v>-100</v>
      </c>
      <c r="L2396" s="3">
        <f t="shared" si="580"/>
        <v>1</v>
      </c>
      <c r="M2396" s="3">
        <f t="shared" si="581"/>
        <v>0</v>
      </c>
      <c r="N2396" s="3" t="str">
        <f t="shared" si="582"/>
        <v>01</v>
      </c>
      <c r="O2396" s="14" t="str">
        <f t="shared" si="582"/>
        <v>00</v>
      </c>
      <c r="T2396" s="32"/>
    </row>
    <row r="2397" spans="1:23" hidden="1">
      <c r="J2397" s="1" t="str">
        <f t="shared" si="578"/>
        <v>0</v>
      </c>
      <c r="K2397" s="3">
        <f t="shared" si="579"/>
        <v>-100</v>
      </c>
      <c r="L2397" s="3">
        <f t="shared" si="580"/>
        <v>1</v>
      </c>
      <c r="M2397" s="3">
        <f t="shared" si="581"/>
        <v>0</v>
      </c>
      <c r="N2397" s="3" t="str">
        <f t="shared" si="582"/>
        <v>01</v>
      </c>
      <c r="O2397" s="14" t="str">
        <f t="shared" si="582"/>
        <v>00</v>
      </c>
      <c r="T2397" s="32"/>
    </row>
    <row r="2398" spans="1:23">
      <c r="A2398" s="3">
        <v>2369</v>
      </c>
      <c r="B2398" s="1">
        <f t="shared" si="583"/>
        <v>0</v>
      </c>
      <c r="C2398" s="1">
        <f t="shared" si="584"/>
        <v>1</v>
      </c>
      <c r="D2398" s="1">
        <f t="shared" si="585"/>
        <v>0</v>
      </c>
      <c r="E2398" s="1">
        <f t="shared" si="588"/>
        <v>0</v>
      </c>
      <c r="F2398" s="1">
        <f t="shared" si="588"/>
        <v>0</v>
      </c>
      <c r="G2398" s="1" t="str">
        <f t="shared" si="587"/>
        <v>24102611</v>
      </c>
      <c r="H2398" s="2">
        <v>45591</v>
      </c>
      <c r="I2398" s="36">
        <v>11</v>
      </c>
      <c r="J2398" s="1">
        <f t="shared" si="578"/>
        <v>11</v>
      </c>
      <c r="K2398" s="3">
        <f t="shared" si="579"/>
        <v>24</v>
      </c>
      <c r="L2398" s="3">
        <f t="shared" si="580"/>
        <v>10</v>
      </c>
      <c r="M2398" s="3">
        <f t="shared" si="581"/>
        <v>26</v>
      </c>
      <c r="N2398" s="3">
        <f t="shared" si="582"/>
        <v>10</v>
      </c>
      <c r="O2398" s="14">
        <f t="shared" si="582"/>
        <v>26</v>
      </c>
      <c r="P2398" s="4">
        <v>108000</v>
      </c>
      <c r="T2398" s="32" t="s">
        <v>991</v>
      </c>
      <c r="U2398" s="3" t="s">
        <v>1</v>
      </c>
      <c r="V2398" s="3" t="s">
        <v>5</v>
      </c>
    </row>
    <row r="2399" spans="1:23">
      <c r="A2399" s="3">
        <v>2370</v>
      </c>
      <c r="B2399" s="1">
        <f t="shared" si="583"/>
        <v>0</v>
      </c>
      <c r="C2399" s="1">
        <f t="shared" si="584"/>
        <v>0</v>
      </c>
      <c r="D2399" s="1">
        <f t="shared" si="585"/>
        <v>0</v>
      </c>
      <c r="E2399" s="1">
        <f t="shared" si="588"/>
        <v>0</v>
      </c>
      <c r="F2399" s="1">
        <f t="shared" si="588"/>
        <v>0</v>
      </c>
      <c r="G2399" s="1" t="str">
        <f t="shared" si="587"/>
        <v>24102612</v>
      </c>
      <c r="H2399" s="2">
        <v>45591</v>
      </c>
      <c r="I2399" s="36">
        <v>12</v>
      </c>
      <c r="J2399" s="1">
        <f t="shared" si="578"/>
        <v>12</v>
      </c>
      <c r="K2399" s="3">
        <f t="shared" si="579"/>
        <v>24</v>
      </c>
      <c r="L2399" s="3">
        <f t="shared" si="580"/>
        <v>10</v>
      </c>
      <c r="M2399" s="3">
        <f t="shared" si="581"/>
        <v>26</v>
      </c>
      <c r="N2399" s="3">
        <f t="shared" si="582"/>
        <v>10</v>
      </c>
      <c r="O2399" s="14">
        <f t="shared" si="582"/>
        <v>26</v>
      </c>
      <c r="P2399" s="4">
        <v>108000</v>
      </c>
      <c r="T2399" s="32" t="s">
        <v>992</v>
      </c>
      <c r="U2399" s="3" t="s">
        <v>1</v>
      </c>
      <c r="V2399" s="3" t="s">
        <v>5</v>
      </c>
    </row>
    <row r="2400" spans="1:23">
      <c r="A2400" s="3">
        <v>2371</v>
      </c>
      <c r="B2400" s="1">
        <f t="shared" si="583"/>
        <v>0</v>
      </c>
      <c r="C2400" s="1">
        <f t="shared" si="584"/>
        <v>0</v>
      </c>
      <c r="D2400" s="1">
        <f t="shared" si="585"/>
        <v>0</v>
      </c>
      <c r="E2400" s="1">
        <f t="shared" si="588"/>
        <v>0</v>
      </c>
      <c r="F2400" s="1">
        <f t="shared" si="588"/>
        <v>0</v>
      </c>
      <c r="G2400" s="1" t="str">
        <f t="shared" si="587"/>
        <v>24102613</v>
      </c>
      <c r="H2400" s="2">
        <v>45591</v>
      </c>
      <c r="I2400" s="36">
        <v>13</v>
      </c>
      <c r="J2400" s="1">
        <f t="shared" si="578"/>
        <v>13</v>
      </c>
      <c r="K2400" s="3">
        <f t="shared" si="579"/>
        <v>24</v>
      </c>
      <c r="L2400" s="3">
        <f t="shared" si="580"/>
        <v>10</v>
      </c>
      <c r="M2400" s="3">
        <f t="shared" si="581"/>
        <v>26</v>
      </c>
      <c r="N2400" s="3">
        <f t="shared" si="582"/>
        <v>10</v>
      </c>
      <c r="O2400" s="14">
        <f t="shared" si="582"/>
        <v>26</v>
      </c>
      <c r="P2400" s="4">
        <v>108000</v>
      </c>
      <c r="T2400" s="32" t="s">
        <v>993</v>
      </c>
      <c r="U2400" s="3" t="s">
        <v>1</v>
      </c>
      <c r="V2400" s="3" t="s">
        <v>5</v>
      </c>
    </row>
    <row r="2401" spans="1:22">
      <c r="A2401" s="3">
        <v>2372</v>
      </c>
      <c r="B2401" s="1">
        <f t="shared" si="583"/>
        <v>0</v>
      </c>
      <c r="C2401" s="1">
        <f t="shared" si="584"/>
        <v>0</v>
      </c>
      <c r="D2401" s="1">
        <f t="shared" si="585"/>
        <v>0</v>
      </c>
      <c r="E2401" s="1">
        <f t="shared" si="588"/>
        <v>0</v>
      </c>
      <c r="F2401" s="1">
        <f t="shared" si="588"/>
        <v>0</v>
      </c>
      <c r="G2401" s="1" t="str">
        <f t="shared" si="587"/>
        <v>24102614</v>
      </c>
      <c r="H2401" s="2">
        <v>45591</v>
      </c>
      <c r="I2401" s="36">
        <v>14</v>
      </c>
      <c r="J2401" s="1">
        <f t="shared" si="578"/>
        <v>14</v>
      </c>
      <c r="K2401" s="3">
        <f t="shared" si="579"/>
        <v>24</v>
      </c>
      <c r="L2401" s="3">
        <f t="shared" si="580"/>
        <v>10</v>
      </c>
      <c r="M2401" s="3">
        <f t="shared" si="581"/>
        <v>26</v>
      </c>
      <c r="N2401" s="3">
        <f t="shared" si="582"/>
        <v>10</v>
      </c>
      <c r="O2401" s="14">
        <f t="shared" si="582"/>
        <v>26</v>
      </c>
      <c r="P2401" s="4">
        <v>252000</v>
      </c>
      <c r="T2401" s="32" t="s">
        <v>994</v>
      </c>
      <c r="U2401" s="3" t="s">
        <v>1</v>
      </c>
      <c r="V2401" s="3" t="s">
        <v>5</v>
      </c>
    </row>
    <row r="2402" spans="1:22">
      <c r="A2402" s="3">
        <v>2373</v>
      </c>
      <c r="B2402" s="1">
        <f t="shared" si="583"/>
        <v>0</v>
      </c>
      <c r="C2402" s="1">
        <f t="shared" si="584"/>
        <v>0</v>
      </c>
      <c r="D2402" s="1">
        <f t="shared" si="585"/>
        <v>0</v>
      </c>
      <c r="E2402" s="1">
        <f t="shared" si="588"/>
        <v>0</v>
      </c>
      <c r="F2402" s="1">
        <f t="shared" si="588"/>
        <v>0</v>
      </c>
      <c r="G2402" s="1" t="str">
        <f t="shared" si="587"/>
        <v>24102615</v>
      </c>
      <c r="H2402" s="2">
        <v>45591</v>
      </c>
      <c r="I2402" s="36">
        <v>15</v>
      </c>
      <c r="J2402" s="1">
        <f t="shared" si="578"/>
        <v>15</v>
      </c>
      <c r="K2402" s="3">
        <f t="shared" si="579"/>
        <v>24</v>
      </c>
      <c r="L2402" s="3">
        <f t="shared" si="580"/>
        <v>10</v>
      </c>
      <c r="M2402" s="3">
        <f t="shared" si="581"/>
        <v>26</v>
      </c>
      <c r="N2402" s="3">
        <f t="shared" si="582"/>
        <v>10</v>
      </c>
      <c r="O2402" s="14">
        <f t="shared" si="582"/>
        <v>26</v>
      </c>
      <c r="P2402" s="4">
        <v>90000</v>
      </c>
      <c r="T2402" s="32" t="s">
        <v>995</v>
      </c>
      <c r="U2402" s="3" t="s">
        <v>1</v>
      </c>
      <c r="V2402" s="3" t="s">
        <v>5</v>
      </c>
    </row>
    <row r="2403" spans="1:22">
      <c r="A2403" s="3">
        <v>2374</v>
      </c>
      <c r="B2403" s="1">
        <f t="shared" si="583"/>
        <v>0</v>
      </c>
      <c r="C2403" s="1">
        <f t="shared" si="584"/>
        <v>0</v>
      </c>
      <c r="D2403" s="1">
        <f t="shared" si="585"/>
        <v>0</v>
      </c>
      <c r="E2403" s="1">
        <f t="shared" si="588"/>
        <v>0</v>
      </c>
      <c r="F2403" s="1">
        <f t="shared" si="588"/>
        <v>0</v>
      </c>
      <c r="G2403" s="1" t="str">
        <f t="shared" si="587"/>
        <v>24102616</v>
      </c>
      <c r="H2403" s="2">
        <v>45591</v>
      </c>
      <c r="I2403" s="36">
        <v>16</v>
      </c>
      <c r="J2403" s="1">
        <f t="shared" si="578"/>
        <v>16</v>
      </c>
      <c r="K2403" s="3">
        <f t="shared" si="579"/>
        <v>24</v>
      </c>
      <c r="L2403" s="3">
        <f t="shared" si="580"/>
        <v>10</v>
      </c>
      <c r="M2403" s="3">
        <f t="shared" si="581"/>
        <v>26</v>
      </c>
      <c r="N2403" s="3">
        <f t="shared" si="582"/>
        <v>10</v>
      </c>
      <c r="O2403" s="14">
        <f t="shared" si="582"/>
        <v>26</v>
      </c>
      <c r="P2403" s="4">
        <v>200000</v>
      </c>
      <c r="T2403" s="32" t="s">
        <v>971</v>
      </c>
      <c r="U2403" s="3" t="s">
        <v>1</v>
      </c>
      <c r="V2403" s="3" t="s">
        <v>5</v>
      </c>
    </row>
    <row r="2404" spans="1:22">
      <c r="A2404" s="3">
        <v>2375</v>
      </c>
      <c r="B2404" s="1">
        <f t="shared" si="583"/>
        <v>0</v>
      </c>
      <c r="C2404" s="1">
        <f t="shared" si="584"/>
        <v>0</v>
      </c>
      <c r="D2404" s="1">
        <f t="shared" si="585"/>
        <v>0</v>
      </c>
      <c r="E2404" s="1">
        <f t="shared" si="588"/>
        <v>0</v>
      </c>
      <c r="F2404" s="1">
        <f t="shared" si="588"/>
        <v>0</v>
      </c>
      <c r="G2404" s="1" t="str">
        <f t="shared" si="587"/>
        <v>24102617</v>
      </c>
      <c r="H2404" s="2">
        <v>45591</v>
      </c>
      <c r="I2404" s="36">
        <v>17</v>
      </c>
      <c r="J2404" s="1">
        <f t="shared" si="578"/>
        <v>17</v>
      </c>
      <c r="K2404" s="3">
        <f t="shared" si="579"/>
        <v>24</v>
      </c>
      <c r="L2404" s="3">
        <f t="shared" si="580"/>
        <v>10</v>
      </c>
      <c r="M2404" s="3">
        <f t="shared" si="581"/>
        <v>26</v>
      </c>
      <c r="N2404" s="3">
        <f t="shared" si="582"/>
        <v>10</v>
      </c>
      <c r="O2404" s="14">
        <f t="shared" si="582"/>
        <v>26</v>
      </c>
      <c r="P2404" s="4">
        <v>150000</v>
      </c>
      <c r="T2404" s="32" t="s">
        <v>896</v>
      </c>
      <c r="U2404" s="3" t="s">
        <v>1</v>
      </c>
      <c r="V2404" s="3" t="s">
        <v>5</v>
      </c>
    </row>
    <row r="2405" spans="1:22" hidden="1">
      <c r="J2405" s="1" t="str">
        <f t="shared" si="578"/>
        <v>0</v>
      </c>
      <c r="K2405" s="3">
        <f t="shared" si="579"/>
        <v>-100</v>
      </c>
      <c r="L2405" s="3">
        <f t="shared" si="580"/>
        <v>1</v>
      </c>
      <c r="M2405" s="3">
        <f t="shared" si="581"/>
        <v>0</v>
      </c>
      <c r="N2405" s="3" t="str">
        <f t="shared" si="582"/>
        <v>01</v>
      </c>
      <c r="O2405" s="14" t="str">
        <f t="shared" si="582"/>
        <v>00</v>
      </c>
      <c r="T2405" s="32"/>
    </row>
    <row r="2406" spans="1:22" hidden="1">
      <c r="J2406" s="1" t="str">
        <f t="shared" si="578"/>
        <v>0</v>
      </c>
      <c r="K2406" s="3">
        <f t="shared" si="579"/>
        <v>-100</v>
      </c>
      <c r="L2406" s="3">
        <f t="shared" si="580"/>
        <v>1</v>
      </c>
      <c r="M2406" s="3">
        <f t="shared" si="581"/>
        <v>0</v>
      </c>
      <c r="N2406" s="3" t="str">
        <f t="shared" si="582"/>
        <v>01</v>
      </c>
      <c r="O2406" s="14" t="str">
        <f t="shared" si="582"/>
        <v>00</v>
      </c>
      <c r="T2406" s="28"/>
    </row>
    <row r="2407" spans="1:22">
      <c r="A2407" s="3">
        <v>2378</v>
      </c>
      <c r="B2407" s="1">
        <f t="shared" si="583"/>
        <v>0</v>
      </c>
      <c r="C2407" s="1">
        <f t="shared" si="584"/>
        <v>1</v>
      </c>
      <c r="D2407" s="1">
        <f t="shared" si="585"/>
        <v>0</v>
      </c>
      <c r="E2407" s="1">
        <f t="shared" si="588"/>
        <v>0</v>
      </c>
      <c r="F2407" s="1">
        <f t="shared" si="588"/>
        <v>0</v>
      </c>
      <c r="G2407" s="1" t="str">
        <f t="shared" si="587"/>
        <v>24102620</v>
      </c>
      <c r="H2407" s="2">
        <v>45591</v>
      </c>
      <c r="I2407" s="36">
        <v>20</v>
      </c>
      <c r="J2407" s="1">
        <f t="shared" si="578"/>
        <v>20</v>
      </c>
      <c r="K2407" s="3">
        <f t="shared" si="579"/>
        <v>24</v>
      </c>
      <c r="L2407" s="3">
        <f t="shared" si="580"/>
        <v>10</v>
      </c>
      <c r="M2407" s="3">
        <f t="shared" si="581"/>
        <v>26</v>
      </c>
      <c r="N2407" s="3">
        <f t="shared" si="582"/>
        <v>10</v>
      </c>
      <c r="O2407" s="14">
        <f t="shared" si="582"/>
        <v>26</v>
      </c>
      <c r="P2407" s="4">
        <v>30000</v>
      </c>
      <c r="T2407" s="33" t="s">
        <v>968</v>
      </c>
      <c r="U2407" s="3" t="s">
        <v>1</v>
      </c>
      <c r="V2407" s="3" t="s">
        <v>5</v>
      </c>
    </row>
    <row r="2408" spans="1:22">
      <c r="A2408" s="3">
        <v>2379</v>
      </c>
      <c r="B2408" s="1">
        <f t="shared" si="583"/>
        <v>0</v>
      </c>
      <c r="C2408" s="1">
        <f t="shared" si="584"/>
        <v>0</v>
      </c>
      <c r="D2408" s="1">
        <f t="shared" si="585"/>
        <v>0</v>
      </c>
      <c r="E2408" s="1">
        <f t="shared" si="588"/>
        <v>0</v>
      </c>
      <c r="F2408" s="1">
        <f t="shared" si="588"/>
        <v>0</v>
      </c>
      <c r="G2408" s="1" t="str">
        <f t="shared" si="587"/>
        <v>24102621</v>
      </c>
      <c r="H2408" s="2">
        <v>45591</v>
      </c>
      <c r="I2408" s="36">
        <v>21</v>
      </c>
      <c r="J2408" s="1">
        <f t="shared" si="578"/>
        <v>21</v>
      </c>
      <c r="K2408" s="3">
        <f t="shared" si="579"/>
        <v>24</v>
      </c>
      <c r="L2408" s="3">
        <f t="shared" si="580"/>
        <v>10</v>
      </c>
      <c r="M2408" s="3">
        <f t="shared" si="581"/>
        <v>26</v>
      </c>
      <c r="N2408" s="3">
        <f t="shared" si="582"/>
        <v>10</v>
      </c>
      <c r="O2408" s="14">
        <f t="shared" si="582"/>
        <v>26</v>
      </c>
      <c r="P2408" s="4">
        <v>25000</v>
      </c>
      <c r="T2408" s="33" t="s">
        <v>969</v>
      </c>
      <c r="U2408" s="3" t="s">
        <v>1</v>
      </c>
      <c r="V2408" s="3" t="s">
        <v>5</v>
      </c>
    </row>
    <row r="2409" spans="1:22" hidden="1">
      <c r="J2409" s="1" t="str">
        <f t="shared" si="578"/>
        <v>0</v>
      </c>
      <c r="K2409" s="3">
        <f t="shared" si="579"/>
        <v>-100</v>
      </c>
      <c r="L2409" s="3">
        <f t="shared" si="580"/>
        <v>1</v>
      </c>
      <c r="M2409" s="3">
        <f t="shared" si="581"/>
        <v>0</v>
      </c>
      <c r="N2409" s="3" t="str">
        <f t="shared" si="582"/>
        <v>01</v>
      </c>
      <c r="O2409" s="14" t="str">
        <f t="shared" si="582"/>
        <v>00</v>
      </c>
      <c r="T2409" s="33"/>
    </row>
    <row r="2410" spans="1:22" hidden="1">
      <c r="J2410" s="1" t="str">
        <f t="shared" si="578"/>
        <v>0</v>
      </c>
      <c r="K2410" s="3">
        <f t="shared" si="579"/>
        <v>-100</v>
      </c>
      <c r="L2410" s="3">
        <f t="shared" si="580"/>
        <v>1</v>
      </c>
      <c r="M2410" s="3">
        <f t="shared" si="581"/>
        <v>0</v>
      </c>
      <c r="N2410" s="3" t="str">
        <f t="shared" si="582"/>
        <v>01</v>
      </c>
      <c r="O2410" s="14" t="str">
        <f t="shared" si="582"/>
        <v>00</v>
      </c>
    </row>
    <row r="2411" spans="1:22" hidden="1">
      <c r="J2411" s="1" t="str">
        <f t="shared" si="578"/>
        <v>0</v>
      </c>
      <c r="K2411" s="3">
        <f t="shared" si="579"/>
        <v>-100</v>
      </c>
      <c r="L2411" s="3">
        <f t="shared" si="580"/>
        <v>1</v>
      </c>
      <c r="M2411" s="3">
        <f t="shared" si="581"/>
        <v>0</v>
      </c>
      <c r="N2411" s="3" t="str">
        <f t="shared" si="582"/>
        <v>01</v>
      </c>
      <c r="O2411" s="14" t="str">
        <f t="shared" si="582"/>
        <v>00</v>
      </c>
    </row>
    <row r="2412" spans="1:22" hidden="1">
      <c r="J2412" s="1" t="str">
        <f t="shared" si="578"/>
        <v>0</v>
      </c>
      <c r="K2412" s="3">
        <f t="shared" si="579"/>
        <v>-100</v>
      </c>
      <c r="L2412" s="3">
        <f t="shared" si="580"/>
        <v>1</v>
      </c>
      <c r="M2412" s="3">
        <f t="shared" si="581"/>
        <v>0</v>
      </c>
      <c r="N2412" s="3" t="str">
        <f t="shared" si="582"/>
        <v>01</v>
      </c>
      <c r="O2412" s="14" t="str">
        <f t="shared" si="582"/>
        <v>00</v>
      </c>
    </row>
    <row r="2413" spans="1:22" hidden="1">
      <c r="J2413" s="1" t="str">
        <f t="shared" si="578"/>
        <v>0</v>
      </c>
      <c r="K2413" s="3">
        <f t="shared" si="579"/>
        <v>-100</v>
      </c>
      <c r="L2413" s="3">
        <f t="shared" si="580"/>
        <v>1</v>
      </c>
      <c r="M2413" s="3">
        <f t="shared" si="581"/>
        <v>0</v>
      </c>
      <c r="N2413" s="3" t="str">
        <f t="shared" si="582"/>
        <v>01</v>
      </c>
      <c r="O2413" s="14" t="str">
        <f t="shared" si="582"/>
        <v>00</v>
      </c>
    </row>
    <row r="2414" spans="1:22">
      <c r="A2414" s="3">
        <v>2384</v>
      </c>
      <c r="B2414" s="1">
        <f t="shared" ref="B2414" si="589">IF(G2414="-",0,IF(G2413=G2414,1,0))</f>
        <v>0</v>
      </c>
      <c r="C2414" s="1">
        <f t="shared" ref="C2414" si="590">+IF(G2414="-",0,IF(I2414=I2413+1,0,(IF(I2414=1,0,1))))</f>
        <v>0</v>
      </c>
      <c r="D2414" s="1">
        <f t="shared" si="585"/>
        <v>0</v>
      </c>
      <c r="E2414" s="1">
        <f t="shared" ref="E2414:F2414" si="591">IF(U2414="",1,0)</f>
        <v>0</v>
      </c>
      <c r="F2414" s="1">
        <f t="shared" si="591"/>
        <v>0</v>
      </c>
      <c r="G2414" s="1" t="str">
        <f t="shared" si="587"/>
        <v>24102701</v>
      </c>
      <c r="H2414" s="2">
        <v>45592</v>
      </c>
      <c r="I2414" s="36">
        <v>1</v>
      </c>
      <c r="J2414" s="1" t="str">
        <f t="shared" si="578"/>
        <v>01</v>
      </c>
      <c r="K2414" s="3">
        <f t="shared" si="579"/>
        <v>24</v>
      </c>
      <c r="L2414" s="3">
        <f t="shared" si="580"/>
        <v>10</v>
      </c>
      <c r="M2414" s="3">
        <f t="shared" si="581"/>
        <v>27</v>
      </c>
      <c r="N2414" s="3">
        <f t="shared" si="582"/>
        <v>10</v>
      </c>
      <c r="O2414" s="14">
        <f t="shared" si="582"/>
        <v>27</v>
      </c>
      <c r="P2414" s="4">
        <v>10000</v>
      </c>
      <c r="T2414" s="5" t="s">
        <v>448</v>
      </c>
      <c r="U2414" s="3" t="s">
        <v>29</v>
      </c>
      <c r="V2414" s="3" t="s">
        <v>5</v>
      </c>
    </row>
    <row r="2415" spans="1:22" hidden="1">
      <c r="J2415" s="1" t="str">
        <f t="shared" si="578"/>
        <v>0</v>
      </c>
      <c r="K2415" s="3">
        <f t="shared" si="579"/>
        <v>-100</v>
      </c>
      <c r="L2415" s="3">
        <f t="shared" si="580"/>
        <v>1</v>
      </c>
      <c r="M2415" s="3">
        <f t="shared" si="581"/>
        <v>0</v>
      </c>
      <c r="N2415" s="3" t="str">
        <f t="shared" si="582"/>
        <v>01</v>
      </c>
      <c r="O2415" s="14" t="str">
        <f t="shared" si="582"/>
        <v>00</v>
      </c>
    </row>
    <row r="2416" spans="1:22" hidden="1">
      <c r="J2416" s="1" t="str">
        <f t="shared" si="578"/>
        <v>0</v>
      </c>
      <c r="K2416" s="3">
        <f t="shared" si="579"/>
        <v>-100</v>
      </c>
      <c r="L2416" s="3">
        <f t="shared" si="580"/>
        <v>1</v>
      </c>
      <c r="M2416" s="3">
        <f t="shared" si="581"/>
        <v>0</v>
      </c>
      <c r="N2416" s="3" t="str">
        <f t="shared" si="582"/>
        <v>01</v>
      </c>
      <c r="O2416" s="14" t="str">
        <f t="shared" si="582"/>
        <v>00</v>
      </c>
    </row>
    <row r="2417" spans="10:15" hidden="1">
      <c r="J2417" s="1" t="str">
        <f t="shared" si="578"/>
        <v>0</v>
      </c>
      <c r="K2417" s="3">
        <f t="shared" si="579"/>
        <v>-100</v>
      </c>
      <c r="L2417" s="3">
        <f t="shared" si="580"/>
        <v>1</v>
      </c>
      <c r="M2417" s="3">
        <f t="shared" si="581"/>
        <v>0</v>
      </c>
      <c r="N2417" s="3" t="str">
        <f t="shared" si="582"/>
        <v>01</v>
      </c>
      <c r="O2417" s="14" t="str">
        <f t="shared" si="582"/>
        <v>00</v>
      </c>
    </row>
    <row r="2418" spans="10:15" hidden="1">
      <c r="J2418" s="1" t="str">
        <f t="shared" si="578"/>
        <v>0</v>
      </c>
      <c r="K2418" s="3">
        <f t="shared" si="579"/>
        <v>-100</v>
      </c>
      <c r="L2418" s="3">
        <f t="shared" si="580"/>
        <v>1</v>
      </c>
      <c r="M2418" s="3">
        <f t="shared" si="581"/>
        <v>0</v>
      </c>
      <c r="N2418" s="3" t="str">
        <f t="shared" si="582"/>
        <v>01</v>
      </c>
      <c r="O2418" s="14" t="str">
        <f t="shared" si="582"/>
        <v>00</v>
      </c>
    </row>
    <row r="2419" spans="10:15" hidden="1">
      <c r="J2419" s="1" t="str">
        <f t="shared" si="578"/>
        <v>0</v>
      </c>
      <c r="K2419" s="3">
        <f t="shared" si="579"/>
        <v>-100</v>
      </c>
      <c r="L2419" s="3">
        <f t="shared" si="580"/>
        <v>1</v>
      </c>
      <c r="M2419" s="3">
        <f t="shared" si="581"/>
        <v>0</v>
      </c>
      <c r="N2419" s="3" t="str">
        <f t="shared" si="582"/>
        <v>01</v>
      </c>
      <c r="O2419" s="14" t="str">
        <f t="shared" si="582"/>
        <v>00</v>
      </c>
    </row>
    <row r="2420" spans="10:15" hidden="1">
      <c r="J2420" s="1" t="str">
        <f t="shared" si="578"/>
        <v>0</v>
      </c>
      <c r="K2420" s="3">
        <f t="shared" si="579"/>
        <v>-100</v>
      </c>
      <c r="L2420" s="3">
        <f t="shared" si="580"/>
        <v>1</v>
      </c>
      <c r="M2420" s="3">
        <f t="shared" si="581"/>
        <v>0</v>
      </c>
      <c r="N2420" s="3" t="str">
        <f t="shared" si="582"/>
        <v>01</v>
      </c>
      <c r="O2420" s="14" t="str">
        <f t="shared" si="582"/>
        <v>00</v>
      </c>
    </row>
    <row r="2421" spans="10:15" hidden="1">
      <c r="J2421" s="1" t="str">
        <f t="shared" si="578"/>
        <v>0</v>
      </c>
      <c r="K2421" s="3">
        <f t="shared" si="579"/>
        <v>-100</v>
      </c>
      <c r="L2421" s="3">
        <f t="shared" si="580"/>
        <v>1</v>
      </c>
      <c r="M2421" s="3">
        <f t="shared" si="581"/>
        <v>0</v>
      </c>
      <c r="N2421" s="3" t="str">
        <f t="shared" si="582"/>
        <v>01</v>
      </c>
      <c r="O2421" s="14" t="str">
        <f t="shared" si="582"/>
        <v>00</v>
      </c>
    </row>
    <row r="2422" spans="10:15" hidden="1">
      <c r="J2422" s="1" t="str">
        <f t="shared" si="578"/>
        <v>0</v>
      </c>
      <c r="K2422" s="3">
        <f t="shared" si="579"/>
        <v>-100</v>
      </c>
      <c r="L2422" s="3">
        <f t="shared" si="580"/>
        <v>1</v>
      </c>
      <c r="M2422" s="3">
        <f t="shared" si="581"/>
        <v>0</v>
      </c>
      <c r="N2422" s="3" t="str">
        <f t="shared" si="582"/>
        <v>01</v>
      </c>
      <c r="O2422" s="14" t="str">
        <f t="shared" si="582"/>
        <v>00</v>
      </c>
    </row>
    <row r="2423" spans="10:15" hidden="1">
      <c r="J2423" s="1" t="str">
        <f t="shared" ref="J2423:J2486" si="592">+IF(I2423&lt;10,_xlfn.CONCAT("0",I2423),I2423)</f>
        <v>0</v>
      </c>
      <c r="K2423" s="3">
        <f t="shared" ref="K2423:K2486" si="593">+YEAR(H2423)-2000</f>
        <v>-100</v>
      </c>
      <c r="L2423" s="3">
        <f t="shared" ref="L2423:L2486" si="594">+MONTH(H2423)</f>
        <v>1</v>
      </c>
      <c r="M2423" s="3">
        <f t="shared" ref="M2423:M2486" si="595">+DAY(H2423)</f>
        <v>0</v>
      </c>
      <c r="N2423" s="3" t="str">
        <f t="shared" ref="N2423:O2486" si="596">+IF(L2423&lt;10,_xlfn.CONCAT("0",L2423),L2423)</f>
        <v>01</v>
      </c>
      <c r="O2423" s="14" t="str">
        <f t="shared" si="596"/>
        <v>00</v>
      </c>
    </row>
    <row r="2424" spans="10:15" hidden="1">
      <c r="J2424" s="1" t="str">
        <f t="shared" si="592"/>
        <v>0</v>
      </c>
      <c r="K2424" s="3">
        <f t="shared" si="593"/>
        <v>-100</v>
      </c>
      <c r="L2424" s="3">
        <f t="shared" si="594"/>
        <v>1</v>
      </c>
      <c r="M2424" s="3">
        <f t="shared" si="595"/>
        <v>0</v>
      </c>
      <c r="N2424" s="3" t="str">
        <f t="shared" si="596"/>
        <v>01</v>
      </c>
      <c r="O2424" s="14" t="str">
        <f t="shared" si="596"/>
        <v>00</v>
      </c>
    </row>
    <row r="2425" spans="10:15" hidden="1">
      <c r="J2425" s="1" t="str">
        <f t="shared" si="592"/>
        <v>0</v>
      </c>
      <c r="K2425" s="3">
        <f t="shared" si="593"/>
        <v>-100</v>
      </c>
      <c r="L2425" s="3">
        <f t="shared" si="594"/>
        <v>1</v>
      </c>
      <c r="M2425" s="3">
        <f t="shared" si="595"/>
        <v>0</v>
      </c>
      <c r="N2425" s="3" t="str">
        <f t="shared" si="596"/>
        <v>01</v>
      </c>
      <c r="O2425" s="14" t="str">
        <f t="shared" si="596"/>
        <v>00</v>
      </c>
    </row>
    <row r="2426" spans="10:15" hidden="1">
      <c r="J2426" s="1" t="str">
        <f t="shared" si="592"/>
        <v>0</v>
      </c>
      <c r="K2426" s="3">
        <f t="shared" si="593"/>
        <v>-100</v>
      </c>
      <c r="L2426" s="3">
        <f t="shared" si="594"/>
        <v>1</v>
      </c>
      <c r="M2426" s="3">
        <f t="shared" si="595"/>
        <v>0</v>
      </c>
      <c r="N2426" s="3" t="str">
        <f t="shared" si="596"/>
        <v>01</v>
      </c>
      <c r="O2426" s="14" t="str">
        <f t="shared" si="596"/>
        <v>00</v>
      </c>
    </row>
    <row r="2427" spans="10:15" hidden="1">
      <c r="J2427" s="1" t="str">
        <f t="shared" si="592"/>
        <v>0</v>
      </c>
      <c r="K2427" s="3">
        <f t="shared" si="593"/>
        <v>-100</v>
      </c>
      <c r="L2427" s="3">
        <f t="shared" si="594"/>
        <v>1</v>
      </c>
      <c r="M2427" s="3">
        <f t="shared" si="595"/>
        <v>0</v>
      </c>
      <c r="N2427" s="3" t="str">
        <f t="shared" si="596"/>
        <v>01</v>
      </c>
      <c r="O2427" s="14" t="str">
        <f t="shared" si="596"/>
        <v>00</v>
      </c>
    </row>
    <row r="2428" spans="10:15" hidden="1">
      <c r="J2428" s="1" t="str">
        <f t="shared" si="592"/>
        <v>0</v>
      </c>
      <c r="K2428" s="3">
        <f t="shared" si="593"/>
        <v>-100</v>
      </c>
      <c r="L2428" s="3">
        <f t="shared" si="594"/>
        <v>1</v>
      </c>
      <c r="M2428" s="3">
        <f t="shared" si="595"/>
        <v>0</v>
      </c>
      <c r="N2428" s="3" t="str">
        <f t="shared" si="596"/>
        <v>01</v>
      </c>
      <c r="O2428" s="14" t="str">
        <f t="shared" si="596"/>
        <v>00</v>
      </c>
    </row>
    <row r="2429" spans="10:15" hidden="1">
      <c r="J2429" s="1" t="str">
        <f t="shared" si="592"/>
        <v>0</v>
      </c>
      <c r="K2429" s="3">
        <f t="shared" si="593"/>
        <v>-100</v>
      </c>
      <c r="L2429" s="3">
        <f t="shared" si="594"/>
        <v>1</v>
      </c>
      <c r="M2429" s="3">
        <f t="shared" si="595"/>
        <v>0</v>
      </c>
      <c r="N2429" s="3" t="str">
        <f t="shared" si="596"/>
        <v>01</v>
      </c>
      <c r="O2429" s="14" t="str">
        <f t="shared" si="596"/>
        <v>00</v>
      </c>
    </row>
    <row r="2430" spans="10:15" hidden="1">
      <c r="J2430" s="1" t="str">
        <f t="shared" si="592"/>
        <v>0</v>
      </c>
      <c r="K2430" s="3">
        <f t="shared" si="593"/>
        <v>-100</v>
      </c>
      <c r="L2430" s="3">
        <f t="shared" si="594"/>
        <v>1</v>
      </c>
      <c r="M2430" s="3">
        <f t="shared" si="595"/>
        <v>0</v>
      </c>
      <c r="N2430" s="3" t="str">
        <f t="shared" si="596"/>
        <v>01</v>
      </c>
      <c r="O2430" s="14" t="str">
        <f t="shared" si="596"/>
        <v>00</v>
      </c>
    </row>
    <row r="2431" spans="10:15" hidden="1">
      <c r="J2431" s="1" t="str">
        <f t="shared" si="592"/>
        <v>0</v>
      </c>
      <c r="K2431" s="3">
        <f t="shared" si="593"/>
        <v>-100</v>
      </c>
      <c r="L2431" s="3">
        <f t="shared" si="594"/>
        <v>1</v>
      </c>
      <c r="M2431" s="3">
        <f t="shared" si="595"/>
        <v>0</v>
      </c>
      <c r="N2431" s="3" t="str">
        <f t="shared" si="596"/>
        <v>01</v>
      </c>
      <c r="O2431" s="14" t="str">
        <f t="shared" si="596"/>
        <v>00</v>
      </c>
    </row>
    <row r="2432" spans="10:15" hidden="1">
      <c r="J2432" s="1" t="str">
        <f t="shared" si="592"/>
        <v>0</v>
      </c>
      <c r="K2432" s="3">
        <f t="shared" si="593"/>
        <v>-100</v>
      </c>
      <c r="L2432" s="3">
        <f t="shared" si="594"/>
        <v>1</v>
      </c>
      <c r="M2432" s="3">
        <f t="shared" si="595"/>
        <v>0</v>
      </c>
      <c r="N2432" s="3" t="str">
        <f t="shared" si="596"/>
        <v>01</v>
      </c>
      <c r="O2432" s="14" t="str">
        <f t="shared" si="596"/>
        <v>00</v>
      </c>
    </row>
    <row r="2433" spans="10:15" hidden="1">
      <c r="J2433" s="1" t="str">
        <f t="shared" si="592"/>
        <v>0</v>
      </c>
      <c r="K2433" s="3">
        <f t="shared" si="593"/>
        <v>-100</v>
      </c>
      <c r="L2433" s="3">
        <f t="shared" si="594"/>
        <v>1</v>
      </c>
      <c r="M2433" s="3">
        <f t="shared" si="595"/>
        <v>0</v>
      </c>
      <c r="N2433" s="3" t="str">
        <f t="shared" si="596"/>
        <v>01</v>
      </c>
      <c r="O2433" s="14" t="str">
        <f t="shared" si="596"/>
        <v>00</v>
      </c>
    </row>
    <row r="2434" spans="10:15" hidden="1">
      <c r="J2434" s="1" t="str">
        <f t="shared" si="592"/>
        <v>0</v>
      </c>
      <c r="K2434" s="3">
        <f t="shared" si="593"/>
        <v>-100</v>
      </c>
      <c r="L2434" s="3">
        <f t="shared" si="594"/>
        <v>1</v>
      </c>
      <c r="M2434" s="3">
        <f t="shared" si="595"/>
        <v>0</v>
      </c>
      <c r="N2434" s="3" t="str">
        <f t="shared" si="596"/>
        <v>01</v>
      </c>
      <c r="O2434" s="14" t="str">
        <f t="shared" si="596"/>
        <v>00</v>
      </c>
    </row>
    <row r="2435" spans="10:15" hidden="1">
      <c r="J2435" s="1" t="str">
        <f t="shared" si="592"/>
        <v>0</v>
      </c>
      <c r="K2435" s="3">
        <f t="shared" si="593"/>
        <v>-100</v>
      </c>
      <c r="L2435" s="3">
        <f t="shared" si="594"/>
        <v>1</v>
      </c>
      <c r="M2435" s="3">
        <f t="shared" si="595"/>
        <v>0</v>
      </c>
      <c r="N2435" s="3" t="str">
        <f t="shared" si="596"/>
        <v>01</v>
      </c>
      <c r="O2435" s="14" t="str">
        <f t="shared" si="596"/>
        <v>00</v>
      </c>
    </row>
    <row r="2436" spans="10:15" hidden="1">
      <c r="J2436" s="1" t="str">
        <f t="shared" si="592"/>
        <v>0</v>
      </c>
      <c r="K2436" s="3">
        <f t="shared" si="593"/>
        <v>-100</v>
      </c>
      <c r="L2436" s="3">
        <f t="shared" si="594"/>
        <v>1</v>
      </c>
      <c r="M2436" s="3">
        <f t="shared" si="595"/>
        <v>0</v>
      </c>
      <c r="N2436" s="3" t="str">
        <f t="shared" si="596"/>
        <v>01</v>
      </c>
      <c r="O2436" s="14" t="str">
        <f t="shared" si="596"/>
        <v>00</v>
      </c>
    </row>
    <row r="2437" spans="10:15" hidden="1">
      <c r="J2437" s="1" t="str">
        <f t="shared" si="592"/>
        <v>0</v>
      </c>
      <c r="K2437" s="3">
        <f t="shared" si="593"/>
        <v>-100</v>
      </c>
      <c r="L2437" s="3">
        <f t="shared" si="594"/>
        <v>1</v>
      </c>
      <c r="M2437" s="3">
        <f t="shared" si="595"/>
        <v>0</v>
      </c>
      <c r="N2437" s="3" t="str">
        <f t="shared" si="596"/>
        <v>01</v>
      </c>
      <c r="O2437" s="14" t="str">
        <f t="shared" si="596"/>
        <v>00</v>
      </c>
    </row>
    <row r="2438" spans="10:15" hidden="1">
      <c r="J2438" s="1" t="str">
        <f t="shared" si="592"/>
        <v>0</v>
      </c>
      <c r="K2438" s="3">
        <f t="shared" si="593"/>
        <v>-100</v>
      </c>
      <c r="L2438" s="3">
        <f t="shared" si="594"/>
        <v>1</v>
      </c>
      <c r="M2438" s="3">
        <f t="shared" si="595"/>
        <v>0</v>
      </c>
      <c r="N2438" s="3" t="str">
        <f t="shared" si="596"/>
        <v>01</v>
      </c>
      <c r="O2438" s="14" t="str">
        <f t="shared" si="596"/>
        <v>00</v>
      </c>
    </row>
    <row r="2439" spans="10:15" hidden="1">
      <c r="J2439" s="1" t="str">
        <f t="shared" si="592"/>
        <v>0</v>
      </c>
      <c r="K2439" s="3">
        <f t="shared" si="593"/>
        <v>-100</v>
      </c>
      <c r="L2439" s="3">
        <f t="shared" si="594"/>
        <v>1</v>
      </c>
      <c r="M2439" s="3">
        <f t="shared" si="595"/>
        <v>0</v>
      </c>
      <c r="N2439" s="3" t="str">
        <f t="shared" si="596"/>
        <v>01</v>
      </c>
      <c r="O2439" s="14" t="str">
        <f t="shared" si="596"/>
        <v>00</v>
      </c>
    </row>
    <row r="2440" spans="10:15" hidden="1">
      <c r="J2440" s="1" t="str">
        <f t="shared" si="592"/>
        <v>0</v>
      </c>
      <c r="K2440" s="3">
        <f t="shared" si="593"/>
        <v>-100</v>
      </c>
      <c r="L2440" s="3">
        <f t="shared" si="594"/>
        <v>1</v>
      </c>
      <c r="M2440" s="3">
        <f t="shared" si="595"/>
        <v>0</v>
      </c>
      <c r="N2440" s="3" t="str">
        <f t="shared" si="596"/>
        <v>01</v>
      </c>
      <c r="O2440" s="14" t="str">
        <f t="shared" si="596"/>
        <v>00</v>
      </c>
    </row>
    <row r="2441" spans="10:15" hidden="1">
      <c r="J2441" s="1" t="str">
        <f t="shared" si="592"/>
        <v>0</v>
      </c>
      <c r="K2441" s="3">
        <f t="shared" si="593"/>
        <v>-100</v>
      </c>
      <c r="L2441" s="3">
        <f t="shared" si="594"/>
        <v>1</v>
      </c>
      <c r="M2441" s="3">
        <f t="shared" si="595"/>
        <v>0</v>
      </c>
      <c r="N2441" s="3" t="str">
        <f t="shared" si="596"/>
        <v>01</v>
      </c>
      <c r="O2441" s="14" t="str">
        <f t="shared" si="596"/>
        <v>00</v>
      </c>
    </row>
    <row r="2442" spans="10:15" hidden="1">
      <c r="J2442" s="1" t="str">
        <f t="shared" si="592"/>
        <v>0</v>
      </c>
      <c r="K2442" s="3">
        <f t="shared" si="593"/>
        <v>-100</v>
      </c>
      <c r="L2442" s="3">
        <f t="shared" si="594"/>
        <v>1</v>
      </c>
      <c r="M2442" s="3">
        <f t="shared" si="595"/>
        <v>0</v>
      </c>
      <c r="N2442" s="3" t="str">
        <f t="shared" si="596"/>
        <v>01</v>
      </c>
      <c r="O2442" s="14" t="str">
        <f t="shared" si="596"/>
        <v>00</v>
      </c>
    </row>
    <row r="2443" spans="10:15" hidden="1">
      <c r="J2443" s="1" t="str">
        <f t="shared" si="592"/>
        <v>0</v>
      </c>
      <c r="K2443" s="3">
        <f t="shared" si="593"/>
        <v>-100</v>
      </c>
      <c r="L2443" s="3">
        <f t="shared" si="594"/>
        <v>1</v>
      </c>
      <c r="M2443" s="3">
        <f t="shared" si="595"/>
        <v>0</v>
      </c>
      <c r="N2443" s="3" t="str">
        <f t="shared" si="596"/>
        <v>01</v>
      </c>
      <c r="O2443" s="14" t="str">
        <f t="shared" si="596"/>
        <v>00</v>
      </c>
    </row>
    <row r="2444" spans="10:15" hidden="1">
      <c r="J2444" s="1" t="str">
        <f t="shared" si="592"/>
        <v>0</v>
      </c>
      <c r="K2444" s="3">
        <f t="shared" si="593"/>
        <v>-100</v>
      </c>
      <c r="L2444" s="3">
        <f t="shared" si="594"/>
        <v>1</v>
      </c>
      <c r="M2444" s="3">
        <f t="shared" si="595"/>
        <v>0</v>
      </c>
      <c r="N2444" s="3" t="str">
        <f t="shared" si="596"/>
        <v>01</v>
      </c>
      <c r="O2444" s="14" t="str">
        <f t="shared" si="596"/>
        <v>00</v>
      </c>
    </row>
    <row r="2445" spans="10:15" hidden="1">
      <c r="J2445" s="1" t="str">
        <f t="shared" si="592"/>
        <v>0</v>
      </c>
      <c r="K2445" s="3">
        <f t="shared" si="593"/>
        <v>-100</v>
      </c>
      <c r="L2445" s="3">
        <f t="shared" si="594"/>
        <v>1</v>
      </c>
      <c r="M2445" s="3">
        <f t="shared" si="595"/>
        <v>0</v>
      </c>
      <c r="N2445" s="3" t="str">
        <f t="shared" si="596"/>
        <v>01</v>
      </c>
      <c r="O2445" s="14" t="str">
        <f t="shared" si="596"/>
        <v>00</v>
      </c>
    </row>
    <row r="2446" spans="10:15" hidden="1">
      <c r="J2446" s="1" t="str">
        <f t="shared" si="592"/>
        <v>0</v>
      </c>
      <c r="K2446" s="3">
        <f t="shared" si="593"/>
        <v>-100</v>
      </c>
      <c r="L2446" s="3">
        <f t="shared" si="594"/>
        <v>1</v>
      </c>
      <c r="M2446" s="3">
        <f t="shared" si="595"/>
        <v>0</v>
      </c>
      <c r="N2446" s="3" t="str">
        <f t="shared" si="596"/>
        <v>01</v>
      </c>
      <c r="O2446" s="14" t="str">
        <f t="shared" si="596"/>
        <v>00</v>
      </c>
    </row>
    <row r="2447" spans="10:15" hidden="1">
      <c r="J2447" s="1" t="str">
        <f t="shared" si="592"/>
        <v>0</v>
      </c>
      <c r="K2447" s="3">
        <f t="shared" si="593"/>
        <v>-100</v>
      </c>
      <c r="L2447" s="3">
        <f t="shared" si="594"/>
        <v>1</v>
      </c>
      <c r="M2447" s="3">
        <f t="shared" si="595"/>
        <v>0</v>
      </c>
      <c r="N2447" s="3" t="str">
        <f t="shared" si="596"/>
        <v>01</v>
      </c>
      <c r="O2447" s="14" t="str">
        <f t="shared" si="596"/>
        <v>00</v>
      </c>
    </row>
    <row r="2448" spans="10:15" hidden="1">
      <c r="J2448" s="1" t="str">
        <f t="shared" si="592"/>
        <v>0</v>
      </c>
      <c r="K2448" s="3">
        <f t="shared" si="593"/>
        <v>-100</v>
      </c>
      <c r="L2448" s="3">
        <f t="shared" si="594"/>
        <v>1</v>
      </c>
      <c r="M2448" s="3">
        <f t="shared" si="595"/>
        <v>0</v>
      </c>
      <c r="N2448" s="3" t="str">
        <f t="shared" si="596"/>
        <v>01</v>
      </c>
      <c r="O2448" s="14" t="str">
        <f t="shared" si="596"/>
        <v>00</v>
      </c>
    </row>
    <row r="2449" spans="10:20" hidden="1">
      <c r="J2449" s="1" t="str">
        <f t="shared" si="592"/>
        <v>0</v>
      </c>
      <c r="K2449" s="3">
        <f t="shared" si="593"/>
        <v>-100</v>
      </c>
      <c r="L2449" s="3">
        <f t="shared" si="594"/>
        <v>1</v>
      </c>
      <c r="M2449" s="3">
        <f t="shared" si="595"/>
        <v>0</v>
      </c>
      <c r="N2449" s="3" t="str">
        <f t="shared" si="596"/>
        <v>01</v>
      </c>
      <c r="O2449" s="14" t="str">
        <f t="shared" si="596"/>
        <v>00</v>
      </c>
    </row>
    <row r="2450" spans="10:20" hidden="1">
      <c r="J2450" s="1" t="str">
        <f t="shared" si="592"/>
        <v>0</v>
      </c>
      <c r="K2450" s="3">
        <f t="shared" si="593"/>
        <v>-100</v>
      </c>
      <c r="L2450" s="3">
        <f t="shared" si="594"/>
        <v>1</v>
      </c>
      <c r="M2450" s="3">
        <f t="shared" si="595"/>
        <v>0</v>
      </c>
      <c r="N2450" s="3" t="str">
        <f t="shared" si="596"/>
        <v>01</v>
      </c>
      <c r="O2450" s="14" t="str">
        <f t="shared" si="596"/>
        <v>00</v>
      </c>
    </row>
    <row r="2451" spans="10:20" hidden="1">
      <c r="J2451" s="1" t="str">
        <f t="shared" si="592"/>
        <v>0</v>
      </c>
      <c r="K2451" s="3">
        <f t="shared" si="593"/>
        <v>-100</v>
      </c>
      <c r="L2451" s="3">
        <f t="shared" si="594"/>
        <v>1</v>
      </c>
      <c r="M2451" s="3">
        <f t="shared" si="595"/>
        <v>0</v>
      </c>
      <c r="N2451" s="3" t="str">
        <f t="shared" si="596"/>
        <v>01</v>
      </c>
      <c r="O2451" s="14" t="str">
        <f t="shared" si="596"/>
        <v>00</v>
      </c>
      <c r="T2451" s="128"/>
    </row>
    <row r="2452" spans="10:20" hidden="1">
      <c r="J2452" s="1" t="str">
        <f t="shared" si="592"/>
        <v>0</v>
      </c>
      <c r="K2452" s="3">
        <f t="shared" si="593"/>
        <v>-100</v>
      </c>
      <c r="L2452" s="3">
        <f t="shared" si="594"/>
        <v>1</v>
      </c>
      <c r="M2452" s="3">
        <f t="shared" si="595"/>
        <v>0</v>
      </c>
      <c r="N2452" s="3" t="str">
        <f t="shared" si="596"/>
        <v>01</v>
      </c>
      <c r="O2452" s="14" t="str">
        <f t="shared" si="596"/>
        <v>00</v>
      </c>
      <c r="T2452" s="128"/>
    </row>
    <row r="2453" spans="10:20" hidden="1">
      <c r="J2453" s="1" t="str">
        <f t="shared" si="592"/>
        <v>0</v>
      </c>
      <c r="K2453" s="3">
        <f t="shared" si="593"/>
        <v>-100</v>
      </c>
      <c r="L2453" s="3">
        <f t="shared" si="594"/>
        <v>1</v>
      </c>
      <c r="M2453" s="3">
        <f t="shared" si="595"/>
        <v>0</v>
      </c>
      <c r="N2453" s="3" t="str">
        <f t="shared" si="596"/>
        <v>01</v>
      </c>
      <c r="O2453" s="14" t="str">
        <f t="shared" si="596"/>
        <v>00</v>
      </c>
      <c r="T2453" s="128"/>
    </row>
    <row r="2454" spans="10:20" hidden="1">
      <c r="J2454" s="1" t="str">
        <f t="shared" si="592"/>
        <v>0</v>
      </c>
      <c r="K2454" s="3">
        <f t="shared" si="593"/>
        <v>-100</v>
      </c>
      <c r="L2454" s="3">
        <f t="shared" si="594"/>
        <v>1</v>
      </c>
      <c r="M2454" s="3">
        <f t="shared" si="595"/>
        <v>0</v>
      </c>
      <c r="N2454" s="3" t="str">
        <f t="shared" si="596"/>
        <v>01</v>
      </c>
      <c r="O2454" s="14" t="str">
        <f t="shared" si="596"/>
        <v>00</v>
      </c>
      <c r="T2454" s="128"/>
    </row>
    <row r="2455" spans="10:20" hidden="1">
      <c r="J2455" s="1" t="str">
        <f t="shared" si="592"/>
        <v>0</v>
      </c>
      <c r="K2455" s="3">
        <f t="shared" si="593"/>
        <v>-100</v>
      </c>
      <c r="L2455" s="3">
        <f t="shared" si="594"/>
        <v>1</v>
      </c>
      <c r="M2455" s="3">
        <f t="shared" si="595"/>
        <v>0</v>
      </c>
      <c r="N2455" s="3" t="str">
        <f t="shared" si="596"/>
        <v>01</v>
      </c>
      <c r="O2455" s="14" t="str">
        <f t="shared" si="596"/>
        <v>00</v>
      </c>
      <c r="T2455" s="3"/>
    </row>
    <row r="2456" spans="10:20" hidden="1">
      <c r="J2456" s="1" t="str">
        <f t="shared" si="592"/>
        <v>0</v>
      </c>
      <c r="K2456" s="3">
        <f t="shared" si="593"/>
        <v>-100</v>
      </c>
      <c r="L2456" s="3">
        <f t="shared" si="594"/>
        <v>1</v>
      </c>
      <c r="M2456" s="3">
        <f t="shared" si="595"/>
        <v>0</v>
      </c>
      <c r="N2456" s="3" t="str">
        <f t="shared" si="596"/>
        <v>01</v>
      </c>
      <c r="O2456" s="14" t="str">
        <f t="shared" si="596"/>
        <v>00</v>
      </c>
      <c r="T2456" s="3"/>
    </row>
    <row r="2457" spans="10:20" hidden="1">
      <c r="J2457" s="1" t="str">
        <f t="shared" si="592"/>
        <v>0</v>
      </c>
      <c r="K2457" s="3">
        <f t="shared" si="593"/>
        <v>-100</v>
      </c>
      <c r="L2457" s="3">
        <f t="shared" si="594"/>
        <v>1</v>
      </c>
      <c r="M2457" s="3">
        <f t="shared" si="595"/>
        <v>0</v>
      </c>
      <c r="N2457" s="3" t="str">
        <f t="shared" si="596"/>
        <v>01</v>
      </c>
      <c r="O2457" s="14" t="str">
        <f t="shared" si="596"/>
        <v>00</v>
      </c>
      <c r="T2457" s="3"/>
    </row>
    <row r="2458" spans="10:20" hidden="1">
      <c r="J2458" s="1" t="str">
        <f t="shared" si="592"/>
        <v>0</v>
      </c>
      <c r="K2458" s="3">
        <f t="shared" si="593"/>
        <v>-100</v>
      </c>
      <c r="L2458" s="3">
        <f t="shared" si="594"/>
        <v>1</v>
      </c>
      <c r="M2458" s="3">
        <f t="shared" si="595"/>
        <v>0</v>
      </c>
      <c r="N2458" s="3" t="str">
        <f t="shared" si="596"/>
        <v>01</v>
      </c>
      <c r="O2458" s="14" t="str">
        <f t="shared" si="596"/>
        <v>00</v>
      </c>
      <c r="T2458" s="3"/>
    </row>
    <row r="2459" spans="10:20" hidden="1">
      <c r="J2459" s="1" t="str">
        <f t="shared" si="592"/>
        <v>0</v>
      </c>
      <c r="K2459" s="3">
        <f t="shared" si="593"/>
        <v>-100</v>
      </c>
      <c r="L2459" s="3">
        <f t="shared" si="594"/>
        <v>1</v>
      </c>
      <c r="M2459" s="3">
        <f t="shared" si="595"/>
        <v>0</v>
      </c>
      <c r="N2459" s="3" t="str">
        <f t="shared" si="596"/>
        <v>01</v>
      </c>
      <c r="O2459" s="14" t="str">
        <f t="shared" si="596"/>
        <v>00</v>
      </c>
      <c r="T2459" s="3"/>
    </row>
    <row r="2460" spans="10:20" hidden="1">
      <c r="J2460" s="1" t="str">
        <f t="shared" si="592"/>
        <v>0</v>
      </c>
      <c r="K2460" s="3">
        <f t="shared" si="593"/>
        <v>-100</v>
      </c>
      <c r="L2460" s="3">
        <f t="shared" si="594"/>
        <v>1</v>
      </c>
      <c r="M2460" s="3">
        <f t="shared" si="595"/>
        <v>0</v>
      </c>
      <c r="N2460" s="3" t="str">
        <f t="shared" si="596"/>
        <v>01</v>
      </c>
      <c r="O2460" s="14" t="str">
        <f t="shared" si="596"/>
        <v>00</v>
      </c>
    </row>
    <row r="2461" spans="10:20" hidden="1">
      <c r="J2461" s="1" t="str">
        <f t="shared" si="592"/>
        <v>0</v>
      </c>
      <c r="K2461" s="3">
        <f t="shared" si="593"/>
        <v>-100</v>
      </c>
      <c r="L2461" s="3">
        <f t="shared" si="594"/>
        <v>1</v>
      </c>
      <c r="M2461" s="3">
        <f t="shared" si="595"/>
        <v>0</v>
      </c>
      <c r="N2461" s="3" t="str">
        <f t="shared" si="596"/>
        <v>01</v>
      </c>
      <c r="O2461" s="14" t="str">
        <f t="shared" si="596"/>
        <v>00</v>
      </c>
    </row>
    <row r="2462" spans="10:20" hidden="1">
      <c r="J2462" s="1" t="str">
        <f t="shared" si="592"/>
        <v>0</v>
      </c>
      <c r="K2462" s="3">
        <f t="shared" si="593"/>
        <v>-100</v>
      </c>
      <c r="L2462" s="3">
        <f t="shared" si="594"/>
        <v>1</v>
      </c>
      <c r="M2462" s="3">
        <f t="shared" si="595"/>
        <v>0</v>
      </c>
      <c r="N2462" s="3" t="str">
        <f t="shared" si="596"/>
        <v>01</v>
      </c>
      <c r="O2462" s="14" t="str">
        <f t="shared" si="596"/>
        <v>00</v>
      </c>
    </row>
    <row r="2463" spans="10:20" hidden="1">
      <c r="J2463" s="1" t="str">
        <f t="shared" si="592"/>
        <v>0</v>
      </c>
      <c r="K2463" s="3">
        <f t="shared" si="593"/>
        <v>-100</v>
      </c>
      <c r="L2463" s="3">
        <f t="shared" si="594"/>
        <v>1</v>
      </c>
      <c r="M2463" s="3">
        <f t="shared" si="595"/>
        <v>0</v>
      </c>
      <c r="N2463" s="3" t="str">
        <f t="shared" si="596"/>
        <v>01</v>
      </c>
      <c r="O2463" s="14" t="str">
        <f t="shared" si="596"/>
        <v>00</v>
      </c>
    </row>
    <row r="2464" spans="10:20" hidden="1">
      <c r="J2464" s="1" t="str">
        <f t="shared" si="592"/>
        <v>0</v>
      </c>
      <c r="K2464" s="3">
        <f t="shared" si="593"/>
        <v>-100</v>
      </c>
      <c r="L2464" s="3">
        <f t="shared" si="594"/>
        <v>1</v>
      </c>
      <c r="M2464" s="3">
        <f t="shared" si="595"/>
        <v>0</v>
      </c>
      <c r="N2464" s="3" t="str">
        <f t="shared" si="596"/>
        <v>01</v>
      </c>
      <c r="O2464" s="14" t="str">
        <f t="shared" si="596"/>
        <v>00</v>
      </c>
    </row>
    <row r="2465" spans="1:23" hidden="1">
      <c r="J2465" s="1" t="str">
        <f t="shared" si="592"/>
        <v>0</v>
      </c>
      <c r="K2465" s="3">
        <f t="shared" si="593"/>
        <v>-100</v>
      </c>
      <c r="L2465" s="3">
        <f t="shared" si="594"/>
        <v>1</v>
      </c>
      <c r="M2465" s="3">
        <f t="shared" si="595"/>
        <v>0</v>
      </c>
      <c r="N2465" s="3" t="str">
        <f t="shared" si="596"/>
        <v>01</v>
      </c>
      <c r="O2465" s="14" t="str">
        <f t="shared" si="596"/>
        <v>00</v>
      </c>
    </row>
    <row r="2466" spans="1:23" hidden="1">
      <c r="J2466" s="1" t="str">
        <f t="shared" si="592"/>
        <v>0</v>
      </c>
      <c r="K2466" s="3">
        <f t="shared" si="593"/>
        <v>-100</v>
      </c>
      <c r="L2466" s="3">
        <f t="shared" si="594"/>
        <v>1</v>
      </c>
      <c r="M2466" s="3">
        <f t="shared" si="595"/>
        <v>0</v>
      </c>
      <c r="N2466" s="3" t="str">
        <f t="shared" si="596"/>
        <v>01</v>
      </c>
      <c r="O2466" s="14" t="str">
        <f t="shared" si="596"/>
        <v>00</v>
      </c>
    </row>
    <row r="2467" spans="1:23">
      <c r="A2467" s="3">
        <v>2434</v>
      </c>
      <c r="B2467" s="1">
        <f>IF(G2467="-",0,IF(G2466=G2467,1,0))</f>
        <v>0</v>
      </c>
      <c r="C2467" s="1">
        <f>+IF(G2467="-",0,IF(I2467=I2466+1,0,(IF(I2467=1,0,1))))</f>
        <v>1</v>
      </c>
      <c r="D2467" s="1">
        <f t="shared" ref="D2467:D2486" si="597">+IF(AND(P2467="",Q2467=""),1,0)</f>
        <v>0</v>
      </c>
      <c r="E2467" s="1">
        <f t="shared" ref="E2467:F2467" si="598">IF(U2467="",1,0)</f>
        <v>0</v>
      </c>
      <c r="F2467" s="1">
        <f t="shared" si="598"/>
        <v>0</v>
      </c>
      <c r="G2467" s="1" t="str">
        <f t="shared" ref="G2467:G2486" si="599">IF(H2467=0,"-",_xlfn.CONCAT(K2467,N2467,O2467,J2467))</f>
        <v>24110104</v>
      </c>
      <c r="H2467" s="2">
        <v>45597</v>
      </c>
      <c r="I2467" s="36">
        <v>4</v>
      </c>
      <c r="J2467" s="1" t="str">
        <f t="shared" si="592"/>
        <v>04</v>
      </c>
      <c r="K2467" s="3">
        <f t="shared" si="593"/>
        <v>24</v>
      </c>
      <c r="L2467" s="3">
        <f t="shared" si="594"/>
        <v>11</v>
      </c>
      <c r="M2467" s="3">
        <f t="shared" si="595"/>
        <v>1</v>
      </c>
      <c r="N2467" s="3">
        <f t="shared" si="596"/>
        <v>11</v>
      </c>
      <c r="O2467" s="14" t="str">
        <f t="shared" si="596"/>
        <v>01</v>
      </c>
      <c r="P2467" s="4">
        <v>431862.71</v>
      </c>
      <c r="T2467" s="5" t="s">
        <v>1053</v>
      </c>
      <c r="U2467" s="3" t="s">
        <v>1</v>
      </c>
      <c r="V2467" s="3" t="s">
        <v>5</v>
      </c>
    </row>
    <row r="2468" spans="1:23" hidden="1">
      <c r="J2468" s="1" t="str">
        <f t="shared" si="592"/>
        <v>0</v>
      </c>
      <c r="K2468" s="3">
        <f t="shared" si="593"/>
        <v>-100</v>
      </c>
      <c r="L2468" s="3">
        <f t="shared" si="594"/>
        <v>1</v>
      </c>
      <c r="M2468" s="3">
        <f t="shared" si="595"/>
        <v>0</v>
      </c>
      <c r="N2468" s="3" t="str">
        <f t="shared" si="596"/>
        <v>01</v>
      </c>
      <c r="O2468" s="14" t="str">
        <f t="shared" si="596"/>
        <v>00</v>
      </c>
    </row>
    <row r="2469" spans="1:23" hidden="1">
      <c r="J2469" s="1" t="str">
        <f t="shared" si="592"/>
        <v>0</v>
      </c>
      <c r="K2469" s="3">
        <f t="shared" si="593"/>
        <v>-100</v>
      </c>
      <c r="L2469" s="3">
        <f t="shared" si="594"/>
        <v>1</v>
      </c>
      <c r="M2469" s="3">
        <f t="shared" si="595"/>
        <v>0</v>
      </c>
      <c r="N2469" s="3" t="str">
        <f t="shared" si="596"/>
        <v>01</v>
      </c>
      <c r="O2469" s="14" t="str">
        <f t="shared" si="596"/>
        <v>00</v>
      </c>
    </row>
    <row r="2470" spans="1:23">
      <c r="A2470" s="3">
        <v>2436</v>
      </c>
      <c r="B2470" s="1">
        <f t="shared" ref="B2470:B2533" si="600">IF(G2470="-",0,IF(G2469=G2470,1,0))</f>
        <v>0</v>
      </c>
      <c r="C2470" s="1">
        <f t="shared" ref="C2470:C2533" si="601">+IF(G2470="-",0,IF(I2470=I2469+1,0,(IF(I2470=1,0,1))))</f>
        <v>0</v>
      </c>
      <c r="D2470" s="1">
        <f t="shared" si="597"/>
        <v>0</v>
      </c>
      <c r="E2470" s="1">
        <f t="shared" ref="E2470:F2533" si="602">IF(U2470="",1,0)</f>
        <v>1</v>
      </c>
      <c r="F2470" s="1">
        <f t="shared" si="602"/>
        <v>0</v>
      </c>
      <c r="G2470" s="1" t="str">
        <f t="shared" si="599"/>
        <v>24110201</v>
      </c>
      <c r="H2470" s="2">
        <v>45598</v>
      </c>
      <c r="I2470" s="36">
        <v>1</v>
      </c>
      <c r="J2470" s="1" t="str">
        <f t="shared" si="592"/>
        <v>01</v>
      </c>
      <c r="K2470" s="3">
        <f t="shared" si="593"/>
        <v>24</v>
      </c>
      <c r="L2470" s="3">
        <f t="shared" si="594"/>
        <v>11</v>
      </c>
      <c r="M2470" s="3">
        <f t="shared" si="595"/>
        <v>2</v>
      </c>
      <c r="N2470" s="3">
        <f t="shared" si="596"/>
        <v>11</v>
      </c>
      <c r="O2470" s="14" t="str">
        <f t="shared" si="596"/>
        <v>02</v>
      </c>
      <c r="P2470" s="4">
        <v>159000</v>
      </c>
      <c r="T2470" s="30" t="s">
        <v>998</v>
      </c>
      <c r="V2470" s="3" t="s">
        <v>5</v>
      </c>
      <c r="W2470" s="3" t="s">
        <v>1013</v>
      </c>
    </row>
    <row r="2471" spans="1:23">
      <c r="A2471" s="3">
        <v>2437</v>
      </c>
      <c r="B2471" s="1">
        <f t="shared" si="600"/>
        <v>0</v>
      </c>
      <c r="C2471" s="1">
        <f t="shared" si="601"/>
        <v>0</v>
      </c>
      <c r="D2471" s="1">
        <f t="shared" si="597"/>
        <v>0</v>
      </c>
      <c r="E2471" s="1">
        <f t="shared" si="602"/>
        <v>1</v>
      </c>
      <c r="F2471" s="1">
        <f t="shared" si="602"/>
        <v>0</v>
      </c>
      <c r="G2471" s="1" t="str">
        <f t="shared" si="599"/>
        <v>24110202</v>
      </c>
      <c r="H2471" s="2">
        <v>45598</v>
      </c>
      <c r="I2471" s="36">
        <v>2</v>
      </c>
      <c r="J2471" s="1" t="str">
        <f t="shared" si="592"/>
        <v>02</v>
      </c>
      <c r="K2471" s="3">
        <f t="shared" si="593"/>
        <v>24</v>
      </c>
      <c r="L2471" s="3">
        <f t="shared" si="594"/>
        <v>11</v>
      </c>
      <c r="M2471" s="3">
        <f t="shared" si="595"/>
        <v>2</v>
      </c>
      <c r="N2471" s="3">
        <f t="shared" si="596"/>
        <v>11</v>
      </c>
      <c r="O2471" s="14" t="str">
        <f t="shared" si="596"/>
        <v>02</v>
      </c>
      <c r="P2471" s="4">
        <v>159000</v>
      </c>
      <c r="T2471" s="31" t="s">
        <v>999</v>
      </c>
      <c r="V2471" s="3" t="s">
        <v>5</v>
      </c>
      <c r="W2471" s="3" t="s">
        <v>1014</v>
      </c>
    </row>
    <row r="2472" spans="1:23" s="42" customFormat="1">
      <c r="A2472" s="3">
        <v>2438</v>
      </c>
      <c r="B2472" s="1">
        <f t="shared" si="600"/>
        <v>0</v>
      </c>
      <c r="C2472" s="1">
        <f t="shared" si="601"/>
        <v>0</v>
      </c>
      <c r="D2472" s="1">
        <f t="shared" si="597"/>
        <v>0</v>
      </c>
      <c r="E2472" s="1">
        <f t="shared" si="602"/>
        <v>1</v>
      </c>
      <c r="F2472" s="1">
        <f t="shared" si="602"/>
        <v>0</v>
      </c>
      <c r="G2472" s="1" t="str">
        <f t="shared" si="599"/>
        <v>24110203</v>
      </c>
      <c r="H2472" s="2">
        <v>45598</v>
      </c>
      <c r="I2472" s="36">
        <v>3</v>
      </c>
      <c r="J2472" s="1" t="str">
        <f t="shared" si="592"/>
        <v>03</v>
      </c>
      <c r="K2472" s="3">
        <f t="shared" si="593"/>
        <v>24</v>
      </c>
      <c r="L2472" s="3">
        <f t="shared" si="594"/>
        <v>11</v>
      </c>
      <c r="M2472" s="3">
        <f t="shared" si="595"/>
        <v>2</v>
      </c>
      <c r="N2472" s="3">
        <f t="shared" si="596"/>
        <v>11</v>
      </c>
      <c r="O2472" s="14" t="str">
        <f t="shared" si="596"/>
        <v>02</v>
      </c>
      <c r="P2472" s="4">
        <v>132000</v>
      </c>
      <c r="Q2472" s="5"/>
      <c r="R2472" s="6"/>
      <c r="S2472" s="5"/>
      <c r="T2472" s="31" t="s">
        <v>1000</v>
      </c>
      <c r="U2472" s="3"/>
      <c r="V2472" s="3" t="s">
        <v>5</v>
      </c>
      <c r="W2472" s="3" t="s">
        <v>1015</v>
      </c>
    </row>
    <row r="2473" spans="1:23" s="42" customFormat="1" hidden="1">
      <c r="A2473" s="3"/>
      <c r="B2473" s="1"/>
      <c r="C2473" s="1"/>
      <c r="D2473" s="1"/>
      <c r="E2473" s="1"/>
      <c r="F2473" s="1"/>
      <c r="G2473" s="1"/>
      <c r="H2473" s="2"/>
      <c r="I2473" s="36"/>
      <c r="J2473" s="1" t="str">
        <f t="shared" si="592"/>
        <v>0</v>
      </c>
      <c r="K2473" s="3">
        <f t="shared" si="593"/>
        <v>-100</v>
      </c>
      <c r="L2473" s="3">
        <f t="shared" si="594"/>
        <v>1</v>
      </c>
      <c r="M2473" s="3">
        <f t="shared" si="595"/>
        <v>0</v>
      </c>
      <c r="N2473" s="3" t="str">
        <f t="shared" si="596"/>
        <v>01</v>
      </c>
      <c r="O2473" s="14" t="str">
        <f t="shared" si="596"/>
        <v>00</v>
      </c>
      <c r="P2473" s="4"/>
      <c r="Q2473" s="5"/>
      <c r="R2473" s="6"/>
      <c r="S2473" s="5"/>
      <c r="T2473" s="31"/>
      <c r="U2473" s="3"/>
      <c r="V2473" s="3"/>
      <c r="W2473" s="3"/>
    </row>
    <row r="2474" spans="1:23">
      <c r="A2474" s="3">
        <v>2440</v>
      </c>
      <c r="B2474" s="1">
        <f t="shared" si="600"/>
        <v>0</v>
      </c>
      <c r="C2474" s="1">
        <f t="shared" si="601"/>
        <v>1</v>
      </c>
      <c r="D2474" s="1">
        <f t="shared" si="597"/>
        <v>0</v>
      </c>
      <c r="E2474" s="1">
        <f t="shared" si="602"/>
        <v>1</v>
      </c>
      <c r="F2474" s="1">
        <f t="shared" si="602"/>
        <v>0</v>
      </c>
      <c r="G2474" s="1" t="str">
        <f t="shared" si="599"/>
        <v>24110205</v>
      </c>
      <c r="H2474" s="2">
        <v>45598</v>
      </c>
      <c r="I2474" s="36">
        <v>5</v>
      </c>
      <c r="J2474" s="1" t="str">
        <f t="shared" si="592"/>
        <v>05</v>
      </c>
      <c r="K2474" s="3">
        <f t="shared" si="593"/>
        <v>24</v>
      </c>
      <c r="L2474" s="3">
        <f t="shared" si="594"/>
        <v>11</v>
      </c>
      <c r="M2474" s="3">
        <f t="shared" si="595"/>
        <v>2</v>
      </c>
      <c r="N2474" s="3">
        <f t="shared" si="596"/>
        <v>11</v>
      </c>
      <c r="O2474" s="14" t="str">
        <f t="shared" si="596"/>
        <v>02</v>
      </c>
      <c r="P2474" s="4">
        <v>132000</v>
      </c>
      <c r="T2474" s="31" t="s">
        <v>1002</v>
      </c>
      <c r="V2474" s="3" t="s">
        <v>5</v>
      </c>
      <c r="W2474" s="3" t="s">
        <v>1017</v>
      </c>
    </row>
    <row r="2475" spans="1:23">
      <c r="A2475" s="3">
        <v>2441</v>
      </c>
      <c r="B2475" s="1">
        <f t="shared" si="600"/>
        <v>0</v>
      </c>
      <c r="C2475" s="1">
        <f t="shared" si="601"/>
        <v>0</v>
      </c>
      <c r="D2475" s="1">
        <f t="shared" si="597"/>
        <v>0</v>
      </c>
      <c r="E2475" s="1">
        <f t="shared" si="602"/>
        <v>1</v>
      </c>
      <c r="F2475" s="1">
        <f t="shared" si="602"/>
        <v>0</v>
      </c>
      <c r="G2475" s="1" t="str">
        <f t="shared" si="599"/>
        <v>24110206</v>
      </c>
      <c r="H2475" s="2">
        <v>45598</v>
      </c>
      <c r="I2475" s="36">
        <v>6</v>
      </c>
      <c r="J2475" s="1" t="str">
        <f t="shared" si="592"/>
        <v>06</v>
      </c>
      <c r="K2475" s="3">
        <f t="shared" si="593"/>
        <v>24</v>
      </c>
      <c r="L2475" s="3">
        <f t="shared" si="594"/>
        <v>11</v>
      </c>
      <c r="M2475" s="3">
        <f t="shared" si="595"/>
        <v>2</v>
      </c>
      <c r="N2475" s="3">
        <f t="shared" si="596"/>
        <v>11</v>
      </c>
      <c r="O2475" s="14" t="str">
        <f t="shared" si="596"/>
        <v>02</v>
      </c>
      <c r="P2475" s="4">
        <v>132000</v>
      </c>
      <c r="T2475" s="31" t="s">
        <v>1003</v>
      </c>
      <c r="V2475" s="3" t="s">
        <v>5</v>
      </c>
      <c r="W2475" s="3" t="s">
        <v>1018</v>
      </c>
    </row>
    <row r="2476" spans="1:23">
      <c r="A2476" s="3">
        <v>2442</v>
      </c>
      <c r="B2476" s="1">
        <f t="shared" si="600"/>
        <v>0</v>
      </c>
      <c r="C2476" s="1">
        <f t="shared" si="601"/>
        <v>0</v>
      </c>
      <c r="D2476" s="1">
        <f t="shared" si="597"/>
        <v>0</v>
      </c>
      <c r="E2476" s="1">
        <f t="shared" si="602"/>
        <v>1</v>
      </c>
      <c r="F2476" s="1">
        <f t="shared" si="602"/>
        <v>0</v>
      </c>
      <c r="G2476" s="1" t="str">
        <f t="shared" si="599"/>
        <v>24110207</v>
      </c>
      <c r="H2476" s="2">
        <v>45598</v>
      </c>
      <c r="I2476" s="36">
        <v>7</v>
      </c>
      <c r="J2476" s="1" t="str">
        <f t="shared" si="592"/>
        <v>07</v>
      </c>
      <c r="K2476" s="3">
        <f t="shared" si="593"/>
        <v>24</v>
      </c>
      <c r="L2476" s="3">
        <f t="shared" si="594"/>
        <v>11</v>
      </c>
      <c r="M2476" s="3">
        <f t="shared" si="595"/>
        <v>2</v>
      </c>
      <c r="N2476" s="3">
        <f t="shared" si="596"/>
        <v>11</v>
      </c>
      <c r="O2476" s="14" t="str">
        <f t="shared" si="596"/>
        <v>02</v>
      </c>
      <c r="P2476" s="4">
        <v>132000</v>
      </c>
      <c r="T2476" s="32" t="s">
        <v>1004</v>
      </c>
      <c r="V2476" s="3" t="s">
        <v>5</v>
      </c>
    </row>
    <row r="2477" spans="1:23">
      <c r="A2477" s="3">
        <v>2443</v>
      </c>
      <c r="B2477" s="1">
        <f t="shared" si="600"/>
        <v>0</v>
      </c>
      <c r="C2477" s="1">
        <f t="shared" si="601"/>
        <v>0</v>
      </c>
      <c r="D2477" s="1">
        <f t="shared" si="597"/>
        <v>0</v>
      </c>
      <c r="E2477" s="1">
        <f t="shared" si="602"/>
        <v>1</v>
      </c>
      <c r="F2477" s="1">
        <f t="shared" si="602"/>
        <v>0</v>
      </c>
      <c r="G2477" s="1" t="str">
        <f t="shared" si="599"/>
        <v>24110208</v>
      </c>
      <c r="H2477" s="2">
        <v>45598</v>
      </c>
      <c r="I2477" s="36">
        <v>8</v>
      </c>
      <c r="J2477" s="1" t="str">
        <f t="shared" si="592"/>
        <v>08</v>
      </c>
      <c r="K2477" s="3">
        <f t="shared" si="593"/>
        <v>24</v>
      </c>
      <c r="L2477" s="3">
        <f t="shared" si="594"/>
        <v>11</v>
      </c>
      <c r="M2477" s="3">
        <f t="shared" si="595"/>
        <v>2</v>
      </c>
      <c r="N2477" s="3">
        <f t="shared" si="596"/>
        <v>11</v>
      </c>
      <c r="O2477" s="14" t="str">
        <f t="shared" si="596"/>
        <v>02</v>
      </c>
      <c r="P2477" s="4">
        <v>108000</v>
      </c>
      <c r="T2477" s="32" t="s">
        <v>1005</v>
      </c>
      <c r="V2477" s="3" t="s">
        <v>5</v>
      </c>
    </row>
    <row r="2478" spans="1:23">
      <c r="A2478" s="3">
        <v>2444</v>
      </c>
      <c r="B2478" s="1">
        <f t="shared" si="600"/>
        <v>0</v>
      </c>
      <c r="C2478" s="1">
        <f t="shared" si="601"/>
        <v>0</v>
      </c>
      <c r="D2478" s="1">
        <f t="shared" si="597"/>
        <v>0</v>
      </c>
      <c r="E2478" s="1">
        <f t="shared" si="602"/>
        <v>1</v>
      </c>
      <c r="F2478" s="1">
        <f t="shared" si="602"/>
        <v>0</v>
      </c>
      <c r="G2478" s="1" t="str">
        <f t="shared" si="599"/>
        <v>24110209</v>
      </c>
      <c r="H2478" s="2">
        <v>45598</v>
      </c>
      <c r="I2478" s="36">
        <v>9</v>
      </c>
      <c r="J2478" s="1" t="str">
        <f t="shared" si="592"/>
        <v>09</v>
      </c>
      <c r="K2478" s="3">
        <f t="shared" si="593"/>
        <v>24</v>
      </c>
      <c r="L2478" s="3">
        <f t="shared" si="594"/>
        <v>11</v>
      </c>
      <c r="M2478" s="3">
        <f t="shared" si="595"/>
        <v>2</v>
      </c>
      <c r="N2478" s="3">
        <f t="shared" si="596"/>
        <v>11</v>
      </c>
      <c r="O2478" s="14" t="str">
        <f t="shared" si="596"/>
        <v>02</v>
      </c>
      <c r="P2478" s="4">
        <v>150000</v>
      </c>
      <c r="T2478" s="32" t="s">
        <v>1006</v>
      </c>
      <c r="V2478" s="3" t="s">
        <v>5</v>
      </c>
    </row>
    <row r="2479" spans="1:23" hidden="1">
      <c r="J2479" s="1" t="str">
        <f t="shared" si="592"/>
        <v>0</v>
      </c>
      <c r="K2479" s="3">
        <f t="shared" si="593"/>
        <v>-100</v>
      </c>
      <c r="L2479" s="3">
        <f t="shared" si="594"/>
        <v>1</v>
      </c>
      <c r="M2479" s="3">
        <f t="shared" si="595"/>
        <v>0</v>
      </c>
      <c r="N2479" s="3" t="str">
        <f t="shared" si="596"/>
        <v>01</v>
      </c>
      <c r="O2479" s="14" t="str">
        <f t="shared" si="596"/>
        <v>00</v>
      </c>
      <c r="T2479" s="32"/>
    </row>
    <row r="2480" spans="1:23">
      <c r="A2480" s="3">
        <v>2446</v>
      </c>
      <c r="B2480" s="1">
        <f t="shared" si="600"/>
        <v>0</v>
      </c>
      <c r="C2480" s="1">
        <f t="shared" si="601"/>
        <v>1</v>
      </c>
      <c r="D2480" s="1">
        <f t="shared" si="597"/>
        <v>0</v>
      </c>
      <c r="E2480" s="1">
        <f t="shared" si="602"/>
        <v>1</v>
      </c>
      <c r="F2480" s="1">
        <f t="shared" si="602"/>
        <v>0</v>
      </c>
      <c r="G2480" s="1" t="str">
        <f t="shared" si="599"/>
        <v>24110211</v>
      </c>
      <c r="H2480" s="2">
        <v>45598</v>
      </c>
      <c r="I2480" s="36">
        <v>11</v>
      </c>
      <c r="J2480" s="1">
        <f t="shared" si="592"/>
        <v>11</v>
      </c>
      <c r="K2480" s="3">
        <f t="shared" si="593"/>
        <v>24</v>
      </c>
      <c r="L2480" s="3">
        <f t="shared" si="594"/>
        <v>11</v>
      </c>
      <c r="M2480" s="3">
        <f t="shared" si="595"/>
        <v>2</v>
      </c>
      <c r="N2480" s="3">
        <f t="shared" si="596"/>
        <v>11</v>
      </c>
      <c r="O2480" s="14" t="str">
        <f t="shared" si="596"/>
        <v>02</v>
      </c>
      <c r="P2480" s="4">
        <v>108000</v>
      </c>
      <c r="T2480" s="32" t="s">
        <v>1008</v>
      </c>
      <c r="V2480" s="3" t="s">
        <v>5</v>
      </c>
    </row>
    <row r="2481" spans="1:23">
      <c r="A2481" s="3">
        <v>2447</v>
      </c>
      <c r="B2481" s="1">
        <f t="shared" si="600"/>
        <v>0</v>
      </c>
      <c r="C2481" s="1">
        <f t="shared" si="601"/>
        <v>0</v>
      </c>
      <c r="D2481" s="1">
        <f t="shared" si="597"/>
        <v>0</v>
      </c>
      <c r="E2481" s="1">
        <f t="shared" si="602"/>
        <v>1</v>
      </c>
      <c r="F2481" s="1">
        <f t="shared" si="602"/>
        <v>0</v>
      </c>
      <c r="G2481" s="1" t="str">
        <f t="shared" si="599"/>
        <v>24110212</v>
      </c>
      <c r="H2481" s="2">
        <v>45598</v>
      </c>
      <c r="I2481" s="36">
        <v>12</v>
      </c>
      <c r="J2481" s="1">
        <f t="shared" si="592"/>
        <v>12</v>
      </c>
      <c r="K2481" s="3">
        <f t="shared" si="593"/>
        <v>24</v>
      </c>
      <c r="L2481" s="3">
        <f t="shared" si="594"/>
        <v>11</v>
      </c>
      <c r="M2481" s="3">
        <f t="shared" si="595"/>
        <v>2</v>
      </c>
      <c r="N2481" s="3">
        <f t="shared" si="596"/>
        <v>11</v>
      </c>
      <c r="O2481" s="14" t="str">
        <f t="shared" si="596"/>
        <v>02</v>
      </c>
      <c r="P2481" s="4">
        <v>108000</v>
      </c>
      <c r="T2481" s="32" t="s">
        <v>1009</v>
      </c>
      <c r="V2481" s="3" t="s">
        <v>5</v>
      </c>
    </row>
    <row r="2482" spans="1:23">
      <c r="A2482" s="3">
        <v>2448</v>
      </c>
      <c r="B2482" s="1">
        <f t="shared" si="600"/>
        <v>0</v>
      </c>
      <c r="C2482" s="1">
        <f t="shared" si="601"/>
        <v>0</v>
      </c>
      <c r="D2482" s="1">
        <f t="shared" si="597"/>
        <v>0</v>
      </c>
      <c r="E2482" s="1">
        <f t="shared" si="602"/>
        <v>1</v>
      </c>
      <c r="F2482" s="1">
        <f t="shared" si="602"/>
        <v>0</v>
      </c>
      <c r="G2482" s="1" t="str">
        <f t="shared" si="599"/>
        <v>24110213</v>
      </c>
      <c r="H2482" s="2">
        <v>45598</v>
      </c>
      <c r="I2482" s="36">
        <v>13</v>
      </c>
      <c r="J2482" s="1">
        <f t="shared" si="592"/>
        <v>13</v>
      </c>
      <c r="K2482" s="3">
        <f t="shared" si="593"/>
        <v>24</v>
      </c>
      <c r="L2482" s="3">
        <f t="shared" si="594"/>
        <v>11</v>
      </c>
      <c r="M2482" s="3">
        <f t="shared" si="595"/>
        <v>2</v>
      </c>
      <c r="N2482" s="3">
        <f t="shared" si="596"/>
        <v>11</v>
      </c>
      <c r="O2482" s="14" t="str">
        <f t="shared" si="596"/>
        <v>02</v>
      </c>
      <c r="P2482" s="4">
        <v>108000</v>
      </c>
      <c r="T2482" s="32" t="s">
        <v>1010</v>
      </c>
      <c r="V2482" s="3" t="s">
        <v>5</v>
      </c>
    </row>
    <row r="2483" spans="1:23">
      <c r="A2483" s="3">
        <v>2449</v>
      </c>
      <c r="B2483" s="1">
        <f t="shared" si="600"/>
        <v>0</v>
      </c>
      <c r="C2483" s="1">
        <f t="shared" si="601"/>
        <v>0</v>
      </c>
      <c r="D2483" s="1">
        <f t="shared" si="597"/>
        <v>0</v>
      </c>
      <c r="E2483" s="1">
        <f t="shared" si="602"/>
        <v>1</v>
      </c>
      <c r="F2483" s="1">
        <f t="shared" si="602"/>
        <v>0</v>
      </c>
      <c r="G2483" s="1" t="str">
        <f t="shared" si="599"/>
        <v>24110214</v>
      </c>
      <c r="H2483" s="2">
        <v>45598</v>
      </c>
      <c r="I2483" s="36">
        <v>14</v>
      </c>
      <c r="J2483" s="1">
        <f t="shared" si="592"/>
        <v>14</v>
      </c>
      <c r="K2483" s="3">
        <f t="shared" si="593"/>
        <v>24</v>
      </c>
      <c r="L2483" s="3">
        <f t="shared" si="594"/>
        <v>11</v>
      </c>
      <c r="M2483" s="3">
        <f t="shared" si="595"/>
        <v>2</v>
      </c>
      <c r="N2483" s="3">
        <f t="shared" si="596"/>
        <v>11</v>
      </c>
      <c r="O2483" s="14" t="str">
        <f t="shared" si="596"/>
        <v>02</v>
      </c>
      <c r="P2483" s="4">
        <v>252000</v>
      </c>
      <c r="T2483" s="32" t="s">
        <v>1011</v>
      </c>
      <c r="V2483" s="3" t="s">
        <v>5</v>
      </c>
    </row>
    <row r="2484" spans="1:23">
      <c r="A2484" s="3">
        <v>2450</v>
      </c>
      <c r="B2484" s="1">
        <f t="shared" si="600"/>
        <v>0</v>
      </c>
      <c r="C2484" s="1">
        <f t="shared" si="601"/>
        <v>0</v>
      </c>
      <c r="D2484" s="1">
        <f t="shared" si="597"/>
        <v>0</v>
      </c>
      <c r="E2484" s="1">
        <f t="shared" si="602"/>
        <v>1</v>
      </c>
      <c r="F2484" s="1">
        <f t="shared" si="602"/>
        <v>0</v>
      </c>
      <c r="G2484" s="1" t="str">
        <f t="shared" si="599"/>
        <v>24110215</v>
      </c>
      <c r="H2484" s="2">
        <v>45598</v>
      </c>
      <c r="I2484" s="36">
        <v>15</v>
      </c>
      <c r="J2484" s="1">
        <f t="shared" si="592"/>
        <v>15</v>
      </c>
      <c r="K2484" s="3">
        <f t="shared" si="593"/>
        <v>24</v>
      </c>
      <c r="L2484" s="3">
        <f t="shared" si="594"/>
        <v>11</v>
      </c>
      <c r="M2484" s="3">
        <f t="shared" si="595"/>
        <v>2</v>
      </c>
      <c r="N2484" s="3">
        <f t="shared" si="596"/>
        <v>11</v>
      </c>
      <c r="O2484" s="14" t="str">
        <f t="shared" si="596"/>
        <v>02</v>
      </c>
      <c r="P2484" s="4">
        <v>90000</v>
      </c>
      <c r="T2484" s="32" t="s">
        <v>1012</v>
      </c>
      <c r="V2484" s="3" t="s">
        <v>5</v>
      </c>
    </row>
    <row r="2485" spans="1:23">
      <c r="A2485" s="3">
        <v>2451</v>
      </c>
      <c r="B2485" s="1">
        <f t="shared" si="600"/>
        <v>0</v>
      </c>
      <c r="C2485" s="1">
        <f t="shared" si="601"/>
        <v>0</v>
      </c>
      <c r="D2485" s="1">
        <f t="shared" si="597"/>
        <v>0</v>
      </c>
      <c r="E2485" s="1">
        <f t="shared" si="602"/>
        <v>1</v>
      </c>
      <c r="F2485" s="1">
        <f t="shared" si="602"/>
        <v>0</v>
      </c>
      <c r="G2485" s="1" t="str">
        <f t="shared" si="599"/>
        <v>24110216</v>
      </c>
      <c r="H2485" s="2">
        <v>45598</v>
      </c>
      <c r="I2485" s="36">
        <v>16</v>
      </c>
      <c r="J2485" s="1">
        <f t="shared" si="592"/>
        <v>16</v>
      </c>
      <c r="K2485" s="3">
        <f t="shared" si="593"/>
        <v>24</v>
      </c>
      <c r="L2485" s="3">
        <f t="shared" si="594"/>
        <v>11</v>
      </c>
      <c r="M2485" s="3">
        <f t="shared" si="595"/>
        <v>2</v>
      </c>
      <c r="N2485" s="3">
        <f t="shared" si="596"/>
        <v>11</v>
      </c>
      <c r="O2485" s="14" t="str">
        <f t="shared" si="596"/>
        <v>02</v>
      </c>
      <c r="P2485" s="4">
        <v>200000</v>
      </c>
      <c r="T2485" s="32" t="s">
        <v>971</v>
      </c>
      <c r="V2485" s="3" t="s">
        <v>5</v>
      </c>
    </row>
    <row r="2486" spans="1:23">
      <c r="A2486" s="3">
        <v>2452</v>
      </c>
      <c r="B2486" s="1">
        <f t="shared" si="600"/>
        <v>0</v>
      </c>
      <c r="C2486" s="1">
        <f t="shared" si="601"/>
        <v>0</v>
      </c>
      <c r="D2486" s="1">
        <f t="shared" si="597"/>
        <v>0</v>
      </c>
      <c r="E2486" s="1">
        <f t="shared" si="602"/>
        <v>1</v>
      </c>
      <c r="F2486" s="1">
        <f t="shared" si="602"/>
        <v>0</v>
      </c>
      <c r="G2486" s="1" t="str">
        <f t="shared" si="599"/>
        <v>24110217</v>
      </c>
      <c r="H2486" s="2">
        <v>45598</v>
      </c>
      <c r="I2486" s="36">
        <v>17</v>
      </c>
      <c r="J2486" s="1">
        <f t="shared" si="592"/>
        <v>17</v>
      </c>
      <c r="K2486" s="3">
        <f t="shared" si="593"/>
        <v>24</v>
      </c>
      <c r="L2486" s="3">
        <f t="shared" si="594"/>
        <v>11</v>
      </c>
      <c r="M2486" s="3">
        <f t="shared" si="595"/>
        <v>2</v>
      </c>
      <c r="N2486" s="3">
        <f t="shared" si="596"/>
        <v>11</v>
      </c>
      <c r="O2486" s="14" t="str">
        <f t="shared" si="596"/>
        <v>02</v>
      </c>
      <c r="P2486" s="4">
        <v>150000</v>
      </c>
      <c r="T2486" s="32" t="s">
        <v>896</v>
      </c>
      <c r="V2486" s="3" t="s">
        <v>5</v>
      </c>
      <c r="W2486" s="3" t="s">
        <v>1019</v>
      </c>
    </row>
    <row r="2487" spans="1:23" hidden="1">
      <c r="J2487" s="1" t="str">
        <f t="shared" ref="J2487:J2550" si="603">+IF(I2487&lt;10,_xlfn.CONCAT("0",I2487),I2487)</f>
        <v>0</v>
      </c>
      <c r="K2487" s="3">
        <f t="shared" ref="K2487:K2550" si="604">+YEAR(H2487)-2000</f>
        <v>-100</v>
      </c>
      <c r="L2487" s="3">
        <f t="shared" ref="L2487:L2550" si="605">+MONTH(H2487)</f>
        <v>1</v>
      </c>
      <c r="M2487" s="3">
        <f t="shared" ref="M2487:M2550" si="606">+DAY(H2487)</f>
        <v>0</v>
      </c>
      <c r="N2487" s="3" t="str">
        <f t="shared" ref="N2487:O2550" si="607">+IF(L2487&lt;10,_xlfn.CONCAT("0",L2487),L2487)</f>
        <v>01</v>
      </c>
      <c r="O2487" s="14" t="str">
        <f t="shared" si="607"/>
        <v>00</v>
      </c>
      <c r="T2487" s="33"/>
    </row>
    <row r="2488" spans="1:23" hidden="1">
      <c r="J2488" s="1" t="str">
        <f t="shared" si="603"/>
        <v>0</v>
      </c>
      <c r="K2488" s="3">
        <f t="shared" si="604"/>
        <v>-100</v>
      </c>
      <c r="L2488" s="3">
        <f t="shared" si="605"/>
        <v>1</v>
      </c>
      <c r="M2488" s="3">
        <f t="shared" si="606"/>
        <v>0</v>
      </c>
      <c r="N2488" s="3" t="str">
        <f t="shared" si="607"/>
        <v>01</v>
      </c>
      <c r="O2488" s="14" t="str">
        <f t="shared" si="607"/>
        <v>00</v>
      </c>
    </row>
    <row r="2489" spans="1:23" hidden="1">
      <c r="J2489" s="1" t="str">
        <f t="shared" si="603"/>
        <v>0</v>
      </c>
      <c r="K2489" s="3">
        <f t="shared" si="604"/>
        <v>-100</v>
      </c>
      <c r="L2489" s="3">
        <f t="shared" si="605"/>
        <v>1</v>
      </c>
      <c r="M2489" s="3">
        <f t="shared" si="606"/>
        <v>0</v>
      </c>
      <c r="N2489" s="3" t="str">
        <f t="shared" si="607"/>
        <v>01</v>
      </c>
      <c r="O2489" s="14" t="str">
        <f t="shared" si="607"/>
        <v>00</v>
      </c>
    </row>
    <row r="2490" spans="1:23" hidden="1">
      <c r="J2490" s="1" t="str">
        <f t="shared" si="603"/>
        <v>0</v>
      </c>
      <c r="K2490" s="3">
        <f t="shared" si="604"/>
        <v>-100</v>
      </c>
      <c r="L2490" s="3">
        <f t="shared" si="605"/>
        <v>1</v>
      </c>
      <c r="M2490" s="3">
        <f t="shared" si="606"/>
        <v>0</v>
      </c>
      <c r="N2490" s="3" t="str">
        <f t="shared" si="607"/>
        <v>01</v>
      </c>
      <c r="O2490" s="14" t="str">
        <f t="shared" si="607"/>
        <v>00</v>
      </c>
    </row>
    <row r="2491" spans="1:23" hidden="1">
      <c r="J2491" s="1" t="str">
        <f t="shared" si="603"/>
        <v>0</v>
      </c>
      <c r="K2491" s="3">
        <f t="shared" si="604"/>
        <v>-100</v>
      </c>
      <c r="L2491" s="3">
        <f t="shared" si="605"/>
        <v>1</v>
      </c>
      <c r="M2491" s="3">
        <f t="shared" si="606"/>
        <v>0</v>
      </c>
      <c r="N2491" s="3" t="str">
        <f t="shared" si="607"/>
        <v>01</v>
      </c>
      <c r="O2491" s="14" t="str">
        <f t="shared" si="607"/>
        <v>00</v>
      </c>
    </row>
    <row r="2492" spans="1:23" hidden="1">
      <c r="J2492" s="1" t="str">
        <f t="shared" si="603"/>
        <v>0</v>
      </c>
      <c r="K2492" s="3">
        <f t="shared" si="604"/>
        <v>-100</v>
      </c>
      <c r="L2492" s="3">
        <f t="shared" si="605"/>
        <v>1</v>
      </c>
      <c r="M2492" s="3">
        <f t="shared" si="606"/>
        <v>0</v>
      </c>
      <c r="N2492" s="3" t="str">
        <f t="shared" si="607"/>
        <v>01</v>
      </c>
      <c r="O2492" s="14" t="str">
        <f t="shared" si="607"/>
        <v>00</v>
      </c>
    </row>
    <row r="2493" spans="1:23" hidden="1">
      <c r="J2493" s="1" t="str">
        <f t="shared" si="603"/>
        <v>0</v>
      </c>
      <c r="K2493" s="3">
        <f t="shared" si="604"/>
        <v>-100</v>
      </c>
      <c r="L2493" s="3">
        <f t="shared" si="605"/>
        <v>1</v>
      </c>
      <c r="M2493" s="3">
        <f t="shared" si="606"/>
        <v>0</v>
      </c>
      <c r="N2493" s="3" t="str">
        <f t="shared" si="607"/>
        <v>01</v>
      </c>
      <c r="O2493" s="14" t="str">
        <f t="shared" si="607"/>
        <v>00</v>
      </c>
    </row>
    <row r="2494" spans="1:23">
      <c r="A2494" s="3">
        <v>2459</v>
      </c>
      <c r="B2494" s="1">
        <f t="shared" si="600"/>
        <v>0</v>
      </c>
      <c r="C2494" s="1">
        <f t="shared" si="601"/>
        <v>0</v>
      </c>
      <c r="D2494" s="1">
        <f t="shared" ref="D2494:D2545" si="608">+IF(AND(P2494="",Q2494=""),1,0)</f>
        <v>0</v>
      </c>
      <c r="E2494" s="1">
        <f t="shared" si="602"/>
        <v>0</v>
      </c>
      <c r="F2494" s="1">
        <f t="shared" si="602"/>
        <v>0</v>
      </c>
      <c r="G2494" s="1" t="str">
        <f t="shared" ref="G2494:G2545" si="609">IF(H2494=0,"-",_xlfn.CONCAT(K2494,N2494,O2494,J2494))</f>
        <v>24110501</v>
      </c>
      <c r="H2494" s="2">
        <v>45601</v>
      </c>
      <c r="I2494" s="36">
        <v>1</v>
      </c>
      <c r="J2494" s="1" t="str">
        <f t="shared" si="603"/>
        <v>01</v>
      </c>
      <c r="K2494" s="3">
        <f t="shared" si="604"/>
        <v>24</v>
      </c>
      <c r="L2494" s="3">
        <f t="shared" si="605"/>
        <v>11</v>
      </c>
      <c r="M2494" s="3">
        <f t="shared" si="606"/>
        <v>5</v>
      </c>
      <c r="N2494" s="3">
        <f t="shared" si="607"/>
        <v>11</v>
      </c>
      <c r="O2494" s="14" t="str">
        <f t="shared" si="607"/>
        <v>05</v>
      </c>
      <c r="P2494" s="4">
        <v>63675.5</v>
      </c>
      <c r="T2494" s="5" t="s">
        <v>1052</v>
      </c>
      <c r="U2494" s="3" t="s">
        <v>29</v>
      </c>
      <c r="V2494" s="3" t="s">
        <v>5</v>
      </c>
    </row>
    <row r="2495" spans="1:23" hidden="1">
      <c r="G2495" s="38"/>
      <c r="H2495" s="37"/>
      <c r="I2495" s="38"/>
      <c r="J2495" s="38" t="str">
        <f t="shared" si="603"/>
        <v>0</v>
      </c>
      <c r="K2495" s="42">
        <f t="shared" si="604"/>
        <v>-100</v>
      </c>
      <c r="L2495" s="42">
        <f t="shared" si="605"/>
        <v>1</v>
      </c>
      <c r="M2495" s="42">
        <f t="shared" si="606"/>
        <v>0</v>
      </c>
      <c r="N2495" s="42" t="str">
        <f t="shared" si="607"/>
        <v>01</v>
      </c>
      <c r="O2495" s="50" t="str">
        <f t="shared" si="607"/>
        <v>00</v>
      </c>
      <c r="P2495" s="39"/>
      <c r="Q2495" s="40"/>
      <c r="R2495" s="41"/>
      <c r="S2495" s="40"/>
      <c r="T2495" s="40"/>
      <c r="U2495" s="42"/>
      <c r="V2495" s="42"/>
      <c r="W2495" s="42"/>
    </row>
    <row r="2496" spans="1:23" hidden="1">
      <c r="J2496" s="1" t="str">
        <f t="shared" si="603"/>
        <v>0</v>
      </c>
      <c r="K2496" s="3">
        <f t="shared" si="604"/>
        <v>-100</v>
      </c>
      <c r="L2496" s="3">
        <f t="shared" si="605"/>
        <v>1</v>
      </c>
      <c r="M2496" s="3">
        <f t="shared" si="606"/>
        <v>0</v>
      </c>
      <c r="N2496" s="3" t="str">
        <f t="shared" si="607"/>
        <v>01</v>
      </c>
      <c r="O2496" s="14" t="str">
        <f t="shared" si="607"/>
        <v>00</v>
      </c>
    </row>
    <row r="2497" spans="1:23">
      <c r="A2497" s="3">
        <v>2462</v>
      </c>
      <c r="B2497" s="1">
        <f t="shared" si="600"/>
        <v>0</v>
      </c>
      <c r="C2497" s="1">
        <f t="shared" si="601"/>
        <v>1</v>
      </c>
      <c r="D2497" s="1">
        <f t="shared" si="608"/>
        <v>0</v>
      </c>
      <c r="E2497" s="1">
        <f t="shared" si="602"/>
        <v>0</v>
      </c>
      <c r="F2497" s="1">
        <f t="shared" si="602"/>
        <v>0</v>
      </c>
      <c r="G2497" s="1" t="str">
        <f t="shared" si="609"/>
        <v>24110504</v>
      </c>
      <c r="H2497" s="2">
        <v>45601</v>
      </c>
      <c r="I2497" s="36">
        <v>4</v>
      </c>
      <c r="J2497" s="1" t="str">
        <f t="shared" si="603"/>
        <v>04</v>
      </c>
      <c r="K2497" s="3">
        <f t="shared" si="604"/>
        <v>24</v>
      </c>
      <c r="L2497" s="3">
        <f t="shared" si="605"/>
        <v>11</v>
      </c>
      <c r="M2497" s="3">
        <f t="shared" si="606"/>
        <v>5</v>
      </c>
      <c r="N2497" s="3">
        <f t="shared" si="607"/>
        <v>11</v>
      </c>
      <c r="O2497" s="14" t="str">
        <f t="shared" si="607"/>
        <v>05</v>
      </c>
      <c r="P2497" s="4">
        <v>623497.30000000005</v>
      </c>
      <c r="T2497" s="5" t="s">
        <v>1055</v>
      </c>
      <c r="U2497" s="3" t="s">
        <v>2</v>
      </c>
      <c r="V2497" s="3" t="s">
        <v>5</v>
      </c>
    </row>
    <row r="2498" spans="1:23" hidden="1">
      <c r="J2498" s="1" t="str">
        <f t="shared" si="603"/>
        <v>0</v>
      </c>
      <c r="K2498" s="3">
        <f t="shared" si="604"/>
        <v>-100</v>
      </c>
      <c r="L2498" s="3">
        <f t="shared" si="605"/>
        <v>1</v>
      </c>
      <c r="M2498" s="3">
        <f t="shared" si="606"/>
        <v>0</v>
      </c>
      <c r="N2498" s="3" t="str">
        <f t="shared" si="607"/>
        <v>01</v>
      </c>
      <c r="O2498" s="14" t="str">
        <f t="shared" si="607"/>
        <v>00</v>
      </c>
    </row>
    <row r="2499" spans="1:23" hidden="1">
      <c r="H2499" s="37"/>
      <c r="I2499" s="38"/>
      <c r="J2499" s="1" t="str">
        <f t="shared" si="603"/>
        <v>0</v>
      </c>
      <c r="K2499" s="3">
        <f t="shared" si="604"/>
        <v>-100</v>
      </c>
      <c r="L2499" s="3">
        <f t="shared" si="605"/>
        <v>1</v>
      </c>
      <c r="M2499" s="3">
        <f t="shared" si="606"/>
        <v>0</v>
      </c>
      <c r="N2499" s="3" t="str">
        <f t="shared" si="607"/>
        <v>01</v>
      </c>
      <c r="O2499" s="14" t="str">
        <f t="shared" si="607"/>
        <v>00</v>
      </c>
      <c r="P2499" s="39"/>
      <c r="Q2499" s="40"/>
      <c r="R2499" s="41"/>
      <c r="S2499" s="40"/>
      <c r="T2499" s="40"/>
      <c r="U2499" s="42"/>
      <c r="V2499" s="42"/>
      <c r="W2499" s="42"/>
    </row>
    <row r="2500" spans="1:23" hidden="1">
      <c r="J2500" s="1" t="str">
        <f t="shared" si="603"/>
        <v>0</v>
      </c>
      <c r="K2500" s="3">
        <f t="shared" si="604"/>
        <v>-100</v>
      </c>
      <c r="L2500" s="3">
        <f t="shared" si="605"/>
        <v>1</v>
      </c>
      <c r="M2500" s="3">
        <f t="shared" si="606"/>
        <v>0</v>
      </c>
      <c r="N2500" s="3" t="str">
        <f t="shared" si="607"/>
        <v>01</v>
      </c>
      <c r="O2500" s="14" t="str">
        <f t="shared" si="607"/>
        <v>00</v>
      </c>
    </row>
    <row r="2501" spans="1:23" hidden="1">
      <c r="J2501" s="1" t="str">
        <f t="shared" si="603"/>
        <v>0</v>
      </c>
      <c r="K2501" s="3">
        <f t="shared" si="604"/>
        <v>-100</v>
      </c>
      <c r="L2501" s="3">
        <f t="shared" si="605"/>
        <v>1</v>
      </c>
      <c r="M2501" s="3">
        <f t="shared" si="606"/>
        <v>0</v>
      </c>
      <c r="N2501" s="3" t="str">
        <f t="shared" si="607"/>
        <v>01</v>
      </c>
      <c r="O2501" s="14" t="str">
        <f t="shared" si="607"/>
        <v>00</v>
      </c>
    </row>
    <row r="2502" spans="1:23" hidden="1">
      <c r="J2502" s="1" t="str">
        <f t="shared" si="603"/>
        <v>0</v>
      </c>
      <c r="K2502" s="3">
        <f t="shared" si="604"/>
        <v>-100</v>
      </c>
      <c r="L2502" s="3">
        <f t="shared" si="605"/>
        <v>1</v>
      </c>
      <c r="M2502" s="3">
        <f t="shared" si="606"/>
        <v>0</v>
      </c>
      <c r="N2502" s="3" t="str">
        <f t="shared" si="607"/>
        <v>01</v>
      </c>
      <c r="O2502" s="14" t="str">
        <f t="shared" si="607"/>
        <v>00</v>
      </c>
    </row>
    <row r="2503" spans="1:23" hidden="1">
      <c r="J2503" s="1" t="str">
        <f t="shared" si="603"/>
        <v>0</v>
      </c>
      <c r="K2503" s="3">
        <f t="shared" si="604"/>
        <v>-100</v>
      </c>
      <c r="L2503" s="3">
        <f t="shared" si="605"/>
        <v>1</v>
      </c>
      <c r="M2503" s="3">
        <f t="shared" si="606"/>
        <v>0</v>
      </c>
      <c r="N2503" s="3" t="str">
        <f t="shared" si="607"/>
        <v>01</v>
      </c>
      <c r="O2503" s="14" t="str">
        <f t="shared" si="607"/>
        <v>00</v>
      </c>
    </row>
    <row r="2504" spans="1:23" hidden="1">
      <c r="J2504" s="1" t="str">
        <f t="shared" si="603"/>
        <v>0</v>
      </c>
      <c r="K2504" s="3">
        <f t="shared" si="604"/>
        <v>-100</v>
      </c>
      <c r="L2504" s="3">
        <f t="shared" si="605"/>
        <v>1</v>
      </c>
      <c r="M2504" s="3">
        <f t="shared" si="606"/>
        <v>0</v>
      </c>
      <c r="N2504" s="3" t="str">
        <f t="shared" si="607"/>
        <v>01</v>
      </c>
      <c r="O2504" s="14" t="str">
        <f t="shared" si="607"/>
        <v>00</v>
      </c>
    </row>
    <row r="2505" spans="1:23" hidden="1">
      <c r="J2505" s="1" t="str">
        <f t="shared" si="603"/>
        <v>0</v>
      </c>
      <c r="K2505" s="3">
        <f t="shared" si="604"/>
        <v>-100</v>
      </c>
      <c r="L2505" s="3">
        <f t="shared" si="605"/>
        <v>1</v>
      </c>
      <c r="M2505" s="3">
        <f t="shared" si="606"/>
        <v>0</v>
      </c>
      <c r="N2505" s="3" t="str">
        <f t="shared" si="607"/>
        <v>01</v>
      </c>
      <c r="O2505" s="14" t="str">
        <f t="shared" si="607"/>
        <v>00</v>
      </c>
    </row>
    <row r="2506" spans="1:23" hidden="1">
      <c r="J2506" s="1" t="str">
        <f t="shared" si="603"/>
        <v>0</v>
      </c>
      <c r="K2506" s="3">
        <f t="shared" si="604"/>
        <v>-100</v>
      </c>
      <c r="L2506" s="3">
        <f t="shared" si="605"/>
        <v>1</v>
      </c>
      <c r="M2506" s="3">
        <f t="shared" si="606"/>
        <v>0</v>
      </c>
      <c r="N2506" s="3" t="str">
        <f t="shared" si="607"/>
        <v>01</v>
      </c>
      <c r="O2506" s="14" t="str">
        <f t="shared" si="607"/>
        <v>00</v>
      </c>
    </row>
    <row r="2507" spans="1:23" hidden="1">
      <c r="J2507" s="1" t="str">
        <f t="shared" si="603"/>
        <v>0</v>
      </c>
      <c r="K2507" s="3">
        <f t="shared" si="604"/>
        <v>-100</v>
      </c>
      <c r="L2507" s="3">
        <f t="shared" si="605"/>
        <v>1</v>
      </c>
      <c r="M2507" s="3">
        <f t="shared" si="606"/>
        <v>0</v>
      </c>
      <c r="N2507" s="3" t="str">
        <f t="shared" si="607"/>
        <v>01</v>
      </c>
      <c r="O2507" s="14" t="str">
        <f t="shared" si="607"/>
        <v>00</v>
      </c>
    </row>
    <row r="2508" spans="1:23" hidden="1">
      <c r="J2508" s="1" t="str">
        <f t="shared" si="603"/>
        <v>0</v>
      </c>
      <c r="K2508" s="3">
        <f t="shared" si="604"/>
        <v>-100</v>
      </c>
      <c r="L2508" s="3">
        <f t="shared" si="605"/>
        <v>1</v>
      </c>
      <c r="M2508" s="3">
        <f t="shared" si="606"/>
        <v>0</v>
      </c>
      <c r="N2508" s="3" t="str">
        <f t="shared" si="607"/>
        <v>01</v>
      </c>
      <c r="O2508" s="14" t="str">
        <f t="shared" si="607"/>
        <v>00</v>
      </c>
    </row>
    <row r="2509" spans="1:23" hidden="1">
      <c r="J2509" s="1" t="str">
        <f t="shared" si="603"/>
        <v>0</v>
      </c>
      <c r="K2509" s="3">
        <f t="shared" si="604"/>
        <v>-100</v>
      </c>
      <c r="L2509" s="3">
        <f t="shared" si="605"/>
        <v>1</v>
      </c>
      <c r="M2509" s="3">
        <f t="shared" si="606"/>
        <v>0</v>
      </c>
      <c r="N2509" s="3" t="str">
        <f t="shared" si="607"/>
        <v>01</v>
      </c>
      <c r="O2509" s="14" t="str">
        <f t="shared" si="607"/>
        <v>00</v>
      </c>
    </row>
    <row r="2510" spans="1:23" hidden="1">
      <c r="J2510" s="1" t="str">
        <f t="shared" si="603"/>
        <v>0</v>
      </c>
      <c r="K2510" s="3">
        <f t="shared" si="604"/>
        <v>-100</v>
      </c>
      <c r="L2510" s="3">
        <f t="shared" si="605"/>
        <v>1</v>
      </c>
      <c r="M2510" s="3">
        <f t="shared" si="606"/>
        <v>0</v>
      </c>
      <c r="N2510" s="3" t="str">
        <f t="shared" si="607"/>
        <v>01</v>
      </c>
      <c r="O2510" s="14" t="str">
        <f t="shared" si="607"/>
        <v>00</v>
      </c>
    </row>
    <row r="2511" spans="1:23" hidden="1">
      <c r="J2511" s="1" t="str">
        <f t="shared" si="603"/>
        <v>0</v>
      </c>
      <c r="K2511" s="3">
        <f t="shared" si="604"/>
        <v>-100</v>
      </c>
      <c r="L2511" s="3">
        <f t="shared" si="605"/>
        <v>1</v>
      </c>
      <c r="M2511" s="3">
        <f t="shared" si="606"/>
        <v>0</v>
      </c>
      <c r="N2511" s="3" t="str">
        <f t="shared" si="607"/>
        <v>01</v>
      </c>
      <c r="O2511" s="14" t="str">
        <f t="shared" si="607"/>
        <v>00</v>
      </c>
    </row>
    <row r="2512" spans="1:23" hidden="1">
      <c r="J2512" s="1" t="str">
        <f t="shared" si="603"/>
        <v>0</v>
      </c>
      <c r="K2512" s="3">
        <f t="shared" si="604"/>
        <v>-100</v>
      </c>
      <c r="L2512" s="3">
        <f t="shared" si="605"/>
        <v>1</v>
      </c>
      <c r="M2512" s="3">
        <f t="shared" si="606"/>
        <v>0</v>
      </c>
      <c r="N2512" s="3" t="str">
        <f t="shared" si="607"/>
        <v>01</v>
      </c>
      <c r="O2512" s="14" t="str">
        <f t="shared" si="607"/>
        <v>00</v>
      </c>
    </row>
    <row r="2513" spans="1:22" hidden="1">
      <c r="J2513" s="1" t="str">
        <f t="shared" si="603"/>
        <v>0</v>
      </c>
      <c r="K2513" s="3">
        <f t="shared" si="604"/>
        <v>-100</v>
      </c>
      <c r="L2513" s="3">
        <f t="shared" si="605"/>
        <v>1</v>
      </c>
      <c r="M2513" s="3">
        <f t="shared" si="606"/>
        <v>0</v>
      </c>
      <c r="N2513" s="3" t="str">
        <f t="shared" si="607"/>
        <v>01</v>
      </c>
      <c r="O2513" s="14" t="str">
        <f t="shared" si="607"/>
        <v>00</v>
      </c>
    </row>
    <row r="2514" spans="1:22">
      <c r="A2514" s="3">
        <v>2746</v>
      </c>
      <c r="B2514" s="1">
        <f t="shared" si="600"/>
        <v>0</v>
      </c>
      <c r="C2514" s="1">
        <f t="shared" si="601"/>
        <v>1</v>
      </c>
      <c r="D2514" s="1">
        <f t="shared" si="608"/>
        <v>0</v>
      </c>
      <c r="E2514" s="1">
        <f t="shared" si="602"/>
        <v>0</v>
      </c>
      <c r="F2514" s="1">
        <f t="shared" si="602"/>
        <v>0</v>
      </c>
      <c r="G2514" s="1" t="str">
        <f t="shared" si="609"/>
        <v>24110803</v>
      </c>
      <c r="H2514" s="2">
        <v>45604</v>
      </c>
      <c r="I2514" s="36">
        <v>3</v>
      </c>
      <c r="J2514" s="1" t="str">
        <f t="shared" si="603"/>
        <v>03</v>
      </c>
      <c r="K2514" s="3">
        <f t="shared" si="604"/>
        <v>24</v>
      </c>
      <c r="L2514" s="3">
        <f t="shared" si="605"/>
        <v>11</v>
      </c>
      <c r="M2514" s="3">
        <f t="shared" si="606"/>
        <v>8</v>
      </c>
      <c r="N2514" s="3">
        <f t="shared" si="607"/>
        <v>11</v>
      </c>
      <c r="O2514" s="14" t="str">
        <f t="shared" si="607"/>
        <v>08</v>
      </c>
      <c r="P2514" s="4">
        <v>24000</v>
      </c>
      <c r="T2514" s="5" t="s">
        <v>1206</v>
      </c>
      <c r="U2514" s="3" t="s">
        <v>29</v>
      </c>
      <c r="V2514" s="3" t="s">
        <v>5</v>
      </c>
    </row>
    <row r="2515" spans="1:22">
      <c r="A2515" s="3">
        <v>2476</v>
      </c>
      <c r="B2515" s="1">
        <f t="shared" si="600"/>
        <v>0</v>
      </c>
      <c r="C2515" s="1">
        <f t="shared" si="601"/>
        <v>0</v>
      </c>
      <c r="D2515" s="1">
        <f t="shared" si="608"/>
        <v>0</v>
      </c>
      <c r="E2515" s="1">
        <f t="shared" si="602"/>
        <v>0</v>
      </c>
      <c r="F2515" s="1">
        <f t="shared" si="602"/>
        <v>0</v>
      </c>
      <c r="G2515" s="1" t="str">
        <f t="shared" si="609"/>
        <v>24110901</v>
      </c>
      <c r="H2515" s="2">
        <v>45605</v>
      </c>
      <c r="I2515" s="36">
        <v>1</v>
      </c>
      <c r="J2515" s="1" t="str">
        <f t="shared" si="603"/>
        <v>01</v>
      </c>
      <c r="K2515" s="3">
        <f t="shared" si="604"/>
        <v>24</v>
      </c>
      <c r="L2515" s="3">
        <f t="shared" si="605"/>
        <v>11</v>
      </c>
      <c r="M2515" s="3">
        <f t="shared" si="606"/>
        <v>9</v>
      </c>
      <c r="N2515" s="3">
        <f t="shared" si="607"/>
        <v>11</v>
      </c>
      <c r="O2515" s="14" t="str">
        <f t="shared" si="607"/>
        <v>09</v>
      </c>
      <c r="P2515" s="4">
        <v>12309.94</v>
      </c>
      <c r="T2515" s="5" t="s">
        <v>1082</v>
      </c>
      <c r="U2515" s="3" t="s">
        <v>29</v>
      </c>
      <c r="V2515" s="3" t="s">
        <v>5</v>
      </c>
    </row>
    <row r="2516" spans="1:22" hidden="1">
      <c r="J2516" s="1" t="str">
        <f t="shared" si="603"/>
        <v>0</v>
      </c>
      <c r="K2516" s="3">
        <f t="shared" si="604"/>
        <v>-100</v>
      </c>
      <c r="L2516" s="3">
        <f t="shared" si="605"/>
        <v>1</v>
      </c>
      <c r="M2516" s="3">
        <f t="shared" si="606"/>
        <v>0</v>
      </c>
      <c r="N2516" s="3" t="str">
        <f t="shared" si="607"/>
        <v>01</v>
      </c>
      <c r="O2516" s="14" t="str">
        <f t="shared" si="607"/>
        <v>00</v>
      </c>
    </row>
    <row r="2517" spans="1:22" hidden="1">
      <c r="J2517" s="1" t="str">
        <f t="shared" si="603"/>
        <v>0</v>
      </c>
      <c r="K2517" s="3">
        <f t="shared" si="604"/>
        <v>-100</v>
      </c>
      <c r="L2517" s="3">
        <f t="shared" si="605"/>
        <v>1</v>
      </c>
      <c r="M2517" s="3">
        <f t="shared" si="606"/>
        <v>0</v>
      </c>
      <c r="N2517" s="3" t="str">
        <f t="shared" si="607"/>
        <v>01</v>
      </c>
      <c r="O2517" s="14" t="str">
        <f t="shared" si="607"/>
        <v>00</v>
      </c>
    </row>
    <row r="2518" spans="1:22">
      <c r="A2518" s="3">
        <v>2479</v>
      </c>
      <c r="B2518" s="1">
        <f t="shared" si="600"/>
        <v>0</v>
      </c>
      <c r="C2518" s="1">
        <f t="shared" si="601"/>
        <v>1</v>
      </c>
      <c r="D2518" s="1">
        <f t="shared" si="608"/>
        <v>0</v>
      </c>
      <c r="E2518" s="1">
        <f t="shared" si="602"/>
        <v>0</v>
      </c>
      <c r="F2518" s="1">
        <f t="shared" si="602"/>
        <v>0</v>
      </c>
      <c r="G2518" s="1" t="str">
        <f t="shared" si="609"/>
        <v>24110904</v>
      </c>
      <c r="H2518" s="2">
        <v>45605</v>
      </c>
      <c r="I2518" s="36">
        <v>4</v>
      </c>
      <c r="J2518" s="1" t="str">
        <f t="shared" si="603"/>
        <v>04</v>
      </c>
      <c r="K2518" s="3">
        <f t="shared" si="604"/>
        <v>24</v>
      </c>
      <c r="L2518" s="3">
        <f t="shared" si="605"/>
        <v>11</v>
      </c>
      <c r="M2518" s="3">
        <f t="shared" si="606"/>
        <v>9</v>
      </c>
      <c r="N2518" s="3">
        <f t="shared" si="607"/>
        <v>11</v>
      </c>
      <c r="O2518" s="14" t="str">
        <f t="shared" si="607"/>
        <v>09</v>
      </c>
      <c r="P2518" s="4">
        <v>1943600</v>
      </c>
      <c r="T2518" s="5" t="s">
        <v>1085</v>
      </c>
      <c r="U2518" s="3" t="s">
        <v>305</v>
      </c>
      <c r="V2518" s="3" t="s">
        <v>5</v>
      </c>
    </row>
    <row r="2519" spans="1:22">
      <c r="A2519" s="3">
        <v>2480</v>
      </c>
      <c r="B2519" s="1">
        <f t="shared" si="600"/>
        <v>0</v>
      </c>
      <c r="C2519" s="1">
        <f t="shared" si="601"/>
        <v>0</v>
      </c>
      <c r="D2519" s="1">
        <f t="shared" si="608"/>
        <v>0</v>
      </c>
      <c r="E2519" s="1">
        <f t="shared" si="602"/>
        <v>0</v>
      </c>
      <c r="F2519" s="1">
        <f t="shared" si="602"/>
        <v>0</v>
      </c>
      <c r="G2519" s="1" t="str">
        <f t="shared" si="609"/>
        <v>24110905</v>
      </c>
      <c r="H2519" s="2">
        <v>45605</v>
      </c>
      <c r="I2519" s="36">
        <v>5</v>
      </c>
      <c r="J2519" s="1" t="str">
        <f t="shared" si="603"/>
        <v>05</v>
      </c>
      <c r="K2519" s="3">
        <f t="shared" si="604"/>
        <v>24</v>
      </c>
      <c r="L2519" s="3">
        <f t="shared" si="605"/>
        <v>11</v>
      </c>
      <c r="M2519" s="3">
        <f t="shared" si="606"/>
        <v>9</v>
      </c>
      <c r="N2519" s="3">
        <f t="shared" si="607"/>
        <v>11</v>
      </c>
      <c r="O2519" s="14" t="str">
        <f t="shared" si="607"/>
        <v>09</v>
      </c>
      <c r="P2519" s="4">
        <v>159000</v>
      </c>
      <c r="T2519" s="23" t="s">
        <v>1094</v>
      </c>
      <c r="U2519" s="3" t="s">
        <v>1</v>
      </c>
      <c r="V2519" s="3" t="s">
        <v>5</v>
      </c>
    </row>
    <row r="2520" spans="1:22">
      <c r="A2520" s="3">
        <v>2481</v>
      </c>
      <c r="B2520" s="1">
        <f t="shared" si="600"/>
        <v>0</v>
      </c>
      <c r="C2520" s="1">
        <f t="shared" si="601"/>
        <v>0</v>
      </c>
      <c r="D2520" s="1">
        <f t="shared" si="608"/>
        <v>0</v>
      </c>
      <c r="E2520" s="1">
        <f t="shared" si="602"/>
        <v>0</v>
      </c>
      <c r="F2520" s="1">
        <f t="shared" si="602"/>
        <v>0</v>
      </c>
      <c r="G2520" s="1" t="str">
        <f t="shared" si="609"/>
        <v>24110906</v>
      </c>
      <c r="H2520" s="2">
        <v>45605</v>
      </c>
      <c r="I2520" s="36">
        <v>6</v>
      </c>
      <c r="J2520" s="1" t="str">
        <f t="shared" si="603"/>
        <v>06</v>
      </c>
      <c r="K2520" s="3">
        <f t="shared" si="604"/>
        <v>24</v>
      </c>
      <c r="L2520" s="3">
        <f t="shared" si="605"/>
        <v>11</v>
      </c>
      <c r="M2520" s="3">
        <f t="shared" si="606"/>
        <v>9</v>
      </c>
      <c r="N2520" s="3">
        <f t="shared" si="607"/>
        <v>11</v>
      </c>
      <c r="O2520" s="14" t="str">
        <f t="shared" si="607"/>
        <v>09</v>
      </c>
      <c r="P2520" s="4">
        <v>159000</v>
      </c>
      <c r="T2520" s="23" t="s">
        <v>1095</v>
      </c>
      <c r="U2520" s="3" t="s">
        <v>1</v>
      </c>
      <c r="V2520" s="3" t="s">
        <v>5</v>
      </c>
    </row>
    <row r="2521" spans="1:22">
      <c r="A2521" s="3">
        <v>2482</v>
      </c>
      <c r="B2521" s="1">
        <f t="shared" si="600"/>
        <v>0</v>
      </c>
      <c r="C2521" s="1">
        <f t="shared" si="601"/>
        <v>0</v>
      </c>
      <c r="D2521" s="1">
        <f t="shared" si="608"/>
        <v>0</v>
      </c>
      <c r="E2521" s="1">
        <f t="shared" si="602"/>
        <v>0</v>
      </c>
      <c r="F2521" s="1">
        <f t="shared" si="602"/>
        <v>0</v>
      </c>
      <c r="G2521" s="1" t="str">
        <f t="shared" si="609"/>
        <v>24110907</v>
      </c>
      <c r="H2521" s="2">
        <v>45605</v>
      </c>
      <c r="I2521" s="36">
        <v>7</v>
      </c>
      <c r="J2521" s="1" t="str">
        <f t="shared" si="603"/>
        <v>07</v>
      </c>
      <c r="K2521" s="3">
        <f t="shared" si="604"/>
        <v>24</v>
      </c>
      <c r="L2521" s="3">
        <f t="shared" si="605"/>
        <v>11</v>
      </c>
      <c r="M2521" s="3">
        <f t="shared" si="606"/>
        <v>9</v>
      </c>
      <c r="N2521" s="3">
        <f t="shared" si="607"/>
        <v>11</v>
      </c>
      <c r="O2521" s="14" t="str">
        <f t="shared" si="607"/>
        <v>09</v>
      </c>
      <c r="P2521" s="4">
        <v>132000</v>
      </c>
      <c r="T2521" s="23" t="s">
        <v>1096</v>
      </c>
      <c r="U2521" s="3" t="s">
        <v>1</v>
      </c>
      <c r="V2521" s="3" t="s">
        <v>5</v>
      </c>
    </row>
    <row r="2522" spans="1:22">
      <c r="A2522" s="3">
        <v>2483</v>
      </c>
      <c r="B2522" s="1">
        <f t="shared" si="600"/>
        <v>0</v>
      </c>
      <c r="C2522" s="1">
        <f t="shared" si="601"/>
        <v>0</v>
      </c>
      <c r="D2522" s="1">
        <f t="shared" si="608"/>
        <v>0</v>
      </c>
      <c r="E2522" s="1">
        <f t="shared" si="602"/>
        <v>0</v>
      </c>
      <c r="F2522" s="1">
        <f t="shared" si="602"/>
        <v>0</v>
      </c>
      <c r="G2522" s="1" t="str">
        <f t="shared" si="609"/>
        <v>24110908</v>
      </c>
      <c r="H2522" s="2">
        <v>45605</v>
      </c>
      <c r="I2522" s="36">
        <v>8</v>
      </c>
      <c r="J2522" s="1" t="str">
        <f t="shared" si="603"/>
        <v>08</v>
      </c>
      <c r="K2522" s="3">
        <f t="shared" si="604"/>
        <v>24</v>
      </c>
      <c r="L2522" s="3">
        <f t="shared" si="605"/>
        <v>11</v>
      </c>
      <c r="M2522" s="3">
        <f t="shared" si="606"/>
        <v>9</v>
      </c>
      <c r="N2522" s="3">
        <f t="shared" si="607"/>
        <v>11</v>
      </c>
      <c r="O2522" s="14" t="str">
        <f t="shared" si="607"/>
        <v>09</v>
      </c>
      <c r="P2522" s="4">
        <v>138000</v>
      </c>
      <c r="T2522" s="23" t="s">
        <v>1097</v>
      </c>
      <c r="U2522" s="3" t="s">
        <v>1</v>
      </c>
      <c r="V2522" s="3" t="s">
        <v>5</v>
      </c>
    </row>
    <row r="2523" spans="1:22">
      <c r="A2523" s="3">
        <v>2484</v>
      </c>
      <c r="B2523" s="1">
        <f t="shared" si="600"/>
        <v>0</v>
      </c>
      <c r="C2523" s="1">
        <f t="shared" si="601"/>
        <v>0</v>
      </c>
      <c r="D2523" s="1">
        <f t="shared" si="608"/>
        <v>0</v>
      </c>
      <c r="E2523" s="1">
        <f t="shared" si="602"/>
        <v>0</v>
      </c>
      <c r="F2523" s="1">
        <f t="shared" si="602"/>
        <v>0</v>
      </c>
      <c r="G2523" s="1" t="str">
        <f t="shared" si="609"/>
        <v>24110909</v>
      </c>
      <c r="H2523" s="2">
        <v>45605</v>
      </c>
      <c r="I2523" s="36">
        <v>9</v>
      </c>
      <c r="J2523" s="1" t="str">
        <f t="shared" si="603"/>
        <v>09</v>
      </c>
      <c r="K2523" s="3">
        <f t="shared" si="604"/>
        <v>24</v>
      </c>
      <c r="L2523" s="3">
        <f t="shared" si="605"/>
        <v>11</v>
      </c>
      <c r="M2523" s="3">
        <f t="shared" si="606"/>
        <v>9</v>
      </c>
      <c r="N2523" s="3">
        <f t="shared" si="607"/>
        <v>11</v>
      </c>
      <c r="O2523" s="14" t="str">
        <f t="shared" si="607"/>
        <v>09</v>
      </c>
      <c r="P2523" s="4">
        <v>132000</v>
      </c>
      <c r="T2523" s="23" t="s">
        <v>1098</v>
      </c>
      <c r="U2523" s="3" t="s">
        <v>1</v>
      </c>
      <c r="V2523" s="3" t="s">
        <v>5</v>
      </c>
    </row>
    <row r="2524" spans="1:22">
      <c r="A2524" s="3">
        <v>2485</v>
      </c>
      <c r="B2524" s="1">
        <f t="shared" si="600"/>
        <v>0</v>
      </c>
      <c r="C2524" s="1">
        <f t="shared" si="601"/>
        <v>0</v>
      </c>
      <c r="D2524" s="1">
        <f t="shared" si="608"/>
        <v>0</v>
      </c>
      <c r="E2524" s="1">
        <f t="shared" si="602"/>
        <v>0</v>
      </c>
      <c r="F2524" s="1">
        <f t="shared" si="602"/>
        <v>0</v>
      </c>
      <c r="G2524" s="1" t="str">
        <f t="shared" si="609"/>
        <v>24110910</v>
      </c>
      <c r="H2524" s="2">
        <v>45605</v>
      </c>
      <c r="I2524" s="36">
        <v>10</v>
      </c>
      <c r="J2524" s="1">
        <f t="shared" si="603"/>
        <v>10</v>
      </c>
      <c r="K2524" s="3">
        <f t="shared" si="604"/>
        <v>24</v>
      </c>
      <c r="L2524" s="3">
        <f t="shared" si="605"/>
        <v>11</v>
      </c>
      <c r="M2524" s="3">
        <f t="shared" si="606"/>
        <v>9</v>
      </c>
      <c r="N2524" s="3">
        <f t="shared" si="607"/>
        <v>11</v>
      </c>
      <c r="O2524" s="14" t="str">
        <f t="shared" si="607"/>
        <v>09</v>
      </c>
      <c r="P2524" s="4">
        <v>132000</v>
      </c>
      <c r="T2524" s="23" t="s">
        <v>1099</v>
      </c>
      <c r="U2524" s="3" t="s">
        <v>1</v>
      </c>
      <c r="V2524" s="3" t="s">
        <v>5</v>
      </c>
    </row>
    <row r="2525" spans="1:22">
      <c r="A2525" s="3">
        <v>2486</v>
      </c>
      <c r="B2525" s="1">
        <f t="shared" si="600"/>
        <v>0</v>
      </c>
      <c r="C2525" s="1">
        <f t="shared" si="601"/>
        <v>0</v>
      </c>
      <c r="D2525" s="1">
        <f t="shared" si="608"/>
        <v>0</v>
      </c>
      <c r="E2525" s="1">
        <f t="shared" si="602"/>
        <v>0</v>
      </c>
      <c r="F2525" s="1">
        <f t="shared" si="602"/>
        <v>0</v>
      </c>
      <c r="G2525" s="1" t="str">
        <f t="shared" si="609"/>
        <v>24110911</v>
      </c>
      <c r="H2525" s="2">
        <v>45605</v>
      </c>
      <c r="I2525" s="36">
        <v>11</v>
      </c>
      <c r="J2525" s="1">
        <f t="shared" si="603"/>
        <v>11</v>
      </c>
      <c r="K2525" s="3">
        <f t="shared" si="604"/>
        <v>24</v>
      </c>
      <c r="L2525" s="3">
        <f t="shared" si="605"/>
        <v>11</v>
      </c>
      <c r="M2525" s="3">
        <f t="shared" si="606"/>
        <v>9</v>
      </c>
      <c r="N2525" s="3">
        <f t="shared" si="607"/>
        <v>11</v>
      </c>
      <c r="O2525" s="14" t="str">
        <f t="shared" si="607"/>
        <v>09</v>
      </c>
      <c r="P2525" s="4">
        <v>132000</v>
      </c>
      <c r="T2525" s="25" t="s">
        <v>1100</v>
      </c>
      <c r="U2525" s="3" t="s">
        <v>1</v>
      </c>
      <c r="V2525" s="3" t="s">
        <v>5</v>
      </c>
    </row>
    <row r="2526" spans="1:22">
      <c r="A2526" s="3">
        <v>2487</v>
      </c>
      <c r="B2526" s="1">
        <f t="shared" si="600"/>
        <v>0</v>
      </c>
      <c r="C2526" s="1">
        <f t="shared" si="601"/>
        <v>0</v>
      </c>
      <c r="D2526" s="1">
        <f t="shared" si="608"/>
        <v>0</v>
      </c>
      <c r="E2526" s="1">
        <f t="shared" si="602"/>
        <v>0</v>
      </c>
      <c r="F2526" s="1">
        <f t="shared" si="602"/>
        <v>0</v>
      </c>
      <c r="G2526" s="1" t="str">
        <f t="shared" si="609"/>
        <v>24110912</v>
      </c>
      <c r="H2526" s="2">
        <v>45605</v>
      </c>
      <c r="I2526" s="36">
        <v>12</v>
      </c>
      <c r="J2526" s="1">
        <f t="shared" si="603"/>
        <v>12</v>
      </c>
      <c r="K2526" s="3">
        <f t="shared" si="604"/>
        <v>24</v>
      </c>
      <c r="L2526" s="3">
        <f t="shared" si="605"/>
        <v>11</v>
      </c>
      <c r="M2526" s="3">
        <f t="shared" si="606"/>
        <v>9</v>
      </c>
      <c r="N2526" s="3">
        <f t="shared" si="607"/>
        <v>11</v>
      </c>
      <c r="O2526" s="14" t="str">
        <f t="shared" si="607"/>
        <v>09</v>
      </c>
      <c r="P2526" s="4">
        <v>108000</v>
      </c>
      <c r="T2526" s="25" t="s">
        <v>1101</v>
      </c>
      <c r="U2526" s="3" t="s">
        <v>1</v>
      </c>
      <c r="V2526" s="3" t="s">
        <v>5</v>
      </c>
    </row>
    <row r="2527" spans="1:22">
      <c r="A2527" s="3">
        <v>2488</v>
      </c>
      <c r="B2527" s="1">
        <f t="shared" si="600"/>
        <v>0</v>
      </c>
      <c r="C2527" s="1">
        <f t="shared" si="601"/>
        <v>0</v>
      </c>
      <c r="D2527" s="1">
        <f t="shared" si="608"/>
        <v>0</v>
      </c>
      <c r="E2527" s="1">
        <f t="shared" si="602"/>
        <v>0</v>
      </c>
      <c r="F2527" s="1">
        <f t="shared" si="602"/>
        <v>0</v>
      </c>
      <c r="G2527" s="1" t="str">
        <f t="shared" si="609"/>
        <v>24110913</v>
      </c>
      <c r="H2527" s="2">
        <v>45605</v>
      </c>
      <c r="I2527" s="36">
        <v>13</v>
      </c>
      <c r="J2527" s="1">
        <f t="shared" si="603"/>
        <v>13</v>
      </c>
      <c r="K2527" s="3">
        <f t="shared" si="604"/>
        <v>24</v>
      </c>
      <c r="L2527" s="3">
        <f t="shared" si="605"/>
        <v>11</v>
      </c>
      <c r="M2527" s="3">
        <f t="shared" si="606"/>
        <v>9</v>
      </c>
      <c r="N2527" s="3">
        <f t="shared" si="607"/>
        <v>11</v>
      </c>
      <c r="O2527" s="14" t="str">
        <f t="shared" si="607"/>
        <v>09</v>
      </c>
      <c r="P2527" s="4">
        <v>150000</v>
      </c>
      <c r="T2527" s="25" t="s">
        <v>1102</v>
      </c>
      <c r="U2527" s="3" t="s">
        <v>1</v>
      </c>
      <c r="V2527" s="3" t="s">
        <v>5</v>
      </c>
    </row>
    <row r="2528" spans="1:22">
      <c r="A2528" s="3">
        <v>2489</v>
      </c>
      <c r="B2528" s="1">
        <f t="shared" si="600"/>
        <v>0</v>
      </c>
      <c r="C2528" s="1">
        <f t="shared" si="601"/>
        <v>0</v>
      </c>
      <c r="D2528" s="1">
        <f t="shared" si="608"/>
        <v>0</v>
      </c>
      <c r="E2528" s="1">
        <f t="shared" si="602"/>
        <v>0</v>
      </c>
      <c r="F2528" s="1">
        <f t="shared" si="602"/>
        <v>0</v>
      </c>
      <c r="G2528" s="1" t="str">
        <f t="shared" si="609"/>
        <v>24110914</v>
      </c>
      <c r="H2528" s="2">
        <v>45605</v>
      </c>
      <c r="I2528" s="36">
        <v>14</v>
      </c>
      <c r="J2528" s="1">
        <f t="shared" si="603"/>
        <v>14</v>
      </c>
      <c r="K2528" s="3">
        <f t="shared" si="604"/>
        <v>24</v>
      </c>
      <c r="L2528" s="3">
        <f t="shared" si="605"/>
        <v>11</v>
      </c>
      <c r="M2528" s="3">
        <f t="shared" si="606"/>
        <v>9</v>
      </c>
      <c r="N2528" s="3">
        <f t="shared" si="607"/>
        <v>11</v>
      </c>
      <c r="O2528" s="14" t="str">
        <f t="shared" si="607"/>
        <v>09</v>
      </c>
      <c r="P2528" s="4">
        <v>132000</v>
      </c>
      <c r="T2528" s="25" t="s">
        <v>1103</v>
      </c>
      <c r="U2528" s="3" t="s">
        <v>1</v>
      </c>
      <c r="V2528" s="3" t="s">
        <v>5</v>
      </c>
    </row>
    <row r="2529" spans="1:22">
      <c r="A2529" s="3">
        <v>2490</v>
      </c>
      <c r="B2529" s="1">
        <f t="shared" si="600"/>
        <v>0</v>
      </c>
      <c r="C2529" s="1">
        <f t="shared" si="601"/>
        <v>0</v>
      </c>
      <c r="D2529" s="1">
        <f t="shared" si="608"/>
        <v>0</v>
      </c>
      <c r="E2529" s="1">
        <f t="shared" si="602"/>
        <v>0</v>
      </c>
      <c r="F2529" s="1">
        <f t="shared" si="602"/>
        <v>0</v>
      </c>
      <c r="G2529" s="1" t="str">
        <f t="shared" si="609"/>
        <v>24110915</v>
      </c>
      <c r="H2529" s="2">
        <v>45605</v>
      </c>
      <c r="I2529" s="36">
        <v>15</v>
      </c>
      <c r="J2529" s="1">
        <f t="shared" si="603"/>
        <v>15</v>
      </c>
      <c r="K2529" s="3">
        <f t="shared" si="604"/>
        <v>24</v>
      </c>
      <c r="L2529" s="3">
        <f t="shared" si="605"/>
        <v>11</v>
      </c>
      <c r="M2529" s="3">
        <f t="shared" si="606"/>
        <v>9</v>
      </c>
      <c r="N2529" s="3">
        <f t="shared" si="607"/>
        <v>11</v>
      </c>
      <c r="O2529" s="14" t="str">
        <f t="shared" si="607"/>
        <v>09</v>
      </c>
      <c r="P2529" s="4">
        <v>108000</v>
      </c>
      <c r="T2529" s="25" t="s">
        <v>1104</v>
      </c>
      <c r="U2529" s="3" t="s">
        <v>1</v>
      </c>
      <c r="V2529" s="3" t="s">
        <v>5</v>
      </c>
    </row>
    <row r="2530" spans="1:22">
      <c r="A2530" s="3">
        <v>2491</v>
      </c>
      <c r="B2530" s="1">
        <f t="shared" si="600"/>
        <v>0</v>
      </c>
      <c r="C2530" s="1">
        <f t="shared" si="601"/>
        <v>0</v>
      </c>
      <c r="D2530" s="1">
        <f t="shared" si="608"/>
        <v>0</v>
      </c>
      <c r="E2530" s="1">
        <f t="shared" si="602"/>
        <v>0</v>
      </c>
      <c r="F2530" s="1">
        <f t="shared" si="602"/>
        <v>0</v>
      </c>
      <c r="G2530" s="1" t="str">
        <f t="shared" si="609"/>
        <v>24110916</v>
      </c>
      <c r="H2530" s="2">
        <v>45605</v>
      </c>
      <c r="I2530" s="36">
        <v>16</v>
      </c>
      <c r="J2530" s="1">
        <f t="shared" si="603"/>
        <v>16</v>
      </c>
      <c r="K2530" s="3">
        <f t="shared" si="604"/>
        <v>24</v>
      </c>
      <c r="L2530" s="3">
        <f t="shared" si="605"/>
        <v>11</v>
      </c>
      <c r="M2530" s="3">
        <f t="shared" si="606"/>
        <v>9</v>
      </c>
      <c r="N2530" s="3">
        <f t="shared" si="607"/>
        <v>11</v>
      </c>
      <c r="O2530" s="14" t="str">
        <f t="shared" si="607"/>
        <v>09</v>
      </c>
      <c r="P2530" s="4">
        <v>108000</v>
      </c>
      <c r="T2530" s="25" t="s">
        <v>1105</v>
      </c>
      <c r="U2530" s="3" t="s">
        <v>1</v>
      </c>
      <c r="V2530" s="3" t="s">
        <v>5</v>
      </c>
    </row>
    <row r="2531" spans="1:22">
      <c r="A2531" s="3">
        <v>2492</v>
      </c>
      <c r="B2531" s="1">
        <f t="shared" si="600"/>
        <v>0</v>
      </c>
      <c r="C2531" s="1">
        <f t="shared" si="601"/>
        <v>0</v>
      </c>
      <c r="D2531" s="1">
        <f t="shared" si="608"/>
        <v>0</v>
      </c>
      <c r="E2531" s="1">
        <f t="shared" si="602"/>
        <v>0</v>
      </c>
      <c r="F2531" s="1">
        <f t="shared" si="602"/>
        <v>0</v>
      </c>
      <c r="G2531" s="1" t="str">
        <f t="shared" si="609"/>
        <v>24110917</v>
      </c>
      <c r="H2531" s="2">
        <v>45605</v>
      </c>
      <c r="I2531" s="36">
        <v>17</v>
      </c>
      <c r="J2531" s="1">
        <f t="shared" si="603"/>
        <v>17</v>
      </c>
      <c r="K2531" s="3">
        <f t="shared" si="604"/>
        <v>24</v>
      </c>
      <c r="L2531" s="3">
        <f t="shared" si="605"/>
        <v>11</v>
      </c>
      <c r="M2531" s="3">
        <f t="shared" si="606"/>
        <v>9</v>
      </c>
      <c r="N2531" s="3">
        <f t="shared" si="607"/>
        <v>11</v>
      </c>
      <c r="O2531" s="14" t="str">
        <f t="shared" si="607"/>
        <v>09</v>
      </c>
      <c r="P2531" s="4">
        <v>18000</v>
      </c>
      <c r="T2531" s="25" t="s">
        <v>1106</v>
      </c>
      <c r="U2531" s="3" t="s">
        <v>1</v>
      </c>
      <c r="V2531" s="3" t="s">
        <v>5</v>
      </c>
    </row>
    <row r="2532" spans="1:22">
      <c r="A2532" s="3">
        <v>2493</v>
      </c>
      <c r="B2532" s="1">
        <f t="shared" si="600"/>
        <v>0</v>
      </c>
      <c r="C2532" s="1">
        <f t="shared" si="601"/>
        <v>0</v>
      </c>
      <c r="D2532" s="1">
        <f t="shared" si="608"/>
        <v>0</v>
      </c>
      <c r="E2532" s="1">
        <f t="shared" si="602"/>
        <v>0</v>
      </c>
      <c r="F2532" s="1">
        <f t="shared" si="602"/>
        <v>0</v>
      </c>
      <c r="G2532" s="1" t="str">
        <f t="shared" si="609"/>
        <v>24110918</v>
      </c>
      <c r="H2532" s="2">
        <v>45605</v>
      </c>
      <c r="I2532" s="36">
        <v>18</v>
      </c>
      <c r="J2532" s="1">
        <f t="shared" si="603"/>
        <v>18</v>
      </c>
      <c r="K2532" s="3">
        <f t="shared" si="604"/>
        <v>24</v>
      </c>
      <c r="L2532" s="3">
        <f t="shared" si="605"/>
        <v>11</v>
      </c>
      <c r="M2532" s="3">
        <f t="shared" si="606"/>
        <v>9</v>
      </c>
      <c r="N2532" s="3">
        <f t="shared" si="607"/>
        <v>11</v>
      </c>
      <c r="O2532" s="14" t="str">
        <f t="shared" si="607"/>
        <v>09</v>
      </c>
      <c r="P2532" s="4">
        <v>252000</v>
      </c>
      <c r="T2532" s="25" t="s">
        <v>1107</v>
      </c>
      <c r="U2532" s="3" t="s">
        <v>1</v>
      </c>
      <c r="V2532" s="3" t="s">
        <v>5</v>
      </c>
    </row>
    <row r="2533" spans="1:22">
      <c r="A2533" s="3">
        <v>2494</v>
      </c>
      <c r="B2533" s="1">
        <f t="shared" si="600"/>
        <v>0</v>
      </c>
      <c r="C2533" s="1">
        <f t="shared" si="601"/>
        <v>0</v>
      </c>
      <c r="D2533" s="1">
        <f t="shared" si="608"/>
        <v>0</v>
      </c>
      <c r="E2533" s="1">
        <f t="shared" si="602"/>
        <v>0</v>
      </c>
      <c r="F2533" s="1">
        <f t="shared" si="602"/>
        <v>0</v>
      </c>
      <c r="G2533" s="1" t="str">
        <f t="shared" si="609"/>
        <v>24110919</v>
      </c>
      <c r="H2533" s="2">
        <v>45605</v>
      </c>
      <c r="I2533" s="36">
        <v>19</v>
      </c>
      <c r="J2533" s="1">
        <f t="shared" si="603"/>
        <v>19</v>
      </c>
      <c r="K2533" s="3">
        <f t="shared" si="604"/>
        <v>24</v>
      </c>
      <c r="L2533" s="3">
        <f t="shared" si="605"/>
        <v>11</v>
      </c>
      <c r="M2533" s="3">
        <f t="shared" si="606"/>
        <v>9</v>
      </c>
      <c r="N2533" s="3">
        <f t="shared" si="607"/>
        <v>11</v>
      </c>
      <c r="O2533" s="14" t="str">
        <f t="shared" si="607"/>
        <v>09</v>
      </c>
      <c r="P2533" s="4">
        <v>90000</v>
      </c>
      <c r="T2533" s="25" t="s">
        <v>1108</v>
      </c>
      <c r="U2533" s="3" t="s">
        <v>1</v>
      </c>
      <c r="V2533" s="3" t="s">
        <v>5</v>
      </c>
    </row>
    <row r="2534" spans="1:22">
      <c r="A2534" s="3">
        <v>2495</v>
      </c>
      <c r="B2534" s="1">
        <f t="shared" ref="B2534:B2597" si="610">IF(G2534="-",0,IF(G2533=G2534,1,0))</f>
        <v>0</v>
      </c>
      <c r="C2534" s="1">
        <f t="shared" ref="C2534:C2597" si="611">+IF(G2534="-",0,IF(I2534=I2533+1,0,(IF(I2534=1,0,1))))</f>
        <v>0</v>
      </c>
      <c r="D2534" s="1">
        <f t="shared" si="608"/>
        <v>0</v>
      </c>
      <c r="E2534" s="1">
        <f t="shared" ref="E2534:F2597" si="612">IF(U2534="",1,0)</f>
        <v>0</v>
      </c>
      <c r="F2534" s="1">
        <f t="shared" si="612"/>
        <v>0</v>
      </c>
      <c r="G2534" s="1" t="str">
        <f t="shared" si="609"/>
        <v>24110920</v>
      </c>
      <c r="H2534" s="2">
        <v>45605</v>
      </c>
      <c r="I2534" s="36">
        <v>20</v>
      </c>
      <c r="J2534" s="1">
        <f t="shared" si="603"/>
        <v>20</v>
      </c>
      <c r="K2534" s="3">
        <f t="shared" si="604"/>
        <v>24</v>
      </c>
      <c r="L2534" s="3">
        <f t="shared" si="605"/>
        <v>11</v>
      </c>
      <c r="M2534" s="3">
        <f t="shared" si="606"/>
        <v>9</v>
      </c>
      <c r="N2534" s="3">
        <f t="shared" si="607"/>
        <v>11</v>
      </c>
      <c r="O2534" s="14" t="str">
        <f t="shared" si="607"/>
        <v>09</v>
      </c>
      <c r="P2534" s="4">
        <v>200000</v>
      </c>
      <c r="T2534" s="25" t="s">
        <v>971</v>
      </c>
      <c r="U2534" s="3" t="s">
        <v>1</v>
      </c>
      <c r="V2534" s="3" t="s">
        <v>5</v>
      </c>
    </row>
    <row r="2535" spans="1:22">
      <c r="A2535" s="3">
        <v>2496</v>
      </c>
      <c r="B2535" s="1">
        <f t="shared" si="610"/>
        <v>0</v>
      </c>
      <c r="C2535" s="1">
        <f t="shared" si="611"/>
        <v>0</v>
      </c>
      <c r="D2535" s="1">
        <f t="shared" si="608"/>
        <v>0</v>
      </c>
      <c r="E2535" s="1">
        <f t="shared" si="612"/>
        <v>0</v>
      </c>
      <c r="F2535" s="1">
        <f t="shared" si="612"/>
        <v>0</v>
      </c>
      <c r="G2535" s="1" t="str">
        <f t="shared" si="609"/>
        <v>24110921</v>
      </c>
      <c r="H2535" s="2">
        <v>45605</v>
      </c>
      <c r="I2535" s="36">
        <v>21</v>
      </c>
      <c r="J2535" s="1">
        <f t="shared" si="603"/>
        <v>21</v>
      </c>
      <c r="K2535" s="3">
        <f t="shared" si="604"/>
        <v>24</v>
      </c>
      <c r="L2535" s="3">
        <f t="shared" si="605"/>
        <v>11</v>
      </c>
      <c r="M2535" s="3">
        <f t="shared" si="606"/>
        <v>9</v>
      </c>
      <c r="N2535" s="3">
        <f t="shared" si="607"/>
        <v>11</v>
      </c>
      <c r="O2535" s="14" t="str">
        <f t="shared" si="607"/>
        <v>09</v>
      </c>
      <c r="P2535" s="4">
        <v>150000</v>
      </c>
      <c r="T2535" s="25" t="s">
        <v>896</v>
      </c>
      <c r="U2535" s="3" t="s">
        <v>1</v>
      </c>
      <c r="V2535" s="3" t="s">
        <v>5</v>
      </c>
    </row>
    <row r="2536" spans="1:22">
      <c r="A2536" s="3">
        <v>2497</v>
      </c>
      <c r="B2536" s="1">
        <f t="shared" si="610"/>
        <v>0</v>
      </c>
      <c r="C2536" s="1">
        <f t="shared" si="611"/>
        <v>0</v>
      </c>
      <c r="D2536" s="1">
        <f t="shared" si="608"/>
        <v>0</v>
      </c>
      <c r="E2536" s="1">
        <f t="shared" si="612"/>
        <v>0</v>
      </c>
      <c r="F2536" s="1">
        <f t="shared" si="612"/>
        <v>0</v>
      </c>
      <c r="G2536" s="1" t="str">
        <f t="shared" si="609"/>
        <v>24110922</v>
      </c>
      <c r="H2536" s="2">
        <v>45605</v>
      </c>
      <c r="I2536" s="36">
        <v>22</v>
      </c>
      <c r="J2536" s="1">
        <f t="shared" si="603"/>
        <v>22</v>
      </c>
      <c r="K2536" s="3">
        <f t="shared" si="604"/>
        <v>24</v>
      </c>
      <c r="L2536" s="3">
        <f t="shared" si="605"/>
        <v>11</v>
      </c>
      <c r="M2536" s="3">
        <f t="shared" si="606"/>
        <v>9</v>
      </c>
      <c r="N2536" s="3">
        <f t="shared" si="607"/>
        <v>11</v>
      </c>
      <c r="O2536" s="14" t="str">
        <f t="shared" si="607"/>
        <v>09</v>
      </c>
      <c r="P2536" s="4">
        <v>30000</v>
      </c>
      <c r="T2536" s="27" t="s">
        <v>1109</v>
      </c>
      <c r="U2536" s="3" t="s">
        <v>1</v>
      </c>
      <c r="V2536" s="3" t="s">
        <v>5</v>
      </c>
    </row>
    <row r="2537" spans="1:22" hidden="1">
      <c r="J2537" s="1" t="str">
        <f t="shared" si="603"/>
        <v>0</v>
      </c>
      <c r="K2537" s="3">
        <f t="shared" si="604"/>
        <v>-100</v>
      </c>
      <c r="L2537" s="3">
        <f t="shared" si="605"/>
        <v>1</v>
      </c>
      <c r="M2537" s="3">
        <f t="shared" si="606"/>
        <v>0</v>
      </c>
      <c r="N2537" s="3" t="str">
        <f t="shared" si="607"/>
        <v>01</v>
      </c>
      <c r="O2537" s="14" t="str">
        <f t="shared" si="607"/>
        <v>00</v>
      </c>
    </row>
    <row r="2538" spans="1:22" hidden="1">
      <c r="J2538" s="1" t="str">
        <f t="shared" si="603"/>
        <v>0</v>
      </c>
      <c r="K2538" s="3">
        <f t="shared" si="604"/>
        <v>-100</v>
      </c>
      <c r="L2538" s="3">
        <f t="shared" si="605"/>
        <v>1</v>
      </c>
      <c r="M2538" s="3">
        <f t="shared" si="606"/>
        <v>0</v>
      </c>
      <c r="N2538" s="3" t="str">
        <f t="shared" si="607"/>
        <v>01</v>
      </c>
      <c r="O2538" s="14" t="str">
        <f t="shared" si="607"/>
        <v>00</v>
      </c>
    </row>
    <row r="2539" spans="1:22" hidden="1">
      <c r="J2539" s="1" t="str">
        <f t="shared" si="603"/>
        <v>0</v>
      </c>
      <c r="K2539" s="3">
        <f t="shared" si="604"/>
        <v>-100</v>
      </c>
      <c r="L2539" s="3">
        <f t="shared" si="605"/>
        <v>1</v>
      </c>
      <c r="M2539" s="3">
        <f t="shared" si="606"/>
        <v>0</v>
      </c>
      <c r="N2539" s="3" t="str">
        <f t="shared" si="607"/>
        <v>01</v>
      </c>
      <c r="O2539" s="14" t="str">
        <f t="shared" si="607"/>
        <v>00</v>
      </c>
    </row>
    <row r="2540" spans="1:22" hidden="1">
      <c r="J2540" s="1" t="str">
        <f t="shared" si="603"/>
        <v>0</v>
      </c>
      <c r="K2540" s="3">
        <f t="shared" si="604"/>
        <v>-100</v>
      </c>
      <c r="L2540" s="3">
        <f t="shared" si="605"/>
        <v>1</v>
      </c>
      <c r="M2540" s="3">
        <f t="shared" si="606"/>
        <v>0</v>
      </c>
      <c r="N2540" s="3" t="str">
        <f t="shared" si="607"/>
        <v>01</v>
      </c>
      <c r="O2540" s="14" t="str">
        <f t="shared" si="607"/>
        <v>00</v>
      </c>
    </row>
    <row r="2541" spans="1:22" hidden="1">
      <c r="J2541" s="1" t="str">
        <f t="shared" si="603"/>
        <v>0</v>
      </c>
      <c r="K2541" s="3">
        <f t="shared" si="604"/>
        <v>-100</v>
      </c>
      <c r="L2541" s="3">
        <f t="shared" si="605"/>
        <v>1</v>
      </c>
      <c r="M2541" s="3">
        <f t="shared" si="606"/>
        <v>0</v>
      </c>
      <c r="N2541" s="3" t="str">
        <f t="shared" si="607"/>
        <v>01</v>
      </c>
      <c r="O2541" s="14" t="str">
        <f t="shared" si="607"/>
        <v>00</v>
      </c>
    </row>
    <row r="2542" spans="1:22" hidden="1">
      <c r="J2542" s="1" t="str">
        <f t="shared" si="603"/>
        <v>0</v>
      </c>
      <c r="K2542" s="3">
        <f t="shared" si="604"/>
        <v>-100</v>
      </c>
      <c r="L2542" s="3">
        <f t="shared" si="605"/>
        <v>1</v>
      </c>
      <c r="M2542" s="3">
        <f t="shared" si="606"/>
        <v>0</v>
      </c>
      <c r="N2542" s="3" t="str">
        <f t="shared" si="607"/>
        <v>01</v>
      </c>
      <c r="O2542" s="14" t="str">
        <f t="shared" si="607"/>
        <v>00</v>
      </c>
    </row>
    <row r="2543" spans="1:22" hidden="1">
      <c r="J2543" s="1" t="str">
        <f t="shared" si="603"/>
        <v>0</v>
      </c>
      <c r="K2543" s="3">
        <f t="shared" si="604"/>
        <v>-100</v>
      </c>
      <c r="L2543" s="3">
        <f t="shared" si="605"/>
        <v>1</v>
      </c>
      <c r="M2543" s="3">
        <f t="shared" si="606"/>
        <v>0</v>
      </c>
      <c r="N2543" s="3" t="str">
        <f t="shared" si="607"/>
        <v>01</v>
      </c>
      <c r="O2543" s="14" t="str">
        <f t="shared" si="607"/>
        <v>00</v>
      </c>
    </row>
    <row r="2544" spans="1:22">
      <c r="A2544" s="3">
        <v>2503</v>
      </c>
      <c r="B2544" s="1">
        <f t="shared" si="610"/>
        <v>0</v>
      </c>
      <c r="C2544" s="1">
        <f t="shared" si="611"/>
        <v>0</v>
      </c>
      <c r="D2544" s="1">
        <f t="shared" si="608"/>
        <v>0</v>
      </c>
      <c r="E2544" s="1">
        <f t="shared" si="612"/>
        <v>0</v>
      </c>
      <c r="F2544" s="1">
        <f t="shared" si="612"/>
        <v>0</v>
      </c>
      <c r="G2544" s="1" t="str">
        <f t="shared" si="609"/>
        <v>24111101</v>
      </c>
      <c r="H2544" s="2">
        <v>45607</v>
      </c>
      <c r="I2544" s="36">
        <v>1</v>
      </c>
      <c r="J2544" s="1" t="str">
        <f t="shared" si="603"/>
        <v>01</v>
      </c>
      <c r="K2544" s="3">
        <f t="shared" si="604"/>
        <v>24</v>
      </c>
      <c r="L2544" s="3">
        <f t="shared" si="605"/>
        <v>11</v>
      </c>
      <c r="M2544" s="3">
        <f t="shared" si="606"/>
        <v>11</v>
      </c>
      <c r="N2544" s="3">
        <f t="shared" si="607"/>
        <v>11</v>
      </c>
      <c r="O2544" s="14">
        <f t="shared" si="607"/>
        <v>11</v>
      </c>
      <c r="P2544" s="4">
        <v>12248.64</v>
      </c>
      <c r="T2544" s="5" t="s">
        <v>1083</v>
      </c>
      <c r="U2544" s="3" t="s">
        <v>29</v>
      </c>
      <c r="V2544" s="3" t="s">
        <v>5</v>
      </c>
    </row>
    <row r="2545" spans="1:22">
      <c r="A2545" s="3">
        <v>2504</v>
      </c>
      <c r="B2545" s="1">
        <f t="shared" si="610"/>
        <v>0</v>
      </c>
      <c r="C2545" s="1">
        <f t="shared" si="611"/>
        <v>0</v>
      </c>
      <c r="D2545" s="1">
        <f t="shared" si="608"/>
        <v>0</v>
      </c>
      <c r="E2545" s="1">
        <f t="shared" si="612"/>
        <v>0</v>
      </c>
      <c r="F2545" s="1">
        <f t="shared" si="612"/>
        <v>0</v>
      </c>
      <c r="G2545" s="1" t="str">
        <f t="shared" si="609"/>
        <v>24111102</v>
      </c>
      <c r="H2545" s="2">
        <v>45607</v>
      </c>
      <c r="I2545" s="36">
        <v>2</v>
      </c>
      <c r="J2545" s="1" t="str">
        <f t="shared" si="603"/>
        <v>02</v>
      </c>
      <c r="K2545" s="3">
        <f t="shared" si="604"/>
        <v>24</v>
      </c>
      <c r="L2545" s="3">
        <f t="shared" si="605"/>
        <v>11</v>
      </c>
      <c r="M2545" s="3">
        <f t="shared" si="606"/>
        <v>11</v>
      </c>
      <c r="N2545" s="3">
        <f t="shared" si="607"/>
        <v>11</v>
      </c>
      <c r="O2545" s="14">
        <f t="shared" si="607"/>
        <v>11</v>
      </c>
      <c r="P2545" s="4">
        <v>-9515.73</v>
      </c>
      <c r="T2545" s="5" t="s">
        <v>1084</v>
      </c>
      <c r="U2545" s="3" t="s">
        <v>29</v>
      </c>
      <c r="V2545" s="3" t="s">
        <v>5</v>
      </c>
    </row>
    <row r="2546" spans="1:22" hidden="1">
      <c r="J2546" s="1" t="str">
        <f t="shared" si="603"/>
        <v>0</v>
      </c>
      <c r="K2546" s="3">
        <f t="shared" si="604"/>
        <v>-100</v>
      </c>
      <c r="L2546" s="3">
        <f t="shared" si="605"/>
        <v>1</v>
      </c>
      <c r="M2546" s="3">
        <f t="shared" si="606"/>
        <v>0</v>
      </c>
      <c r="N2546" s="3" t="str">
        <f t="shared" si="607"/>
        <v>01</v>
      </c>
      <c r="O2546" s="14" t="str">
        <f t="shared" si="607"/>
        <v>00</v>
      </c>
    </row>
    <row r="2547" spans="1:22" hidden="1">
      <c r="J2547" s="1" t="str">
        <f t="shared" si="603"/>
        <v>0</v>
      </c>
      <c r="K2547" s="3">
        <f t="shared" si="604"/>
        <v>-100</v>
      </c>
      <c r="L2547" s="3">
        <f t="shared" si="605"/>
        <v>1</v>
      </c>
      <c r="M2547" s="3">
        <f t="shared" si="606"/>
        <v>0</v>
      </c>
      <c r="N2547" s="3" t="str">
        <f t="shared" si="607"/>
        <v>01</v>
      </c>
      <c r="O2547" s="14" t="str">
        <f t="shared" si="607"/>
        <v>00</v>
      </c>
    </row>
    <row r="2548" spans="1:22" hidden="1">
      <c r="J2548" s="1" t="str">
        <f t="shared" si="603"/>
        <v>0</v>
      </c>
      <c r="K2548" s="3">
        <f t="shared" si="604"/>
        <v>-100</v>
      </c>
      <c r="L2548" s="3">
        <f t="shared" si="605"/>
        <v>1</v>
      </c>
      <c r="M2548" s="3">
        <f t="shared" si="606"/>
        <v>0</v>
      </c>
      <c r="N2548" s="3" t="str">
        <f t="shared" si="607"/>
        <v>01</v>
      </c>
      <c r="O2548" s="14" t="str">
        <f t="shared" si="607"/>
        <v>00</v>
      </c>
    </row>
    <row r="2549" spans="1:22" hidden="1">
      <c r="J2549" s="1" t="str">
        <f t="shared" si="603"/>
        <v>0</v>
      </c>
      <c r="K2549" s="3">
        <f t="shared" si="604"/>
        <v>-100</v>
      </c>
      <c r="L2549" s="3">
        <f t="shared" si="605"/>
        <v>1</v>
      </c>
      <c r="M2549" s="3">
        <f t="shared" si="606"/>
        <v>0</v>
      </c>
      <c r="N2549" s="3" t="str">
        <f t="shared" si="607"/>
        <v>01</v>
      </c>
      <c r="O2549" s="14" t="str">
        <f t="shared" si="607"/>
        <v>00</v>
      </c>
    </row>
    <row r="2550" spans="1:22" hidden="1">
      <c r="J2550" s="1" t="str">
        <f t="shared" si="603"/>
        <v>0</v>
      </c>
      <c r="K2550" s="3">
        <f t="shared" si="604"/>
        <v>-100</v>
      </c>
      <c r="L2550" s="3">
        <f t="shared" si="605"/>
        <v>1</v>
      </c>
      <c r="M2550" s="3">
        <f t="shared" si="606"/>
        <v>0</v>
      </c>
      <c r="N2550" s="3" t="str">
        <f t="shared" si="607"/>
        <v>01</v>
      </c>
      <c r="O2550" s="14" t="str">
        <f t="shared" si="607"/>
        <v>00</v>
      </c>
    </row>
    <row r="2551" spans="1:22" hidden="1">
      <c r="J2551" s="1" t="str">
        <f t="shared" ref="J2551:J2614" si="613">+IF(I2551&lt;10,_xlfn.CONCAT("0",I2551),I2551)</f>
        <v>0</v>
      </c>
      <c r="K2551" s="3">
        <f t="shared" ref="K2551:K2614" si="614">+YEAR(H2551)-2000</f>
        <v>-100</v>
      </c>
      <c r="L2551" s="3">
        <f t="shared" ref="L2551:L2614" si="615">+MONTH(H2551)</f>
        <v>1</v>
      </c>
      <c r="M2551" s="3">
        <f t="shared" ref="M2551:M2614" si="616">+DAY(H2551)</f>
        <v>0</v>
      </c>
      <c r="N2551" s="3" t="str">
        <f t="shared" ref="N2551:O2614" si="617">+IF(L2551&lt;10,_xlfn.CONCAT("0",L2551),L2551)</f>
        <v>01</v>
      </c>
      <c r="O2551" s="14" t="str">
        <f t="shared" si="617"/>
        <v>00</v>
      </c>
    </row>
    <row r="2552" spans="1:22" hidden="1">
      <c r="J2552" s="1" t="str">
        <f t="shared" si="613"/>
        <v>0</v>
      </c>
      <c r="K2552" s="3">
        <f t="shared" si="614"/>
        <v>-100</v>
      </c>
      <c r="L2552" s="3">
        <f t="shared" si="615"/>
        <v>1</v>
      </c>
      <c r="M2552" s="3">
        <f t="shared" si="616"/>
        <v>0</v>
      </c>
      <c r="N2552" s="3" t="str">
        <f t="shared" si="617"/>
        <v>01</v>
      </c>
      <c r="O2552" s="14" t="str">
        <f t="shared" si="617"/>
        <v>00</v>
      </c>
    </row>
    <row r="2553" spans="1:22" hidden="1">
      <c r="J2553" s="1" t="str">
        <f t="shared" si="613"/>
        <v>0</v>
      </c>
      <c r="K2553" s="3">
        <f t="shared" si="614"/>
        <v>-100</v>
      </c>
      <c r="L2553" s="3">
        <f t="shared" si="615"/>
        <v>1</v>
      </c>
      <c r="M2553" s="3">
        <f t="shared" si="616"/>
        <v>0</v>
      </c>
      <c r="N2553" s="3" t="str">
        <f t="shared" si="617"/>
        <v>01</v>
      </c>
      <c r="O2553" s="14" t="str">
        <f t="shared" si="617"/>
        <v>00</v>
      </c>
    </row>
    <row r="2554" spans="1:22" hidden="1">
      <c r="J2554" s="1" t="str">
        <f t="shared" si="613"/>
        <v>0</v>
      </c>
      <c r="K2554" s="3">
        <f t="shared" si="614"/>
        <v>-100</v>
      </c>
      <c r="L2554" s="3">
        <f t="shared" si="615"/>
        <v>1</v>
      </c>
      <c r="M2554" s="3">
        <f t="shared" si="616"/>
        <v>0</v>
      </c>
      <c r="N2554" s="3" t="str">
        <f t="shared" si="617"/>
        <v>01</v>
      </c>
      <c r="O2554" s="14" t="str">
        <f t="shared" si="617"/>
        <v>00</v>
      </c>
    </row>
    <row r="2555" spans="1:22" hidden="1">
      <c r="J2555" s="1" t="str">
        <f t="shared" si="613"/>
        <v>0</v>
      </c>
      <c r="K2555" s="3">
        <f t="shared" si="614"/>
        <v>-100</v>
      </c>
      <c r="L2555" s="3">
        <f t="shared" si="615"/>
        <v>1</v>
      </c>
      <c r="M2555" s="3">
        <f t="shared" si="616"/>
        <v>0</v>
      </c>
      <c r="N2555" s="3" t="str">
        <f t="shared" si="617"/>
        <v>01</v>
      </c>
      <c r="O2555" s="14" t="str">
        <f t="shared" si="617"/>
        <v>00</v>
      </c>
    </row>
    <row r="2556" spans="1:22" hidden="1">
      <c r="J2556" s="1" t="str">
        <f t="shared" si="613"/>
        <v>0</v>
      </c>
      <c r="K2556" s="3">
        <f t="shared" si="614"/>
        <v>-100</v>
      </c>
      <c r="L2556" s="3">
        <f t="shared" si="615"/>
        <v>1</v>
      </c>
      <c r="M2556" s="3">
        <f t="shared" si="616"/>
        <v>0</v>
      </c>
      <c r="N2556" s="3" t="str">
        <f t="shared" si="617"/>
        <v>01</v>
      </c>
      <c r="O2556" s="14" t="str">
        <f t="shared" si="617"/>
        <v>00</v>
      </c>
    </row>
    <row r="2557" spans="1:22" hidden="1">
      <c r="J2557" s="1" t="str">
        <f t="shared" si="613"/>
        <v>0</v>
      </c>
      <c r="K2557" s="3">
        <f t="shared" si="614"/>
        <v>-100</v>
      </c>
      <c r="L2557" s="3">
        <f t="shared" si="615"/>
        <v>1</v>
      </c>
      <c r="M2557" s="3">
        <f t="shared" si="616"/>
        <v>0</v>
      </c>
      <c r="N2557" s="3" t="str">
        <f t="shared" si="617"/>
        <v>01</v>
      </c>
      <c r="O2557" s="14" t="str">
        <f t="shared" si="617"/>
        <v>00</v>
      </c>
    </row>
    <row r="2558" spans="1:22" hidden="1">
      <c r="J2558" s="1" t="str">
        <f t="shared" si="613"/>
        <v>0</v>
      </c>
      <c r="K2558" s="3">
        <f t="shared" si="614"/>
        <v>-100</v>
      </c>
      <c r="L2558" s="3">
        <f t="shared" si="615"/>
        <v>1</v>
      </c>
      <c r="M2558" s="3">
        <f t="shared" si="616"/>
        <v>0</v>
      </c>
      <c r="N2558" s="3" t="str">
        <f t="shared" si="617"/>
        <v>01</v>
      </c>
      <c r="O2558" s="14" t="str">
        <f t="shared" si="617"/>
        <v>00</v>
      </c>
    </row>
    <row r="2559" spans="1:22">
      <c r="A2559" s="3">
        <v>2518</v>
      </c>
      <c r="B2559" s="1">
        <f t="shared" si="610"/>
        <v>0</v>
      </c>
      <c r="C2559" s="1">
        <f t="shared" si="611"/>
        <v>1</v>
      </c>
      <c r="D2559" s="1">
        <f t="shared" ref="D2559:D2611" si="618">+IF(AND(P2559="",Q2559=""),1,0)</f>
        <v>0</v>
      </c>
      <c r="E2559" s="1">
        <f t="shared" si="612"/>
        <v>0</v>
      </c>
      <c r="F2559" s="1">
        <f t="shared" si="612"/>
        <v>0</v>
      </c>
      <c r="G2559" s="1" t="str">
        <f t="shared" ref="G2559:G2611" si="619">IF(H2559=0,"-",_xlfn.CONCAT(K2559,N2559,O2559,J2559))</f>
        <v>24111303</v>
      </c>
      <c r="H2559" s="2">
        <v>45609</v>
      </c>
      <c r="I2559" s="36">
        <v>3</v>
      </c>
      <c r="J2559" s="1" t="str">
        <f t="shared" si="613"/>
        <v>03</v>
      </c>
      <c r="K2559" s="3">
        <f t="shared" si="614"/>
        <v>24</v>
      </c>
      <c r="L2559" s="3">
        <f t="shared" si="615"/>
        <v>11</v>
      </c>
      <c r="M2559" s="3">
        <f t="shared" si="616"/>
        <v>13</v>
      </c>
      <c r="N2559" s="3">
        <f t="shared" si="617"/>
        <v>11</v>
      </c>
      <c r="O2559" s="14">
        <f t="shared" si="617"/>
        <v>13</v>
      </c>
      <c r="P2559" s="4">
        <v>485630</v>
      </c>
      <c r="T2559" s="5" t="s">
        <v>1089</v>
      </c>
      <c r="U2559" s="3" t="s">
        <v>2</v>
      </c>
      <c r="V2559" s="3" t="s">
        <v>5</v>
      </c>
    </row>
    <row r="2560" spans="1:22" hidden="1">
      <c r="J2560" s="1" t="str">
        <f t="shared" si="613"/>
        <v>0</v>
      </c>
      <c r="K2560" s="3">
        <f t="shared" si="614"/>
        <v>-100</v>
      </c>
      <c r="L2560" s="3">
        <f t="shared" si="615"/>
        <v>1</v>
      </c>
      <c r="M2560" s="3">
        <f t="shared" si="616"/>
        <v>0</v>
      </c>
      <c r="N2560" s="3" t="str">
        <f t="shared" si="617"/>
        <v>01</v>
      </c>
      <c r="O2560" s="14" t="str">
        <f t="shared" si="617"/>
        <v>00</v>
      </c>
    </row>
    <row r="2561" spans="10:20" hidden="1">
      <c r="J2561" s="1" t="str">
        <f t="shared" si="613"/>
        <v>0</v>
      </c>
      <c r="K2561" s="3">
        <f t="shared" si="614"/>
        <v>-100</v>
      </c>
      <c r="L2561" s="3">
        <f t="shared" si="615"/>
        <v>1</v>
      </c>
      <c r="M2561" s="3">
        <f t="shared" si="616"/>
        <v>0</v>
      </c>
      <c r="N2561" s="3" t="str">
        <f t="shared" si="617"/>
        <v>01</v>
      </c>
      <c r="O2561" s="14" t="str">
        <f t="shared" si="617"/>
        <v>00</v>
      </c>
      <c r="T2561" s="135"/>
    </row>
    <row r="2562" spans="10:20" hidden="1">
      <c r="J2562" s="1" t="str">
        <f t="shared" si="613"/>
        <v>0</v>
      </c>
      <c r="K2562" s="3">
        <f t="shared" si="614"/>
        <v>-100</v>
      </c>
      <c r="L2562" s="3">
        <f t="shared" si="615"/>
        <v>1</v>
      </c>
      <c r="M2562" s="3">
        <f t="shared" si="616"/>
        <v>0</v>
      </c>
      <c r="N2562" s="3" t="str">
        <f t="shared" si="617"/>
        <v>01</v>
      </c>
      <c r="O2562" s="14" t="str">
        <f t="shared" si="617"/>
        <v>00</v>
      </c>
      <c r="T2562" s="135"/>
    </row>
    <row r="2563" spans="10:20" hidden="1">
      <c r="J2563" s="1" t="str">
        <f t="shared" si="613"/>
        <v>0</v>
      </c>
      <c r="K2563" s="3">
        <f t="shared" si="614"/>
        <v>-100</v>
      </c>
      <c r="L2563" s="3">
        <f t="shared" si="615"/>
        <v>1</v>
      </c>
      <c r="M2563" s="3">
        <f t="shared" si="616"/>
        <v>0</v>
      </c>
      <c r="N2563" s="3" t="str">
        <f t="shared" si="617"/>
        <v>01</v>
      </c>
      <c r="O2563" s="14" t="str">
        <f t="shared" si="617"/>
        <v>00</v>
      </c>
      <c r="T2563" s="135"/>
    </row>
    <row r="2564" spans="10:20" hidden="1">
      <c r="J2564" s="1" t="str">
        <f t="shared" si="613"/>
        <v>0</v>
      </c>
      <c r="K2564" s="3">
        <f t="shared" si="614"/>
        <v>-100</v>
      </c>
      <c r="L2564" s="3">
        <f t="shared" si="615"/>
        <v>1</v>
      </c>
      <c r="M2564" s="3">
        <f t="shared" si="616"/>
        <v>0</v>
      </c>
      <c r="N2564" s="3" t="str">
        <f t="shared" si="617"/>
        <v>01</v>
      </c>
      <c r="O2564" s="14" t="str">
        <f t="shared" si="617"/>
        <v>00</v>
      </c>
      <c r="T2564" s="135"/>
    </row>
    <row r="2565" spans="10:20" hidden="1">
      <c r="J2565" s="1" t="str">
        <f t="shared" si="613"/>
        <v>0</v>
      </c>
      <c r="K2565" s="3">
        <f t="shared" si="614"/>
        <v>-100</v>
      </c>
      <c r="L2565" s="3">
        <f t="shared" si="615"/>
        <v>1</v>
      </c>
      <c r="M2565" s="3">
        <f t="shared" si="616"/>
        <v>0</v>
      </c>
      <c r="N2565" s="3" t="str">
        <f t="shared" si="617"/>
        <v>01</v>
      </c>
      <c r="O2565" s="14" t="str">
        <f t="shared" si="617"/>
        <v>00</v>
      </c>
      <c r="T2565" s="135"/>
    </row>
    <row r="2566" spans="10:20" hidden="1">
      <c r="J2566" s="1" t="str">
        <f t="shared" si="613"/>
        <v>0</v>
      </c>
      <c r="K2566" s="3">
        <f t="shared" si="614"/>
        <v>-100</v>
      </c>
      <c r="L2566" s="3">
        <f t="shared" si="615"/>
        <v>1</v>
      </c>
      <c r="M2566" s="3">
        <f t="shared" si="616"/>
        <v>0</v>
      </c>
      <c r="N2566" s="3" t="str">
        <f t="shared" si="617"/>
        <v>01</v>
      </c>
      <c r="O2566" s="14" t="str">
        <f t="shared" si="617"/>
        <v>00</v>
      </c>
      <c r="T2566" s="135"/>
    </row>
    <row r="2567" spans="10:20" hidden="1">
      <c r="J2567" s="1" t="str">
        <f t="shared" si="613"/>
        <v>0</v>
      </c>
      <c r="K2567" s="3">
        <f t="shared" si="614"/>
        <v>-100</v>
      </c>
      <c r="L2567" s="3">
        <f t="shared" si="615"/>
        <v>1</v>
      </c>
      <c r="M2567" s="3">
        <f t="shared" si="616"/>
        <v>0</v>
      </c>
      <c r="N2567" s="3" t="str">
        <f t="shared" si="617"/>
        <v>01</v>
      </c>
      <c r="O2567" s="14" t="str">
        <f t="shared" si="617"/>
        <v>00</v>
      </c>
      <c r="T2567" s="135"/>
    </row>
    <row r="2568" spans="10:20" hidden="1">
      <c r="J2568" s="1" t="str">
        <f t="shared" si="613"/>
        <v>0</v>
      </c>
      <c r="K2568" s="3">
        <f t="shared" si="614"/>
        <v>-100</v>
      </c>
      <c r="L2568" s="3">
        <f t="shared" si="615"/>
        <v>1</v>
      </c>
      <c r="M2568" s="3">
        <f t="shared" si="616"/>
        <v>0</v>
      </c>
      <c r="N2568" s="3" t="str">
        <f t="shared" si="617"/>
        <v>01</v>
      </c>
      <c r="O2568" s="14" t="str">
        <f t="shared" si="617"/>
        <v>00</v>
      </c>
      <c r="T2568" s="135"/>
    </row>
    <row r="2569" spans="10:20" hidden="1">
      <c r="J2569" s="1" t="str">
        <f t="shared" si="613"/>
        <v>0</v>
      </c>
      <c r="K2569" s="3">
        <f t="shared" si="614"/>
        <v>-100</v>
      </c>
      <c r="L2569" s="3">
        <f t="shared" si="615"/>
        <v>1</v>
      </c>
      <c r="M2569" s="3">
        <f t="shared" si="616"/>
        <v>0</v>
      </c>
      <c r="N2569" s="3" t="str">
        <f t="shared" si="617"/>
        <v>01</v>
      </c>
      <c r="O2569" s="14" t="str">
        <f t="shared" si="617"/>
        <v>00</v>
      </c>
    </row>
    <row r="2570" spans="10:20" hidden="1">
      <c r="J2570" s="1" t="str">
        <f t="shared" si="613"/>
        <v>0</v>
      </c>
      <c r="K2570" s="3">
        <f t="shared" si="614"/>
        <v>-100</v>
      </c>
      <c r="L2570" s="3">
        <f t="shared" si="615"/>
        <v>1</v>
      </c>
      <c r="M2570" s="3">
        <f t="shared" si="616"/>
        <v>0</v>
      </c>
      <c r="N2570" s="3" t="str">
        <f t="shared" si="617"/>
        <v>01</v>
      </c>
      <c r="O2570" s="14" t="str">
        <f t="shared" si="617"/>
        <v>00</v>
      </c>
    </row>
    <row r="2571" spans="10:20" hidden="1">
      <c r="J2571" s="1" t="str">
        <f t="shared" si="613"/>
        <v>0</v>
      </c>
      <c r="K2571" s="3">
        <f t="shared" si="614"/>
        <v>-100</v>
      </c>
      <c r="L2571" s="3">
        <f t="shared" si="615"/>
        <v>1</v>
      </c>
      <c r="M2571" s="3">
        <f t="shared" si="616"/>
        <v>0</v>
      </c>
      <c r="N2571" s="3" t="str">
        <f t="shared" si="617"/>
        <v>01</v>
      </c>
      <c r="O2571" s="14" t="str">
        <f t="shared" si="617"/>
        <v>00</v>
      </c>
    </row>
    <row r="2572" spans="10:20" hidden="1">
      <c r="J2572" s="1" t="str">
        <f t="shared" si="613"/>
        <v>0</v>
      </c>
      <c r="K2572" s="3">
        <f t="shared" si="614"/>
        <v>-100</v>
      </c>
      <c r="L2572" s="3">
        <f t="shared" si="615"/>
        <v>1</v>
      </c>
      <c r="M2572" s="3">
        <f t="shared" si="616"/>
        <v>0</v>
      </c>
      <c r="N2572" s="3" t="str">
        <f t="shared" si="617"/>
        <v>01</v>
      </c>
      <c r="O2572" s="14" t="str">
        <f t="shared" si="617"/>
        <v>00</v>
      </c>
    </row>
    <row r="2573" spans="10:20" hidden="1">
      <c r="J2573" s="1" t="str">
        <f t="shared" si="613"/>
        <v>0</v>
      </c>
      <c r="K2573" s="3">
        <f t="shared" si="614"/>
        <v>-100</v>
      </c>
      <c r="L2573" s="3">
        <f t="shared" si="615"/>
        <v>1</v>
      </c>
      <c r="M2573" s="3">
        <f t="shared" si="616"/>
        <v>0</v>
      </c>
      <c r="N2573" s="3" t="str">
        <f t="shared" si="617"/>
        <v>01</v>
      </c>
      <c r="O2573" s="14" t="str">
        <f t="shared" si="617"/>
        <v>00</v>
      </c>
    </row>
    <row r="2574" spans="10:20" hidden="1">
      <c r="J2574" s="1" t="str">
        <f t="shared" si="613"/>
        <v>0</v>
      </c>
      <c r="K2574" s="3">
        <f t="shared" si="614"/>
        <v>-100</v>
      </c>
      <c r="L2574" s="3">
        <f t="shared" si="615"/>
        <v>1</v>
      </c>
      <c r="M2574" s="3">
        <f t="shared" si="616"/>
        <v>0</v>
      </c>
      <c r="N2574" s="3" t="str">
        <f t="shared" si="617"/>
        <v>01</v>
      </c>
      <c r="O2574" s="14" t="str">
        <f t="shared" si="617"/>
        <v>00</v>
      </c>
    </row>
    <row r="2575" spans="10:20" hidden="1">
      <c r="J2575" s="1" t="str">
        <f t="shared" si="613"/>
        <v>0</v>
      </c>
      <c r="K2575" s="3">
        <f t="shared" si="614"/>
        <v>-100</v>
      </c>
      <c r="L2575" s="3">
        <f t="shared" si="615"/>
        <v>1</v>
      </c>
      <c r="M2575" s="3">
        <f t="shared" si="616"/>
        <v>0</v>
      </c>
      <c r="N2575" s="3" t="str">
        <f t="shared" si="617"/>
        <v>01</v>
      </c>
      <c r="O2575" s="14" t="str">
        <f t="shared" si="617"/>
        <v>00</v>
      </c>
    </row>
    <row r="2576" spans="10:20" hidden="1">
      <c r="J2576" s="1" t="str">
        <f t="shared" si="613"/>
        <v>0</v>
      </c>
      <c r="K2576" s="3">
        <f t="shared" si="614"/>
        <v>-100</v>
      </c>
      <c r="L2576" s="3">
        <f t="shared" si="615"/>
        <v>1</v>
      </c>
      <c r="M2576" s="3">
        <f t="shared" si="616"/>
        <v>0</v>
      </c>
      <c r="N2576" s="3" t="str">
        <f t="shared" si="617"/>
        <v>01</v>
      </c>
      <c r="O2576" s="14" t="str">
        <f t="shared" si="617"/>
        <v>00</v>
      </c>
    </row>
    <row r="2577" spans="1:22" hidden="1">
      <c r="J2577" s="1" t="str">
        <f t="shared" si="613"/>
        <v>0</v>
      </c>
      <c r="K2577" s="3">
        <f t="shared" si="614"/>
        <v>-100</v>
      </c>
      <c r="L2577" s="3">
        <f t="shared" si="615"/>
        <v>1</v>
      </c>
      <c r="M2577" s="3">
        <f t="shared" si="616"/>
        <v>0</v>
      </c>
      <c r="N2577" s="3" t="str">
        <f t="shared" si="617"/>
        <v>01</v>
      </c>
      <c r="O2577" s="14" t="str">
        <f t="shared" si="617"/>
        <v>00</v>
      </c>
    </row>
    <row r="2578" spans="1:22" hidden="1">
      <c r="J2578" s="1" t="str">
        <f t="shared" si="613"/>
        <v>0</v>
      </c>
      <c r="K2578" s="3">
        <f t="shared" si="614"/>
        <v>-100</v>
      </c>
      <c r="L2578" s="3">
        <f t="shared" si="615"/>
        <v>1</v>
      </c>
      <c r="M2578" s="3">
        <f t="shared" si="616"/>
        <v>0</v>
      </c>
      <c r="N2578" s="3" t="str">
        <f t="shared" si="617"/>
        <v>01</v>
      </c>
      <c r="O2578" s="14" t="str">
        <f t="shared" si="617"/>
        <v>00</v>
      </c>
    </row>
    <row r="2579" spans="1:22">
      <c r="A2579" s="3">
        <v>2537</v>
      </c>
      <c r="B2579" s="1">
        <f t="shared" si="610"/>
        <v>0</v>
      </c>
      <c r="C2579" s="1">
        <f t="shared" si="611"/>
        <v>1</v>
      </c>
      <c r="D2579" s="1">
        <f t="shared" si="618"/>
        <v>0</v>
      </c>
      <c r="E2579" s="1">
        <f t="shared" si="612"/>
        <v>0</v>
      </c>
      <c r="F2579" s="1">
        <f t="shared" si="612"/>
        <v>0</v>
      </c>
      <c r="G2579" s="1" t="str">
        <f t="shared" si="619"/>
        <v>24111508</v>
      </c>
      <c r="H2579" s="2">
        <v>45611</v>
      </c>
      <c r="I2579" s="36">
        <v>8</v>
      </c>
      <c r="J2579" s="1" t="str">
        <f t="shared" si="613"/>
        <v>08</v>
      </c>
      <c r="K2579" s="3">
        <f t="shared" si="614"/>
        <v>24</v>
      </c>
      <c r="L2579" s="3">
        <f t="shared" si="615"/>
        <v>11</v>
      </c>
      <c r="M2579" s="3">
        <f t="shared" si="616"/>
        <v>15</v>
      </c>
      <c r="N2579" s="3">
        <f t="shared" si="617"/>
        <v>11</v>
      </c>
      <c r="O2579" s="14">
        <f t="shared" si="617"/>
        <v>15</v>
      </c>
      <c r="P2579" s="4">
        <v>373993</v>
      </c>
      <c r="T2579" s="5" t="s">
        <v>1143</v>
      </c>
      <c r="U2579" s="3" t="s">
        <v>1</v>
      </c>
      <c r="V2579" s="3" t="s">
        <v>5</v>
      </c>
    </row>
    <row r="2580" spans="1:22">
      <c r="A2580" s="3">
        <v>2538</v>
      </c>
      <c r="B2580" s="1">
        <f t="shared" si="610"/>
        <v>0</v>
      </c>
      <c r="C2580" s="1">
        <f t="shared" si="611"/>
        <v>0</v>
      </c>
      <c r="D2580" s="1">
        <f t="shared" si="618"/>
        <v>0</v>
      </c>
      <c r="E2580" s="1">
        <f t="shared" si="612"/>
        <v>0</v>
      </c>
      <c r="F2580" s="1">
        <f t="shared" si="612"/>
        <v>0</v>
      </c>
      <c r="G2580" s="1" t="str">
        <f t="shared" si="619"/>
        <v>24111601</v>
      </c>
      <c r="H2580" s="2">
        <v>45612</v>
      </c>
      <c r="I2580" s="36">
        <v>1</v>
      </c>
      <c r="J2580" s="1" t="str">
        <f t="shared" si="613"/>
        <v>01</v>
      </c>
      <c r="K2580" s="3">
        <f t="shared" si="614"/>
        <v>24</v>
      </c>
      <c r="L2580" s="3">
        <f t="shared" si="615"/>
        <v>11</v>
      </c>
      <c r="M2580" s="3">
        <f t="shared" si="616"/>
        <v>16</v>
      </c>
      <c r="N2580" s="3">
        <f t="shared" si="617"/>
        <v>11</v>
      </c>
      <c r="O2580" s="14">
        <f t="shared" si="617"/>
        <v>16</v>
      </c>
      <c r="P2580" s="4">
        <v>1509680</v>
      </c>
      <c r="T2580" s="5" t="s">
        <v>1085</v>
      </c>
      <c r="U2580" s="3" t="s">
        <v>305</v>
      </c>
      <c r="V2580" s="3" t="s">
        <v>5</v>
      </c>
    </row>
    <row r="2581" spans="1:22" hidden="1">
      <c r="J2581" s="1" t="str">
        <f t="shared" si="613"/>
        <v>0</v>
      </c>
      <c r="K2581" s="3">
        <f t="shared" si="614"/>
        <v>-100</v>
      </c>
      <c r="L2581" s="3">
        <f t="shared" si="615"/>
        <v>1</v>
      </c>
      <c r="M2581" s="3">
        <f t="shared" si="616"/>
        <v>0</v>
      </c>
      <c r="N2581" s="3" t="str">
        <f t="shared" si="617"/>
        <v>01</v>
      </c>
      <c r="O2581" s="14" t="str">
        <f t="shared" si="617"/>
        <v>00</v>
      </c>
    </row>
    <row r="2582" spans="1:22" hidden="1">
      <c r="J2582" s="1" t="str">
        <f t="shared" si="613"/>
        <v>0</v>
      </c>
      <c r="K2582" s="3">
        <f t="shared" si="614"/>
        <v>-100</v>
      </c>
      <c r="L2582" s="3">
        <f t="shared" si="615"/>
        <v>1</v>
      </c>
      <c r="M2582" s="3">
        <f t="shared" si="616"/>
        <v>0</v>
      </c>
      <c r="N2582" s="3" t="str">
        <f t="shared" si="617"/>
        <v>01</v>
      </c>
      <c r="O2582" s="14" t="str">
        <f t="shared" si="617"/>
        <v>00</v>
      </c>
    </row>
    <row r="2583" spans="1:22">
      <c r="A2583" s="3">
        <v>2541</v>
      </c>
      <c r="B2583" s="1">
        <f t="shared" si="610"/>
        <v>0</v>
      </c>
      <c r="C2583" s="1">
        <f t="shared" si="611"/>
        <v>1</v>
      </c>
      <c r="D2583" s="1">
        <f t="shared" si="618"/>
        <v>0</v>
      </c>
      <c r="E2583" s="1">
        <f t="shared" si="612"/>
        <v>0</v>
      </c>
      <c r="F2583" s="1">
        <f t="shared" si="612"/>
        <v>0</v>
      </c>
      <c r="G2583" s="1" t="str">
        <f t="shared" si="619"/>
        <v>24111604</v>
      </c>
      <c r="H2583" s="2">
        <v>45612</v>
      </c>
      <c r="I2583" s="36">
        <v>4</v>
      </c>
      <c r="J2583" s="1" t="str">
        <f t="shared" si="613"/>
        <v>04</v>
      </c>
      <c r="K2583" s="3">
        <f t="shared" si="614"/>
        <v>24</v>
      </c>
      <c r="L2583" s="3">
        <f t="shared" si="615"/>
        <v>11</v>
      </c>
      <c r="M2583" s="3">
        <f t="shared" si="616"/>
        <v>16</v>
      </c>
      <c r="N2583" s="3">
        <f t="shared" si="617"/>
        <v>11</v>
      </c>
      <c r="O2583" s="14">
        <f t="shared" si="617"/>
        <v>16</v>
      </c>
      <c r="P2583" s="4">
        <v>106000</v>
      </c>
      <c r="T2583" s="120" t="s">
        <v>1110</v>
      </c>
      <c r="U2583" s="3" t="s">
        <v>1</v>
      </c>
      <c r="V2583" s="3" t="s">
        <v>5</v>
      </c>
    </row>
    <row r="2584" spans="1:22">
      <c r="A2584" s="3">
        <v>2542</v>
      </c>
      <c r="B2584" s="1">
        <f t="shared" si="610"/>
        <v>0</v>
      </c>
      <c r="C2584" s="1">
        <f t="shared" si="611"/>
        <v>0</v>
      </c>
      <c r="D2584" s="1">
        <f t="shared" si="618"/>
        <v>0</v>
      </c>
      <c r="E2584" s="1">
        <f t="shared" si="612"/>
        <v>0</v>
      </c>
      <c r="F2584" s="1">
        <f t="shared" si="612"/>
        <v>0</v>
      </c>
      <c r="G2584" s="1" t="str">
        <f t="shared" si="619"/>
        <v>24111605</v>
      </c>
      <c r="H2584" s="2">
        <v>45612</v>
      </c>
      <c r="I2584" s="36">
        <v>5</v>
      </c>
      <c r="J2584" s="1" t="str">
        <f t="shared" si="613"/>
        <v>05</v>
      </c>
      <c r="K2584" s="3">
        <f t="shared" si="614"/>
        <v>24</v>
      </c>
      <c r="L2584" s="3">
        <f t="shared" si="615"/>
        <v>11</v>
      </c>
      <c r="M2584" s="3">
        <f t="shared" si="616"/>
        <v>16</v>
      </c>
      <c r="N2584" s="3">
        <f t="shared" si="617"/>
        <v>11</v>
      </c>
      <c r="O2584" s="14">
        <f t="shared" si="617"/>
        <v>16</v>
      </c>
      <c r="P2584" s="4">
        <v>159000</v>
      </c>
      <c r="T2584" s="120" t="s">
        <v>1111</v>
      </c>
      <c r="U2584" s="3" t="s">
        <v>1</v>
      </c>
      <c r="V2584" s="3" t="s">
        <v>5</v>
      </c>
    </row>
    <row r="2585" spans="1:22">
      <c r="A2585" s="3">
        <v>2543</v>
      </c>
      <c r="B2585" s="1">
        <f t="shared" si="610"/>
        <v>0</v>
      </c>
      <c r="C2585" s="1">
        <f t="shared" si="611"/>
        <v>0</v>
      </c>
      <c r="D2585" s="1">
        <f t="shared" si="618"/>
        <v>0</v>
      </c>
      <c r="E2585" s="1">
        <f t="shared" si="612"/>
        <v>0</v>
      </c>
      <c r="F2585" s="1">
        <f t="shared" si="612"/>
        <v>0</v>
      </c>
      <c r="G2585" s="1" t="str">
        <f t="shared" si="619"/>
        <v>24111606</v>
      </c>
      <c r="H2585" s="2">
        <v>45612</v>
      </c>
      <c r="I2585" s="36">
        <v>6</v>
      </c>
      <c r="J2585" s="1" t="str">
        <f t="shared" si="613"/>
        <v>06</v>
      </c>
      <c r="K2585" s="3">
        <f t="shared" si="614"/>
        <v>24</v>
      </c>
      <c r="L2585" s="3">
        <f t="shared" si="615"/>
        <v>11</v>
      </c>
      <c r="M2585" s="3">
        <f t="shared" si="616"/>
        <v>16</v>
      </c>
      <c r="N2585" s="3">
        <f t="shared" si="617"/>
        <v>11</v>
      </c>
      <c r="O2585" s="14">
        <f t="shared" si="617"/>
        <v>16</v>
      </c>
      <c r="P2585" s="4">
        <v>110000</v>
      </c>
      <c r="T2585" s="120" t="s">
        <v>1112</v>
      </c>
      <c r="U2585" s="3" t="s">
        <v>1</v>
      </c>
      <c r="V2585" s="3" t="s">
        <v>5</v>
      </c>
    </row>
    <row r="2586" spans="1:22">
      <c r="A2586" s="3">
        <v>2544</v>
      </c>
      <c r="B2586" s="1">
        <f t="shared" si="610"/>
        <v>0</v>
      </c>
      <c r="C2586" s="1">
        <f t="shared" si="611"/>
        <v>0</v>
      </c>
      <c r="D2586" s="1">
        <f t="shared" si="618"/>
        <v>0</v>
      </c>
      <c r="E2586" s="1">
        <f t="shared" si="612"/>
        <v>0</v>
      </c>
      <c r="F2586" s="1">
        <f t="shared" si="612"/>
        <v>0</v>
      </c>
      <c r="G2586" s="1" t="str">
        <f t="shared" si="619"/>
        <v>24111607</v>
      </c>
      <c r="H2586" s="2">
        <v>45612</v>
      </c>
      <c r="I2586" s="36">
        <v>7</v>
      </c>
      <c r="J2586" s="1" t="str">
        <f t="shared" si="613"/>
        <v>07</v>
      </c>
      <c r="K2586" s="3">
        <f t="shared" si="614"/>
        <v>24</v>
      </c>
      <c r="L2586" s="3">
        <f t="shared" si="615"/>
        <v>11</v>
      </c>
      <c r="M2586" s="3">
        <f t="shared" si="616"/>
        <v>16</v>
      </c>
      <c r="N2586" s="3">
        <f t="shared" si="617"/>
        <v>11</v>
      </c>
      <c r="O2586" s="14">
        <f t="shared" si="617"/>
        <v>16</v>
      </c>
      <c r="P2586" s="4">
        <v>69000</v>
      </c>
      <c r="T2586" s="120" t="s">
        <v>1113</v>
      </c>
      <c r="U2586" s="3" t="s">
        <v>1</v>
      </c>
      <c r="V2586" s="3" t="s">
        <v>5</v>
      </c>
    </row>
    <row r="2587" spans="1:22">
      <c r="A2587" s="3">
        <v>2545</v>
      </c>
      <c r="B2587" s="1">
        <f t="shared" si="610"/>
        <v>0</v>
      </c>
      <c r="C2587" s="1">
        <f t="shared" si="611"/>
        <v>0</v>
      </c>
      <c r="D2587" s="1">
        <f t="shared" si="618"/>
        <v>0</v>
      </c>
      <c r="E2587" s="1">
        <f t="shared" si="612"/>
        <v>0</v>
      </c>
      <c r="F2587" s="1">
        <f t="shared" si="612"/>
        <v>0</v>
      </c>
      <c r="G2587" s="1" t="str">
        <f t="shared" si="619"/>
        <v>24111608</v>
      </c>
      <c r="H2587" s="2">
        <v>45612</v>
      </c>
      <c r="I2587" s="36">
        <v>8</v>
      </c>
      <c r="J2587" s="1" t="str">
        <f t="shared" si="613"/>
        <v>08</v>
      </c>
      <c r="K2587" s="3">
        <f t="shared" si="614"/>
        <v>24</v>
      </c>
      <c r="L2587" s="3">
        <f t="shared" si="615"/>
        <v>11</v>
      </c>
      <c r="M2587" s="3">
        <f t="shared" si="616"/>
        <v>16</v>
      </c>
      <c r="N2587" s="3">
        <f t="shared" si="617"/>
        <v>11</v>
      </c>
      <c r="O2587" s="14">
        <f t="shared" si="617"/>
        <v>16</v>
      </c>
      <c r="P2587" s="4">
        <v>132000</v>
      </c>
      <c r="T2587" s="120" t="s">
        <v>1114</v>
      </c>
      <c r="U2587" s="3" t="s">
        <v>1</v>
      </c>
      <c r="V2587" s="3" t="s">
        <v>5</v>
      </c>
    </row>
    <row r="2588" spans="1:22">
      <c r="A2588" s="3">
        <v>2546</v>
      </c>
      <c r="B2588" s="1">
        <f t="shared" si="610"/>
        <v>0</v>
      </c>
      <c r="C2588" s="1">
        <f t="shared" si="611"/>
        <v>0</v>
      </c>
      <c r="D2588" s="1">
        <f t="shared" si="618"/>
        <v>0</v>
      </c>
      <c r="E2588" s="1">
        <f t="shared" si="612"/>
        <v>0</v>
      </c>
      <c r="F2588" s="1">
        <f t="shared" si="612"/>
        <v>0</v>
      </c>
      <c r="G2588" s="1" t="str">
        <f t="shared" si="619"/>
        <v>24111609</v>
      </c>
      <c r="H2588" s="2">
        <v>45612</v>
      </c>
      <c r="I2588" s="36">
        <v>9</v>
      </c>
      <c r="J2588" s="1" t="str">
        <f t="shared" si="613"/>
        <v>09</v>
      </c>
      <c r="K2588" s="3">
        <f t="shared" si="614"/>
        <v>24</v>
      </c>
      <c r="L2588" s="3">
        <f t="shared" si="615"/>
        <v>11</v>
      </c>
      <c r="M2588" s="3">
        <f t="shared" si="616"/>
        <v>16</v>
      </c>
      <c r="N2588" s="3">
        <f t="shared" si="617"/>
        <v>11</v>
      </c>
      <c r="O2588" s="14">
        <f t="shared" si="617"/>
        <v>16</v>
      </c>
      <c r="P2588" s="4">
        <v>110000</v>
      </c>
      <c r="T2588" s="120" t="s">
        <v>1115</v>
      </c>
      <c r="U2588" s="3" t="s">
        <v>1</v>
      </c>
      <c r="V2588" s="3" t="s">
        <v>5</v>
      </c>
    </row>
    <row r="2589" spans="1:22">
      <c r="A2589" s="3">
        <v>2547</v>
      </c>
      <c r="B2589" s="1">
        <f t="shared" si="610"/>
        <v>0</v>
      </c>
      <c r="C2589" s="1">
        <f t="shared" si="611"/>
        <v>0</v>
      </c>
      <c r="D2589" s="1">
        <f t="shared" si="618"/>
        <v>0</v>
      </c>
      <c r="E2589" s="1">
        <f t="shared" si="612"/>
        <v>0</v>
      </c>
      <c r="F2589" s="1">
        <f t="shared" si="612"/>
        <v>0</v>
      </c>
      <c r="G2589" s="1" t="str">
        <f t="shared" si="619"/>
        <v>24111610</v>
      </c>
      <c r="H2589" s="2">
        <v>45612</v>
      </c>
      <c r="I2589" s="36">
        <v>10</v>
      </c>
      <c r="J2589" s="1">
        <f t="shared" si="613"/>
        <v>10</v>
      </c>
      <c r="K2589" s="3">
        <f t="shared" si="614"/>
        <v>24</v>
      </c>
      <c r="L2589" s="3">
        <f t="shared" si="615"/>
        <v>11</v>
      </c>
      <c r="M2589" s="3">
        <f t="shared" si="616"/>
        <v>16</v>
      </c>
      <c r="N2589" s="3">
        <f t="shared" si="617"/>
        <v>11</v>
      </c>
      <c r="O2589" s="14">
        <f t="shared" si="617"/>
        <v>16</v>
      </c>
      <c r="P2589" s="4">
        <v>132000</v>
      </c>
      <c r="T2589" s="19" t="s">
        <v>1116</v>
      </c>
      <c r="U2589" s="3" t="s">
        <v>1</v>
      </c>
      <c r="V2589" s="3" t="s">
        <v>5</v>
      </c>
    </row>
    <row r="2590" spans="1:22">
      <c r="A2590" s="3">
        <v>2548</v>
      </c>
      <c r="B2590" s="1">
        <f t="shared" si="610"/>
        <v>0</v>
      </c>
      <c r="C2590" s="1">
        <f t="shared" si="611"/>
        <v>0</v>
      </c>
      <c r="D2590" s="1">
        <f t="shared" si="618"/>
        <v>0</v>
      </c>
      <c r="E2590" s="1">
        <f t="shared" si="612"/>
        <v>0</v>
      </c>
      <c r="F2590" s="1">
        <f t="shared" si="612"/>
        <v>0</v>
      </c>
      <c r="G2590" s="1" t="str">
        <f t="shared" si="619"/>
        <v>24111611</v>
      </c>
      <c r="H2590" s="2">
        <v>45612</v>
      </c>
      <c r="I2590" s="36">
        <v>11</v>
      </c>
      <c r="J2590" s="1">
        <f t="shared" si="613"/>
        <v>11</v>
      </c>
      <c r="K2590" s="3">
        <f t="shared" si="614"/>
        <v>24</v>
      </c>
      <c r="L2590" s="3">
        <f t="shared" si="615"/>
        <v>11</v>
      </c>
      <c r="M2590" s="3">
        <f t="shared" si="616"/>
        <v>16</v>
      </c>
      <c r="N2590" s="3">
        <f t="shared" si="617"/>
        <v>11</v>
      </c>
      <c r="O2590" s="14">
        <f t="shared" si="617"/>
        <v>16</v>
      </c>
      <c r="P2590" s="4">
        <v>108000</v>
      </c>
      <c r="T2590" s="19" t="s">
        <v>1117</v>
      </c>
      <c r="U2590" s="3" t="s">
        <v>1</v>
      </c>
      <c r="V2590" s="3" t="s">
        <v>5</v>
      </c>
    </row>
    <row r="2591" spans="1:22">
      <c r="A2591" s="3">
        <v>2549</v>
      </c>
      <c r="B2591" s="1">
        <f t="shared" si="610"/>
        <v>0</v>
      </c>
      <c r="C2591" s="1">
        <f t="shared" si="611"/>
        <v>0</v>
      </c>
      <c r="D2591" s="1">
        <f t="shared" si="618"/>
        <v>0</v>
      </c>
      <c r="E2591" s="1">
        <f t="shared" si="612"/>
        <v>0</v>
      </c>
      <c r="F2591" s="1">
        <f t="shared" si="612"/>
        <v>0</v>
      </c>
      <c r="G2591" s="1" t="str">
        <f t="shared" si="619"/>
        <v>24111612</v>
      </c>
      <c r="H2591" s="2">
        <v>45612</v>
      </c>
      <c r="I2591" s="36">
        <v>12</v>
      </c>
      <c r="J2591" s="1">
        <f t="shared" si="613"/>
        <v>12</v>
      </c>
      <c r="K2591" s="3">
        <f t="shared" si="614"/>
        <v>24</v>
      </c>
      <c r="L2591" s="3">
        <f t="shared" si="615"/>
        <v>11</v>
      </c>
      <c r="M2591" s="3">
        <f t="shared" si="616"/>
        <v>16</v>
      </c>
      <c r="N2591" s="3">
        <f t="shared" si="617"/>
        <v>11</v>
      </c>
      <c r="O2591" s="14">
        <f t="shared" si="617"/>
        <v>16</v>
      </c>
      <c r="P2591" s="4">
        <v>125000</v>
      </c>
      <c r="T2591" s="19" t="s">
        <v>1118</v>
      </c>
      <c r="U2591" s="3" t="s">
        <v>1</v>
      </c>
      <c r="V2591" s="3" t="s">
        <v>5</v>
      </c>
    </row>
    <row r="2592" spans="1:22">
      <c r="A2592" s="3">
        <v>2550</v>
      </c>
      <c r="B2592" s="1">
        <f t="shared" si="610"/>
        <v>0</v>
      </c>
      <c r="C2592" s="1">
        <f t="shared" si="611"/>
        <v>0</v>
      </c>
      <c r="D2592" s="1">
        <f t="shared" si="618"/>
        <v>0</v>
      </c>
      <c r="E2592" s="1">
        <f t="shared" si="612"/>
        <v>0</v>
      </c>
      <c r="F2592" s="1">
        <f t="shared" si="612"/>
        <v>0</v>
      </c>
      <c r="G2592" s="1" t="str">
        <f t="shared" si="619"/>
        <v>24111613</v>
      </c>
      <c r="H2592" s="2">
        <v>45612</v>
      </c>
      <c r="I2592" s="36">
        <v>13</v>
      </c>
      <c r="J2592" s="1">
        <f t="shared" si="613"/>
        <v>13</v>
      </c>
      <c r="K2592" s="3">
        <f t="shared" si="614"/>
        <v>24</v>
      </c>
      <c r="L2592" s="3">
        <f t="shared" si="615"/>
        <v>11</v>
      </c>
      <c r="M2592" s="3">
        <f t="shared" si="616"/>
        <v>16</v>
      </c>
      <c r="N2592" s="3">
        <f t="shared" si="617"/>
        <v>11</v>
      </c>
      <c r="O2592" s="14">
        <f t="shared" si="617"/>
        <v>16</v>
      </c>
      <c r="P2592" s="4">
        <v>132000</v>
      </c>
      <c r="T2592" s="19" t="s">
        <v>1119</v>
      </c>
      <c r="U2592" s="3" t="s">
        <v>1</v>
      </c>
      <c r="V2592" s="3" t="s">
        <v>5</v>
      </c>
    </row>
    <row r="2593" spans="1:22">
      <c r="A2593" s="3">
        <v>2551</v>
      </c>
      <c r="B2593" s="1">
        <f t="shared" si="610"/>
        <v>0</v>
      </c>
      <c r="C2593" s="1">
        <f t="shared" si="611"/>
        <v>0</v>
      </c>
      <c r="D2593" s="1">
        <f t="shared" si="618"/>
        <v>0</v>
      </c>
      <c r="E2593" s="1">
        <f t="shared" si="612"/>
        <v>0</v>
      </c>
      <c r="F2593" s="1">
        <f t="shared" si="612"/>
        <v>0</v>
      </c>
      <c r="G2593" s="1" t="str">
        <f t="shared" si="619"/>
        <v>24111614</v>
      </c>
      <c r="H2593" s="2">
        <v>45612</v>
      </c>
      <c r="I2593" s="36">
        <v>14</v>
      </c>
      <c r="J2593" s="1">
        <f t="shared" si="613"/>
        <v>14</v>
      </c>
      <c r="K2593" s="3">
        <f t="shared" si="614"/>
        <v>24</v>
      </c>
      <c r="L2593" s="3">
        <f t="shared" si="615"/>
        <v>11</v>
      </c>
      <c r="M2593" s="3">
        <f t="shared" si="616"/>
        <v>16</v>
      </c>
      <c r="N2593" s="3">
        <f t="shared" si="617"/>
        <v>11</v>
      </c>
      <c r="O2593" s="14">
        <f t="shared" si="617"/>
        <v>16</v>
      </c>
      <c r="P2593" s="4">
        <v>108000</v>
      </c>
      <c r="T2593" s="19" t="s">
        <v>1120</v>
      </c>
      <c r="U2593" s="3" t="s">
        <v>1</v>
      </c>
      <c r="V2593" s="3" t="s">
        <v>5</v>
      </c>
    </row>
    <row r="2594" spans="1:22">
      <c r="A2594" s="3">
        <v>2552</v>
      </c>
      <c r="B2594" s="1">
        <f t="shared" si="610"/>
        <v>0</v>
      </c>
      <c r="C2594" s="1">
        <f t="shared" si="611"/>
        <v>0</v>
      </c>
      <c r="D2594" s="1">
        <f t="shared" si="618"/>
        <v>0</v>
      </c>
      <c r="E2594" s="1">
        <f t="shared" si="612"/>
        <v>0</v>
      </c>
      <c r="F2594" s="1">
        <f t="shared" si="612"/>
        <v>0</v>
      </c>
      <c r="G2594" s="1" t="str">
        <f t="shared" si="619"/>
        <v>24111615</v>
      </c>
      <c r="H2594" s="2">
        <v>45612</v>
      </c>
      <c r="I2594" s="36">
        <v>15</v>
      </c>
      <c r="J2594" s="1">
        <f t="shared" si="613"/>
        <v>15</v>
      </c>
      <c r="K2594" s="3">
        <f t="shared" si="614"/>
        <v>24</v>
      </c>
      <c r="L2594" s="3">
        <f t="shared" si="615"/>
        <v>11</v>
      </c>
      <c r="M2594" s="3">
        <f t="shared" si="616"/>
        <v>16</v>
      </c>
      <c r="N2594" s="3">
        <f t="shared" si="617"/>
        <v>11</v>
      </c>
      <c r="O2594" s="14">
        <f t="shared" si="617"/>
        <v>16</v>
      </c>
      <c r="P2594" s="4">
        <v>108000</v>
      </c>
      <c r="T2594" s="19" t="s">
        <v>1121</v>
      </c>
      <c r="U2594" s="3" t="s">
        <v>1</v>
      </c>
      <c r="V2594" s="3" t="s">
        <v>5</v>
      </c>
    </row>
    <row r="2595" spans="1:22">
      <c r="A2595" s="3">
        <v>2553</v>
      </c>
      <c r="B2595" s="1">
        <f t="shared" si="610"/>
        <v>0</v>
      </c>
      <c r="C2595" s="1">
        <f t="shared" si="611"/>
        <v>0</v>
      </c>
      <c r="D2595" s="1">
        <f t="shared" si="618"/>
        <v>0</v>
      </c>
      <c r="E2595" s="1">
        <f t="shared" si="612"/>
        <v>0</v>
      </c>
      <c r="F2595" s="1">
        <f t="shared" si="612"/>
        <v>0</v>
      </c>
      <c r="G2595" s="1" t="str">
        <f t="shared" si="619"/>
        <v>24111616</v>
      </c>
      <c r="H2595" s="2">
        <v>45612</v>
      </c>
      <c r="I2595" s="36">
        <v>16</v>
      </c>
      <c r="J2595" s="1">
        <f t="shared" si="613"/>
        <v>16</v>
      </c>
      <c r="K2595" s="3">
        <f t="shared" si="614"/>
        <v>24</v>
      </c>
      <c r="L2595" s="3">
        <f t="shared" si="615"/>
        <v>11</v>
      </c>
      <c r="M2595" s="3">
        <f t="shared" si="616"/>
        <v>16</v>
      </c>
      <c r="N2595" s="3">
        <f t="shared" si="617"/>
        <v>11</v>
      </c>
      <c r="O2595" s="14">
        <f t="shared" si="617"/>
        <v>16</v>
      </c>
      <c r="P2595" s="4">
        <v>108000</v>
      </c>
      <c r="T2595" s="19" t="s">
        <v>1122</v>
      </c>
      <c r="U2595" s="3" t="s">
        <v>1</v>
      </c>
      <c r="V2595" s="3" t="s">
        <v>5</v>
      </c>
    </row>
    <row r="2596" spans="1:22">
      <c r="A2596" s="3">
        <v>2554</v>
      </c>
      <c r="B2596" s="1">
        <f t="shared" si="610"/>
        <v>0</v>
      </c>
      <c r="C2596" s="1">
        <f t="shared" si="611"/>
        <v>0</v>
      </c>
      <c r="D2596" s="1">
        <f t="shared" si="618"/>
        <v>0</v>
      </c>
      <c r="E2596" s="1">
        <f t="shared" si="612"/>
        <v>0</v>
      </c>
      <c r="F2596" s="1">
        <f t="shared" si="612"/>
        <v>0</v>
      </c>
      <c r="G2596" s="1" t="str">
        <f t="shared" si="619"/>
        <v>24111617</v>
      </c>
      <c r="H2596" s="2">
        <v>45612</v>
      </c>
      <c r="I2596" s="36">
        <v>17</v>
      </c>
      <c r="J2596" s="1">
        <f t="shared" si="613"/>
        <v>17</v>
      </c>
      <c r="K2596" s="3">
        <f t="shared" si="614"/>
        <v>24</v>
      </c>
      <c r="L2596" s="3">
        <f t="shared" si="615"/>
        <v>11</v>
      </c>
      <c r="M2596" s="3">
        <f t="shared" si="616"/>
        <v>16</v>
      </c>
      <c r="N2596" s="3">
        <f t="shared" si="617"/>
        <v>11</v>
      </c>
      <c r="O2596" s="14">
        <f t="shared" si="617"/>
        <v>16</v>
      </c>
      <c r="P2596" s="4">
        <v>252000</v>
      </c>
      <c r="T2596" s="19" t="s">
        <v>1123</v>
      </c>
      <c r="U2596" s="3" t="s">
        <v>1</v>
      </c>
      <c r="V2596" s="3" t="s">
        <v>5</v>
      </c>
    </row>
    <row r="2597" spans="1:22">
      <c r="A2597" s="3">
        <v>2555</v>
      </c>
      <c r="B2597" s="1">
        <f t="shared" si="610"/>
        <v>0</v>
      </c>
      <c r="C2597" s="1">
        <f t="shared" si="611"/>
        <v>0</v>
      </c>
      <c r="D2597" s="1">
        <f t="shared" si="618"/>
        <v>0</v>
      </c>
      <c r="E2597" s="1">
        <f t="shared" si="612"/>
        <v>0</v>
      </c>
      <c r="F2597" s="1">
        <f t="shared" si="612"/>
        <v>0</v>
      </c>
      <c r="G2597" s="1" t="str">
        <f t="shared" si="619"/>
        <v>24111618</v>
      </c>
      <c r="H2597" s="2">
        <v>45612</v>
      </c>
      <c r="I2597" s="36">
        <v>18</v>
      </c>
      <c r="J2597" s="1">
        <f t="shared" si="613"/>
        <v>18</v>
      </c>
      <c r="K2597" s="3">
        <f t="shared" si="614"/>
        <v>24</v>
      </c>
      <c r="L2597" s="3">
        <f t="shared" si="615"/>
        <v>11</v>
      </c>
      <c r="M2597" s="3">
        <f t="shared" si="616"/>
        <v>16</v>
      </c>
      <c r="N2597" s="3">
        <f t="shared" si="617"/>
        <v>11</v>
      </c>
      <c r="O2597" s="14">
        <f t="shared" si="617"/>
        <v>16</v>
      </c>
      <c r="P2597" s="4">
        <v>90000</v>
      </c>
      <c r="T2597" s="19" t="s">
        <v>1124</v>
      </c>
      <c r="U2597" s="3" t="s">
        <v>1</v>
      </c>
      <c r="V2597" s="3" t="s">
        <v>5</v>
      </c>
    </row>
    <row r="2598" spans="1:22">
      <c r="A2598" s="3">
        <v>2556</v>
      </c>
      <c r="B2598" s="1">
        <f t="shared" ref="B2598:B2658" si="620">IF(G2598="-",0,IF(G2597=G2598,1,0))</f>
        <v>0</v>
      </c>
      <c r="C2598" s="1">
        <f t="shared" ref="C2598:C2658" si="621">+IF(G2598="-",0,IF(I2598=I2597+1,0,(IF(I2598=1,0,1))))</f>
        <v>0</v>
      </c>
      <c r="D2598" s="1">
        <f t="shared" si="618"/>
        <v>0</v>
      </c>
      <c r="E2598" s="1">
        <f t="shared" ref="E2598:F2658" si="622">IF(U2598="",1,0)</f>
        <v>0</v>
      </c>
      <c r="F2598" s="1">
        <f t="shared" si="622"/>
        <v>0</v>
      </c>
      <c r="G2598" s="1" t="str">
        <f t="shared" si="619"/>
        <v>24111619</v>
      </c>
      <c r="H2598" s="2">
        <v>45612</v>
      </c>
      <c r="I2598" s="36">
        <v>19</v>
      </c>
      <c r="J2598" s="1">
        <f t="shared" si="613"/>
        <v>19</v>
      </c>
      <c r="K2598" s="3">
        <f t="shared" si="614"/>
        <v>24</v>
      </c>
      <c r="L2598" s="3">
        <f t="shared" si="615"/>
        <v>11</v>
      </c>
      <c r="M2598" s="3">
        <f t="shared" si="616"/>
        <v>16</v>
      </c>
      <c r="N2598" s="3">
        <f t="shared" si="617"/>
        <v>11</v>
      </c>
      <c r="O2598" s="14">
        <f t="shared" si="617"/>
        <v>16</v>
      </c>
      <c r="P2598" s="4">
        <v>200000</v>
      </c>
      <c r="T2598" s="19" t="s">
        <v>971</v>
      </c>
      <c r="U2598" s="3" t="s">
        <v>1</v>
      </c>
      <c r="V2598" s="3" t="s">
        <v>5</v>
      </c>
    </row>
    <row r="2599" spans="1:22">
      <c r="A2599" s="3">
        <v>2557</v>
      </c>
      <c r="B2599" s="1">
        <f t="shared" si="620"/>
        <v>0</v>
      </c>
      <c r="C2599" s="1">
        <f t="shared" si="621"/>
        <v>0</v>
      </c>
      <c r="D2599" s="1">
        <f t="shared" si="618"/>
        <v>0</v>
      </c>
      <c r="E2599" s="1">
        <f t="shared" si="622"/>
        <v>0</v>
      </c>
      <c r="F2599" s="1">
        <f t="shared" si="622"/>
        <v>0</v>
      </c>
      <c r="G2599" s="1" t="str">
        <f t="shared" si="619"/>
        <v>24111620</v>
      </c>
      <c r="H2599" s="2">
        <v>45612</v>
      </c>
      <c r="I2599" s="36">
        <v>20</v>
      </c>
      <c r="J2599" s="1">
        <f t="shared" si="613"/>
        <v>20</v>
      </c>
      <c r="K2599" s="3">
        <f t="shared" si="614"/>
        <v>24</v>
      </c>
      <c r="L2599" s="3">
        <f t="shared" si="615"/>
        <v>11</v>
      </c>
      <c r="M2599" s="3">
        <f t="shared" si="616"/>
        <v>16</v>
      </c>
      <c r="N2599" s="3">
        <f t="shared" si="617"/>
        <v>11</v>
      </c>
      <c r="O2599" s="14">
        <f t="shared" si="617"/>
        <v>16</v>
      </c>
      <c r="P2599" s="4">
        <v>150000</v>
      </c>
      <c r="T2599" s="19" t="s">
        <v>896</v>
      </c>
      <c r="U2599" s="3" t="s">
        <v>1</v>
      </c>
      <c r="V2599" s="3" t="s">
        <v>5</v>
      </c>
    </row>
    <row r="2600" spans="1:22" hidden="1">
      <c r="J2600" s="1" t="str">
        <f t="shared" si="613"/>
        <v>0</v>
      </c>
      <c r="K2600" s="3">
        <f t="shared" si="614"/>
        <v>-100</v>
      </c>
      <c r="L2600" s="3">
        <f t="shared" si="615"/>
        <v>1</v>
      </c>
      <c r="M2600" s="3">
        <f t="shared" si="616"/>
        <v>0</v>
      </c>
      <c r="N2600" s="3" t="str">
        <f t="shared" si="617"/>
        <v>01</v>
      </c>
      <c r="O2600" s="14" t="str">
        <f t="shared" si="617"/>
        <v>00</v>
      </c>
    </row>
    <row r="2601" spans="1:22" hidden="1">
      <c r="J2601" s="1" t="str">
        <f t="shared" si="613"/>
        <v>0</v>
      </c>
      <c r="K2601" s="3">
        <f t="shared" si="614"/>
        <v>-100</v>
      </c>
      <c r="L2601" s="3">
        <f t="shared" si="615"/>
        <v>1</v>
      </c>
      <c r="M2601" s="3">
        <f t="shared" si="616"/>
        <v>0</v>
      </c>
      <c r="N2601" s="3" t="str">
        <f t="shared" si="617"/>
        <v>01</v>
      </c>
      <c r="O2601" s="14" t="str">
        <f t="shared" si="617"/>
        <v>00</v>
      </c>
    </row>
    <row r="2602" spans="1:22" hidden="1">
      <c r="J2602" s="1" t="str">
        <f t="shared" si="613"/>
        <v>0</v>
      </c>
      <c r="K2602" s="3">
        <f t="shared" si="614"/>
        <v>-100</v>
      </c>
      <c r="L2602" s="3">
        <f t="shared" si="615"/>
        <v>1</v>
      </c>
      <c r="M2602" s="3">
        <f t="shared" si="616"/>
        <v>0</v>
      </c>
      <c r="N2602" s="3" t="str">
        <f t="shared" si="617"/>
        <v>01</v>
      </c>
      <c r="O2602" s="14" t="str">
        <f t="shared" si="617"/>
        <v>00</v>
      </c>
    </row>
    <row r="2603" spans="1:22" hidden="1">
      <c r="J2603" s="1" t="str">
        <f t="shared" si="613"/>
        <v>0</v>
      </c>
      <c r="K2603" s="3">
        <f t="shared" si="614"/>
        <v>-100</v>
      </c>
      <c r="L2603" s="3">
        <f t="shared" si="615"/>
        <v>1</v>
      </c>
      <c r="M2603" s="3">
        <f t="shared" si="616"/>
        <v>0</v>
      </c>
      <c r="N2603" s="3" t="str">
        <f t="shared" si="617"/>
        <v>01</v>
      </c>
      <c r="O2603" s="14" t="str">
        <f t="shared" si="617"/>
        <v>00</v>
      </c>
    </row>
    <row r="2604" spans="1:22" hidden="1">
      <c r="J2604" s="1" t="str">
        <f t="shared" si="613"/>
        <v>0</v>
      </c>
      <c r="K2604" s="3">
        <f t="shared" si="614"/>
        <v>-100</v>
      </c>
      <c r="L2604" s="3">
        <f t="shared" si="615"/>
        <v>1</v>
      </c>
      <c r="M2604" s="3">
        <f t="shared" si="616"/>
        <v>0</v>
      </c>
      <c r="N2604" s="3" t="str">
        <f t="shared" si="617"/>
        <v>01</v>
      </c>
      <c r="O2604" s="14" t="str">
        <f t="shared" si="617"/>
        <v>00</v>
      </c>
    </row>
    <row r="2605" spans="1:22" hidden="1">
      <c r="J2605" s="1" t="str">
        <f t="shared" si="613"/>
        <v>0</v>
      </c>
      <c r="K2605" s="3">
        <f t="shared" si="614"/>
        <v>-100</v>
      </c>
      <c r="L2605" s="3">
        <f t="shared" si="615"/>
        <v>1</v>
      </c>
      <c r="M2605" s="3">
        <f t="shared" si="616"/>
        <v>0</v>
      </c>
      <c r="N2605" s="3" t="str">
        <f t="shared" si="617"/>
        <v>01</v>
      </c>
      <c r="O2605" s="14" t="str">
        <f t="shared" si="617"/>
        <v>00</v>
      </c>
    </row>
    <row r="2606" spans="1:22" hidden="1">
      <c r="J2606" s="1" t="str">
        <f t="shared" si="613"/>
        <v>0</v>
      </c>
      <c r="K2606" s="3">
        <f t="shared" si="614"/>
        <v>-100</v>
      </c>
      <c r="L2606" s="3">
        <f t="shared" si="615"/>
        <v>1</v>
      </c>
      <c r="M2606" s="3">
        <f t="shared" si="616"/>
        <v>0</v>
      </c>
      <c r="N2606" s="3" t="str">
        <f t="shared" si="617"/>
        <v>01</v>
      </c>
      <c r="O2606" s="14" t="str">
        <f t="shared" si="617"/>
        <v>00</v>
      </c>
    </row>
    <row r="2607" spans="1:22" hidden="1">
      <c r="J2607" s="1" t="str">
        <f t="shared" si="613"/>
        <v>0</v>
      </c>
      <c r="K2607" s="3">
        <f t="shared" si="614"/>
        <v>-100</v>
      </c>
      <c r="L2607" s="3">
        <f t="shared" si="615"/>
        <v>1</v>
      </c>
      <c r="M2607" s="3">
        <f t="shared" si="616"/>
        <v>0</v>
      </c>
      <c r="N2607" s="3" t="str">
        <f t="shared" si="617"/>
        <v>01</v>
      </c>
      <c r="O2607" s="14" t="str">
        <f t="shared" si="617"/>
        <v>00</v>
      </c>
    </row>
    <row r="2608" spans="1:22">
      <c r="A2608" s="3">
        <v>2566</v>
      </c>
      <c r="B2608" s="1">
        <f t="shared" si="620"/>
        <v>0</v>
      </c>
      <c r="C2608" s="1">
        <f t="shared" si="621"/>
        <v>0</v>
      </c>
      <c r="D2608" s="1">
        <f t="shared" si="618"/>
        <v>0</v>
      </c>
      <c r="E2608" s="1">
        <f t="shared" si="622"/>
        <v>0</v>
      </c>
      <c r="F2608" s="1">
        <f t="shared" si="622"/>
        <v>0</v>
      </c>
      <c r="G2608" s="1" t="str">
        <f t="shared" si="619"/>
        <v>24111901</v>
      </c>
      <c r="H2608" s="2">
        <v>45615</v>
      </c>
      <c r="I2608" s="36">
        <v>1</v>
      </c>
      <c r="J2608" s="1" t="str">
        <f t="shared" si="613"/>
        <v>01</v>
      </c>
      <c r="K2608" s="3">
        <f t="shared" si="614"/>
        <v>24</v>
      </c>
      <c r="L2608" s="3">
        <f t="shared" si="615"/>
        <v>11</v>
      </c>
      <c r="M2608" s="3">
        <f t="shared" si="616"/>
        <v>19</v>
      </c>
      <c r="N2608" s="3">
        <f t="shared" si="617"/>
        <v>11</v>
      </c>
      <c r="O2608" s="14">
        <f t="shared" si="617"/>
        <v>19</v>
      </c>
      <c r="P2608" s="4">
        <v>10260</v>
      </c>
      <c r="T2608" s="5" t="s">
        <v>1086</v>
      </c>
      <c r="U2608" s="3" t="s">
        <v>29</v>
      </c>
      <c r="V2608" s="3" t="s">
        <v>5</v>
      </c>
    </row>
    <row r="2609" spans="1:22" hidden="1">
      <c r="J2609" s="1" t="str">
        <f t="shared" si="613"/>
        <v>0</v>
      </c>
      <c r="K2609" s="3">
        <f t="shared" si="614"/>
        <v>-100</v>
      </c>
      <c r="L2609" s="3">
        <f t="shared" si="615"/>
        <v>1</v>
      </c>
      <c r="M2609" s="3">
        <f t="shared" si="616"/>
        <v>0</v>
      </c>
      <c r="N2609" s="3" t="str">
        <f t="shared" si="617"/>
        <v>01</v>
      </c>
      <c r="O2609" s="14" t="str">
        <f t="shared" si="617"/>
        <v>00</v>
      </c>
    </row>
    <row r="2610" spans="1:22">
      <c r="A2610" s="3">
        <v>2568</v>
      </c>
      <c r="B2610" s="1">
        <f t="shared" si="620"/>
        <v>0</v>
      </c>
      <c r="C2610" s="1">
        <f t="shared" si="621"/>
        <v>1</v>
      </c>
      <c r="D2610" s="1">
        <f t="shared" si="618"/>
        <v>0</v>
      </c>
      <c r="E2610" s="1">
        <f t="shared" si="622"/>
        <v>0</v>
      </c>
      <c r="F2610" s="1">
        <f t="shared" si="622"/>
        <v>0</v>
      </c>
      <c r="G2610" s="1" t="str">
        <f t="shared" si="619"/>
        <v>24111903</v>
      </c>
      <c r="H2610" s="2">
        <v>45615</v>
      </c>
      <c r="I2610" s="36">
        <v>3</v>
      </c>
      <c r="J2610" s="1" t="str">
        <f t="shared" si="613"/>
        <v>03</v>
      </c>
      <c r="K2610" s="3">
        <f t="shared" si="614"/>
        <v>24</v>
      </c>
      <c r="L2610" s="3">
        <f t="shared" si="615"/>
        <v>11</v>
      </c>
      <c r="M2610" s="3">
        <f t="shared" si="616"/>
        <v>19</v>
      </c>
      <c r="N2610" s="3">
        <f t="shared" si="617"/>
        <v>11</v>
      </c>
      <c r="O2610" s="14">
        <f t="shared" si="617"/>
        <v>19</v>
      </c>
      <c r="Q2610" s="5">
        <f>5797.42+1</f>
        <v>5798.42</v>
      </c>
      <c r="T2610" s="5" t="s">
        <v>1090</v>
      </c>
      <c r="U2610" s="3" t="s">
        <v>3</v>
      </c>
      <c r="V2610" s="3" t="s">
        <v>5</v>
      </c>
    </row>
    <row r="2611" spans="1:22">
      <c r="A2611" s="3">
        <v>2569</v>
      </c>
      <c r="B2611" s="1">
        <f t="shared" si="620"/>
        <v>0</v>
      </c>
      <c r="C2611" s="1">
        <f t="shared" si="621"/>
        <v>0</v>
      </c>
      <c r="D2611" s="1">
        <f t="shared" si="618"/>
        <v>0</v>
      </c>
      <c r="E2611" s="1">
        <f t="shared" si="622"/>
        <v>0</v>
      </c>
      <c r="F2611" s="1">
        <f t="shared" si="622"/>
        <v>0</v>
      </c>
      <c r="G2611" s="1" t="str">
        <f t="shared" si="619"/>
        <v>24111904</v>
      </c>
      <c r="H2611" s="2">
        <v>45615</v>
      </c>
      <c r="I2611" s="36">
        <v>4</v>
      </c>
      <c r="J2611" s="1" t="str">
        <f t="shared" si="613"/>
        <v>04</v>
      </c>
      <c r="K2611" s="3">
        <f t="shared" si="614"/>
        <v>24</v>
      </c>
      <c r="L2611" s="3">
        <f t="shared" si="615"/>
        <v>11</v>
      </c>
      <c r="M2611" s="3">
        <f t="shared" si="616"/>
        <v>19</v>
      </c>
      <c r="N2611" s="3">
        <f t="shared" si="617"/>
        <v>11</v>
      </c>
      <c r="O2611" s="14">
        <f t="shared" si="617"/>
        <v>19</v>
      </c>
      <c r="P2611" s="4">
        <v>761184.59</v>
      </c>
      <c r="T2611" s="5" t="s">
        <v>1192</v>
      </c>
      <c r="U2611" s="3" t="s">
        <v>2</v>
      </c>
      <c r="V2611" s="3" t="s">
        <v>5</v>
      </c>
    </row>
    <row r="2612" spans="1:22" hidden="1">
      <c r="J2612" s="1" t="str">
        <f t="shared" si="613"/>
        <v>0</v>
      </c>
      <c r="K2612" s="3">
        <f t="shared" si="614"/>
        <v>-100</v>
      </c>
      <c r="L2612" s="3">
        <f t="shared" si="615"/>
        <v>1</v>
      </c>
      <c r="M2612" s="3">
        <f t="shared" si="616"/>
        <v>0</v>
      </c>
      <c r="N2612" s="3" t="str">
        <f t="shared" si="617"/>
        <v>01</v>
      </c>
      <c r="O2612" s="14" t="str">
        <f t="shared" si="617"/>
        <v>00</v>
      </c>
    </row>
    <row r="2613" spans="1:22" hidden="1">
      <c r="J2613" s="1" t="str">
        <f t="shared" si="613"/>
        <v>0</v>
      </c>
      <c r="K2613" s="3">
        <f t="shared" si="614"/>
        <v>-100</v>
      </c>
      <c r="L2613" s="3">
        <f t="shared" si="615"/>
        <v>1</v>
      </c>
      <c r="M2613" s="3">
        <f t="shared" si="616"/>
        <v>0</v>
      </c>
      <c r="N2613" s="3" t="str">
        <f t="shared" si="617"/>
        <v>01</v>
      </c>
      <c r="O2613" s="14" t="str">
        <f t="shared" si="617"/>
        <v>00</v>
      </c>
    </row>
    <row r="2614" spans="1:22" hidden="1">
      <c r="J2614" s="1" t="str">
        <f t="shared" si="613"/>
        <v>0</v>
      </c>
      <c r="K2614" s="3">
        <f t="shared" si="614"/>
        <v>-100</v>
      </c>
      <c r="L2614" s="3">
        <f t="shared" si="615"/>
        <v>1</v>
      </c>
      <c r="M2614" s="3">
        <f t="shared" si="616"/>
        <v>0</v>
      </c>
      <c r="N2614" s="3" t="str">
        <f t="shared" si="617"/>
        <v>01</v>
      </c>
      <c r="O2614" s="14" t="str">
        <f t="shared" si="617"/>
        <v>00</v>
      </c>
    </row>
    <row r="2615" spans="1:22" hidden="1">
      <c r="J2615" s="1" t="str">
        <f t="shared" ref="J2615:J2678" si="623">+IF(I2615&lt;10,_xlfn.CONCAT("0",I2615),I2615)</f>
        <v>0</v>
      </c>
      <c r="K2615" s="3">
        <f t="shared" ref="K2615:K2678" si="624">+YEAR(H2615)-2000</f>
        <v>-100</v>
      </c>
      <c r="L2615" s="3">
        <f t="shared" ref="L2615:L2678" si="625">+MONTH(H2615)</f>
        <v>1</v>
      </c>
      <c r="M2615" s="3">
        <f t="shared" ref="M2615:M2678" si="626">+DAY(H2615)</f>
        <v>0</v>
      </c>
      <c r="N2615" s="3" t="str">
        <f t="shared" ref="N2615:O2678" si="627">+IF(L2615&lt;10,_xlfn.CONCAT("0",L2615),L2615)</f>
        <v>01</v>
      </c>
      <c r="O2615" s="14" t="str">
        <f t="shared" si="627"/>
        <v>00</v>
      </c>
    </row>
    <row r="2616" spans="1:22" hidden="1">
      <c r="J2616" s="1" t="str">
        <f t="shared" si="623"/>
        <v>0</v>
      </c>
      <c r="K2616" s="3">
        <f t="shared" si="624"/>
        <v>-100</v>
      </c>
      <c r="L2616" s="3">
        <f t="shared" si="625"/>
        <v>1</v>
      </c>
      <c r="M2616" s="3">
        <f t="shared" si="626"/>
        <v>0</v>
      </c>
      <c r="N2616" s="3" t="str">
        <f t="shared" si="627"/>
        <v>01</v>
      </c>
      <c r="O2616" s="14" t="str">
        <f t="shared" si="627"/>
        <v>00</v>
      </c>
    </row>
    <row r="2617" spans="1:22" hidden="1">
      <c r="J2617" s="1" t="str">
        <f t="shared" si="623"/>
        <v>0</v>
      </c>
      <c r="K2617" s="3">
        <f t="shared" si="624"/>
        <v>-100</v>
      </c>
      <c r="L2617" s="3">
        <f t="shared" si="625"/>
        <v>1</v>
      </c>
      <c r="M2617" s="3">
        <f t="shared" si="626"/>
        <v>0</v>
      </c>
      <c r="N2617" s="3" t="str">
        <f t="shared" si="627"/>
        <v>01</v>
      </c>
      <c r="O2617" s="14" t="str">
        <f t="shared" si="627"/>
        <v>00</v>
      </c>
    </row>
    <row r="2618" spans="1:22" hidden="1">
      <c r="J2618" s="1" t="str">
        <f t="shared" si="623"/>
        <v>0</v>
      </c>
      <c r="K2618" s="3">
        <f t="shared" si="624"/>
        <v>-100</v>
      </c>
      <c r="L2618" s="3">
        <f t="shared" si="625"/>
        <v>1</v>
      </c>
      <c r="M2618" s="3">
        <f t="shared" si="626"/>
        <v>0</v>
      </c>
      <c r="N2618" s="3" t="str">
        <f t="shared" si="627"/>
        <v>01</v>
      </c>
      <c r="O2618" s="14" t="str">
        <f t="shared" si="627"/>
        <v>00</v>
      </c>
    </row>
    <row r="2619" spans="1:22" hidden="1">
      <c r="J2619" s="1" t="str">
        <f t="shared" si="623"/>
        <v>0</v>
      </c>
      <c r="K2619" s="3">
        <f t="shared" si="624"/>
        <v>-100</v>
      </c>
      <c r="L2619" s="3">
        <f t="shared" si="625"/>
        <v>1</v>
      </c>
      <c r="M2619" s="3">
        <f t="shared" si="626"/>
        <v>0</v>
      </c>
      <c r="N2619" s="3" t="str">
        <f t="shared" si="627"/>
        <v>01</v>
      </c>
      <c r="O2619" s="14" t="str">
        <f t="shared" si="627"/>
        <v>00</v>
      </c>
    </row>
    <row r="2620" spans="1:22" hidden="1">
      <c r="J2620" s="1" t="str">
        <f t="shared" si="623"/>
        <v>0</v>
      </c>
      <c r="K2620" s="3">
        <f t="shared" si="624"/>
        <v>-100</v>
      </c>
      <c r="L2620" s="3">
        <f t="shared" si="625"/>
        <v>1</v>
      </c>
      <c r="M2620" s="3">
        <f t="shared" si="626"/>
        <v>0</v>
      </c>
      <c r="N2620" s="3" t="str">
        <f t="shared" si="627"/>
        <v>01</v>
      </c>
      <c r="O2620" s="14" t="str">
        <f t="shared" si="627"/>
        <v>00</v>
      </c>
    </row>
    <row r="2621" spans="1:22" hidden="1">
      <c r="J2621" s="1" t="str">
        <f t="shared" si="623"/>
        <v>0</v>
      </c>
      <c r="K2621" s="3">
        <f t="shared" si="624"/>
        <v>-100</v>
      </c>
      <c r="L2621" s="3">
        <f t="shared" si="625"/>
        <v>1</v>
      </c>
      <c r="M2621" s="3">
        <f t="shared" si="626"/>
        <v>0</v>
      </c>
      <c r="N2621" s="3" t="str">
        <f t="shared" si="627"/>
        <v>01</v>
      </c>
      <c r="O2621" s="14" t="str">
        <f t="shared" si="627"/>
        <v>00</v>
      </c>
    </row>
    <row r="2622" spans="1:22" hidden="1">
      <c r="J2622" s="1" t="str">
        <f t="shared" si="623"/>
        <v>0</v>
      </c>
      <c r="K2622" s="3">
        <f t="shared" si="624"/>
        <v>-100</v>
      </c>
      <c r="L2622" s="3">
        <f t="shared" si="625"/>
        <v>1</v>
      </c>
      <c r="M2622" s="3">
        <f t="shared" si="626"/>
        <v>0</v>
      </c>
      <c r="N2622" s="3" t="str">
        <f t="shared" si="627"/>
        <v>01</v>
      </c>
      <c r="O2622" s="14" t="str">
        <f t="shared" si="627"/>
        <v>00</v>
      </c>
    </row>
    <row r="2623" spans="1:22" hidden="1">
      <c r="J2623" s="1" t="str">
        <f t="shared" si="623"/>
        <v>0</v>
      </c>
      <c r="K2623" s="3">
        <f t="shared" si="624"/>
        <v>-100</v>
      </c>
      <c r="L2623" s="3">
        <f t="shared" si="625"/>
        <v>1</v>
      </c>
      <c r="M2623" s="3">
        <f t="shared" si="626"/>
        <v>0</v>
      </c>
      <c r="N2623" s="3" t="str">
        <f t="shared" si="627"/>
        <v>01</v>
      </c>
      <c r="O2623" s="14" t="str">
        <f t="shared" si="627"/>
        <v>00</v>
      </c>
    </row>
    <row r="2624" spans="1:22" hidden="1">
      <c r="J2624" s="1" t="str">
        <f t="shared" si="623"/>
        <v>0</v>
      </c>
      <c r="K2624" s="3">
        <f t="shared" si="624"/>
        <v>-100</v>
      </c>
      <c r="L2624" s="3">
        <f t="shared" si="625"/>
        <v>1</v>
      </c>
      <c r="M2624" s="3">
        <f t="shared" si="626"/>
        <v>0</v>
      </c>
      <c r="N2624" s="3" t="str">
        <f t="shared" si="627"/>
        <v>01</v>
      </c>
      <c r="O2624" s="14" t="str">
        <f t="shared" si="627"/>
        <v>00</v>
      </c>
    </row>
    <row r="2625" spans="1:22">
      <c r="A2625" s="3">
        <v>2583</v>
      </c>
      <c r="B2625" s="1">
        <f t="shared" si="620"/>
        <v>0</v>
      </c>
      <c r="C2625" s="1">
        <f t="shared" si="621"/>
        <v>1</v>
      </c>
      <c r="D2625" s="1">
        <f t="shared" ref="D2625:D2672" si="628">+IF(AND(P2625="",Q2625=""),1,0)</f>
        <v>0</v>
      </c>
      <c r="E2625" s="1">
        <f t="shared" si="622"/>
        <v>0</v>
      </c>
      <c r="F2625" s="1">
        <f t="shared" si="622"/>
        <v>0</v>
      </c>
      <c r="G2625" s="1" t="str">
        <f t="shared" ref="G2625:G2672" si="629">IF(H2625=0,"-",_xlfn.CONCAT(K2625,N2625,O2625,J2625))</f>
        <v>24112102</v>
      </c>
      <c r="H2625" s="2">
        <v>45617</v>
      </c>
      <c r="I2625" s="36">
        <v>2</v>
      </c>
      <c r="J2625" s="1" t="str">
        <f t="shared" si="623"/>
        <v>02</v>
      </c>
      <c r="K2625" s="3">
        <f t="shared" si="624"/>
        <v>24</v>
      </c>
      <c r="L2625" s="3">
        <f t="shared" si="625"/>
        <v>11</v>
      </c>
      <c r="M2625" s="3">
        <f t="shared" si="626"/>
        <v>21</v>
      </c>
      <c r="N2625" s="3">
        <f t="shared" si="627"/>
        <v>11</v>
      </c>
      <c r="O2625" s="14">
        <f t="shared" si="627"/>
        <v>21</v>
      </c>
      <c r="P2625" s="4">
        <v>48670.23</v>
      </c>
      <c r="T2625" s="5" t="s">
        <v>1092</v>
      </c>
      <c r="U2625" s="3" t="s">
        <v>29</v>
      </c>
      <c r="V2625" s="3" t="s">
        <v>5</v>
      </c>
    </row>
    <row r="2626" spans="1:22" hidden="1">
      <c r="J2626" s="1" t="str">
        <f t="shared" si="623"/>
        <v>0</v>
      </c>
      <c r="K2626" s="3">
        <f t="shared" si="624"/>
        <v>-100</v>
      </c>
      <c r="L2626" s="3">
        <f t="shared" si="625"/>
        <v>1</v>
      </c>
      <c r="M2626" s="3">
        <f t="shared" si="626"/>
        <v>0</v>
      </c>
      <c r="N2626" s="3" t="str">
        <f t="shared" si="627"/>
        <v>01</v>
      </c>
      <c r="O2626" s="14" t="str">
        <f t="shared" si="627"/>
        <v>00</v>
      </c>
    </row>
    <row r="2627" spans="1:22" hidden="1">
      <c r="J2627" s="1" t="str">
        <f t="shared" si="623"/>
        <v>0</v>
      </c>
      <c r="K2627" s="3">
        <f t="shared" si="624"/>
        <v>-100</v>
      </c>
      <c r="L2627" s="3">
        <f t="shared" si="625"/>
        <v>1</v>
      </c>
      <c r="M2627" s="3">
        <f t="shared" si="626"/>
        <v>0</v>
      </c>
      <c r="N2627" s="3" t="str">
        <f t="shared" si="627"/>
        <v>01</v>
      </c>
      <c r="O2627" s="14" t="str">
        <f t="shared" si="627"/>
        <v>00</v>
      </c>
    </row>
    <row r="2628" spans="1:22" hidden="1">
      <c r="J2628" s="1" t="str">
        <f t="shared" si="623"/>
        <v>0</v>
      </c>
      <c r="K2628" s="3">
        <f t="shared" si="624"/>
        <v>-100</v>
      </c>
      <c r="L2628" s="3">
        <f t="shared" si="625"/>
        <v>1</v>
      </c>
      <c r="M2628" s="3">
        <f t="shared" si="626"/>
        <v>0</v>
      </c>
      <c r="N2628" s="3" t="str">
        <f t="shared" si="627"/>
        <v>01</v>
      </c>
      <c r="O2628" s="14" t="str">
        <f t="shared" si="627"/>
        <v>00</v>
      </c>
    </row>
    <row r="2629" spans="1:22" hidden="1">
      <c r="J2629" s="1" t="str">
        <f t="shared" si="623"/>
        <v>0</v>
      </c>
      <c r="K2629" s="3">
        <f t="shared" si="624"/>
        <v>-100</v>
      </c>
      <c r="L2629" s="3">
        <f t="shared" si="625"/>
        <v>1</v>
      </c>
      <c r="M2629" s="3">
        <f t="shared" si="626"/>
        <v>0</v>
      </c>
      <c r="N2629" s="3" t="str">
        <f t="shared" si="627"/>
        <v>01</v>
      </c>
      <c r="O2629" s="14" t="str">
        <f t="shared" si="627"/>
        <v>00</v>
      </c>
    </row>
    <row r="2630" spans="1:22" hidden="1">
      <c r="J2630" s="1" t="str">
        <f t="shared" si="623"/>
        <v>0</v>
      </c>
      <c r="K2630" s="3">
        <f t="shared" si="624"/>
        <v>-100</v>
      </c>
      <c r="L2630" s="3">
        <f t="shared" si="625"/>
        <v>1</v>
      </c>
      <c r="M2630" s="3">
        <f t="shared" si="626"/>
        <v>0</v>
      </c>
      <c r="N2630" s="3" t="str">
        <f t="shared" si="627"/>
        <v>01</v>
      </c>
      <c r="O2630" s="14" t="str">
        <f t="shared" si="627"/>
        <v>00</v>
      </c>
    </row>
    <row r="2631" spans="1:22" hidden="1">
      <c r="J2631" s="1" t="str">
        <f t="shared" si="623"/>
        <v>0</v>
      </c>
      <c r="K2631" s="3">
        <f t="shared" si="624"/>
        <v>-100</v>
      </c>
      <c r="L2631" s="3">
        <f t="shared" si="625"/>
        <v>1</v>
      </c>
      <c r="M2631" s="3">
        <f t="shared" si="626"/>
        <v>0</v>
      </c>
      <c r="N2631" s="3" t="str">
        <f t="shared" si="627"/>
        <v>01</v>
      </c>
      <c r="O2631" s="14" t="str">
        <f t="shared" si="627"/>
        <v>00</v>
      </c>
    </row>
    <row r="2632" spans="1:22">
      <c r="A2632" s="3">
        <v>2588</v>
      </c>
      <c r="B2632" s="1">
        <f t="shared" si="620"/>
        <v>0</v>
      </c>
      <c r="C2632" s="1">
        <f t="shared" si="621"/>
        <v>0</v>
      </c>
      <c r="D2632" s="1">
        <f t="shared" si="628"/>
        <v>0</v>
      </c>
      <c r="E2632" s="1">
        <f t="shared" si="622"/>
        <v>0</v>
      </c>
      <c r="F2632" s="1">
        <f t="shared" si="622"/>
        <v>0</v>
      </c>
      <c r="G2632" s="1" t="str">
        <f t="shared" si="629"/>
        <v>24112201</v>
      </c>
      <c r="H2632" s="2">
        <v>45618</v>
      </c>
      <c r="I2632" s="36">
        <v>1</v>
      </c>
      <c r="J2632" s="1" t="str">
        <f t="shared" si="623"/>
        <v>01</v>
      </c>
      <c r="K2632" s="3">
        <f t="shared" si="624"/>
        <v>24</v>
      </c>
      <c r="L2632" s="3">
        <f t="shared" si="625"/>
        <v>11</v>
      </c>
      <c r="M2632" s="3">
        <f t="shared" si="626"/>
        <v>22</v>
      </c>
      <c r="N2632" s="3">
        <f t="shared" si="627"/>
        <v>11</v>
      </c>
      <c r="O2632" s="14">
        <f t="shared" si="627"/>
        <v>22</v>
      </c>
      <c r="P2632" s="4">
        <v>23730</v>
      </c>
      <c r="T2632" s="5" t="s">
        <v>1093</v>
      </c>
      <c r="U2632" s="3" t="s">
        <v>29</v>
      </c>
      <c r="V2632" s="3" t="s">
        <v>5</v>
      </c>
    </row>
    <row r="2633" spans="1:22" hidden="1">
      <c r="J2633" s="1" t="str">
        <f t="shared" si="623"/>
        <v>0</v>
      </c>
      <c r="K2633" s="3">
        <f t="shared" si="624"/>
        <v>-100</v>
      </c>
      <c r="L2633" s="3">
        <f t="shared" si="625"/>
        <v>1</v>
      </c>
      <c r="M2633" s="3">
        <f t="shared" si="626"/>
        <v>0</v>
      </c>
      <c r="N2633" s="3" t="str">
        <f t="shared" si="627"/>
        <v>01</v>
      </c>
      <c r="O2633" s="14" t="str">
        <f t="shared" si="627"/>
        <v>00</v>
      </c>
    </row>
    <row r="2634" spans="1:22" hidden="1">
      <c r="J2634" s="1" t="str">
        <f t="shared" si="623"/>
        <v>0</v>
      </c>
      <c r="K2634" s="3">
        <f t="shared" si="624"/>
        <v>-100</v>
      </c>
      <c r="L2634" s="3">
        <f t="shared" si="625"/>
        <v>1</v>
      </c>
      <c r="M2634" s="3">
        <f t="shared" si="626"/>
        <v>0</v>
      </c>
      <c r="N2634" s="3" t="str">
        <f t="shared" si="627"/>
        <v>01</v>
      </c>
      <c r="O2634" s="14" t="str">
        <f t="shared" si="627"/>
        <v>00</v>
      </c>
    </row>
    <row r="2635" spans="1:22" hidden="1">
      <c r="J2635" s="1" t="str">
        <f t="shared" si="623"/>
        <v>0</v>
      </c>
      <c r="K2635" s="3">
        <f t="shared" si="624"/>
        <v>-100</v>
      </c>
      <c r="L2635" s="3">
        <f t="shared" si="625"/>
        <v>1</v>
      </c>
      <c r="M2635" s="3">
        <f t="shared" si="626"/>
        <v>0</v>
      </c>
      <c r="N2635" s="3" t="str">
        <f t="shared" si="627"/>
        <v>01</v>
      </c>
      <c r="O2635" s="14" t="str">
        <f t="shared" si="627"/>
        <v>00</v>
      </c>
    </row>
    <row r="2636" spans="1:22" hidden="1">
      <c r="J2636" s="1" t="str">
        <f t="shared" si="623"/>
        <v>0</v>
      </c>
      <c r="K2636" s="3">
        <f t="shared" si="624"/>
        <v>-100</v>
      </c>
      <c r="L2636" s="3">
        <f t="shared" si="625"/>
        <v>1</v>
      </c>
      <c r="M2636" s="3">
        <f t="shared" si="626"/>
        <v>0</v>
      </c>
      <c r="N2636" s="3" t="str">
        <f t="shared" si="627"/>
        <v>01</v>
      </c>
      <c r="O2636" s="14" t="str">
        <f t="shared" si="627"/>
        <v>00</v>
      </c>
    </row>
    <row r="2637" spans="1:22" hidden="1">
      <c r="J2637" s="1" t="str">
        <f t="shared" si="623"/>
        <v>0</v>
      </c>
      <c r="K2637" s="3">
        <f t="shared" si="624"/>
        <v>-100</v>
      </c>
      <c r="L2637" s="3">
        <f t="shared" si="625"/>
        <v>1</v>
      </c>
      <c r="M2637" s="3">
        <f t="shared" si="626"/>
        <v>0</v>
      </c>
      <c r="N2637" s="3" t="str">
        <f t="shared" si="627"/>
        <v>01</v>
      </c>
      <c r="O2637" s="14" t="str">
        <f t="shared" si="627"/>
        <v>00</v>
      </c>
    </row>
    <row r="2638" spans="1:22" hidden="1">
      <c r="J2638" s="1" t="str">
        <f t="shared" si="623"/>
        <v>0</v>
      </c>
      <c r="K2638" s="3">
        <f t="shared" si="624"/>
        <v>-100</v>
      </c>
      <c r="L2638" s="3">
        <f t="shared" si="625"/>
        <v>1</v>
      </c>
      <c r="M2638" s="3">
        <f t="shared" si="626"/>
        <v>0</v>
      </c>
      <c r="N2638" s="3" t="str">
        <f t="shared" si="627"/>
        <v>01</v>
      </c>
      <c r="O2638" s="14" t="str">
        <f t="shared" si="627"/>
        <v>00</v>
      </c>
    </row>
    <row r="2639" spans="1:22">
      <c r="A2639" s="3">
        <v>2594</v>
      </c>
      <c r="B2639" s="1">
        <f t="shared" si="620"/>
        <v>0</v>
      </c>
      <c r="C2639" s="1">
        <f t="shared" si="621"/>
        <v>1</v>
      </c>
      <c r="D2639" s="1">
        <f t="shared" si="628"/>
        <v>0</v>
      </c>
      <c r="E2639" s="1">
        <f t="shared" si="622"/>
        <v>0</v>
      </c>
      <c r="F2639" s="1">
        <f t="shared" si="622"/>
        <v>0</v>
      </c>
      <c r="G2639" s="1" t="str">
        <f t="shared" si="629"/>
        <v>24112303</v>
      </c>
      <c r="H2639" s="2">
        <v>45619</v>
      </c>
      <c r="I2639" s="36">
        <v>3</v>
      </c>
      <c r="J2639" s="1" t="str">
        <f t="shared" si="623"/>
        <v>03</v>
      </c>
      <c r="K2639" s="3">
        <f t="shared" si="624"/>
        <v>24</v>
      </c>
      <c r="L2639" s="3">
        <f t="shared" si="625"/>
        <v>11</v>
      </c>
      <c r="M2639" s="3">
        <f t="shared" si="626"/>
        <v>23</v>
      </c>
      <c r="N2639" s="3">
        <f t="shared" si="627"/>
        <v>11</v>
      </c>
      <c r="O2639" s="14">
        <f t="shared" si="627"/>
        <v>23</v>
      </c>
      <c r="P2639" s="4">
        <v>132500</v>
      </c>
      <c r="T2639" s="29" t="s">
        <v>1125</v>
      </c>
      <c r="U2639" s="3" t="s">
        <v>1</v>
      </c>
      <c r="V2639" s="3" t="s">
        <v>5</v>
      </c>
    </row>
    <row r="2640" spans="1:22">
      <c r="A2640" s="3">
        <v>2595</v>
      </c>
      <c r="B2640" s="1">
        <f t="shared" si="620"/>
        <v>0</v>
      </c>
      <c r="C2640" s="1">
        <f t="shared" si="621"/>
        <v>0</v>
      </c>
      <c r="D2640" s="1">
        <f t="shared" si="628"/>
        <v>0</v>
      </c>
      <c r="E2640" s="1">
        <f t="shared" si="622"/>
        <v>0</v>
      </c>
      <c r="F2640" s="1">
        <f t="shared" si="622"/>
        <v>0</v>
      </c>
      <c r="G2640" s="1" t="str">
        <f t="shared" si="629"/>
        <v>24112304</v>
      </c>
      <c r="H2640" s="2">
        <v>45619</v>
      </c>
      <c r="I2640" s="36">
        <v>4</v>
      </c>
      <c r="J2640" s="1" t="str">
        <f t="shared" si="623"/>
        <v>04</v>
      </c>
      <c r="K2640" s="3">
        <f t="shared" si="624"/>
        <v>24</v>
      </c>
      <c r="L2640" s="3">
        <f t="shared" si="625"/>
        <v>11</v>
      </c>
      <c r="M2640" s="3">
        <f t="shared" si="626"/>
        <v>23</v>
      </c>
      <c r="N2640" s="3">
        <f t="shared" si="627"/>
        <v>11</v>
      </c>
      <c r="O2640" s="14">
        <f t="shared" si="627"/>
        <v>23</v>
      </c>
      <c r="P2640" s="4">
        <v>159000</v>
      </c>
      <c r="T2640" s="29" t="s">
        <v>1126</v>
      </c>
      <c r="U2640" s="3" t="s">
        <v>1</v>
      </c>
      <c r="V2640" s="3" t="s">
        <v>5</v>
      </c>
    </row>
    <row r="2641" spans="1:22">
      <c r="A2641" s="3">
        <v>2596</v>
      </c>
      <c r="B2641" s="1">
        <f t="shared" si="620"/>
        <v>0</v>
      </c>
      <c r="C2641" s="1">
        <f t="shared" si="621"/>
        <v>0</v>
      </c>
      <c r="D2641" s="1">
        <f t="shared" si="628"/>
        <v>0</v>
      </c>
      <c r="E2641" s="1">
        <f t="shared" si="622"/>
        <v>0</v>
      </c>
      <c r="F2641" s="1">
        <f t="shared" si="622"/>
        <v>0</v>
      </c>
      <c r="G2641" s="1" t="str">
        <f t="shared" si="629"/>
        <v>24112305</v>
      </c>
      <c r="H2641" s="2">
        <v>45619</v>
      </c>
      <c r="I2641" s="36">
        <v>5</v>
      </c>
      <c r="J2641" s="1" t="str">
        <f t="shared" si="623"/>
        <v>05</v>
      </c>
      <c r="K2641" s="3">
        <f t="shared" si="624"/>
        <v>24</v>
      </c>
      <c r="L2641" s="3">
        <f t="shared" si="625"/>
        <v>11</v>
      </c>
      <c r="M2641" s="3">
        <f t="shared" si="626"/>
        <v>23</v>
      </c>
      <c r="N2641" s="3">
        <f t="shared" si="627"/>
        <v>11</v>
      </c>
      <c r="O2641" s="14">
        <f t="shared" si="627"/>
        <v>23</v>
      </c>
      <c r="P2641" s="4">
        <v>132000</v>
      </c>
      <c r="T2641" s="29" t="s">
        <v>1127</v>
      </c>
      <c r="U2641" s="3" t="s">
        <v>1</v>
      </c>
      <c r="V2641" s="3" t="s">
        <v>5</v>
      </c>
    </row>
    <row r="2642" spans="1:22">
      <c r="A2642" s="3">
        <v>2597</v>
      </c>
      <c r="B2642" s="1">
        <f t="shared" si="620"/>
        <v>0</v>
      </c>
      <c r="C2642" s="1">
        <f t="shared" si="621"/>
        <v>0</v>
      </c>
      <c r="D2642" s="1">
        <f t="shared" si="628"/>
        <v>0</v>
      </c>
      <c r="E2642" s="1">
        <f t="shared" si="622"/>
        <v>0</v>
      </c>
      <c r="F2642" s="1">
        <f t="shared" si="622"/>
        <v>0</v>
      </c>
      <c r="G2642" s="1" t="str">
        <f t="shared" si="629"/>
        <v>24112306</v>
      </c>
      <c r="H2642" s="2">
        <v>45619</v>
      </c>
      <c r="I2642" s="36">
        <v>6</v>
      </c>
      <c r="J2642" s="1" t="str">
        <f t="shared" si="623"/>
        <v>06</v>
      </c>
      <c r="K2642" s="3">
        <f t="shared" si="624"/>
        <v>24</v>
      </c>
      <c r="L2642" s="3">
        <f t="shared" si="625"/>
        <v>11</v>
      </c>
      <c r="M2642" s="3">
        <f t="shared" si="626"/>
        <v>23</v>
      </c>
      <c r="N2642" s="3">
        <f t="shared" si="627"/>
        <v>11</v>
      </c>
      <c r="O2642" s="14">
        <f t="shared" si="627"/>
        <v>23</v>
      </c>
      <c r="P2642" s="4">
        <v>115000</v>
      </c>
      <c r="T2642" s="29" t="s">
        <v>1128</v>
      </c>
      <c r="U2642" s="3" t="s">
        <v>1</v>
      </c>
      <c r="V2642" s="3" t="s">
        <v>5</v>
      </c>
    </row>
    <row r="2643" spans="1:22">
      <c r="A2643" s="3">
        <v>2598</v>
      </c>
      <c r="B2643" s="1">
        <f t="shared" si="620"/>
        <v>0</v>
      </c>
      <c r="C2643" s="1">
        <f t="shared" si="621"/>
        <v>0</v>
      </c>
      <c r="D2643" s="1">
        <f t="shared" si="628"/>
        <v>0</v>
      </c>
      <c r="E2643" s="1">
        <f t="shared" si="622"/>
        <v>0</v>
      </c>
      <c r="F2643" s="1">
        <f t="shared" si="622"/>
        <v>0</v>
      </c>
      <c r="G2643" s="1" t="str">
        <f t="shared" si="629"/>
        <v>24112307</v>
      </c>
      <c r="H2643" s="2">
        <v>45619</v>
      </c>
      <c r="I2643" s="36">
        <v>7</v>
      </c>
      <c r="J2643" s="1" t="str">
        <f t="shared" si="623"/>
        <v>07</v>
      </c>
      <c r="K2643" s="3">
        <f t="shared" si="624"/>
        <v>24</v>
      </c>
      <c r="L2643" s="3">
        <f t="shared" si="625"/>
        <v>11</v>
      </c>
      <c r="M2643" s="3">
        <f t="shared" si="626"/>
        <v>23</v>
      </c>
      <c r="N2643" s="3">
        <f t="shared" si="627"/>
        <v>11</v>
      </c>
      <c r="O2643" s="14">
        <f t="shared" si="627"/>
        <v>23</v>
      </c>
      <c r="P2643" s="4">
        <v>132000</v>
      </c>
      <c r="T2643" s="29" t="s">
        <v>1129</v>
      </c>
      <c r="U2643" s="3" t="s">
        <v>1</v>
      </c>
      <c r="V2643" s="3" t="s">
        <v>5</v>
      </c>
    </row>
    <row r="2644" spans="1:22">
      <c r="A2644" s="3">
        <v>2599</v>
      </c>
      <c r="B2644" s="1">
        <f t="shared" si="620"/>
        <v>0</v>
      </c>
      <c r="C2644" s="1">
        <f t="shared" si="621"/>
        <v>0</v>
      </c>
      <c r="D2644" s="1">
        <f t="shared" si="628"/>
        <v>0</v>
      </c>
      <c r="E2644" s="1">
        <f t="shared" si="622"/>
        <v>0</v>
      </c>
      <c r="F2644" s="1">
        <f t="shared" si="622"/>
        <v>0</v>
      </c>
      <c r="G2644" s="1" t="str">
        <f t="shared" si="629"/>
        <v>24112308</v>
      </c>
      <c r="H2644" s="2">
        <v>45619</v>
      </c>
      <c r="I2644" s="36">
        <v>8</v>
      </c>
      <c r="J2644" s="1" t="str">
        <f t="shared" si="623"/>
        <v>08</v>
      </c>
      <c r="K2644" s="3">
        <f t="shared" si="624"/>
        <v>24</v>
      </c>
      <c r="L2644" s="3">
        <f t="shared" si="625"/>
        <v>11</v>
      </c>
      <c r="M2644" s="3">
        <f t="shared" si="626"/>
        <v>23</v>
      </c>
      <c r="N2644" s="3">
        <f t="shared" si="627"/>
        <v>11</v>
      </c>
      <c r="O2644" s="14">
        <f t="shared" si="627"/>
        <v>23</v>
      </c>
      <c r="P2644" s="4">
        <v>110000</v>
      </c>
      <c r="T2644" s="29" t="s">
        <v>1130</v>
      </c>
      <c r="U2644" s="3" t="s">
        <v>1</v>
      </c>
      <c r="V2644" s="3" t="s">
        <v>5</v>
      </c>
    </row>
    <row r="2645" spans="1:22">
      <c r="A2645" s="3">
        <v>2600</v>
      </c>
      <c r="B2645" s="1">
        <f t="shared" si="620"/>
        <v>0</v>
      </c>
      <c r="C2645" s="1">
        <f t="shared" si="621"/>
        <v>0</v>
      </c>
      <c r="D2645" s="1">
        <f t="shared" si="628"/>
        <v>0</v>
      </c>
      <c r="E2645" s="1">
        <f t="shared" si="622"/>
        <v>0</v>
      </c>
      <c r="F2645" s="1">
        <f t="shared" si="622"/>
        <v>0</v>
      </c>
      <c r="G2645" s="1" t="str">
        <f t="shared" si="629"/>
        <v>24112309</v>
      </c>
      <c r="H2645" s="2">
        <v>45619</v>
      </c>
      <c r="I2645" s="36">
        <v>9</v>
      </c>
      <c r="J2645" s="1" t="str">
        <f t="shared" si="623"/>
        <v>09</v>
      </c>
      <c r="K2645" s="3">
        <f t="shared" si="624"/>
        <v>24</v>
      </c>
      <c r="L2645" s="3">
        <f t="shared" si="625"/>
        <v>11</v>
      </c>
      <c r="M2645" s="3">
        <f t="shared" si="626"/>
        <v>23</v>
      </c>
      <c r="N2645" s="3">
        <f t="shared" si="627"/>
        <v>11</v>
      </c>
      <c r="O2645" s="14">
        <f t="shared" si="627"/>
        <v>23</v>
      </c>
      <c r="P2645" s="4">
        <v>132000</v>
      </c>
      <c r="T2645" s="18" t="s">
        <v>1131</v>
      </c>
      <c r="U2645" s="3" t="s">
        <v>1</v>
      </c>
      <c r="V2645" s="3" t="s">
        <v>5</v>
      </c>
    </row>
    <row r="2646" spans="1:22">
      <c r="A2646" s="3">
        <v>2601</v>
      </c>
      <c r="B2646" s="1">
        <f t="shared" si="620"/>
        <v>0</v>
      </c>
      <c r="C2646" s="1">
        <f t="shared" si="621"/>
        <v>0</v>
      </c>
      <c r="D2646" s="1">
        <f t="shared" si="628"/>
        <v>0</v>
      </c>
      <c r="E2646" s="1">
        <f t="shared" si="622"/>
        <v>0</v>
      </c>
      <c r="F2646" s="1">
        <f t="shared" si="622"/>
        <v>0</v>
      </c>
      <c r="G2646" s="1" t="str">
        <f t="shared" si="629"/>
        <v>24112310</v>
      </c>
      <c r="H2646" s="2">
        <v>45619</v>
      </c>
      <c r="I2646" s="36">
        <v>10</v>
      </c>
      <c r="J2646" s="1">
        <f t="shared" si="623"/>
        <v>10</v>
      </c>
      <c r="K2646" s="3">
        <f t="shared" si="624"/>
        <v>24</v>
      </c>
      <c r="L2646" s="3">
        <f t="shared" si="625"/>
        <v>11</v>
      </c>
      <c r="M2646" s="3">
        <f t="shared" si="626"/>
        <v>23</v>
      </c>
      <c r="N2646" s="3">
        <f t="shared" si="627"/>
        <v>11</v>
      </c>
      <c r="O2646" s="14">
        <f t="shared" si="627"/>
        <v>23</v>
      </c>
      <c r="P2646" s="4">
        <v>108000</v>
      </c>
      <c r="T2646" s="18" t="s">
        <v>1132</v>
      </c>
      <c r="U2646" s="3" t="s">
        <v>1</v>
      </c>
      <c r="V2646" s="3" t="s">
        <v>5</v>
      </c>
    </row>
    <row r="2647" spans="1:22">
      <c r="A2647" s="3">
        <v>2602</v>
      </c>
      <c r="B2647" s="1">
        <f t="shared" si="620"/>
        <v>0</v>
      </c>
      <c r="C2647" s="1">
        <f t="shared" si="621"/>
        <v>0</v>
      </c>
      <c r="D2647" s="1">
        <f t="shared" si="628"/>
        <v>0</v>
      </c>
      <c r="E2647" s="1">
        <f t="shared" si="622"/>
        <v>0</v>
      </c>
      <c r="F2647" s="1">
        <f t="shared" si="622"/>
        <v>0</v>
      </c>
      <c r="G2647" s="1" t="str">
        <f t="shared" si="629"/>
        <v>24112311</v>
      </c>
      <c r="H2647" s="2">
        <v>45619</v>
      </c>
      <c r="I2647" s="36">
        <v>11</v>
      </c>
      <c r="J2647" s="1">
        <f t="shared" si="623"/>
        <v>11</v>
      </c>
      <c r="K2647" s="3">
        <f t="shared" si="624"/>
        <v>24</v>
      </c>
      <c r="L2647" s="3">
        <f t="shared" si="625"/>
        <v>11</v>
      </c>
      <c r="M2647" s="3">
        <f t="shared" si="626"/>
        <v>23</v>
      </c>
      <c r="N2647" s="3">
        <f t="shared" si="627"/>
        <v>11</v>
      </c>
      <c r="O2647" s="14">
        <f t="shared" si="627"/>
        <v>23</v>
      </c>
      <c r="P2647" s="4">
        <v>150000</v>
      </c>
      <c r="T2647" s="18" t="s">
        <v>1133</v>
      </c>
      <c r="U2647" s="3" t="s">
        <v>1</v>
      </c>
      <c r="V2647" s="3" t="s">
        <v>5</v>
      </c>
    </row>
    <row r="2648" spans="1:22">
      <c r="A2648" s="3">
        <v>2603</v>
      </c>
      <c r="B2648" s="1">
        <f t="shared" si="620"/>
        <v>0</v>
      </c>
      <c r="C2648" s="1">
        <f t="shared" si="621"/>
        <v>0</v>
      </c>
      <c r="D2648" s="1">
        <f t="shared" si="628"/>
        <v>0</v>
      </c>
      <c r="E2648" s="1">
        <f t="shared" si="622"/>
        <v>0</v>
      </c>
      <c r="F2648" s="1">
        <f t="shared" si="622"/>
        <v>0</v>
      </c>
      <c r="G2648" s="1" t="str">
        <f t="shared" si="629"/>
        <v>24112312</v>
      </c>
      <c r="H2648" s="2">
        <v>45619</v>
      </c>
      <c r="I2648" s="36">
        <v>12</v>
      </c>
      <c r="J2648" s="1">
        <f t="shared" si="623"/>
        <v>12</v>
      </c>
      <c r="K2648" s="3">
        <f t="shared" si="624"/>
        <v>24</v>
      </c>
      <c r="L2648" s="3">
        <f t="shared" si="625"/>
        <v>11</v>
      </c>
      <c r="M2648" s="3">
        <f t="shared" si="626"/>
        <v>23</v>
      </c>
      <c r="N2648" s="3">
        <f t="shared" si="627"/>
        <v>11</v>
      </c>
      <c r="O2648" s="14">
        <f t="shared" si="627"/>
        <v>23</v>
      </c>
      <c r="P2648" s="4">
        <v>132000</v>
      </c>
      <c r="T2648" s="18" t="s">
        <v>1134</v>
      </c>
      <c r="U2648" s="3" t="s">
        <v>1</v>
      </c>
      <c r="V2648" s="3" t="s">
        <v>5</v>
      </c>
    </row>
    <row r="2649" spans="1:22">
      <c r="A2649" s="3">
        <v>2604</v>
      </c>
      <c r="B2649" s="1">
        <f t="shared" si="620"/>
        <v>0</v>
      </c>
      <c r="C2649" s="1">
        <f t="shared" si="621"/>
        <v>0</v>
      </c>
      <c r="D2649" s="1">
        <f t="shared" si="628"/>
        <v>0</v>
      </c>
      <c r="E2649" s="1">
        <f t="shared" si="622"/>
        <v>0</v>
      </c>
      <c r="F2649" s="1">
        <f t="shared" si="622"/>
        <v>0</v>
      </c>
      <c r="G2649" s="1" t="str">
        <f t="shared" si="629"/>
        <v>24112313</v>
      </c>
      <c r="H2649" s="2">
        <v>45619</v>
      </c>
      <c r="I2649" s="36">
        <v>13</v>
      </c>
      <c r="J2649" s="1">
        <f t="shared" si="623"/>
        <v>13</v>
      </c>
      <c r="K2649" s="3">
        <f t="shared" si="624"/>
        <v>24</v>
      </c>
      <c r="L2649" s="3">
        <f t="shared" si="625"/>
        <v>11</v>
      </c>
      <c r="M2649" s="3">
        <f t="shared" si="626"/>
        <v>23</v>
      </c>
      <c r="N2649" s="3">
        <f t="shared" si="627"/>
        <v>11</v>
      </c>
      <c r="O2649" s="14">
        <f t="shared" si="627"/>
        <v>23</v>
      </c>
      <c r="P2649" s="4">
        <v>108000</v>
      </c>
      <c r="T2649" s="18" t="s">
        <v>1135</v>
      </c>
      <c r="U2649" s="3" t="s">
        <v>1</v>
      </c>
      <c r="V2649" s="3" t="s">
        <v>5</v>
      </c>
    </row>
    <row r="2650" spans="1:22">
      <c r="A2650" s="3">
        <v>2605</v>
      </c>
      <c r="B2650" s="1">
        <f t="shared" si="620"/>
        <v>0</v>
      </c>
      <c r="C2650" s="1">
        <f t="shared" si="621"/>
        <v>0</v>
      </c>
      <c r="D2650" s="1">
        <f t="shared" si="628"/>
        <v>0</v>
      </c>
      <c r="E2650" s="1">
        <f t="shared" si="622"/>
        <v>0</v>
      </c>
      <c r="F2650" s="1">
        <f t="shared" si="622"/>
        <v>0</v>
      </c>
      <c r="G2650" s="1" t="str">
        <f t="shared" si="629"/>
        <v>24112314</v>
      </c>
      <c r="H2650" s="2">
        <v>45619</v>
      </c>
      <c r="I2650" s="36">
        <v>14</v>
      </c>
      <c r="J2650" s="1">
        <f t="shared" si="623"/>
        <v>14</v>
      </c>
      <c r="K2650" s="3">
        <f t="shared" si="624"/>
        <v>24</v>
      </c>
      <c r="L2650" s="3">
        <f t="shared" si="625"/>
        <v>11</v>
      </c>
      <c r="M2650" s="3">
        <f t="shared" si="626"/>
        <v>23</v>
      </c>
      <c r="N2650" s="3">
        <f t="shared" si="627"/>
        <v>11</v>
      </c>
      <c r="O2650" s="14">
        <f t="shared" si="627"/>
        <v>23</v>
      </c>
      <c r="P2650" s="4">
        <v>108000</v>
      </c>
      <c r="T2650" s="18" t="s">
        <v>1136</v>
      </c>
      <c r="U2650" s="3" t="s">
        <v>1</v>
      </c>
      <c r="V2650" s="3" t="s">
        <v>5</v>
      </c>
    </row>
    <row r="2651" spans="1:22">
      <c r="A2651" s="3">
        <v>2606</v>
      </c>
      <c r="B2651" s="1">
        <f t="shared" si="620"/>
        <v>0</v>
      </c>
      <c r="C2651" s="1">
        <f t="shared" si="621"/>
        <v>0</v>
      </c>
      <c r="D2651" s="1">
        <f t="shared" si="628"/>
        <v>0</v>
      </c>
      <c r="E2651" s="1">
        <f t="shared" si="622"/>
        <v>0</v>
      </c>
      <c r="F2651" s="1">
        <f t="shared" si="622"/>
        <v>0</v>
      </c>
      <c r="G2651" s="1" t="str">
        <f t="shared" si="629"/>
        <v>24112315</v>
      </c>
      <c r="H2651" s="2">
        <v>45619</v>
      </c>
      <c r="I2651" s="36">
        <v>15</v>
      </c>
      <c r="J2651" s="1">
        <f t="shared" si="623"/>
        <v>15</v>
      </c>
      <c r="K2651" s="3">
        <f t="shared" si="624"/>
        <v>24</v>
      </c>
      <c r="L2651" s="3">
        <f t="shared" si="625"/>
        <v>11</v>
      </c>
      <c r="M2651" s="3">
        <f t="shared" si="626"/>
        <v>23</v>
      </c>
      <c r="N2651" s="3">
        <f t="shared" si="627"/>
        <v>11</v>
      </c>
      <c r="O2651" s="14">
        <f t="shared" si="627"/>
        <v>23</v>
      </c>
      <c r="P2651" s="4">
        <v>108000</v>
      </c>
      <c r="T2651" s="18" t="s">
        <v>1137</v>
      </c>
      <c r="U2651" s="3" t="s">
        <v>1</v>
      </c>
      <c r="V2651" s="3" t="s">
        <v>5</v>
      </c>
    </row>
    <row r="2652" spans="1:22">
      <c r="A2652" s="3">
        <v>2607</v>
      </c>
      <c r="B2652" s="1">
        <f t="shared" si="620"/>
        <v>0</v>
      </c>
      <c r="C2652" s="1">
        <f t="shared" si="621"/>
        <v>0</v>
      </c>
      <c r="D2652" s="1">
        <f t="shared" si="628"/>
        <v>0</v>
      </c>
      <c r="E2652" s="1">
        <f t="shared" si="622"/>
        <v>0</v>
      </c>
      <c r="F2652" s="1">
        <f t="shared" si="622"/>
        <v>0</v>
      </c>
      <c r="G2652" s="1" t="str">
        <f t="shared" si="629"/>
        <v>24112316</v>
      </c>
      <c r="H2652" s="2">
        <v>45619</v>
      </c>
      <c r="I2652" s="36">
        <v>16</v>
      </c>
      <c r="J2652" s="1">
        <f t="shared" si="623"/>
        <v>16</v>
      </c>
      <c r="K2652" s="3">
        <f t="shared" si="624"/>
        <v>24</v>
      </c>
      <c r="L2652" s="3">
        <f t="shared" si="625"/>
        <v>11</v>
      </c>
      <c r="M2652" s="3">
        <f t="shared" si="626"/>
        <v>23</v>
      </c>
      <c r="N2652" s="3">
        <f t="shared" si="627"/>
        <v>11</v>
      </c>
      <c r="O2652" s="14">
        <f t="shared" si="627"/>
        <v>23</v>
      </c>
      <c r="P2652" s="4">
        <v>252000</v>
      </c>
      <c r="T2652" s="18" t="s">
        <v>1138</v>
      </c>
      <c r="U2652" s="3" t="s">
        <v>1</v>
      </c>
      <c r="V2652" s="3" t="s">
        <v>5</v>
      </c>
    </row>
    <row r="2653" spans="1:22">
      <c r="A2653" s="3">
        <v>2608</v>
      </c>
      <c r="B2653" s="1">
        <f t="shared" si="620"/>
        <v>0</v>
      </c>
      <c r="C2653" s="1">
        <f t="shared" si="621"/>
        <v>0</v>
      </c>
      <c r="D2653" s="1">
        <f t="shared" si="628"/>
        <v>0</v>
      </c>
      <c r="E2653" s="1">
        <f t="shared" si="622"/>
        <v>0</v>
      </c>
      <c r="F2653" s="1">
        <f t="shared" si="622"/>
        <v>0</v>
      </c>
      <c r="G2653" s="1" t="str">
        <f t="shared" si="629"/>
        <v>24112317</v>
      </c>
      <c r="H2653" s="2">
        <v>45619</v>
      </c>
      <c r="I2653" s="36">
        <v>17</v>
      </c>
      <c r="J2653" s="1">
        <f t="shared" si="623"/>
        <v>17</v>
      </c>
      <c r="K2653" s="3">
        <f t="shared" si="624"/>
        <v>24</v>
      </c>
      <c r="L2653" s="3">
        <f t="shared" si="625"/>
        <v>11</v>
      </c>
      <c r="M2653" s="3">
        <f t="shared" si="626"/>
        <v>23</v>
      </c>
      <c r="N2653" s="3">
        <f t="shared" si="627"/>
        <v>11</v>
      </c>
      <c r="O2653" s="14">
        <f t="shared" si="627"/>
        <v>23</v>
      </c>
      <c r="P2653" s="4">
        <v>90000</v>
      </c>
      <c r="T2653" s="18" t="s">
        <v>1139</v>
      </c>
      <c r="U2653" s="3" t="s">
        <v>1</v>
      </c>
      <c r="V2653" s="3" t="s">
        <v>5</v>
      </c>
    </row>
    <row r="2654" spans="1:22">
      <c r="A2654" s="3">
        <v>2609</v>
      </c>
      <c r="B2654" s="1">
        <f t="shared" si="620"/>
        <v>0</v>
      </c>
      <c r="C2654" s="1">
        <f t="shared" si="621"/>
        <v>0</v>
      </c>
      <c r="D2654" s="1">
        <f t="shared" si="628"/>
        <v>0</v>
      </c>
      <c r="E2654" s="1">
        <f t="shared" si="622"/>
        <v>0</v>
      </c>
      <c r="F2654" s="1">
        <f t="shared" si="622"/>
        <v>0</v>
      </c>
      <c r="G2654" s="1" t="str">
        <f t="shared" si="629"/>
        <v>24112318</v>
      </c>
      <c r="H2654" s="2">
        <v>45619</v>
      </c>
      <c r="I2654" s="36">
        <v>18</v>
      </c>
      <c r="J2654" s="1">
        <f t="shared" si="623"/>
        <v>18</v>
      </c>
      <c r="K2654" s="3">
        <f t="shared" si="624"/>
        <v>24</v>
      </c>
      <c r="L2654" s="3">
        <f t="shared" si="625"/>
        <v>11</v>
      </c>
      <c r="M2654" s="3">
        <f t="shared" si="626"/>
        <v>23</v>
      </c>
      <c r="N2654" s="3">
        <f t="shared" si="627"/>
        <v>11</v>
      </c>
      <c r="O2654" s="14">
        <f t="shared" si="627"/>
        <v>23</v>
      </c>
      <c r="P2654" s="4">
        <v>150000</v>
      </c>
      <c r="T2654" s="18" t="s">
        <v>896</v>
      </c>
      <c r="U2654" s="3" t="s">
        <v>1</v>
      </c>
      <c r="V2654" s="3" t="s">
        <v>5</v>
      </c>
    </row>
    <row r="2655" spans="1:22">
      <c r="A2655" s="3">
        <v>2610</v>
      </c>
      <c r="B2655" s="1">
        <f t="shared" si="620"/>
        <v>0</v>
      </c>
      <c r="C2655" s="1">
        <f t="shared" si="621"/>
        <v>0</v>
      </c>
      <c r="D2655" s="1">
        <f t="shared" si="628"/>
        <v>0</v>
      </c>
      <c r="E2655" s="1">
        <f t="shared" si="622"/>
        <v>0</v>
      </c>
      <c r="F2655" s="1">
        <f t="shared" si="622"/>
        <v>0</v>
      </c>
      <c r="G2655" s="1" t="str">
        <f t="shared" si="629"/>
        <v>24112319</v>
      </c>
      <c r="H2655" s="2">
        <v>45619</v>
      </c>
      <c r="I2655" s="36">
        <v>19</v>
      </c>
      <c r="J2655" s="1">
        <f t="shared" si="623"/>
        <v>19</v>
      </c>
      <c r="K2655" s="3">
        <f t="shared" si="624"/>
        <v>24</v>
      </c>
      <c r="L2655" s="3">
        <f t="shared" si="625"/>
        <v>11</v>
      </c>
      <c r="M2655" s="3">
        <f t="shared" si="626"/>
        <v>23</v>
      </c>
      <c r="N2655" s="3">
        <f t="shared" si="627"/>
        <v>11</v>
      </c>
      <c r="O2655" s="14">
        <f t="shared" si="627"/>
        <v>23</v>
      </c>
      <c r="P2655" s="4">
        <v>30000</v>
      </c>
      <c r="T2655" s="19" t="s">
        <v>1140</v>
      </c>
      <c r="U2655" s="3" t="s">
        <v>1</v>
      </c>
      <c r="V2655" s="3" t="s">
        <v>5</v>
      </c>
    </row>
    <row r="2656" spans="1:22">
      <c r="A2656" s="3">
        <v>2611</v>
      </c>
      <c r="B2656" s="1">
        <f t="shared" si="620"/>
        <v>0</v>
      </c>
      <c r="C2656" s="1">
        <f t="shared" si="621"/>
        <v>0</v>
      </c>
      <c r="D2656" s="1">
        <f t="shared" si="628"/>
        <v>0</v>
      </c>
      <c r="E2656" s="1">
        <f t="shared" si="622"/>
        <v>0</v>
      </c>
      <c r="F2656" s="1">
        <f t="shared" si="622"/>
        <v>0</v>
      </c>
      <c r="G2656" s="1" t="str">
        <f t="shared" si="629"/>
        <v>24112320</v>
      </c>
      <c r="H2656" s="2">
        <v>45619</v>
      </c>
      <c r="I2656" s="36">
        <v>20</v>
      </c>
      <c r="J2656" s="1">
        <f t="shared" si="623"/>
        <v>20</v>
      </c>
      <c r="K2656" s="3">
        <f t="shared" si="624"/>
        <v>24</v>
      </c>
      <c r="L2656" s="3">
        <f t="shared" si="625"/>
        <v>11</v>
      </c>
      <c r="M2656" s="3">
        <f t="shared" si="626"/>
        <v>23</v>
      </c>
      <c r="N2656" s="3">
        <f t="shared" si="627"/>
        <v>11</v>
      </c>
      <c r="O2656" s="14">
        <f t="shared" si="627"/>
        <v>23</v>
      </c>
      <c r="P2656" s="4">
        <v>30000</v>
      </c>
      <c r="T2656" s="19" t="s">
        <v>1141</v>
      </c>
      <c r="U2656" s="3" t="s">
        <v>1</v>
      </c>
      <c r="V2656" s="3" t="s">
        <v>5</v>
      </c>
    </row>
    <row r="2657" spans="1:22">
      <c r="A2657" s="3">
        <v>2612</v>
      </c>
      <c r="B2657" s="1">
        <f t="shared" si="620"/>
        <v>0</v>
      </c>
      <c r="C2657" s="1">
        <f t="shared" si="621"/>
        <v>0</v>
      </c>
      <c r="D2657" s="1">
        <f t="shared" si="628"/>
        <v>0</v>
      </c>
      <c r="E2657" s="1">
        <f t="shared" si="622"/>
        <v>0</v>
      </c>
      <c r="F2657" s="1">
        <f t="shared" si="622"/>
        <v>0</v>
      </c>
      <c r="G2657" s="1" t="str">
        <f t="shared" si="629"/>
        <v>24112321</v>
      </c>
      <c r="H2657" s="2">
        <v>45619</v>
      </c>
      <c r="I2657" s="36">
        <v>21</v>
      </c>
      <c r="J2657" s="1">
        <f t="shared" si="623"/>
        <v>21</v>
      </c>
      <c r="K2657" s="3">
        <f t="shared" si="624"/>
        <v>24</v>
      </c>
      <c r="L2657" s="3">
        <f t="shared" si="625"/>
        <v>11</v>
      </c>
      <c r="M2657" s="3">
        <f t="shared" si="626"/>
        <v>23</v>
      </c>
      <c r="N2657" s="3">
        <f t="shared" si="627"/>
        <v>11</v>
      </c>
      <c r="O2657" s="14">
        <f t="shared" si="627"/>
        <v>23</v>
      </c>
      <c r="P2657" s="4">
        <v>30000</v>
      </c>
      <c r="T2657" s="19" t="s">
        <v>1142</v>
      </c>
      <c r="U2657" s="3" t="s">
        <v>1</v>
      </c>
      <c r="V2657" s="3" t="s">
        <v>5</v>
      </c>
    </row>
    <row r="2658" spans="1:22">
      <c r="A2658" s="3">
        <v>2613</v>
      </c>
      <c r="B2658" s="1">
        <f t="shared" si="620"/>
        <v>0</v>
      </c>
      <c r="C2658" s="1">
        <f t="shared" si="621"/>
        <v>0</v>
      </c>
      <c r="D2658" s="1">
        <f t="shared" si="628"/>
        <v>0</v>
      </c>
      <c r="E2658" s="1">
        <f t="shared" si="622"/>
        <v>0</v>
      </c>
      <c r="F2658" s="1">
        <f t="shared" si="622"/>
        <v>0</v>
      </c>
      <c r="G2658" s="1" t="str">
        <f t="shared" si="629"/>
        <v>24112322</v>
      </c>
      <c r="H2658" s="2">
        <v>45619</v>
      </c>
      <c r="I2658" s="36">
        <v>22</v>
      </c>
      <c r="J2658" s="1">
        <f t="shared" si="623"/>
        <v>22</v>
      </c>
      <c r="K2658" s="3">
        <f t="shared" si="624"/>
        <v>24</v>
      </c>
      <c r="L2658" s="3">
        <f t="shared" si="625"/>
        <v>11</v>
      </c>
      <c r="M2658" s="3">
        <f t="shared" si="626"/>
        <v>23</v>
      </c>
      <c r="N2658" s="3">
        <f t="shared" si="627"/>
        <v>11</v>
      </c>
      <c r="O2658" s="14">
        <f t="shared" si="627"/>
        <v>23</v>
      </c>
      <c r="P2658" s="134">
        <f>3*518</f>
        <v>1554</v>
      </c>
      <c r="T2658" s="19" t="s">
        <v>725</v>
      </c>
      <c r="U2658" s="3" t="s">
        <v>1</v>
      </c>
      <c r="V2658" s="3" t="s">
        <v>5</v>
      </c>
    </row>
    <row r="2659" spans="1:22" hidden="1">
      <c r="J2659" s="1" t="str">
        <f t="shared" si="623"/>
        <v>0</v>
      </c>
      <c r="K2659" s="3">
        <f t="shared" si="624"/>
        <v>-100</v>
      </c>
      <c r="L2659" s="3">
        <f t="shared" si="625"/>
        <v>1</v>
      </c>
      <c r="M2659" s="3">
        <f t="shared" si="626"/>
        <v>0</v>
      </c>
      <c r="N2659" s="3" t="str">
        <f t="shared" si="627"/>
        <v>01</v>
      </c>
      <c r="O2659" s="14" t="str">
        <f t="shared" si="627"/>
        <v>00</v>
      </c>
    </row>
    <row r="2660" spans="1:22" hidden="1">
      <c r="J2660" s="1" t="str">
        <f t="shared" si="623"/>
        <v>0</v>
      </c>
      <c r="K2660" s="3">
        <f t="shared" si="624"/>
        <v>-100</v>
      </c>
      <c r="L2660" s="3">
        <f t="shared" si="625"/>
        <v>1</v>
      </c>
      <c r="M2660" s="3">
        <f t="shared" si="626"/>
        <v>0</v>
      </c>
      <c r="N2660" s="3" t="str">
        <f t="shared" si="627"/>
        <v>01</v>
      </c>
      <c r="O2660" s="14" t="str">
        <f t="shared" si="627"/>
        <v>00</v>
      </c>
    </row>
    <row r="2661" spans="1:22" hidden="1">
      <c r="J2661" s="1" t="str">
        <f t="shared" si="623"/>
        <v>0</v>
      </c>
      <c r="K2661" s="3">
        <f t="shared" si="624"/>
        <v>-100</v>
      </c>
      <c r="L2661" s="3">
        <f t="shared" si="625"/>
        <v>1</v>
      </c>
      <c r="M2661" s="3">
        <f t="shared" si="626"/>
        <v>0</v>
      </c>
      <c r="N2661" s="3" t="str">
        <f t="shared" si="627"/>
        <v>01</v>
      </c>
      <c r="O2661" s="14" t="str">
        <f t="shared" si="627"/>
        <v>00</v>
      </c>
    </row>
    <row r="2662" spans="1:22" hidden="1">
      <c r="J2662" s="1" t="str">
        <f t="shared" si="623"/>
        <v>0</v>
      </c>
      <c r="K2662" s="3">
        <f t="shared" si="624"/>
        <v>-100</v>
      </c>
      <c r="L2662" s="3">
        <f t="shared" si="625"/>
        <v>1</v>
      </c>
      <c r="M2662" s="3">
        <f t="shared" si="626"/>
        <v>0</v>
      </c>
      <c r="N2662" s="3" t="str">
        <f t="shared" si="627"/>
        <v>01</v>
      </c>
      <c r="O2662" s="14" t="str">
        <f t="shared" si="627"/>
        <v>00</v>
      </c>
    </row>
    <row r="2663" spans="1:22" hidden="1">
      <c r="J2663" s="1" t="str">
        <f t="shared" si="623"/>
        <v>0</v>
      </c>
      <c r="K2663" s="3">
        <f t="shared" si="624"/>
        <v>-100</v>
      </c>
      <c r="L2663" s="3">
        <f t="shared" si="625"/>
        <v>1</v>
      </c>
      <c r="M2663" s="3">
        <f t="shared" si="626"/>
        <v>0</v>
      </c>
      <c r="N2663" s="3" t="str">
        <f t="shared" si="627"/>
        <v>01</v>
      </c>
      <c r="O2663" s="14" t="str">
        <f t="shared" si="627"/>
        <v>00</v>
      </c>
    </row>
    <row r="2664" spans="1:22" hidden="1">
      <c r="J2664" s="1" t="str">
        <f t="shared" si="623"/>
        <v>0</v>
      </c>
      <c r="K2664" s="3">
        <f t="shared" si="624"/>
        <v>-100</v>
      </c>
      <c r="L2664" s="3">
        <f t="shared" si="625"/>
        <v>1</v>
      </c>
      <c r="M2664" s="3">
        <f t="shared" si="626"/>
        <v>0</v>
      </c>
      <c r="N2664" s="3" t="str">
        <f t="shared" si="627"/>
        <v>01</v>
      </c>
      <c r="O2664" s="14" t="str">
        <f t="shared" si="627"/>
        <v>00</v>
      </c>
    </row>
    <row r="2665" spans="1:22">
      <c r="A2665" s="3">
        <v>2619</v>
      </c>
      <c r="B2665" s="1">
        <f t="shared" ref="B2665:B2721" si="630">IF(G2665="-",0,IF(G2664=G2665,1,0))</f>
        <v>0</v>
      </c>
      <c r="C2665" s="1">
        <f t="shared" ref="C2665:C2721" si="631">+IF(G2665="-",0,IF(I2665=I2664+1,0,(IF(I2665=1,0,1))))</f>
        <v>0</v>
      </c>
      <c r="D2665" s="1">
        <f t="shared" si="628"/>
        <v>0</v>
      </c>
      <c r="E2665" s="1">
        <f t="shared" ref="E2665:F2721" si="632">IF(U2665="",1,0)</f>
        <v>0</v>
      </c>
      <c r="F2665" s="1">
        <f t="shared" si="632"/>
        <v>0</v>
      </c>
      <c r="G2665" s="1" t="str">
        <f t="shared" si="629"/>
        <v>24112501</v>
      </c>
      <c r="H2665" s="2">
        <v>45621</v>
      </c>
      <c r="I2665" s="36">
        <v>1</v>
      </c>
      <c r="J2665" s="1" t="str">
        <f t="shared" si="623"/>
        <v>01</v>
      </c>
      <c r="K2665" s="3">
        <f t="shared" si="624"/>
        <v>24</v>
      </c>
      <c r="L2665" s="3">
        <f t="shared" si="625"/>
        <v>11</v>
      </c>
      <c r="M2665" s="3">
        <f t="shared" si="626"/>
        <v>25</v>
      </c>
      <c r="N2665" s="3">
        <f t="shared" si="627"/>
        <v>11</v>
      </c>
      <c r="O2665" s="14">
        <f t="shared" si="627"/>
        <v>25</v>
      </c>
      <c r="P2665" s="4">
        <v>602365.53</v>
      </c>
      <c r="T2665" s="5" t="s">
        <v>1191</v>
      </c>
      <c r="U2665" s="3" t="s">
        <v>2</v>
      </c>
      <c r="V2665" s="3" t="s">
        <v>5</v>
      </c>
    </row>
    <row r="2666" spans="1:22" hidden="1">
      <c r="J2666" s="1" t="str">
        <f t="shared" si="623"/>
        <v>0</v>
      </c>
      <c r="K2666" s="3">
        <f t="shared" si="624"/>
        <v>-100</v>
      </c>
      <c r="L2666" s="3">
        <f t="shared" si="625"/>
        <v>1</v>
      </c>
      <c r="M2666" s="3">
        <f t="shared" si="626"/>
        <v>0</v>
      </c>
      <c r="N2666" s="3" t="str">
        <f t="shared" si="627"/>
        <v>01</v>
      </c>
      <c r="O2666" s="14" t="str">
        <f t="shared" si="627"/>
        <v>00</v>
      </c>
    </row>
    <row r="2667" spans="1:22" hidden="1">
      <c r="J2667" s="1" t="str">
        <f t="shared" si="623"/>
        <v>0</v>
      </c>
      <c r="K2667" s="3">
        <f t="shared" si="624"/>
        <v>-100</v>
      </c>
      <c r="L2667" s="3">
        <f t="shared" si="625"/>
        <v>1</v>
      </c>
      <c r="M2667" s="3">
        <f t="shared" si="626"/>
        <v>0</v>
      </c>
      <c r="N2667" s="3" t="str">
        <f t="shared" si="627"/>
        <v>01</v>
      </c>
      <c r="O2667" s="14" t="str">
        <f t="shared" si="627"/>
        <v>00</v>
      </c>
    </row>
    <row r="2668" spans="1:22" hidden="1">
      <c r="J2668" s="1" t="str">
        <f t="shared" si="623"/>
        <v>0</v>
      </c>
      <c r="K2668" s="3">
        <f t="shared" si="624"/>
        <v>-100</v>
      </c>
      <c r="L2668" s="3">
        <f t="shared" si="625"/>
        <v>1</v>
      </c>
      <c r="M2668" s="3">
        <f t="shared" si="626"/>
        <v>0</v>
      </c>
      <c r="N2668" s="3" t="str">
        <f t="shared" si="627"/>
        <v>01</v>
      </c>
      <c r="O2668" s="14" t="str">
        <f t="shared" si="627"/>
        <v>00</v>
      </c>
    </row>
    <row r="2669" spans="1:22" hidden="1">
      <c r="J2669" s="1" t="str">
        <f t="shared" si="623"/>
        <v>0</v>
      </c>
      <c r="K2669" s="3">
        <f t="shared" si="624"/>
        <v>-100</v>
      </c>
      <c r="L2669" s="3">
        <f t="shared" si="625"/>
        <v>1</v>
      </c>
      <c r="M2669" s="3">
        <f t="shared" si="626"/>
        <v>0</v>
      </c>
      <c r="N2669" s="3" t="str">
        <f t="shared" si="627"/>
        <v>01</v>
      </c>
      <c r="O2669" s="14" t="str">
        <f t="shared" si="627"/>
        <v>00</v>
      </c>
    </row>
    <row r="2670" spans="1:22" hidden="1">
      <c r="J2670" s="1" t="str">
        <f t="shared" si="623"/>
        <v>0</v>
      </c>
      <c r="K2670" s="3">
        <f t="shared" si="624"/>
        <v>-100</v>
      </c>
      <c r="L2670" s="3">
        <f t="shared" si="625"/>
        <v>1</v>
      </c>
      <c r="M2670" s="3">
        <f t="shared" si="626"/>
        <v>0</v>
      </c>
      <c r="N2670" s="3" t="str">
        <f t="shared" si="627"/>
        <v>01</v>
      </c>
      <c r="O2670" s="14" t="str">
        <f t="shared" si="627"/>
        <v>00</v>
      </c>
    </row>
    <row r="2671" spans="1:22" hidden="1">
      <c r="J2671" s="1" t="str">
        <f t="shared" si="623"/>
        <v>0</v>
      </c>
      <c r="K2671" s="3">
        <f t="shared" si="624"/>
        <v>-100</v>
      </c>
      <c r="L2671" s="3">
        <f t="shared" si="625"/>
        <v>1</v>
      </c>
      <c r="M2671" s="3">
        <f t="shared" si="626"/>
        <v>0</v>
      </c>
      <c r="N2671" s="3" t="str">
        <f t="shared" si="627"/>
        <v>01</v>
      </c>
      <c r="O2671" s="14" t="str">
        <f t="shared" si="627"/>
        <v>00</v>
      </c>
    </row>
    <row r="2672" spans="1:22">
      <c r="A2672" s="3">
        <v>2624</v>
      </c>
      <c r="B2672" s="1">
        <f t="shared" si="630"/>
        <v>0</v>
      </c>
      <c r="C2672" s="1">
        <f t="shared" si="631"/>
        <v>0</v>
      </c>
      <c r="D2672" s="1">
        <f t="shared" si="628"/>
        <v>0</v>
      </c>
      <c r="E2672" s="1">
        <f t="shared" si="632"/>
        <v>0</v>
      </c>
      <c r="F2672" s="1">
        <f t="shared" si="632"/>
        <v>0</v>
      </c>
      <c r="G2672" s="1" t="str">
        <f t="shared" si="629"/>
        <v>24112601</v>
      </c>
      <c r="H2672" s="2">
        <v>45622</v>
      </c>
      <c r="I2672" s="36">
        <v>1</v>
      </c>
      <c r="J2672" s="1" t="str">
        <f t="shared" si="623"/>
        <v>01</v>
      </c>
      <c r="K2672" s="3">
        <f t="shared" si="624"/>
        <v>24</v>
      </c>
      <c r="L2672" s="3">
        <f t="shared" si="625"/>
        <v>11</v>
      </c>
      <c r="M2672" s="3">
        <f t="shared" si="626"/>
        <v>26</v>
      </c>
      <c r="N2672" s="3">
        <f t="shared" si="627"/>
        <v>11</v>
      </c>
      <c r="O2672" s="14">
        <f t="shared" si="627"/>
        <v>26</v>
      </c>
      <c r="P2672" s="4">
        <v>2776.41</v>
      </c>
      <c r="T2672" s="5" t="s">
        <v>40</v>
      </c>
      <c r="U2672" s="3" t="s">
        <v>29</v>
      </c>
      <c r="V2672" s="3" t="s">
        <v>5</v>
      </c>
    </row>
    <row r="2673" spans="1:22" hidden="1">
      <c r="J2673" s="1" t="str">
        <f t="shared" si="623"/>
        <v>0</v>
      </c>
      <c r="K2673" s="3">
        <f t="shared" si="624"/>
        <v>-100</v>
      </c>
      <c r="L2673" s="3">
        <f t="shared" si="625"/>
        <v>1</v>
      </c>
      <c r="M2673" s="3">
        <f t="shared" si="626"/>
        <v>0</v>
      </c>
      <c r="N2673" s="3" t="str">
        <f t="shared" si="627"/>
        <v>01</v>
      </c>
      <c r="O2673" s="14" t="str">
        <f t="shared" si="627"/>
        <v>00</v>
      </c>
    </row>
    <row r="2674" spans="1:22" hidden="1">
      <c r="J2674" s="1" t="str">
        <f t="shared" si="623"/>
        <v>0</v>
      </c>
      <c r="K2674" s="3">
        <f t="shared" si="624"/>
        <v>-100</v>
      </c>
      <c r="L2674" s="3">
        <f t="shared" si="625"/>
        <v>1</v>
      </c>
      <c r="M2674" s="3">
        <f t="shared" si="626"/>
        <v>0</v>
      </c>
      <c r="N2674" s="3" t="str">
        <f t="shared" si="627"/>
        <v>01</v>
      </c>
      <c r="O2674" s="14" t="str">
        <f t="shared" si="627"/>
        <v>00</v>
      </c>
    </row>
    <row r="2675" spans="1:22" hidden="1">
      <c r="J2675" s="1" t="str">
        <f t="shared" si="623"/>
        <v>0</v>
      </c>
      <c r="K2675" s="3">
        <f t="shared" si="624"/>
        <v>-100</v>
      </c>
      <c r="L2675" s="3">
        <f t="shared" si="625"/>
        <v>1</v>
      </c>
      <c r="M2675" s="3">
        <f t="shared" si="626"/>
        <v>0</v>
      </c>
      <c r="N2675" s="3" t="str">
        <f t="shared" si="627"/>
        <v>01</v>
      </c>
      <c r="O2675" s="14" t="str">
        <f t="shared" si="627"/>
        <v>00</v>
      </c>
    </row>
    <row r="2676" spans="1:22" hidden="1">
      <c r="J2676" s="1" t="str">
        <f t="shared" si="623"/>
        <v>0</v>
      </c>
      <c r="K2676" s="3">
        <f t="shared" si="624"/>
        <v>-100</v>
      </c>
      <c r="L2676" s="3">
        <f t="shared" si="625"/>
        <v>1</v>
      </c>
      <c r="M2676" s="3">
        <f t="shared" si="626"/>
        <v>0</v>
      </c>
      <c r="N2676" s="3" t="str">
        <f t="shared" si="627"/>
        <v>01</v>
      </c>
      <c r="O2676" s="14" t="str">
        <f t="shared" si="627"/>
        <v>00</v>
      </c>
    </row>
    <row r="2677" spans="1:22" hidden="1">
      <c r="J2677" s="1" t="str">
        <f t="shared" si="623"/>
        <v>0</v>
      </c>
      <c r="K2677" s="3">
        <f t="shared" si="624"/>
        <v>-100</v>
      </c>
      <c r="L2677" s="3">
        <f t="shared" si="625"/>
        <v>1</v>
      </c>
      <c r="M2677" s="3">
        <f t="shared" si="626"/>
        <v>0</v>
      </c>
      <c r="N2677" s="3" t="str">
        <f t="shared" si="627"/>
        <v>01</v>
      </c>
      <c r="O2677" s="14" t="str">
        <f t="shared" si="627"/>
        <v>00</v>
      </c>
    </row>
    <row r="2678" spans="1:22" hidden="1">
      <c r="J2678" s="1" t="str">
        <f t="shared" si="623"/>
        <v>0</v>
      </c>
      <c r="K2678" s="3">
        <f t="shared" si="624"/>
        <v>-100</v>
      </c>
      <c r="L2678" s="3">
        <f t="shared" si="625"/>
        <v>1</v>
      </c>
      <c r="M2678" s="3">
        <f t="shared" si="626"/>
        <v>0</v>
      </c>
      <c r="N2678" s="3" t="str">
        <f t="shared" si="627"/>
        <v>01</v>
      </c>
      <c r="O2678" s="14" t="str">
        <f t="shared" si="627"/>
        <v>00</v>
      </c>
    </row>
    <row r="2679" spans="1:22" hidden="1">
      <c r="J2679" s="1" t="str">
        <f t="shared" ref="J2679:J2742" si="633">+IF(I2679&lt;10,_xlfn.CONCAT("0",I2679),I2679)</f>
        <v>0</v>
      </c>
      <c r="K2679" s="3">
        <f t="shared" ref="K2679:K2742" si="634">+YEAR(H2679)-2000</f>
        <v>-100</v>
      </c>
      <c r="L2679" s="3">
        <f t="shared" ref="L2679:L2742" si="635">+MONTH(H2679)</f>
        <v>1</v>
      </c>
      <c r="M2679" s="3">
        <f t="shared" ref="M2679:M2742" si="636">+DAY(H2679)</f>
        <v>0</v>
      </c>
      <c r="N2679" s="3" t="str">
        <f t="shared" ref="N2679:O2742" si="637">+IF(L2679&lt;10,_xlfn.CONCAT("0",L2679),L2679)</f>
        <v>01</v>
      </c>
      <c r="O2679" s="14" t="str">
        <f t="shared" si="637"/>
        <v>00</v>
      </c>
    </row>
    <row r="2680" spans="1:22" hidden="1">
      <c r="J2680" s="1" t="str">
        <f t="shared" si="633"/>
        <v>0</v>
      </c>
      <c r="K2680" s="3">
        <f t="shared" si="634"/>
        <v>-100</v>
      </c>
      <c r="L2680" s="3">
        <f t="shared" si="635"/>
        <v>1</v>
      </c>
      <c r="M2680" s="3">
        <f t="shared" si="636"/>
        <v>0</v>
      </c>
      <c r="N2680" s="3" t="str">
        <f t="shared" si="637"/>
        <v>01</v>
      </c>
      <c r="O2680" s="14" t="str">
        <f t="shared" si="637"/>
        <v>00</v>
      </c>
    </row>
    <row r="2681" spans="1:22" hidden="1">
      <c r="J2681" s="1" t="str">
        <f t="shared" si="633"/>
        <v>0</v>
      </c>
      <c r="K2681" s="3">
        <f t="shared" si="634"/>
        <v>-100</v>
      </c>
      <c r="L2681" s="3">
        <f t="shared" si="635"/>
        <v>1</v>
      </c>
      <c r="M2681" s="3">
        <f t="shared" si="636"/>
        <v>0</v>
      </c>
      <c r="N2681" s="3" t="str">
        <f t="shared" si="637"/>
        <v>01</v>
      </c>
      <c r="O2681" s="14" t="str">
        <f t="shared" si="637"/>
        <v>00</v>
      </c>
    </row>
    <row r="2682" spans="1:22">
      <c r="A2682" s="3">
        <v>2630</v>
      </c>
      <c r="B2682" s="1">
        <f t="shared" si="630"/>
        <v>0</v>
      </c>
      <c r="C2682" s="1">
        <f t="shared" si="631"/>
        <v>0</v>
      </c>
      <c r="D2682" s="1">
        <f t="shared" ref="D2682:D2739" si="638">+IF(AND(P2682="",Q2682=""),1,0)</f>
        <v>0</v>
      </c>
      <c r="E2682" s="1">
        <f t="shared" si="632"/>
        <v>0</v>
      </c>
      <c r="F2682" s="1">
        <f t="shared" si="632"/>
        <v>0</v>
      </c>
      <c r="G2682" s="1" t="str">
        <f t="shared" ref="G2682:G2739" si="639">IF(H2682=0,"-",_xlfn.CONCAT(K2682,N2682,O2682,J2682))</f>
        <v>24112701</v>
      </c>
      <c r="H2682" s="2">
        <v>45623</v>
      </c>
      <c r="I2682" s="36">
        <v>1</v>
      </c>
      <c r="J2682" s="1" t="str">
        <f t="shared" si="633"/>
        <v>01</v>
      </c>
      <c r="K2682" s="3">
        <f t="shared" si="634"/>
        <v>24</v>
      </c>
      <c r="L2682" s="3">
        <f t="shared" si="635"/>
        <v>11</v>
      </c>
      <c r="M2682" s="3">
        <f t="shared" si="636"/>
        <v>27</v>
      </c>
      <c r="N2682" s="3">
        <f t="shared" si="637"/>
        <v>11</v>
      </c>
      <c r="O2682" s="14">
        <f t="shared" si="637"/>
        <v>27</v>
      </c>
      <c r="P2682" s="4">
        <v>43335</v>
      </c>
      <c r="T2682" s="5" t="s">
        <v>144</v>
      </c>
      <c r="U2682" s="3" t="s">
        <v>29</v>
      </c>
      <c r="V2682" s="3" t="s">
        <v>5</v>
      </c>
    </row>
    <row r="2683" spans="1:22" hidden="1">
      <c r="J2683" s="1" t="str">
        <f t="shared" si="633"/>
        <v>0</v>
      </c>
      <c r="K2683" s="3">
        <f t="shared" si="634"/>
        <v>-100</v>
      </c>
      <c r="L2683" s="3">
        <f t="shared" si="635"/>
        <v>1</v>
      </c>
      <c r="M2683" s="3">
        <f t="shared" si="636"/>
        <v>0</v>
      </c>
      <c r="N2683" s="3" t="str">
        <f t="shared" si="637"/>
        <v>01</v>
      </c>
      <c r="O2683" s="14" t="str">
        <f t="shared" si="637"/>
        <v>00</v>
      </c>
    </row>
    <row r="2684" spans="1:22" hidden="1">
      <c r="J2684" s="1" t="str">
        <f t="shared" si="633"/>
        <v>0</v>
      </c>
      <c r="K2684" s="3">
        <f t="shared" si="634"/>
        <v>-100</v>
      </c>
      <c r="L2684" s="3">
        <f t="shared" si="635"/>
        <v>1</v>
      </c>
      <c r="M2684" s="3">
        <f t="shared" si="636"/>
        <v>0</v>
      </c>
      <c r="N2684" s="3" t="str">
        <f t="shared" si="637"/>
        <v>01</v>
      </c>
      <c r="O2684" s="14" t="str">
        <f t="shared" si="637"/>
        <v>00</v>
      </c>
    </row>
    <row r="2685" spans="1:22" hidden="1">
      <c r="J2685" s="1" t="str">
        <f t="shared" si="633"/>
        <v>0</v>
      </c>
      <c r="K2685" s="3">
        <f t="shared" si="634"/>
        <v>-100</v>
      </c>
      <c r="L2685" s="3">
        <f t="shared" si="635"/>
        <v>1</v>
      </c>
      <c r="M2685" s="3">
        <f t="shared" si="636"/>
        <v>0</v>
      </c>
      <c r="N2685" s="3" t="str">
        <f t="shared" si="637"/>
        <v>01</v>
      </c>
      <c r="O2685" s="14" t="str">
        <f t="shared" si="637"/>
        <v>00</v>
      </c>
    </row>
    <row r="2686" spans="1:22" hidden="1">
      <c r="J2686" s="1" t="str">
        <f t="shared" si="633"/>
        <v>0</v>
      </c>
      <c r="K2686" s="3">
        <f t="shared" si="634"/>
        <v>-100</v>
      </c>
      <c r="L2686" s="3">
        <f t="shared" si="635"/>
        <v>1</v>
      </c>
      <c r="M2686" s="3">
        <f t="shared" si="636"/>
        <v>0</v>
      </c>
      <c r="N2686" s="3" t="str">
        <f t="shared" si="637"/>
        <v>01</v>
      </c>
      <c r="O2686" s="14" t="str">
        <f t="shared" si="637"/>
        <v>00</v>
      </c>
    </row>
    <row r="2687" spans="1:22">
      <c r="A2687" s="3">
        <v>2688</v>
      </c>
      <c r="B2687" s="1">
        <f t="shared" si="630"/>
        <v>0</v>
      </c>
      <c r="C2687" s="1">
        <f t="shared" si="631"/>
        <v>1</v>
      </c>
      <c r="D2687" s="1">
        <f t="shared" si="638"/>
        <v>0</v>
      </c>
      <c r="E2687" s="1">
        <f t="shared" si="632"/>
        <v>0</v>
      </c>
      <c r="F2687" s="1">
        <f t="shared" si="632"/>
        <v>0</v>
      </c>
      <c r="G2687" s="1" t="str">
        <f t="shared" si="639"/>
        <v>24112706</v>
      </c>
      <c r="H2687" s="2">
        <v>45623</v>
      </c>
      <c r="I2687" s="36">
        <v>6</v>
      </c>
      <c r="J2687" s="1" t="str">
        <f t="shared" si="633"/>
        <v>06</v>
      </c>
      <c r="K2687" s="3">
        <f t="shared" si="634"/>
        <v>24</v>
      </c>
      <c r="L2687" s="3">
        <f t="shared" si="635"/>
        <v>11</v>
      </c>
      <c r="M2687" s="3">
        <f t="shared" si="636"/>
        <v>27</v>
      </c>
      <c r="N2687" s="3">
        <f t="shared" si="637"/>
        <v>11</v>
      </c>
      <c r="O2687" s="14">
        <f t="shared" si="637"/>
        <v>27</v>
      </c>
      <c r="P2687" s="4">
        <v>85000</v>
      </c>
      <c r="T2687" s="5" t="s">
        <v>1202</v>
      </c>
      <c r="U2687" s="3" t="s">
        <v>1</v>
      </c>
      <c r="V2687" s="3" t="s">
        <v>5</v>
      </c>
    </row>
    <row r="2688" spans="1:22" hidden="1">
      <c r="J2688" s="1" t="str">
        <f t="shared" si="633"/>
        <v>0</v>
      </c>
      <c r="K2688" s="3">
        <f t="shared" si="634"/>
        <v>-100</v>
      </c>
      <c r="L2688" s="3">
        <f t="shared" si="635"/>
        <v>1</v>
      </c>
      <c r="M2688" s="3">
        <f t="shared" si="636"/>
        <v>0</v>
      </c>
      <c r="N2688" s="3" t="str">
        <f t="shared" si="637"/>
        <v>01</v>
      </c>
      <c r="O2688" s="14" t="str">
        <f t="shared" si="637"/>
        <v>00</v>
      </c>
    </row>
    <row r="2689" spans="1:23" hidden="1">
      <c r="J2689" s="1" t="str">
        <f t="shared" si="633"/>
        <v>0</v>
      </c>
      <c r="K2689" s="3">
        <f t="shared" si="634"/>
        <v>-100</v>
      </c>
      <c r="L2689" s="3">
        <f t="shared" si="635"/>
        <v>1</v>
      </c>
      <c r="M2689" s="3">
        <f t="shared" si="636"/>
        <v>0</v>
      </c>
      <c r="N2689" s="3" t="str">
        <f t="shared" si="637"/>
        <v>01</v>
      </c>
      <c r="O2689" s="14" t="str">
        <f t="shared" si="637"/>
        <v>00</v>
      </c>
    </row>
    <row r="2690" spans="1:23" hidden="1">
      <c r="J2690" s="1" t="str">
        <f t="shared" si="633"/>
        <v>0</v>
      </c>
      <c r="K2690" s="3">
        <f t="shared" si="634"/>
        <v>-100</v>
      </c>
      <c r="L2690" s="3">
        <f t="shared" si="635"/>
        <v>1</v>
      </c>
      <c r="M2690" s="3">
        <f t="shared" si="636"/>
        <v>0</v>
      </c>
      <c r="N2690" s="3" t="str">
        <f t="shared" si="637"/>
        <v>01</v>
      </c>
      <c r="O2690" s="14" t="str">
        <f t="shared" si="637"/>
        <v>00</v>
      </c>
    </row>
    <row r="2691" spans="1:23" hidden="1">
      <c r="J2691" s="1" t="str">
        <f t="shared" si="633"/>
        <v>0</v>
      </c>
      <c r="K2691" s="3">
        <f t="shared" si="634"/>
        <v>-100</v>
      </c>
      <c r="L2691" s="3">
        <f t="shared" si="635"/>
        <v>1</v>
      </c>
      <c r="M2691" s="3">
        <f t="shared" si="636"/>
        <v>0</v>
      </c>
      <c r="N2691" s="3" t="str">
        <f t="shared" si="637"/>
        <v>01</v>
      </c>
      <c r="O2691" s="14" t="str">
        <f t="shared" si="637"/>
        <v>00</v>
      </c>
    </row>
    <row r="2692" spans="1:23" hidden="1">
      <c r="J2692" s="1" t="str">
        <f t="shared" si="633"/>
        <v>0</v>
      </c>
      <c r="K2692" s="3">
        <f t="shared" si="634"/>
        <v>-100</v>
      </c>
      <c r="L2692" s="3">
        <f t="shared" si="635"/>
        <v>1</v>
      </c>
      <c r="M2692" s="3">
        <f t="shared" si="636"/>
        <v>0</v>
      </c>
      <c r="N2692" s="3" t="str">
        <f t="shared" si="637"/>
        <v>01</v>
      </c>
      <c r="O2692" s="14" t="str">
        <f t="shared" si="637"/>
        <v>00</v>
      </c>
    </row>
    <row r="2693" spans="1:23" hidden="1">
      <c r="J2693" s="1" t="str">
        <f t="shared" si="633"/>
        <v>0</v>
      </c>
      <c r="K2693" s="3">
        <f t="shared" si="634"/>
        <v>-100</v>
      </c>
      <c r="L2693" s="3">
        <f t="shared" si="635"/>
        <v>1</v>
      </c>
      <c r="M2693" s="3">
        <f t="shared" si="636"/>
        <v>0</v>
      </c>
      <c r="N2693" s="3" t="str">
        <f t="shared" si="637"/>
        <v>01</v>
      </c>
      <c r="O2693" s="14" t="str">
        <f t="shared" si="637"/>
        <v>00</v>
      </c>
    </row>
    <row r="2694" spans="1:23" hidden="1">
      <c r="J2694" s="1" t="str">
        <f t="shared" si="633"/>
        <v>0</v>
      </c>
      <c r="K2694" s="3">
        <f t="shared" si="634"/>
        <v>-100</v>
      </c>
      <c r="L2694" s="3">
        <f t="shared" si="635"/>
        <v>1</v>
      </c>
      <c r="M2694" s="3">
        <f t="shared" si="636"/>
        <v>0</v>
      </c>
      <c r="N2694" s="3" t="str">
        <f t="shared" si="637"/>
        <v>01</v>
      </c>
      <c r="O2694" s="14" t="str">
        <f t="shared" si="637"/>
        <v>00</v>
      </c>
    </row>
    <row r="2695" spans="1:23" hidden="1">
      <c r="J2695" s="1" t="str">
        <f t="shared" si="633"/>
        <v>0</v>
      </c>
      <c r="K2695" s="3">
        <f t="shared" si="634"/>
        <v>-100</v>
      </c>
      <c r="L2695" s="3">
        <f t="shared" si="635"/>
        <v>1</v>
      </c>
      <c r="M2695" s="3">
        <f t="shared" si="636"/>
        <v>0</v>
      </c>
      <c r="N2695" s="3" t="str">
        <f t="shared" si="637"/>
        <v>01</v>
      </c>
      <c r="O2695" s="14" t="str">
        <f t="shared" si="637"/>
        <v>00</v>
      </c>
    </row>
    <row r="2696" spans="1:23" hidden="1">
      <c r="J2696" s="1" t="str">
        <f t="shared" si="633"/>
        <v>0</v>
      </c>
      <c r="K2696" s="3">
        <f t="shared" si="634"/>
        <v>-100</v>
      </c>
      <c r="L2696" s="3">
        <f t="shared" si="635"/>
        <v>1</v>
      </c>
      <c r="M2696" s="3">
        <f t="shared" si="636"/>
        <v>0</v>
      </c>
      <c r="N2696" s="3" t="str">
        <f t="shared" si="637"/>
        <v>01</v>
      </c>
      <c r="O2696" s="14" t="str">
        <f t="shared" si="637"/>
        <v>00</v>
      </c>
    </row>
    <row r="2697" spans="1:23" hidden="1">
      <c r="J2697" s="1" t="str">
        <f t="shared" si="633"/>
        <v>0</v>
      </c>
      <c r="K2697" s="3">
        <f t="shared" si="634"/>
        <v>-100</v>
      </c>
      <c r="L2697" s="3">
        <f t="shared" si="635"/>
        <v>1</v>
      </c>
      <c r="M2697" s="3">
        <f t="shared" si="636"/>
        <v>0</v>
      </c>
      <c r="N2697" s="3" t="str">
        <f t="shared" si="637"/>
        <v>01</v>
      </c>
      <c r="O2697" s="14" t="str">
        <f t="shared" si="637"/>
        <v>00</v>
      </c>
    </row>
    <row r="2698" spans="1:23" hidden="1">
      <c r="J2698" s="1" t="str">
        <f t="shared" si="633"/>
        <v>0</v>
      </c>
      <c r="K2698" s="3">
        <f t="shared" si="634"/>
        <v>-100</v>
      </c>
      <c r="L2698" s="3">
        <f t="shared" si="635"/>
        <v>1</v>
      </c>
      <c r="M2698" s="3">
        <f t="shared" si="636"/>
        <v>0</v>
      </c>
      <c r="N2698" s="3" t="str">
        <f t="shared" si="637"/>
        <v>01</v>
      </c>
      <c r="O2698" s="14" t="str">
        <f t="shared" si="637"/>
        <v>00</v>
      </c>
    </row>
    <row r="2699" spans="1:23">
      <c r="A2699" s="3">
        <v>2673</v>
      </c>
      <c r="B2699" s="1">
        <f t="shared" si="630"/>
        <v>0</v>
      </c>
      <c r="C2699" s="1">
        <f t="shared" si="631"/>
        <v>1</v>
      </c>
      <c r="D2699" s="1">
        <f t="shared" si="638"/>
        <v>0</v>
      </c>
      <c r="E2699" s="1">
        <f t="shared" si="632"/>
        <v>0</v>
      </c>
      <c r="F2699" s="1">
        <f t="shared" si="632"/>
        <v>0</v>
      </c>
      <c r="G2699" s="1" t="str">
        <f t="shared" si="639"/>
        <v>24112908</v>
      </c>
      <c r="H2699" s="2">
        <v>45625</v>
      </c>
      <c r="I2699" s="36">
        <v>8</v>
      </c>
      <c r="J2699" s="1" t="str">
        <f t="shared" si="633"/>
        <v>08</v>
      </c>
      <c r="K2699" s="3">
        <f t="shared" si="634"/>
        <v>24</v>
      </c>
      <c r="L2699" s="3">
        <f t="shared" si="635"/>
        <v>11</v>
      </c>
      <c r="M2699" s="3">
        <f t="shared" si="636"/>
        <v>29</v>
      </c>
      <c r="N2699" s="3">
        <f t="shared" si="637"/>
        <v>11</v>
      </c>
      <c r="O2699" s="14">
        <f t="shared" si="637"/>
        <v>29</v>
      </c>
      <c r="P2699" s="4">
        <v>672350</v>
      </c>
      <c r="T2699" s="5" t="s">
        <v>1166</v>
      </c>
      <c r="U2699" s="3" t="s">
        <v>1</v>
      </c>
      <c r="V2699" s="3" t="s">
        <v>5</v>
      </c>
    </row>
    <row r="2700" spans="1:23" hidden="1">
      <c r="J2700" s="1" t="str">
        <f t="shared" si="633"/>
        <v>0</v>
      </c>
      <c r="K2700" s="3">
        <f t="shared" si="634"/>
        <v>-100</v>
      </c>
      <c r="L2700" s="3">
        <f t="shared" si="635"/>
        <v>1</v>
      </c>
      <c r="M2700" s="3">
        <f t="shared" si="636"/>
        <v>0</v>
      </c>
      <c r="N2700" s="3" t="str">
        <f t="shared" si="637"/>
        <v>01</v>
      </c>
      <c r="O2700" s="14" t="str">
        <f t="shared" si="637"/>
        <v>00</v>
      </c>
    </row>
    <row r="2701" spans="1:23" hidden="1">
      <c r="J2701" s="1" t="str">
        <f t="shared" si="633"/>
        <v>0</v>
      </c>
      <c r="K2701" s="3">
        <f t="shared" si="634"/>
        <v>-100</v>
      </c>
      <c r="L2701" s="3">
        <f t="shared" si="635"/>
        <v>1</v>
      </c>
      <c r="M2701" s="3">
        <f t="shared" si="636"/>
        <v>0</v>
      </c>
      <c r="N2701" s="3" t="str">
        <f t="shared" si="637"/>
        <v>01</v>
      </c>
      <c r="O2701" s="14" t="str">
        <f t="shared" si="637"/>
        <v>00</v>
      </c>
    </row>
    <row r="2702" spans="1:23">
      <c r="A2702" s="3">
        <v>2644</v>
      </c>
      <c r="B2702" s="1">
        <f t="shared" si="630"/>
        <v>0</v>
      </c>
      <c r="C2702" s="1">
        <f t="shared" si="631"/>
        <v>0</v>
      </c>
      <c r="D2702" s="1">
        <f t="shared" si="638"/>
        <v>0</v>
      </c>
      <c r="E2702" s="1">
        <f t="shared" si="632"/>
        <v>0</v>
      </c>
      <c r="F2702" s="1">
        <f t="shared" si="632"/>
        <v>0</v>
      </c>
      <c r="G2702" s="1" t="str">
        <f t="shared" si="639"/>
        <v>24113001</v>
      </c>
      <c r="H2702" s="2">
        <v>45626</v>
      </c>
      <c r="I2702" s="36">
        <v>1</v>
      </c>
      <c r="J2702" s="1" t="str">
        <f t="shared" si="633"/>
        <v>01</v>
      </c>
      <c r="K2702" s="3">
        <f t="shared" si="634"/>
        <v>24</v>
      </c>
      <c r="L2702" s="3">
        <f t="shared" si="635"/>
        <v>11</v>
      </c>
      <c r="M2702" s="3">
        <f t="shared" si="636"/>
        <v>30</v>
      </c>
      <c r="N2702" s="3">
        <f t="shared" si="637"/>
        <v>11</v>
      </c>
      <c r="O2702" s="14">
        <f t="shared" si="637"/>
        <v>30</v>
      </c>
      <c r="P2702" s="4">
        <v>106000</v>
      </c>
      <c r="T2702" s="29" t="s">
        <v>1146</v>
      </c>
      <c r="U2702" s="3" t="s">
        <v>1</v>
      </c>
      <c r="V2702" s="3" t="s">
        <v>5</v>
      </c>
      <c r="W2702" t="s">
        <v>1013</v>
      </c>
    </row>
    <row r="2703" spans="1:23">
      <c r="A2703" s="3">
        <v>2645</v>
      </c>
      <c r="B2703" s="1">
        <f t="shared" si="630"/>
        <v>0</v>
      </c>
      <c r="C2703" s="1">
        <f t="shared" si="631"/>
        <v>0</v>
      </c>
      <c r="D2703" s="1">
        <f t="shared" si="638"/>
        <v>0</v>
      </c>
      <c r="E2703" s="1">
        <f t="shared" si="632"/>
        <v>0</v>
      </c>
      <c r="F2703" s="1">
        <f t="shared" si="632"/>
        <v>0</v>
      </c>
      <c r="G2703" s="1" t="str">
        <f t="shared" si="639"/>
        <v>24113002</v>
      </c>
      <c r="H2703" s="2">
        <v>45626</v>
      </c>
      <c r="I2703" s="36">
        <v>2</v>
      </c>
      <c r="J2703" s="1" t="str">
        <f t="shared" si="633"/>
        <v>02</v>
      </c>
      <c r="K2703" s="3">
        <f t="shared" si="634"/>
        <v>24</v>
      </c>
      <c r="L2703" s="3">
        <f t="shared" si="635"/>
        <v>11</v>
      </c>
      <c r="M2703" s="3">
        <f t="shared" si="636"/>
        <v>30</v>
      </c>
      <c r="N2703" s="3">
        <f t="shared" si="637"/>
        <v>11</v>
      </c>
      <c r="O2703" s="14">
        <f t="shared" si="637"/>
        <v>30</v>
      </c>
      <c r="P2703" s="4">
        <v>159000</v>
      </c>
      <c r="T2703" s="29" t="s">
        <v>1147</v>
      </c>
      <c r="U2703" s="3" t="s">
        <v>1</v>
      </c>
      <c r="V2703" s="3" t="s">
        <v>5</v>
      </c>
      <c r="W2703" t="s">
        <v>1014</v>
      </c>
    </row>
    <row r="2704" spans="1:23">
      <c r="A2704" s="3">
        <v>2646</v>
      </c>
      <c r="B2704" s="1">
        <f t="shared" si="630"/>
        <v>0</v>
      </c>
      <c r="C2704" s="1">
        <f t="shared" si="631"/>
        <v>0</v>
      </c>
      <c r="D2704" s="1">
        <f t="shared" si="638"/>
        <v>0</v>
      </c>
      <c r="E2704" s="1">
        <f t="shared" si="632"/>
        <v>0</v>
      </c>
      <c r="F2704" s="1">
        <f t="shared" si="632"/>
        <v>0</v>
      </c>
      <c r="G2704" s="1" t="str">
        <f t="shared" si="639"/>
        <v>24113003</v>
      </c>
      <c r="H2704" s="2">
        <v>45626</v>
      </c>
      <c r="I2704" s="36">
        <v>3</v>
      </c>
      <c r="J2704" s="1" t="str">
        <f t="shared" si="633"/>
        <v>03</v>
      </c>
      <c r="K2704" s="3">
        <f t="shared" si="634"/>
        <v>24</v>
      </c>
      <c r="L2704" s="3">
        <f t="shared" si="635"/>
        <v>11</v>
      </c>
      <c r="M2704" s="3">
        <f t="shared" si="636"/>
        <v>30</v>
      </c>
      <c r="N2704" s="3">
        <f t="shared" si="637"/>
        <v>11</v>
      </c>
      <c r="O2704" s="14">
        <f t="shared" si="637"/>
        <v>30</v>
      </c>
      <c r="P2704" s="4">
        <v>132000</v>
      </c>
      <c r="T2704" s="29" t="s">
        <v>1148</v>
      </c>
      <c r="U2704" s="3" t="s">
        <v>1</v>
      </c>
      <c r="V2704" s="3" t="s">
        <v>5</v>
      </c>
      <c r="W2704" t="s">
        <v>1015</v>
      </c>
    </row>
    <row r="2705" spans="1:23">
      <c r="A2705" s="3">
        <v>2647</v>
      </c>
      <c r="B2705" s="1">
        <f t="shared" si="630"/>
        <v>0</v>
      </c>
      <c r="C2705" s="1">
        <f t="shared" si="631"/>
        <v>0</v>
      </c>
      <c r="D2705" s="1">
        <f t="shared" si="638"/>
        <v>0</v>
      </c>
      <c r="E2705" s="1">
        <f t="shared" si="632"/>
        <v>0</v>
      </c>
      <c r="F2705" s="1">
        <f t="shared" si="632"/>
        <v>0</v>
      </c>
      <c r="G2705" s="1" t="str">
        <f t="shared" si="639"/>
        <v>24113004</v>
      </c>
      <c r="H2705" s="2">
        <v>45626</v>
      </c>
      <c r="I2705" s="36">
        <v>4</v>
      </c>
      <c r="J2705" s="1" t="str">
        <f t="shared" si="633"/>
        <v>04</v>
      </c>
      <c r="K2705" s="3">
        <f t="shared" si="634"/>
        <v>24</v>
      </c>
      <c r="L2705" s="3">
        <f t="shared" si="635"/>
        <v>11</v>
      </c>
      <c r="M2705" s="3">
        <f t="shared" si="636"/>
        <v>30</v>
      </c>
      <c r="N2705" s="3">
        <f t="shared" si="637"/>
        <v>11</v>
      </c>
      <c r="O2705" s="14">
        <f t="shared" si="637"/>
        <v>30</v>
      </c>
      <c r="P2705" s="4">
        <v>138000</v>
      </c>
      <c r="T2705" s="29" t="s">
        <v>1149</v>
      </c>
      <c r="U2705" s="3" t="s">
        <v>1</v>
      </c>
      <c r="V2705" s="3" t="s">
        <v>5</v>
      </c>
      <c r="W2705" t="s">
        <v>1016</v>
      </c>
    </row>
    <row r="2706" spans="1:23">
      <c r="A2706" s="3">
        <v>2648</v>
      </c>
      <c r="B2706" s="1">
        <f t="shared" si="630"/>
        <v>0</v>
      </c>
      <c r="C2706" s="1">
        <f t="shared" si="631"/>
        <v>0</v>
      </c>
      <c r="D2706" s="1">
        <f t="shared" si="638"/>
        <v>0</v>
      </c>
      <c r="E2706" s="1">
        <f t="shared" si="632"/>
        <v>0</v>
      </c>
      <c r="F2706" s="1">
        <f t="shared" si="632"/>
        <v>0</v>
      </c>
      <c r="G2706" s="1" t="str">
        <f t="shared" si="639"/>
        <v>24113005</v>
      </c>
      <c r="H2706" s="2">
        <v>45626</v>
      </c>
      <c r="I2706" s="36">
        <v>5</v>
      </c>
      <c r="J2706" s="1" t="str">
        <f t="shared" si="633"/>
        <v>05</v>
      </c>
      <c r="K2706" s="3">
        <f t="shared" si="634"/>
        <v>24</v>
      </c>
      <c r="L2706" s="3">
        <f t="shared" si="635"/>
        <v>11</v>
      </c>
      <c r="M2706" s="3">
        <f t="shared" si="636"/>
        <v>30</v>
      </c>
      <c r="N2706" s="3">
        <f t="shared" si="637"/>
        <v>11</v>
      </c>
      <c r="O2706" s="14">
        <f t="shared" si="637"/>
        <v>30</v>
      </c>
      <c r="P2706" s="4">
        <v>132000</v>
      </c>
      <c r="T2706" s="29" t="s">
        <v>1150</v>
      </c>
      <c r="U2706" s="3" t="s">
        <v>1</v>
      </c>
      <c r="V2706" s="3" t="s">
        <v>5</v>
      </c>
      <c r="W2706" t="s">
        <v>1017</v>
      </c>
    </row>
    <row r="2707" spans="1:23">
      <c r="A2707" s="3">
        <v>2649</v>
      </c>
      <c r="B2707" s="1">
        <f t="shared" si="630"/>
        <v>0</v>
      </c>
      <c r="C2707" s="1">
        <f t="shared" si="631"/>
        <v>0</v>
      </c>
      <c r="D2707" s="1">
        <f t="shared" si="638"/>
        <v>0</v>
      </c>
      <c r="E2707" s="1">
        <f t="shared" si="632"/>
        <v>0</v>
      </c>
      <c r="F2707" s="1">
        <f t="shared" si="632"/>
        <v>0</v>
      </c>
      <c r="G2707" s="1" t="str">
        <f t="shared" si="639"/>
        <v>24113006</v>
      </c>
      <c r="H2707" s="2">
        <v>45626</v>
      </c>
      <c r="I2707" s="36">
        <v>6</v>
      </c>
      <c r="J2707" s="1" t="str">
        <f t="shared" si="633"/>
        <v>06</v>
      </c>
      <c r="K2707" s="3">
        <f t="shared" si="634"/>
        <v>24</v>
      </c>
      <c r="L2707" s="3">
        <f t="shared" si="635"/>
        <v>11</v>
      </c>
      <c r="M2707" s="3">
        <f t="shared" si="636"/>
        <v>30</v>
      </c>
      <c r="N2707" s="3">
        <f t="shared" si="637"/>
        <v>11</v>
      </c>
      <c r="O2707" s="14">
        <f t="shared" si="637"/>
        <v>30</v>
      </c>
      <c r="P2707" s="4">
        <v>132000</v>
      </c>
      <c r="T2707" s="29" t="s">
        <v>1151</v>
      </c>
      <c r="U2707" s="3" t="s">
        <v>1</v>
      </c>
      <c r="V2707" s="3" t="s">
        <v>5</v>
      </c>
      <c r="W2707" t="s">
        <v>1018</v>
      </c>
    </row>
    <row r="2708" spans="1:23">
      <c r="A2708" s="3">
        <v>2650</v>
      </c>
      <c r="B2708" s="1">
        <f t="shared" si="630"/>
        <v>0</v>
      </c>
      <c r="C2708" s="1">
        <f t="shared" si="631"/>
        <v>0</v>
      </c>
      <c r="D2708" s="1">
        <f t="shared" si="638"/>
        <v>0</v>
      </c>
      <c r="E2708" s="1">
        <f t="shared" si="632"/>
        <v>0</v>
      </c>
      <c r="F2708" s="1">
        <f t="shared" si="632"/>
        <v>0</v>
      </c>
      <c r="G2708" s="1" t="str">
        <f t="shared" si="639"/>
        <v>24113007</v>
      </c>
      <c r="H2708" s="2">
        <v>45626</v>
      </c>
      <c r="I2708" s="36">
        <v>7</v>
      </c>
      <c r="J2708" s="1" t="str">
        <f t="shared" si="633"/>
        <v>07</v>
      </c>
      <c r="K2708" s="3">
        <f t="shared" si="634"/>
        <v>24</v>
      </c>
      <c r="L2708" s="3">
        <f t="shared" si="635"/>
        <v>11</v>
      </c>
      <c r="M2708" s="3">
        <f t="shared" si="636"/>
        <v>30</v>
      </c>
      <c r="N2708" s="3">
        <f t="shared" si="637"/>
        <v>11</v>
      </c>
      <c r="O2708" s="14">
        <f t="shared" si="637"/>
        <v>30</v>
      </c>
      <c r="P2708" s="4">
        <v>132000</v>
      </c>
      <c r="T2708" s="136" t="s">
        <v>1152</v>
      </c>
      <c r="U2708" s="3" t="s">
        <v>1</v>
      </c>
      <c r="V2708" s="3" t="s">
        <v>5</v>
      </c>
      <c r="W2708"/>
    </row>
    <row r="2709" spans="1:23">
      <c r="A2709" s="3">
        <v>2651</v>
      </c>
      <c r="B2709" s="1">
        <f t="shared" si="630"/>
        <v>0</v>
      </c>
      <c r="C2709" s="1">
        <f t="shared" si="631"/>
        <v>0</v>
      </c>
      <c r="D2709" s="1">
        <f t="shared" si="638"/>
        <v>0</v>
      </c>
      <c r="E2709" s="1">
        <f t="shared" si="632"/>
        <v>0</v>
      </c>
      <c r="F2709" s="1">
        <f t="shared" si="632"/>
        <v>0</v>
      </c>
      <c r="G2709" s="1" t="str">
        <f t="shared" si="639"/>
        <v>24113008</v>
      </c>
      <c r="H2709" s="2">
        <v>45626</v>
      </c>
      <c r="I2709" s="36">
        <v>8</v>
      </c>
      <c r="J2709" s="1" t="str">
        <f t="shared" si="633"/>
        <v>08</v>
      </c>
      <c r="K2709" s="3">
        <f t="shared" si="634"/>
        <v>24</v>
      </c>
      <c r="L2709" s="3">
        <f t="shared" si="635"/>
        <v>11</v>
      </c>
      <c r="M2709" s="3">
        <f t="shared" si="636"/>
        <v>30</v>
      </c>
      <c r="N2709" s="3">
        <f t="shared" si="637"/>
        <v>11</v>
      </c>
      <c r="O2709" s="14">
        <f t="shared" si="637"/>
        <v>30</v>
      </c>
      <c r="P2709" s="4">
        <v>108000</v>
      </c>
      <c r="T2709" s="136" t="s">
        <v>1153</v>
      </c>
      <c r="U2709" s="3" t="s">
        <v>1</v>
      </c>
      <c r="V2709" s="3" t="s">
        <v>5</v>
      </c>
      <c r="W2709"/>
    </row>
    <row r="2710" spans="1:23">
      <c r="A2710" s="3">
        <v>2652</v>
      </c>
      <c r="B2710" s="1">
        <f t="shared" si="630"/>
        <v>0</v>
      </c>
      <c r="C2710" s="1">
        <f t="shared" si="631"/>
        <v>0</v>
      </c>
      <c r="D2710" s="1">
        <f t="shared" si="638"/>
        <v>0</v>
      </c>
      <c r="E2710" s="1">
        <f t="shared" si="632"/>
        <v>0</v>
      </c>
      <c r="F2710" s="1">
        <f t="shared" si="632"/>
        <v>0</v>
      </c>
      <c r="G2710" s="1" t="str">
        <f t="shared" si="639"/>
        <v>24113009</v>
      </c>
      <c r="H2710" s="2">
        <v>45626</v>
      </c>
      <c r="I2710" s="140">
        <v>9</v>
      </c>
      <c r="J2710" s="1" t="str">
        <f t="shared" si="633"/>
        <v>09</v>
      </c>
      <c r="K2710" s="3">
        <f t="shared" si="634"/>
        <v>24</v>
      </c>
      <c r="L2710" s="3">
        <f t="shared" si="635"/>
        <v>11</v>
      </c>
      <c r="M2710" s="3">
        <f t="shared" si="636"/>
        <v>30</v>
      </c>
      <c r="N2710" s="3">
        <f t="shared" si="637"/>
        <v>11</v>
      </c>
      <c r="O2710" s="14">
        <f t="shared" si="637"/>
        <v>30</v>
      </c>
      <c r="P2710" s="4">
        <v>150000</v>
      </c>
      <c r="T2710" s="136" t="s">
        <v>1154</v>
      </c>
      <c r="U2710" s="3" t="s">
        <v>1</v>
      </c>
      <c r="V2710" s="3" t="s">
        <v>5</v>
      </c>
      <c r="W2710"/>
    </row>
    <row r="2711" spans="1:23">
      <c r="A2711" s="3">
        <v>2653</v>
      </c>
      <c r="B2711" s="1">
        <f t="shared" si="630"/>
        <v>0</v>
      </c>
      <c r="C2711" s="1">
        <f t="shared" si="631"/>
        <v>0</v>
      </c>
      <c r="D2711" s="1">
        <f t="shared" si="638"/>
        <v>0</v>
      </c>
      <c r="E2711" s="1">
        <f t="shared" si="632"/>
        <v>0</v>
      </c>
      <c r="F2711" s="1">
        <f t="shared" si="632"/>
        <v>0</v>
      </c>
      <c r="G2711" s="1" t="str">
        <f t="shared" si="639"/>
        <v>24113010</v>
      </c>
      <c r="H2711" s="2">
        <v>45626</v>
      </c>
      <c r="I2711" s="36">
        <v>10</v>
      </c>
      <c r="J2711" s="1">
        <f t="shared" si="633"/>
        <v>10</v>
      </c>
      <c r="K2711" s="3">
        <f t="shared" si="634"/>
        <v>24</v>
      </c>
      <c r="L2711" s="3">
        <f t="shared" si="635"/>
        <v>11</v>
      </c>
      <c r="M2711" s="3">
        <f t="shared" si="636"/>
        <v>30</v>
      </c>
      <c r="N2711" s="3">
        <f t="shared" si="637"/>
        <v>11</v>
      </c>
      <c r="O2711" s="14">
        <f t="shared" si="637"/>
        <v>30</v>
      </c>
      <c r="P2711" s="4">
        <v>132000</v>
      </c>
      <c r="T2711" s="136" t="s">
        <v>1155</v>
      </c>
      <c r="U2711" s="3" t="s">
        <v>1</v>
      </c>
      <c r="V2711" s="3" t="s">
        <v>5</v>
      </c>
      <c r="W2711"/>
    </row>
    <row r="2712" spans="1:23">
      <c r="A2712" s="3">
        <v>2654</v>
      </c>
      <c r="B2712" s="1">
        <f t="shared" si="630"/>
        <v>0</v>
      </c>
      <c r="C2712" s="1">
        <f t="shared" si="631"/>
        <v>0</v>
      </c>
      <c r="D2712" s="1">
        <f t="shared" si="638"/>
        <v>0</v>
      </c>
      <c r="E2712" s="1">
        <f t="shared" si="632"/>
        <v>0</v>
      </c>
      <c r="F2712" s="1">
        <f t="shared" si="632"/>
        <v>0</v>
      </c>
      <c r="G2712" s="1" t="str">
        <f t="shared" si="639"/>
        <v>24113011</v>
      </c>
      <c r="H2712" s="2">
        <v>45626</v>
      </c>
      <c r="I2712" s="36">
        <v>11</v>
      </c>
      <c r="J2712" s="1">
        <f t="shared" si="633"/>
        <v>11</v>
      </c>
      <c r="K2712" s="3">
        <f t="shared" si="634"/>
        <v>24</v>
      </c>
      <c r="L2712" s="3">
        <f t="shared" si="635"/>
        <v>11</v>
      </c>
      <c r="M2712" s="3">
        <f t="shared" si="636"/>
        <v>30</v>
      </c>
      <c r="N2712" s="3">
        <f t="shared" si="637"/>
        <v>11</v>
      </c>
      <c r="O2712" s="14">
        <f t="shared" si="637"/>
        <v>30</v>
      </c>
      <c r="P2712" s="4">
        <v>108000</v>
      </c>
      <c r="T2712" s="136" t="s">
        <v>1156</v>
      </c>
      <c r="U2712" s="3" t="s">
        <v>1</v>
      </c>
      <c r="V2712" s="3" t="s">
        <v>5</v>
      </c>
      <c r="W2712"/>
    </row>
    <row r="2713" spans="1:23">
      <c r="A2713" s="3">
        <v>2655</v>
      </c>
      <c r="B2713" s="1">
        <f t="shared" si="630"/>
        <v>0</v>
      </c>
      <c r="C2713" s="1">
        <f t="shared" si="631"/>
        <v>0</v>
      </c>
      <c r="D2713" s="1">
        <f t="shared" si="638"/>
        <v>0</v>
      </c>
      <c r="E2713" s="1">
        <f t="shared" si="632"/>
        <v>0</v>
      </c>
      <c r="F2713" s="1">
        <f t="shared" si="632"/>
        <v>0</v>
      </c>
      <c r="G2713" s="1" t="str">
        <f t="shared" si="639"/>
        <v>24113012</v>
      </c>
      <c r="H2713" s="2">
        <v>45626</v>
      </c>
      <c r="I2713" s="36">
        <v>12</v>
      </c>
      <c r="J2713" s="1">
        <f t="shared" si="633"/>
        <v>12</v>
      </c>
      <c r="K2713" s="3">
        <f t="shared" si="634"/>
        <v>24</v>
      </c>
      <c r="L2713" s="3">
        <f t="shared" si="635"/>
        <v>11</v>
      </c>
      <c r="M2713" s="3">
        <f t="shared" si="636"/>
        <v>30</v>
      </c>
      <c r="N2713" s="3">
        <f t="shared" si="637"/>
        <v>11</v>
      </c>
      <c r="O2713" s="14">
        <f t="shared" si="637"/>
        <v>30</v>
      </c>
      <c r="P2713" s="4">
        <v>108000</v>
      </c>
      <c r="T2713" s="136" t="s">
        <v>1136</v>
      </c>
      <c r="U2713" s="3" t="s">
        <v>1</v>
      </c>
      <c r="V2713" s="3" t="s">
        <v>5</v>
      </c>
      <c r="W2713"/>
    </row>
    <row r="2714" spans="1:23">
      <c r="A2714" s="3">
        <v>2656</v>
      </c>
      <c r="B2714" s="1">
        <f t="shared" si="630"/>
        <v>0</v>
      </c>
      <c r="C2714" s="1">
        <f t="shared" si="631"/>
        <v>0</v>
      </c>
      <c r="D2714" s="1">
        <f t="shared" si="638"/>
        <v>0</v>
      </c>
      <c r="E2714" s="1">
        <f t="shared" si="632"/>
        <v>0</v>
      </c>
      <c r="F2714" s="1">
        <f t="shared" si="632"/>
        <v>0</v>
      </c>
      <c r="G2714" s="1" t="str">
        <f t="shared" si="639"/>
        <v>24113013</v>
      </c>
      <c r="H2714" s="2">
        <v>45626</v>
      </c>
      <c r="I2714" s="36">
        <v>13</v>
      </c>
      <c r="J2714" s="1">
        <f t="shared" si="633"/>
        <v>13</v>
      </c>
      <c r="K2714" s="3">
        <f t="shared" si="634"/>
        <v>24</v>
      </c>
      <c r="L2714" s="3">
        <f t="shared" si="635"/>
        <v>11</v>
      </c>
      <c r="M2714" s="3">
        <f t="shared" si="636"/>
        <v>30</v>
      </c>
      <c r="N2714" s="3">
        <f t="shared" si="637"/>
        <v>11</v>
      </c>
      <c r="O2714" s="14">
        <f t="shared" si="637"/>
        <v>30</v>
      </c>
      <c r="P2714" s="4">
        <v>108000</v>
      </c>
      <c r="T2714" s="136" t="s">
        <v>1157</v>
      </c>
      <c r="U2714" s="3" t="s">
        <v>1</v>
      </c>
      <c r="V2714" s="3" t="s">
        <v>5</v>
      </c>
      <c r="W2714"/>
    </row>
    <row r="2715" spans="1:23">
      <c r="A2715" s="3">
        <v>2657</v>
      </c>
      <c r="B2715" s="1">
        <f t="shared" si="630"/>
        <v>0</v>
      </c>
      <c r="C2715" s="1">
        <f t="shared" si="631"/>
        <v>0</v>
      </c>
      <c r="D2715" s="1">
        <f t="shared" si="638"/>
        <v>0</v>
      </c>
      <c r="E2715" s="1">
        <f t="shared" si="632"/>
        <v>0</v>
      </c>
      <c r="F2715" s="1">
        <f t="shared" si="632"/>
        <v>0</v>
      </c>
      <c r="G2715" s="1" t="str">
        <f t="shared" si="639"/>
        <v>24113014</v>
      </c>
      <c r="H2715" s="2">
        <v>45626</v>
      </c>
      <c r="I2715" s="36">
        <v>14</v>
      </c>
      <c r="J2715" s="1">
        <f t="shared" si="633"/>
        <v>14</v>
      </c>
      <c r="K2715" s="3">
        <f t="shared" si="634"/>
        <v>24</v>
      </c>
      <c r="L2715" s="3">
        <f t="shared" si="635"/>
        <v>11</v>
      </c>
      <c r="M2715" s="3">
        <f t="shared" si="636"/>
        <v>30</v>
      </c>
      <c r="N2715" s="3">
        <f t="shared" si="637"/>
        <v>11</v>
      </c>
      <c r="O2715" s="14">
        <f t="shared" si="637"/>
        <v>30</v>
      </c>
      <c r="P2715" s="4">
        <v>252000</v>
      </c>
      <c r="T2715" s="136" t="s">
        <v>1158</v>
      </c>
      <c r="U2715" s="3" t="s">
        <v>1</v>
      </c>
      <c r="V2715" s="3" t="s">
        <v>5</v>
      </c>
      <c r="W2715"/>
    </row>
    <row r="2716" spans="1:23">
      <c r="A2716" s="3">
        <v>2658</v>
      </c>
      <c r="B2716" s="1">
        <f t="shared" si="630"/>
        <v>0</v>
      </c>
      <c r="C2716" s="1">
        <f t="shared" si="631"/>
        <v>0</v>
      </c>
      <c r="D2716" s="1">
        <f t="shared" si="638"/>
        <v>0</v>
      </c>
      <c r="E2716" s="1">
        <f t="shared" si="632"/>
        <v>0</v>
      </c>
      <c r="F2716" s="1">
        <f t="shared" si="632"/>
        <v>0</v>
      </c>
      <c r="G2716" s="1" t="str">
        <f t="shared" si="639"/>
        <v>24113015</v>
      </c>
      <c r="H2716" s="2">
        <v>45626</v>
      </c>
      <c r="I2716" s="36">
        <v>15</v>
      </c>
      <c r="J2716" s="1">
        <f t="shared" si="633"/>
        <v>15</v>
      </c>
      <c r="K2716" s="3">
        <f t="shared" si="634"/>
        <v>24</v>
      </c>
      <c r="L2716" s="3">
        <f t="shared" si="635"/>
        <v>11</v>
      </c>
      <c r="M2716" s="3">
        <f t="shared" si="636"/>
        <v>30</v>
      </c>
      <c r="N2716" s="3">
        <f t="shared" si="637"/>
        <v>11</v>
      </c>
      <c r="O2716" s="14">
        <f t="shared" si="637"/>
        <v>30</v>
      </c>
      <c r="P2716" s="4">
        <v>90000</v>
      </c>
      <c r="T2716" s="136" t="s">
        <v>1159</v>
      </c>
      <c r="U2716" s="3" t="s">
        <v>1</v>
      </c>
      <c r="V2716" s="3" t="s">
        <v>5</v>
      </c>
      <c r="W2716"/>
    </row>
    <row r="2717" spans="1:23">
      <c r="A2717" s="3">
        <v>2659</v>
      </c>
      <c r="B2717" s="1">
        <f t="shared" si="630"/>
        <v>0</v>
      </c>
      <c r="C2717" s="1">
        <f t="shared" si="631"/>
        <v>0</v>
      </c>
      <c r="D2717" s="1">
        <f t="shared" si="638"/>
        <v>0</v>
      </c>
      <c r="E2717" s="1">
        <f t="shared" si="632"/>
        <v>0</v>
      </c>
      <c r="F2717" s="1">
        <f t="shared" si="632"/>
        <v>0</v>
      </c>
      <c r="G2717" s="1" t="str">
        <f t="shared" si="639"/>
        <v>24113016</v>
      </c>
      <c r="H2717" s="2">
        <v>45626</v>
      </c>
      <c r="I2717" s="36">
        <v>16</v>
      </c>
      <c r="J2717" s="1">
        <f t="shared" si="633"/>
        <v>16</v>
      </c>
      <c r="K2717" s="3">
        <f t="shared" si="634"/>
        <v>24</v>
      </c>
      <c r="L2717" s="3">
        <f t="shared" si="635"/>
        <v>11</v>
      </c>
      <c r="M2717" s="3">
        <f t="shared" si="636"/>
        <v>30</v>
      </c>
      <c r="N2717" s="3">
        <f t="shared" si="637"/>
        <v>11</v>
      </c>
      <c r="O2717" s="14">
        <f t="shared" si="637"/>
        <v>30</v>
      </c>
      <c r="P2717" s="4">
        <v>150000</v>
      </c>
      <c r="T2717" s="136" t="s">
        <v>1160</v>
      </c>
      <c r="U2717" s="3" t="s">
        <v>1</v>
      </c>
      <c r="V2717" s="3" t="s">
        <v>5</v>
      </c>
      <c r="W2717" t="s">
        <v>1019</v>
      </c>
    </row>
    <row r="2718" spans="1:23">
      <c r="A2718" s="3">
        <v>2660</v>
      </c>
      <c r="B2718" s="1">
        <f t="shared" si="630"/>
        <v>0</v>
      </c>
      <c r="C2718" s="1">
        <f t="shared" si="631"/>
        <v>0</v>
      </c>
      <c r="D2718" s="1">
        <f t="shared" si="638"/>
        <v>0</v>
      </c>
      <c r="E2718" s="1">
        <f t="shared" si="632"/>
        <v>0</v>
      </c>
      <c r="F2718" s="1">
        <f t="shared" si="632"/>
        <v>0</v>
      </c>
      <c r="G2718" s="1" t="str">
        <f t="shared" si="639"/>
        <v>24113017</v>
      </c>
      <c r="H2718" s="2">
        <v>45626</v>
      </c>
      <c r="I2718" s="36">
        <v>17</v>
      </c>
      <c r="J2718" s="1">
        <f t="shared" si="633"/>
        <v>17</v>
      </c>
      <c r="K2718" s="3">
        <f t="shared" si="634"/>
        <v>24</v>
      </c>
      <c r="L2718" s="3">
        <f t="shared" si="635"/>
        <v>11</v>
      </c>
      <c r="M2718" s="3">
        <f t="shared" si="636"/>
        <v>30</v>
      </c>
      <c r="N2718" s="3">
        <f t="shared" si="637"/>
        <v>11</v>
      </c>
      <c r="O2718" s="14">
        <f t="shared" si="637"/>
        <v>30</v>
      </c>
      <c r="P2718" s="4">
        <v>30000</v>
      </c>
      <c r="T2718" s="33" t="s">
        <v>1161</v>
      </c>
      <c r="U2718" s="3" t="s">
        <v>1</v>
      </c>
      <c r="V2718" s="3" t="s">
        <v>5</v>
      </c>
      <c r="W2718"/>
    </row>
    <row r="2719" spans="1:23">
      <c r="A2719" s="3">
        <v>2661</v>
      </c>
      <c r="B2719" s="1">
        <f t="shared" si="630"/>
        <v>0</v>
      </c>
      <c r="C2719" s="1">
        <f t="shared" si="631"/>
        <v>0</v>
      </c>
      <c r="D2719" s="1">
        <f t="shared" si="638"/>
        <v>0</v>
      </c>
      <c r="E2719" s="1">
        <f t="shared" si="632"/>
        <v>0</v>
      </c>
      <c r="F2719" s="1">
        <f t="shared" si="632"/>
        <v>0</v>
      </c>
      <c r="G2719" s="1" t="str">
        <f t="shared" si="639"/>
        <v>24113018</v>
      </c>
      <c r="H2719" s="2">
        <v>45626</v>
      </c>
      <c r="I2719" s="36">
        <v>18</v>
      </c>
      <c r="J2719" s="1">
        <f t="shared" si="633"/>
        <v>18</v>
      </c>
      <c r="K2719" s="3">
        <f t="shared" si="634"/>
        <v>24</v>
      </c>
      <c r="L2719" s="3">
        <f t="shared" si="635"/>
        <v>11</v>
      </c>
      <c r="M2719" s="3">
        <f t="shared" si="636"/>
        <v>30</v>
      </c>
      <c r="N2719" s="3">
        <f t="shared" si="637"/>
        <v>11</v>
      </c>
      <c r="O2719" s="14">
        <f t="shared" si="637"/>
        <v>30</v>
      </c>
      <c r="P2719" s="4">
        <v>30000</v>
      </c>
      <c r="T2719" s="33" t="s">
        <v>1162</v>
      </c>
      <c r="U2719" s="3" t="s">
        <v>1</v>
      </c>
      <c r="V2719" s="3" t="s">
        <v>5</v>
      </c>
      <c r="W2719"/>
    </row>
    <row r="2720" spans="1:23">
      <c r="A2720" s="3">
        <v>2662</v>
      </c>
      <c r="B2720" s="1">
        <f t="shared" si="630"/>
        <v>0</v>
      </c>
      <c r="C2720" s="1">
        <f t="shared" si="631"/>
        <v>0</v>
      </c>
      <c r="D2720" s="1">
        <f t="shared" si="638"/>
        <v>0</v>
      </c>
      <c r="E2720" s="1">
        <f t="shared" si="632"/>
        <v>0</v>
      </c>
      <c r="F2720" s="1">
        <f t="shared" si="632"/>
        <v>0</v>
      </c>
      <c r="G2720" s="1" t="str">
        <f t="shared" si="639"/>
        <v>24113019</v>
      </c>
      <c r="H2720" s="2">
        <v>45626</v>
      </c>
      <c r="I2720" s="36">
        <v>19</v>
      </c>
      <c r="J2720" s="1">
        <f t="shared" si="633"/>
        <v>19</v>
      </c>
      <c r="K2720" s="3">
        <f t="shared" si="634"/>
        <v>24</v>
      </c>
      <c r="L2720" s="3">
        <f t="shared" si="635"/>
        <v>11</v>
      </c>
      <c r="M2720" s="3">
        <f t="shared" si="636"/>
        <v>30</v>
      </c>
      <c r="N2720" s="3">
        <f t="shared" si="637"/>
        <v>11</v>
      </c>
      <c r="O2720" s="14">
        <f t="shared" si="637"/>
        <v>30</v>
      </c>
      <c r="P2720" s="4">
        <v>30000</v>
      </c>
      <c r="T2720" s="33" t="s">
        <v>1163</v>
      </c>
      <c r="U2720" s="3" t="s">
        <v>1</v>
      </c>
      <c r="V2720" s="3" t="s">
        <v>5</v>
      </c>
      <c r="W2720" t="s">
        <v>1020</v>
      </c>
    </row>
    <row r="2721" spans="1:23">
      <c r="A2721" s="3">
        <v>2691</v>
      </c>
      <c r="B2721" s="1">
        <f t="shared" si="630"/>
        <v>0</v>
      </c>
      <c r="C2721" s="1">
        <f t="shared" si="631"/>
        <v>0</v>
      </c>
      <c r="D2721" s="1">
        <f t="shared" si="638"/>
        <v>0</v>
      </c>
      <c r="E2721" s="1">
        <f t="shared" si="632"/>
        <v>0</v>
      </c>
      <c r="F2721" s="1">
        <f t="shared" si="632"/>
        <v>0</v>
      </c>
      <c r="G2721" s="1" t="str">
        <f t="shared" si="639"/>
        <v>24113020</v>
      </c>
      <c r="H2721" s="2">
        <v>45626</v>
      </c>
      <c r="I2721" s="36">
        <v>20</v>
      </c>
      <c r="J2721" s="1">
        <f t="shared" si="633"/>
        <v>20</v>
      </c>
      <c r="K2721" s="3">
        <f t="shared" si="634"/>
        <v>24</v>
      </c>
      <c r="L2721" s="3">
        <f t="shared" si="635"/>
        <v>11</v>
      </c>
      <c r="M2721" s="3">
        <f t="shared" si="636"/>
        <v>30</v>
      </c>
      <c r="N2721" s="3">
        <f t="shared" si="637"/>
        <v>11</v>
      </c>
      <c r="O2721" s="14">
        <f t="shared" si="637"/>
        <v>30</v>
      </c>
      <c r="Q2721" s="5">
        <v>1932.47</v>
      </c>
      <c r="T2721" s="5" t="s">
        <v>1203</v>
      </c>
      <c r="U2721" s="3" t="s">
        <v>2</v>
      </c>
      <c r="V2721" s="3" t="s">
        <v>5</v>
      </c>
    </row>
    <row r="2722" spans="1:23" hidden="1">
      <c r="J2722" s="1" t="str">
        <f t="shared" si="633"/>
        <v>0</v>
      </c>
      <c r="K2722" s="3">
        <f t="shared" si="634"/>
        <v>-100</v>
      </c>
      <c r="L2722" s="3">
        <f t="shared" si="635"/>
        <v>1</v>
      </c>
      <c r="M2722" s="3">
        <f t="shared" si="636"/>
        <v>0</v>
      </c>
      <c r="N2722" s="3" t="str">
        <f t="shared" si="637"/>
        <v>01</v>
      </c>
      <c r="O2722" s="14" t="str">
        <f t="shared" si="637"/>
        <v>00</v>
      </c>
    </row>
    <row r="2723" spans="1:23" hidden="1">
      <c r="J2723" s="1" t="str">
        <f t="shared" si="633"/>
        <v>0</v>
      </c>
      <c r="K2723" s="3">
        <f t="shared" si="634"/>
        <v>-100</v>
      </c>
      <c r="L2723" s="3">
        <f t="shared" si="635"/>
        <v>1</v>
      </c>
      <c r="M2723" s="3">
        <f t="shared" si="636"/>
        <v>0</v>
      </c>
      <c r="N2723" s="3" t="str">
        <f t="shared" si="637"/>
        <v>01</v>
      </c>
      <c r="O2723" s="14" t="str">
        <f t="shared" si="637"/>
        <v>00</v>
      </c>
    </row>
    <row r="2724" spans="1:23" hidden="1">
      <c r="J2724" s="1" t="str">
        <f t="shared" si="633"/>
        <v>0</v>
      </c>
      <c r="K2724" s="3">
        <f t="shared" si="634"/>
        <v>-100</v>
      </c>
      <c r="L2724" s="3">
        <f t="shared" si="635"/>
        <v>1</v>
      </c>
      <c r="M2724" s="3">
        <f t="shared" si="636"/>
        <v>0</v>
      </c>
      <c r="N2724" s="3" t="str">
        <f t="shared" si="637"/>
        <v>01</v>
      </c>
      <c r="O2724" s="14" t="str">
        <f t="shared" si="637"/>
        <v>00</v>
      </c>
    </row>
    <row r="2725" spans="1:23" hidden="1">
      <c r="J2725" s="1" t="str">
        <f t="shared" si="633"/>
        <v>0</v>
      </c>
      <c r="K2725" s="3">
        <f t="shared" si="634"/>
        <v>-100</v>
      </c>
      <c r="L2725" s="3">
        <f t="shared" si="635"/>
        <v>1</v>
      </c>
      <c r="M2725" s="3">
        <f t="shared" si="636"/>
        <v>0</v>
      </c>
      <c r="N2725" s="3" t="str">
        <f t="shared" si="637"/>
        <v>01</v>
      </c>
      <c r="O2725" s="14" t="str">
        <f t="shared" si="637"/>
        <v>00</v>
      </c>
    </row>
    <row r="2726" spans="1:23" hidden="1">
      <c r="J2726" s="1" t="str">
        <f t="shared" si="633"/>
        <v>0</v>
      </c>
      <c r="K2726" s="3">
        <f t="shared" si="634"/>
        <v>-100</v>
      </c>
      <c r="L2726" s="3">
        <f t="shared" si="635"/>
        <v>1</v>
      </c>
      <c r="M2726" s="3">
        <f t="shared" si="636"/>
        <v>0</v>
      </c>
      <c r="N2726" s="3" t="str">
        <f t="shared" si="637"/>
        <v>01</v>
      </c>
      <c r="O2726" s="14" t="str">
        <f t="shared" si="637"/>
        <v>00</v>
      </c>
    </row>
    <row r="2727" spans="1:23" hidden="1">
      <c r="J2727" s="1" t="str">
        <f t="shared" si="633"/>
        <v>0</v>
      </c>
      <c r="K2727" s="3">
        <f t="shared" si="634"/>
        <v>-100</v>
      </c>
      <c r="L2727" s="3">
        <f t="shared" si="635"/>
        <v>1</v>
      </c>
      <c r="M2727" s="3">
        <f t="shared" si="636"/>
        <v>0</v>
      </c>
      <c r="N2727" s="3" t="str">
        <f t="shared" si="637"/>
        <v>01</v>
      </c>
      <c r="O2727" s="14" t="str">
        <f t="shared" si="637"/>
        <v>00</v>
      </c>
    </row>
    <row r="2728" spans="1:23" hidden="1">
      <c r="J2728" s="1" t="str">
        <f t="shared" si="633"/>
        <v>0</v>
      </c>
      <c r="K2728" s="3">
        <f t="shared" si="634"/>
        <v>-100</v>
      </c>
      <c r="L2728" s="3">
        <f t="shared" si="635"/>
        <v>1</v>
      </c>
      <c r="M2728" s="3">
        <f t="shared" si="636"/>
        <v>0</v>
      </c>
      <c r="N2728" s="3" t="str">
        <f t="shared" si="637"/>
        <v>01</v>
      </c>
      <c r="O2728" s="14" t="str">
        <f t="shared" si="637"/>
        <v>00</v>
      </c>
    </row>
    <row r="2729" spans="1:23">
      <c r="A2729" s="3">
        <v>2674</v>
      </c>
      <c r="B2729" s="1">
        <f t="shared" ref="B2729:B2787" si="640">IF(G2729="-",0,IF(G2728=G2729,1,0))</f>
        <v>0</v>
      </c>
      <c r="C2729" s="1">
        <f t="shared" ref="C2729:C2787" si="641">+IF(G2729="-",0,IF(I2729=I2728+1,0,(IF(I2729=1,0,1))))</f>
        <v>0</v>
      </c>
      <c r="D2729" s="1">
        <f t="shared" si="638"/>
        <v>0</v>
      </c>
      <c r="E2729" s="1">
        <f t="shared" ref="E2729:F2787" si="642">IF(U2729="",1,0)</f>
        <v>0</v>
      </c>
      <c r="F2729" s="1">
        <f t="shared" si="642"/>
        <v>0</v>
      </c>
      <c r="G2729" s="1" t="str">
        <f t="shared" si="639"/>
        <v>24120201</v>
      </c>
      <c r="H2729" s="2">
        <v>45628</v>
      </c>
      <c r="I2729" s="1">
        <v>1</v>
      </c>
      <c r="J2729" s="1" t="str">
        <f t="shared" si="633"/>
        <v>01</v>
      </c>
      <c r="K2729" s="3">
        <f t="shared" si="634"/>
        <v>24</v>
      </c>
      <c r="L2729" s="3">
        <f t="shared" si="635"/>
        <v>12</v>
      </c>
      <c r="M2729" s="3">
        <f t="shared" si="636"/>
        <v>2</v>
      </c>
      <c r="N2729" s="3">
        <f t="shared" si="637"/>
        <v>12</v>
      </c>
      <c r="O2729" s="14" t="str">
        <f t="shared" si="637"/>
        <v>02</v>
      </c>
      <c r="P2729" s="4">
        <v>1360520</v>
      </c>
      <c r="T2729" s="5" t="s">
        <v>1167</v>
      </c>
      <c r="U2729" s="3" t="s">
        <v>1</v>
      </c>
      <c r="V2729" s="3" t="s">
        <v>5</v>
      </c>
      <c r="W2729" s="3" t="s">
        <v>1207</v>
      </c>
    </row>
    <row r="2730" spans="1:23">
      <c r="A2730" s="3">
        <v>2675</v>
      </c>
      <c r="B2730" s="1">
        <f t="shared" si="640"/>
        <v>0</v>
      </c>
      <c r="C2730" s="1">
        <f t="shared" si="641"/>
        <v>0</v>
      </c>
      <c r="D2730" s="1">
        <f t="shared" si="638"/>
        <v>0</v>
      </c>
      <c r="E2730" s="1">
        <f t="shared" si="642"/>
        <v>0</v>
      </c>
      <c r="F2730" s="1">
        <f t="shared" si="642"/>
        <v>0</v>
      </c>
      <c r="G2730" s="1" t="str">
        <f t="shared" si="639"/>
        <v>24120202</v>
      </c>
      <c r="H2730" s="2">
        <v>45628</v>
      </c>
      <c r="I2730" s="36">
        <v>2</v>
      </c>
      <c r="J2730" s="1" t="str">
        <f t="shared" si="633"/>
        <v>02</v>
      </c>
      <c r="K2730" s="3">
        <f t="shared" si="634"/>
        <v>24</v>
      </c>
      <c r="L2730" s="3">
        <f t="shared" si="635"/>
        <v>12</v>
      </c>
      <c r="M2730" s="3">
        <f t="shared" si="636"/>
        <v>2</v>
      </c>
      <c r="N2730" s="3">
        <f t="shared" si="637"/>
        <v>12</v>
      </c>
      <c r="O2730" s="14" t="str">
        <f t="shared" si="637"/>
        <v>02</v>
      </c>
      <c r="P2730" s="4">
        <v>128549.61</v>
      </c>
      <c r="T2730" s="5" t="s">
        <v>1168</v>
      </c>
      <c r="U2730" s="3" t="s">
        <v>1</v>
      </c>
      <c r="V2730" s="3" t="s">
        <v>5</v>
      </c>
    </row>
    <row r="2731" spans="1:23" hidden="1">
      <c r="J2731" s="1" t="str">
        <f t="shared" si="633"/>
        <v>0</v>
      </c>
      <c r="K2731" s="3">
        <f t="shared" si="634"/>
        <v>-100</v>
      </c>
      <c r="L2731" s="3">
        <f t="shared" si="635"/>
        <v>1</v>
      </c>
      <c r="M2731" s="3">
        <f t="shared" si="636"/>
        <v>0</v>
      </c>
      <c r="N2731" s="3" t="str">
        <f t="shared" si="637"/>
        <v>01</v>
      </c>
      <c r="O2731" s="14" t="str">
        <f t="shared" si="637"/>
        <v>00</v>
      </c>
    </row>
    <row r="2732" spans="1:23" hidden="1">
      <c r="J2732" s="1" t="str">
        <f t="shared" si="633"/>
        <v>0</v>
      </c>
      <c r="K2732" s="3">
        <f t="shared" si="634"/>
        <v>-100</v>
      </c>
      <c r="L2732" s="3">
        <f t="shared" si="635"/>
        <v>1</v>
      </c>
      <c r="M2732" s="3">
        <f t="shared" si="636"/>
        <v>0</v>
      </c>
      <c r="N2732" s="3" t="str">
        <f t="shared" si="637"/>
        <v>01</v>
      </c>
      <c r="O2732" s="14" t="str">
        <f t="shared" si="637"/>
        <v>00</v>
      </c>
    </row>
    <row r="2733" spans="1:23" hidden="1">
      <c r="J2733" s="1" t="str">
        <f t="shared" si="633"/>
        <v>0</v>
      </c>
      <c r="K2733" s="3">
        <f t="shared" si="634"/>
        <v>-100</v>
      </c>
      <c r="L2733" s="3">
        <f t="shared" si="635"/>
        <v>1</v>
      </c>
      <c r="M2733" s="3">
        <f t="shared" si="636"/>
        <v>0</v>
      </c>
      <c r="N2733" s="3" t="str">
        <f t="shared" si="637"/>
        <v>01</v>
      </c>
      <c r="O2733" s="14" t="str">
        <f t="shared" si="637"/>
        <v>00</v>
      </c>
    </row>
    <row r="2734" spans="1:23" hidden="1">
      <c r="J2734" s="1" t="str">
        <f t="shared" si="633"/>
        <v>0</v>
      </c>
      <c r="K2734" s="3">
        <f t="shared" si="634"/>
        <v>-100</v>
      </c>
      <c r="L2734" s="3">
        <f t="shared" si="635"/>
        <v>1</v>
      </c>
      <c r="M2734" s="3">
        <f t="shared" si="636"/>
        <v>0</v>
      </c>
      <c r="N2734" s="3" t="str">
        <f t="shared" si="637"/>
        <v>01</v>
      </c>
      <c r="O2734" s="14" t="str">
        <f t="shared" si="637"/>
        <v>00</v>
      </c>
    </row>
    <row r="2735" spans="1:23" hidden="1">
      <c r="J2735" s="1" t="str">
        <f t="shared" si="633"/>
        <v>0</v>
      </c>
      <c r="K2735" s="3">
        <f t="shared" si="634"/>
        <v>-100</v>
      </c>
      <c r="L2735" s="3">
        <f t="shared" si="635"/>
        <v>1</v>
      </c>
      <c r="M2735" s="3">
        <f t="shared" si="636"/>
        <v>0</v>
      </c>
      <c r="N2735" s="3" t="str">
        <f t="shared" si="637"/>
        <v>01</v>
      </c>
      <c r="O2735" s="14" t="str">
        <f t="shared" si="637"/>
        <v>00</v>
      </c>
    </row>
    <row r="2736" spans="1:23">
      <c r="A2736" s="3">
        <v>2670</v>
      </c>
      <c r="B2736" s="1">
        <f t="shared" si="640"/>
        <v>0</v>
      </c>
      <c r="C2736" s="1">
        <f t="shared" si="641"/>
        <v>0</v>
      </c>
      <c r="D2736" s="1">
        <f t="shared" si="638"/>
        <v>0</v>
      </c>
      <c r="E2736" s="1">
        <f t="shared" si="642"/>
        <v>0</v>
      </c>
      <c r="F2736" s="1">
        <f t="shared" si="642"/>
        <v>0</v>
      </c>
      <c r="G2736" s="1" t="str">
        <f t="shared" si="639"/>
        <v>24120301</v>
      </c>
      <c r="H2736" s="2">
        <v>45629</v>
      </c>
      <c r="I2736" s="36">
        <v>1</v>
      </c>
      <c r="J2736" s="1" t="str">
        <f t="shared" si="633"/>
        <v>01</v>
      </c>
      <c r="K2736" s="3">
        <f t="shared" si="634"/>
        <v>24</v>
      </c>
      <c r="L2736" s="3">
        <f t="shared" si="635"/>
        <v>12</v>
      </c>
      <c r="M2736" s="3">
        <f t="shared" si="636"/>
        <v>3</v>
      </c>
      <c r="N2736" s="3">
        <f t="shared" si="637"/>
        <v>12</v>
      </c>
      <c r="O2736" s="14" t="str">
        <f t="shared" si="637"/>
        <v>03</v>
      </c>
      <c r="P2736" s="4">
        <v>200000</v>
      </c>
      <c r="T2736" s="5" t="s">
        <v>1164</v>
      </c>
      <c r="U2736" s="3" t="s">
        <v>1</v>
      </c>
      <c r="V2736" s="3" t="s">
        <v>5</v>
      </c>
    </row>
    <row r="2737" spans="1:23" hidden="1">
      <c r="J2737" s="1" t="str">
        <f t="shared" si="633"/>
        <v>0</v>
      </c>
      <c r="K2737" s="3">
        <f t="shared" si="634"/>
        <v>-100</v>
      </c>
      <c r="L2737" s="3">
        <f t="shared" si="635"/>
        <v>1</v>
      </c>
      <c r="M2737" s="3">
        <f t="shared" si="636"/>
        <v>0</v>
      </c>
      <c r="N2737" s="3" t="str">
        <f t="shared" si="637"/>
        <v>01</v>
      </c>
      <c r="O2737" s="14" t="str">
        <f t="shared" si="637"/>
        <v>00</v>
      </c>
    </row>
    <row r="2738" spans="1:23">
      <c r="A2738" s="3">
        <v>2672</v>
      </c>
      <c r="B2738" s="1">
        <f t="shared" si="640"/>
        <v>0</v>
      </c>
      <c r="C2738" s="1">
        <f t="shared" si="641"/>
        <v>1</v>
      </c>
      <c r="D2738" s="1">
        <f t="shared" si="638"/>
        <v>0</v>
      </c>
      <c r="E2738" s="1">
        <f t="shared" si="642"/>
        <v>0</v>
      </c>
      <c r="F2738" s="1">
        <f t="shared" si="642"/>
        <v>0</v>
      </c>
      <c r="G2738" s="1" t="str">
        <f t="shared" si="639"/>
        <v>24120303</v>
      </c>
      <c r="H2738" s="2">
        <v>45629</v>
      </c>
      <c r="I2738" s="36">
        <v>3</v>
      </c>
      <c r="J2738" s="1" t="str">
        <f t="shared" si="633"/>
        <v>03</v>
      </c>
      <c r="K2738" s="3">
        <f t="shared" si="634"/>
        <v>24</v>
      </c>
      <c r="L2738" s="3">
        <f t="shared" si="635"/>
        <v>12</v>
      </c>
      <c r="M2738" s="3">
        <f t="shared" si="636"/>
        <v>3</v>
      </c>
      <c r="N2738" s="3">
        <f t="shared" si="637"/>
        <v>12</v>
      </c>
      <c r="O2738" s="14" t="str">
        <f t="shared" si="637"/>
        <v>03</v>
      </c>
      <c r="P2738" s="4">
        <v>5190.4399999999996</v>
      </c>
      <c r="T2738" s="5" t="s">
        <v>1165</v>
      </c>
      <c r="U2738" s="3" t="s">
        <v>825</v>
      </c>
      <c r="V2738" s="3" t="s">
        <v>5</v>
      </c>
      <c r="W2738" s="3" t="s">
        <v>1205</v>
      </c>
    </row>
    <row r="2739" spans="1:23">
      <c r="A2739" s="3">
        <v>2693</v>
      </c>
      <c r="B2739" s="1">
        <f t="shared" si="640"/>
        <v>0</v>
      </c>
      <c r="C2739" s="1">
        <f t="shared" si="641"/>
        <v>0</v>
      </c>
      <c r="D2739" s="1">
        <f t="shared" si="638"/>
        <v>0</v>
      </c>
      <c r="E2739" s="1">
        <f t="shared" si="642"/>
        <v>0</v>
      </c>
      <c r="F2739" s="1">
        <f t="shared" si="642"/>
        <v>0</v>
      </c>
      <c r="G2739" s="1" t="str">
        <f t="shared" si="639"/>
        <v>24120304</v>
      </c>
      <c r="H2739" s="2">
        <v>45629</v>
      </c>
      <c r="I2739" s="36">
        <v>4</v>
      </c>
      <c r="J2739" s="1" t="str">
        <f t="shared" si="633"/>
        <v>04</v>
      </c>
      <c r="K2739" s="3">
        <f t="shared" si="634"/>
        <v>24</v>
      </c>
      <c r="L2739" s="3">
        <f t="shared" si="635"/>
        <v>12</v>
      </c>
      <c r="M2739" s="3">
        <f t="shared" si="636"/>
        <v>3</v>
      </c>
      <c r="N2739" s="3">
        <f t="shared" si="637"/>
        <v>12</v>
      </c>
      <c r="O2739" s="14" t="str">
        <f t="shared" si="637"/>
        <v>03</v>
      </c>
      <c r="Q2739" s="5">
        <v>339</v>
      </c>
      <c r="T2739" s="5" t="s">
        <v>1204</v>
      </c>
      <c r="U2739" s="3" t="s">
        <v>2</v>
      </c>
      <c r="V2739" s="3" t="s">
        <v>5</v>
      </c>
    </row>
    <row r="2740" spans="1:23" hidden="1">
      <c r="J2740" s="1" t="str">
        <f t="shared" si="633"/>
        <v>0</v>
      </c>
      <c r="K2740" s="3">
        <f t="shared" si="634"/>
        <v>-100</v>
      </c>
      <c r="L2740" s="3">
        <f t="shared" si="635"/>
        <v>1</v>
      </c>
      <c r="M2740" s="3">
        <f t="shared" si="636"/>
        <v>0</v>
      </c>
      <c r="N2740" s="3" t="str">
        <f t="shared" si="637"/>
        <v>01</v>
      </c>
      <c r="O2740" s="14" t="str">
        <f t="shared" si="637"/>
        <v>00</v>
      </c>
    </row>
    <row r="2741" spans="1:23" hidden="1">
      <c r="J2741" s="1" t="str">
        <f t="shared" si="633"/>
        <v>0</v>
      </c>
      <c r="K2741" s="3">
        <f t="shared" si="634"/>
        <v>-100</v>
      </c>
      <c r="L2741" s="3">
        <f t="shared" si="635"/>
        <v>1</v>
      </c>
      <c r="M2741" s="3">
        <f t="shared" si="636"/>
        <v>0</v>
      </c>
      <c r="N2741" s="3" t="str">
        <f t="shared" si="637"/>
        <v>01</v>
      </c>
      <c r="O2741" s="14" t="str">
        <f t="shared" si="637"/>
        <v>00</v>
      </c>
    </row>
    <row r="2742" spans="1:23" hidden="1">
      <c r="J2742" s="1" t="str">
        <f t="shared" si="633"/>
        <v>0</v>
      </c>
      <c r="K2742" s="3">
        <f t="shared" si="634"/>
        <v>-100</v>
      </c>
      <c r="L2742" s="3">
        <f t="shared" si="635"/>
        <v>1</v>
      </c>
      <c r="M2742" s="3">
        <f t="shared" si="636"/>
        <v>0</v>
      </c>
      <c r="N2742" s="3" t="str">
        <f t="shared" si="637"/>
        <v>01</v>
      </c>
      <c r="O2742" s="14" t="str">
        <f t="shared" si="637"/>
        <v>00</v>
      </c>
    </row>
    <row r="2743" spans="1:23" hidden="1">
      <c r="J2743" s="1" t="str">
        <f t="shared" ref="J2743:J2806" si="643">+IF(I2743&lt;10,_xlfn.CONCAT("0",I2743),I2743)</f>
        <v>0</v>
      </c>
      <c r="K2743" s="3">
        <f t="shared" ref="K2743:K2806" si="644">+YEAR(H2743)-2000</f>
        <v>-100</v>
      </c>
      <c r="L2743" s="3">
        <f t="shared" ref="L2743:L2806" si="645">+MONTH(H2743)</f>
        <v>1</v>
      </c>
      <c r="M2743" s="3">
        <f t="shared" ref="M2743:M2806" si="646">+DAY(H2743)</f>
        <v>0</v>
      </c>
      <c r="N2743" s="3" t="str">
        <f t="shared" ref="N2743:O2806" si="647">+IF(L2743&lt;10,_xlfn.CONCAT("0",L2743),L2743)</f>
        <v>01</v>
      </c>
      <c r="O2743" s="14" t="str">
        <f t="shared" si="647"/>
        <v>00</v>
      </c>
    </row>
    <row r="2744" spans="1:23" hidden="1">
      <c r="J2744" s="1" t="str">
        <f t="shared" si="643"/>
        <v>0</v>
      </c>
      <c r="K2744" s="3">
        <f t="shared" si="644"/>
        <v>-100</v>
      </c>
      <c r="L2744" s="3">
        <f t="shared" si="645"/>
        <v>1</v>
      </c>
      <c r="M2744" s="3">
        <f t="shared" si="646"/>
        <v>0</v>
      </c>
      <c r="N2744" s="3" t="str">
        <f t="shared" si="647"/>
        <v>01</v>
      </c>
      <c r="O2744" s="14" t="str">
        <f t="shared" si="647"/>
        <v>00</v>
      </c>
    </row>
    <row r="2745" spans="1:23" hidden="1">
      <c r="J2745" s="1" t="str">
        <f t="shared" si="643"/>
        <v>0</v>
      </c>
      <c r="K2745" s="3">
        <f t="shared" si="644"/>
        <v>-100</v>
      </c>
      <c r="L2745" s="3">
        <f t="shared" si="645"/>
        <v>1</v>
      </c>
      <c r="M2745" s="3">
        <f t="shared" si="646"/>
        <v>0</v>
      </c>
      <c r="N2745" s="3" t="str">
        <f t="shared" si="647"/>
        <v>01</v>
      </c>
      <c r="O2745" s="14" t="str">
        <f t="shared" si="647"/>
        <v>00</v>
      </c>
    </row>
    <row r="2746" spans="1:23" hidden="1">
      <c r="J2746" s="1" t="str">
        <f t="shared" si="643"/>
        <v>0</v>
      </c>
      <c r="K2746" s="3">
        <f t="shared" si="644"/>
        <v>-100</v>
      </c>
      <c r="L2746" s="3">
        <f t="shared" si="645"/>
        <v>1</v>
      </c>
      <c r="M2746" s="3">
        <f t="shared" si="646"/>
        <v>0</v>
      </c>
      <c r="N2746" s="3" t="str">
        <f t="shared" si="647"/>
        <v>01</v>
      </c>
      <c r="O2746" s="14" t="str">
        <f t="shared" si="647"/>
        <v>00</v>
      </c>
    </row>
    <row r="2747" spans="1:23" hidden="1">
      <c r="J2747" s="1" t="str">
        <f t="shared" si="643"/>
        <v>0</v>
      </c>
      <c r="K2747" s="3">
        <f t="shared" si="644"/>
        <v>-100</v>
      </c>
      <c r="L2747" s="3">
        <f t="shared" si="645"/>
        <v>1</v>
      </c>
      <c r="M2747" s="3">
        <f t="shared" si="646"/>
        <v>0</v>
      </c>
      <c r="N2747" s="3" t="str">
        <f t="shared" si="647"/>
        <v>01</v>
      </c>
      <c r="O2747" s="14" t="str">
        <f t="shared" si="647"/>
        <v>00</v>
      </c>
    </row>
    <row r="2748" spans="1:23" hidden="1">
      <c r="J2748" s="1" t="str">
        <f t="shared" si="643"/>
        <v>0</v>
      </c>
      <c r="K2748" s="3">
        <f t="shared" si="644"/>
        <v>-100</v>
      </c>
      <c r="L2748" s="3">
        <f t="shared" si="645"/>
        <v>1</v>
      </c>
      <c r="M2748" s="3">
        <f t="shared" si="646"/>
        <v>0</v>
      </c>
      <c r="N2748" s="3" t="str">
        <f t="shared" si="647"/>
        <v>01</v>
      </c>
      <c r="O2748" s="14" t="str">
        <f t="shared" si="647"/>
        <v>00</v>
      </c>
    </row>
    <row r="2749" spans="1:23" hidden="1">
      <c r="J2749" s="1" t="str">
        <f t="shared" si="643"/>
        <v>0</v>
      </c>
      <c r="K2749" s="3">
        <f t="shared" si="644"/>
        <v>-100</v>
      </c>
      <c r="L2749" s="3">
        <f t="shared" si="645"/>
        <v>1</v>
      </c>
      <c r="M2749" s="3">
        <f t="shared" si="646"/>
        <v>0</v>
      </c>
      <c r="N2749" s="3" t="str">
        <f t="shared" si="647"/>
        <v>01</v>
      </c>
      <c r="O2749" s="14" t="str">
        <f t="shared" si="647"/>
        <v>00</v>
      </c>
    </row>
    <row r="2750" spans="1:23" hidden="1">
      <c r="J2750" s="1" t="str">
        <f t="shared" si="643"/>
        <v>0</v>
      </c>
      <c r="K2750" s="3">
        <f t="shared" si="644"/>
        <v>-100</v>
      </c>
      <c r="L2750" s="3">
        <f t="shared" si="645"/>
        <v>1</v>
      </c>
      <c r="M2750" s="3">
        <f t="shared" si="646"/>
        <v>0</v>
      </c>
      <c r="N2750" s="3" t="str">
        <f t="shared" si="647"/>
        <v>01</v>
      </c>
      <c r="O2750" s="14" t="str">
        <f t="shared" si="647"/>
        <v>00</v>
      </c>
    </row>
    <row r="2751" spans="1:23">
      <c r="A2751" s="3">
        <v>2727</v>
      </c>
      <c r="B2751" s="1">
        <f t="shared" si="640"/>
        <v>0</v>
      </c>
      <c r="C2751" s="1">
        <f t="shared" si="641"/>
        <v>1</v>
      </c>
      <c r="D2751" s="1">
        <f t="shared" ref="D2751:D2774" si="648">+IF(AND(P2751="",Q2751=""),1,0)</f>
        <v>0</v>
      </c>
      <c r="E2751" s="1">
        <f t="shared" si="642"/>
        <v>0</v>
      </c>
      <c r="F2751" s="1">
        <f t="shared" si="642"/>
        <v>0</v>
      </c>
      <c r="G2751" s="1" t="str">
        <f t="shared" ref="G2751:G2804" si="649">IF(H2751=0,"-",_xlfn.CONCAT(K2751,N2751,O2751,J2751))</f>
        <v>24120402</v>
      </c>
      <c r="H2751" s="2">
        <v>45630</v>
      </c>
      <c r="I2751" s="36">
        <v>2</v>
      </c>
      <c r="J2751" s="1" t="str">
        <f t="shared" si="643"/>
        <v>02</v>
      </c>
      <c r="K2751" s="3">
        <f t="shared" si="644"/>
        <v>24</v>
      </c>
      <c r="L2751" s="3">
        <f t="shared" si="645"/>
        <v>12</v>
      </c>
      <c r="M2751" s="3">
        <f t="shared" si="646"/>
        <v>4</v>
      </c>
      <c r="N2751" s="3">
        <f t="shared" si="647"/>
        <v>12</v>
      </c>
      <c r="O2751" s="14" t="str">
        <f t="shared" si="647"/>
        <v>04</v>
      </c>
      <c r="P2751" s="4">
        <v>65000</v>
      </c>
      <c r="T2751" s="5" t="s">
        <v>189</v>
      </c>
      <c r="U2751" s="3" t="s">
        <v>29</v>
      </c>
      <c r="V2751" s="3" t="s">
        <v>5</v>
      </c>
    </row>
    <row r="2752" spans="1:23" hidden="1">
      <c r="J2752" s="1" t="str">
        <f t="shared" si="643"/>
        <v>0</v>
      </c>
      <c r="K2752" s="3">
        <f t="shared" si="644"/>
        <v>-100</v>
      </c>
      <c r="L2752" s="3">
        <f t="shared" si="645"/>
        <v>1</v>
      </c>
      <c r="M2752" s="3">
        <f t="shared" si="646"/>
        <v>0</v>
      </c>
      <c r="N2752" s="3" t="str">
        <f t="shared" si="647"/>
        <v>01</v>
      </c>
      <c r="O2752" s="14" t="str">
        <f t="shared" si="647"/>
        <v>00</v>
      </c>
    </row>
    <row r="2753" spans="7:22" hidden="1">
      <c r="J2753" s="1" t="str">
        <f t="shared" si="643"/>
        <v>0</v>
      </c>
      <c r="K2753" s="3">
        <f t="shared" si="644"/>
        <v>-100</v>
      </c>
      <c r="L2753" s="3">
        <f t="shared" si="645"/>
        <v>1</v>
      </c>
      <c r="M2753" s="3">
        <f t="shared" si="646"/>
        <v>0</v>
      </c>
      <c r="N2753" s="3" t="str">
        <f t="shared" si="647"/>
        <v>01</v>
      </c>
      <c r="O2753" s="14" t="str">
        <f t="shared" si="647"/>
        <v>00</v>
      </c>
    </row>
    <row r="2754" spans="7:22" hidden="1">
      <c r="J2754" s="1" t="str">
        <f t="shared" si="643"/>
        <v>0</v>
      </c>
      <c r="K2754" s="3">
        <f t="shared" si="644"/>
        <v>-100</v>
      </c>
      <c r="L2754" s="3">
        <f t="shared" si="645"/>
        <v>1</v>
      </c>
      <c r="M2754" s="3">
        <f t="shared" si="646"/>
        <v>0</v>
      </c>
      <c r="N2754" s="3" t="str">
        <f t="shared" si="647"/>
        <v>01</v>
      </c>
      <c r="O2754" s="14" t="str">
        <f t="shared" si="647"/>
        <v>00</v>
      </c>
    </row>
    <row r="2755" spans="7:22" hidden="1">
      <c r="J2755" s="1" t="str">
        <f t="shared" si="643"/>
        <v>0</v>
      </c>
      <c r="K2755" s="3">
        <f t="shared" si="644"/>
        <v>-100</v>
      </c>
      <c r="L2755" s="3">
        <f t="shared" si="645"/>
        <v>1</v>
      </c>
      <c r="M2755" s="3">
        <f t="shared" si="646"/>
        <v>0</v>
      </c>
      <c r="N2755" s="3" t="str">
        <f t="shared" si="647"/>
        <v>01</v>
      </c>
      <c r="O2755" s="14" t="str">
        <f t="shared" si="647"/>
        <v>00</v>
      </c>
    </row>
    <row r="2756" spans="7:22" hidden="1">
      <c r="J2756" s="1" t="str">
        <f t="shared" si="643"/>
        <v>0</v>
      </c>
      <c r="K2756" s="3">
        <f t="shared" si="644"/>
        <v>-100</v>
      </c>
      <c r="L2756" s="3">
        <f t="shared" si="645"/>
        <v>1</v>
      </c>
      <c r="M2756" s="3">
        <f t="shared" si="646"/>
        <v>0</v>
      </c>
      <c r="N2756" s="3" t="str">
        <f t="shared" si="647"/>
        <v>01</v>
      </c>
      <c r="O2756" s="14" t="str">
        <f t="shared" si="647"/>
        <v>00</v>
      </c>
      <c r="P2756" s="139"/>
      <c r="T2756" s="137"/>
    </row>
    <row r="2757" spans="7:22" hidden="1">
      <c r="G2757" s="90"/>
      <c r="H2757" s="91"/>
      <c r="I2757" s="90"/>
      <c r="J2757" s="90" t="str">
        <f t="shared" si="643"/>
        <v>0</v>
      </c>
      <c r="K2757" s="92">
        <f t="shared" si="644"/>
        <v>-100</v>
      </c>
      <c r="L2757" s="92">
        <f t="shared" si="645"/>
        <v>1</v>
      </c>
      <c r="M2757" s="92">
        <f t="shared" si="646"/>
        <v>0</v>
      </c>
      <c r="N2757" s="92" t="str">
        <f t="shared" si="647"/>
        <v>01</v>
      </c>
      <c r="O2757" s="93" t="str">
        <f t="shared" si="647"/>
        <v>00</v>
      </c>
      <c r="P2757" s="94"/>
      <c r="Q2757" s="95"/>
      <c r="R2757" s="96"/>
      <c r="S2757" s="95"/>
      <c r="T2757" s="95"/>
      <c r="U2757" s="92"/>
      <c r="V2757" s="92"/>
    </row>
    <row r="2758" spans="7:22" hidden="1">
      <c r="J2758" s="1" t="str">
        <f t="shared" si="643"/>
        <v>0</v>
      </c>
      <c r="K2758" s="3">
        <f t="shared" si="644"/>
        <v>-100</v>
      </c>
      <c r="L2758" s="3">
        <f t="shared" si="645"/>
        <v>1</v>
      </c>
      <c r="M2758" s="3">
        <f t="shared" si="646"/>
        <v>0</v>
      </c>
      <c r="N2758" s="3" t="str">
        <f t="shared" si="647"/>
        <v>01</v>
      </c>
      <c r="O2758" s="14" t="str">
        <f t="shared" si="647"/>
        <v>00</v>
      </c>
      <c r="P2758" s="139"/>
      <c r="T2758" s="137"/>
    </row>
    <row r="2759" spans="7:22" hidden="1">
      <c r="J2759" s="1" t="str">
        <f t="shared" si="643"/>
        <v>0</v>
      </c>
      <c r="K2759" s="3">
        <f t="shared" si="644"/>
        <v>-100</v>
      </c>
      <c r="L2759" s="3">
        <f t="shared" si="645"/>
        <v>1</v>
      </c>
      <c r="M2759" s="3">
        <f t="shared" si="646"/>
        <v>0</v>
      </c>
      <c r="N2759" s="3" t="str">
        <f t="shared" si="647"/>
        <v>01</v>
      </c>
      <c r="O2759" s="14" t="str">
        <f t="shared" si="647"/>
        <v>00</v>
      </c>
      <c r="P2759" s="139"/>
      <c r="T2759" s="137"/>
    </row>
    <row r="2760" spans="7:22" hidden="1">
      <c r="J2760" s="1" t="str">
        <f t="shared" si="643"/>
        <v>0</v>
      </c>
      <c r="K2760" s="3">
        <f t="shared" si="644"/>
        <v>-100</v>
      </c>
      <c r="L2760" s="3">
        <f t="shared" si="645"/>
        <v>1</v>
      </c>
      <c r="M2760" s="3">
        <f t="shared" si="646"/>
        <v>0</v>
      </c>
      <c r="N2760" s="3" t="str">
        <f t="shared" si="647"/>
        <v>01</v>
      </c>
      <c r="O2760" s="14" t="str">
        <f t="shared" si="647"/>
        <v>00</v>
      </c>
      <c r="P2760" s="139"/>
      <c r="T2760" s="137"/>
    </row>
    <row r="2761" spans="7:22" hidden="1">
      <c r="J2761" s="1" t="str">
        <f t="shared" si="643"/>
        <v>0</v>
      </c>
      <c r="K2761" s="3">
        <f t="shared" si="644"/>
        <v>-100</v>
      </c>
      <c r="L2761" s="3">
        <f t="shared" si="645"/>
        <v>1</v>
      </c>
      <c r="M2761" s="3">
        <f t="shared" si="646"/>
        <v>0</v>
      </c>
      <c r="N2761" s="3" t="str">
        <f t="shared" si="647"/>
        <v>01</v>
      </c>
      <c r="O2761" s="14" t="str">
        <f t="shared" si="647"/>
        <v>00</v>
      </c>
      <c r="P2761" s="139"/>
      <c r="T2761" s="137"/>
    </row>
    <row r="2762" spans="7:22" hidden="1">
      <c r="J2762" s="1" t="str">
        <f t="shared" si="643"/>
        <v>0</v>
      </c>
      <c r="K2762" s="3">
        <f t="shared" si="644"/>
        <v>-100</v>
      </c>
      <c r="L2762" s="3">
        <f t="shared" si="645"/>
        <v>1</v>
      </c>
      <c r="M2762" s="3">
        <f t="shared" si="646"/>
        <v>0</v>
      </c>
      <c r="N2762" s="3" t="str">
        <f t="shared" si="647"/>
        <v>01</v>
      </c>
      <c r="O2762" s="14" t="str">
        <f t="shared" si="647"/>
        <v>00</v>
      </c>
    </row>
    <row r="2763" spans="7:22" hidden="1">
      <c r="J2763" s="1" t="str">
        <f t="shared" si="643"/>
        <v>0</v>
      </c>
      <c r="K2763" s="3">
        <f t="shared" si="644"/>
        <v>-100</v>
      </c>
      <c r="L2763" s="3">
        <f t="shared" si="645"/>
        <v>1</v>
      </c>
      <c r="M2763" s="3">
        <f t="shared" si="646"/>
        <v>0</v>
      </c>
      <c r="N2763" s="3" t="str">
        <f t="shared" si="647"/>
        <v>01</v>
      </c>
      <c r="O2763" s="14" t="str">
        <f t="shared" si="647"/>
        <v>00</v>
      </c>
    </row>
    <row r="2764" spans="7:22" hidden="1">
      <c r="J2764" s="1" t="str">
        <f t="shared" si="643"/>
        <v>0</v>
      </c>
      <c r="K2764" s="3">
        <f t="shared" si="644"/>
        <v>-100</v>
      </c>
      <c r="L2764" s="3">
        <f t="shared" si="645"/>
        <v>1</v>
      </c>
      <c r="M2764" s="3">
        <f t="shared" si="646"/>
        <v>0</v>
      </c>
      <c r="N2764" s="3" t="str">
        <f t="shared" si="647"/>
        <v>01</v>
      </c>
      <c r="O2764" s="14" t="str">
        <f t="shared" si="647"/>
        <v>00</v>
      </c>
      <c r="P2764" s="11"/>
      <c r="T2764" s="138"/>
    </row>
    <row r="2765" spans="7:22" hidden="1">
      <c r="J2765" s="1" t="str">
        <f t="shared" si="643"/>
        <v>0</v>
      </c>
      <c r="K2765" s="3">
        <f t="shared" si="644"/>
        <v>-100</v>
      </c>
      <c r="L2765" s="3">
        <f t="shared" si="645"/>
        <v>1</v>
      </c>
      <c r="M2765" s="3">
        <f t="shared" si="646"/>
        <v>0</v>
      </c>
      <c r="N2765" s="3" t="str">
        <f t="shared" si="647"/>
        <v>01</v>
      </c>
      <c r="O2765" s="14" t="str">
        <f t="shared" si="647"/>
        <v>00</v>
      </c>
      <c r="P2765" s="11"/>
      <c r="T2765" s="138"/>
    </row>
    <row r="2766" spans="7:22" hidden="1">
      <c r="J2766" s="1" t="str">
        <f t="shared" si="643"/>
        <v>0</v>
      </c>
      <c r="K2766" s="3">
        <f t="shared" si="644"/>
        <v>-100</v>
      </c>
      <c r="L2766" s="3">
        <f t="shared" si="645"/>
        <v>1</v>
      </c>
      <c r="M2766" s="3">
        <f t="shared" si="646"/>
        <v>0</v>
      </c>
      <c r="N2766" s="3" t="str">
        <f t="shared" si="647"/>
        <v>01</v>
      </c>
      <c r="O2766" s="14" t="str">
        <f t="shared" si="647"/>
        <v>00</v>
      </c>
    </row>
    <row r="2767" spans="7:22" hidden="1">
      <c r="J2767" s="1" t="str">
        <f t="shared" si="643"/>
        <v>0</v>
      </c>
      <c r="K2767" s="3">
        <f t="shared" si="644"/>
        <v>-100</v>
      </c>
      <c r="L2767" s="3">
        <f t="shared" si="645"/>
        <v>1</v>
      </c>
      <c r="M2767" s="3">
        <f t="shared" si="646"/>
        <v>0</v>
      </c>
      <c r="N2767" s="3" t="str">
        <f t="shared" si="647"/>
        <v>01</v>
      </c>
      <c r="O2767" s="14" t="str">
        <f t="shared" si="647"/>
        <v>00</v>
      </c>
    </row>
    <row r="2768" spans="7:22" hidden="1">
      <c r="J2768" s="1" t="str">
        <f t="shared" si="643"/>
        <v>0</v>
      </c>
      <c r="K2768" s="3">
        <f t="shared" si="644"/>
        <v>-100</v>
      </c>
      <c r="L2768" s="3">
        <f t="shared" si="645"/>
        <v>1</v>
      </c>
      <c r="M2768" s="3">
        <f t="shared" si="646"/>
        <v>0</v>
      </c>
      <c r="N2768" s="3" t="str">
        <f t="shared" si="647"/>
        <v>01</v>
      </c>
      <c r="O2768" s="14" t="str">
        <f t="shared" si="647"/>
        <v>00</v>
      </c>
    </row>
    <row r="2769" spans="1:23" hidden="1">
      <c r="J2769" s="1" t="str">
        <f t="shared" si="643"/>
        <v>0</v>
      </c>
      <c r="K2769" s="3">
        <f t="shared" si="644"/>
        <v>-100</v>
      </c>
      <c r="L2769" s="3">
        <f t="shared" si="645"/>
        <v>1</v>
      </c>
      <c r="M2769" s="3">
        <f t="shared" si="646"/>
        <v>0</v>
      </c>
      <c r="N2769" s="3" t="str">
        <f t="shared" si="647"/>
        <v>01</v>
      </c>
      <c r="O2769" s="14" t="str">
        <f t="shared" si="647"/>
        <v>00</v>
      </c>
    </row>
    <row r="2770" spans="1:23">
      <c r="A2770" s="3">
        <v>2751</v>
      </c>
      <c r="B2770" s="1">
        <f t="shared" si="640"/>
        <v>0</v>
      </c>
      <c r="C2770" s="1">
        <f t="shared" si="641"/>
        <v>1</v>
      </c>
      <c r="D2770" s="1">
        <f t="shared" si="648"/>
        <v>0</v>
      </c>
      <c r="E2770" s="1">
        <f t="shared" si="642"/>
        <v>0</v>
      </c>
      <c r="F2770" s="1">
        <f t="shared" si="642"/>
        <v>0</v>
      </c>
      <c r="G2770" s="1" t="str">
        <f t="shared" si="649"/>
        <v>24120703</v>
      </c>
      <c r="H2770" s="2">
        <v>45633</v>
      </c>
      <c r="I2770" s="36">
        <v>3</v>
      </c>
      <c r="J2770" s="1" t="str">
        <f t="shared" si="643"/>
        <v>03</v>
      </c>
      <c r="K2770" s="3">
        <f t="shared" si="644"/>
        <v>24</v>
      </c>
      <c r="L2770" s="3">
        <f t="shared" si="645"/>
        <v>12</v>
      </c>
      <c r="M2770" s="3">
        <f t="shared" si="646"/>
        <v>7</v>
      </c>
      <c r="N2770" s="3">
        <f t="shared" si="647"/>
        <v>12</v>
      </c>
      <c r="O2770" s="14" t="str">
        <f t="shared" si="647"/>
        <v>07</v>
      </c>
      <c r="P2770" s="4">
        <v>30000</v>
      </c>
      <c r="T2770" s="5" t="s">
        <v>1209</v>
      </c>
      <c r="U2770" s="3" t="s">
        <v>29</v>
      </c>
      <c r="V2770" s="3" t="s">
        <v>5</v>
      </c>
    </row>
    <row r="2771" spans="1:23">
      <c r="A2771" s="3">
        <v>2785</v>
      </c>
      <c r="B2771" s="1">
        <f t="shared" si="640"/>
        <v>0</v>
      </c>
      <c r="C2771" s="1">
        <f t="shared" si="641"/>
        <v>0</v>
      </c>
      <c r="D2771" s="1">
        <f t="shared" si="648"/>
        <v>0</v>
      </c>
      <c r="E2771" s="1">
        <f t="shared" si="642"/>
        <v>0</v>
      </c>
      <c r="F2771" s="1">
        <f t="shared" si="642"/>
        <v>0</v>
      </c>
      <c r="G2771" s="1" t="str">
        <f t="shared" si="649"/>
        <v>24120704</v>
      </c>
      <c r="H2771" s="2">
        <v>45633</v>
      </c>
      <c r="I2771" s="36">
        <v>4</v>
      </c>
      <c r="J2771" s="1" t="str">
        <f t="shared" si="643"/>
        <v>04</v>
      </c>
      <c r="K2771" s="3">
        <f t="shared" si="644"/>
        <v>24</v>
      </c>
      <c r="L2771" s="3">
        <f t="shared" si="645"/>
        <v>12</v>
      </c>
      <c r="M2771" s="3">
        <f t="shared" si="646"/>
        <v>7</v>
      </c>
      <c r="N2771" s="3">
        <f t="shared" si="647"/>
        <v>12</v>
      </c>
      <c r="O2771" s="14" t="str">
        <f t="shared" si="647"/>
        <v>07</v>
      </c>
      <c r="P2771" s="4">
        <v>132000</v>
      </c>
      <c r="T2771" s="5" t="s">
        <v>1216</v>
      </c>
      <c r="U2771" s="3" t="s">
        <v>1</v>
      </c>
      <c r="V2771" s="3" t="s">
        <v>5</v>
      </c>
    </row>
    <row r="2772" spans="1:23">
      <c r="A2772" s="3">
        <v>2786</v>
      </c>
      <c r="B2772" s="1">
        <f t="shared" si="640"/>
        <v>0</v>
      </c>
      <c r="C2772" s="1">
        <f t="shared" si="641"/>
        <v>0</v>
      </c>
      <c r="D2772" s="1">
        <f t="shared" si="648"/>
        <v>0</v>
      </c>
      <c r="E2772" s="1">
        <f t="shared" si="642"/>
        <v>0</v>
      </c>
      <c r="F2772" s="1">
        <f t="shared" si="642"/>
        <v>0</v>
      </c>
      <c r="G2772" s="1" t="str">
        <f t="shared" si="649"/>
        <v>24120705</v>
      </c>
      <c r="H2772" s="2">
        <v>45633</v>
      </c>
      <c r="I2772" s="36">
        <v>5</v>
      </c>
      <c r="J2772" s="1" t="str">
        <f t="shared" si="643"/>
        <v>05</v>
      </c>
      <c r="K2772" s="3">
        <f t="shared" si="644"/>
        <v>24</v>
      </c>
      <c r="L2772" s="3">
        <f t="shared" si="645"/>
        <v>12</v>
      </c>
      <c r="M2772" s="3">
        <f t="shared" si="646"/>
        <v>7</v>
      </c>
      <c r="N2772" s="3">
        <f t="shared" si="647"/>
        <v>12</v>
      </c>
      <c r="O2772" s="14" t="str">
        <f t="shared" si="647"/>
        <v>07</v>
      </c>
      <c r="P2772" s="4">
        <v>138000</v>
      </c>
      <c r="T2772" s="5" t="s">
        <v>1217</v>
      </c>
      <c r="U2772" s="3" t="s">
        <v>1</v>
      </c>
      <c r="V2772" s="3" t="s">
        <v>5</v>
      </c>
    </row>
    <row r="2773" spans="1:23">
      <c r="A2773" s="3">
        <v>2787</v>
      </c>
      <c r="B2773" s="1">
        <f t="shared" si="640"/>
        <v>0</v>
      </c>
      <c r="C2773" s="1">
        <f t="shared" si="641"/>
        <v>0</v>
      </c>
      <c r="D2773" s="1">
        <f t="shared" si="648"/>
        <v>0</v>
      </c>
      <c r="E2773" s="1">
        <f t="shared" si="642"/>
        <v>0</v>
      </c>
      <c r="F2773" s="1">
        <f t="shared" si="642"/>
        <v>0</v>
      </c>
      <c r="G2773" s="1" t="str">
        <f t="shared" si="649"/>
        <v>24120706</v>
      </c>
      <c r="H2773" s="2">
        <v>45633</v>
      </c>
      <c r="I2773" s="36">
        <v>6</v>
      </c>
      <c r="J2773" s="1" t="str">
        <f t="shared" si="643"/>
        <v>06</v>
      </c>
      <c r="K2773" s="3">
        <f t="shared" si="644"/>
        <v>24</v>
      </c>
      <c r="L2773" s="3">
        <f t="shared" si="645"/>
        <v>12</v>
      </c>
      <c r="M2773" s="3">
        <f t="shared" si="646"/>
        <v>7</v>
      </c>
      <c r="N2773" s="3">
        <f t="shared" si="647"/>
        <v>12</v>
      </c>
      <c r="O2773" s="14" t="str">
        <f t="shared" si="647"/>
        <v>07</v>
      </c>
      <c r="P2773" s="4">
        <v>132000</v>
      </c>
      <c r="T2773" s="5" t="s">
        <v>1218</v>
      </c>
      <c r="U2773" s="3" t="s">
        <v>1</v>
      </c>
      <c r="V2773" s="3" t="s">
        <v>5</v>
      </c>
    </row>
    <row r="2774" spans="1:23">
      <c r="A2774" s="3">
        <v>2788</v>
      </c>
      <c r="B2774" s="1">
        <f t="shared" si="640"/>
        <v>0</v>
      </c>
      <c r="C2774" s="1">
        <f t="shared" si="641"/>
        <v>0</v>
      </c>
      <c r="D2774" s="1">
        <f t="shared" si="648"/>
        <v>0</v>
      </c>
      <c r="E2774" s="1">
        <f t="shared" si="642"/>
        <v>0</v>
      </c>
      <c r="F2774" s="1">
        <f t="shared" si="642"/>
        <v>0</v>
      </c>
      <c r="G2774" s="1" t="str">
        <f t="shared" si="649"/>
        <v>24120707</v>
      </c>
      <c r="H2774" s="2">
        <v>45633</v>
      </c>
      <c r="I2774" s="36">
        <v>7</v>
      </c>
      <c r="J2774" s="1" t="str">
        <f t="shared" si="643"/>
        <v>07</v>
      </c>
      <c r="K2774" s="3">
        <f t="shared" si="644"/>
        <v>24</v>
      </c>
      <c r="L2774" s="3">
        <f t="shared" si="645"/>
        <v>12</v>
      </c>
      <c r="M2774" s="3">
        <f t="shared" si="646"/>
        <v>7</v>
      </c>
      <c r="N2774" s="3">
        <f t="shared" si="647"/>
        <v>12</v>
      </c>
      <c r="O2774" s="14" t="str">
        <f t="shared" si="647"/>
        <v>07</v>
      </c>
      <c r="P2774" s="4">
        <v>132000</v>
      </c>
      <c r="T2774" s="5" t="s">
        <v>1219</v>
      </c>
      <c r="U2774" s="3" t="s">
        <v>1</v>
      </c>
      <c r="V2774" s="3" t="s">
        <v>5</v>
      </c>
    </row>
    <row r="2775" spans="1:23">
      <c r="A2775" s="3">
        <v>2789</v>
      </c>
      <c r="B2775" s="1">
        <f t="shared" si="640"/>
        <v>0</v>
      </c>
      <c r="C2775" s="1">
        <f t="shared" si="641"/>
        <v>0</v>
      </c>
      <c r="D2775" s="1" t="e">
        <f>+IF(AND(#REF!="",Q2775=""),1,0)</f>
        <v>#REF!</v>
      </c>
      <c r="E2775" s="1">
        <f t="shared" si="642"/>
        <v>0</v>
      </c>
      <c r="F2775" s="1">
        <f t="shared" si="642"/>
        <v>0</v>
      </c>
      <c r="G2775" s="1" t="str">
        <f t="shared" si="649"/>
        <v>24120708</v>
      </c>
      <c r="H2775" s="2">
        <v>45633</v>
      </c>
      <c r="I2775" s="36">
        <v>8</v>
      </c>
      <c r="J2775" s="1" t="str">
        <f t="shared" si="643"/>
        <v>08</v>
      </c>
      <c r="K2775" s="3">
        <f t="shared" si="644"/>
        <v>24</v>
      </c>
      <c r="L2775" s="3">
        <f t="shared" si="645"/>
        <v>12</v>
      </c>
      <c r="M2775" s="3">
        <f t="shared" si="646"/>
        <v>7</v>
      </c>
      <c r="N2775" s="3">
        <f t="shared" si="647"/>
        <v>12</v>
      </c>
      <c r="O2775" s="14" t="str">
        <f t="shared" si="647"/>
        <v>07</v>
      </c>
      <c r="P2775" s="4">
        <v>1761000</v>
      </c>
      <c r="T2775" s="5" t="s">
        <v>1220</v>
      </c>
      <c r="U2775" s="3" t="s">
        <v>1</v>
      </c>
      <c r="V2775" s="3" t="s">
        <v>5</v>
      </c>
      <c r="W2775" s="3" t="s">
        <v>1221</v>
      </c>
    </row>
    <row r="2776" spans="1:23">
      <c r="A2776" s="3">
        <v>2790</v>
      </c>
      <c r="B2776" s="1">
        <f t="shared" si="640"/>
        <v>0</v>
      </c>
      <c r="C2776" s="1">
        <f t="shared" si="641"/>
        <v>1</v>
      </c>
      <c r="D2776" s="1">
        <f t="shared" ref="D2776:D2804" si="650">+IF(AND(P2776="",Q2776=""),1,0)</f>
        <v>0</v>
      </c>
      <c r="E2776" s="1">
        <f t="shared" si="642"/>
        <v>0</v>
      </c>
      <c r="F2776" s="1">
        <f t="shared" si="642"/>
        <v>0</v>
      </c>
      <c r="G2776" s="1" t="str">
        <f t="shared" si="649"/>
        <v>24120720</v>
      </c>
      <c r="H2776" s="2">
        <v>45633</v>
      </c>
      <c r="I2776" s="36">
        <v>20</v>
      </c>
      <c r="J2776" s="1">
        <f t="shared" si="643"/>
        <v>20</v>
      </c>
      <c r="K2776" s="3">
        <f t="shared" si="644"/>
        <v>24</v>
      </c>
      <c r="L2776" s="3">
        <f t="shared" si="645"/>
        <v>12</v>
      </c>
      <c r="M2776" s="3">
        <f t="shared" si="646"/>
        <v>7</v>
      </c>
      <c r="N2776" s="3">
        <f t="shared" si="647"/>
        <v>12</v>
      </c>
      <c r="O2776" s="14" t="str">
        <f t="shared" si="647"/>
        <v>07</v>
      </c>
      <c r="P2776" s="4">
        <v>350000</v>
      </c>
      <c r="T2776" s="5" t="s">
        <v>1222</v>
      </c>
      <c r="U2776" s="3" t="s">
        <v>1</v>
      </c>
      <c r="V2776" s="3" t="s">
        <v>5</v>
      </c>
    </row>
    <row r="2777" spans="1:23" hidden="1">
      <c r="J2777" s="1" t="str">
        <f t="shared" si="643"/>
        <v>0</v>
      </c>
      <c r="K2777" s="3">
        <f t="shared" si="644"/>
        <v>-100</v>
      </c>
      <c r="L2777" s="3">
        <f t="shared" si="645"/>
        <v>1</v>
      </c>
      <c r="M2777" s="3">
        <f t="shared" si="646"/>
        <v>0</v>
      </c>
      <c r="N2777" s="3" t="str">
        <f t="shared" si="647"/>
        <v>01</v>
      </c>
      <c r="O2777" s="14" t="str">
        <f t="shared" si="647"/>
        <v>00</v>
      </c>
    </row>
    <row r="2778" spans="1:23" hidden="1">
      <c r="J2778" s="1" t="str">
        <f t="shared" si="643"/>
        <v>0</v>
      </c>
      <c r="K2778" s="3">
        <f t="shared" si="644"/>
        <v>-100</v>
      </c>
      <c r="L2778" s="3">
        <f t="shared" si="645"/>
        <v>1</v>
      </c>
      <c r="M2778" s="3">
        <f t="shared" si="646"/>
        <v>0</v>
      </c>
      <c r="N2778" s="3" t="str">
        <f t="shared" si="647"/>
        <v>01</v>
      </c>
      <c r="O2778" s="14" t="str">
        <f t="shared" si="647"/>
        <v>00</v>
      </c>
    </row>
    <row r="2779" spans="1:23" hidden="1">
      <c r="J2779" s="1" t="str">
        <f t="shared" si="643"/>
        <v>0</v>
      </c>
      <c r="K2779" s="3">
        <f t="shared" si="644"/>
        <v>-100</v>
      </c>
      <c r="L2779" s="3">
        <f t="shared" si="645"/>
        <v>1</v>
      </c>
      <c r="M2779" s="3">
        <f t="shared" si="646"/>
        <v>0</v>
      </c>
      <c r="N2779" s="3" t="str">
        <f t="shared" si="647"/>
        <v>01</v>
      </c>
      <c r="O2779" s="14" t="str">
        <f t="shared" si="647"/>
        <v>00</v>
      </c>
    </row>
    <row r="2780" spans="1:23" hidden="1">
      <c r="J2780" s="1" t="str">
        <f t="shared" si="643"/>
        <v>0</v>
      </c>
      <c r="K2780" s="3">
        <f t="shared" si="644"/>
        <v>-100</v>
      </c>
      <c r="L2780" s="3">
        <f t="shared" si="645"/>
        <v>1</v>
      </c>
      <c r="M2780" s="3">
        <f t="shared" si="646"/>
        <v>0</v>
      </c>
      <c r="N2780" s="3" t="str">
        <f t="shared" si="647"/>
        <v>01</v>
      </c>
      <c r="O2780" s="14" t="str">
        <f t="shared" si="647"/>
        <v>00</v>
      </c>
    </row>
    <row r="2781" spans="1:23" hidden="1">
      <c r="J2781" s="1" t="str">
        <f t="shared" si="643"/>
        <v>0</v>
      </c>
      <c r="K2781" s="3">
        <f t="shared" si="644"/>
        <v>-100</v>
      </c>
      <c r="L2781" s="3">
        <f t="shared" si="645"/>
        <v>1</v>
      </c>
      <c r="M2781" s="3">
        <f t="shared" si="646"/>
        <v>0</v>
      </c>
      <c r="N2781" s="3" t="str">
        <f t="shared" si="647"/>
        <v>01</v>
      </c>
      <c r="O2781" s="14" t="str">
        <f t="shared" si="647"/>
        <v>00</v>
      </c>
    </row>
    <row r="2782" spans="1:23" hidden="1">
      <c r="J2782" s="1" t="str">
        <f t="shared" si="643"/>
        <v>0</v>
      </c>
      <c r="K2782" s="3">
        <f t="shared" si="644"/>
        <v>-100</v>
      </c>
      <c r="L2782" s="3">
        <f t="shared" si="645"/>
        <v>1</v>
      </c>
      <c r="M2782" s="3">
        <f t="shared" si="646"/>
        <v>0</v>
      </c>
      <c r="N2782" s="3" t="str">
        <f t="shared" si="647"/>
        <v>01</v>
      </c>
      <c r="O2782" s="14" t="str">
        <f t="shared" si="647"/>
        <v>00</v>
      </c>
    </row>
    <row r="2783" spans="1:23" hidden="1">
      <c r="J2783" s="1" t="str">
        <f t="shared" si="643"/>
        <v>0</v>
      </c>
      <c r="K2783" s="3">
        <f t="shared" si="644"/>
        <v>-100</v>
      </c>
      <c r="L2783" s="3">
        <f t="shared" si="645"/>
        <v>1</v>
      </c>
      <c r="M2783" s="3">
        <f t="shared" si="646"/>
        <v>0</v>
      </c>
      <c r="N2783" s="3" t="str">
        <f t="shared" si="647"/>
        <v>01</v>
      </c>
      <c r="O2783" s="14" t="str">
        <f t="shared" si="647"/>
        <v>00</v>
      </c>
    </row>
    <row r="2784" spans="1:23" hidden="1">
      <c r="J2784" s="1" t="str">
        <f t="shared" si="643"/>
        <v>0</v>
      </c>
      <c r="K2784" s="3">
        <f t="shared" si="644"/>
        <v>-100</v>
      </c>
      <c r="L2784" s="3">
        <f t="shared" si="645"/>
        <v>1</v>
      </c>
      <c r="M2784" s="3">
        <f t="shared" si="646"/>
        <v>0</v>
      </c>
      <c r="N2784" s="3" t="str">
        <f t="shared" si="647"/>
        <v>01</v>
      </c>
      <c r="O2784" s="14" t="str">
        <f t="shared" si="647"/>
        <v>00</v>
      </c>
    </row>
    <row r="2785" spans="1:22" hidden="1">
      <c r="J2785" s="1" t="str">
        <f t="shared" si="643"/>
        <v>0</v>
      </c>
      <c r="K2785" s="3">
        <f t="shared" si="644"/>
        <v>-100</v>
      </c>
      <c r="L2785" s="3">
        <f t="shared" si="645"/>
        <v>1</v>
      </c>
      <c r="M2785" s="3">
        <f t="shared" si="646"/>
        <v>0</v>
      </c>
      <c r="N2785" s="3" t="str">
        <f t="shared" si="647"/>
        <v>01</v>
      </c>
      <c r="O2785" s="14" t="str">
        <f t="shared" si="647"/>
        <v>00</v>
      </c>
    </row>
    <row r="2786" spans="1:22" hidden="1">
      <c r="J2786" s="1" t="str">
        <f t="shared" si="643"/>
        <v>0</v>
      </c>
      <c r="K2786" s="3">
        <f t="shared" si="644"/>
        <v>-100</v>
      </c>
      <c r="L2786" s="3">
        <f t="shared" si="645"/>
        <v>1</v>
      </c>
      <c r="M2786" s="3">
        <f t="shared" si="646"/>
        <v>0</v>
      </c>
      <c r="N2786" s="3" t="str">
        <f t="shared" si="647"/>
        <v>01</v>
      </c>
      <c r="O2786" s="14" t="str">
        <f t="shared" si="647"/>
        <v>00</v>
      </c>
    </row>
    <row r="2787" spans="1:22">
      <c r="A2787" s="3">
        <v>2753</v>
      </c>
      <c r="B2787" s="1">
        <f t="shared" si="640"/>
        <v>0</v>
      </c>
      <c r="C2787" s="1">
        <f t="shared" si="641"/>
        <v>1</v>
      </c>
      <c r="D2787" s="1">
        <f t="shared" si="650"/>
        <v>0</v>
      </c>
      <c r="E2787" s="1">
        <f t="shared" si="642"/>
        <v>0</v>
      </c>
      <c r="F2787" s="1">
        <f t="shared" si="642"/>
        <v>0</v>
      </c>
      <c r="G2787" s="1" t="str">
        <f t="shared" si="649"/>
        <v>24120910</v>
      </c>
      <c r="H2787" s="2">
        <v>45635</v>
      </c>
      <c r="I2787" s="36">
        <v>10</v>
      </c>
      <c r="J2787" s="1">
        <f t="shared" si="643"/>
        <v>10</v>
      </c>
      <c r="K2787" s="3">
        <f t="shared" si="644"/>
        <v>24</v>
      </c>
      <c r="L2787" s="3">
        <f t="shared" si="645"/>
        <v>12</v>
      </c>
      <c r="M2787" s="3">
        <f t="shared" si="646"/>
        <v>9</v>
      </c>
      <c r="N2787" s="3">
        <f t="shared" si="647"/>
        <v>12</v>
      </c>
      <c r="O2787" s="14" t="str">
        <f t="shared" si="647"/>
        <v>09</v>
      </c>
      <c r="P2787" s="4">
        <v>28000</v>
      </c>
      <c r="Q2787" s="5">
        <v>56.34</v>
      </c>
      <c r="T2787" s="5" t="s">
        <v>1210</v>
      </c>
      <c r="U2787" s="3" t="s">
        <v>2</v>
      </c>
      <c r="V2787" s="3" t="s">
        <v>5</v>
      </c>
    </row>
    <row r="2788" spans="1:22" hidden="1">
      <c r="J2788" s="1" t="str">
        <f t="shared" si="643"/>
        <v>0</v>
      </c>
      <c r="K2788" s="3">
        <f t="shared" si="644"/>
        <v>-100</v>
      </c>
      <c r="L2788" s="3">
        <f t="shared" si="645"/>
        <v>1</v>
      </c>
      <c r="M2788" s="3">
        <f t="shared" si="646"/>
        <v>0</v>
      </c>
      <c r="N2788" s="3" t="str">
        <f t="shared" si="647"/>
        <v>01</v>
      </c>
      <c r="O2788" s="14" t="str">
        <f t="shared" si="647"/>
        <v>00</v>
      </c>
    </row>
    <row r="2789" spans="1:22" hidden="1">
      <c r="J2789" s="1" t="str">
        <f t="shared" si="643"/>
        <v>0</v>
      </c>
      <c r="K2789" s="3">
        <f t="shared" si="644"/>
        <v>-100</v>
      </c>
      <c r="L2789" s="3">
        <f t="shared" si="645"/>
        <v>1</v>
      </c>
      <c r="M2789" s="3">
        <f t="shared" si="646"/>
        <v>0</v>
      </c>
      <c r="N2789" s="3" t="str">
        <f t="shared" si="647"/>
        <v>01</v>
      </c>
      <c r="O2789" s="14" t="str">
        <f t="shared" si="647"/>
        <v>00</v>
      </c>
    </row>
    <row r="2790" spans="1:22" hidden="1">
      <c r="J2790" s="1" t="str">
        <f t="shared" si="643"/>
        <v>0</v>
      </c>
      <c r="K2790" s="3">
        <f t="shared" si="644"/>
        <v>-100</v>
      </c>
      <c r="L2790" s="3">
        <f t="shared" si="645"/>
        <v>1</v>
      </c>
      <c r="M2790" s="3">
        <f t="shared" si="646"/>
        <v>0</v>
      </c>
      <c r="N2790" s="3" t="str">
        <f t="shared" si="647"/>
        <v>01</v>
      </c>
      <c r="O2790" s="14" t="str">
        <f t="shared" si="647"/>
        <v>00</v>
      </c>
    </row>
    <row r="2791" spans="1:22" hidden="1">
      <c r="J2791" s="1" t="str">
        <f t="shared" si="643"/>
        <v>0</v>
      </c>
      <c r="K2791" s="3">
        <f t="shared" si="644"/>
        <v>-100</v>
      </c>
      <c r="L2791" s="3">
        <f t="shared" si="645"/>
        <v>1</v>
      </c>
      <c r="M2791" s="3">
        <f t="shared" si="646"/>
        <v>0</v>
      </c>
      <c r="N2791" s="3" t="str">
        <f t="shared" si="647"/>
        <v>01</v>
      </c>
      <c r="O2791" s="14" t="str">
        <f t="shared" si="647"/>
        <v>00</v>
      </c>
    </row>
    <row r="2792" spans="1:22" hidden="1">
      <c r="J2792" s="1" t="str">
        <f t="shared" si="643"/>
        <v>0</v>
      </c>
      <c r="K2792" s="3">
        <f t="shared" si="644"/>
        <v>-100</v>
      </c>
      <c r="L2792" s="3">
        <f t="shared" si="645"/>
        <v>1</v>
      </c>
      <c r="M2792" s="3">
        <f t="shared" si="646"/>
        <v>0</v>
      </c>
      <c r="N2792" s="3" t="str">
        <f t="shared" si="647"/>
        <v>01</v>
      </c>
      <c r="O2792" s="14" t="str">
        <f t="shared" si="647"/>
        <v>00</v>
      </c>
    </row>
    <row r="2793" spans="1:22" hidden="1">
      <c r="J2793" s="1" t="str">
        <f t="shared" si="643"/>
        <v>0</v>
      </c>
      <c r="K2793" s="3">
        <f t="shared" si="644"/>
        <v>-100</v>
      </c>
      <c r="L2793" s="3">
        <f t="shared" si="645"/>
        <v>1</v>
      </c>
      <c r="M2793" s="3">
        <f t="shared" si="646"/>
        <v>0</v>
      </c>
      <c r="N2793" s="3" t="str">
        <f t="shared" si="647"/>
        <v>01</v>
      </c>
      <c r="O2793" s="14" t="str">
        <f t="shared" si="647"/>
        <v>00</v>
      </c>
    </row>
    <row r="2794" spans="1:22" hidden="1">
      <c r="J2794" s="1" t="str">
        <f t="shared" si="643"/>
        <v>0</v>
      </c>
      <c r="K2794" s="3">
        <f t="shared" si="644"/>
        <v>-100</v>
      </c>
      <c r="L2794" s="3">
        <f t="shared" si="645"/>
        <v>1</v>
      </c>
      <c r="M2794" s="3">
        <f t="shared" si="646"/>
        <v>0</v>
      </c>
      <c r="N2794" s="3" t="str">
        <f t="shared" si="647"/>
        <v>01</v>
      </c>
      <c r="O2794" s="14" t="str">
        <f t="shared" si="647"/>
        <v>00</v>
      </c>
    </row>
    <row r="2795" spans="1:22">
      <c r="A2795" s="3">
        <v>2761</v>
      </c>
      <c r="B2795" s="1">
        <f t="shared" ref="B2795:B2858" si="651">IF(G2795="-",0,IF(G2794=G2795,1,0))</f>
        <v>0</v>
      </c>
      <c r="C2795" s="1">
        <f t="shared" ref="C2795:C2858" si="652">+IF(G2795="-",0,IF(I2795=I2794+1,0,(IF(I2795=1,0,1))))</f>
        <v>1</v>
      </c>
      <c r="D2795" s="1">
        <f t="shared" si="650"/>
        <v>0</v>
      </c>
      <c r="E2795" s="1">
        <f t="shared" ref="E2795:F2858" si="653">IF(U2795="",1,0)</f>
        <v>0</v>
      </c>
      <c r="F2795" s="1">
        <f t="shared" si="653"/>
        <v>0</v>
      </c>
      <c r="G2795" s="1" t="str">
        <f t="shared" si="649"/>
        <v>24120918</v>
      </c>
      <c r="H2795" s="2">
        <v>45635</v>
      </c>
      <c r="I2795" s="36">
        <v>18</v>
      </c>
      <c r="J2795" s="1">
        <f t="shared" si="643"/>
        <v>18</v>
      </c>
      <c r="K2795" s="3">
        <f t="shared" si="644"/>
        <v>24</v>
      </c>
      <c r="L2795" s="3">
        <f t="shared" si="645"/>
        <v>12</v>
      </c>
      <c r="M2795" s="3">
        <f t="shared" si="646"/>
        <v>9</v>
      </c>
      <c r="N2795" s="3">
        <f t="shared" si="647"/>
        <v>12</v>
      </c>
      <c r="O2795" s="14" t="str">
        <f t="shared" si="647"/>
        <v>09</v>
      </c>
      <c r="Q2795" s="5">
        <v>1500</v>
      </c>
      <c r="T2795" s="5" t="s">
        <v>1211</v>
      </c>
      <c r="U2795" s="3" t="s">
        <v>3</v>
      </c>
      <c r="V2795" s="3" t="s">
        <v>5</v>
      </c>
    </row>
    <row r="2796" spans="1:22" hidden="1">
      <c r="J2796" s="1" t="str">
        <f t="shared" si="643"/>
        <v>0</v>
      </c>
      <c r="K2796" s="3">
        <f t="shared" si="644"/>
        <v>-100</v>
      </c>
      <c r="L2796" s="3">
        <f t="shared" si="645"/>
        <v>1</v>
      </c>
      <c r="M2796" s="3">
        <f t="shared" si="646"/>
        <v>0</v>
      </c>
      <c r="N2796" s="3" t="str">
        <f t="shared" si="647"/>
        <v>01</v>
      </c>
      <c r="O2796" s="14" t="str">
        <f t="shared" si="647"/>
        <v>00</v>
      </c>
    </row>
    <row r="2797" spans="1:22">
      <c r="A2797" s="3">
        <v>2744</v>
      </c>
      <c r="B2797" s="1">
        <f t="shared" si="651"/>
        <v>0</v>
      </c>
      <c r="C2797" s="1">
        <f t="shared" si="652"/>
        <v>0</v>
      </c>
      <c r="D2797" s="1">
        <f t="shared" si="650"/>
        <v>0</v>
      </c>
      <c r="E2797" s="1">
        <f t="shared" si="653"/>
        <v>0</v>
      </c>
      <c r="F2797" s="1">
        <f t="shared" si="653"/>
        <v>0</v>
      </c>
      <c r="G2797" s="1" t="str">
        <f t="shared" si="649"/>
        <v>24121001</v>
      </c>
      <c r="H2797" s="2">
        <v>45636</v>
      </c>
      <c r="I2797" s="36">
        <v>1</v>
      </c>
      <c r="J2797" s="1" t="str">
        <f t="shared" si="643"/>
        <v>01</v>
      </c>
      <c r="K2797" s="3">
        <f t="shared" si="644"/>
        <v>24</v>
      </c>
      <c r="L2797" s="3">
        <f t="shared" si="645"/>
        <v>12</v>
      </c>
      <c r="M2797" s="3">
        <f t="shared" si="646"/>
        <v>10</v>
      </c>
      <c r="N2797" s="3">
        <f t="shared" si="647"/>
        <v>12</v>
      </c>
      <c r="O2797" s="14">
        <f t="shared" si="647"/>
        <v>10</v>
      </c>
      <c r="P2797" s="4">
        <v>22445.31</v>
      </c>
      <c r="T2797" s="5" t="s">
        <v>41</v>
      </c>
      <c r="U2797" s="3" t="s">
        <v>29</v>
      </c>
      <c r="V2797" s="3" t="s">
        <v>5</v>
      </c>
    </row>
    <row r="2798" spans="1:22" hidden="1">
      <c r="J2798" s="1" t="str">
        <f t="shared" si="643"/>
        <v>0</v>
      </c>
      <c r="K2798" s="3">
        <f t="shared" si="644"/>
        <v>-100</v>
      </c>
      <c r="L2798" s="3">
        <f t="shared" si="645"/>
        <v>1</v>
      </c>
      <c r="M2798" s="3">
        <f t="shared" si="646"/>
        <v>0</v>
      </c>
      <c r="N2798" s="3" t="str">
        <f t="shared" si="647"/>
        <v>01</v>
      </c>
      <c r="O2798" s="14" t="str">
        <f t="shared" si="647"/>
        <v>00</v>
      </c>
    </row>
    <row r="2799" spans="1:22" hidden="1">
      <c r="J2799" s="1" t="str">
        <f t="shared" si="643"/>
        <v>0</v>
      </c>
      <c r="K2799" s="3">
        <f t="shared" si="644"/>
        <v>-100</v>
      </c>
      <c r="L2799" s="3">
        <f t="shared" si="645"/>
        <v>1</v>
      </c>
      <c r="M2799" s="3">
        <f t="shared" si="646"/>
        <v>0</v>
      </c>
      <c r="N2799" s="3" t="str">
        <f t="shared" si="647"/>
        <v>01</v>
      </c>
      <c r="O2799" s="14" t="str">
        <f t="shared" si="647"/>
        <v>00</v>
      </c>
    </row>
    <row r="2800" spans="1:22" hidden="1">
      <c r="J2800" s="1" t="str">
        <f t="shared" si="643"/>
        <v>0</v>
      </c>
      <c r="K2800" s="3">
        <f t="shared" si="644"/>
        <v>-100</v>
      </c>
      <c r="L2800" s="3">
        <f t="shared" si="645"/>
        <v>1</v>
      </c>
      <c r="M2800" s="3">
        <f t="shared" si="646"/>
        <v>0</v>
      </c>
      <c r="N2800" s="3" t="str">
        <f t="shared" si="647"/>
        <v>01</v>
      </c>
      <c r="O2800" s="14" t="str">
        <f t="shared" si="647"/>
        <v>00</v>
      </c>
    </row>
    <row r="2801" spans="1:22" hidden="1">
      <c r="J2801" s="1" t="str">
        <f t="shared" si="643"/>
        <v>0</v>
      </c>
      <c r="K2801" s="3">
        <f t="shared" si="644"/>
        <v>-100</v>
      </c>
      <c r="L2801" s="3">
        <f t="shared" si="645"/>
        <v>1</v>
      </c>
      <c r="M2801" s="3">
        <f t="shared" si="646"/>
        <v>0</v>
      </c>
      <c r="N2801" s="3" t="str">
        <f t="shared" si="647"/>
        <v>01</v>
      </c>
      <c r="O2801" s="14" t="str">
        <f t="shared" si="647"/>
        <v>00</v>
      </c>
    </row>
    <row r="2802" spans="1:22" hidden="1">
      <c r="J2802" s="1" t="str">
        <f t="shared" si="643"/>
        <v>0</v>
      </c>
      <c r="K2802" s="3">
        <f t="shared" si="644"/>
        <v>-100</v>
      </c>
      <c r="L2802" s="3">
        <f t="shared" si="645"/>
        <v>1</v>
      </c>
      <c r="M2802" s="3">
        <f t="shared" si="646"/>
        <v>0</v>
      </c>
      <c r="N2802" s="3" t="str">
        <f t="shared" si="647"/>
        <v>01</v>
      </c>
      <c r="O2802" s="14" t="str">
        <f t="shared" si="647"/>
        <v>00</v>
      </c>
    </row>
    <row r="2803" spans="1:22" hidden="1">
      <c r="J2803" s="1" t="str">
        <f t="shared" si="643"/>
        <v>0</v>
      </c>
      <c r="K2803" s="3">
        <f t="shared" si="644"/>
        <v>-100</v>
      </c>
      <c r="L2803" s="3">
        <f t="shared" si="645"/>
        <v>1</v>
      </c>
      <c r="M2803" s="3">
        <f t="shared" si="646"/>
        <v>0</v>
      </c>
      <c r="N2803" s="3" t="str">
        <f t="shared" si="647"/>
        <v>01</v>
      </c>
      <c r="O2803" s="14" t="str">
        <f t="shared" si="647"/>
        <v>00</v>
      </c>
    </row>
    <row r="2804" spans="1:22">
      <c r="A2804" s="3">
        <v>2777</v>
      </c>
      <c r="B2804" s="1">
        <f t="shared" si="651"/>
        <v>0</v>
      </c>
      <c r="C2804" s="1">
        <f t="shared" si="652"/>
        <v>1</v>
      </c>
      <c r="D2804" s="1">
        <f t="shared" si="650"/>
        <v>0</v>
      </c>
      <c r="E2804" s="1">
        <f t="shared" si="653"/>
        <v>0</v>
      </c>
      <c r="F2804" s="1">
        <f t="shared" si="653"/>
        <v>0</v>
      </c>
      <c r="G2804" s="1" t="str">
        <f t="shared" si="649"/>
        <v>24121102</v>
      </c>
      <c r="H2804" s="2">
        <v>45637</v>
      </c>
      <c r="I2804" s="36">
        <v>2</v>
      </c>
      <c r="J2804" s="1" t="str">
        <f t="shared" si="643"/>
        <v>02</v>
      </c>
      <c r="K2804" s="3">
        <f t="shared" si="644"/>
        <v>24</v>
      </c>
      <c r="L2804" s="3">
        <f t="shared" si="645"/>
        <v>12</v>
      </c>
      <c r="M2804" s="3">
        <f t="shared" si="646"/>
        <v>11</v>
      </c>
      <c r="N2804" s="3">
        <f t="shared" si="647"/>
        <v>12</v>
      </c>
      <c r="O2804" s="14">
        <f t="shared" si="647"/>
        <v>11</v>
      </c>
      <c r="P2804" s="4">
        <v>28000</v>
      </c>
      <c r="T2804" s="5" t="s">
        <v>1214</v>
      </c>
      <c r="U2804" s="3" t="s">
        <v>29</v>
      </c>
      <c r="V2804" s="3" t="s">
        <v>5</v>
      </c>
    </row>
    <row r="2805" spans="1:22" hidden="1">
      <c r="J2805" s="1" t="str">
        <f t="shared" si="643"/>
        <v>0</v>
      </c>
      <c r="K2805" s="3">
        <f t="shared" si="644"/>
        <v>-100</v>
      </c>
      <c r="L2805" s="3">
        <f t="shared" si="645"/>
        <v>1</v>
      </c>
      <c r="M2805" s="3">
        <f t="shared" si="646"/>
        <v>0</v>
      </c>
      <c r="N2805" s="3" t="str">
        <f t="shared" si="647"/>
        <v>01</v>
      </c>
      <c r="O2805" s="14" t="str">
        <f t="shared" si="647"/>
        <v>00</v>
      </c>
    </row>
    <row r="2806" spans="1:22" hidden="1">
      <c r="J2806" s="1" t="str">
        <f t="shared" si="643"/>
        <v>0</v>
      </c>
      <c r="K2806" s="3">
        <f t="shared" si="644"/>
        <v>-100</v>
      </c>
      <c r="L2806" s="3">
        <f t="shared" si="645"/>
        <v>1</v>
      </c>
      <c r="M2806" s="3">
        <f t="shared" si="646"/>
        <v>0</v>
      </c>
      <c r="N2806" s="3" t="str">
        <f t="shared" si="647"/>
        <v>01</v>
      </c>
      <c r="O2806" s="14" t="str">
        <f t="shared" si="647"/>
        <v>00</v>
      </c>
    </row>
    <row r="2807" spans="1:22" hidden="1">
      <c r="J2807" s="1" t="str">
        <f t="shared" ref="J2807:J2870" si="654">+IF(I2807&lt;10,_xlfn.CONCAT("0",I2807),I2807)</f>
        <v>0</v>
      </c>
      <c r="K2807" s="3">
        <f t="shared" ref="K2807:K2870" si="655">+YEAR(H2807)-2000</f>
        <v>-100</v>
      </c>
      <c r="L2807" s="3">
        <f t="shared" ref="L2807:L2870" si="656">+MONTH(H2807)</f>
        <v>1</v>
      </c>
      <c r="M2807" s="3">
        <f t="shared" ref="M2807:M2870" si="657">+DAY(H2807)</f>
        <v>0</v>
      </c>
      <c r="N2807" s="3" t="str">
        <f t="shared" ref="N2807:O2870" si="658">+IF(L2807&lt;10,_xlfn.CONCAT("0",L2807),L2807)</f>
        <v>01</v>
      </c>
      <c r="O2807" s="14" t="str">
        <f t="shared" si="658"/>
        <v>00</v>
      </c>
    </row>
    <row r="2808" spans="1:22" hidden="1">
      <c r="J2808" s="1" t="str">
        <f t="shared" si="654"/>
        <v>0</v>
      </c>
      <c r="K2808" s="3">
        <f t="shared" si="655"/>
        <v>-100</v>
      </c>
      <c r="L2808" s="3">
        <f t="shared" si="656"/>
        <v>1</v>
      </c>
      <c r="M2808" s="3">
        <f t="shared" si="657"/>
        <v>0</v>
      </c>
      <c r="N2808" s="3" t="str">
        <f t="shared" si="658"/>
        <v>01</v>
      </c>
      <c r="O2808" s="14" t="str">
        <f t="shared" si="658"/>
        <v>00</v>
      </c>
    </row>
    <row r="2809" spans="1:22">
      <c r="A2809" s="3">
        <v>2765</v>
      </c>
      <c r="B2809" s="1">
        <f t="shared" si="651"/>
        <v>0</v>
      </c>
      <c r="C2809" s="1">
        <f t="shared" si="652"/>
        <v>1</v>
      </c>
      <c r="D2809" s="1">
        <f t="shared" ref="D2809:D2869" si="659">+IF(AND(P2809="",Q2809=""),1,0)</f>
        <v>0</v>
      </c>
      <c r="E2809" s="1">
        <f t="shared" si="653"/>
        <v>0</v>
      </c>
      <c r="F2809" s="1">
        <f t="shared" si="653"/>
        <v>0</v>
      </c>
      <c r="G2809" s="1" t="str">
        <f t="shared" ref="G2809:G2869" si="660">IF(H2809=0,"-",_xlfn.CONCAT(K2809,N2809,O2809,J2809))</f>
        <v>24121202</v>
      </c>
      <c r="H2809" s="2">
        <v>45638</v>
      </c>
      <c r="I2809" s="36">
        <v>2</v>
      </c>
      <c r="J2809" s="1" t="str">
        <f t="shared" si="654"/>
        <v>02</v>
      </c>
      <c r="K2809" s="3">
        <f t="shared" si="655"/>
        <v>24</v>
      </c>
      <c r="L2809" s="3">
        <f t="shared" si="656"/>
        <v>12</v>
      </c>
      <c r="M2809" s="3">
        <f t="shared" si="657"/>
        <v>12</v>
      </c>
      <c r="N2809" s="3">
        <f t="shared" si="658"/>
        <v>12</v>
      </c>
      <c r="O2809" s="14">
        <f t="shared" si="658"/>
        <v>12</v>
      </c>
      <c r="P2809" s="4">
        <v>794180.88</v>
      </c>
      <c r="T2809" s="5" t="s">
        <v>1212</v>
      </c>
      <c r="U2809" s="3" t="s">
        <v>2</v>
      </c>
      <c r="V2809" s="3" t="s">
        <v>5</v>
      </c>
    </row>
    <row r="2810" spans="1:22" hidden="1">
      <c r="J2810" s="1" t="str">
        <f t="shared" si="654"/>
        <v>0</v>
      </c>
      <c r="K2810" s="3">
        <f t="shared" si="655"/>
        <v>-100</v>
      </c>
      <c r="L2810" s="3">
        <f t="shared" si="656"/>
        <v>1</v>
      </c>
      <c r="M2810" s="3">
        <f t="shared" si="657"/>
        <v>0</v>
      </c>
      <c r="N2810" s="3" t="str">
        <f t="shared" si="658"/>
        <v>01</v>
      </c>
      <c r="O2810" s="14" t="str">
        <f t="shared" si="658"/>
        <v>00</v>
      </c>
    </row>
    <row r="2811" spans="1:22" hidden="1">
      <c r="J2811" s="1" t="str">
        <f t="shared" si="654"/>
        <v>0</v>
      </c>
      <c r="K2811" s="3">
        <f t="shared" si="655"/>
        <v>-100</v>
      </c>
      <c r="L2811" s="3">
        <f t="shared" si="656"/>
        <v>1</v>
      </c>
      <c r="M2811" s="3">
        <f t="shared" si="657"/>
        <v>0</v>
      </c>
      <c r="N2811" s="3" t="str">
        <f t="shared" si="658"/>
        <v>01</v>
      </c>
      <c r="O2811" s="14" t="str">
        <f t="shared" si="658"/>
        <v>00</v>
      </c>
    </row>
    <row r="2812" spans="1:22" hidden="1">
      <c r="J2812" s="1" t="str">
        <f t="shared" si="654"/>
        <v>0</v>
      </c>
      <c r="K2812" s="3">
        <f t="shared" si="655"/>
        <v>-100</v>
      </c>
      <c r="L2812" s="3">
        <f t="shared" si="656"/>
        <v>1</v>
      </c>
      <c r="M2812" s="3">
        <f t="shared" si="657"/>
        <v>0</v>
      </c>
      <c r="N2812" s="3" t="str">
        <f t="shared" si="658"/>
        <v>01</v>
      </c>
      <c r="O2812" s="14" t="str">
        <f t="shared" si="658"/>
        <v>00</v>
      </c>
    </row>
    <row r="2813" spans="1:22" hidden="1">
      <c r="J2813" s="1" t="str">
        <f t="shared" si="654"/>
        <v>0</v>
      </c>
      <c r="K2813" s="3">
        <f t="shared" si="655"/>
        <v>-100</v>
      </c>
      <c r="L2813" s="3">
        <f t="shared" si="656"/>
        <v>1</v>
      </c>
      <c r="M2813" s="3">
        <f t="shared" si="657"/>
        <v>0</v>
      </c>
      <c r="N2813" s="3" t="str">
        <f t="shared" si="658"/>
        <v>01</v>
      </c>
      <c r="O2813" s="14" t="str">
        <f t="shared" si="658"/>
        <v>00</v>
      </c>
    </row>
    <row r="2814" spans="1:22">
      <c r="A2814" s="3">
        <v>2767</v>
      </c>
      <c r="B2814" s="1">
        <f t="shared" si="651"/>
        <v>0</v>
      </c>
      <c r="C2814" s="1">
        <f t="shared" si="652"/>
        <v>1</v>
      </c>
      <c r="D2814" s="1">
        <f t="shared" si="659"/>
        <v>0</v>
      </c>
      <c r="E2814" s="1">
        <f t="shared" si="653"/>
        <v>0</v>
      </c>
      <c r="F2814" s="1">
        <f t="shared" si="653"/>
        <v>0</v>
      </c>
      <c r="G2814" s="1" t="str">
        <f t="shared" si="660"/>
        <v>24121303</v>
      </c>
      <c r="H2814" s="2">
        <v>45639</v>
      </c>
      <c r="I2814" s="36">
        <v>3</v>
      </c>
      <c r="J2814" s="1" t="str">
        <f t="shared" si="654"/>
        <v>03</v>
      </c>
      <c r="K2814" s="3">
        <f t="shared" si="655"/>
        <v>24</v>
      </c>
      <c r="L2814" s="3">
        <f t="shared" si="656"/>
        <v>12</v>
      </c>
      <c r="M2814" s="3">
        <f t="shared" si="657"/>
        <v>13</v>
      </c>
      <c r="N2814" s="3">
        <f t="shared" si="658"/>
        <v>12</v>
      </c>
      <c r="O2814" s="14">
        <f t="shared" si="658"/>
        <v>13</v>
      </c>
      <c r="P2814" s="4">
        <v>200000</v>
      </c>
      <c r="T2814" s="5" t="s">
        <v>871</v>
      </c>
      <c r="U2814" s="3" t="s">
        <v>2</v>
      </c>
      <c r="V2814" s="3" t="s">
        <v>5</v>
      </c>
    </row>
    <row r="2815" spans="1:22" hidden="1">
      <c r="J2815" s="1" t="str">
        <f t="shared" si="654"/>
        <v>0</v>
      </c>
      <c r="K2815" s="3">
        <f t="shared" si="655"/>
        <v>-100</v>
      </c>
      <c r="L2815" s="3">
        <f t="shared" si="656"/>
        <v>1</v>
      </c>
      <c r="M2815" s="3">
        <f t="shared" si="657"/>
        <v>0</v>
      </c>
      <c r="N2815" s="3" t="str">
        <f t="shared" si="658"/>
        <v>01</v>
      </c>
      <c r="O2815" s="14" t="str">
        <f t="shared" si="658"/>
        <v>00</v>
      </c>
    </row>
    <row r="2816" spans="1:22">
      <c r="A2816" s="3">
        <v>2783</v>
      </c>
      <c r="B2816" s="1">
        <f t="shared" si="651"/>
        <v>0</v>
      </c>
      <c r="C2816" s="1">
        <f t="shared" si="652"/>
        <v>1</v>
      </c>
      <c r="D2816" s="1">
        <f t="shared" si="659"/>
        <v>0</v>
      </c>
      <c r="E2816" s="1">
        <f t="shared" si="653"/>
        <v>1</v>
      </c>
      <c r="F2816" s="1">
        <f t="shared" si="653"/>
        <v>0</v>
      </c>
      <c r="G2816" s="1" t="str">
        <f t="shared" si="660"/>
        <v>24121305</v>
      </c>
      <c r="H2816" s="2">
        <v>45639</v>
      </c>
      <c r="I2816" s="36">
        <v>5</v>
      </c>
      <c r="J2816" s="1" t="str">
        <f t="shared" si="654"/>
        <v>05</v>
      </c>
      <c r="K2816" s="3">
        <f t="shared" si="655"/>
        <v>24</v>
      </c>
      <c r="L2816" s="3">
        <f t="shared" si="656"/>
        <v>12</v>
      </c>
      <c r="M2816" s="3">
        <f t="shared" si="657"/>
        <v>13</v>
      </c>
      <c r="N2816" s="3">
        <f t="shared" si="658"/>
        <v>12</v>
      </c>
      <c r="O2816" s="14">
        <f t="shared" si="658"/>
        <v>13</v>
      </c>
      <c r="Q2816" s="5">
        <v>9666.18</v>
      </c>
      <c r="T2816" s="5" t="s">
        <v>1215</v>
      </c>
      <c r="V2816" s="3" t="s">
        <v>5</v>
      </c>
    </row>
    <row r="2817" spans="1:22" hidden="1">
      <c r="J2817" s="1" t="str">
        <f t="shared" si="654"/>
        <v>0</v>
      </c>
      <c r="K2817" s="3">
        <f t="shared" si="655"/>
        <v>-100</v>
      </c>
      <c r="L2817" s="3">
        <f t="shared" si="656"/>
        <v>1</v>
      </c>
      <c r="M2817" s="3">
        <f t="shared" si="657"/>
        <v>0</v>
      </c>
      <c r="N2817" s="3" t="str">
        <f t="shared" si="658"/>
        <v>01</v>
      </c>
      <c r="O2817" s="14" t="str">
        <f t="shared" si="658"/>
        <v>00</v>
      </c>
    </row>
    <row r="2818" spans="1:22" hidden="1">
      <c r="J2818" s="1" t="str">
        <f t="shared" si="654"/>
        <v>0</v>
      </c>
      <c r="K2818" s="3">
        <f t="shared" si="655"/>
        <v>-100</v>
      </c>
      <c r="L2818" s="3">
        <f t="shared" si="656"/>
        <v>1</v>
      </c>
      <c r="M2818" s="3">
        <f t="shared" si="657"/>
        <v>0</v>
      </c>
      <c r="N2818" s="3" t="str">
        <f t="shared" si="658"/>
        <v>01</v>
      </c>
      <c r="O2818" s="14" t="str">
        <f t="shared" si="658"/>
        <v>00</v>
      </c>
    </row>
    <row r="2819" spans="1:22" hidden="1">
      <c r="J2819" s="1" t="str">
        <f t="shared" si="654"/>
        <v>0</v>
      </c>
      <c r="K2819" s="3">
        <f t="shared" si="655"/>
        <v>-100</v>
      </c>
      <c r="L2819" s="3">
        <f t="shared" si="656"/>
        <v>1</v>
      </c>
      <c r="M2819" s="3">
        <f t="shared" si="657"/>
        <v>0</v>
      </c>
      <c r="N2819" s="3" t="str">
        <f t="shared" si="658"/>
        <v>01</v>
      </c>
      <c r="O2819" s="14" t="str">
        <f t="shared" si="658"/>
        <v>00</v>
      </c>
    </row>
    <row r="2820" spans="1:22" hidden="1">
      <c r="J2820" s="1" t="str">
        <f t="shared" si="654"/>
        <v>0</v>
      </c>
      <c r="K2820" s="3">
        <f t="shared" si="655"/>
        <v>-100</v>
      </c>
      <c r="L2820" s="3">
        <f t="shared" si="656"/>
        <v>1</v>
      </c>
      <c r="M2820" s="3">
        <f t="shared" si="657"/>
        <v>0</v>
      </c>
      <c r="N2820" s="3" t="str">
        <f t="shared" si="658"/>
        <v>01</v>
      </c>
      <c r="O2820" s="14" t="str">
        <f t="shared" si="658"/>
        <v>00</v>
      </c>
    </row>
    <row r="2821" spans="1:22" hidden="1">
      <c r="J2821" s="1" t="str">
        <f t="shared" si="654"/>
        <v>0</v>
      </c>
      <c r="K2821" s="3">
        <f t="shared" si="655"/>
        <v>-100</v>
      </c>
      <c r="L2821" s="3">
        <f t="shared" si="656"/>
        <v>1</v>
      </c>
      <c r="M2821" s="3">
        <f t="shared" si="657"/>
        <v>0</v>
      </c>
      <c r="N2821" s="3" t="str">
        <f t="shared" si="658"/>
        <v>01</v>
      </c>
      <c r="O2821" s="14" t="str">
        <f t="shared" si="658"/>
        <v>00</v>
      </c>
    </row>
    <row r="2822" spans="1:22" hidden="1">
      <c r="J2822" s="1" t="str">
        <f t="shared" si="654"/>
        <v>0</v>
      </c>
      <c r="K2822" s="3">
        <f t="shared" si="655"/>
        <v>-100</v>
      </c>
      <c r="L2822" s="3">
        <f t="shared" si="656"/>
        <v>1</v>
      </c>
      <c r="M2822" s="3">
        <f t="shared" si="657"/>
        <v>0</v>
      </c>
      <c r="N2822" s="3" t="str">
        <f t="shared" si="658"/>
        <v>01</v>
      </c>
      <c r="O2822" s="14" t="str">
        <f t="shared" si="658"/>
        <v>00</v>
      </c>
    </row>
    <row r="2823" spans="1:22" hidden="1">
      <c r="J2823" s="1" t="str">
        <f t="shared" si="654"/>
        <v>0</v>
      </c>
      <c r="K2823" s="3">
        <f t="shared" si="655"/>
        <v>-100</v>
      </c>
      <c r="L2823" s="3">
        <f t="shared" si="656"/>
        <v>1</v>
      </c>
      <c r="M2823" s="3">
        <f t="shared" si="657"/>
        <v>0</v>
      </c>
      <c r="N2823" s="3" t="str">
        <f t="shared" si="658"/>
        <v>01</v>
      </c>
      <c r="O2823" s="14" t="str">
        <f t="shared" si="658"/>
        <v>00</v>
      </c>
    </row>
    <row r="2824" spans="1:22" hidden="1">
      <c r="J2824" s="1" t="str">
        <f t="shared" si="654"/>
        <v>0</v>
      </c>
      <c r="K2824" s="3">
        <f t="shared" si="655"/>
        <v>-100</v>
      </c>
      <c r="L2824" s="3">
        <f t="shared" si="656"/>
        <v>1</v>
      </c>
      <c r="M2824" s="3">
        <f t="shared" si="657"/>
        <v>0</v>
      </c>
      <c r="N2824" s="3" t="str">
        <f t="shared" si="658"/>
        <v>01</v>
      </c>
      <c r="O2824" s="14" t="str">
        <f t="shared" si="658"/>
        <v>00</v>
      </c>
    </row>
    <row r="2825" spans="1:22">
      <c r="A2825" s="3">
        <v>2792</v>
      </c>
      <c r="B2825" s="1">
        <f t="shared" si="651"/>
        <v>0</v>
      </c>
      <c r="C2825" s="1">
        <f t="shared" si="652"/>
        <v>1</v>
      </c>
      <c r="D2825" s="1">
        <f t="shared" si="659"/>
        <v>0</v>
      </c>
      <c r="E2825" s="1">
        <f t="shared" si="653"/>
        <v>0</v>
      </c>
      <c r="F2825" s="1">
        <f t="shared" si="653"/>
        <v>0</v>
      </c>
      <c r="G2825" s="1" t="str">
        <f t="shared" si="660"/>
        <v>24121407</v>
      </c>
      <c r="H2825" s="2">
        <v>45640</v>
      </c>
      <c r="I2825" s="36">
        <v>7</v>
      </c>
      <c r="J2825" s="1" t="str">
        <f t="shared" si="654"/>
        <v>07</v>
      </c>
      <c r="K2825" s="3">
        <f t="shared" si="655"/>
        <v>24</v>
      </c>
      <c r="L2825" s="3">
        <f t="shared" si="656"/>
        <v>12</v>
      </c>
      <c r="M2825" s="3">
        <f t="shared" si="657"/>
        <v>14</v>
      </c>
      <c r="N2825" s="3">
        <f t="shared" si="658"/>
        <v>12</v>
      </c>
      <c r="O2825" s="14">
        <f t="shared" si="658"/>
        <v>14</v>
      </c>
      <c r="P2825" s="4">
        <v>132000</v>
      </c>
      <c r="T2825" s="5" t="s">
        <v>1223</v>
      </c>
      <c r="U2825" s="3" t="s">
        <v>1</v>
      </c>
      <c r="V2825" s="3" t="s">
        <v>5</v>
      </c>
    </row>
    <row r="2826" spans="1:22">
      <c r="A2826" s="3">
        <v>2793</v>
      </c>
      <c r="B2826" s="1">
        <f t="shared" si="651"/>
        <v>0</v>
      </c>
      <c r="C2826" s="1">
        <f t="shared" si="652"/>
        <v>0</v>
      </c>
      <c r="D2826" s="1">
        <f t="shared" si="659"/>
        <v>0</v>
      </c>
      <c r="E2826" s="1">
        <f t="shared" si="653"/>
        <v>0</v>
      </c>
      <c r="F2826" s="1">
        <f t="shared" si="653"/>
        <v>0</v>
      </c>
      <c r="G2826" s="1" t="str">
        <f t="shared" si="660"/>
        <v>24121408</v>
      </c>
      <c r="H2826" s="2">
        <v>45640</v>
      </c>
      <c r="I2826" s="36">
        <v>8</v>
      </c>
      <c r="J2826" s="1" t="str">
        <f t="shared" si="654"/>
        <v>08</v>
      </c>
      <c r="K2826" s="3">
        <f t="shared" si="655"/>
        <v>24</v>
      </c>
      <c r="L2826" s="3">
        <f t="shared" si="656"/>
        <v>12</v>
      </c>
      <c r="M2826" s="3">
        <f t="shared" si="657"/>
        <v>14</v>
      </c>
      <c r="N2826" s="3">
        <f t="shared" si="658"/>
        <v>12</v>
      </c>
      <c r="O2826" s="14">
        <f t="shared" si="658"/>
        <v>14</v>
      </c>
      <c r="P2826" s="4">
        <v>138000</v>
      </c>
      <c r="T2826" s="5" t="s">
        <v>1224</v>
      </c>
      <c r="U2826" s="3" t="s">
        <v>1</v>
      </c>
      <c r="V2826" s="3" t="s">
        <v>5</v>
      </c>
    </row>
    <row r="2827" spans="1:22">
      <c r="A2827" s="3">
        <v>2794</v>
      </c>
      <c r="B2827" s="1">
        <f t="shared" si="651"/>
        <v>0</v>
      </c>
      <c r="C2827" s="1">
        <f t="shared" si="652"/>
        <v>0</v>
      </c>
      <c r="D2827" s="1">
        <f t="shared" si="659"/>
        <v>0</v>
      </c>
      <c r="E2827" s="1">
        <f t="shared" si="653"/>
        <v>0</v>
      </c>
      <c r="F2827" s="1">
        <f t="shared" si="653"/>
        <v>0</v>
      </c>
      <c r="G2827" s="1" t="str">
        <f t="shared" si="660"/>
        <v>24121409</v>
      </c>
      <c r="H2827" s="2">
        <v>45640</v>
      </c>
      <c r="I2827" s="36">
        <v>9</v>
      </c>
      <c r="J2827" s="1" t="str">
        <f t="shared" si="654"/>
        <v>09</v>
      </c>
      <c r="K2827" s="3">
        <f t="shared" si="655"/>
        <v>24</v>
      </c>
      <c r="L2827" s="3">
        <f t="shared" si="656"/>
        <v>12</v>
      </c>
      <c r="M2827" s="3">
        <f t="shared" si="657"/>
        <v>14</v>
      </c>
      <c r="N2827" s="3">
        <f t="shared" si="658"/>
        <v>12</v>
      </c>
      <c r="O2827" s="14">
        <f t="shared" si="658"/>
        <v>14</v>
      </c>
      <c r="P2827" s="4">
        <v>132000</v>
      </c>
      <c r="T2827" s="5" t="s">
        <v>1225</v>
      </c>
      <c r="U2827" s="3" t="s">
        <v>1</v>
      </c>
      <c r="V2827" s="3" t="s">
        <v>5</v>
      </c>
    </row>
    <row r="2828" spans="1:22">
      <c r="A2828" s="3">
        <v>2795</v>
      </c>
      <c r="B2828" s="1">
        <f t="shared" si="651"/>
        <v>0</v>
      </c>
      <c r="C2828" s="1">
        <f t="shared" si="652"/>
        <v>0</v>
      </c>
      <c r="D2828" s="1">
        <f t="shared" si="659"/>
        <v>0</v>
      </c>
      <c r="E2828" s="1">
        <f t="shared" si="653"/>
        <v>0</v>
      </c>
      <c r="F2828" s="1">
        <f t="shared" si="653"/>
        <v>0</v>
      </c>
      <c r="G2828" s="1" t="str">
        <f t="shared" si="660"/>
        <v>24121410</v>
      </c>
      <c r="H2828" s="2">
        <v>45640</v>
      </c>
      <c r="I2828" s="36">
        <v>10</v>
      </c>
      <c r="J2828" s="1">
        <f t="shared" si="654"/>
        <v>10</v>
      </c>
      <c r="K2828" s="3">
        <f t="shared" si="655"/>
        <v>24</v>
      </c>
      <c r="L2828" s="3">
        <f t="shared" si="656"/>
        <v>12</v>
      </c>
      <c r="M2828" s="3">
        <f t="shared" si="657"/>
        <v>14</v>
      </c>
      <c r="N2828" s="3">
        <f t="shared" si="658"/>
        <v>12</v>
      </c>
      <c r="O2828" s="14">
        <f t="shared" si="658"/>
        <v>14</v>
      </c>
      <c r="P2828" s="4">
        <v>132000</v>
      </c>
      <c r="T2828" s="5" t="s">
        <v>1226</v>
      </c>
      <c r="U2828" s="3" t="s">
        <v>1</v>
      </c>
      <c r="V2828" s="3" t="s">
        <v>5</v>
      </c>
    </row>
    <row r="2829" spans="1:22">
      <c r="A2829" s="3">
        <v>2796</v>
      </c>
      <c r="B2829" s="1">
        <f t="shared" si="651"/>
        <v>0</v>
      </c>
      <c r="C2829" s="1">
        <f t="shared" si="652"/>
        <v>0</v>
      </c>
      <c r="D2829" s="1">
        <f t="shared" si="659"/>
        <v>0</v>
      </c>
      <c r="E2829" s="1">
        <f t="shared" si="653"/>
        <v>0</v>
      </c>
      <c r="F2829" s="1">
        <f t="shared" si="653"/>
        <v>0</v>
      </c>
      <c r="G2829" s="1" t="str">
        <f t="shared" si="660"/>
        <v>24121411</v>
      </c>
      <c r="H2829" s="2">
        <v>45640</v>
      </c>
      <c r="I2829" s="36">
        <v>11</v>
      </c>
      <c r="J2829" s="1">
        <f t="shared" si="654"/>
        <v>11</v>
      </c>
      <c r="K2829" s="3">
        <f t="shared" si="655"/>
        <v>24</v>
      </c>
      <c r="L2829" s="3">
        <f t="shared" si="656"/>
        <v>12</v>
      </c>
      <c r="M2829" s="3">
        <f t="shared" si="657"/>
        <v>14</v>
      </c>
      <c r="N2829" s="3">
        <f t="shared" si="658"/>
        <v>12</v>
      </c>
      <c r="O2829" s="14">
        <f t="shared" si="658"/>
        <v>14</v>
      </c>
      <c r="P2829" s="4">
        <v>159000</v>
      </c>
      <c r="T2829" s="5" t="s">
        <v>1227</v>
      </c>
      <c r="U2829" s="3" t="s">
        <v>1</v>
      </c>
      <c r="V2829" s="3" t="s">
        <v>5</v>
      </c>
    </row>
    <row r="2830" spans="1:22">
      <c r="A2830" s="3">
        <v>2797</v>
      </c>
      <c r="B2830" s="1">
        <f t="shared" si="651"/>
        <v>0</v>
      </c>
      <c r="C2830" s="1">
        <f t="shared" si="652"/>
        <v>0</v>
      </c>
      <c r="D2830" s="1">
        <f t="shared" si="659"/>
        <v>0</v>
      </c>
      <c r="E2830" s="1">
        <f t="shared" si="653"/>
        <v>0</v>
      </c>
      <c r="F2830" s="1">
        <f t="shared" si="653"/>
        <v>0</v>
      </c>
      <c r="G2830" s="1" t="str">
        <f t="shared" si="660"/>
        <v>24121412</v>
      </c>
      <c r="H2830" s="2">
        <v>45640</v>
      </c>
      <c r="I2830" s="36">
        <v>12</v>
      </c>
      <c r="J2830" s="1">
        <f t="shared" si="654"/>
        <v>12</v>
      </c>
      <c r="K2830" s="3">
        <f t="shared" si="655"/>
        <v>24</v>
      </c>
      <c r="L2830" s="3">
        <f t="shared" si="656"/>
        <v>12</v>
      </c>
      <c r="M2830" s="3">
        <f t="shared" si="657"/>
        <v>14</v>
      </c>
      <c r="N2830" s="3">
        <f t="shared" si="658"/>
        <v>12</v>
      </c>
      <c r="O2830" s="14">
        <f t="shared" si="658"/>
        <v>14</v>
      </c>
      <c r="P2830" s="4">
        <v>1344600</v>
      </c>
      <c r="T2830" s="5" t="s">
        <v>1220</v>
      </c>
      <c r="U2830" s="3" t="s">
        <v>1</v>
      </c>
      <c r="V2830" s="3" t="s">
        <v>5</v>
      </c>
    </row>
    <row r="2831" spans="1:22">
      <c r="A2831" s="3">
        <v>2798</v>
      </c>
      <c r="B2831" s="1">
        <f t="shared" si="651"/>
        <v>0</v>
      </c>
      <c r="C2831" s="1">
        <f t="shared" si="652"/>
        <v>0</v>
      </c>
      <c r="D2831" s="1">
        <f t="shared" si="659"/>
        <v>1</v>
      </c>
      <c r="E2831" s="1">
        <f t="shared" si="653"/>
        <v>0</v>
      </c>
      <c r="F2831" s="1">
        <f t="shared" si="653"/>
        <v>0</v>
      </c>
      <c r="G2831" s="1" t="str">
        <f t="shared" si="660"/>
        <v>24121413</v>
      </c>
      <c r="H2831" s="2">
        <v>45640</v>
      </c>
      <c r="I2831" s="36">
        <v>13</v>
      </c>
      <c r="J2831" s="1">
        <f t="shared" si="654"/>
        <v>13</v>
      </c>
      <c r="K2831" s="3">
        <f t="shared" si="655"/>
        <v>24</v>
      </c>
      <c r="L2831" s="3">
        <f t="shared" si="656"/>
        <v>12</v>
      </c>
      <c r="M2831" s="3">
        <f t="shared" si="657"/>
        <v>14</v>
      </c>
      <c r="N2831" s="3">
        <f t="shared" si="658"/>
        <v>12</v>
      </c>
      <c r="O2831" s="14">
        <f t="shared" si="658"/>
        <v>14</v>
      </c>
      <c r="U2831" s="3" t="s">
        <v>1</v>
      </c>
      <c r="V2831" s="3" t="s">
        <v>5</v>
      </c>
    </row>
    <row r="2832" spans="1:22">
      <c r="A2832" s="3">
        <v>2799</v>
      </c>
      <c r="B2832" s="1">
        <f t="shared" si="651"/>
        <v>0</v>
      </c>
      <c r="C2832" s="1">
        <f t="shared" si="652"/>
        <v>0</v>
      </c>
      <c r="D2832" s="1">
        <f t="shared" si="659"/>
        <v>1</v>
      </c>
      <c r="E2832" s="1">
        <f t="shared" si="653"/>
        <v>0</v>
      </c>
      <c r="F2832" s="1">
        <f t="shared" si="653"/>
        <v>0</v>
      </c>
      <c r="G2832" s="1" t="str">
        <f t="shared" si="660"/>
        <v>24121414</v>
      </c>
      <c r="H2832" s="2">
        <v>45640</v>
      </c>
      <c r="I2832" s="36">
        <v>14</v>
      </c>
      <c r="J2832" s="1">
        <f t="shared" si="654"/>
        <v>14</v>
      </c>
      <c r="K2832" s="3">
        <f t="shared" si="655"/>
        <v>24</v>
      </c>
      <c r="L2832" s="3">
        <f t="shared" si="656"/>
        <v>12</v>
      </c>
      <c r="M2832" s="3">
        <f t="shared" si="657"/>
        <v>14</v>
      </c>
      <c r="N2832" s="3">
        <f t="shared" si="658"/>
        <v>12</v>
      </c>
      <c r="O2832" s="14">
        <f t="shared" si="658"/>
        <v>14</v>
      </c>
      <c r="U2832" s="3" t="s">
        <v>1</v>
      </c>
      <c r="V2832" s="3" t="s">
        <v>5</v>
      </c>
    </row>
    <row r="2833" spans="1:22">
      <c r="A2833" s="3">
        <v>2800</v>
      </c>
      <c r="B2833" s="1">
        <f t="shared" si="651"/>
        <v>0</v>
      </c>
      <c r="C2833" s="1">
        <f t="shared" si="652"/>
        <v>0</v>
      </c>
      <c r="D2833" s="1">
        <f t="shared" si="659"/>
        <v>1</v>
      </c>
      <c r="E2833" s="1">
        <f t="shared" si="653"/>
        <v>0</v>
      </c>
      <c r="F2833" s="1">
        <f t="shared" si="653"/>
        <v>0</v>
      </c>
      <c r="G2833" s="1" t="str">
        <f t="shared" si="660"/>
        <v>24121415</v>
      </c>
      <c r="H2833" s="2">
        <v>45640</v>
      </c>
      <c r="I2833" s="36">
        <v>15</v>
      </c>
      <c r="J2833" s="1">
        <f t="shared" si="654"/>
        <v>15</v>
      </c>
      <c r="K2833" s="3">
        <f t="shared" si="655"/>
        <v>24</v>
      </c>
      <c r="L2833" s="3">
        <f t="shared" si="656"/>
        <v>12</v>
      </c>
      <c r="M2833" s="3">
        <f t="shared" si="657"/>
        <v>14</v>
      </c>
      <c r="N2833" s="3">
        <f t="shared" si="658"/>
        <v>12</v>
      </c>
      <c r="O2833" s="14">
        <f t="shared" si="658"/>
        <v>14</v>
      </c>
      <c r="U2833" s="3" t="s">
        <v>1</v>
      </c>
      <c r="V2833" s="3" t="s">
        <v>5</v>
      </c>
    </row>
    <row r="2834" spans="1:22">
      <c r="A2834" s="3">
        <v>2801</v>
      </c>
      <c r="B2834" s="1">
        <f t="shared" si="651"/>
        <v>0</v>
      </c>
      <c r="C2834" s="1">
        <f t="shared" si="652"/>
        <v>0</v>
      </c>
      <c r="D2834" s="1">
        <f t="shared" si="659"/>
        <v>1</v>
      </c>
      <c r="E2834" s="1">
        <f t="shared" si="653"/>
        <v>0</v>
      </c>
      <c r="F2834" s="1">
        <f t="shared" si="653"/>
        <v>0</v>
      </c>
      <c r="G2834" s="1" t="str">
        <f t="shared" si="660"/>
        <v>24121416</v>
      </c>
      <c r="H2834" s="2">
        <v>45640</v>
      </c>
      <c r="I2834" s="36">
        <v>16</v>
      </c>
      <c r="J2834" s="1">
        <f t="shared" si="654"/>
        <v>16</v>
      </c>
      <c r="K2834" s="3">
        <f t="shared" si="655"/>
        <v>24</v>
      </c>
      <c r="L2834" s="3">
        <f t="shared" si="656"/>
        <v>12</v>
      </c>
      <c r="M2834" s="3">
        <f t="shared" si="657"/>
        <v>14</v>
      </c>
      <c r="N2834" s="3">
        <f t="shared" si="658"/>
        <v>12</v>
      </c>
      <c r="O2834" s="14">
        <f t="shared" si="658"/>
        <v>14</v>
      </c>
      <c r="U2834" s="3" t="s">
        <v>1</v>
      </c>
      <c r="V2834" s="3" t="s">
        <v>5</v>
      </c>
    </row>
    <row r="2835" spans="1:22">
      <c r="A2835" s="3">
        <v>2802</v>
      </c>
      <c r="B2835" s="1">
        <f t="shared" si="651"/>
        <v>0</v>
      </c>
      <c r="C2835" s="1">
        <f t="shared" si="652"/>
        <v>0</v>
      </c>
      <c r="D2835" s="1">
        <f t="shared" si="659"/>
        <v>1</v>
      </c>
      <c r="E2835" s="1">
        <f t="shared" si="653"/>
        <v>0</v>
      </c>
      <c r="F2835" s="1">
        <f t="shared" si="653"/>
        <v>0</v>
      </c>
      <c r="G2835" s="1" t="str">
        <f t="shared" si="660"/>
        <v>24121417</v>
      </c>
      <c r="H2835" s="2">
        <v>45640</v>
      </c>
      <c r="I2835" s="36">
        <v>17</v>
      </c>
      <c r="J2835" s="1">
        <f t="shared" si="654"/>
        <v>17</v>
      </c>
      <c r="K2835" s="3">
        <f t="shared" si="655"/>
        <v>24</v>
      </c>
      <c r="L2835" s="3">
        <f t="shared" si="656"/>
        <v>12</v>
      </c>
      <c r="M2835" s="3">
        <f t="shared" si="657"/>
        <v>14</v>
      </c>
      <c r="N2835" s="3">
        <f t="shared" si="658"/>
        <v>12</v>
      </c>
      <c r="O2835" s="14">
        <f t="shared" si="658"/>
        <v>14</v>
      </c>
      <c r="U2835" s="3" t="s">
        <v>1</v>
      </c>
      <c r="V2835" s="3" t="s">
        <v>5</v>
      </c>
    </row>
    <row r="2836" spans="1:22">
      <c r="A2836" s="3">
        <v>2803</v>
      </c>
      <c r="B2836" s="1">
        <f t="shared" si="651"/>
        <v>0</v>
      </c>
      <c r="C2836" s="1">
        <f t="shared" si="652"/>
        <v>0</v>
      </c>
      <c r="D2836" s="1">
        <f t="shared" si="659"/>
        <v>1</v>
      </c>
      <c r="E2836" s="1">
        <f t="shared" si="653"/>
        <v>0</v>
      </c>
      <c r="F2836" s="1">
        <f t="shared" si="653"/>
        <v>0</v>
      </c>
      <c r="G2836" s="1" t="str">
        <f t="shared" si="660"/>
        <v>24121418</v>
      </c>
      <c r="H2836" s="2">
        <v>45640</v>
      </c>
      <c r="I2836" s="36">
        <v>18</v>
      </c>
      <c r="J2836" s="1">
        <f t="shared" si="654"/>
        <v>18</v>
      </c>
      <c r="K2836" s="3">
        <f t="shared" si="655"/>
        <v>24</v>
      </c>
      <c r="L2836" s="3">
        <f t="shared" si="656"/>
        <v>12</v>
      </c>
      <c r="M2836" s="3">
        <f t="shared" si="657"/>
        <v>14</v>
      </c>
      <c r="N2836" s="3">
        <f t="shared" si="658"/>
        <v>12</v>
      </c>
      <c r="O2836" s="14">
        <f t="shared" si="658"/>
        <v>14</v>
      </c>
      <c r="U2836" s="3" t="s">
        <v>1</v>
      </c>
      <c r="V2836" s="3" t="s">
        <v>5</v>
      </c>
    </row>
    <row r="2837" spans="1:22">
      <c r="A2837" s="3">
        <v>2804</v>
      </c>
      <c r="B2837" s="1">
        <f t="shared" si="651"/>
        <v>0</v>
      </c>
      <c r="C2837" s="1">
        <f t="shared" si="652"/>
        <v>0</v>
      </c>
      <c r="D2837" s="1">
        <f t="shared" si="659"/>
        <v>1</v>
      </c>
      <c r="E2837" s="1">
        <f t="shared" si="653"/>
        <v>0</v>
      </c>
      <c r="F2837" s="1">
        <f t="shared" si="653"/>
        <v>0</v>
      </c>
      <c r="G2837" s="1" t="str">
        <f t="shared" si="660"/>
        <v>24121419</v>
      </c>
      <c r="H2837" s="2">
        <v>45640</v>
      </c>
      <c r="I2837" s="36">
        <v>19</v>
      </c>
      <c r="J2837" s="1">
        <f t="shared" si="654"/>
        <v>19</v>
      </c>
      <c r="K2837" s="3">
        <f t="shared" si="655"/>
        <v>24</v>
      </c>
      <c r="L2837" s="3">
        <f t="shared" si="656"/>
        <v>12</v>
      </c>
      <c r="M2837" s="3">
        <f t="shared" si="657"/>
        <v>14</v>
      </c>
      <c r="N2837" s="3">
        <f t="shared" si="658"/>
        <v>12</v>
      </c>
      <c r="O2837" s="14">
        <f t="shared" si="658"/>
        <v>14</v>
      </c>
      <c r="U2837" s="3" t="s">
        <v>1</v>
      </c>
      <c r="V2837" s="3" t="s">
        <v>5</v>
      </c>
    </row>
    <row r="2838" spans="1:22">
      <c r="A2838" s="3">
        <v>2805</v>
      </c>
      <c r="B2838" s="1">
        <f t="shared" si="651"/>
        <v>0</v>
      </c>
      <c r="C2838" s="1">
        <f t="shared" si="652"/>
        <v>0</v>
      </c>
      <c r="D2838" s="1">
        <f t="shared" si="659"/>
        <v>1</v>
      </c>
      <c r="E2838" s="1">
        <f t="shared" si="653"/>
        <v>0</v>
      </c>
      <c r="F2838" s="1">
        <f t="shared" si="653"/>
        <v>0</v>
      </c>
      <c r="G2838" s="1" t="str">
        <f t="shared" si="660"/>
        <v>24121420</v>
      </c>
      <c r="H2838" s="2">
        <v>45640</v>
      </c>
      <c r="I2838" s="36">
        <v>20</v>
      </c>
      <c r="J2838" s="1">
        <f t="shared" si="654"/>
        <v>20</v>
      </c>
      <c r="K2838" s="3">
        <f t="shared" si="655"/>
        <v>24</v>
      </c>
      <c r="L2838" s="3">
        <f t="shared" si="656"/>
        <v>12</v>
      </c>
      <c r="M2838" s="3">
        <f t="shared" si="657"/>
        <v>14</v>
      </c>
      <c r="N2838" s="3">
        <f t="shared" si="658"/>
        <v>12</v>
      </c>
      <c r="O2838" s="14">
        <f t="shared" si="658"/>
        <v>14</v>
      </c>
      <c r="U2838" s="3" t="s">
        <v>1</v>
      </c>
      <c r="V2838" s="3" t="s">
        <v>5</v>
      </c>
    </row>
    <row r="2839" spans="1:22">
      <c r="A2839" s="3">
        <v>2806</v>
      </c>
      <c r="B2839" s="1">
        <f t="shared" si="651"/>
        <v>0</v>
      </c>
      <c r="C2839" s="1">
        <f t="shared" si="652"/>
        <v>0</v>
      </c>
      <c r="D2839" s="1">
        <f t="shared" si="659"/>
        <v>1</v>
      </c>
      <c r="E2839" s="1">
        <f t="shared" si="653"/>
        <v>0</v>
      </c>
      <c r="F2839" s="1">
        <f t="shared" si="653"/>
        <v>0</v>
      </c>
      <c r="G2839" s="1" t="str">
        <f t="shared" si="660"/>
        <v>24121421</v>
      </c>
      <c r="H2839" s="2">
        <v>45640</v>
      </c>
      <c r="I2839" s="36">
        <v>21</v>
      </c>
      <c r="J2839" s="1">
        <f t="shared" si="654"/>
        <v>21</v>
      </c>
      <c r="K2839" s="3">
        <f t="shared" si="655"/>
        <v>24</v>
      </c>
      <c r="L2839" s="3">
        <f t="shared" si="656"/>
        <v>12</v>
      </c>
      <c r="M2839" s="3">
        <f t="shared" si="657"/>
        <v>14</v>
      </c>
      <c r="N2839" s="3">
        <f t="shared" si="658"/>
        <v>12</v>
      </c>
      <c r="O2839" s="14">
        <f t="shared" si="658"/>
        <v>14</v>
      </c>
      <c r="U2839" s="3" t="s">
        <v>1</v>
      </c>
      <c r="V2839" s="3" t="s">
        <v>5</v>
      </c>
    </row>
    <row r="2840" spans="1:22">
      <c r="A2840" s="3">
        <v>2807</v>
      </c>
      <c r="B2840" s="1">
        <f t="shared" si="651"/>
        <v>0</v>
      </c>
      <c r="C2840" s="1">
        <f t="shared" si="652"/>
        <v>0</v>
      </c>
      <c r="D2840" s="1">
        <f t="shared" si="659"/>
        <v>1</v>
      </c>
      <c r="E2840" s="1">
        <f t="shared" si="653"/>
        <v>0</v>
      </c>
      <c r="F2840" s="1">
        <f t="shared" si="653"/>
        <v>0</v>
      </c>
      <c r="G2840" s="1" t="str">
        <f t="shared" si="660"/>
        <v>24121422</v>
      </c>
      <c r="H2840" s="2">
        <v>45640</v>
      </c>
      <c r="I2840" s="36">
        <v>22</v>
      </c>
      <c r="J2840" s="1">
        <f t="shared" si="654"/>
        <v>22</v>
      </c>
      <c r="K2840" s="3">
        <f t="shared" si="655"/>
        <v>24</v>
      </c>
      <c r="L2840" s="3">
        <f t="shared" si="656"/>
        <v>12</v>
      </c>
      <c r="M2840" s="3">
        <f t="shared" si="657"/>
        <v>14</v>
      </c>
      <c r="N2840" s="3">
        <f t="shared" si="658"/>
        <v>12</v>
      </c>
      <c r="O2840" s="14">
        <f t="shared" si="658"/>
        <v>14</v>
      </c>
      <c r="U2840" s="3" t="s">
        <v>1</v>
      </c>
      <c r="V2840" s="3" t="s">
        <v>5</v>
      </c>
    </row>
    <row r="2841" spans="1:22">
      <c r="A2841" s="3">
        <v>2808</v>
      </c>
      <c r="B2841" s="1">
        <f t="shared" si="651"/>
        <v>0</v>
      </c>
      <c r="C2841" s="1">
        <f t="shared" si="652"/>
        <v>0</v>
      </c>
      <c r="D2841" s="1">
        <f t="shared" si="659"/>
        <v>0</v>
      </c>
      <c r="E2841" s="1">
        <f t="shared" si="653"/>
        <v>0</v>
      </c>
      <c r="F2841" s="1">
        <f t="shared" si="653"/>
        <v>0</v>
      </c>
      <c r="G2841" s="1" t="str">
        <f t="shared" si="660"/>
        <v>24121423</v>
      </c>
      <c r="H2841" s="2">
        <v>45640</v>
      </c>
      <c r="I2841" s="36">
        <v>23</v>
      </c>
      <c r="J2841" s="1">
        <f t="shared" si="654"/>
        <v>23</v>
      </c>
      <c r="K2841" s="3">
        <f t="shared" si="655"/>
        <v>24</v>
      </c>
      <c r="L2841" s="3">
        <f t="shared" si="656"/>
        <v>12</v>
      </c>
      <c r="M2841" s="3">
        <f t="shared" si="657"/>
        <v>14</v>
      </c>
      <c r="N2841" s="3">
        <f t="shared" si="658"/>
        <v>12</v>
      </c>
      <c r="O2841" s="14">
        <f t="shared" si="658"/>
        <v>14</v>
      </c>
      <c r="P2841" s="4">
        <v>90000</v>
      </c>
      <c r="T2841" s="5" t="s">
        <v>1228</v>
      </c>
      <c r="U2841" s="3" t="s">
        <v>1</v>
      </c>
      <c r="V2841" s="3" t="s">
        <v>5</v>
      </c>
    </row>
    <row r="2842" spans="1:22">
      <c r="A2842" s="3">
        <v>2809</v>
      </c>
      <c r="B2842" s="1">
        <f t="shared" si="651"/>
        <v>0</v>
      </c>
      <c r="C2842" s="1">
        <f t="shared" si="652"/>
        <v>0</v>
      </c>
      <c r="D2842" s="1">
        <f t="shared" si="659"/>
        <v>0</v>
      </c>
      <c r="E2842" s="1">
        <f t="shared" si="653"/>
        <v>0</v>
      </c>
      <c r="F2842" s="1">
        <f t="shared" si="653"/>
        <v>0</v>
      </c>
      <c r="G2842" s="1" t="str">
        <f t="shared" si="660"/>
        <v>24121424</v>
      </c>
      <c r="H2842" s="2">
        <v>45640</v>
      </c>
      <c r="I2842" s="36">
        <v>24</v>
      </c>
      <c r="J2842" s="1">
        <f t="shared" si="654"/>
        <v>24</v>
      </c>
      <c r="K2842" s="3">
        <f t="shared" si="655"/>
        <v>24</v>
      </c>
      <c r="L2842" s="3">
        <f t="shared" si="656"/>
        <v>12</v>
      </c>
      <c r="M2842" s="3">
        <f t="shared" si="657"/>
        <v>14</v>
      </c>
      <c r="N2842" s="3">
        <f t="shared" si="658"/>
        <v>12</v>
      </c>
      <c r="O2842" s="14">
        <f t="shared" si="658"/>
        <v>14</v>
      </c>
      <c r="P2842" s="4">
        <v>50000</v>
      </c>
      <c r="T2842" s="5" t="s">
        <v>1229</v>
      </c>
      <c r="U2842" s="3" t="s">
        <v>1</v>
      </c>
      <c r="V2842" s="3" t="s">
        <v>5</v>
      </c>
    </row>
    <row r="2843" spans="1:22" hidden="1">
      <c r="J2843" s="1" t="str">
        <f t="shared" si="654"/>
        <v>0</v>
      </c>
      <c r="K2843" s="3">
        <f t="shared" si="655"/>
        <v>-100</v>
      </c>
      <c r="L2843" s="3">
        <f t="shared" si="656"/>
        <v>1</v>
      </c>
      <c r="M2843" s="3">
        <f t="shared" si="657"/>
        <v>0</v>
      </c>
      <c r="N2843" s="3" t="str">
        <f t="shared" si="658"/>
        <v>01</v>
      </c>
      <c r="O2843" s="14" t="str">
        <f t="shared" si="658"/>
        <v>00</v>
      </c>
    </row>
    <row r="2844" spans="1:22">
      <c r="A2844" s="3">
        <v>2885</v>
      </c>
      <c r="B2844" s="1">
        <f t="shared" si="651"/>
        <v>0</v>
      </c>
      <c r="C2844" s="1">
        <f t="shared" si="652"/>
        <v>1</v>
      </c>
      <c r="D2844" s="1">
        <f t="shared" si="659"/>
        <v>0</v>
      </c>
      <c r="E2844" s="1">
        <f t="shared" si="653"/>
        <v>0</v>
      </c>
      <c r="F2844" s="1">
        <f t="shared" si="653"/>
        <v>0</v>
      </c>
      <c r="G2844" s="1" t="str">
        <f t="shared" si="660"/>
        <v>24121426</v>
      </c>
      <c r="H2844" s="2">
        <v>45640</v>
      </c>
      <c r="I2844" s="36">
        <v>26</v>
      </c>
      <c r="J2844" s="1">
        <f t="shared" si="654"/>
        <v>26</v>
      </c>
      <c r="K2844" s="3">
        <f t="shared" si="655"/>
        <v>24</v>
      </c>
      <c r="L2844" s="3">
        <f t="shared" si="656"/>
        <v>12</v>
      </c>
      <c r="M2844" s="3">
        <f t="shared" si="657"/>
        <v>14</v>
      </c>
      <c r="N2844" s="3">
        <f t="shared" si="658"/>
        <v>12</v>
      </c>
      <c r="O2844" s="14">
        <f t="shared" si="658"/>
        <v>14</v>
      </c>
      <c r="P2844" s="4">
        <v>6080</v>
      </c>
      <c r="T2844" s="5" t="s">
        <v>824</v>
      </c>
      <c r="U2844" s="3" t="s">
        <v>29</v>
      </c>
      <c r="V2844" s="3" t="s">
        <v>5</v>
      </c>
    </row>
    <row r="2845" spans="1:22" hidden="1">
      <c r="J2845" s="1" t="str">
        <f t="shared" si="654"/>
        <v>0</v>
      </c>
      <c r="K2845" s="3">
        <f t="shared" si="655"/>
        <v>-100</v>
      </c>
      <c r="L2845" s="3">
        <f t="shared" si="656"/>
        <v>1</v>
      </c>
      <c r="M2845" s="3">
        <f t="shared" si="657"/>
        <v>0</v>
      </c>
      <c r="N2845" s="3" t="str">
        <f t="shared" si="658"/>
        <v>01</v>
      </c>
      <c r="O2845" s="14" t="str">
        <f t="shared" si="658"/>
        <v>00</v>
      </c>
    </row>
    <row r="2846" spans="1:22" hidden="1">
      <c r="J2846" s="1" t="str">
        <f t="shared" si="654"/>
        <v>0</v>
      </c>
      <c r="K2846" s="3">
        <f t="shared" si="655"/>
        <v>-100</v>
      </c>
      <c r="L2846" s="3">
        <f t="shared" si="656"/>
        <v>1</v>
      </c>
      <c r="M2846" s="3">
        <f t="shared" si="657"/>
        <v>0</v>
      </c>
      <c r="N2846" s="3" t="str">
        <f t="shared" si="658"/>
        <v>01</v>
      </c>
      <c r="O2846" s="14" t="str">
        <f t="shared" si="658"/>
        <v>00</v>
      </c>
    </row>
    <row r="2847" spans="1:22" hidden="1">
      <c r="J2847" s="1" t="str">
        <f t="shared" si="654"/>
        <v>0</v>
      </c>
      <c r="K2847" s="3">
        <f t="shared" si="655"/>
        <v>-100</v>
      </c>
      <c r="L2847" s="3">
        <f t="shared" si="656"/>
        <v>1</v>
      </c>
      <c r="M2847" s="3">
        <f t="shared" si="657"/>
        <v>0</v>
      </c>
      <c r="N2847" s="3" t="str">
        <f t="shared" si="658"/>
        <v>01</v>
      </c>
      <c r="O2847" s="14" t="str">
        <f t="shared" si="658"/>
        <v>00</v>
      </c>
    </row>
    <row r="2848" spans="1:22" hidden="1">
      <c r="J2848" s="1" t="str">
        <f t="shared" si="654"/>
        <v>0</v>
      </c>
      <c r="K2848" s="3">
        <f t="shared" si="655"/>
        <v>-100</v>
      </c>
      <c r="L2848" s="3">
        <f t="shared" si="656"/>
        <v>1</v>
      </c>
      <c r="M2848" s="3">
        <f t="shared" si="657"/>
        <v>0</v>
      </c>
      <c r="N2848" s="3" t="str">
        <f t="shared" si="658"/>
        <v>01</v>
      </c>
      <c r="O2848" s="14" t="str">
        <f t="shared" si="658"/>
        <v>00</v>
      </c>
    </row>
    <row r="2849" spans="1:23">
      <c r="A2849" s="3">
        <v>2814</v>
      </c>
      <c r="B2849" s="1">
        <f t="shared" si="651"/>
        <v>0</v>
      </c>
      <c r="C2849" s="1">
        <f t="shared" si="652"/>
        <v>0</v>
      </c>
      <c r="D2849" s="1">
        <f t="shared" si="659"/>
        <v>0</v>
      </c>
      <c r="E2849" s="1">
        <f t="shared" si="653"/>
        <v>0</v>
      </c>
      <c r="F2849" s="1">
        <f t="shared" si="653"/>
        <v>0</v>
      </c>
      <c r="G2849" s="1" t="str">
        <f t="shared" si="660"/>
        <v>24121601</v>
      </c>
      <c r="H2849" s="2">
        <v>45642</v>
      </c>
      <c r="I2849" s="36">
        <v>1</v>
      </c>
      <c r="J2849" s="1" t="str">
        <f t="shared" si="654"/>
        <v>01</v>
      </c>
      <c r="K2849" s="3">
        <f t="shared" si="655"/>
        <v>24</v>
      </c>
      <c r="L2849" s="3">
        <f t="shared" si="656"/>
        <v>12</v>
      </c>
      <c r="M2849" s="3">
        <f t="shared" si="657"/>
        <v>16</v>
      </c>
      <c r="N2849" s="3">
        <f t="shared" si="658"/>
        <v>12</v>
      </c>
      <c r="O2849" s="14">
        <f t="shared" si="658"/>
        <v>16</v>
      </c>
      <c r="P2849" s="4">
        <v>288283.24</v>
      </c>
      <c r="T2849" s="5" t="s">
        <v>1235</v>
      </c>
      <c r="U2849" s="3" t="s">
        <v>2</v>
      </c>
      <c r="V2849" s="3" t="s">
        <v>5</v>
      </c>
    </row>
    <row r="2850" spans="1:23">
      <c r="A2850" s="3">
        <v>2825</v>
      </c>
      <c r="B2850" s="1">
        <f t="shared" si="651"/>
        <v>0</v>
      </c>
      <c r="C2850" s="1">
        <f t="shared" si="652"/>
        <v>0</v>
      </c>
      <c r="D2850" s="1">
        <f t="shared" si="659"/>
        <v>0</v>
      </c>
      <c r="E2850" s="1">
        <f t="shared" si="653"/>
        <v>0</v>
      </c>
      <c r="F2850" s="1">
        <f t="shared" si="653"/>
        <v>0</v>
      </c>
      <c r="G2850" s="1" t="str">
        <f t="shared" si="660"/>
        <v>24121602</v>
      </c>
      <c r="H2850" s="2">
        <v>45642</v>
      </c>
      <c r="I2850" s="36">
        <v>2</v>
      </c>
      <c r="J2850" s="1" t="str">
        <f t="shared" si="654"/>
        <v>02</v>
      </c>
      <c r="K2850" s="3">
        <f t="shared" si="655"/>
        <v>24</v>
      </c>
      <c r="L2850" s="3">
        <f t="shared" si="656"/>
        <v>12</v>
      </c>
      <c r="M2850" s="3">
        <f t="shared" si="657"/>
        <v>16</v>
      </c>
      <c r="N2850" s="3">
        <f t="shared" si="658"/>
        <v>12</v>
      </c>
      <c r="O2850" s="14">
        <f t="shared" si="658"/>
        <v>16</v>
      </c>
      <c r="P2850" s="4">
        <v>30000</v>
      </c>
      <c r="T2850" s="5" t="s">
        <v>1240</v>
      </c>
      <c r="U2850" s="3" t="s">
        <v>29</v>
      </c>
      <c r="V2850" s="3" t="s">
        <v>5</v>
      </c>
      <c r="W2850" s="3" t="s">
        <v>1239</v>
      </c>
    </row>
    <row r="2851" spans="1:23" hidden="1">
      <c r="J2851" s="1" t="str">
        <f t="shared" si="654"/>
        <v>0</v>
      </c>
      <c r="K2851" s="3">
        <f t="shared" si="655"/>
        <v>-100</v>
      </c>
      <c r="L2851" s="3">
        <f t="shared" si="656"/>
        <v>1</v>
      </c>
      <c r="M2851" s="3">
        <f t="shared" si="657"/>
        <v>0</v>
      </c>
      <c r="N2851" s="3" t="str">
        <f t="shared" si="658"/>
        <v>01</v>
      </c>
      <c r="O2851" s="14" t="str">
        <f t="shared" si="658"/>
        <v>00</v>
      </c>
    </row>
    <row r="2852" spans="1:23">
      <c r="A2852" s="3">
        <v>2841</v>
      </c>
      <c r="B2852" s="1">
        <f t="shared" si="651"/>
        <v>0</v>
      </c>
      <c r="C2852" s="1">
        <f t="shared" si="652"/>
        <v>1</v>
      </c>
      <c r="D2852" s="1">
        <f t="shared" si="659"/>
        <v>0</v>
      </c>
      <c r="E2852" s="1">
        <f t="shared" si="653"/>
        <v>0</v>
      </c>
      <c r="F2852" s="1">
        <f t="shared" si="653"/>
        <v>0</v>
      </c>
      <c r="G2852" s="1" t="str">
        <f t="shared" si="660"/>
        <v>24121700</v>
      </c>
      <c r="H2852" s="2">
        <v>45643</v>
      </c>
      <c r="I2852" s="36">
        <v>0</v>
      </c>
      <c r="J2852" s="1" t="str">
        <f t="shared" si="654"/>
        <v>00</v>
      </c>
      <c r="K2852" s="3">
        <f t="shared" si="655"/>
        <v>24</v>
      </c>
      <c r="L2852" s="3">
        <f t="shared" si="656"/>
        <v>12</v>
      </c>
      <c r="M2852" s="3">
        <f t="shared" si="657"/>
        <v>17</v>
      </c>
      <c r="N2852" s="3">
        <f t="shared" si="658"/>
        <v>12</v>
      </c>
      <c r="O2852" s="14">
        <f t="shared" si="658"/>
        <v>17</v>
      </c>
      <c r="P2852" s="4">
        <f>1530*9</f>
        <v>13770</v>
      </c>
      <c r="T2852" s="5" t="s">
        <v>1258</v>
      </c>
      <c r="U2852" s="3" t="s">
        <v>1</v>
      </c>
      <c r="V2852" s="3" t="s">
        <v>5</v>
      </c>
    </row>
    <row r="2853" spans="1:23">
      <c r="A2853" s="3">
        <v>2829</v>
      </c>
      <c r="B2853" s="1">
        <f t="shared" si="651"/>
        <v>0</v>
      </c>
      <c r="C2853" s="1">
        <f t="shared" si="652"/>
        <v>0</v>
      </c>
      <c r="D2853" s="1">
        <f t="shared" si="659"/>
        <v>0</v>
      </c>
      <c r="E2853" s="1">
        <f t="shared" si="653"/>
        <v>0</v>
      </c>
      <c r="F2853" s="1">
        <f t="shared" si="653"/>
        <v>0</v>
      </c>
      <c r="G2853" s="1" t="str">
        <f t="shared" si="660"/>
        <v>24121701</v>
      </c>
      <c r="H2853" s="2">
        <v>45643</v>
      </c>
      <c r="I2853" s="36">
        <v>1</v>
      </c>
      <c r="J2853" s="1" t="str">
        <f t="shared" si="654"/>
        <v>01</v>
      </c>
      <c r="K2853" s="3">
        <f t="shared" si="655"/>
        <v>24</v>
      </c>
      <c r="L2853" s="3">
        <f t="shared" si="656"/>
        <v>12</v>
      </c>
      <c r="M2853" s="3">
        <f t="shared" si="657"/>
        <v>17</v>
      </c>
      <c r="N2853" s="3">
        <f t="shared" si="658"/>
        <v>12</v>
      </c>
      <c r="O2853" s="14">
        <f t="shared" si="658"/>
        <v>17</v>
      </c>
      <c r="P2853" s="4">
        <v>242466.67</v>
      </c>
      <c r="T2853" s="5" t="s">
        <v>1241</v>
      </c>
      <c r="U2853" s="3" t="s">
        <v>1</v>
      </c>
      <c r="V2853" s="3" t="s">
        <v>5</v>
      </c>
      <c r="W2853" s="3" t="s">
        <v>1242</v>
      </c>
    </row>
    <row r="2854" spans="1:23">
      <c r="A2854" s="3">
        <v>2830</v>
      </c>
      <c r="B2854" s="1">
        <f t="shared" si="651"/>
        <v>0</v>
      </c>
      <c r="C2854" s="1">
        <f t="shared" si="652"/>
        <v>0</v>
      </c>
      <c r="D2854" s="1">
        <f t="shared" si="659"/>
        <v>0</v>
      </c>
      <c r="E2854" s="1">
        <f t="shared" si="653"/>
        <v>0</v>
      </c>
      <c r="F2854" s="1">
        <f t="shared" si="653"/>
        <v>0</v>
      </c>
      <c r="G2854" s="1" t="str">
        <f t="shared" si="660"/>
        <v>24121702</v>
      </c>
      <c r="H2854" s="2">
        <v>45643</v>
      </c>
      <c r="I2854" s="36">
        <v>2</v>
      </c>
      <c r="J2854" s="1" t="str">
        <f t="shared" si="654"/>
        <v>02</v>
      </c>
      <c r="K2854" s="3">
        <f t="shared" si="655"/>
        <v>24</v>
      </c>
      <c r="L2854" s="3">
        <f t="shared" si="656"/>
        <v>12</v>
      </c>
      <c r="M2854" s="3">
        <f t="shared" si="657"/>
        <v>17</v>
      </c>
      <c r="N2854" s="3">
        <f t="shared" si="658"/>
        <v>12</v>
      </c>
      <c r="O2854" s="14">
        <f t="shared" si="658"/>
        <v>17</v>
      </c>
      <c r="P2854" s="4">
        <v>209000</v>
      </c>
      <c r="T2854" s="5" t="s">
        <v>1243</v>
      </c>
      <c r="U2854" s="3" t="s">
        <v>1</v>
      </c>
      <c r="V2854" s="3" t="s">
        <v>5</v>
      </c>
      <c r="W2854" s="3" t="s">
        <v>1244</v>
      </c>
    </row>
    <row r="2855" spans="1:23">
      <c r="A2855" s="3">
        <v>2831</v>
      </c>
      <c r="B2855" s="1">
        <f t="shared" si="651"/>
        <v>0</v>
      </c>
      <c r="C2855" s="1">
        <f t="shared" si="652"/>
        <v>0</v>
      </c>
      <c r="D2855" s="1">
        <f t="shared" si="659"/>
        <v>0</v>
      </c>
      <c r="E2855" s="1">
        <f t="shared" si="653"/>
        <v>0</v>
      </c>
      <c r="F2855" s="1">
        <f t="shared" si="653"/>
        <v>0</v>
      </c>
      <c r="G2855" s="1" t="str">
        <f t="shared" si="660"/>
        <v>24121703</v>
      </c>
      <c r="H2855" s="2">
        <v>45643</v>
      </c>
      <c r="I2855" s="36">
        <v>3</v>
      </c>
      <c r="J2855" s="1" t="str">
        <f t="shared" si="654"/>
        <v>03</v>
      </c>
      <c r="K2855" s="3">
        <f t="shared" si="655"/>
        <v>24</v>
      </c>
      <c r="L2855" s="3">
        <f t="shared" si="656"/>
        <v>12</v>
      </c>
      <c r="M2855" s="3">
        <f t="shared" si="657"/>
        <v>17</v>
      </c>
      <c r="N2855" s="3">
        <f t="shared" si="658"/>
        <v>12</v>
      </c>
      <c r="O2855" s="14">
        <f t="shared" si="658"/>
        <v>17</v>
      </c>
      <c r="P2855" s="4">
        <v>417133.33</v>
      </c>
      <c r="T2855" s="5" t="s">
        <v>1245</v>
      </c>
      <c r="U2855" s="3" t="s">
        <v>1</v>
      </c>
      <c r="V2855" s="3" t="s">
        <v>5</v>
      </c>
      <c r="W2855" s="3" t="s">
        <v>1246</v>
      </c>
    </row>
    <row r="2856" spans="1:23">
      <c r="A2856" s="3">
        <v>2832</v>
      </c>
      <c r="B2856" s="1">
        <f t="shared" si="651"/>
        <v>0</v>
      </c>
      <c r="C2856" s="1">
        <f t="shared" si="652"/>
        <v>0</v>
      </c>
      <c r="D2856" s="1">
        <f t="shared" si="659"/>
        <v>0</v>
      </c>
      <c r="E2856" s="1">
        <f t="shared" si="653"/>
        <v>0</v>
      </c>
      <c r="F2856" s="1">
        <f t="shared" si="653"/>
        <v>0</v>
      </c>
      <c r="G2856" s="1" t="str">
        <f t="shared" si="660"/>
        <v>24121704</v>
      </c>
      <c r="H2856" s="2">
        <v>45643</v>
      </c>
      <c r="I2856" s="36">
        <v>4</v>
      </c>
      <c r="J2856" s="1" t="str">
        <f t="shared" si="654"/>
        <v>04</v>
      </c>
      <c r="K2856" s="3">
        <f t="shared" si="655"/>
        <v>24</v>
      </c>
      <c r="L2856" s="3">
        <f t="shared" si="656"/>
        <v>12</v>
      </c>
      <c r="M2856" s="3">
        <f t="shared" si="657"/>
        <v>17</v>
      </c>
      <c r="N2856" s="3">
        <f t="shared" si="658"/>
        <v>12</v>
      </c>
      <c r="O2856" s="14">
        <f t="shared" si="658"/>
        <v>17</v>
      </c>
      <c r="P2856" s="4">
        <v>309966.67</v>
      </c>
      <c r="T2856" s="5" t="s">
        <v>1247</v>
      </c>
      <c r="U2856" s="3" t="s">
        <v>1</v>
      </c>
      <c r="V2856" s="3" t="s">
        <v>5</v>
      </c>
      <c r="W2856" s="3" t="s">
        <v>1249</v>
      </c>
    </row>
    <row r="2857" spans="1:23">
      <c r="A2857" s="3">
        <v>2833</v>
      </c>
      <c r="B2857" s="1">
        <f t="shared" si="651"/>
        <v>0</v>
      </c>
      <c r="C2857" s="1">
        <f t="shared" si="652"/>
        <v>0</v>
      </c>
      <c r="D2857" s="1">
        <f t="shared" si="659"/>
        <v>0</v>
      </c>
      <c r="E2857" s="1">
        <f t="shared" si="653"/>
        <v>0</v>
      </c>
      <c r="F2857" s="1">
        <f t="shared" si="653"/>
        <v>0</v>
      </c>
      <c r="G2857" s="1" t="str">
        <f t="shared" si="660"/>
        <v>24121705</v>
      </c>
      <c r="H2857" s="2">
        <v>45643</v>
      </c>
      <c r="I2857" s="36">
        <v>5</v>
      </c>
      <c r="J2857" s="1" t="str">
        <f t="shared" si="654"/>
        <v>05</v>
      </c>
      <c r="K2857" s="3">
        <f t="shared" si="655"/>
        <v>24</v>
      </c>
      <c r="L2857" s="3">
        <f t="shared" si="656"/>
        <v>12</v>
      </c>
      <c r="M2857" s="3">
        <f t="shared" si="657"/>
        <v>17</v>
      </c>
      <c r="N2857" s="3">
        <f t="shared" si="658"/>
        <v>12</v>
      </c>
      <c r="O2857" s="14">
        <f t="shared" si="658"/>
        <v>17</v>
      </c>
      <c r="P2857" s="4">
        <v>566916.67000000004</v>
      </c>
      <c r="T2857" s="5" t="s">
        <v>1248</v>
      </c>
      <c r="U2857" s="3" t="s">
        <v>1</v>
      </c>
      <c r="V2857" s="3" t="s">
        <v>5</v>
      </c>
      <c r="W2857" s="3" t="s">
        <v>1250</v>
      </c>
    </row>
    <row r="2858" spans="1:23">
      <c r="A2858" s="3">
        <v>2834</v>
      </c>
      <c r="B2858" s="1">
        <f t="shared" si="651"/>
        <v>0</v>
      </c>
      <c r="C2858" s="1">
        <f t="shared" si="652"/>
        <v>0</v>
      </c>
      <c r="D2858" s="1">
        <f t="shared" si="659"/>
        <v>1</v>
      </c>
      <c r="E2858" s="1">
        <f t="shared" si="653"/>
        <v>0</v>
      </c>
      <c r="F2858" s="1">
        <f t="shared" si="653"/>
        <v>0</v>
      </c>
      <c r="G2858" s="1" t="str">
        <f t="shared" si="660"/>
        <v>24121706</v>
      </c>
      <c r="H2858" s="2">
        <v>45643</v>
      </c>
      <c r="I2858" s="36">
        <v>6</v>
      </c>
      <c r="J2858" s="1" t="str">
        <f t="shared" si="654"/>
        <v>06</v>
      </c>
      <c r="K2858" s="3">
        <f t="shared" si="655"/>
        <v>24</v>
      </c>
      <c r="L2858" s="3">
        <f t="shared" si="656"/>
        <v>12</v>
      </c>
      <c r="M2858" s="3">
        <f t="shared" si="657"/>
        <v>17</v>
      </c>
      <c r="N2858" s="3">
        <f t="shared" si="658"/>
        <v>12</v>
      </c>
      <c r="O2858" s="14">
        <f t="shared" si="658"/>
        <v>17</v>
      </c>
      <c r="T2858" s="5" t="s">
        <v>1251</v>
      </c>
      <c r="U2858" s="3" t="s">
        <v>1</v>
      </c>
      <c r="V2858" s="3" t="s">
        <v>5</v>
      </c>
      <c r="W2858" s="3" t="s">
        <v>1252</v>
      </c>
    </row>
    <row r="2859" spans="1:23">
      <c r="A2859" s="3">
        <v>2835</v>
      </c>
      <c r="B2859" s="1">
        <f t="shared" ref="B2859:B2911" si="661">IF(G2859="-",0,IF(G2858=G2859,1,0))</f>
        <v>0</v>
      </c>
      <c r="C2859" s="1">
        <f t="shared" ref="C2859:C2911" si="662">+IF(G2859="-",0,IF(I2859=I2858+1,0,(IF(I2859=1,0,1))))</f>
        <v>0</v>
      </c>
      <c r="D2859" s="1">
        <f t="shared" si="659"/>
        <v>1</v>
      </c>
      <c r="E2859" s="1">
        <f t="shared" ref="E2859:F2911" si="663">IF(U2859="",1,0)</f>
        <v>0</v>
      </c>
      <c r="F2859" s="1">
        <f t="shared" si="663"/>
        <v>0</v>
      </c>
      <c r="G2859" s="1" t="str">
        <f t="shared" si="660"/>
        <v>24121707</v>
      </c>
      <c r="H2859" s="2">
        <v>45643</v>
      </c>
      <c r="I2859" s="36">
        <v>7</v>
      </c>
      <c r="J2859" s="1" t="str">
        <f t="shared" si="654"/>
        <v>07</v>
      </c>
      <c r="K2859" s="3">
        <f t="shared" si="655"/>
        <v>24</v>
      </c>
      <c r="L2859" s="3">
        <f t="shared" si="656"/>
        <v>12</v>
      </c>
      <c r="M2859" s="3">
        <f t="shared" si="657"/>
        <v>17</v>
      </c>
      <c r="N2859" s="3">
        <f t="shared" si="658"/>
        <v>12</v>
      </c>
      <c r="O2859" s="14">
        <f t="shared" si="658"/>
        <v>17</v>
      </c>
      <c r="T2859" s="5" t="s">
        <v>1253</v>
      </c>
      <c r="U2859" s="3" t="s">
        <v>1</v>
      </c>
      <c r="V2859" s="3" t="s">
        <v>5</v>
      </c>
    </row>
    <row r="2860" spans="1:23">
      <c r="A2860" s="3">
        <v>2836</v>
      </c>
      <c r="B2860" s="1">
        <f t="shared" si="661"/>
        <v>0</v>
      </c>
      <c r="C2860" s="1">
        <f t="shared" si="662"/>
        <v>0</v>
      </c>
      <c r="D2860" s="1">
        <f t="shared" si="659"/>
        <v>1</v>
      </c>
      <c r="E2860" s="1">
        <f t="shared" si="663"/>
        <v>0</v>
      </c>
      <c r="F2860" s="1">
        <f t="shared" si="663"/>
        <v>0</v>
      </c>
      <c r="G2860" s="1" t="str">
        <f t="shared" si="660"/>
        <v>24121708</v>
      </c>
      <c r="H2860" s="2">
        <v>45643</v>
      </c>
      <c r="I2860" s="36">
        <v>8</v>
      </c>
      <c r="J2860" s="1" t="str">
        <f t="shared" si="654"/>
        <v>08</v>
      </c>
      <c r="K2860" s="3">
        <f t="shared" si="655"/>
        <v>24</v>
      </c>
      <c r="L2860" s="3">
        <f t="shared" si="656"/>
        <v>12</v>
      </c>
      <c r="M2860" s="3">
        <f t="shared" si="657"/>
        <v>17</v>
      </c>
      <c r="N2860" s="3">
        <f t="shared" si="658"/>
        <v>12</v>
      </c>
      <c r="O2860" s="14">
        <f t="shared" si="658"/>
        <v>17</v>
      </c>
      <c r="T2860" s="5" t="s">
        <v>1254</v>
      </c>
      <c r="U2860" s="3" t="s">
        <v>1</v>
      </c>
      <c r="V2860" s="3" t="s">
        <v>5</v>
      </c>
    </row>
    <row r="2861" spans="1:23">
      <c r="A2861" s="3">
        <v>2837</v>
      </c>
      <c r="B2861" s="1">
        <f t="shared" si="661"/>
        <v>0</v>
      </c>
      <c r="C2861" s="1">
        <f t="shared" si="662"/>
        <v>0</v>
      </c>
      <c r="D2861" s="1">
        <f t="shared" si="659"/>
        <v>1</v>
      </c>
      <c r="E2861" s="1">
        <f t="shared" si="663"/>
        <v>0</v>
      </c>
      <c r="F2861" s="1">
        <f t="shared" si="663"/>
        <v>0</v>
      </c>
      <c r="G2861" s="1" t="str">
        <f t="shared" si="660"/>
        <v>24121709</v>
      </c>
      <c r="H2861" s="2">
        <v>45643</v>
      </c>
      <c r="I2861" s="36">
        <v>9</v>
      </c>
      <c r="J2861" s="1" t="str">
        <f t="shared" si="654"/>
        <v>09</v>
      </c>
      <c r="K2861" s="3">
        <f t="shared" si="655"/>
        <v>24</v>
      </c>
      <c r="L2861" s="3">
        <f t="shared" si="656"/>
        <v>12</v>
      </c>
      <c r="M2861" s="3">
        <f t="shared" si="657"/>
        <v>17</v>
      </c>
      <c r="N2861" s="3">
        <f t="shared" si="658"/>
        <v>12</v>
      </c>
      <c r="O2861" s="14">
        <f t="shared" si="658"/>
        <v>17</v>
      </c>
      <c r="T2861" s="5" t="s">
        <v>1255</v>
      </c>
      <c r="U2861" s="3" t="s">
        <v>1</v>
      </c>
      <c r="V2861" s="3" t="s">
        <v>5</v>
      </c>
    </row>
    <row r="2862" spans="1:23">
      <c r="A2862" s="3">
        <v>2838</v>
      </c>
      <c r="B2862" s="1">
        <f t="shared" si="661"/>
        <v>0</v>
      </c>
      <c r="C2862" s="1">
        <f t="shared" si="662"/>
        <v>0</v>
      </c>
      <c r="D2862" s="1">
        <f t="shared" si="659"/>
        <v>1</v>
      </c>
      <c r="E2862" s="1">
        <f t="shared" si="663"/>
        <v>0</v>
      </c>
      <c r="F2862" s="1">
        <f t="shared" si="663"/>
        <v>0</v>
      </c>
      <c r="G2862" s="1" t="str">
        <f t="shared" si="660"/>
        <v>24121710</v>
      </c>
      <c r="H2862" s="2">
        <v>45643</v>
      </c>
      <c r="I2862" s="36">
        <v>10</v>
      </c>
      <c r="J2862" s="1">
        <f t="shared" si="654"/>
        <v>10</v>
      </c>
      <c r="K2862" s="3">
        <f t="shared" si="655"/>
        <v>24</v>
      </c>
      <c r="L2862" s="3">
        <f t="shared" si="656"/>
        <v>12</v>
      </c>
      <c r="M2862" s="3">
        <f t="shared" si="657"/>
        <v>17</v>
      </c>
      <c r="N2862" s="3">
        <f t="shared" si="658"/>
        <v>12</v>
      </c>
      <c r="O2862" s="14">
        <f t="shared" si="658"/>
        <v>17</v>
      </c>
      <c r="T2862" s="5" t="s">
        <v>1256</v>
      </c>
      <c r="U2862" s="3" t="s">
        <v>1</v>
      </c>
      <c r="V2862" s="3" t="s">
        <v>5</v>
      </c>
    </row>
    <row r="2863" spans="1:23">
      <c r="A2863" s="3">
        <v>2839</v>
      </c>
      <c r="B2863" s="1">
        <f t="shared" si="661"/>
        <v>0</v>
      </c>
      <c r="C2863" s="1">
        <f t="shared" si="662"/>
        <v>0</v>
      </c>
      <c r="D2863" s="1">
        <f t="shared" si="659"/>
        <v>0</v>
      </c>
      <c r="E2863" s="1">
        <f t="shared" si="663"/>
        <v>0</v>
      </c>
      <c r="F2863" s="1">
        <f t="shared" si="663"/>
        <v>0</v>
      </c>
      <c r="G2863" s="1" t="str">
        <f t="shared" si="660"/>
        <v>24121711</v>
      </c>
      <c r="H2863" s="2">
        <v>45643</v>
      </c>
      <c r="I2863" s="36">
        <v>11</v>
      </c>
      <c r="J2863" s="1">
        <f t="shared" si="654"/>
        <v>11</v>
      </c>
      <c r="K2863" s="3">
        <f t="shared" si="655"/>
        <v>24</v>
      </c>
      <c r="L2863" s="3">
        <f t="shared" si="656"/>
        <v>12</v>
      </c>
      <c r="M2863" s="3">
        <f t="shared" si="657"/>
        <v>17</v>
      </c>
      <c r="N2863" s="3">
        <f t="shared" si="658"/>
        <v>12</v>
      </c>
      <c r="O2863" s="14">
        <f t="shared" si="658"/>
        <v>17</v>
      </c>
      <c r="P2863" s="4">
        <v>2517755.56</v>
      </c>
      <c r="T2863" s="5" t="s">
        <v>1257</v>
      </c>
      <c r="U2863" s="3" t="s">
        <v>1</v>
      </c>
      <c r="V2863" s="3" t="s">
        <v>5</v>
      </c>
    </row>
    <row r="2864" spans="1:23">
      <c r="A2864" s="3">
        <v>2840</v>
      </c>
      <c r="B2864" s="1">
        <f t="shared" si="661"/>
        <v>0</v>
      </c>
      <c r="C2864" s="1">
        <f t="shared" si="662"/>
        <v>0</v>
      </c>
      <c r="D2864" s="1">
        <f t="shared" si="659"/>
        <v>0</v>
      </c>
      <c r="E2864" s="1">
        <f t="shared" si="663"/>
        <v>0</v>
      </c>
      <c r="F2864" s="1">
        <f t="shared" si="663"/>
        <v>0</v>
      </c>
      <c r="G2864" s="1" t="str">
        <f t="shared" si="660"/>
        <v>24121712</v>
      </c>
      <c r="H2864" s="2">
        <v>45643</v>
      </c>
      <c r="I2864" s="36">
        <v>12</v>
      </c>
      <c r="J2864" s="1">
        <f t="shared" si="654"/>
        <v>12</v>
      </c>
      <c r="K2864" s="3">
        <f t="shared" si="655"/>
        <v>24</v>
      </c>
      <c r="L2864" s="3">
        <f t="shared" si="656"/>
        <v>12</v>
      </c>
      <c r="M2864" s="3">
        <f t="shared" si="657"/>
        <v>17</v>
      </c>
      <c r="N2864" s="3">
        <f t="shared" si="658"/>
        <v>12</v>
      </c>
      <c r="O2864" s="14">
        <f t="shared" si="658"/>
        <v>17</v>
      </c>
      <c r="P2864" s="4">
        <v>1256560</v>
      </c>
      <c r="T2864" s="5" t="s">
        <v>1275</v>
      </c>
      <c r="U2864" s="3" t="s">
        <v>1</v>
      </c>
      <c r="V2864" s="3" t="s">
        <v>5</v>
      </c>
    </row>
    <row r="2865" spans="1:23">
      <c r="A2865" s="3">
        <v>2842</v>
      </c>
      <c r="B2865" s="1">
        <f t="shared" si="661"/>
        <v>0</v>
      </c>
      <c r="C2865" s="1">
        <f t="shared" si="662"/>
        <v>0</v>
      </c>
      <c r="D2865" s="1">
        <f t="shared" si="659"/>
        <v>0</v>
      </c>
      <c r="E2865" s="1">
        <f t="shared" si="663"/>
        <v>0</v>
      </c>
      <c r="F2865" s="1">
        <f t="shared" si="663"/>
        <v>0</v>
      </c>
      <c r="G2865" s="1" t="str">
        <f t="shared" si="660"/>
        <v>24121713</v>
      </c>
      <c r="H2865" s="2">
        <v>45643</v>
      </c>
      <c r="I2865" s="36">
        <v>13</v>
      </c>
      <c r="J2865" s="1">
        <f t="shared" si="654"/>
        <v>13</v>
      </c>
      <c r="K2865" s="3">
        <f t="shared" si="655"/>
        <v>24</v>
      </c>
      <c r="L2865" s="3">
        <f t="shared" si="656"/>
        <v>12</v>
      </c>
      <c r="M2865" s="3">
        <f t="shared" si="657"/>
        <v>17</v>
      </c>
      <c r="N2865" s="3">
        <f t="shared" si="658"/>
        <v>12</v>
      </c>
      <c r="O2865" s="14">
        <f t="shared" si="658"/>
        <v>17</v>
      </c>
      <c r="P2865" s="4">
        <v>28406.41</v>
      </c>
      <c r="T2865" s="5" t="s">
        <v>1276</v>
      </c>
      <c r="U2865" s="3" t="s">
        <v>1</v>
      </c>
      <c r="V2865" s="3" t="s">
        <v>5</v>
      </c>
    </row>
    <row r="2866" spans="1:23">
      <c r="A2866" s="3">
        <v>2843</v>
      </c>
      <c r="B2866" s="1">
        <f t="shared" si="661"/>
        <v>0</v>
      </c>
      <c r="C2866" s="1">
        <f t="shared" si="662"/>
        <v>0</v>
      </c>
      <c r="D2866" s="1">
        <f t="shared" si="659"/>
        <v>0</v>
      </c>
      <c r="E2866" s="1">
        <f t="shared" si="663"/>
        <v>0</v>
      </c>
      <c r="F2866" s="1">
        <f t="shared" si="663"/>
        <v>0</v>
      </c>
      <c r="G2866" s="1" t="str">
        <f t="shared" si="660"/>
        <v>24121714</v>
      </c>
      <c r="H2866" s="2">
        <v>45643</v>
      </c>
      <c r="I2866" s="36">
        <v>14</v>
      </c>
      <c r="J2866" s="1">
        <f t="shared" si="654"/>
        <v>14</v>
      </c>
      <c r="K2866" s="3">
        <f t="shared" si="655"/>
        <v>24</v>
      </c>
      <c r="L2866" s="3">
        <f t="shared" si="656"/>
        <v>12</v>
      </c>
      <c r="M2866" s="3">
        <f t="shared" si="657"/>
        <v>17</v>
      </c>
      <c r="N2866" s="3">
        <f t="shared" si="658"/>
        <v>12</v>
      </c>
      <c r="O2866" s="14">
        <f t="shared" si="658"/>
        <v>17</v>
      </c>
      <c r="P2866" s="4">
        <v>1022975</v>
      </c>
      <c r="T2866" s="5" t="s">
        <v>1259</v>
      </c>
      <c r="U2866" s="3" t="s">
        <v>1</v>
      </c>
      <c r="V2866" s="3" t="s">
        <v>5</v>
      </c>
    </row>
    <row r="2867" spans="1:23" hidden="1">
      <c r="J2867" s="1" t="str">
        <f t="shared" si="654"/>
        <v>0</v>
      </c>
      <c r="K2867" s="3">
        <f t="shared" si="655"/>
        <v>-100</v>
      </c>
      <c r="L2867" s="3">
        <f t="shared" si="656"/>
        <v>1</v>
      </c>
      <c r="M2867" s="3">
        <f t="shared" si="657"/>
        <v>0</v>
      </c>
      <c r="N2867" s="3" t="str">
        <f t="shared" si="658"/>
        <v>01</v>
      </c>
      <c r="O2867" s="14" t="str">
        <f t="shared" si="658"/>
        <v>00</v>
      </c>
    </row>
    <row r="2868" spans="1:23" hidden="1">
      <c r="J2868" s="1" t="str">
        <f t="shared" si="654"/>
        <v>0</v>
      </c>
      <c r="K2868" s="3">
        <f t="shared" si="655"/>
        <v>-100</v>
      </c>
      <c r="L2868" s="3">
        <f t="shared" si="656"/>
        <v>1</v>
      </c>
      <c r="M2868" s="3">
        <f t="shared" si="657"/>
        <v>0</v>
      </c>
      <c r="N2868" s="3" t="str">
        <f t="shared" si="658"/>
        <v>01</v>
      </c>
      <c r="O2868" s="14" t="str">
        <f t="shared" si="658"/>
        <v>00</v>
      </c>
    </row>
    <row r="2869" spans="1:23">
      <c r="A2869" s="3">
        <v>2889</v>
      </c>
      <c r="B2869" s="1">
        <f t="shared" si="661"/>
        <v>0</v>
      </c>
      <c r="C2869" s="1">
        <f t="shared" si="662"/>
        <v>1</v>
      </c>
      <c r="D2869" s="1">
        <f t="shared" si="659"/>
        <v>0</v>
      </c>
      <c r="E2869" s="1">
        <f t="shared" si="663"/>
        <v>0</v>
      </c>
      <c r="F2869" s="1">
        <f t="shared" si="663"/>
        <v>0</v>
      </c>
      <c r="G2869" s="1" t="str">
        <f t="shared" si="660"/>
        <v>24121717</v>
      </c>
      <c r="H2869" s="2">
        <v>45643</v>
      </c>
      <c r="I2869" s="36">
        <v>17</v>
      </c>
      <c r="J2869" s="1">
        <f t="shared" si="654"/>
        <v>17</v>
      </c>
      <c r="K2869" s="3">
        <f t="shared" si="655"/>
        <v>24</v>
      </c>
      <c r="L2869" s="3">
        <f t="shared" si="656"/>
        <v>12</v>
      </c>
      <c r="M2869" s="3">
        <f t="shared" si="657"/>
        <v>17</v>
      </c>
      <c r="N2869" s="3">
        <f t="shared" si="658"/>
        <v>12</v>
      </c>
      <c r="O2869" s="14">
        <f t="shared" si="658"/>
        <v>17</v>
      </c>
      <c r="P2869" s="4">
        <v>52945.66</v>
      </c>
      <c r="T2869" s="5" t="s">
        <v>1277</v>
      </c>
      <c r="U2869" s="3" t="s">
        <v>29</v>
      </c>
      <c r="V2869" s="3" t="s">
        <v>5</v>
      </c>
    </row>
    <row r="2870" spans="1:23" hidden="1">
      <c r="J2870" s="1" t="str">
        <f t="shared" si="654"/>
        <v>0</v>
      </c>
      <c r="K2870" s="3">
        <f t="shared" si="655"/>
        <v>-100</v>
      </c>
      <c r="L2870" s="3">
        <f t="shared" si="656"/>
        <v>1</v>
      </c>
      <c r="M2870" s="3">
        <f t="shared" si="657"/>
        <v>0</v>
      </c>
      <c r="N2870" s="3" t="str">
        <f t="shared" si="658"/>
        <v>01</v>
      </c>
      <c r="O2870" s="14" t="str">
        <f t="shared" si="658"/>
        <v>00</v>
      </c>
    </row>
    <row r="2871" spans="1:23" hidden="1">
      <c r="J2871" s="1" t="str">
        <f t="shared" ref="J2871:J2934" si="664">+IF(I2871&lt;10,_xlfn.CONCAT("0",I2871),I2871)</f>
        <v>0</v>
      </c>
      <c r="K2871" s="3">
        <f t="shared" ref="K2871:K2934" si="665">+YEAR(H2871)-2000</f>
        <v>-100</v>
      </c>
      <c r="L2871" s="3">
        <f t="shared" ref="L2871:L2934" si="666">+MONTH(H2871)</f>
        <v>1</v>
      </c>
      <c r="M2871" s="3">
        <f t="shared" ref="M2871:M2934" si="667">+DAY(H2871)</f>
        <v>0</v>
      </c>
      <c r="N2871" s="3" t="str">
        <f t="shared" ref="N2871:O2934" si="668">+IF(L2871&lt;10,_xlfn.CONCAT("0",L2871),L2871)</f>
        <v>01</v>
      </c>
      <c r="O2871" s="14" t="str">
        <f t="shared" si="668"/>
        <v>00</v>
      </c>
    </row>
    <row r="2872" spans="1:23" hidden="1">
      <c r="J2872" s="1" t="str">
        <f t="shared" si="664"/>
        <v>0</v>
      </c>
      <c r="K2872" s="3">
        <f t="shared" si="665"/>
        <v>-100</v>
      </c>
      <c r="L2872" s="3">
        <f t="shared" si="666"/>
        <v>1</v>
      </c>
      <c r="M2872" s="3">
        <f t="shared" si="667"/>
        <v>0</v>
      </c>
      <c r="N2872" s="3" t="str">
        <f t="shared" si="668"/>
        <v>01</v>
      </c>
      <c r="O2872" s="14" t="str">
        <f t="shared" si="668"/>
        <v>00</v>
      </c>
    </row>
    <row r="2873" spans="1:23">
      <c r="A2873" s="3">
        <v>2846</v>
      </c>
      <c r="B2873" s="1">
        <f t="shared" si="661"/>
        <v>0</v>
      </c>
      <c r="C2873" s="1">
        <f t="shared" si="662"/>
        <v>0</v>
      </c>
      <c r="D2873" s="1">
        <f t="shared" ref="D2873:D2911" si="669">+IF(AND(P2873="",Q2873=""),1,0)</f>
        <v>0</v>
      </c>
      <c r="E2873" s="1">
        <f t="shared" si="663"/>
        <v>0</v>
      </c>
      <c r="F2873" s="1">
        <f t="shared" si="663"/>
        <v>0</v>
      </c>
      <c r="G2873" s="1" t="str">
        <f t="shared" ref="G2873:G2936" si="670">IF(H2873=0,"-",_xlfn.CONCAT(K2873,N2873,O2873,J2873))</f>
        <v>24121801</v>
      </c>
      <c r="H2873" s="2">
        <v>45644</v>
      </c>
      <c r="I2873" s="36">
        <v>1</v>
      </c>
      <c r="J2873" s="1" t="str">
        <f t="shared" si="664"/>
        <v>01</v>
      </c>
      <c r="K2873" s="3">
        <f t="shared" si="665"/>
        <v>24</v>
      </c>
      <c r="L2873" s="3">
        <f t="shared" si="666"/>
        <v>12</v>
      </c>
      <c r="M2873" s="3">
        <f t="shared" si="667"/>
        <v>18</v>
      </c>
      <c r="N2873" s="3">
        <f t="shared" si="668"/>
        <v>12</v>
      </c>
      <c r="O2873" s="14">
        <f t="shared" si="668"/>
        <v>18</v>
      </c>
      <c r="P2873" s="4">
        <v>491391.67</v>
      </c>
      <c r="T2873" s="5" t="s">
        <v>1260</v>
      </c>
      <c r="U2873" s="3" t="s">
        <v>1</v>
      </c>
      <c r="V2873" s="3" t="s">
        <v>5</v>
      </c>
      <c r="W2873" s="3" t="s">
        <v>1261</v>
      </c>
    </row>
    <row r="2874" spans="1:23">
      <c r="A2874" s="3">
        <v>2893</v>
      </c>
      <c r="B2874" s="1">
        <f t="shared" si="661"/>
        <v>0</v>
      </c>
      <c r="C2874" s="1">
        <f t="shared" si="662"/>
        <v>0</v>
      </c>
      <c r="D2874" s="1">
        <f t="shared" si="669"/>
        <v>0</v>
      </c>
      <c r="E2874" s="1">
        <f t="shared" si="663"/>
        <v>0</v>
      </c>
      <c r="F2874" s="1">
        <f t="shared" si="663"/>
        <v>0</v>
      </c>
      <c r="G2874" s="1" t="str">
        <f t="shared" si="670"/>
        <v>24121802</v>
      </c>
      <c r="H2874" s="2">
        <v>45644</v>
      </c>
      <c r="I2874" s="36">
        <v>2</v>
      </c>
      <c r="J2874" s="1" t="str">
        <f t="shared" si="664"/>
        <v>02</v>
      </c>
      <c r="K2874" s="3">
        <f t="shared" si="665"/>
        <v>24</v>
      </c>
      <c r="L2874" s="3">
        <f t="shared" si="666"/>
        <v>12</v>
      </c>
      <c r="M2874" s="3">
        <f t="shared" si="667"/>
        <v>18</v>
      </c>
      <c r="N2874" s="3">
        <f t="shared" si="668"/>
        <v>12</v>
      </c>
      <c r="O2874" s="14">
        <f t="shared" si="668"/>
        <v>18</v>
      </c>
      <c r="P2874" s="4">
        <v>60506.43</v>
      </c>
      <c r="T2874" s="5" t="s">
        <v>1278</v>
      </c>
      <c r="U2874" s="3" t="s">
        <v>29</v>
      </c>
      <c r="V2874" s="3" t="s">
        <v>5</v>
      </c>
    </row>
    <row r="2875" spans="1:23" hidden="1">
      <c r="J2875" s="1" t="str">
        <f t="shared" si="664"/>
        <v>0</v>
      </c>
      <c r="K2875" s="3">
        <f t="shared" si="665"/>
        <v>-100</v>
      </c>
      <c r="L2875" s="3">
        <f t="shared" si="666"/>
        <v>1</v>
      </c>
      <c r="M2875" s="3">
        <f t="shared" si="667"/>
        <v>0</v>
      </c>
      <c r="N2875" s="3" t="str">
        <f t="shared" si="668"/>
        <v>01</v>
      </c>
      <c r="O2875" s="14" t="str">
        <f t="shared" si="668"/>
        <v>00</v>
      </c>
    </row>
    <row r="2876" spans="1:23" hidden="1">
      <c r="J2876" s="1" t="str">
        <f t="shared" si="664"/>
        <v>0</v>
      </c>
      <c r="K2876" s="3">
        <f t="shared" si="665"/>
        <v>-100</v>
      </c>
      <c r="L2876" s="3">
        <f t="shared" si="666"/>
        <v>1</v>
      </c>
      <c r="M2876" s="3">
        <f t="shared" si="667"/>
        <v>0</v>
      </c>
      <c r="N2876" s="3" t="str">
        <f t="shared" si="668"/>
        <v>01</v>
      </c>
      <c r="O2876" s="14" t="str">
        <f t="shared" si="668"/>
        <v>00</v>
      </c>
    </row>
    <row r="2877" spans="1:23" hidden="1">
      <c r="J2877" s="1" t="str">
        <f t="shared" si="664"/>
        <v>0</v>
      </c>
      <c r="K2877" s="3">
        <f t="shared" si="665"/>
        <v>-100</v>
      </c>
      <c r="L2877" s="3">
        <f t="shared" si="666"/>
        <v>1</v>
      </c>
      <c r="M2877" s="3">
        <f t="shared" si="667"/>
        <v>0</v>
      </c>
      <c r="N2877" s="3" t="str">
        <f t="shared" si="668"/>
        <v>01</v>
      </c>
      <c r="O2877" s="14" t="str">
        <f t="shared" si="668"/>
        <v>00</v>
      </c>
    </row>
    <row r="2878" spans="1:23" hidden="1">
      <c r="J2878" s="1" t="str">
        <f t="shared" si="664"/>
        <v>0</v>
      </c>
      <c r="K2878" s="3">
        <f t="shared" si="665"/>
        <v>-100</v>
      </c>
      <c r="L2878" s="3">
        <f t="shared" si="666"/>
        <v>1</v>
      </c>
      <c r="M2878" s="3">
        <f t="shared" si="667"/>
        <v>0</v>
      </c>
      <c r="N2878" s="3" t="str">
        <f t="shared" si="668"/>
        <v>01</v>
      </c>
      <c r="O2878" s="14" t="str">
        <f t="shared" si="668"/>
        <v>00</v>
      </c>
    </row>
    <row r="2879" spans="1:23" hidden="1">
      <c r="J2879" s="1" t="str">
        <f t="shared" si="664"/>
        <v>0</v>
      </c>
      <c r="K2879" s="3">
        <f t="shared" si="665"/>
        <v>-100</v>
      </c>
      <c r="L2879" s="3">
        <f t="shared" si="666"/>
        <v>1</v>
      </c>
      <c r="M2879" s="3">
        <f t="shared" si="667"/>
        <v>0</v>
      </c>
      <c r="N2879" s="3" t="str">
        <f t="shared" si="668"/>
        <v>01</v>
      </c>
      <c r="O2879" s="14" t="str">
        <f t="shared" si="668"/>
        <v>00</v>
      </c>
    </row>
    <row r="2880" spans="1:23" hidden="1">
      <c r="J2880" s="1" t="str">
        <f t="shared" si="664"/>
        <v>0</v>
      </c>
      <c r="K2880" s="3">
        <f t="shared" si="665"/>
        <v>-100</v>
      </c>
      <c r="L2880" s="3">
        <f t="shared" si="666"/>
        <v>1</v>
      </c>
      <c r="M2880" s="3">
        <f t="shared" si="667"/>
        <v>0</v>
      </c>
      <c r="N2880" s="3" t="str">
        <f t="shared" si="668"/>
        <v>01</v>
      </c>
      <c r="O2880" s="14" t="str">
        <f t="shared" si="668"/>
        <v>00</v>
      </c>
    </row>
    <row r="2881" spans="1:22" hidden="1">
      <c r="J2881" s="1" t="str">
        <f t="shared" si="664"/>
        <v>0</v>
      </c>
      <c r="K2881" s="3">
        <f t="shared" si="665"/>
        <v>-100</v>
      </c>
      <c r="L2881" s="3">
        <f t="shared" si="666"/>
        <v>1</v>
      </c>
      <c r="M2881" s="3">
        <f t="shared" si="667"/>
        <v>0</v>
      </c>
      <c r="N2881" s="3" t="str">
        <f t="shared" si="668"/>
        <v>01</v>
      </c>
      <c r="O2881" s="14" t="str">
        <f t="shared" si="668"/>
        <v>00</v>
      </c>
    </row>
    <row r="2882" spans="1:22" hidden="1">
      <c r="J2882" s="1" t="str">
        <f t="shared" si="664"/>
        <v>0</v>
      </c>
      <c r="K2882" s="3">
        <f t="shared" si="665"/>
        <v>-100</v>
      </c>
      <c r="L2882" s="3">
        <f t="shared" si="666"/>
        <v>1</v>
      </c>
      <c r="M2882" s="3">
        <f t="shared" si="667"/>
        <v>0</v>
      </c>
      <c r="N2882" s="3" t="str">
        <f t="shared" si="668"/>
        <v>01</v>
      </c>
      <c r="O2882" s="14" t="str">
        <f t="shared" si="668"/>
        <v>00</v>
      </c>
    </row>
    <row r="2883" spans="1:22" hidden="1">
      <c r="J2883" s="1" t="str">
        <f t="shared" si="664"/>
        <v>0</v>
      </c>
      <c r="K2883" s="3">
        <f t="shared" si="665"/>
        <v>-100</v>
      </c>
      <c r="L2883" s="3">
        <f t="shared" si="666"/>
        <v>1</v>
      </c>
      <c r="M2883" s="3">
        <f t="shared" si="667"/>
        <v>0</v>
      </c>
      <c r="N2883" s="3" t="str">
        <f t="shared" si="668"/>
        <v>01</v>
      </c>
      <c r="O2883" s="14" t="str">
        <f t="shared" si="668"/>
        <v>00</v>
      </c>
    </row>
    <row r="2884" spans="1:22">
      <c r="A2884" s="3">
        <v>2847</v>
      </c>
      <c r="B2884" s="1">
        <f t="shared" si="661"/>
        <v>0</v>
      </c>
      <c r="C2884" s="1">
        <f t="shared" si="662"/>
        <v>0</v>
      </c>
      <c r="D2884" s="1">
        <f t="shared" si="669"/>
        <v>0</v>
      </c>
      <c r="E2884" s="1">
        <f t="shared" si="663"/>
        <v>0</v>
      </c>
      <c r="F2884" s="1">
        <f t="shared" si="663"/>
        <v>0</v>
      </c>
      <c r="G2884" s="1" t="str">
        <f t="shared" si="670"/>
        <v>24121901</v>
      </c>
      <c r="H2884" s="2">
        <v>45645</v>
      </c>
      <c r="I2884" s="36">
        <v>1</v>
      </c>
      <c r="J2884" s="1" t="str">
        <f t="shared" si="664"/>
        <v>01</v>
      </c>
      <c r="K2884" s="3">
        <f t="shared" si="665"/>
        <v>24</v>
      </c>
      <c r="L2884" s="3">
        <f t="shared" si="666"/>
        <v>12</v>
      </c>
      <c r="M2884" s="3">
        <f t="shared" si="667"/>
        <v>19</v>
      </c>
      <c r="N2884" s="3">
        <f t="shared" si="668"/>
        <v>12</v>
      </c>
      <c r="O2884" s="14">
        <f t="shared" si="668"/>
        <v>19</v>
      </c>
      <c r="Q2884" s="5">
        <v>202.64</v>
      </c>
      <c r="T2884" s="5" t="s">
        <v>1262</v>
      </c>
      <c r="U2884" s="3" t="s">
        <v>2</v>
      </c>
      <c r="V2884" s="3" t="s">
        <v>5</v>
      </c>
    </row>
    <row r="2885" spans="1:22">
      <c r="A2885" s="3">
        <v>2848</v>
      </c>
      <c r="B2885" s="1">
        <f t="shared" si="661"/>
        <v>0</v>
      </c>
      <c r="C2885" s="1">
        <f t="shared" si="662"/>
        <v>0</v>
      </c>
      <c r="D2885" s="1">
        <f t="shared" si="669"/>
        <v>0</v>
      </c>
      <c r="E2885" s="1">
        <f t="shared" si="663"/>
        <v>0</v>
      </c>
      <c r="F2885" s="1">
        <f t="shared" si="663"/>
        <v>0</v>
      </c>
      <c r="G2885" s="1" t="str">
        <f t="shared" si="670"/>
        <v>24121902</v>
      </c>
      <c r="H2885" s="2">
        <v>45645</v>
      </c>
      <c r="I2885" s="36">
        <v>2</v>
      </c>
      <c r="J2885" s="1" t="str">
        <f t="shared" si="664"/>
        <v>02</v>
      </c>
      <c r="K2885" s="3">
        <f t="shared" si="665"/>
        <v>24</v>
      </c>
      <c r="L2885" s="3">
        <f t="shared" si="666"/>
        <v>12</v>
      </c>
      <c r="M2885" s="3">
        <f t="shared" si="667"/>
        <v>19</v>
      </c>
      <c r="N2885" s="3">
        <f t="shared" si="668"/>
        <v>12</v>
      </c>
      <c r="O2885" s="14">
        <f t="shared" si="668"/>
        <v>19</v>
      </c>
      <c r="Q2885" s="5">
        <v>350.3</v>
      </c>
      <c r="T2885" s="5" t="s">
        <v>1263</v>
      </c>
      <c r="U2885" s="3" t="s">
        <v>2</v>
      </c>
      <c r="V2885" s="3" t="s">
        <v>5</v>
      </c>
    </row>
    <row r="2886" spans="1:22">
      <c r="A2886" s="3">
        <v>2849</v>
      </c>
      <c r="B2886" s="1">
        <f t="shared" si="661"/>
        <v>0</v>
      </c>
      <c r="C2886" s="1">
        <f t="shared" si="662"/>
        <v>0</v>
      </c>
      <c r="D2886" s="1">
        <f t="shared" si="669"/>
        <v>0</v>
      </c>
      <c r="E2886" s="1">
        <f t="shared" si="663"/>
        <v>0</v>
      </c>
      <c r="F2886" s="1">
        <f t="shared" si="663"/>
        <v>0</v>
      </c>
      <c r="G2886" s="1" t="str">
        <f t="shared" si="670"/>
        <v>24121903</v>
      </c>
      <c r="H2886" s="2">
        <v>45645</v>
      </c>
      <c r="I2886" s="36">
        <v>3</v>
      </c>
      <c r="J2886" s="1" t="str">
        <f t="shared" si="664"/>
        <v>03</v>
      </c>
      <c r="K2886" s="3">
        <f t="shared" si="665"/>
        <v>24</v>
      </c>
      <c r="L2886" s="3">
        <f t="shared" si="666"/>
        <v>12</v>
      </c>
      <c r="M2886" s="3">
        <f t="shared" si="667"/>
        <v>19</v>
      </c>
      <c r="N2886" s="3">
        <f t="shared" si="668"/>
        <v>12</v>
      </c>
      <c r="O2886" s="14">
        <f t="shared" si="668"/>
        <v>19</v>
      </c>
      <c r="P2886" s="4">
        <v>229346.15</v>
      </c>
      <c r="T2886" s="5" t="s">
        <v>1264</v>
      </c>
      <c r="U2886" s="3" t="s">
        <v>2</v>
      </c>
      <c r="V2886" s="3" t="s">
        <v>5</v>
      </c>
    </row>
    <row r="2887" spans="1:22">
      <c r="A2887" s="3">
        <v>2850</v>
      </c>
      <c r="B2887" s="1">
        <f t="shared" si="661"/>
        <v>0</v>
      </c>
      <c r="C2887" s="1">
        <f t="shared" si="662"/>
        <v>0</v>
      </c>
      <c r="D2887" s="1">
        <f t="shared" si="669"/>
        <v>0</v>
      </c>
      <c r="E2887" s="1">
        <f t="shared" si="663"/>
        <v>0</v>
      </c>
      <c r="F2887" s="1">
        <f t="shared" si="663"/>
        <v>0</v>
      </c>
      <c r="G2887" s="1" t="str">
        <f t="shared" si="670"/>
        <v>24121904</v>
      </c>
      <c r="H2887" s="2">
        <v>45645</v>
      </c>
      <c r="I2887" s="36">
        <v>4</v>
      </c>
      <c r="J2887" s="1" t="str">
        <f t="shared" si="664"/>
        <v>04</v>
      </c>
      <c r="K2887" s="3">
        <f t="shared" si="665"/>
        <v>24</v>
      </c>
      <c r="L2887" s="3">
        <f t="shared" si="666"/>
        <v>12</v>
      </c>
      <c r="M2887" s="3">
        <f t="shared" si="667"/>
        <v>19</v>
      </c>
      <c r="N2887" s="3">
        <f t="shared" si="668"/>
        <v>12</v>
      </c>
      <c r="O2887" s="14">
        <f t="shared" si="668"/>
        <v>19</v>
      </c>
      <c r="P2887" s="4">
        <v>163849.35999999999</v>
      </c>
      <c r="T2887" s="5" t="s">
        <v>1265</v>
      </c>
      <c r="U2887" s="3" t="s">
        <v>2</v>
      </c>
      <c r="V2887" s="3" t="s">
        <v>5</v>
      </c>
    </row>
    <row r="2888" spans="1:22" hidden="1">
      <c r="J2888" s="1" t="str">
        <f t="shared" si="664"/>
        <v>0</v>
      </c>
      <c r="K2888" s="3">
        <f t="shared" si="665"/>
        <v>-100</v>
      </c>
      <c r="L2888" s="3">
        <f t="shared" si="666"/>
        <v>1</v>
      </c>
      <c r="M2888" s="3">
        <f t="shared" si="667"/>
        <v>0</v>
      </c>
      <c r="N2888" s="3" t="str">
        <f t="shared" si="668"/>
        <v>01</v>
      </c>
      <c r="O2888" s="14" t="str">
        <f t="shared" si="668"/>
        <v>00</v>
      </c>
    </row>
    <row r="2889" spans="1:22" hidden="1">
      <c r="J2889" s="1" t="str">
        <f t="shared" si="664"/>
        <v>0</v>
      </c>
      <c r="K2889" s="3">
        <f t="shared" si="665"/>
        <v>-100</v>
      </c>
      <c r="L2889" s="3">
        <f t="shared" si="666"/>
        <v>1</v>
      </c>
      <c r="M2889" s="3">
        <f t="shared" si="667"/>
        <v>0</v>
      </c>
      <c r="N2889" s="3" t="str">
        <f t="shared" si="668"/>
        <v>01</v>
      </c>
      <c r="O2889" s="14" t="str">
        <f t="shared" si="668"/>
        <v>00</v>
      </c>
    </row>
    <row r="2890" spans="1:22" hidden="1">
      <c r="J2890" s="1" t="str">
        <f t="shared" si="664"/>
        <v>0</v>
      </c>
      <c r="K2890" s="3">
        <f t="shared" si="665"/>
        <v>-100</v>
      </c>
      <c r="L2890" s="3">
        <f t="shared" si="666"/>
        <v>1</v>
      </c>
      <c r="M2890" s="3">
        <f t="shared" si="667"/>
        <v>0</v>
      </c>
      <c r="N2890" s="3" t="str">
        <f t="shared" si="668"/>
        <v>01</v>
      </c>
      <c r="O2890" s="14" t="str">
        <f t="shared" si="668"/>
        <v>00</v>
      </c>
    </row>
    <row r="2891" spans="1:22">
      <c r="A2891" s="3">
        <v>2903</v>
      </c>
      <c r="B2891" s="1">
        <f t="shared" si="661"/>
        <v>0</v>
      </c>
      <c r="C2891" s="1">
        <f t="shared" si="662"/>
        <v>1</v>
      </c>
      <c r="D2891" s="1">
        <f t="shared" si="669"/>
        <v>0</v>
      </c>
      <c r="E2891" s="1">
        <f t="shared" si="663"/>
        <v>0</v>
      </c>
      <c r="F2891" s="1">
        <f t="shared" si="663"/>
        <v>0</v>
      </c>
      <c r="G2891" s="1" t="str">
        <f t="shared" si="670"/>
        <v>24121908</v>
      </c>
      <c r="H2891" s="2">
        <v>45645</v>
      </c>
      <c r="I2891" s="36">
        <v>8</v>
      </c>
      <c r="J2891" s="1" t="str">
        <f t="shared" si="664"/>
        <v>08</v>
      </c>
      <c r="K2891" s="3">
        <f t="shared" si="665"/>
        <v>24</v>
      </c>
      <c r="L2891" s="3">
        <f t="shared" si="666"/>
        <v>12</v>
      </c>
      <c r="M2891" s="3">
        <f t="shared" si="667"/>
        <v>19</v>
      </c>
      <c r="N2891" s="3">
        <f t="shared" si="668"/>
        <v>12</v>
      </c>
      <c r="O2891" s="14">
        <f t="shared" si="668"/>
        <v>19</v>
      </c>
      <c r="Q2891" s="5">
        <v>202.64</v>
      </c>
      <c r="T2891" s="5" t="s">
        <v>1279</v>
      </c>
      <c r="U2891" s="3" t="s">
        <v>1</v>
      </c>
      <c r="V2891" s="3" t="s">
        <v>5</v>
      </c>
    </row>
    <row r="2892" spans="1:22" hidden="1">
      <c r="J2892" s="1" t="str">
        <f t="shared" si="664"/>
        <v>0</v>
      </c>
      <c r="K2892" s="3">
        <f t="shared" si="665"/>
        <v>-100</v>
      </c>
      <c r="L2892" s="3">
        <f t="shared" si="666"/>
        <v>1</v>
      </c>
      <c r="M2892" s="3">
        <f t="shared" si="667"/>
        <v>0</v>
      </c>
      <c r="N2892" s="3" t="str">
        <f t="shared" si="668"/>
        <v>01</v>
      </c>
      <c r="O2892" s="14" t="str">
        <f t="shared" si="668"/>
        <v>00</v>
      </c>
    </row>
    <row r="2893" spans="1:22">
      <c r="A2893" s="3">
        <v>2905</v>
      </c>
      <c r="B2893" s="1">
        <f t="shared" si="661"/>
        <v>0</v>
      </c>
      <c r="C2893" s="1">
        <f t="shared" si="662"/>
        <v>1</v>
      </c>
      <c r="D2893" s="1">
        <f t="shared" si="669"/>
        <v>0</v>
      </c>
      <c r="E2893" s="1">
        <f t="shared" si="663"/>
        <v>0</v>
      </c>
      <c r="F2893" s="1">
        <f t="shared" si="663"/>
        <v>0</v>
      </c>
      <c r="G2893" s="1" t="str">
        <f t="shared" si="670"/>
        <v>24121910</v>
      </c>
      <c r="H2893" s="2">
        <v>45645</v>
      </c>
      <c r="I2893" s="36">
        <v>10</v>
      </c>
      <c r="J2893" s="1">
        <f t="shared" si="664"/>
        <v>10</v>
      </c>
      <c r="K2893" s="3">
        <f t="shared" si="665"/>
        <v>24</v>
      </c>
      <c r="L2893" s="3">
        <f t="shared" si="666"/>
        <v>12</v>
      </c>
      <c r="M2893" s="3">
        <f t="shared" si="667"/>
        <v>19</v>
      </c>
      <c r="N2893" s="3">
        <f t="shared" si="668"/>
        <v>12</v>
      </c>
      <c r="O2893" s="14">
        <f t="shared" si="668"/>
        <v>19</v>
      </c>
      <c r="Q2893" s="5">
        <v>350.3</v>
      </c>
      <c r="T2893" s="5" t="s">
        <v>1281</v>
      </c>
      <c r="U2893" s="3" t="s">
        <v>2</v>
      </c>
      <c r="V2893" s="3" t="s">
        <v>5</v>
      </c>
    </row>
    <row r="2894" spans="1:22">
      <c r="A2894" s="3">
        <v>2906</v>
      </c>
      <c r="B2894" s="1">
        <f t="shared" si="661"/>
        <v>0</v>
      </c>
      <c r="C2894" s="1">
        <f t="shared" si="662"/>
        <v>0</v>
      </c>
      <c r="D2894" s="1">
        <f t="shared" si="669"/>
        <v>0</v>
      </c>
      <c r="E2894" s="1">
        <f t="shared" si="663"/>
        <v>0</v>
      </c>
      <c r="F2894" s="1">
        <f t="shared" si="663"/>
        <v>0</v>
      </c>
      <c r="G2894" s="1" t="str">
        <f t="shared" si="670"/>
        <v>24121911</v>
      </c>
      <c r="H2894" s="2">
        <v>45645</v>
      </c>
      <c r="I2894" s="36">
        <v>11</v>
      </c>
      <c r="J2894" s="1">
        <f t="shared" si="664"/>
        <v>11</v>
      </c>
      <c r="K2894" s="3">
        <f t="shared" si="665"/>
        <v>24</v>
      </c>
      <c r="L2894" s="3">
        <f t="shared" si="666"/>
        <v>12</v>
      </c>
      <c r="M2894" s="3">
        <f t="shared" si="667"/>
        <v>19</v>
      </c>
      <c r="N2894" s="3">
        <f t="shared" si="668"/>
        <v>12</v>
      </c>
      <c r="O2894" s="14">
        <f t="shared" si="668"/>
        <v>19</v>
      </c>
      <c r="P2894" s="4">
        <v>24655.82</v>
      </c>
      <c r="T2894" s="5" t="s">
        <v>1282</v>
      </c>
      <c r="U2894" s="3" t="s">
        <v>29</v>
      </c>
      <c r="V2894" s="3" t="s">
        <v>5</v>
      </c>
    </row>
    <row r="2895" spans="1:22" hidden="1">
      <c r="J2895" s="1" t="str">
        <f t="shared" si="664"/>
        <v>0</v>
      </c>
      <c r="K2895" s="3">
        <f t="shared" si="665"/>
        <v>-100</v>
      </c>
      <c r="L2895" s="3">
        <f t="shared" si="666"/>
        <v>1</v>
      </c>
      <c r="M2895" s="3">
        <f t="shared" si="667"/>
        <v>0</v>
      </c>
      <c r="N2895" s="3" t="str">
        <f t="shared" si="668"/>
        <v>01</v>
      </c>
      <c r="O2895" s="14" t="str">
        <f t="shared" si="668"/>
        <v>00</v>
      </c>
    </row>
    <row r="2896" spans="1:22" hidden="1">
      <c r="J2896" s="1" t="str">
        <f t="shared" si="664"/>
        <v>0</v>
      </c>
      <c r="K2896" s="3">
        <f t="shared" si="665"/>
        <v>-100</v>
      </c>
      <c r="L2896" s="3">
        <f t="shared" si="666"/>
        <v>1</v>
      </c>
      <c r="M2896" s="3">
        <f t="shared" si="667"/>
        <v>0</v>
      </c>
      <c r="N2896" s="3" t="str">
        <f t="shared" si="668"/>
        <v>01</v>
      </c>
      <c r="O2896" s="14" t="str">
        <f t="shared" si="668"/>
        <v>00</v>
      </c>
    </row>
    <row r="2897" spans="1:22" hidden="1">
      <c r="J2897" s="1" t="str">
        <f t="shared" si="664"/>
        <v>0</v>
      </c>
      <c r="K2897" s="3">
        <f t="shared" si="665"/>
        <v>-100</v>
      </c>
      <c r="L2897" s="3">
        <f t="shared" si="666"/>
        <v>1</v>
      </c>
      <c r="M2897" s="3">
        <f t="shared" si="667"/>
        <v>0</v>
      </c>
      <c r="N2897" s="3" t="str">
        <f t="shared" si="668"/>
        <v>01</v>
      </c>
      <c r="O2897" s="14" t="str">
        <f t="shared" si="668"/>
        <v>00</v>
      </c>
    </row>
    <row r="2898" spans="1:22" hidden="1">
      <c r="J2898" s="1" t="str">
        <f t="shared" si="664"/>
        <v>0</v>
      </c>
      <c r="K2898" s="3">
        <f t="shared" si="665"/>
        <v>-100</v>
      </c>
      <c r="L2898" s="3">
        <f t="shared" si="666"/>
        <v>1</v>
      </c>
      <c r="M2898" s="3">
        <f t="shared" si="667"/>
        <v>0</v>
      </c>
      <c r="N2898" s="3" t="str">
        <f t="shared" si="668"/>
        <v>01</v>
      </c>
      <c r="O2898" s="14" t="str">
        <f t="shared" si="668"/>
        <v>00</v>
      </c>
    </row>
    <row r="2899" spans="1:22" hidden="1">
      <c r="J2899" s="1" t="str">
        <f t="shared" si="664"/>
        <v>0</v>
      </c>
      <c r="K2899" s="3">
        <f t="shared" si="665"/>
        <v>-100</v>
      </c>
      <c r="L2899" s="3">
        <f t="shared" si="666"/>
        <v>1</v>
      </c>
      <c r="M2899" s="3">
        <f t="shared" si="667"/>
        <v>0</v>
      </c>
      <c r="N2899" s="3" t="str">
        <f t="shared" si="668"/>
        <v>01</v>
      </c>
      <c r="O2899" s="14" t="str">
        <f t="shared" si="668"/>
        <v>00</v>
      </c>
    </row>
    <row r="2900" spans="1:22" hidden="1">
      <c r="J2900" s="1" t="str">
        <f t="shared" si="664"/>
        <v>0</v>
      </c>
      <c r="K2900" s="3">
        <f t="shared" si="665"/>
        <v>-100</v>
      </c>
      <c r="L2900" s="3">
        <f t="shared" si="666"/>
        <v>1</v>
      </c>
      <c r="M2900" s="3">
        <f t="shared" si="667"/>
        <v>0</v>
      </c>
      <c r="N2900" s="3" t="str">
        <f t="shared" si="668"/>
        <v>01</v>
      </c>
      <c r="O2900" s="14" t="str">
        <f t="shared" si="668"/>
        <v>00</v>
      </c>
    </row>
    <row r="2901" spans="1:22" hidden="1">
      <c r="J2901" s="1" t="str">
        <f t="shared" si="664"/>
        <v>0</v>
      </c>
      <c r="K2901" s="3">
        <f t="shared" si="665"/>
        <v>-100</v>
      </c>
      <c r="L2901" s="3">
        <f t="shared" si="666"/>
        <v>1</v>
      </c>
      <c r="M2901" s="3">
        <f t="shared" si="667"/>
        <v>0</v>
      </c>
      <c r="N2901" s="3" t="str">
        <f t="shared" si="668"/>
        <v>01</v>
      </c>
      <c r="O2901" s="14" t="str">
        <f t="shared" si="668"/>
        <v>00</v>
      </c>
    </row>
    <row r="2902" spans="1:22" hidden="1">
      <c r="J2902" s="1" t="str">
        <f t="shared" si="664"/>
        <v>0</v>
      </c>
      <c r="K2902" s="3">
        <f t="shared" si="665"/>
        <v>-100</v>
      </c>
      <c r="L2902" s="3">
        <f t="shared" si="666"/>
        <v>1</v>
      </c>
      <c r="M2902" s="3">
        <f t="shared" si="667"/>
        <v>0</v>
      </c>
      <c r="N2902" s="3" t="str">
        <f t="shared" si="668"/>
        <v>01</v>
      </c>
      <c r="O2902" s="14" t="str">
        <f t="shared" si="668"/>
        <v>00</v>
      </c>
    </row>
    <row r="2903" spans="1:22">
      <c r="A2903" s="3">
        <v>2914</v>
      </c>
      <c r="B2903" s="1">
        <f t="shared" si="661"/>
        <v>0</v>
      </c>
      <c r="C2903" s="1">
        <f t="shared" si="662"/>
        <v>0</v>
      </c>
      <c r="D2903" s="1">
        <f t="shared" si="669"/>
        <v>0</v>
      </c>
      <c r="E2903" s="1">
        <f t="shared" si="663"/>
        <v>1</v>
      </c>
      <c r="F2903" s="1">
        <f t="shared" si="663"/>
        <v>0</v>
      </c>
      <c r="G2903" s="1" t="str">
        <f t="shared" si="670"/>
        <v>24122001</v>
      </c>
      <c r="H2903" s="2">
        <v>45646</v>
      </c>
      <c r="I2903" s="36">
        <v>1</v>
      </c>
      <c r="J2903" s="1" t="str">
        <f t="shared" si="664"/>
        <v>01</v>
      </c>
      <c r="K2903" s="3">
        <f t="shared" si="665"/>
        <v>24</v>
      </c>
      <c r="L2903" s="3">
        <f t="shared" si="666"/>
        <v>12</v>
      </c>
      <c r="M2903" s="3">
        <f t="shared" si="667"/>
        <v>20</v>
      </c>
      <c r="N2903" s="3">
        <f t="shared" si="668"/>
        <v>12</v>
      </c>
      <c r="O2903" s="14">
        <f t="shared" si="668"/>
        <v>20</v>
      </c>
      <c r="P2903" s="4">
        <v>235986.94</v>
      </c>
      <c r="T2903" s="5" t="s">
        <v>1283</v>
      </c>
      <c r="V2903" s="3" t="s">
        <v>5</v>
      </c>
    </row>
    <row r="2904" spans="1:22">
      <c r="A2904" s="3">
        <v>2915</v>
      </c>
      <c r="B2904" s="1">
        <f t="shared" si="661"/>
        <v>0</v>
      </c>
      <c r="C2904" s="1">
        <f t="shared" si="662"/>
        <v>0</v>
      </c>
      <c r="D2904" s="1">
        <f t="shared" si="669"/>
        <v>0</v>
      </c>
      <c r="E2904" s="1">
        <f t="shared" si="663"/>
        <v>1</v>
      </c>
      <c r="F2904" s="1">
        <f t="shared" si="663"/>
        <v>0</v>
      </c>
      <c r="G2904" s="1" t="str">
        <f t="shared" si="670"/>
        <v>24122002</v>
      </c>
      <c r="H2904" s="2">
        <v>45646</v>
      </c>
      <c r="I2904" s="36">
        <v>2</v>
      </c>
      <c r="J2904" s="1" t="str">
        <f t="shared" si="664"/>
        <v>02</v>
      </c>
      <c r="K2904" s="3">
        <f t="shared" si="665"/>
        <v>24</v>
      </c>
      <c r="L2904" s="3">
        <f t="shared" si="666"/>
        <v>12</v>
      </c>
      <c r="M2904" s="3">
        <f t="shared" si="667"/>
        <v>20</v>
      </c>
      <c r="N2904" s="3">
        <f t="shared" si="668"/>
        <v>12</v>
      </c>
      <c r="O2904" s="14">
        <f t="shared" si="668"/>
        <v>20</v>
      </c>
      <c r="P2904" s="4">
        <v>2044.74</v>
      </c>
      <c r="T2904" s="5" t="s">
        <v>1283</v>
      </c>
      <c r="V2904" s="3" t="s">
        <v>5</v>
      </c>
    </row>
    <row r="2905" spans="1:22">
      <c r="A2905" s="3">
        <v>2916</v>
      </c>
      <c r="B2905" s="1">
        <f t="shared" si="661"/>
        <v>0</v>
      </c>
      <c r="C2905" s="1">
        <f t="shared" si="662"/>
        <v>0</v>
      </c>
      <c r="D2905" s="1">
        <f t="shared" si="669"/>
        <v>0</v>
      </c>
      <c r="E2905" s="1">
        <f t="shared" si="663"/>
        <v>0</v>
      </c>
      <c r="F2905" s="1">
        <f t="shared" si="663"/>
        <v>0</v>
      </c>
      <c r="G2905" s="1" t="str">
        <f t="shared" si="670"/>
        <v>24122003</v>
      </c>
      <c r="H2905" s="2">
        <v>45646</v>
      </c>
      <c r="I2905" s="36">
        <v>3</v>
      </c>
      <c r="J2905" s="1" t="str">
        <f t="shared" si="664"/>
        <v>03</v>
      </c>
      <c r="K2905" s="3">
        <f t="shared" si="665"/>
        <v>24</v>
      </c>
      <c r="L2905" s="3">
        <f t="shared" si="666"/>
        <v>12</v>
      </c>
      <c r="M2905" s="3">
        <f t="shared" si="667"/>
        <v>20</v>
      </c>
      <c r="N2905" s="3">
        <f t="shared" si="668"/>
        <v>12</v>
      </c>
      <c r="O2905" s="14">
        <f t="shared" si="668"/>
        <v>20</v>
      </c>
      <c r="P2905" s="4">
        <v>13267.85</v>
      </c>
      <c r="T2905" s="5" t="s">
        <v>1284</v>
      </c>
      <c r="U2905" s="3" t="s">
        <v>29</v>
      </c>
      <c r="V2905" s="3" t="s">
        <v>5</v>
      </c>
    </row>
    <row r="2906" spans="1:22" hidden="1">
      <c r="J2906" s="1" t="str">
        <f t="shared" si="664"/>
        <v>0</v>
      </c>
      <c r="K2906" s="3">
        <f t="shared" si="665"/>
        <v>-100</v>
      </c>
      <c r="L2906" s="3">
        <f t="shared" si="666"/>
        <v>1</v>
      </c>
      <c r="M2906" s="3">
        <f t="shared" si="667"/>
        <v>0</v>
      </c>
      <c r="N2906" s="3" t="str">
        <f t="shared" si="668"/>
        <v>01</v>
      </c>
      <c r="O2906" s="14" t="str">
        <f t="shared" si="668"/>
        <v>00</v>
      </c>
    </row>
    <row r="2907" spans="1:22" hidden="1">
      <c r="J2907" s="1" t="str">
        <f t="shared" si="664"/>
        <v>0</v>
      </c>
      <c r="K2907" s="3">
        <f t="shared" si="665"/>
        <v>-100</v>
      </c>
      <c r="L2907" s="3">
        <f t="shared" si="666"/>
        <v>1</v>
      </c>
      <c r="M2907" s="3">
        <f t="shared" si="667"/>
        <v>0</v>
      </c>
      <c r="N2907" s="3" t="str">
        <f t="shared" si="668"/>
        <v>01</v>
      </c>
      <c r="O2907" s="14" t="str">
        <f t="shared" si="668"/>
        <v>00</v>
      </c>
    </row>
    <row r="2908" spans="1:22" hidden="1">
      <c r="J2908" s="1" t="str">
        <f t="shared" si="664"/>
        <v>0</v>
      </c>
      <c r="K2908" s="3">
        <f t="shared" si="665"/>
        <v>-100</v>
      </c>
      <c r="L2908" s="3">
        <f t="shared" si="666"/>
        <v>1</v>
      </c>
      <c r="M2908" s="3">
        <f t="shared" si="667"/>
        <v>0</v>
      </c>
      <c r="N2908" s="3" t="str">
        <f t="shared" si="668"/>
        <v>01</v>
      </c>
      <c r="O2908" s="14" t="str">
        <f t="shared" si="668"/>
        <v>00</v>
      </c>
    </row>
    <row r="2909" spans="1:22" hidden="1">
      <c r="J2909" s="1" t="str">
        <f t="shared" si="664"/>
        <v>0</v>
      </c>
      <c r="K2909" s="3">
        <f t="shared" si="665"/>
        <v>-100</v>
      </c>
      <c r="L2909" s="3">
        <f t="shared" si="666"/>
        <v>1</v>
      </c>
      <c r="M2909" s="3">
        <f t="shared" si="667"/>
        <v>0</v>
      </c>
      <c r="N2909" s="3" t="str">
        <f t="shared" si="668"/>
        <v>01</v>
      </c>
      <c r="O2909" s="14" t="str">
        <f t="shared" si="668"/>
        <v>00</v>
      </c>
    </row>
    <row r="2910" spans="1:22" hidden="1">
      <c r="J2910" s="1" t="str">
        <f t="shared" si="664"/>
        <v>0</v>
      </c>
      <c r="K2910" s="3">
        <f t="shared" si="665"/>
        <v>-100</v>
      </c>
      <c r="L2910" s="3">
        <f t="shared" si="666"/>
        <v>1</v>
      </c>
      <c r="M2910" s="3">
        <f t="shared" si="667"/>
        <v>0</v>
      </c>
      <c r="N2910" s="3" t="str">
        <f t="shared" si="668"/>
        <v>01</v>
      </c>
      <c r="O2910" s="14" t="str">
        <f t="shared" si="668"/>
        <v>00</v>
      </c>
    </row>
    <row r="2911" spans="1:22">
      <c r="A2911" s="3">
        <v>2818</v>
      </c>
      <c r="B2911" s="1">
        <f t="shared" si="661"/>
        <v>0</v>
      </c>
      <c r="C2911" s="1">
        <f t="shared" si="662"/>
        <v>1</v>
      </c>
      <c r="D2911" s="1">
        <f t="shared" si="669"/>
        <v>0</v>
      </c>
      <c r="E2911" s="1">
        <f t="shared" si="663"/>
        <v>0</v>
      </c>
      <c r="F2911" s="1">
        <f t="shared" si="663"/>
        <v>0</v>
      </c>
      <c r="G2911" s="1" t="str">
        <f t="shared" si="670"/>
        <v>24122104</v>
      </c>
      <c r="H2911" s="2">
        <v>45647</v>
      </c>
      <c r="I2911" s="36">
        <v>4</v>
      </c>
      <c r="J2911" s="1" t="str">
        <f t="shared" si="664"/>
        <v>04</v>
      </c>
      <c r="K2911" s="3">
        <f t="shared" si="665"/>
        <v>24</v>
      </c>
      <c r="L2911" s="3">
        <f t="shared" si="666"/>
        <v>12</v>
      </c>
      <c r="M2911" s="3">
        <f t="shared" si="667"/>
        <v>21</v>
      </c>
      <c r="N2911" s="3">
        <f t="shared" si="668"/>
        <v>12</v>
      </c>
      <c r="O2911" s="14">
        <f t="shared" si="668"/>
        <v>21</v>
      </c>
      <c r="P2911" s="4">
        <v>200000</v>
      </c>
      <c r="T2911" s="5" t="s">
        <v>1237</v>
      </c>
      <c r="U2911" s="3" t="s">
        <v>2</v>
      </c>
      <c r="V2911" s="3" t="s">
        <v>5</v>
      </c>
    </row>
    <row r="2912" spans="1:22" hidden="1">
      <c r="J2912" s="1" t="str">
        <f t="shared" si="664"/>
        <v>0</v>
      </c>
      <c r="K2912" s="3">
        <f t="shared" si="665"/>
        <v>-100</v>
      </c>
      <c r="L2912" s="3">
        <f t="shared" si="666"/>
        <v>1</v>
      </c>
      <c r="M2912" s="3">
        <f t="shared" si="667"/>
        <v>0</v>
      </c>
      <c r="N2912" s="3" t="str">
        <f t="shared" si="668"/>
        <v>01</v>
      </c>
      <c r="O2912" s="14" t="str">
        <f t="shared" si="668"/>
        <v>00</v>
      </c>
    </row>
    <row r="2913" spans="10:17" hidden="1">
      <c r="J2913" s="1" t="str">
        <f t="shared" si="664"/>
        <v>0</v>
      </c>
      <c r="K2913" s="3">
        <f t="shared" si="665"/>
        <v>-100</v>
      </c>
      <c r="L2913" s="3">
        <f t="shared" si="666"/>
        <v>1</v>
      </c>
      <c r="M2913" s="3">
        <f t="shared" si="667"/>
        <v>0</v>
      </c>
      <c r="N2913" s="3" t="str">
        <f t="shared" si="668"/>
        <v>01</v>
      </c>
      <c r="O2913" s="14" t="str">
        <f t="shared" si="668"/>
        <v>00</v>
      </c>
      <c r="Q2913" s="4"/>
    </row>
    <row r="2914" spans="10:17" hidden="1">
      <c r="J2914" s="1" t="str">
        <f t="shared" si="664"/>
        <v>0</v>
      </c>
      <c r="K2914" s="3">
        <f t="shared" si="665"/>
        <v>-100</v>
      </c>
      <c r="L2914" s="3">
        <f t="shared" si="666"/>
        <v>1</v>
      </c>
      <c r="M2914" s="3">
        <f t="shared" si="667"/>
        <v>0</v>
      </c>
      <c r="N2914" s="3" t="str">
        <f t="shared" si="668"/>
        <v>01</v>
      </c>
      <c r="O2914" s="14" t="str">
        <f t="shared" si="668"/>
        <v>00</v>
      </c>
    </row>
    <row r="2915" spans="10:17" hidden="1">
      <c r="J2915" s="1" t="str">
        <f t="shared" si="664"/>
        <v>0</v>
      </c>
      <c r="K2915" s="3">
        <f t="shared" si="665"/>
        <v>-100</v>
      </c>
      <c r="L2915" s="3">
        <f t="shared" si="666"/>
        <v>1</v>
      </c>
      <c r="M2915" s="3">
        <f t="shared" si="667"/>
        <v>0</v>
      </c>
      <c r="N2915" s="3" t="str">
        <f t="shared" si="668"/>
        <v>01</v>
      </c>
      <c r="O2915" s="14" t="str">
        <f t="shared" si="668"/>
        <v>00</v>
      </c>
    </row>
    <row r="2916" spans="10:17" hidden="1">
      <c r="J2916" s="1" t="str">
        <f t="shared" si="664"/>
        <v>0</v>
      </c>
      <c r="K2916" s="3">
        <f t="shared" si="665"/>
        <v>-100</v>
      </c>
      <c r="L2916" s="3">
        <f t="shared" si="666"/>
        <v>1</v>
      </c>
      <c r="M2916" s="3">
        <f t="shared" si="667"/>
        <v>0</v>
      </c>
      <c r="N2916" s="3" t="str">
        <f t="shared" si="668"/>
        <v>01</v>
      </c>
      <c r="O2916" s="14" t="str">
        <f t="shared" si="668"/>
        <v>00</v>
      </c>
    </row>
    <row r="2917" spans="10:17" hidden="1">
      <c r="J2917" s="1" t="str">
        <f t="shared" si="664"/>
        <v>0</v>
      </c>
      <c r="K2917" s="3">
        <f t="shared" si="665"/>
        <v>-100</v>
      </c>
      <c r="L2917" s="3">
        <f t="shared" si="666"/>
        <v>1</v>
      </c>
      <c r="M2917" s="3">
        <f t="shared" si="667"/>
        <v>0</v>
      </c>
      <c r="N2917" s="3" t="str">
        <f t="shared" si="668"/>
        <v>01</v>
      </c>
      <c r="O2917" s="14" t="str">
        <f t="shared" si="668"/>
        <v>00</v>
      </c>
    </row>
    <row r="2918" spans="10:17" hidden="1">
      <c r="J2918" s="1" t="str">
        <f t="shared" si="664"/>
        <v>0</v>
      </c>
      <c r="K2918" s="3">
        <f t="shared" si="665"/>
        <v>-100</v>
      </c>
      <c r="L2918" s="3">
        <f t="shared" si="666"/>
        <v>1</v>
      </c>
      <c r="M2918" s="3">
        <f t="shared" si="667"/>
        <v>0</v>
      </c>
      <c r="N2918" s="3" t="str">
        <f t="shared" si="668"/>
        <v>01</v>
      </c>
      <c r="O2918" s="14" t="str">
        <f t="shared" si="668"/>
        <v>00</v>
      </c>
    </row>
    <row r="2919" spans="10:17" hidden="1">
      <c r="J2919" s="1" t="str">
        <f t="shared" si="664"/>
        <v>0</v>
      </c>
      <c r="K2919" s="3">
        <f t="shared" si="665"/>
        <v>-100</v>
      </c>
      <c r="L2919" s="3">
        <f t="shared" si="666"/>
        <v>1</v>
      </c>
      <c r="M2919" s="3">
        <f t="shared" si="667"/>
        <v>0</v>
      </c>
      <c r="N2919" s="3" t="str">
        <f t="shared" si="668"/>
        <v>01</v>
      </c>
      <c r="O2919" s="14" t="str">
        <f t="shared" si="668"/>
        <v>00</v>
      </c>
    </row>
    <row r="2920" spans="10:17" hidden="1">
      <c r="J2920" s="1" t="str">
        <f t="shared" si="664"/>
        <v>0</v>
      </c>
      <c r="K2920" s="3">
        <f t="shared" si="665"/>
        <v>-100</v>
      </c>
      <c r="L2920" s="3">
        <f t="shared" si="666"/>
        <v>1</v>
      </c>
      <c r="M2920" s="3">
        <f t="shared" si="667"/>
        <v>0</v>
      </c>
      <c r="N2920" s="3" t="str">
        <f t="shared" si="668"/>
        <v>01</v>
      </c>
      <c r="O2920" s="14" t="str">
        <f t="shared" si="668"/>
        <v>00</v>
      </c>
    </row>
    <row r="2921" spans="10:17" hidden="1">
      <c r="J2921" s="1" t="str">
        <f t="shared" si="664"/>
        <v>0</v>
      </c>
      <c r="K2921" s="3">
        <f t="shared" si="665"/>
        <v>-100</v>
      </c>
      <c r="L2921" s="3">
        <f t="shared" si="666"/>
        <v>1</v>
      </c>
      <c r="M2921" s="3">
        <f t="shared" si="667"/>
        <v>0</v>
      </c>
      <c r="N2921" s="3" t="str">
        <f t="shared" si="668"/>
        <v>01</v>
      </c>
      <c r="O2921" s="14" t="str">
        <f t="shared" si="668"/>
        <v>00</v>
      </c>
    </row>
    <row r="2922" spans="10:17" hidden="1">
      <c r="J2922" s="1" t="str">
        <f t="shared" si="664"/>
        <v>0</v>
      </c>
      <c r="K2922" s="3">
        <f t="shared" si="665"/>
        <v>-100</v>
      </c>
      <c r="L2922" s="3">
        <f t="shared" si="666"/>
        <v>1</v>
      </c>
      <c r="M2922" s="3">
        <f t="shared" si="667"/>
        <v>0</v>
      </c>
      <c r="N2922" s="3" t="str">
        <f t="shared" si="668"/>
        <v>01</v>
      </c>
      <c r="O2922" s="14" t="str">
        <f t="shared" si="668"/>
        <v>00</v>
      </c>
    </row>
    <row r="2923" spans="10:17" hidden="1">
      <c r="J2923" s="1" t="str">
        <f t="shared" si="664"/>
        <v>0</v>
      </c>
      <c r="K2923" s="3">
        <f t="shared" si="665"/>
        <v>-100</v>
      </c>
      <c r="L2923" s="3">
        <f t="shared" si="666"/>
        <v>1</v>
      </c>
      <c r="M2923" s="3">
        <f t="shared" si="667"/>
        <v>0</v>
      </c>
      <c r="N2923" s="3" t="str">
        <f t="shared" si="668"/>
        <v>01</v>
      </c>
      <c r="O2923" s="14" t="str">
        <f t="shared" si="668"/>
        <v>00</v>
      </c>
    </row>
    <row r="2924" spans="10:17" hidden="1">
      <c r="J2924" s="1" t="str">
        <f t="shared" si="664"/>
        <v>0</v>
      </c>
      <c r="K2924" s="3">
        <f t="shared" si="665"/>
        <v>-100</v>
      </c>
      <c r="L2924" s="3">
        <f t="shared" si="666"/>
        <v>1</v>
      </c>
      <c r="M2924" s="3">
        <f t="shared" si="667"/>
        <v>0</v>
      </c>
      <c r="N2924" s="3" t="str">
        <f t="shared" si="668"/>
        <v>01</v>
      </c>
      <c r="O2924" s="14" t="str">
        <f t="shared" si="668"/>
        <v>00</v>
      </c>
    </row>
    <row r="2925" spans="10:17" hidden="1">
      <c r="J2925" s="1" t="str">
        <f t="shared" si="664"/>
        <v>0</v>
      </c>
      <c r="K2925" s="3">
        <f t="shared" si="665"/>
        <v>-100</v>
      </c>
      <c r="L2925" s="3">
        <f t="shared" si="666"/>
        <v>1</v>
      </c>
      <c r="M2925" s="3">
        <f t="shared" si="667"/>
        <v>0</v>
      </c>
      <c r="N2925" s="3" t="str">
        <f t="shared" si="668"/>
        <v>01</v>
      </c>
      <c r="O2925" s="14" t="str">
        <f t="shared" si="668"/>
        <v>00</v>
      </c>
    </row>
    <row r="2926" spans="10:17" hidden="1">
      <c r="J2926" s="1" t="str">
        <f t="shared" si="664"/>
        <v>0</v>
      </c>
      <c r="K2926" s="3">
        <f t="shared" si="665"/>
        <v>-100</v>
      </c>
      <c r="L2926" s="3">
        <f t="shared" si="666"/>
        <v>1</v>
      </c>
      <c r="M2926" s="3">
        <f t="shared" si="667"/>
        <v>0</v>
      </c>
      <c r="N2926" s="3" t="str">
        <f t="shared" si="668"/>
        <v>01</v>
      </c>
      <c r="O2926" s="14" t="str">
        <f t="shared" si="668"/>
        <v>00</v>
      </c>
    </row>
    <row r="2927" spans="10:17" hidden="1">
      <c r="J2927" s="1" t="str">
        <f t="shared" si="664"/>
        <v>0</v>
      </c>
      <c r="K2927" s="3">
        <f t="shared" si="665"/>
        <v>-100</v>
      </c>
      <c r="L2927" s="3">
        <f t="shared" si="666"/>
        <v>1</v>
      </c>
      <c r="M2927" s="3">
        <f t="shared" si="667"/>
        <v>0</v>
      </c>
      <c r="N2927" s="3" t="str">
        <f t="shared" si="668"/>
        <v>01</v>
      </c>
      <c r="O2927" s="14" t="str">
        <f t="shared" si="668"/>
        <v>00</v>
      </c>
    </row>
    <row r="2928" spans="10:17" hidden="1">
      <c r="J2928" s="1" t="str">
        <f t="shared" si="664"/>
        <v>0</v>
      </c>
      <c r="K2928" s="3">
        <f t="shared" si="665"/>
        <v>-100</v>
      </c>
      <c r="L2928" s="3">
        <f t="shared" si="666"/>
        <v>1</v>
      </c>
      <c r="M2928" s="3">
        <f t="shared" si="667"/>
        <v>0</v>
      </c>
      <c r="N2928" s="3" t="str">
        <f t="shared" si="668"/>
        <v>01</v>
      </c>
      <c r="O2928" s="14" t="str">
        <f t="shared" si="668"/>
        <v>00</v>
      </c>
    </row>
    <row r="2929" spans="1:22" hidden="1">
      <c r="J2929" s="1" t="str">
        <f t="shared" si="664"/>
        <v>0</v>
      </c>
      <c r="K2929" s="3">
        <f t="shared" si="665"/>
        <v>-100</v>
      </c>
      <c r="L2929" s="3">
        <f t="shared" si="666"/>
        <v>1</v>
      </c>
      <c r="M2929" s="3">
        <f t="shared" si="667"/>
        <v>0</v>
      </c>
      <c r="N2929" s="3" t="str">
        <f t="shared" si="668"/>
        <v>01</v>
      </c>
      <c r="O2929" s="14" t="str">
        <f t="shared" si="668"/>
        <v>00</v>
      </c>
    </row>
    <row r="2930" spans="1:22" hidden="1">
      <c r="J2930" s="1" t="str">
        <f t="shared" si="664"/>
        <v>0</v>
      </c>
      <c r="K2930" s="3">
        <f t="shared" si="665"/>
        <v>-100</v>
      </c>
      <c r="L2930" s="3">
        <f t="shared" si="666"/>
        <v>1</v>
      </c>
      <c r="M2930" s="3">
        <f t="shared" si="667"/>
        <v>0</v>
      </c>
      <c r="N2930" s="3" t="str">
        <f t="shared" si="668"/>
        <v>01</v>
      </c>
      <c r="O2930" s="14" t="str">
        <f t="shared" si="668"/>
        <v>00</v>
      </c>
    </row>
    <row r="2931" spans="1:22">
      <c r="A2931" s="3">
        <v>2952</v>
      </c>
      <c r="B2931" s="1">
        <f t="shared" ref="B2931:B2986" si="671">IF(G2931="-",0,IF(G2930=G2931,1,0))</f>
        <v>0</v>
      </c>
      <c r="C2931" s="1">
        <f t="shared" ref="C2931:C2986" si="672">+IF(G2931="-",0,IF(I2931=I2930+1,0,(IF(I2931=1,0,1))))</f>
        <v>1</v>
      </c>
      <c r="D2931" s="1">
        <f t="shared" ref="D2931:D2975" si="673">+IF(AND(P2931="",Q2931=""),1,0)</f>
        <v>0</v>
      </c>
      <c r="E2931" s="1">
        <f t="shared" ref="E2931:F2986" si="674">IF(U2931="",1,0)</f>
        <v>0</v>
      </c>
      <c r="F2931" s="1">
        <f t="shared" si="674"/>
        <v>0</v>
      </c>
      <c r="G2931" s="1" t="str">
        <f t="shared" si="670"/>
        <v>24122124</v>
      </c>
      <c r="H2931" s="2">
        <v>45647</v>
      </c>
      <c r="I2931" s="36">
        <v>24</v>
      </c>
      <c r="J2931" s="1">
        <f t="shared" si="664"/>
        <v>24</v>
      </c>
      <c r="K2931" s="3">
        <f t="shared" si="665"/>
        <v>24</v>
      </c>
      <c r="L2931" s="3">
        <f t="shared" si="666"/>
        <v>12</v>
      </c>
      <c r="M2931" s="3">
        <f t="shared" si="667"/>
        <v>21</v>
      </c>
      <c r="N2931" s="3">
        <f t="shared" si="668"/>
        <v>12</v>
      </c>
      <c r="O2931" s="14">
        <f t="shared" si="668"/>
        <v>21</v>
      </c>
      <c r="P2931" s="4">
        <v>132000</v>
      </c>
      <c r="T2931" s="5" t="s">
        <v>1287</v>
      </c>
      <c r="U2931" s="3" t="s">
        <v>1</v>
      </c>
      <c r="V2931" s="3" t="s">
        <v>5</v>
      </c>
    </row>
    <row r="2932" spans="1:22">
      <c r="A2932" s="3">
        <v>2953</v>
      </c>
      <c r="B2932" s="1">
        <f t="shared" si="671"/>
        <v>0</v>
      </c>
      <c r="C2932" s="1">
        <f t="shared" si="672"/>
        <v>0</v>
      </c>
      <c r="D2932" s="1">
        <f t="shared" si="673"/>
        <v>0</v>
      </c>
      <c r="E2932" s="1">
        <f t="shared" si="674"/>
        <v>0</v>
      </c>
      <c r="F2932" s="1">
        <f t="shared" si="674"/>
        <v>0</v>
      </c>
      <c r="G2932" s="1" t="str">
        <f t="shared" si="670"/>
        <v>24122125</v>
      </c>
      <c r="H2932" s="2">
        <v>45647</v>
      </c>
      <c r="I2932" s="36">
        <v>25</v>
      </c>
      <c r="J2932" s="1">
        <f t="shared" si="664"/>
        <v>25</v>
      </c>
      <c r="K2932" s="3">
        <f t="shared" si="665"/>
        <v>24</v>
      </c>
      <c r="L2932" s="3">
        <f t="shared" si="666"/>
        <v>12</v>
      </c>
      <c r="M2932" s="3">
        <f t="shared" si="667"/>
        <v>21</v>
      </c>
      <c r="N2932" s="3">
        <f t="shared" si="668"/>
        <v>12</v>
      </c>
      <c r="O2932" s="14">
        <f t="shared" si="668"/>
        <v>21</v>
      </c>
      <c r="P2932" s="4">
        <v>138000</v>
      </c>
      <c r="T2932" s="5" t="s">
        <v>1288</v>
      </c>
      <c r="U2932" s="3" t="s">
        <v>1</v>
      </c>
      <c r="V2932" s="3" t="s">
        <v>5</v>
      </c>
    </row>
    <row r="2933" spans="1:22">
      <c r="A2933" s="3">
        <v>2954</v>
      </c>
      <c r="B2933" s="1">
        <f t="shared" si="671"/>
        <v>0</v>
      </c>
      <c r="C2933" s="1">
        <f t="shared" si="672"/>
        <v>0</v>
      </c>
      <c r="D2933" s="1">
        <f t="shared" si="673"/>
        <v>0</v>
      </c>
      <c r="E2933" s="1">
        <f t="shared" si="674"/>
        <v>0</v>
      </c>
      <c r="F2933" s="1">
        <f t="shared" si="674"/>
        <v>0</v>
      </c>
      <c r="G2933" s="1" t="str">
        <f t="shared" si="670"/>
        <v>24122126</v>
      </c>
      <c r="H2933" s="2">
        <v>45647</v>
      </c>
      <c r="I2933" s="36">
        <v>26</v>
      </c>
      <c r="J2933" s="1">
        <f t="shared" si="664"/>
        <v>26</v>
      </c>
      <c r="K2933" s="3">
        <f t="shared" si="665"/>
        <v>24</v>
      </c>
      <c r="L2933" s="3">
        <f t="shared" si="666"/>
        <v>12</v>
      </c>
      <c r="M2933" s="3">
        <f t="shared" si="667"/>
        <v>21</v>
      </c>
      <c r="N2933" s="3">
        <f t="shared" si="668"/>
        <v>12</v>
      </c>
      <c r="O2933" s="14">
        <f t="shared" si="668"/>
        <v>21</v>
      </c>
      <c r="P2933" s="4">
        <v>132000</v>
      </c>
      <c r="T2933" s="5" t="s">
        <v>1289</v>
      </c>
      <c r="U2933" s="3" t="s">
        <v>1</v>
      </c>
      <c r="V2933" s="3" t="s">
        <v>5</v>
      </c>
    </row>
    <row r="2934" spans="1:22">
      <c r="A2934" s="3">
        <v>2955</v>
      </c>
      <c r="B2934" s="1">
        <f t="shared" si="671"/>
        <v>0</v>
      </c>
      <c r="C2934" s="1">
        <f t="shared" si="672"/>
        <v>0</v>
      </c>
      <c r="D2934" s="1">
        <f t="shared" si="673"/>
        <v>0</v>
      </c>
      <c r="E2934" s="1">
        <f t="shared" si="674"/>
        <v>0</v>
      </c>
      <c r="F2934" s="1">
        <f t="shared" si="674"/>
        <v>0</v>
      </c>
      <c r="G2934" s="1" t="str">
        <f t="shared" si="670"/>
        <v>24122127</v>
      </c>
      <c r="H2934" s="2">
        <v>45647</v>
      </c>
      <c r="I2934" s="36">
        <v>27</v>
      </c>
      <c r="J2934" s="1">
        <f t="shared" si="664"/>
        <v>27</v>
      </c>
      <c r="K2934" s="3">
        <f t="shared" si="665"/>
        <v>24</v>
      </c>
      <c r="L2934" s="3">
        <f t="shared" si="666"/>
        <v>12</v>
      </c>
      <c r="M2934" s="3">
        <f t="shared" si="667"/>
        <v>21</v>
      </c>
      <c r="N2934" s="3">
        <f t="shared" si="668"/>
        <v>12</v>
      </c>
      <c r="O2934" s="14">
        <f t="shared" si="668"/>
        <v>21</v>
      </c>
      <c r="P2934" s="4">
        <v>110000</v>
      </c>
      <c r="T2934" s="5" t="s">
        <v>1290</v>
      </c>
      <c r="U2934" s="3" t="s">
        <v>1</v>
      </c>
      <c r="V2934" s="3" t="s">
        <v>5</v>
      </c>
    </row>
    <row r="2935" spans="1:22">
      <c r="A2935" s="3">
        <v>2956</v>
      </c>
      <c r="B2935" s="1">
        <f t="shared" si="671"/>
        <v>0</v>
      </c>
      <c r="C2935" s="1">
        <f t="shared" si="672"/>
        <v>0</v>
      </c>
      <c r="D2935" s="1">
        <f t="shared" si="673"/>
        <v>0</v>
      </c>
      <c r="E2935" s="1">
        <f t="shared" si="674"/>
        <v>0</v>
      </c>
      <c r="F2935" s="1">
        <f t="shared" si="674"/>
        <v>0</v>
      </c>
      <c r="G2935" s="1" t="str">
        <f t="shared" si="670"/>
        <v>24122128</v>
      </c>
      <c r="H2935" s="2">
        <v>45647</v>
      </c>
      <c r="I2935" s="36">
        <v>28</v>
      </c>
      <c r="J2935" s="1">
        <f t="shared" ref="J2935:J2986" si="675">+IF(I2935&lt;10,_xlfn.CONCAT("0",I2935),I2935)</f>
        <v>28</v>
      </c>
      <c r="K2935" s="3">
        <f t="shared" ref="K2935:K2986" si="676">+YEAR(H2935)-2000</f>
        <v>24</v>
      </c>
      <c r="L2935" s="3">
        <f t="shared" ref="L2935:L2986" si="677">+MONTH(H2935)</f>
        <v>12</v>
      </c>
      <c r="M2935" s="3">
        <f t="shared" ref="M2935:M2986" si="678">+DAY(H2935)</f>
        <v>21</v>
      </c>
      <c r="N2935" s="3">
        <f t="shared" ref="N2935:O2986" si="679">+IF(L2935&lt;10,_xlfn.CONCAT("0",L2935),L2935)</f>
        <v>12</v>
      </c>
      <c r="O2935" s="14">
        <f t="shared" si="679"/>
        <v>21</v>
      </c>
      <c r="P2935" s="4">
        <v>159000</v>
      </c>
      <c r="T2935" s="5" t="s">
        <v>1291</v>
      </c>
      <c r="U2935" s="3" t="s">
        <v>1</v>
      </c>
      <c r="V2935" s="3" t="s">
        <v>5</v>
      </c>
    </row>
    <row r="2936" spans="1:22">
      <c r="A2936" s="3">
        <v>2957</v>
      </c>
      <c r="B2936" s="1">
        <f t="shared" si="671"/>
        <v>0</v>
      </c>
      <c r="C2936" s="1">
        <f t="shared" si="672"/>
        <v>0</v>
      </c>
      <c r="D2936" s="1">
        <f t="shared" si="673"/>
        <v>0</v>
      </c>
      <c r="E2936" s="1">
        <f t="shared" si="674"/>
        <v>0</v>
      </c>
      <c r="F2936" s="1">
        <f t="shared" si="674"/>
        <v>0</v>
      </c>
      <c r="G2936" s="1" t="str">
        <f t="shared" si="670"/>
        <v>24122129</v>
      </c>
      <c r="H2936" s="2">
        <v>45647</v>
      </c>
      <c r="I2936" s="36">
        <v>29</v>
      </c>
      <c r="J2936" s="1">
        <f t="shared" si="675"/>
        <v>29</v>
      </c>
      <c r="K2936" s="3">
        <f t="shared" si="676"/>
        <v>24</v>
      </c>
      <c r="L2936" s="3">
        <f t="shared" si="677"/>
        <v>12</v>
      </c>
      <c r="M2936" s="3">
        <f t="shared" si="678"/>
        <v>21</v>
      </c>
      <c r="N2936" s="3">
        <f t="shared" si="679"/>
        <v>12</v>
      </c>
      <c r="O2936" s="14">
        <f t="shared" si="679"/>
        <v>21</v>
      </c>
      <c r="P2936" s="4">
        <v>1338000</v>
      </c>
      <c r="T2936" s="5" t="s">
        <v>1292</v>
      </c>
      <c r="U2936" s="3" t="s">
        <v>1</v>
      </c>
      <c r="V2936" s="3" t="s">
        <v>5</v>
      </c>
    </row>
    <row r="2937" spans="1:22" hidden="1">
      <c r="J2937" s="1" t="str">
        <f t="shared" si="675"/>
        <v>0</v>
      </c>
      <c r="K2937" s="3">
        <f t="shared" si="676"/>
        <v>-100</v>
      </c>
      <c r="L2937" s="3">
        <f t="shared" si="677"/>
        <v>1</v>
      </c>
      <c r="M2937" s="3">
        <f t="shared" si="678"/>
        <v>0</v>
      </c>
      <c r="N2937" s="3" t="str">
        <f t="shared" si="679"/>
        <v>01</v>
      </c>
      <c r="O2937" s="14" t="str">
        <f t="shared" si="679"/>
        <v>00</v>
      </c>
    </row>
    <row r="2938" spans="1:22">
      <c r="A2938" s="3">
        <v>2865</v>
      </c>
      <c r="B2938" s="1">
        <f t="shared" si="671"/>
        <v>0</v>
      </c>
      <c r="C2938" s="1">
        <f t="shared" si="672"/>
        <v>0</v>
      </c>
      <c r="D2938" s="1">
        <f t="shared" si="673"/>
        <v>0</v>
      </c>
      <c r="E2938" s="1">
        <f t="shared" si="674"/>
        <v>0</v>
      </c>
      <c r="F2938" s="1">
        <f t="shared" si="674"/>
        <v>0</v>
      </c>
      <c r="G2938" s="1" t="str">
        <f t="shared" ref="G2938:G2986" si="680">IF(H2938=0,"-",_xlfn.CONCAT(K2938,N2938,O2938,J2938))</f>
        <v>24122201</v>
      </c>
      <c r="H2938" s="2">
        <v>45648</v>
      </c>
      <c r="I2938" s="36">
        <v>1</v>
      </c>
      <c r="J2938" s="1" t="str">
        <f t="shared" si="675"/>
        <v>01</v>
      </c>
      <c r="K2938" s="3">
        <f t="shared" si="676"/>
        <v>24</v>
      </c>
      <c r="L2938" s="3">
        <f t="shared" si="677"/>
        <v>12</v>
      </c>
      <c r="M2938" s="3">
        <f t="shared" si="678"/>
        <v>22</v>
      </c>
      <c r="N2938" s="3">
        <f t="shared" si="679"/>
        <v>12</v>
      </c>
      <c r="O2938" s="14">
        <f t="shared" si="679"/>
        <v>22</v>
      </c>
      <c r="Q2938" s="5">
        <v>303.60000000000002</v>
      </c>
      <c r="T2938" s="5" t="s">
        <v>1266</v>
      </c>
      <c r="U2938" s="3" t="s">
        <v>1</v>
      </c>
      <c r="V2938" s="3" t="s">
        <v>5</v>
      </c>
    </row>
    <row r="2939" spans="1:22">
      <c r="A2939" s="3">
        <v>2923</v>
      </c>
      <c r="B2939" s="1">
        <f t="shared" si="671"/>
        <v>0</v>
      </c>
      <c r="C2939" s="1">
        <f t="shared" si="672"/>
        <v>0</v>
      </c>
      <c r="D2939" s="1">
        <f t="shared" si="673"/>
        <v>0</v>
      </c>
      <c r="E2939" s="1">
        <f t="shared" si="674"/>
        <v>0</v>
      </c>
      <c r="F2939" s="1">
        <f t="shared" si="674"/>
        <v>0</v>
      </c>
      <c r="G2939" s="1" t="str">
        <f t="shared" si="680"/>
        <v>24122202</v>
      </c>
      <c r="H2939" s="2">
        <v>45648</v>
      </c>
      <c r="I2939" s="36">
        <v>2</v>
      </c>
      <c r="J2939" s="1" t="str">
        <f t="shared" si="675"/>
        <v>02</v>
      </c>
      <c r="K2939" s="3">
        <f t="shared" si="676"/>
        <v>24</v>
      </c>
      <c r="L2939" s="3">
        <f t="shared" si="677"/>
        <v>12</v>
      </c>
      <c r="M2939" s="3">
        <f t="shared" si="678"/>
        <v>22</v>
      </c>
      <c r="N2939" s="3">
        <f t="shared" si="679"/>
        <v>12</v>
      </c>
      <c r="O2939" s="14">
        <f t="shared" si="679"/>
        <v>22</v>
      </c>
      <c r="P2939" s="4">
        <v>86889.2</v>
      </c>
      <c r="T2939" s="5" t="s">
        <v>1285</v>
      </c>
      <c r="U2939" s="3" t="s">
        <v>29</v>
      </c>
      <c r="V2939" s="3" t="s">
        <v>5</v>
      </c>
    </row>
    <row r="2940" spans="1:22" hidden="1">
      <c r="J2940" s="1" t="str">
        <f t="shared" si="675"/>
        <v>0</v>
      </c>
      <c r="K2940" s="3">
        <f t="shared" si="676"/>
        <v>-100</v>
      </c>
      <c r="L2940" s="3">
        <f t="shared" si="677"/>
        <v>1</v>
      </c>
      <c r="M2940" s="3">
        <f t="shared" si="678"/>
        <v>0</v>
      </c>
      <c r="N2940" s="3" t="str">
        <f t="shared" si="679"/>
        <v>01</v>
      </c>
      <c r="O2940" s="14" t="str">
        <f t="shared" si="679"/>
        <v>00</v>
      </c>
    </row>
    <row r="2941" spans="1:22">
      <c r="A2941" s="3">
        <v>2866</v>
      </c>
      <c r="B2941" s="1">
        <f t="shared" si="671"/>
        <v>0</v>
      </c>
      <c r="C2941" s="1">
        <f t="shared" si="672"/>
        <v>0</v>
      </c>
      <c r="D2941" s="1">
        <f t="shared" si="673"/>
        <v>0</v>
      </c>
      <c r="E2941" s="1">
        <f t="shared" si="674"/>
        <v>0</v>
      </c>
      <c r="F2941" s="1">
        <f t="shared" si="674"/>
        <v>0</v>
      </c>
      <c r="G2941" s="1" t="str">
        <f t="shared" si="680"/>
        <v>24122301</v>
      </c>
      <c r="H2941" s="2">
        <v>45649</v>
      </c>
      <c r="I2941" s="36">
        <v>1</v>
      </c>
      <c r="J2941" s="1" t="str">
        <f t="shared" si="675"/>
        <v>01</v>
      </c>
      <c r="K2941" s="3">
        <f t="shared" si="676"/>
        <v>24</v>
      </c>
      <c r="L2941" s="3">
        <f t="shared" si="677"/>
        <v>12</v>
      </c>
      <c r="M2941" s="3">
        <f t="shared" si="678"/>
        <v>23</v>
      </c>
      <c r="N2941" s="3">
        <f t="shared" si="679"/>
        <v>12</v>
      </c>
      <c r="O2941" s="14">
        <f t="shared" si="679"/>
        <v>23</v>
      </c>
      <c r="P2941" s="4">
        <v>200000</v>
      </c>
      <c r="T2941" s="5" t="s">
        <v>39</v>
      </c>
      <c r="U2941" s="3" t="s">
        <v>2</v>
      </c>
      <c r="V2941" s="3" t="s">
        <v>5</v>
      </c>
    </row>
    <row r="2942" spans="1:22">
      <c r="A2942" s="3">
        <v>2867</v>
      </c>
      <c r="B2942" s="1">
        <f t="shared" si="671"/>
        <v>0</v>
      </c>
      <c r="C2942" s="1">
        <f t="shared" si="672"/>
        <v>0</v>
      </c>
      <c r="D2942" s="1">
        <f t="shared" si="673"/>
        <v>0</v>
      </c>
      <c r="E2942" s="1">
        <f t="shared" si="674"/>
        <v>0</v>
      </c>
      <c r="F2942" s="1">
        <f t="shared" si="674"/>
        <v>0</v>
      </c>
      <c r="G2942" s="1" t="str">
        <f t="shared" si="680"/>
        <v>24122302</v>
      </c>
      <c r="H2942" s="2">
        <v>45649</v>
      </c>
      <c r="I2942" s="36">
        <v>2</v>
      </c>
      <c r="J2942" s="1" t="str">
        <f t="shared" si="675"/>
        <v>02</v>
      </c>
      <c r="K2942" s="3">
        <f t="shared" si="676"/>
        <v>24</v>
      </c>
      <c r="L2942" s="3">
        <f t="shared" si="677"/>
        <v>12</v>
      </c>
      <c r="M2942" s="3">
        <f t="shared" si="678"/>
        <v>23</v>
      </c>
      <c r="N2942" s="3">
        <f t="shared" si="679"/>
        <v>12</v>
      </c>
      <c r="O2942" s="14">
        <f t="shared" si="679"/>
        <v>23</v>
      </c>
      <c r="Q2942" s="5">
        <v>140.28</v>
      </c>
      <c r="T2942" s="5" t="s">
        <v>1267</v>
      </c>
      <c r="U2942" s="3" t="s">
        <v>2</v>
      </c>
      <c r="V2942" s="3" t="s">
        <v>5</v>
      </c>
    </row>
    <row r="2943" spans="1:22">
      <c r="A2943" s="3">
        <v>2868</v>
      </c>
      <c r="B2943" s="1">
        <f t="shared" si="671"/>
        <v>0</v>
      </c>
      <c r="C2943" s="1">
        <f t="shared" si="672"/>
        <v>0</v>
      </c>
      <c r="D2943" s="1">
        <f t="shared" si="673"/>
        <v>0</v>
      </c>
      <c r="E2943" s="1">
        <f t="shared" si="674"/>
        <v>0</v>
      </c>
      <c r="F2943" s="1">
        <f t="shared" si="674"/>
        <v>0</v>
      </c>
      <c r="G2943" s="1" t="str">
        <f t="shared" si="680"/>
        <v>24122303</v>
      </c>
      <c r="H2943" s="2">
        <v>45649</v>
      </c>
      <c r="I2943" s="36">
        <v>3</v>
      </c>
      <c r="J2943" s="1" t="str">
        <f t="shared" si="675"/>
        <v>03</v>
      </c>
      <c r="K2943" s="3">
        <f t="shared" si="676"/>
        <v>24</v>
      </c>
      <c r="L2943" s="3">
        <f t="shared" si="677"/>
        <v>12</v>
      </c>
      <c r="M2943" s="3">
        <f t="shared" si="678"/>
        <v>23</v>
      </c>
      <c r="N2943" s="3">
        <f t="shared" si="679"/>
        <v>12</v>
      </c>
      <c r="O2943" s="14">
        <f t="shared" si="679"/>
        <v>23</v>
      </c>
      <c r="P2943" s="4">
        <v>106882.58</v>
      </c>
      <c r="T2943" s="5" t="s">
        <v>1268</v>
      </c>
      <c r="U2943" s="3" t="s">
        <v>2</v>
      </c>
      <c r="V2943" s="3" t="s">
        <v>5</v>
      </c>
    </row>
    <row r="2944" spans="1:22">
      <c r="A2944" s="3">
        <v>2869</v>
      </c>
      <c r="B2944" s="1">
        <f t="shared" si="671"/>
        <v>0</v>
      </c>
      <c r="C2944" s="1">
        <f t="shared" si="672"/>
        <v>0</v>
      </c>
      <c r="D2944" s="1">
        <f t="shared" si="673"/>
        <v>0</v>
      </c>
      <c r="E2944" s="1">
        <f t="shared" si="674"/>
        <v>0</v>
      </c>
      <c r="F2944" s="1">
        <f t="shared" si="674"/>
        <v>0</v>
      </c>
      <c r="G2944" s="1" t="str">
        <f t="shared" si="680"/>
        <v>24122304</v>
      </c>
      <c r="H2944" s="2">
        <v>45649</v>
      </c>
      <c r="I2944" s="36">
        <v>4</v>
      </c>
      <c r="J2944" s="1" t="str">
        <f t="shared" si="675"/>
        <v>04</v>
      </c>
      <c r="K2944" s="3">
        <f t="shared" si="676"/>
        <v>24</v>
      </c>
      <c r="L2944" s="3">
        <f t="shared" si="677"/>
        <v>12</v>
      </c>
      <c r="M2944" s="3">
        <f t="shared" si="678"/>
        <v>23</v>
      </c>
      <c r="N2944" s="3">
        <f t="shared" si="679"/>
        <v>12</v>
      </c>
      <c r="O2944" s="14">
        <f t="shared" si="679"/>
        <v>23</v>
      </c>
      <c r="P2944" s="4">
        <v>13248.12</v>
      </c>
      <c r="T2944" s="5" t="s">
        <v>1269</v>
      </c>
      <c r="U2944" s="3" t="s">
        <v>2</v>
      </c>
      <c r="V2944" s="3" t="s">
        <v>5</v>
      </c>
    </row>
    <row r="2945" spans="1:22" hidden="1">
      <c r="J2945" s="1" t="str">
        <f t="shared" si="675"/>
        <v>0</v>
      </c>
      <c r="K2945" s="3">
        <f t="shared" si="676"/>
        <v>-100</v>
      </c>
      <c r="L2945" s="3">
        <f t="shared" si="677"/>
        <v>1</v>
      </c>
      <c r="M2945" s="3">
        <f t="shared" si="678"/>
        <v>0</v>
      </c>
      <c r="N2945" s="3" t="str">
        <f t="shared" si="679"/>
        <v>01</v>
      </c>
      <c r="O2945" s="14" t="str">
        <f t="shared" si="679"/>
        <v>00</v>
      </c>
    </row>
    <row r="2946" spans="1:22">
      <c r="A2946" s="3">
        <v>2925</v>
      </c>
      <c r="B2946" s="1">
        <f t="shared" si="671"/>
        <v>0</v>
      </c>
      <c r="C2946" s="1">
        <f t="shared" si="672"/>
        <v>1</v>
      </c>
      <c r="D2946" s="1">
        <f t="shared" si="673"/>
        <v>0</v>
      </c>
      <c r="E2946" s="1">
        <f t="shared" si="674"/>
        <v>0</v>
      </c>
      <c r="F2946" s="1">
        <f t="shared" si="674"/>
        <v>0</v>
      </c>
      <c r="G2946" s="1" t="str">
        <f t="shared" si="680"/>
        <v>24122306</v>
      </c>
      <c r="H2946" s="2">
        <v>45649</v>
      </c>
      <c r="I2946" s="36">
        <v>6</v>
      </c>
      <c r="J2946" s="1" t="str">
        <f t="shared" si="675"/>
        <v>06</v>
      </c>
      <c r="K2946" s="3">
        <f t="shared" si="676"/>
        <v>24</v>
      </c>
      <c r="L2946" s="3">
        <f t="shared" si="677"/>
        <v>12</v>
      </c>
      <c r="M2946" s="3">
        <f t="shared" si="678"/>
        <v>23</v>
      </c>
      <c r="N2946" s="3">
        <f t="shared" si="679"/>
        <v>12</v>
      </c>
      <c r="O2946" s="14">
        <f t="shared" si="679"/>
        <v>23</v>
      </c>
      <c r="P2946" s="4">
        <v>58550.3</v>
      </c>
      <c r="T2946" s="5" t="s">
        <v>1300</v>
      </c>
      <c r="U2946" s="3" t="s">
        <v>29</v>
      </c>
      <c r="V2946" s="3" t="s">
        <v>5</v>
      </c>
    </row>
    <row r="2947" spans="1:22" hidden="1">
      <c r="J2947" s="1" t="str">
        <f t="shared" si="675"/>
        <v>0</v>
      </c>
      <c r="K2947" s="3">
        <f t="shared" si="676"/>
        <v>-100</v>
      </c>
      <c r="L2947" s="3">
        <f t="shared" si="677"/>
        <v>1</v>
      </c>
      <c r="M2947" s="3">
        <f t="shared" si="678"/>
        <v>0</v>
      </c>
      <c r="N2947" s="3" t="str">
        <f t="shared" si="679"/>
        <v>01</v>
      </c>
      <c r="O2947" s="14" t="str">
        <f t="shared" si="679"/>
        <v>00</v>
      </c>
    </row>
    <row r="2948" spans="1:22" hidden="1">
      <c r="J2948" s="1" t="str">
        <f t="shared" si="675"/>
        <v>0</v>
      </c>
      <c r="K2948" s="3">
        <f t="shared" si="676"/>
        <v>-100</v>
      </c>
      <c r="L2948" s="3">
        <f t="shared" si="677"/>
        <v>1</v>
      </c>
      <c r="M2948" s="3">
        <f t="shared" si="678"/>
        <v>0</v>
      </c>
      <c r="N2948" s="3" t="str">
        <f t="shared" si="679"/>
        <v>01</v>
      </c>
      <c r="O2948" s="14" t="str">
        <f t="shared" si="679"/>
        <v>00</v>
      </c>
    </row>
    <row r="2949" spans="1:22" hidden="1">
      <c r="J2949" s="1" t="str">
        <f t="shared" si="675"/>
        <v>0</v>
      </c>
      <c r="K2949" s="3">
        <f t="shared" si="676"/>
        <v>-100</v>
      </c>
      <c r="L2949" s="3">
        <f t="shared" si="677"/>
        <v>1</v>
      </c>
      <c r="M2949" s="3">
        <f t="shared" si="678"/>
        <v>0</v>
      </c>
      <c r="N2949" s="3" t="str">
        <f t="shared" si="679"/>
        <v>01</v>
      </c>
      <c r="O2949" s="14" t="str">
        <f t="shared" si="679"/>
        <v>00</v>
      </c>
    </row>
    <row r="2950" spans="1:22">
      <c r="A2950" s="3">
        <v>2926</v>
      </c>
      <c r="B2950" s="1">
        <f t="shared" si="671"/>
        <v>0</v>
      </c>
      <c r="C2950" s="1">
        <f t="shared" si="672"/>
        <v>1</v>
      </c>
      <c r="D2950" s="1">
        <f t="shared" si="673"/>
        <v>0</v>
      </c>
      <c r="E2950" s="1">
        <f t="shared" si="674"/>
        <v>1</v>
      </c>
      <c r="F2950" s="1">
        <f t="shared" si="674"/>
        <v>0</v>
      </c>
      <c r="G2950" s="1" t="str">
        <f t="shared" si="680"/>
        <v>24122403</v>
      </c>
      <c r="H2950" s="2">
        <v>45650</v>
      </c>
      <c r="I2950" s="36">
        <v>3</v>
      </c>
      <c r="J2950" s="1" t="str">
        <f t="shared" si="675"/>
        <v>03</v>
      </c>
      <c r="K2950" s="3">
        <f t="shared" si="676"/>
        <v>24</v>
      </c>
      <c r="L2950" s="3">
        <f t="shared" si="677"/>
        <v>12</v>
      </c>
      <c r="M2950" s="3">
        <f t="shared" si="678"/>
        <v>24</v>
      </c>
      <c r="N2950" s="3">
        <f t="shared" si="679"/>
        <v>12</v>
      </c>
      <c r="O2950" s="14">
        <f t="shared" si="679"/>
        <v>24</v>
      </c>
      <c r="P2950" s="4">
        <v>431862.71</v>
      </c>
      <c r="T2950" s="5" t="s">
        <v>1284</v>
      </c>
      <c r="V2950" s="3" t="s">
        <v>5</v>
      </c>
    </row>
    <row r="2951" spans="1:22" hidden="1">
      <c r="J2951" s="1" t="str">
        <f t="shared" si="675"/>
        <v>0</v>
      </c>
      <c r="K2951" s="3">
        <f t="shared" si="676"/>
        <v>-100</v>
      </c>
      <c r="L2951" s="3">
        <f t="shared" si="677"/>
        <v>1</v>
      </c>
      <c r="M2951" s="3">
        <f t="shared" si="678"/>
        <v>0</v>
      </c>
      <c r="N2951" s="3" t="str">
        <f t="shared" si="679"/>
        <v>01</v>
      </c>
      <c r="O2951" s="14" t="str">
        <f t="shared" si="679"/>
        <v>00</v>
      </c>
    </row>
    <row r="2952" spans="1:22" hidden="1">
      <c r="J2952" s="1" t="str">
        <f t="shared" si="675"/>
        <v>0</v>
      </c>
      <c r="K2952" s="3">
        <f t="shared" si="676"/>
        <v>-100</v>
      </c>
      <c r="L2952" s="3">
        <f t="shared" si="677"/>
        <v>1</v>
      </c>
      <c r="M2952" s="3">
        <f t="shared" si="678"/>
        <v>0</v>
      </c>
      <c r="N2952" s="3" t="str">
        <f t="shared" si="679"/>
        <v>01</v>
      </c>
      <c r="O2952" s="14" t="str">
        <f t="shared" si="679"/>
        <v>00</v>
      </c>
    </row>
    <row r="2953" spans="1:22">
      <c r="A2953" s="3">
        <v>2929</v>
      </c>
      <c r="B2953" s="1">
        <f t="shared" si="671"/>
        <v>0</v>
      </c>
      <c r="C2953" s="1">
        <f t="shared" si="672"/>
        <v>0</v>
      </c>
      <c r="D2953" s="1">
        <f t="shared" si="673"/>
        <v>0</v>
      </c>
      <c r="E2953" s="1">
        <f t="shared" si="674"/>
        <v>0</v>
      </c>
      <c r="F2953" s="1">
        <f t="shared" si="674"/>
        <v>0</v>
      </c>
      <c r="G2953" s="1" t="str">
        <f t="shared" si="680"/>
        <v>24122601</v>
      </c>
      <c r="H2953" s="2">
        <v>45652</v>
      </c>
      <c r="I2953" s="36">
        <v>1</v>
      </c>
      <c r="J2953" s="1" t="str">
        <f t="shared" si="675"/>
        <v>01</v>
      </c>
      <c r="K2953" s="3">
        <f t="shared" si="676"/>
        <v>24</v>
      </c>
      <c r="L2953" s="3">
        <f t="shared" si="677"/>
        <v>12</v>
      </c>
      <c r="M2953" s="3">
        <f t="shared" si="678"/>
        <v>26</v>
      </c>
      <c r="N2953" s="3">
        <f t="shared" si="679"/>
        <v>12</v>
      </c>
      <c r="O2953" s="14">
        <f t="shared" si="679"/>
        <v>26</v>
      </c>
      <c r="P2953" s="4">
        <v>7000</v>
      </c>
      <c r="T2953" s="5" t="s">
        <v>189</v>
      </c>
      <c r="U2953" s="3" t="s">
        <v>29</v>
      </c>
      <c r="V2953" s="3" t="s">
        <v>5</v>
      </c>
    </row>
    <row r="2954" spans="1:22" hidden="1">
      <c r="J2954" s="1" t="str">
        <f t="shared" si="675"/>
        <v>0</v>
      </c>
      <c r="K2954" s="3">
        <f t="shared" si="676"/>
        <v>-100</v>
      </c>
      <c r="L2954" s="3">
        <f t="shared" si="677"/>
        <v>1</v>
      </c>
      <c r="M2954" s="3">
        <f t="shared" si="678"/>
        <v>0</v>
      </c>
      <c r="N2954" s="3" t="str">
        <f t="shared" si="679"/>
        <v>01</v>
      </c>
      <c r="O2954" s="14" t="str">
        <f t="shared" si="679"/>
        <v>00</v>
      </c>
    </row>
    <row r="2955" spans="1:22" hidden="1">
      <c r="J2955" s="1" t="str">
        <f t="shared" si="675"/>
        <v>0</v>
      </c>
      <c r="K2955" s="3">
        <f t="shared" si="676"/>
        <v>-100</v>
      </c>
      <c r="L2955" s="3">
        <f t="shared" si="677"/>
        <v>1</v>
      </c>
      <c r="M2955" s="3">
        <f t="shared" si="678"/>
        <v>0</v>
      </c>
      <c r="N2955" s="3" t="str">
        <f t="shared" si="679"/>
        <v>01</v>
      </c>
      <c r="O2955" s="14" t="str">
        <f t="shared" si="679"/>
        <v>00</v>
      </c>
    </row>
    <row r="2956" spans="1:22" hidden="1">
      <c r="J2956" s="1" t="str">
        <f t="shared" si="675"/>
        <v>0</v>
      </c>
      <c r="K2956" s="3">
        <f t="shared" si="676"/>
        <v>-100</v>
      </c>
      <c r="L2956" s="3">
        <f t="shared" si="677"/>
        <v>1</v>
      </c>
      <c r="M2956" s="3">
        <f t="shared" si="678"/>
        <v>0</v>
      </c>
      <c r="N2956" s="3" t="str">
        <f t="shared" si="679"/>
        <v>01</v>
      </c>
      <c r="O2956" s="14" t="str">
        <f t="shared" si="679"/>
        <v>00</v>
      </c>
    </row>
    <row r="2957" spans="1:22" hidden="1">
      <c r="J2957" s="1" t="str">
        <f t="shared" si="675"/>
        <v>0</v>
      </c>
      <c r="K2957" s="3">
        <f t="shared" si="676"/>
        <v>-100</v>
      </c>
      <c r="L2957" s="3">
        <f t="shared" si="677"/>
        <v>1</v>
      </c>
      <c r="M2957" s="3">
        <f t="shared" si="678"/>
        <v>0</v>
      </c>
      <c r="N2957" s="3" t="str">
        <f t="shared" si="679"/>
        <v>01</v>
      </c>
      <c r="O2957" s="14" t="str">
        <f t="shared" si="679"/>
        <v>00</v>
      </c>
    </row>
    <row r="2958" spans="1:22" hidden="1">
      <c r="J2958" s="1" t="str">
        <f t="shared" si="675"/>
        <v>0</v>
      </c>
      <c r="K2958" s="3">
        <f t="shared" si="676"/>
        <v>-100</v>
      </c>
      <c r="L2958" s="3">
        <f t="shared" si="677"/>
        <v>1</v>
      </c>
      <c r="M2958" s="3">
        <f t="shared" si="678"/>
        <v>0</v>
      </c>
      <c r="N2958" s="3" t="str">
        <f t="shared" si="679"/>
        <v>01</v>
      </c>
      <c r="O2958" s="14" t="str">
        <f t="shared" si="679"/>
        <v>00</v>
      </c>
    </row>
    <row r="2959" spans="1:22" hidden="1">
      <c r="J2959" s="1" t="str">
        <f t="shared" si="675"/>
        <v>0</v>
      </c>
      <c r="K2959" s="3">
        <f t="shared" si="676"/>
        <v>-100</v>
      </c>
      <c r="L2959" s="3">
        <f t="shared" si="677"/>
        <v>1</v>
      </c>
      <c r="M2959" s="3">
        <f t="shared" si="678"/>
        <v>0</v>
      </c>
      <c r="N2959" s="3" t="str">
        <f t="shared" si="679"/>
        <v>01</v>
      </c>
      <c r="O2959" s="14" t="str">
        <f t="shared" si="679"/>
        <v>00</v>
      </c>
    </row>
    <row r="2960" spans="1:22" hidden="1">
      <c r="J2960" s="1" t="str">
        <f t="shared" si="675"/>
        <v>0</v>
      </c>
      <c r="K2960" s="3">
        <f t="shared" si="676"/>
        <v>-100</v>
      </c>
      <c r="L2960" s="3">
        <f t="shared" si="677"/>
        <v>1</v>
      </c>
      <c r="M2960" s="3">
        <f t="shared" si="678"/>
        <v>0</v>
      </c>
      <c r="N2960" s="3" t="str">
        <f t="shared" si="679"/>
        <v>01</v>
      </c>
      <c r="O2960" s="14" t="str">
        <f t="shared" si="679"/>
        <v>00</v>
      </c>
    </row>
    <row r="2961" spans="1:22" hidden="1">
      <c r="J2961" s="1" t="str">
        <f t="shared" si="675"/>
        <v>0</v>
      </c>
      <c r="K2961" s="3">
        <f t="shared" si="676"/>
        <v>-100</v>
      </c>
      <c r="L2961" s="3">
        <f t="shared" si="677"/>
        <v>1</v>
      </c>
      <c r="M2961" s="3">
        <f t="shared" si="678"/>
        <v>0</v>
      </c>
      <c r="N2961" s="3" t="str">
        <f t="shared" si="679"/>
        <v>01</v>
      </c>
      <c r="O2961" s="14" t="str">
        <f t="shared" si="679"/>
        <v>00</v>
      </c>
    </row>
    <row r="2962" spans="1:22">
      <c r="A2962" s="3">
        <v>2875</v>
      </c>
      <c r="B2962" s="1">
        <f t="shared" si="671"/>
        <v>0</v>
      </c>
      <c r="C2962" s="1">
        <f t="shared" si="672"/>
        <v>0</v>
      </c>
      <c r="D2962" s="1">
        <f t="shared" si="673"/>
        <v>0</v>
      </c>
      <c r="E2962" s="1">
        <f t="shared" si="674"/>
        <v>0</v>
      </c>
      <c r="F2962" s="1">
        <f t="shared" si="674"/>
        <v>0</v>
      </c>
      <c r="G2962" s="1" t="str">
        <f t="shared" si="680"/>
        <v>24122701</v>
      </c>
      <c r="H2962" s="2">
        <v>45653</v>
      </c>
      <c r="I2962" s="36">
        <v>1</v>
      </c>
      <c r="J2962" s="1" t="str">
        <f t="shared" si="675"/>
        <v>01</v>
      </c>
      <c r="K2962" s="3">
        <f t="shared" si="676"/>
        <v>24</v>
      </c>
      <c r="L2962" s="3">
        <f t="shared" si="677"/>
        <v>12</v>
      </c>
      <c r="M2962" s="3">
        <f t="shared" si="678"/>
        <v>27</v>
      </c>
      <c r="N2962" s="3">
        <f t="shared" si="679"/>
        <v>12</v>
      </c>
      <c r="O2962" s="14">
        <f t="shared" si="679"/>
        <v>27</v>
      </c>
      <c r="Q2962" s="5">
        <v>2093</v>
      </c>
      <c r="T2962" s="5" t="s">
        <v>1273</v>
      </c>
      <c r="U2962" s="3" t="s">
        <v>3</v>
      </c>
      <c r="V2962" s="3" t="s">
        <v>5</v>
      </c>
    </row>
    <row r="2963" spans="1:22" hidden="1">
      <c r="J2963" s="1" t="str">
        <f t="shared" si="675"/>
        <v>0</v>
      </c>
      <c r="K2963" s="3">
        <f t="shared" si="676"/>
        <v>-100</v>
      </c>
      <c r="L2963" s="3">
        <f t="shared" si="677"/>
        <v>1</v>
      </c>
      <c r="M2963" s="3">
        <f t="shared" si="678"/>
        <v>0</v>
      </c>
      <c r="N2963" s="3" t="str">
        <f t="shared" si="679"/>
        <v>01</v>
      </c>
      <c r="O2963" s="14" t="str">
        <f t="shared" si="679"/>
        <v>00</v>
      </c>
    </row>
    <row r="2964" spans="1:22" hidden="1">
      <c r="J2964" s="1" t="str">
        <f t="shared" si="675"/>
        <v>0</v>
      </c>
      <c r="K2964" s="3">
        <f t="shared" si="676"/>
        <v>-100</v>
      </c>
      <c r="L2964" s="3">
        <f t="shared" si="677"/>
        <v>1</v>
      </c>
      <c r="M2964" s="3">
        <f t="shared" si="678"/>
        <v>0</v>
      </c>
      <c r="N2964" s="3" t="str">
        <f t="shared" si="679"/>
        <v>01</v>
      </c>
      <c r="O2964" s="14" t="str">
        <f t="shared" si="679"/>
        <v>00</v>
      </c>
    </row>
    <row r="2965" spans="1:22" hidden="1">
      <c r="J2965" s="1" t="str">
        <f t="shared" si="675"/>
        <v>0</v>
      </c>
      <c r="K2965" s="3">
        <f t="shared" si="676"/>
        <v>-100</v>
      </c>
      <c r="L2965" s="3">
        <f t="shared" si="677"/>
        <v>1</v>
      </c>
      <c r="M2965" s="3">
        <f t="shared" si="678"/>
        <v>0</v>
      </c>
      <c r="N2965" s="3" t="str">
        <f t="shared" si="679"/>
        <v>01</v>
      </c>
      <c r="O2965" s="14" t="str">
        <f t="shared" si="679"/>
        <v>00</v>
      </c>
    </row>
    <row r="2966" spans="1:22" hidden="1">
      <c r="J2966" s="1" t="str">
        <f t="shared" si="675"/>
        <v>0</v>
      </c>
      <c r="K2966" s="3">
        <f t="shared" si="676"/>
        <v>-100</v>
      </c>
      <c r="L2966" s="3">
        <f t="shared" si="677"/>
        <v>1</v>
      </c>
      <c r="M2966" s="3">
        <f t="shared" si="678"/>
        <v>0</v>
      </c>
      <c r="N2966" s="3" t="str">
        <f t="shared" si="679"/>
        <v>01</v>
      </c>
      <c r="O2966" s="14" t="str">
        <f t="shared" si="679"/>
        <v>00</v>
      </c>
    </row>
    <row r="2967" spans="1:22">
      <c r="A2967" s="3">
        <v>2939</v>
      </c>
      <c r="B2967" s="1">
        <f t="shared" si="671"/>
        <v>0</v>
      </c>
      <c r="C2967" s="1">
        <f t="shared" si="672"/>
        <v>0</v>
      </c>
      <c r="D2967" s="1">
        <f t="shared" si="673"/>
        <v>0</v>
      </c>
      <c r="E2967" s="1">
        <f t="shared" si="674"/>
        <v>0</v>
      </c>
      <c r="F2967" s="1">
        <f t="shared" si="674"/>
        <v>0</v>
      </c>
      <c r="G2967" s="1" t="str">
        <f t="shared" si="680"/>
        <v>24122801</v>
      </c>
      <c r="H2967" s="2">
        <v>45654</v>
      </c>
      <c r="I2967" s="36">
        <v>1</v>
      </c>
      <c r="J2967" s="1" t="str">
        <f t="shared" si="675"/>
        <v>01</v>
      </c>
      <c r="K2967" s="3">
        <f t="shared" si="676"/>
        <v>24</v>
      </c>
      <c r="L2967" s="3">
        <f t="shared" si="677"/>
        <v>12</v>
      </c>
      <c r="M2967" s="3">
        <f t="shared" si="678"/>
        <v>28</v>
      </c>
      <c r="N2967" s="3">
        <f t="shared" si="679"/>
        <v>12</v>
      </c>
      <c r="O2967" s="14">
        <f t="shared" si="679"/>
        <v>28</v>
      </c>
      <c r="P2967" s="4">
        <v>13176.93</v>
      </c>
      <c r="T2967" s="5" t="s">
        <v>1284</v>
      </c>
      <c r="U2967" s="3" t="s">
        <v>29</v>
      </c>
      <c r="V2967" s="3" t="s">
        <v>5</v>
      </c>
    </row>
    <row r="2968" spans="1:22">
      <c r="A2968" s="3">
        <v>2940</v>
      </c>
      <c r="B2968" s="1">
        <f t="shared" si="671"/>
        <v>0</v>
      </c>
      <c r="C2968" s="1">
        <f t="shared" si="672"/>
        <v>0</v>
      </c>
      <c r="D2968" s="1">
        <f t="shared" si="673"/>
        <v>0</v>
      </c>
      <c r="E2968" s="1">
        <f t="shared" si="674"/>
        <v>0</v>
      </c>
      <c r="F2968" s="1">
        <f t="shared" si="674"/>
        <v>0</v>
      </c>
      <c r="G2968" s="1" t="str">
        <f t="shared" si="680"/>
        <v>24122802</v>
      </c>
      <c r="H2968" s="2">
        <v>45654</v>
      </c>
      <c r="I2968" s="36">
        <v>2</v>
      </c>
      <c r="J2968" s="1" t="str">
        <f t="shared" si="675"/>
        <v>02</v>
      </c>
      <c r="K2968" s="3">
        <f t="shared" si="676"/>
        <v>24</v>
      </c>
      <c r="L2968" s="3">
        <f t="shared" si="677"/>
        <v>12</v>
      </c>
      <c r="M2968" s="3">
        <f t="shared" si="678"/>
        <v>28</v>
      </c>
      <c r="N2968" s="3">
        <f t="shared" si="679"/>
        <v>12</v>
      </c>
      <c r="O2968" s="14">
        <f t="shared" si="679"/>
        <v>28</v>
      </c>
      <c r="P2968" s="4">
        <v>47664.77</v>
      </c>
      <c r="T2968" s="5" t="s">
        <v>1284</v>
      </c>
      <c r="U2968" s="3" t="s">
        <v>29</v>
      </c>
      <c r="V2968" s="3" t="s">
        <v>5</v>
      </c>
    </row>
    <row r="2969" spans="1:22" hidden="1">
      <c r="J2969" s="1" t="str">
        <f t="shared" si="675"/>
        <v>0</v>
      </c>
      <c r="K2969" s="3">
        <f t="shared" si="676"/>
        <v>-100</v>
      </c>
      <c r="L2969" s="3">
        <f t="shared" si="677"/>
        <v>1</v>
      </c>
      <c r="M2969" s="3">
        <f t="shared" si="678"/>
        <v>0</v>
      </c>
      <c r="N2969" s="3" t="str">
        <f t="shared" si="679"/>
        <v>01</v>
      </c>
      <c r="O2969" s="14" t="str">
        <f t="shared" si="679"/>
        <v>00</v>
      </c>
    </row>
    <row r="2970" spans="1:22" hidden="1">
      <c r="J2970" s="1" t="str">
        <f t="shared" si="675"/>
        <v>0</v>
      </c>
      <c r="K2970" s="3">
        <f t="shared" si="676"/>
        <v>-100</v>
      </c>
      <c r="L2970" s="3">
        <f t="shared" si="677"/>
        <v>1</v>
      </c>
      <c r="M2970" s="3">
        <f t="shared" si="678"/>
        <v>0</v>
      </c>
      <c r="N2970" s="3" t="str">
        <f t="shared" si="679"/>
        <v>01</v>
      </c>
      <c r="O2970" s="14" t="str">
        <f t="shared" si="679"/>
        <v>00</v>
      </c>
    </row>
    <row r="2971" spans="1:22" hidden="1">
      <c r="J2971" s="1" t="str">
        <f t="shared" si="675"/>
        <v>0</v>
      </c>
      <c r="K2971" s="3">
        <f t="shared" si="676"/>
        <v>-100</v>
      </c>
      <c r="L2971" s="3">
        <f t="shared" si="677"/>
        <v>1</v>
      </c>
      <c r="M2971" s="3">
        <f t="shared" si="678"/>
        <v>0</v>
      </c>
      <c r="N2971" s="3" t="str">
        <f t="shared" si="679"/>
        <v>01</v>
      </c>
      <c r="O2971" s="14" t="str">
        <f t="shared" si="679"/>
        <v>00</v>
      </c>
    </row>
    <row r="2972" spans="1:22" hidden="1">
      <c r="J2972" s="1" t="str">
        <f t="shared" si="675"/>
        <v>0</v>
      </c>
      <c r="K2972" s="3">
        <f t="shared" si="676"/>
        <v>-100</v>
      </c>
      <c r="L2972" s="3">
        <f t="shared" si="677"/>
        <v>1</v>
      </c>
      <c r="M2972" s="3">
        <f t="shared" si="678"/>
        <v>0</v>
      </c>
      <c r="N2972" s="3" t="str">
        <f t="shared" si="679"/>
        <v>01</v>
      </c>
      <c r="O2972" s="14" t="str">
        <f t="shared" si="679"/>
        <v>00</v>
      </c>
    </row>
    <row r="2973" spans="1:22" hidden="1">
      <c r="J2973" s="1" t="str">
        <f t="shared" si="675"/>
        <v>0</v>
      </c>
      <c r="K2973" s="3">
        <f t="shared" si="676"/>
        <v>-100</v>
      </c>
      <c r="L2973" s="3">
        <f t="shared" si="677"/>
        <v>1</v>
      </c>
      <c r="M2973" s="3">
        <f t="shared" si="678"/>
        <v>0</v>
      </c>
      <c r="N2973" s="3" t="str">
        <f t="shared" si="679"/>
        <v>01</v>
      </c>
      <c r="O2973" s="14" t="str">
        <f t="shared" si="679"/>
        <v>00</v>
      </c>
    </row>
    <row r="2974" spans="1:22" hidden="1">
      <c r="J2974" s="1" t="str">
        <f t="shared" si="675"/>
        <v>0</v>
      </c>
      <c r="K2974" s="3">
        <f t="shared" si="676"/>
        <v>-100</v>
      </c>
      <c r="L2974" s="3">
        <f t="shared" si="677"/>
        <v>1</v>
      </c>
      <c r="M2974" s="3">
        <f t="shared" si="678"/>
        <v>0</v>
      </c>
      <c r="N2974" s="3" t="str">
        <f t="shared" si="679"/>
        <v>01</v>
      </c>
      <c r="O2974" s="14" t="str">
        <f t="shared" si="679"/>
        <v>00</v>
      </c>
    </row>
    <row r="2975" spans="1:22">
      <c r="A2975" s="3">
        <v>2876</v>
      </c>
      <c r="B2975" s="1">
        <f t="shared" si="671"/>
        <v>0</v>
      </c>
      <c r="C2975" s="1">
        <f t="shared" si="672"/>
        <v>0</v>
      </c>
      <c r="D2975" s="1">
        <f t="shared" si="673"/>
        <v>0</v>
      </c>
      <c r="E2975" s="1">
        <f t="shared" si="674"/>
        <v>0</v>
      </c>
      <c r="F2975" s="1">
        <f t="shared" si="674"/>
        <v>0</v>
      </c>
      <c r="G2975" s="1" t="str">
        <f t="shared" si="680"/>
        <v>24122901</v>
      </c>
      <c r="H2975" s="2">
        <v>45655</v>
      </c>
      <c r="I2975" s="36">
        <v>1</v>
      </c>
      <c r="J2975" s="1" t="str">
        <f t="shared" si="675"/>
        <v>01</v>
      </c>
      <c r="K2975" s="3">
        <f t="shared" si="676"/>
        <v>24</v>
      </c>
      <c r="L2975" s="3">
        <f t="shared" si="677"/>
        <v>12</v>
      </c>
      <c r="M2975" s="3">
        <f t="shared" si="678"/>
        <v>29</v>
      </c>
      <c r="N2975" s="3">
        <f t="shared" si="679"/>
        <v>12</v>
      </c>
      <c r="O2975" s="14">
        <f t="shared" si="679"/>
        <v>29</v>
      </c>
      <c r="Q2975" s="5">
        <v>84</v>
      </c>
      <c r="T2975" s="5" t="s">
        <v>1274</v>
      </c>
      <c r="U2975" s="3" t="s">
        <v>2</v>
      </c>
      <c r="V2975" s="3" t="s">
        <v>5</v>
      </c>
    </row>
    <row r="2976" spans="1:22" hidden="1">
      <c r="J2976" s="1" t="str">
        <f t="shared" si="675"/>
        <v>0</v>
      </c>
      <c r="K2976" s="3">
        <f t="shared" si="676"/>
        <v>-100</v>
      </c>
      <c r="L2976" s="3">
        <f t="shared" si="677"/>
        <v>1</v>
      </c>
      <c r="M2976" s="3">
        <f t="shared" si="678"/>
        <v>0</v>
      </c>
      <c r="N2976" s="3" t="str">
        <f t="shared" si="679"/>
        <v>01</v>
      </c>
      <c r="O2976" s="14" t="str">
        <f t="shared" si="679"/>
        <v>00</v>
      </c>
    </row>
    <row r="2977" spans="1:23" hidden="1">
      <c r="J2977" s="1" t="str">
        <f t="shared" si="675"/>
        <v>0</v>
      </c>
      <c r="K2977" s="3">
        <f t="shared" si="676"/>
        <v>-100</v>
      </c>
      <c r="L2977" s="3">
        <f t="shared" si="677"/>
        <v>1</v>
      </c>
      <c r="M2977" s="3">
        <f t="shared" si="678"/>
        <v>0</v>
      </c>
      <c r="N2977" s="3" t="str">
        <f t="shared" si="679"/>
        <v>01</v>
      </c>
      <c r="O2977" s="14" t="str">
        <f t="shared" si="679"/>
        <v>00</v>
      </c>
    </row>
    <row r="2978" spans="1:23" hidden="1">
      <c r="J2978" s="1" t="str">
        <f t="shared" si="675"/>
        <v>0</v>
      </c>
      <c r="K2978" s="3">
        <f t="shared" si="676"/>
        <v>-100</v>
      </c>
      <c r="L2978" s="3">
        <f t="shared" si="677"/>
        <v>1</v>
      </c>
      <c r="M2978" s="3">
        <f t="shared" si="678"/>
        <v>0</v>
      </c>
      <c r="N2978" s="3" t="str">
        <f t="shared" si="679"/>
        <v>01</v>
      </c>
      <c r="O2978" s="14" t="str">
        <f t="shared" si="679"/>
        <v>00</v>
      </c>
    </row>
    <row r="2979" spans="1:23">
      <c r="A2979" s="3">
        <v>2958</v>
      </c>
      <c r="B2979" s="1">
        <f t="shared" si="671"/>
        <v>0</v>
      </c>
      <c r="C2979" s="1">
        <f t="shared" si="672"/>
        <v>1</v>
      </c>
      <c r="D2979" s="1">
        <f t="shared" ref="D2979:D2986" si="681">+IF(AND(P2979="",Q2979=""),1,0)</f>
        <v>0</v>
      </c>
      <c r="E2979" s="1">
        <f t="shared" si="674"/>
        <v>0</v>
      </c>
      <c r="F2979" s="1">
        <f t="shared" si="674"/>
        <v>0</v>
      </c>
      <c r="G2979" s="1" t="str">
        <f t="shared" si="680"/>
        <v>24122905</v>
      </c>
      <c r="H2979" s="2">
        <v>45655</v>
      </c>
      <c r="I2979" s="36">
        <v>5</v>
      </c>
      <c r="J2979" s="1" t="str">
        <f t="shared" si="675"/>
        <v>05</v>
      </c>
      <c r="K2979" s="3">
        <f t="shared" si="676"/>
        <v>24</v>
      </c>
      <c r="L2979" s="3">
        <f t="shared" si="677"/>
        <v>12</v>
      </c>
      <c r="M2979" s="3">
        <f t="shared" si="678"/>
        <v>29</v>
      </c>
      <c r="N2979" s="3">
        <f t="shared" si="679"/>
        <v>12</v>
      </c>
      <c r="O2979" s="14">
        <f t="shared" si="679"/>
        <v>29</v>
      </c>
      <c r="P2979" s="4">
        <v>21200</v>
      </c>
      <c r="T2979" s="5" t="s">
        <v>1293</v>
      </c>
      <c r="U2979" s="3" t="s">
        <v>1</v>
      </c>
      <c r="V2979" s="3" t="s">
        <v>5</v>
      </c>
    </row>
    <row r="2980" spans="1:23">
      <c r="A2980" s="3">
        <v>2959</v>
      </c>
      <c r="B2980" s="1">
        <f t="shared" si="671"/>
        <v>0</v>
      </c>
      <c r="C2980" s="1">
        <f t="shared" si="672"/>
        <v>0</v>
      </c>
      <c r="D2980" s="1">
        <f t="shared" si="681"/>
        <v>0</v>
      </c>
      <c r="E2980" s="1">
        <f t="shared" si="674"/>
        <v>0</v>
      </c>
      <c r="F2980" s="1">
        <f t="shared" si="674"/>
        <v>0</v>
      </c>
      <c r="G2980" s="1" t="str">
        <f t="shared" si="680"/>
        <v>24122906</v>
      </c>
      <c r="H2980" s="2">
        <v>45655</v>
      </c>
      <c r="I2980" s="36">
        <v>6</v>
      </c>
      <c r="J2980" s="1" t="str">
        <f t="shared" si="675"/>
        <v>06</v>
      </c>
      <c r="K2980" s="3">
        <f t="shared" si="676"/>
        <v>24</v>
      </c>
      <c r="L2980" s="3">
        <f t="shared" si="677"/>
        <v>12</v>
      </c>
      <c r="M2980" s="3">
        <f t="shared" si="678"/>
        <v>29</v>
      </c>
      <c r="N2980" s="3">
        <f t="shared" si="679"/>
        <v>12</v>
      </c>
      <c r="O2980" s="14">
        <f t="shared" si="679"/>
        <v>29</v>
      </c>
      <c r="P2980" s="4">
        <v>132000</v>
      </c>
      <c r="T2980" s="5" t="s">
        <v>1287</v>
      </c>
      <c r="U2980" s="3" t="s">
        <v>1</v>
      </c>
      <c r="V2980" s="3" t="s">
        <v>5</v>
      </c>
    </row>
    <row r="2981" spans="1:23">
      <c r="A2981" s="3">
        <v>2960</v>
      </c>
      <c r="B2981" s="1">
        <f t="shared" si="671"/>
        <v>0</v>
      </c>
      <c r="C2981" s="1">
        <f t="shared" si="672"/>
        <v>0</v>
      </c>
      <c r="D2981" s="1">
        <f t="shared" si="681"/>
        <v>0</v>
      </c>
      <c r="E2981" s="1">
        <f t="shared" si="674"/>
        <v>0</v>
      </c>
      <c r="F2981" s="1">
        <f t="shared" si="674"/>
        <v>0</v>
      </c>
      <c r="G2981" s="1" t="str">
        <f t="shared" si="680"/>
        <v>24122907</v>
      </c>
      <c r="H2981" s="2">
        <v>45655</v>
      </c>
      <c r="I2981" s="36">
        <v>7</v>
      </c>
      <c r="J2981" s="1" t="str">
        <f t="shared" si="675"/>
        <v>07</v>
      </c>
      <c r="K2981" s="3">
        <f t="shared" si="676"/>
        <v>24</v>
      </c>
      <c r="L2981" s="3">
        <f t="shared" si="677"/>
        <v>12</v>
      </c>
      <c r="M2981" s="3">
        <f t="shared" si="678"/>
        <v>29</v>
      </c>
      <c r="N2981" s="3">
        <f t="shared" si="679"/>
        <v>12</v>
      </c>
      <c r="O2981" s="14">
        <f t="shared" si="679"/>
        <v>29</v>
      </c>
      <c r="P2981" s="4">
        <v>138000</v>
      </c>
      <c r="T2981" s="5" t="s">
        <v>1294</v>
      </c>
      <c r="U2981" s="3" t="s">
        <v>1</v>
      </c>
      <c r="V2981" s="3" t="s">
        <v>5</v>
      </c>
    </row>
    <row r="2982" spans="1:23">
      <c r="A2982" s="3">
        <v>2961</v>
      </c>
      <c r="B2982" s="1">
        <f t="shared" si="671"/>
        <v>0</v>
      </c>
      <c r="C2982" s="1">
        <f t="shared" si="672"/>
        <v>0</v>
      </c>
      <c r="D2982" s="1">
        <f t="shared" si="681"/>
        <v>0</v>
      </c>
      <c r="E2982" s="1">
        <f t="shared" si="674"/>
        <v>0</v>
      </c>
      <c r="F2982" s="1">
        <f t="shared" si="674"/>
        <v>0</v>
      </c>
      <c r="G2982" s="1" t="str">
        <f t="shared" si="680"/>
        <v>24122908</v>
      </c>
      <c r="H2982" s="2">
        <v>45655</v>
      </c>
      <c r="I2982" s="36">
        <v>8</v>
      </c>
      <c r="J2982" s="1" t="str">
        <f t="shared" si="675"/>
        <v>08</v>
      </c>
      <c r="K2982" s="3">
        <f t="shared" si="676"/>
        <v>24</v>
      </c>
      <c r="L2982" s="3">
        <f t="shared" si="677"/>
        <v>12</v>
      </c>
      <c r="M2982" s="3">
        <f t="shared" si="678"/>
        <v>29</v>
      </c>
      <c r="N2982" s="3">
        <f t="shared" si="679"/>
        <v>12</v>
      </c>
      <c r="O2982" s="14">
        <f t="shared" si="679"/>
        <v>29</v>
      </c>
      <c r="P2982" s="4">
        <v>17600</v>
      </c>
      <c r="T2982" s="5" t="s">
        <v>1295</v>
      </c>
      <c r="U2982" s="3" t="s">
        <v>1</v>
      </c>
      <c r="V2982" s="3" t="s">
        <v>5</v>
      </c>
    </row>
    <row r="2983" spans="1:23">
      <c r="A2983" s="3">
        <v>2962</v>
      </c>
      <c r="B2983" s="1">
        <f t="shared" si="671"/>
        <v>0</v>
      </c>
      <c r="C2983" s="1">
        <f t="shared" si="672"/>
        <v>0</v>
      </c>
      <c r="D2983" s="1">
        <f t="shared" si="681"/>
        <v>0</v>
      </c>
      <c r="E2983" s="1">
        <f t="shared" si="674"/>
        <v>0</v>
      </c>
      <c r="F2983" s="1">
        <f t="shared" si="674"/>
        <v>0</v>
      </c>
      <c r="G2983" s="1" t="str">
        <f t="shared" si="680"/>
        <v>24122909</v>
      </c>
      <c r="H2983" s="2">
        <v>45655</v>
      </c>
      <c r="I2983" s="36">
        <v>9</v>
      </c>
      <c r="J2983" s="1" t="str">
        <f t="shared" si="675"/>
        <v>09</v>
      </c>
      <c r="K2983" s="3">
        <f t="shared" si="676"/>
        <v>24</v>
      </c>
      <c r="L2983" s="3">
        <f t="shared" si="677"/>
        <v>12</v>
      </c>
      <c r="M2983" s="3">
        <f t="shared" si="678"/>
        <v>29</v>
      </c>
      <c r="N2983" s="3">
        <f t="shared" si="679"/>
        <v>12</v>
      </c>
      <c r="O2983" s="14">
        <f t="shared" si="679"/>
        <v>29</v>
      </c>
      <c r="P2983" s="4">
        <v>17600</v>
      </c>
      <c r="T2983" s="5" t="s">
        <v>1296</v>
      </c>
      <c r="U2983" s="3" t="s">
        <v>1</v>
      </c>
      <c r="V2983" s="3" t="s">
        <v>5</v>
      </c>
    </row>
    <row r="2984" spans="1:23">
      <c r="A2984" s="3">
        <v>2963</v>
      </c>
      <c r="B2984" s="1">
        <f t="shared" si="671"/>
        <v>0</v>
      </c>
      <c r="C2984" s="1">
        <f t="shared" si="672"/>
        <v>0</v>
      </c>
      <c r="D2984" s="1">
        <f t="shared" si="681"/>
        <v>0</v>
      </c>
      <c r="E2984" s="1">
        <f t="shared" si="674"/>
        <v>0</v>
      </c>
      <c r="F2984" s="1">
        <f t="shared" si="674"/>
        <v>0</v>
      </c>
      <c r="G2984" s="1" t="str">
        <f t="shared" si="680"/>
        <v>24122910</v>
      </c>
      <c r="H2984" s="2">
        <v>45655</v>
      </c>
      <c r="I2984" s="36">
        <v>10</v>
      </c>
      <c r="J2984" s="1">
        <f t="shared" si="675"/>
        <v>10</v>
      </c>
      <c r="K2984" s="3">
        <f t="shared" si="676"/>
        <v>24</v>
      </c>
      <c r="L2984" s="3">
        <f t="shared" si="677"/>
        <v>12</v>
      </c>
      <c r="M2984" s="3">
        <f t="shared" si="678"/>
        <v>29</v>
      </c>
      <c r="N2984" s="3">
        <f t="shared" si="679"/>
        <v>12</v>
      </c>
      <c r="O2984" s="14">
        <f t="shared" si="679"/>
        <v>29</v>
      </c>
      <c r="P2984" s="4">
        <v>21200</v>
      </c>
      <c r="T2984" s="5" t="s">
        <v>1297</v>
      </c>
      <c r="U2984" s="3" t="s">
        <v>1</v>
      </c>
      <c r="V2984" s="3" t="s">
        <v>5</v>
      </c>
    </row>
    <row r="2985" spans="1:23">
      <c r="A2985" s="3">
        <v>2964</v>
      </c>
      <c r="B2985" s="1">
        <f t="shared" si="671"/>
        <v>0</v>
      </c>
      <c r="C2985" s="1">
        <f t="shared" si="672"/>
        <v>0</v>
      </c>
      <c r="D2985" s="1">
        <f t="shared" si="681"/>
        <v>0</v>
      </c>
      <c r="E2985" s="1">
        <f t="shared" si="674"/>
        <v>0</v>
      </c>
      <c r="F2985" s="1">
        <f t="shared" si="674"/>
        <v>0</v>
      </c>
      <c r="G2985" s="1" t="str">
        <f t="shared" si="680"/>
        <v>24122911</v>
      </c>
      <c r="H2985" s="2">
        <v>45655</v>
      </c>
      <c r="I2985" s="36">
        <v>11</v>
      </c>
      <c r="J2985" s="1">
        <f t="shared" si="675"/>
        <v>11</v>
      </c>
      <c r="K2985" s="3">
        <f t="shared" si="676"/>
        <v>24</v>
      </c>
      <c r="L2985" s="3">
        <f t="shared" si="677"/>
        <v>12</v>
      </c>
      <c r="M2985" s="3">
        <f t="shared" si="678"/>
        <v>29</v>
      </c>
      <c r="N2985" s="3">
        <f t="shared" si="679"/>
        <v>12</v>
      </c>
      <c r="O2985" s="14">
        <f t="shared" si="679"/>
        <v>29</v>
      </c>
      <c r="P2985" s="4">
        <v>1099200</v>
      </c>
      <c r="T2985" s="5" t="s">
        <v>1298</v>
      </c>
      <c r="U2985" s="3" t="s">
        <v>1</v>
      </c>
      <c r="V2985" s="3" t="s">
        <v>5</v>
      </c>
    </row>
    <row r="2986" spans="1:23">
      <c r="A2986" s="3">
        <v>2965</v>
      </c>
      <c r="B2986" s="1">
        <f t="shared" si="671"/>
        <v>0</v>
      </c>
      <c r="C2986" s="1">
        <f t="shared" si="672"/>
        <v>0</v>
      </c>
      <c r="D2986" s="1">
        <f t="shared" si="681"/>
        <v>0</v>
      </c>
      <c r="E2986" s="1">
        <f t="shared" si="674"/>
        <v>0</v>
      </c>
      <c r="F2986" s="1">
        <f t="shared" si="674"/>
        <v>0</v>
      </c>
      <c r="G2986" s="1" t="str">
        <f t="shared" si="680"/>
        <v>24122912</v>
      </c>
      <c r="H2986" s="2">
        <v>45655</v>
      </c>
      <c r="I2986" s="36">
        <v>12</v>
      </c>
      <c r="J2986" s="1">
        <f t="shared" si="675"/>
        <v>12</v>
      </c>
      <c r="K2986" s="3">
        <f t="shared" si="676"/>
        <v>24</v>
      </c>
      <c r="L2986" s="3">
        <f t="shared" si="677"/>
        <v>12</v>
      </c>
      <c r="M2986" s="3">
        <f t="shared" si="678"/>
        <v>29</v>
      </c>
      <c r="N2986" s="3">
        <f t="shared" si="679"/>
        <v>12</v>
      </c>
      <c r="O2986" s="14">
        <f t="shared" si="679"/>
        <v>29</v>
      </c>
      <c r="P2986" s="4">
        <v>30000</v>
      </c>
      <c r="T2986" s="5" t="s">
        <v>1299</v>
      </c>
      <c r="U2986" s="3" t="s">
        <v>1</v>
      </c>
      <c r="V2986" s="3" t="s">
        <v>5</v>
      </c>
    </row>
    <row r="2987" spans="1:23" s="6" customFormat="1">
      <c r="A2987" s="3"/>
      <c r="B2987" s="1"/>
      <c r="C2987" s="1"/>
      <c r="D2987" s="1"/>
      <c r="E2987" s="1"/>
      <c r="F2987" s="1"/>
      <c r="G2987" s="1"/>
      <c r="H2987" s="2"/>
      <c r="I2987" s="36"/>
      <c r="J2987" s="1"/>
      <c r="K2987" s="3"/>
      <c r="L2987" s="3"/>
      <c r="M2987" s="3"/>
      <c r="N2987" s="3"/>
      <c r="O2987" s="14"/>
      <c r="P2987" s="45">
        <f>SUM(P8:P2986)</f>
        <v>99121382.386666611</v>
      </c>
      <c r="Q2987" s="5">
        <f>SUM(Q8:Q2986)</f>
        <v>32951</v>
      </c>
      <c r="S2987" s="5"/>
      <c r="T2987" s="5"/>
      <c r="U2987" s="3"/>
      <c r="V2987" s="3" t="s">
        <v>5</v>
      </c>
      <c r="W2987" s="3"/>
    </row>
  </sheetData>
  <autoFilter ref="A7:W2987" xr:uid="{97B3A003-09DF-4653-B37E-381CC44B72B6}">
    <filterColumn colId="21">
      <customFilters>
        <customFilter operator="notEqual" val=" "/>
      </customFilters>
    </filterColumn>
    <sortState xmlns:xlrd2="http://schemas.microsoft.com/office/spreadsheetml/2017/richdata2" ref="A8:W2986">
      <sortCondition ref="H7:H2986"/>
    </sortState>
  </autoFilter>
  <conditionalFormatting sqref="D1:E2 G1:G5 B3:F1048576">
    <cfRule type="cellIs" dxfId="1" priority="1" operator="greaterThan">
      <formula>0</formula>
    </cfRule>
  </conditionalFormatting>
  <dataValidations disablePrompts="1" count="1">
    <dataValidation type="list" allowBlank="1" showInputMessage="1" showErrorMessage="1" sqref="U7:U1575 U1578:U1775 U2223:U1048576 V7:V1303 U1777:V1808 V2223:V2439 V1306:V1775 U1818:V2221 V2441:V1048576" xr:uid="{8E550AB7-0AB8-4C51-9847-2A0EEAB97A6D}">
      <formula1>#REF!</formula1>
    </dataValidation>
  </dataValidations>
  <pageMargins left="0.7" right="0.7" top="0.75" bottom="0.75" header="0.3" footer="0.3"/>
  <pageSetup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0921B-82FB-4C07-A624-D5C241AE2DB7}">
  <dimension ref="A1:Y1399"/>
  <sheetViews>
    <sheetView zoomScaleNormal="100" workbookViewId="0">
      <pane ySplit="7" topLeftCell="A1215" activePane="bottomLeft" state="frozen"/>
      <selection pane="bottomLeft" activeCell="Q1271" sqref="Q1271"/>
    </sheetView>
  </sheetViews>
  <sheetFormatPr defaultColWidth="7.140625" defaultRowHeight="15" outlineLevelCol="1"/>
  <cols>
    <col min="1" max="1" width="4.28515625" style="142" customWidth="1"/>
    <col min="2" max="6" width="3.7109375" style="1" customWidth="1"/>
    <col min="7" max="7" width="14.140625" style="1" customWidth="1"/>
    <col min="8" max="8" width="11.5703125" style="2" bestFit="1" customWidth="1"/>
    <col min="9" max="9" width="9.5703125" style="113" bestFit="1" customWidth="1"/>
    <col min="10" max="10" width="4.7109375" style="1" hidden="1" customWidth="1" outlineLevel="1"/>
    <col min="11" max="14" width="4.7109375" style="3" hidden="1" customWidth="1" outlineLevel="1"/>
    <col min="15" max="15" width="4.7109375" style="14" hidden="1" customWidth="1" outlineLevel="1"/>
    <col min="16" max="16" width="18.42578125" style="4" customWidth="1" collapsed="1"/>
    <col min="17" max="17" width="19.140625" style="5" customWidth="1"/>
    <col min="18" max="18" width="15" style="6" hidden="1" customWidth="1" outlineLevel="1"/>
    <col min="19" max="19" width="13.28515625" style="5" hidden="1" customWidth="1" outlineLevel="1"/>
    <col min="20" max="20" width="67" style="5" customWidth="1" collapsed="1"/>
    <col min="21" max="23" width="12.28515625" style="3" customWidth="1"/>
    <col min="24" max="24" width="5.5703125" style="1" customWidth="1"/>
    <col min="25" max="25" width="39.140625" style="141" customWidth="1"/>
    <col min="26" max="16384" width="7.140625" style="3"/>
  </cols>
  <sheetData>
    <row r="1" spans="1:25" hidden="1">
      <c r="G1" s="14" t="s">
        <v>1060</v>
      </c>
      <c r="H1" s="1">
        <f>SUM(B:B)</f>
        <v>2</v>
      </c>
    </row>
    <row r="2" spans="1:25" hidden="1">
      <c r="G2" s="14" t="s">
        <v>1061</v>
      </c>
      <c r="H2" s="1" t="e">
        <f>SUM(C:C)</f>
        <v>#VALUE!</v>
      </c>
    </row>
    <row r="3" spans="1:25" hidden="1">
      <c r="F3" s="14"/>
      <c r="G3" s="14" t="s">
        <v>1062</v>
      </c>
      <c r="H3" s="1">
        <f>SUM(D:D)</f>
        <v>60</v>
      </c>
    </row>
    <row r="4" spans="1:25" hidden="1">
      <c r="F4" s="14"/>
      <c r="G4" s="14" t="s">
        <v>1063</v>
      </c>
      <c r="H4" s="1">
        <f>SUM(E:E)</f>
        <v>152</v>
      </c>
    </row>
    <row r="5" spans="1:25" hidden="1">
      <c r="G5" s="14" t="s">
        <v>1064</v>
      </c>
      <c r="H5" s="1">
        <f>SUM(F:F)</f>
        <v>60</v>
      </c>
    </row>
    <row r="6" spans="1:25" hidden="1"/>
    <row r="7" spans="1:25" s="43" customFormat="1">
      <c r="A7" s="183" t="s">
        <v>2128</v>
      </c>
      <c r="B7" s="182" t="s">
        <v>1060</v>
      </c>
      <c r="C7" s="182" t="s">
        <v>1061</v>
      </c>
      <c r="D7" s="182" t="s">
        <v>1062</v>
      </c>
      <c r="E7" s="182" t="s">
        <v>1063</v>
      </c>
      <c r="F7" s="182" t="s">
        <v>1064</v>
      </c>
      <c r="G7" s="174" t="s">
        <v>10</v>
      </c>
      <c r="H7" s="176" t="s">
        <v>9</v>
      </c>
      <c r="I7" s="181" t="s">
        <v>2127</v>
      </c>
      <c r="J7" s="180" t="s">
        <v>2126</v>
      </c>
      <c r="K7" s="176" t="s">
        <v>2125</v>
      </c>
      <c r="L7" s="176" t="s">
        <v>2124</v>
      </c>
      <c r="M7" s="176" t="s">
        <v>2123</v>
      </c>
      <c r="N7" s="176" t="s">
        <v>2122</v>
      </c>
      <c r="O7" s="179" t="s">
        <v>2121</v>
      </c>
      <c r="P7" s="176" t="s">
        <v>2120</v>
      </c>
      <c r="Q7" s="176" t="s">
        <v>2119</v>
      </c>
      <c r="R7" s="178" t="s">
        <v>232</v>
      </c>
      <c r="S7" s="177" t="s">
        <v>233</v>
      </c>
      <c r="T7" s="176" t="s">
        <v>8</v>
      </c>
      <c r="U7" s="175" t="s">
        <v>0</v>
      </c>
      <c r="V7" s="175" t="s">
        <v>2118</v>
      </c>
      <c r="W7" s="175" t="s">
        <v>2117</v>
      </c>
      <c r="X7" s="174" t="s">
        <v>2116</v>
      </c>
      <c r="Y7" s="173" t="s">
        <v>19</v>
      </c>
    </row>
    <row r="8" spans="1:25" hidden="1">
      <c r="A8" s="143">
        <v>7</v>
      </c>
      <c r="B8" s="1">
        <f>IF(G8="-",0,IF(G7=G8,1,0))</f>
        <v>0</v>
      </c>
      <c r="C8" s="1" t="e">
        <f>+IF(G8="-",0,IF(I8=I7+1,0,(IF(I8=1,0,1))))</f>
        <v>#VALUE!</v>
      </c>
      <c r="D8" s="1">
        <f>+IF(AND(P8="",Q8=""),1,0)</f>
        <v>0</v>
      </c>
      <c r="E8" s="1">
        <f t="shared" ref="E8:F10" si="0">IF(U8="",1,0)</f>
        <v>0</v>
      </c>
      <c r="F8" s="1">
        <f t="shared" si="0"/>
        <v>0</v>
      </c>
      <c r="G8" s="1" t="str">
        <f>IF(H8=0,"-",_xlfn.CONCAT(K8,N8,O8,J8))</f>
        <v>25010201</v>
      </c>
      <c r="H8" s="2">
        <v>45659</v>
      </c>
      <c r="I8" s="113">
        <v>1</v>
      </c>
      <c r="J8" s="1" t="str">
        <f t="shared" ref="J8:J71" si="1">+IF(I8&lt;10,_xlfn.CONCAT("0",I8),I8)</f>
        <v>01</v>
      </c>
      <c r="K8" s="3">
        <f t="shared" ref="K8:K71" si="2">+YEAR(H8)-2000</f>
        <v>25</v>
      </c>
      <c r="L8" s="3">
        <f t="shared" ref="L8:L71" si="3">+MONTH(H8)</f>
        <v>1</v>
      </c>
      <c r="M8" s="3">
        <f t="shared" ref="M8:M71" si="4">+DAY(H8)</f>
        <v>2</v>
      </c>
      <c r="N8" s="3" t="str">
        <f t="shared" ref="N8:N71" si="5">+IF(L8&lt;10,_xlfn.CONCAT("0",L8),L8)</f>
        <v>01</v>
      </c>
      <c r="O8" s="14" t="str">
        <f t="shared" ref="O8:O71" si="6">+IF(M8&lt;10,_xlfn.CONCAT("0",M8),M8)</f>
        <v>02</v>
      </c>
      <c r="P8" s="4">
        <v>44592.69</v>
      </c>
      <c r="T8" s="5" t="s">
        <v>2115</v>
      </c>
      <c r="U8" s="3" t="s">
        <v>29</v>
      </c>
      <c r="V8" s="3" t="s">
        <v>5</v>
      </c>
      <c r="W8" t="s">
        <v>1307</v>
      </c>
      <c r="X8" s="159" t="s">
        <v>1305</v>
      </c>
    </row>
    <row r="9" spans="1:25" hidden="1">
      <c r="A9" s="143">
        <v>8</v>
      </c>
      <c r="B9" s="1">
        <f>IF(G9="-",0,IF(G8=G9,1,0))</f>
        <v>0</v>
      </c>
      <c r="C9" s="1">
        <f>+IF(G9="-",0,IF(I9=I8+1,0,(IF(I9=1,0,1))))</f>
        <v>0</v>
      </c>
      <c r="D9" s="1">
        <f>+IF(AND(P9="",Q9=""),1,0)</f>
        <v>0</v>
      </c>
      <c r="E9" s="1">
        <f t="shared" si="0"/>
        <v>0</v>
      </c>
      <c r="F9" s="1">
        <f t="shared" si="0"/>
        <v>0</v>
      </c>
      <c r="G9" s="1" t="str">
        <f>IF(H9=0,"-",_xlfn.CONCAT(K9,N9,O9,J9))</f>
        <v>25010202</v>
      </c>
      <c r="H9" s="2">
        <v>45659</v>
      </c>
      <c r="I9" s="113">
        <v>2</v>
      </c>
      <c r="J9" s="1" t="str">
        <f t="shared" si="1"/>
        <v>02</v>
      </c>
      <c r="K9" s="3">
        <f t="shared" si="2"/>
        <v>25</v>
      </c>
      <c r="L9" s="3">
        <f t="shared" si="3"/>
        <v>1</v>
      </c>
      <c r="M9" s="3">
        <f t="shared" si="4"/>
        <v>2</v>
      </c>
      <c r="N9" s="3" t="str">
        <f t="shared" si="5"/>
        <v>01</v>
      </c>
      <c r="O9" s="14" t="str">
        <f t="shared" si="6"/>
        <v>02</v>
      </c>
      <c r="P9" s="4">
        <v>16549.98</v>
      </c>
      <c r="T9" s="5" t="s">
        <v>2114</v>
      </c>
      <c r="U9" s="3" t="s">
        <v>29</v>
      </c>
      <c r="V9" s="3" t="s">
        <v>5</v>
      </c>
      <c r="W9" t="s">
        <v>1307</v>
      </c>
      <c r="X9" s="159" t="s">
        <v>1305</v>
      </c>
    </row>
    <row r="10" spans="1:25" hidden="1">
      <c r="A10" s="143">
        <v>9</v>
      </c>
      <c r="B10" s="1">
        <f>IF(G10="-",0,IF(G9=G10,1,0))</f>
        <v>0</v>
      </c>
      <c r="C10" s="1">
        <f>+IF(G10="-",0,IF(I10=I9+1,0,(IF(I10=1,0,1))))</f>
        <v>0</v>
      </c>
      <c r="D10" s="1">
        <f>+IF(AND(P10="",Q10=""),1,0)</f>
        <v>0</v>
      </c>
      <c r="E10" s="1">
        <f t="shared" si="0"/>
        <v>0</v>
      </c>
      <c r="F10" s="1">
        <f t="shared" si="0"/>
        <v>0</v>
      </c>
      <c r="G10" s="1" t="str">
        <f>IF(H10=0,"-",_xlfn.CONCAT(K10,N10,O10,J10))</f>
        <v>25010203</v>
      </c>
      <c r="H10" s="2">
        <v>45659</v>
      </c>
      <c r="I10" s="113">
        <v>3</v>
      </c>
      <c r="J10" s="1" t="str">
        <f t="shared" si="1"/>
        <v>03</v>
      </c>
      <c r="K10" s="3">
        <f t="shared" si="2"/>
        <v>25</v>
      </c>
      <c r="L10" s="3">
        <f t="shared" si="3"/>
        <v>1</v>
      </c>
      <c r="M10" s="3">
        <f t="shared" si="4"/>
        <v>2</v>
      </c>
      <c r="N10" s="3" t="str">
        <f t="shared" si="5"/>
        <v>01</v>
      </c>
      <c r="O10" s="14" t="str">
        <f t="shared" si="6"/>
        <v>02</v>
      </c>
      <c r="P10" s="4">
        <v>5304.14</v>
      </c>
      <c r="T10" s="5" t="s">
        <v>2113</v>
      </c>
      <c r="U10" s="3" t="s">
        <v>29</v>
      </c>
      <c r="V10" s="3" t="s">
        <v>4</v>
      </c>
      <c r="W10" t="s">
        <v>1307</v>
      </c>
      <c r="X10" s="159" t="s">
        <v>1305</v>
      </c>
    </row>
    <row r="11" spans="1:25" hidden="1">
      <c r="A11" s="143"/>
      <c r="J11" s="1" t="str">
        <f t="shared" si="1"/>
        <v>0</v>
      </c>
      <c r="K11" s="3">
        <f t="shared" si="2"/>
        <v>-100</v>
      </c>
      <c r="L11" s="3">
        <f t="shared" si="3"/>
        <v>1</v>
      </c>
      <c r="M11" s="3">
        <f t="shared" si="4"/>
        <v>0</v>
      </c>
      <c r="N11" s="3" t="str">
        <f t="shared" si="5"/>
        <v>01</v>
      </c>
      <c r="O11" s="14" t="str">
        <f t="shared" si="6"/>
        <v>00</v>
      </c>
      <c r="W11"/>
      <c r="X11" s="159"/>
    </row>
    <row r="12" spans="1:25">
      <c r="A12" s="143">
        <v>1</v>
      </c>
      <c r="D12" s="1">
        <f>+IF(AND(P12="",Q12=""),1,0)</f>
        <v>0</v>
      </c>
      <c r="E12" s="1">
        <f>IF(U12="",1,0)</f>
        <v>0</v>
      </c>
      <c r="F12" s="1">
        <f>IF(V12="",1,0)</f>
        <v>0</v>
      </c>
      <c r="G12" s="1" t="str">
        <f>IF(H12=0,"-",_xlfn.CONCAT(K12,N12,O12,J12))</f>
        <v>25010301</v>
      </c>
      <c r="H12" s="2">
        <v>45660</v>
      </c>
      <c r="I12" s="113">
        <v>1</v>
      </c>
      <c r="J12" s="1" t="str">
        <f t="shared" si="1"/>
        <v>01</v>
      </c>
      <c r="K12" s="3">
        <f t="shared" si="2"/>
        <v>25</v>
      </c>
      <c r="L12" s="3">
        <f t="shared" si="3"/>
        <v>1</v>
      </c>
      <c r="M12" s="3">
        <f t="shared" si="4"/>
        <v>3</v>
      </c>
      <c r="N12" s="3" t="str">
        <f t="shared" si="5"/>
        <v>01</v>
      </c>
      <c r="O12" s="14" t="str">
        <f t="shared" si="6"/>
        <v>03</v>
      </c>
      <c r="P12" s="4">
        <v>200000</v>
      </c>
      <c r="T12" s="5" t="s">
        <v>1570</v>
      </c>
      <c r="U12" s="3" t="s">
        <v>2</v>
      </c>
      <c r="V12" s="3" t="s">
        <v>5</v>
      </c>
      <c r="W12" t="s">
        <v>1306</v>
      </c>
      <c r="X12" s="159" t="s">
        <v>1305</v>
      </c>
      <c r="Y12" s="141">
        <v>1046</v>
      </c>
    </row>
    <row r="13" spans="1:25" hidden="1">
      <c r="A13" s="143"/>
      <c r="J13" s="1" t="str">
        <f t="shared" si="1"/>
        <v>0</v>
      </c>
      <c r="K13" s="3">
        <f t="shared" si="2"/>
        <v>-100</v>
      </c>
      <c r="L13" s="3">
        <f t="shared" si="3"/>
        <v>1</v>
      </c>
      <c r="M13" s="3">
        <f t="shared" si="4"/>
        <v>0</v>
      </c>
      <c r="N13" s="3" t="str">
        <f t="shared" si="5"/>
        <v>01</v>
      </c>
      <c r="O13" s="14" t="str">
        <f t="shared" si="6"/>
        <v>00</v>
      </c>
      <c r="W13"/>
      <c r="X13" s="159"/>
    </row>
    <row r="14" spans="1:25" hidden="1">
      <c r="A14" s="143"/>
      <c r="J14" s="1" t="str">
        <f t="shared" si="1"/>
        <v>0</v>
      </c>
      <c r="K14" s="3">
        <f t="shared" si="2"/>
        <v>-100</v>
      </c>
      <c r="L14" s="3">
        <f t="shared" si="3"/>
        <v>1</v>
      </c>
      <c r="M14" s="3">
        <f t="shared" si="4"/>
        <v>0</v>
      </c>
      <c r="N14" s="3" t="str">
        <f t="shared" si="5"/>
        <v>01</v>
      </c>
      <c r="O14" s="14" t="str">
        <f t="shared" si="6"/>
        <v>00</v>
      </c>
      <c r="W14"/>
      <c r="X14" s="159"/>
    </row>
    <row r="15" spans="1:25">
      <c r="A15" s="143">
        <v>4</v>
      </c>
      <c r="B15" s="1">
        <f>IF(G15="-",0,IF(G14=G15,1,0))</f>
        <v>0</v>
      </c>
      <c r="C15" s="1">
        <f>+IF(G15="-",0,IF(I15=I14+1,0,(IF(I15=1,0,1))))</f>
        <v>1</v>
      </c>
      <c r="D15" s="1">
        <f>+IF(AND(P15="",Q15=""),1,0)</f>
        <v>0</v>
      </c>
      <c r="E15" s="1">
        <f>IF(U15="",1,0)</f>
        <v>0</v>
      </c>
      <c r="F15" s="1">
        <f>IF(V15="",1,0)</f>
        <v>0</v>
      </c>
      <c r="G15" s="1" t="str">
        <f>IF(H15=0,"-",_xlfn.CONCAT(K15,N15,O15,J15))</f>
        <v>25010304</v>
      </c>
      <c r="H15" s="2">
        <v>45660</v>
      </c>
      <c r="I15" s="113">
        <v>4</v>
      </c>
      <c r="J15" s="1" t="str">
        <f t="shared" si="1"/>
        <v>04</v>
      </c>
      <c r="K15" s="3">
        <f t="shared" si="2"/>
        <v>25</v>
      </c>
      <c r="L15" s="3">
        <f t="shared" si="3"/>
        <v>1</v>
      </c>
      <c r="M15" s="3">
        <f t="shared" si="4"/>
        <v>3</v>
      </c>
      <c r="N15" s="3" t="str">
        <f t="shared" si="5"/>
        <v>01</v>
      </c>
      <c r="O15" s="14" t="str">
        <f t="shared" si="6"/>
        <v>03</v>
      </c>
      <c r="P15" s="4">
        <v>54008.32</v>
      </c>
      <c r="T15" s="5" t="s">
        <v>1881</v>
      </c>
      <c r="U15" s="3" t="s">
        <v>1</v>
      </c>
      <c r="V15" s="3" t="s">
        <v>5</v>
      </c>
      <c r="W15" t="s">
        <v>1306</v>
      </c>
      <c r="X15" s="159"/>
      <c r="Y15" s="141">
        <v>1046</v>
      </c>
    </row>
    <row r="16" spans="1:25" hidden="1">
      <c r="A16" s="143">
        <v>10</v>
      </c>
      <c r="B16" s="1">
        <f>IF(G16="-",0,IF(G15=G16,1,0))</f>
        <v>0</v>
      </c>
      <c r="C16" s="1">
        <f>+IF(G16="-",0,IF(I16=I15+1,0,(IF(I16=1,0,1))))</f>
        <v>0</v>
      </c>
      <c r="D16" s="1">
        <f>+IF(AND(P16="",Q16=""),1,0)</f>
        <v>0</v>
      </c>
      <c r="E16" s="1">
        <f>IF(U16="",1,0)</f>
        <v>0</v>
      </c>
      <c r="F16" s="1">
        <f>IF(V16="",1,0)</f>
        <v>0</v>
      </c>
      <c r="G16" s="1" t="str">
        <f>IF(H16=0,"-",_xlfn.CONCAT(K16,N16,O16,J16))</f>
        <v>25010305</v>
      </c>
      <c r="H16" s="2">
        <v>45660</v>
      </c>
      <c r="I16" s="113">
        <v>5</v>
      </c>
      <c r="J16" s="1" t="str">
        <f t="shared" si="1"/>
        <v>05</v>
      </c>
      <c r="K16" s="3">
        <f t="shared" si="2"/>
        <v>25</v>
      </c>
      <c r="L16" s="3">
        <f t="shared" si="3"/>
        <v>1</v>
      </c>
      <c r="M16" s="3">
        <f t="shared" si="4"/>
        <v>3</v>
      </c>
      <c r="N16" s="3" t="str">
        <f t="shared" si="5"/>
        <v>01</v>
      </c>
      <c r="O16" s="14" t="str">
        <f t="shared" si="6"/>
        <v>03</v>
      </c>
      <c r="P16" s="4">
        <v>39892.550000000003</v>
      </c>
      <c r="T16" s="5" t="s">
        <v>2112</v>
      </c>
      <c r="U16" s="3" t="s">
        <v>29</v>
      </c>
      <c r="V16" s="3" t="s">
        <v>4</v>
      </c>
      <c r="W16" t="s">
        <v>1307</v>
      </c>
      <c r="X16" s="159" t="s">
        <v>1305</v>
      </c>
    </row>
    <row r="17" spans="1:25" hidden="1">
      <c r="A17" s="143"/>
      <c r="J17" s="1" t="str">
        <f t="shared" si="1"/>
        <v>0</v>
      </c>
      <c r="K17" s="3">
        <f t="shared" si="2"/>
        <v>-100</v>
      </c>
      <c r="L17" s="3">
        <f t="shared" si="3"/>
        <v>1</v>
      </c>
      <c r="M17" s="3">
        <f t="shared" si="4"/>
        <v>0</v>
      </c>
      <c r="N17" s="3" t="str">
        <f t="shared" si="5"/>
        <v>01</v>
      </c>
      <c r="O17" s="14" t="str">
        <f t="shared" si="6"/>
        <v>00</v>
      </c>
      <c r="W17"/>
      <c r="X17" s="159"/>
    </row>
    <row r="18" spans="1:25" hidden="1">
      <c r="A18" s="143">
        <v>15</v>
      </c>
      <c r="B18" s="1">
        <f>IF(G18="-",0,IF(G17=G18,1,0))</f>
        <v>0</v>
      </c>
      <c r="C18" s="1">
        <f>+IF(G18="-",0,IF(I18=I17+1,0,(IF(I18=1,0,1))))</f>
        <v>1</v>
      </c>
      <c r="D18" s="1">
        <f>+IF(AND(P18="",Q18=""),1,0)</f>
        <v>0</v>
      </c>
      <c r="E18" s="1">
        <f>IF(U18="",1,0)</f>
        <v>0</v>
      </c>
      <c r="F18" s="1">
        <f>IF(V18="",1,0)</f>
        <v>0</v>
      </c>
      <c r="G18" s="1" t="str">
        <f>IF(H18=0,"-",_xlfn.CONCAT(K18,N18,O18,J18))</f>
        <v>25010307</v>
      </c>
      <c r="H18" s="2">
        <v>45660</v>
      </c>
      <c r="I18" s="113">
        <v>7</v>
      </c>
      <c r="J18" s="1" t="str">
        <f t="shared" si="1"/>
        <v>07</v>
      </c>
      <c r="K18" s="3">
        <f t="shared" si="2"/>
        <v>25</v>
      </c>
      <c r="L18" s="3">
        <f t="shared" si="3"/>
        <v>1</v>
      </c>
      <c r="M18" s="3">
        <f t="shared" si="4"/>
        <v>3</v>
      </c>
      <c r="N18" s="3" t="str">
        <f t="shared" si="5"/>
        <v>01</v>
      </c>
      <c r="O18" s="14" t="str">
        <f t="shared" si="6"/>
        <v>03</v>
      </c>
      <c r="P18" s="4">
        <v>30000</v>
      </c>
      <c r="T18" s="5" t="s">
        <v>2111</v>
      </c>
      <c r="U18" s="3" t="s">
        <v>29</v>
      </c>
      <c r="V18" s="3" t="s">
        <v>4</v>
      </c>
      <c r="W18" t="s">
        <v>1303</v>
      </c>
      <c r="X18" s="159" t="s">
        <v>1302</v>
      </c>
      <c r="Y18" s="141" t="s">
        <v>2110</v>
      </c>
    </row>
    <row r="19" spans="1:25" hidden="1">
      <c r="A19" s="143">
        <v>262</v>
      </c>
      <c r="B19" s="1">
        <f>IF(G19="-",0,IF(G18=G19,1,0))</f>
        <v>0</v>
      </c>
      <c r="C19" s="1">
        <f>+IF(G19="-",0,IF(I19=I18+1,0,(IF(I19=1,0,1))))</f>
        <v>0</v>
      </c>
      <c r="D19" s="1">
        <f>+IF(AND(P18="",Q19=""),1,0)</f>
        <v>0</v>
      </c>
      <c r="E19" s="1">
        <f>IF(U19="",1,0)</f>
        <v>0</v>
      </c>
      <c r="F19" s="1">
        <f>IF(V19="",1,0)</f>
        <v>0</v>
      </c>
      <c r="G19" s="1" t="str">
        <f>IF(H19=0,"-",_xlfn.CONCAT(K19,N19,O19,J19))</f>
        <v>25010308</v>
      </c>
      <c r="H19" s="2">
        <v>45660</v>
      </c>
      <c r="I19" s="113">
        <v>8</v>
      </c>
      <c r="J19" s="1" t="str">
        <f t="shared" si="1"/>
        <v>08</v>
      </c>
      <c r="K19" s="3">
        <f t="shared" si="2"/>
        <v>25</v>
      </c>
      <c r="L19" s="3">
        <f t="shared" si="3"/>
        <v>1</v>
      </c>
      <c r="M19" s="3">
        <f t="shared" si="4"/>
        <v>3</v>
      </c>
      <c r="N19" s="3" t="str">
        <f t="shared" si="5"/>
        <v>01</v>
      </c>
      <c r="O19" s="14" t="str">
        <f t="shared" si="6"/>
        <v>03</v>
      </c>
      <c r="P19" s="4">
        <v>10000</v>
      </c>
      <c r="T19" s="5" t="s">
        <v>1706</v>
      </c>
      <c r="U19" s="3" t="s">
        <v>29</v>
      </c>
      <c r="V19" s="3" t="s">
        <v>5</v>
      </c>
      <c r="W19" t="s">
        <v>1307</v>
      </c>
      <c r="X19" s="159" t="s">
        <v>1305</v>
      </c>
    </row>
    <row r="20" spans="1:25" hidden="1">
      <c r="A20" s="143"/>
      <c r="J20" s="1" t="str">
        <f t="shared" si="1"/>
        <v>0</v>
      </c>
      <c r="K20" s="3">
        <f t="shared" si="2"/>
        <v>-100</v>
      </c>
      <c r="L20" s="3">
        <f t="shared" si="3"/>
        <v>1</v>
      </c>
      <c r="M20" s="3">
        <f t="shared" si="4"/>
        <v>0</v>
      </c>
      <c r="N20" s="3" t="str">
        <f t="shared" si="5"/>
        <v>01</v>
      </c>
      <c r="O20" s="14" t="str">
        <f t="shared" si="6"/>
        <v>00</v>
      </c>
      <c r="W20"/>
      <c r="X20" s="159"/>
    </row>
    <row r="21" spans="1:25" hidden="1">
      <c r="A21" s="143"/>
      <c r="J21" s="1" t="str">
        <f t="shared" si="1"/>
        <v>0</v>
      </c>
      <c r="K21" s="3">
        <f t="shared" si="2"/>
        <v>-100</v>
      </c>
      <c r="L21" s="3">
        <f t="shared" si="3"/>
        <v>1</v>
      </c>
      <c r="M21" s="3">
        <f t="shared" si="4"/>
        <v>0</v>
      </c>
      <c r="N21" s="3" t="str">
        <f t="shared" si="5"/>
        <v>01</v>
      </c>
      <c r="O21" s="14" t="str">
        <f t="shared" si="6"/>
        <v>00</v>
      </c>
      <c r="W21"/>
      <c r="X21" s="159"/>
    </row>
    <row r="22" spans="1:25">
      <c r="A22" s="143">
        <v>17</v>
      </c>
      <c r="B22" s="1">
        <f t="shared" ref="B22:B40" si="7">IF(G22="-",0,IF(G21=G22,1,0))</f>
        <v>0</v>
      </c>
      <c r="C22" s="1">
        <f t="shared" ref="C22:C40" si="8">+IF(G22="-",0,IF(I22=I21+1,0,(IF(I22=1,0,1))))</f>
        <v>1</v>
      </c>
      <c r="D22" s="1">
        <f t="shared" ref="D22:D40" si="9">+IF(AND(P22="",Q22=""),1,0)</f>
        <v>0</v>
      </c>
      <c r="E22" s="1">
        <f t="shared" ref="E22:E40" si="10">IF(U22="",1,0)</f>
        <v>0</v>
      </c>
      <c r="F22" s="1">
        <f t="shared" ref="F22:F40" si="11">IF(V22="",1,0)</f>
        <v>0</v>
      </c>
      <c r="G22" s="1" t="str">
        <f t="shared" ref="G22:G40" si="12">IF(H22=0,"-",_xlfn.CONCAT(K22,N22,O22,J22))</f>
        <v>25010502</v>
      </c>
      <c r="H22" s="2">
        <v>45662</v>
      </c>
      <c r="I22" s="113">
        <v>2</v>
      </c>
      <c r="J22" s="1" t="str">
        <f t="shared" si="1"/>
        <v>02</v>
      </c>
      <c r="K22" s="3">
        <f t="shared" si="2"/>
        <v>25</v>
      </c>
      <c r="L22" s="3">
        <f t="shared" si="3"/>
        <v>1</v>
      </c>
      <c r="M22" s="3">
        <f t="shared" si="4"/>
        <v>5</v>
      </c>
      <c r="N22" s="3" t="str">
        <f t="shared" si="5"/>
        <v>01</v>
      </c>
      <c r="O22" s="14" t="str">
        <f t="shared" si="6"/>
        <v>05</v>
      </c>
      <c r="P22" s="4">
        <v>21200</v>
      </c>
      <c r="R22" s="55"/>
      <c r="S22" s="54"/>
      <c r="T22" s="5" t="s">
        <v>2109</v>
      </c>
      <c r="U22" s="3" t="s">
        <v>1</v>
      </c>
      <c r="V22" s="3" t="s">
        <v>5</v>
      </c>
      <c r="W22" t="s">
        <v>1306</v>
      </c>
      <c r="X22" s="159" t="s">
        <v>1302</v>
      </c>
      <c r="Y22" s="141" t="s">
        <v>2079</v>
      </c>
    </row>
    <row r="23" spans="1:25">
      <c r="A23" s="143">
        <v>18</v>
      </c>
      <c r="B23" s="1">
        <f t="shared" si="7"/>
        <v>0</v>
      </c>
      <c r="C23" s="1">
        <f t="shared" si="8"/>
        <v>0</v>
      </c>
      <c r="D23" s="1">
        <f t="shared" si="9"/>
        <v>0</v>
      </c>
      <c r="E23" s="1">
        <f t="shared" si="10"/>
        <v>0</v>
      </c>
      <c r="F23" s="1">
        <f t="shared" si="11"/>
        <v>0</v>
      </c>
      <c r="G23" s="1" t="str">
        <f t="shared" si="12"/>
        <v>25010503</v>
      </c>
      <c r="H23" s="2">
        <v>45662</v>
      </c>
      <c r="I23" s="113">
        <v>3</v>
      </c>
      <c r="J23" s="1" t="str">
        <f t="shared" si="1"/>
        <v>03</v>
      </c>
      <c r="K23" s="3">
        <f t="shared" si="2"/>
        <v>25</v>
      </c>
      <c r="L23" s="3">
        <f t="shared" si="3"/>
        <v>1</v>
      </c>
      <c r="M23" s="3">
        <f t="shared" si="4"/>
        <v>5</v>
      </c>
      <c r="N23" s="3" t="str">
        <f t="shared" si="5"/>
        <v>01</v>
      </c>
      <c r="O23" s="14" t="str">
        <f t="shared" si="6"/>
        <v>05</v>
      </c>
      <c r="P23" s="4">
        <v>17600</v>
      </c>
      <c r="R23" s="55"/>
      <c r="S23" s="54"/>
      <c r="T23" s="5" t="s">
        <v>2108</v>
      </c>
      <c r="U23" s="3" t="s">
        <v>1</v>
      </c>
      <c r="V23" s="3" t="s">
        <v>5</v>
      </c>
      <c r="W23" t="s">
        <v>1306</v>
      </c>
      <c r="X23" s="159" t="s">
        <v>1302</v>
      </c>
      <c r="Y23" s="141" t="s">
        <v>2079</v>
      </c>
    </row>
    <row r="24" spans="1:25">
      <c r="A24" s="143">
        <v>19</v>
      </c>
      <c r="B24" s="1">
        <f t="shared" si="7"/>
        <v>0</v>
      </c>
      <c r="C24" s="1">
        <f t="shared" si="8"/>
        <v>0</v>
      </c>
      <c r="D24" s="1">
        <f t="shared" si="9"/>
        <v>0</v>
      </c>
      <c r="E24" s="1">
        <f t="shared" si="10"/>
        <v>0</v>
      </c>
      <c r="F24" s="1">
        <f t="shared" si="11"/>
        <v>0</v>
      </c>
      <c r="G24" s="1" t="str">
        <f t="shared" si="12"/>
        <v>25010504</v>
      </c>
      <c r="H24" s="2">
        <v>45662</v>
      </c>
      <c r="I24" s="113">
        <v>4</v>
      </c>
      <c r="J24" s="1" t="str">
        <f t="shared" si="1"/>
        <v>04</v>
      </c>
      <c r="K24" s="3">
        <f t="shared" si="2"/>
        <v>25</v>
      </c>
      <c r="L24" s="3">
        <f t="shared" si="3"/>
        <v>1</v>
      </c>
      <c r="M24" s="3">
        <f t="shared" si="4"/>
        <v>5</v>
      </c>
      <c r="N24" s="3" t="str">
        <f t="shared" si="5"/>
        <v>01</v>
      </c>
      <c r="O24" s="14" t="str">
        <f t="shared" si="6"/>
        <v>05</v>
      </c>
      <c r="P24" s="4">
        <v>138000</v>
      </c>
      <c r="R24" s="55"/>
      <c r="S24" s="54"/>
      <c r="T24" s="5" t="s">
        <v>2107</v>
      </c>
      <c r="U24" s="3" t="s">
        <v>1</v>
      </c>
      <c r="V24" s="3" t="s">
        <v>5</v>
      </c>
      <c r="W24" t="s">
        <v>1306</v>
      </c>
      <c r="X24" s="159" t="s">
        <v>1302</v>
      </c>
      <c r="Y24" s="141" t="s">
        <v>2079</v>
      </c>
    </row>
    <row r="25" spans="1:25">
      <c r="A25" s="143">
        <v>20</v>
      </c>
      <c r="B25" s="1">
        <f t="shared" si="7"/>
        <v>0</v>
      </c>
      <c r="C25" s="1">
        <f t="shared" si="8"/>
        <v>0</v>
      </c>
      <c r="D25" s="1">
        <f t="shared" si="9"/>
        <v>0</v>
      </c>
      <c r="E25" s="1">
        <f t="shared" si="10"/>
        <v>0</v>
      </c>
      <c r="F25" s="1">
        <f t="shared" si="11"/>
        <v>0</v>
      </c>
      <c r="G25" s="1" t="str">
        <f t="shared" si="12"/>
        <v>25010505</v>
      </c>
      <c r="H25" s="2">
        <v>45662</v>
      </c>
      <c r="I25" s="113">
        <v>5</v>
      </c>
      <c r="J25" s="1" t="str">
        <f t="shared" si="1"/>
        <v>05</v>
      </c>
      <c r="K25" s="3">
        <f t="shared" si="2"/>
        <v>25</v>
      </c>
      <c r="L25" s="3">
        <f t="shared" si="3"/>
        <v>1</v>
      </c>
      <c r="M25" s="3">
        <f t="shared" si="4"/>
        <v>5</v>
      </c>
      <c r="N25" s="3" t="str">
        <f t="shared" si="5"/>
        <v>01</v>
      </c>
      <c r="O25" s="14" t="str">
        <f t="shared" si="6"/>
        <v>05</v>
      </c>
      <c r="P25" s="4">
        <v>17600</v>
      </c>
      <c r="R25" s="55"/>
      <c r="S25" s="54"/>
      <c r="T25" s="5" t="s">
        <v>2106</v>
      </c>
      <c r="U25" s="3" t="s">
        <v>1</v>
      </c>
      <c r="V25" s="3" t="s">
        <v>5</v>
      </c>
      <c r="W25" t="s">
        <v>1306</v>
      </c>
      <c r="X25" s="159" t="s">
        <v>1302</v>
      </c>
      <c r="Y25" s="141" t="s">
        <v>2079</v>
      </c>
    </row>
    <row r="26" spans="1:25">
      <c r="A26" s="143">
        <v>21</v>
      </c>
      <c r="B26" s="1">
        <f t="shared" si="7"/>
        <v>0</v>
      </c>
      <c r="C26" s="1">
        <f t="shared" si="8"/>
        <v>0</v>
      </c>
      <c r="D26" s="1">
        <f t="shared" si="9"/>
        <v>0</v>
      </c>
      <c r="E26" s="1">
        <f t="shared" si="10"/>
        <v>0</v>
      </c>
      <c r="F26" s="1">
        <f t="shared" si="11"/>
        <v>0</v>
      </c>
      <c r="G26" s="1" t="str">
        <f t="shared" si="12"/>
        <v>25010506</v>
      </c>
      <c r="H26" s="2">
        <v>45662</v>
      </c>
      <c r="I26" s="113">
        <v>6</v>
      </c>
      <c r="J26" s="1" t="str">
        <f t="shared" si="1"/>
        <v>06</v>
      </c>
      <c r="K26" s="3">
        <f t="shared" si="2"/>
        <v>25</v>
      </c>
      <c r="L26" s="3">
        <f t="shared" si="3"/>
        <v>1</v>
      </c>
      <c r="M26" s="3">
        <f t="shared" si="4"/>
        <v>5</v>
      </c>
      <c r="N26" s="3" t="str">
        <f t="shared" si="5"/>
        <v>01</v>
      </c>
      <c r="O26" s="14" t="str">
        <f t="shared" si="6"/>
        <v>05</v>
      </c>
      <c r="P26" s="4">
        <v>17600</v>
      </c>
      <c r="R26" s="55"/>
      <c r="S26" s="54"/>
      <c r="T26" s="5" t="s">
        <v>2105</v>
      </c>
      <c r="U26" s="3" t="s">
        <v>1</v>
      </c>
      <c r="V26" s="3" t="s">
        <v>5</v>
      </c>
      <c r="W26" t="s">
        <v>1306</v>
      </c>
      <c r="X26" s="159" t="s">
        <v>1302</v>
      </c>
      <c r="Y26" s="141" t="s">
        <v>2079</v>
      </c>
    </row>
    <row r="27" spans="1:25">
      <c r="A27" s="143">
        <v>22</v>
      </c>
      <c r="B27" s="1">
        <f t="shared" si="7"/>
        <v>0</v>
      </c>
      <c r="C27" s="1">
        <f t="shared" si="8"/>
        <v>0</v>
      </c>
      <c r="D27" s="1">
        <f t="shared" si="9"/>
        <v>0</v>
      </c>
      <c r="E27" s="1">
        <f t="shared" si="10"/>
        <v>0</v>
      </c>
      <c r="F27" s="1">
        <f t="shared" si="11"/>
        <v>0</v>
      </c>
      <c r="G27" s="1" t="str">
        <f t="shared" si="12"/>
        <v>25010507</v>
      </c>
      <c r="H27" s="2">
        <v>45662</v>
      </c>
      <c r="I27" s="113">
        <v>7</v>
      </c>
      <c r="J27" s="1" t="str">
        <f t="shared" si="1"/>
        <v>07</v>
      </c>
      <c r="K27" s="3">
        <f t="shared" si="2"/>
        <v>25</v>
      </c>
      <c r="L27" s="3">
        <f t="shared" si="3"/>
        <v>1</v>
      </c>
      <c r="M27" s="3">
        <f t="shared" si="4"/>
        <v>5</v>
      </c>
      <c r="N27" s="3" t="str">
        <f t="shared" si="5"/>
        <v>01</v>
      </c>
      <c r="O27" s="14" t="str">
        <f t="shared" si="6"/>
        <v>05</v>
      </c>
      <c r="P27" s="4">
        <v>21200</v>
      </c>
      <c r="R27" s="55"/>
      <c r="S27" s="54"/>
      <c r="T27" s="5" t="s">
        <v>2104</v>
      </c>
      <c r="U27" s="3" t="s">
        <v>1</v>
      </c>
      <c r="V27" s="3" t="s">
        <v>5</v>
      </c>
      <c r="W27" t="s">
        <v>1306</v>
      </c>
      <c r="X27" s="159" t="s">
        <v>1302</v>
      </c>
      <c r="Y27" s="141" t="s">
        <v>2079</v>
      </c>
    </row>
    <row r="28" spans="1:25">
      <c r="A28" s="143">
        <v>23</v>
      </c>
      <c r="B28" s="1">
        <f t="shared" si="7"/>
        <v>0</v>
      </c>
      <c r="C28" s="1">
        <f t="shared" si="8"/>
        <v>0</v>
      </c>
      <c r="D28" s="1">
        <f t="shared" si="9"/>
        <v>0</v>
      </c>
      <c r="E28" s="1">
        <f t="shared" si="10"/>
        <v>0</v>
      </c>
      <c r="F28" s="1">
        <f t="shared" si="11"/>
        <v>0</v>
      </c>
      <c r="G28" s="1" t="str">
        <f t="shared" si="12"/>
        <v>25010508</v>
      </c>
      <c r="H28" s="2">
        <v>45662</v>
      </c>
      <c r="I28" s="113">
        <v>8</v>
      </c>
      <c r="J28" s="122" t="str">
        <f t="shared" si="1"/>
        <v>08</v>
      </c>
      <c r="K28" s="56">
        <f t="shared" si="2"/>
        <v>25</v>
      </c>
      <c r="L28" s="56">
        <f t="shared" si="3"/>
        <v>1</v>
      </c>
      <c r="M28" s="56">
        <f t="shared" si="4"/>
        <v>5</v>
      </c>
      <c r="N28" s="56" t="str">
        <f t="shared" si="5"/>
        <v>01</v>
      </c>
      <c r="O28" s="123" t="str">
        <f t="shared" si="6"/>
        <v>05</v>
      </c>
      <c r="P28" s="4">
        <v>150000</v>
      </c>
      <c r="T28" s="5" t="s">
        <v>2103</v>
      </c>
      <c r="U28" s="3" t="s">
        <v>1</v>
      </c>
      <c r="V28" s="3" t="s">
        <v>5</v>
      </c>
      <c r="W28" t="s">
        <v>1306</v>
      </c>
      <c r="X28" s="159"/>
      <c r="Y28" s="163" t="s">
        <v>961</v>
      </c>
    </row>
    <row r="29" spans="1:25">
      <c r="A29" s="143">
        <v>24</v>
      </c>
      <c r="B29" s="1">
        <f t="shared" si="7"/>
        <v>0</v>
      </c>
      <c r="C29" s="1">
        <f t="shared" si="8"/>
        <v>0</v>
      </c>
      <c r="D29" s="1">
        <f t="shared" si="9"/>
        <v>0</v>
      </c>
      <c r="E29" s="1">
        <f t="shared" si="10"/>
        <v>0</v>
      </c>
      <c r="F29" s="1">
        <f t="shared" si="11"/>
        <v>0</v>
      </c>
      <c r="G29" s="1" t="str">
        <f t="shared" si="12"/>
        <v>25010509</v>
      </c>
      <c r="H29" s="2">
        <v>45662</v>
      </c>
      <c r="I29" s="113">
        <v>9</v>
      </c>
      <c r="J29" s="1" t="str">
        <f t="shared" si="1"/>
        <v>09</v>
      </c>
      <c r="K29" s="3">
        <f t="shared" si="2"/>
        <v>25</v>
      </c>
      <c r="L29" s="3">
        <f t="shared" si="3"/>
        <v>1</v>
      </c>
      <c r="M29" s="3">
        <f t="shared" si="4"/>
        <v>5</v>
      </c>
      <c r="N29" s="3" t="str">
        <f t="shared" si="5"/>
        <v>01</v>
      </c>
      <c r="O29" s="14" t="str">
        <f t="shared" si="6"/>
        <v>05</v>
      </c>
      <c r="P29" s="4">
        <v>45800</v>
      </c>
      <c r="T29" s="5" t="s">
        <v>2102</v>
      </c>
      <c r="U29" s="3" t="s">
        <v>1</v>
      </c>
      <c r="V29" s="3" t="s">
        <v>5</v>
      </c>
      <c r="W29" t="s">
        <v>2101</v>
      </c>
      <c r="X29" s="159" t="s">
        <v>1302</v>
      </c>
    </row>
    <row r="30" spans="1:25">
      <c r="A30" s="143">
        <v>25</v>
      </c>
      <c r="B30" s="1">
        <f t="shared" si="7"/>
        <v>0</v>
      </c>
      <c r="C30" s="1">
        <f t="shared" si="8"/>
        <v>0</v>
      </c>
      <c r="D30" s="1">
        <f t="shared" si="9"/>
        <v>0</v>
      </c>
      <c r="E30" s="1">
        <f t="shared" si="10"/>
        <v>0</v>
      </c>
      <c r="F30" s="1">
        <f t="shared" si="11"/>
        <v>0</v>
      </c>
      <c r="G30" s="1" t="str">
        <f t="shared" si="12"/>
        <v>25010510</v>
      </c>
      <c r="H30" s="2">
        <v>45662</v>
      </c>
      <c r="I30" s="113">
        <v>10</v>
      </c>
      <c r="J30" s="1">
        <f t="shared" si="1"/>
        <v>10</v>
      </c>
      <c r="K30" s="3">
        <f t="shared" si="2"/>
        <v>25</v>
      </c>
      <c r="L30" s="3">
        <f t="shared" si="3"/>
        <v>1</v>
      </c>
      <c r="M30" s="3">
        <f t="shared" si="4"/>
        <v>5</v>
      </c>
      <c r="N30" s="3" t="str">
        <f t="shared" si="5"/>
        <v>01</v>
      </c>
      <c r="O30" s="14" t="str">
        <f t="shared" si="6"/>
        <v>05</v>
      </c>
      <c r="P30" s="4">
        <v>412200</v>
      </c>
      <c r="T30" s="5" t="s">
        <v>2100</v>
      </c>
      <c r="U30" s="3" t="s">
        <v>1</v>
      </c>
      <c r="V30" s="3" t="s">
        <v>5</v>
      </c>
      <c r="W30" t="s">
        <v>1306</v>
      </c>
      <c r="X30" s="159" t="s">
        <v>1302</v>
      </c>
    </row>
    <row r="31" spans="1:25">
      <c r="A31" s="143">
        <v>51</v>
      </c>
      <c r="B31" s="1">
        <f t="shared" si="7"/>
        <v>0</v>
      </c>
      <c r="C31" s="1">
        <f t="shared" si="8"/>
        <v>0</v>
      </c>
      <c r="D31" s="1">
        <f t="shared" si="9"/>
        <v>0</v>
      </c>
      <c r="E31" s="1">
        <f t="shared" si="10"/>
        <v>0</v>
      </c>
      <c r="F31" s="1">
        <f t="shared" si="11"/>
        <v>0</v>
      </c>
      <c r="G31" s="1" t="str">
        <f t="shared" si="12"/>
        <v>25010511</v>
      </c>
      <c r="H31" s="2">
        <v>45662</v>
      </c>
      <c r="I31" s="113">
        <v>11</v>
      </c>
      <c r="J31" s="1">
        <f t="shared" si="1"/>
        <v>11</v>
      </c>
      <c r="K31" s="3">
        <f t="shared" si="2"/>
        <v>25</v>
      </c>
      <c r="L31" s="3">
        <f t="shared" si="3"/>
        <v>1</v>
      </c>
      <c r="M31" s="3">
        <f t="shared" si="4"/>
        <v>5</v>
      </c>
      <c r="N31" s="3" t="str">
        <f t="shared" si="5"/>
        <v>01</v>
      </c>
      <c r="O31" s="14" t="str">
        <f t="shared" si="6"/>
        <v>05</v>
      </c>
      <c r="P31" s="4">
        <v>132000</v>
      </c>
      <c r="T31" s="164" t="s">
        <v>2099</v>
      </c>
      <c r="U31" s="3" t="s">
        <v>1</v>
      </c>
      <c r="V31" s="3" t="s">
        <v>5</v>
      </c>
      <c r="W31" t="s">
        <v>1306</v>
      </c>
      <c r="X31" s="159"/>
      <c r="Y31" s="163"/>
    </row>
    <row r="32" spans="1:25">
      <c r="A32" s="143">
        <v>52</v>
      </c>
      <c r="B32" s="1">
        <f t="shared" si="7"/>
        <v>0</v>
      </c>
      <c r="C32" s="1">
        <f t="shared" si="8"/>
        <v>0</v>
      </c>
      <c r="D32" s="1">
        <f t="shared" si="9"/>
        <v>0</v>
      </c>
      <c r="E32" s="1">
        <f t="shared" si="10"/>
        <v>0</v>
      </c>
      <c r="F32" s="1">
        <f t="shared" si="11"/>
        <v>0</v>
      </c>
      <c r="G32" s="1" t="str">
        <f t="shared" si="12"/>
        <v>25010512</v>
      </c>
      <c r="H32" s="2">
        <v>45662</v>
      </c>
      <c r="I32" s="113">
        <v>12</v>
      </c>
      <c r="J32" s="1">
        <f t="shared" si="1"/>
        <v>12</v>
      </c>
      <c r="K32" s="3">
        <f t="shared" si="2"/>
        <v>25</v>
      </c>
      <c r="L32" s="3">
        <f t="shared" si="3"/>
        <v>1</v>
      </c>
      <c r="M32" s="3">
        <f t="shared" si="4"/>
        <v>5</v>
      </c>
      <c r="N32" s="3" t="str">
        <f t="shared" si="5"/>
        <v>01</v>
      </c>
      <c r="O32" s="14" t="str">
        <f t="shared" si="6"/>
        <v>05</v>
      </c>
      <c r="P32" s="4">
        <v>14400</v>
      </c>
      <c r="T32" s="164" t="s">
        <v>2098</v>
      </c>
      <c r="U32" s="3" t="s">
        <v>1</v>
      </c>
      <c r="V32" s="3" t="s">
        <v>5</v>
      </c>
      <c r="W32" t="s">
        <v>1306</v>
      </c>
      <c r="X32" s="159"/>
      <c r="Y32" s="163"/>
    </row>
    <row r="33" spans="1:25">
      <c r="A33" s="143">
        <v>53</v>
      </c>
      <c r="B33" s="1">
        <f t="shared" si="7"/>
        <v>0</v>
      </c>
      <c r="C33" s="1">
        <f t="shared" si="8"/>
        <v>0</v>
      </c>
      <c r="D33" s="1">
        <f t="shared" si="9"/>
        <v>0</v>
      </c>
      <c r="E33" s="1">
        <f t="shared" si="10"/>
        <v>0</v>
      </c>
      <c r="F33" s="1">
        <f t="shared" si="11"/>
        <v>0</v>
      </c>
      <c r="G33" s="1" t="str">
        <f t="shared" si="12"/>
        <v>25010513</v>
      </c>
      <c r="H33" s="2">
        <v>45662</v>
      </c>
      <c r="I33" s="113">
        <v>13</v>
      </c>
      <c r="J33" s="1">
        <f t="shared" si="1"/>
        <v>13</v>
      </c>
      <c r="K33" s="3">
        <f t="shared" si="2"/>
        <v>25</v>
      </c>
      <c r="L33" s="3">
        <f t="shared" si="3"/>
        <v>1</v>
      </c>
      <c r="M33" s="3">
        <f t="shared" si="4"/>
        <v>5</v>
      </c>
      <c r="N33" s="3" t="str">
        <f t="shared" si="5"/>
        <v>01</v>
      </c>
      <c r="O33" s="14" t="str">
        <f t="shared" si="6"/>
        <v>05</v>
      </c>
      <c r="P33" s="4">
        <v>20000</v>
      </c>
      <c r="T33" s="164" t="s">
        <v>2097</v>
      </c>
      <c r="U33" s="3" t="s">
        <v>1</v>
      </c>
      <c r="V33" s="3" t="s">
        <v>5</v>
      </c>
      <c r="W33" t="s">
        <v>1306</v>
      </c>
      <c r="X33" s="159"/>
      <c r="Y33" s="163"/>
    </row>
    <row r="34" spans="1:25">
      <c r="A34" s="143">
        <v>54</v>
      </c>
      <c r="B34" s="1">
        <f t="shared" si="7"/>
        <v>0</v>
      </c>
      <c r="C34" s="1">
        <f t="shared" si="8"/>
        <v>0</v>
      </c>
      <c r="D34" s="1">
        <f t="shared" si="9"/>
        <v>0</v>
      </c>
      <c r="E34" s="1">
        <f t="shared" si="10"/>
        <v>0</v>
      </c>
      <c r="F34" s="1">
        <f t="shared" si="11"/>
        <v>0</v>
      </c>
      <c r="G34" s="1" t="str">
        <f t="shared" si="12"/>
        <v>25010514</v>
      </c>
      <c r="H34" s="2">
        <v>45662</v>
      </c>
      <c r="I34" s="113">
        <v>14</v>
      </c>
      <c r="J34" s="1">
        <f t="shared" si="1"/>
        <v>14</v>
      </c>
      <c r="K34" s="3">
        <f t="shared" si="2"/>
        <v>25</v>
      </c>
      <c r="L34" s="3">
        <f t="shared" si="3"/>
        <v>1</v>
      </c>
      <c r="M34" s="3">
        <f t="shared" si="4"/>
        <v>5</v>
      </c>
      <c r="N34" s="3" t="str">
        <f t="shared" si="5"/>
        <v>01</v>
      </c>
      <c r="O34" s="14" t="str">
        <f t="shared" si="6"/>
        <v>05</v>
      </c>
      <c r="P34" s="4">
        <v>17600</v>
      </c>
      <c r="T34" s="164" t="s">
        <v>2096</v>
      </c>
      <c r="U34" s="3" t="s">
        <v>1</v>
      </c>
      <c r="V34" s="3" t="s">
        <v>5</v>
      </c>
      <c r="W34" t="s">
        <v>1306</v>
      </c>
      <c r="X34" s="159"/>
      <c r="Y34" s="163"/>
    </row>
    <row r="35" spans="1:25">
      <c r="A35" s="143">
        <v>55</v>
      </c>
      <c r="B35" s="1">
        <f t="shared" si="7"/>
        <v>0</v>
      </c>
      <c r="C35" s="1">
        <f t="shared" si="8"/>
        <v>0</v>
      </c>
      <c r="D35" s="1">
        <f t="shared" si="9"/>
        <v>0</v>
      </c>
      <c r="E35" s="1">
        <f t="shared" si="10"/>
        <v>0</v>
      </c>
      <c r="F35" s="1">
        <f t="shared" si="11"/>
        <v>0</v>
      </c>
      <c r="G35" s="1" t="str">
        <f t="shared" si="12"/>
        <v>25010515</v>
      </c>
      <c r="H35" s="2">
        <v>45662</v>
      </c>
      <c r="I35" s="113">
        <v>15</v>
      </c>
      <c r="J35" s="1">
        <f t="shared" si="1"/>
        <v>15</v>
      </c>
      <c r="K35" s="3">
        <f t="shared" si="2"/>
        <v>25</v>
      </c>
      <c r="L35" s="3">
        <f t="shared" si="3"/>
        <v>1</v>
      </c>
      <c r="M35" s="3">
        <f t="shared" si="4"/>
        <v>5</v>
      </c>
      <c r="N35" s="3" t="str">
        <f t="shared" si="5"/>
        <v>01</v>
      </c>
      <c r="O35" s="14" t="str">
        <f t="shared" si="6"/>
        <v>05</v>
      </c>
      <c r="P35" s="4">
        <v>108000</v>
      </c>
      <c r="T35" s="164" t="s">
        <v>2095</v>
      </c>
      <c r="U35" s="3" t="s">
        <v>1</v>
      </c>
      <c r="V35" s="3" t="s">
        <v>5</v>
      </c>
      <c r="W35" t="s">
        <v>1306</v>
      </c>
      <c r="X35" s="159"/>
      <c r="Y35" s="163"/>
    </row>
    <row r="36" spans="1:25">
      <c r="A36" s="143">
        <v>56</v>
      </c>
      <c r="B36" s="1">
        <f t="shared" si="7"/>
        <v>0</v>
      </c>
      <c r="C36" s="1">
        <f t="shared" si="8"/>
        <v>0</v>
      </c>
      <c r="D36" s="1">
        <f t="shared" si="9"/>
        <v>0</v>
      </c>
      <c r="E36" s="1">
        <f t="shared" si="10"/>
        <v>0</v>
      </c>
      <c r="F36" s="1">
        <f t="shared" si="11"/>
        <v>0</v>
      </c>
      <c r="G36" s="1" t="str">
        <f t="shared" si="12"/>
        <v>25010516</v>
      </c>
      <c r="H36" s="2">
        <v>45662</v>
      </c>
      <c r="I36" s="113">
        <v>16</v>
      </c>
      <c r="J36" s="1">
        <f t="shared" si="1"/>
        <v>16</v>
      </c>
      <c r="K36" s="3">
        <f t="shared" si="2"/>
        <v>25</v>
      </c>
      <c r="L36" s="3">
        <f t="shared" si="3"/>
        <v>1</v>
      </c>
      <c r="M36" s="3">
        <f t="shared" si="4"/>
        <v>5</v>
      </c>
      <c r="N36" s="3" t="str">
        <f t="shared" si="5"/>
        <v>01</v>
      </c>
      <c r="O36" s="14" t="str">
        <f t="shared" si="6"/>
        <v>05</v>
      </c>
      <c r="P36" s="4">
        <v>14400</v>
      </c>
      <c r="T36" s="164" t="s">
        <v>2094</v>
      </c>
      <c r="U36" s="3" t="s">
        <v>1</v>
      </c>
      <c r="V36" s="3" t="s">
        <v>5</v>
      </c>
      <c r="W36" t="s">
        <v>1306</v>
      </c>
      <c r="X36" s="159"/>
      <c r="Y36" s="163"/>
    </row>
    <row r="37" spans="1:25">
      <c r="A37" s="143">
        <v>57</v>
      </c>
      <c r="B37" s="1">
        <f t="shared" si="7"/>
        <v>0</v>
      </c>
      <c r="C37" s="1">
        <f t="shared" si="8"/>
        <v>0</v>
      </c>
      <c r="D37" s="1">
        <f t="shared" si="9"/>
        <v>0</v>
      </c>
      <c r="E37" s="1">
        <f t="shared" si="10"/>
        <v>0</v>
      </c>
      <c r="F37" s="1">
        <f t="shared" si="11"/>
        <v>0</v>
      </c>
      <c r="G37" s="1" t="str">
        <f t="shared" si="12"/>
        <v>25010517</v>
      </c>
      <c r="H37" s="2">
        <v>45662</v>
      </c>
      <c r="I37" s="113">
        <v>17</v>
      </c>
      <c r="J37" s="1">
        <f t="shared" si="1"/>
        <v>17</v>
      </c>
      <c r="K37" s="3">
        <f t="shared" si="2"/>
        <v>25</v>
      </c>
      <c r="L37" s="3">
        <f t="shared" si="3"/>
        <v>1</v>
      </c>
      <c r="M37" s="3">
        <f t="shared" si="4"/>
        <v>5</v>
      </c>
      <c r="N37" s="3" t="str">
        <f t="shared" si="5"/>
        <v>01</v>
      </c>
      <c r="O37" s="14" t="str">
        <f t="shared" si="6"/>
        <v>05</v>
      </c>
      <c r="P37" s="4">
        <v>14400</v>
      </c>
      <c r="T37" s="164" t="s">
        <v>2093</v>
      </c>
      <c r="U37" s="3" t="s">
        <v>1</v>
      </c>
      <c r="V37" s="3" t="s">
        <v>5</v>
      </c>
      <c r="W37" t="s">
        <v>1306</v>
      </c>
      <c r="X37" s="159"/>
      <c r="Y37" s="163"/>
    </row>
    <row r="38" spans="1:25">
      <c r="A38" s="143">
        <v>58</v>
      </c>
      <c r="B38" s="1">
        <f t="shared" si="7"/>
        <v>0</v>
      </c>
      <c r="C38" s="1">
        <f t="shared" si="8"/>
        <v>0</v>
      </c>
      <c r="D38" s="1">
        <f t="shared" si="9"/>
        <v>0</v>
      </c>
      <c r="E38" s="1">
        <f t="shared" si="10"/>
        <v>0</v>
      </c>
      <c r="F38" s="1">
        <f t="shared" si="11"/>
        <v>0</v>
      </c>
      <c r="G38" s="1" t="str">
        <f t="shared" si="12"/>
        <v>25010518</v>
      </c>
      <c r="H38" s="2">
        <v>45662</v>
      </c>
      <c r="I38" s="113">
        <v>18</v>
      </c>
      <c r="J38" s="1">
        <f t="shared" si="1"/>
        <v>18</v>
      </c>
      <c r="K38" s="3">
        <f t="shared" si="2"/>
        <v>25</v>
      </c>
      <c r="L38" s="3">
        <f t="shared" si="3"/>
        <v>1</v>
      </c>
      <c r="M38" s="3">
        <f t="shared" si="4"/>
        <v>5</v>
      </c>
      <c r="N38" s="3" t="str">
        <f t="shared" si="5"/>
        <v>01</v>
      </c>
      <c r="O38" s="14" t="str">
        <f t="shared" si="6"/>
        <v>05</v>
      </c>
      <c r="P38" s="4">
        <v>252000</v>
      </c>
      <c r="T38" s="164" t="s">
        <v>2092</v>
      </c>
      <c r="U38" s="3" t="s">
        <v>1</v>
      </c>
      <c r="V38" s="3" t="s">
        <v>5</v>
      </c>
      <c r="W38" t="s">
        <v>1306</v>
      </c>
      <c r="X38" s="159"/>
      <c r="Y38" s="163"/>
    </row>
    <row r="39" spans="1:25">
      <c r="A39" s="143">
        <v>59</v>
      </c>
      <c r="B39" s="1">
        <f t="shared" si="7"/>
        <v>0</v>
      </c>
      <c r="C39" s="1">
        <f t="shared" si="8"/>
        <v>0</v>
      </c>
      <c r="D39" s="1">
        <f t="shared" si="9"/>
        <v>0</v>
      </c>
      <c r="E39" s="1">
        <f t="shared" si="10"/>
        <v>0</v>
      </c>
      <c r="F39" s="1">
        <f t="shared" si="11"/>
        <v>0</v>
      </c>
      <c r="G39" s="1" t="str">
        <f t="shared" si="12"/>
        <v>25010519</v>
      </c>
      <c r="H39" s="2">
        <v>45662</v>
      </c>
      <c r="I39" s="113">
        <v>19</v>
      </c>
      <c r="J39" s="1">
        <f t="shared" si="1"/>
        <v>19</v>
      </c>
      <c r="K39" s="3">
        <f t="shared" si="2"/>
        <v>25</v>
      </c>
      <c r="L39" s="3">
        <f t="shared" si="3"/>
        <v>1</v>
      </c>
      <c r="M39" s="3">
        <f t="shared" si="4"/>
        <v>5</v>
      </c>
      <c r="N39" s="3" t="str">
        <f t="shared" si="5"/>
        <v>01</v>
      </c>
      <c r="O39" s="14" t="str">
        <f t="shared" si="6"/>
        <v>05</v>
      </c>
      <c r="P39" s="4">
        <v>42000.00000000008</v>
      </c>
      <c r="T39" s="164" t="s">
        <v>2091</v>
      </c>
      <c r="U39" s="3" t="s">
        <v>1</v>
      </c>
      <c r="V39" s="3" t="s">
        <v>5</v>
      </c>
      <c r="W39" t="s">
        <v>1306</v>
      </c>
      <c r="X39" s="159"/>
      <c r="Y39" s="163"/>
    </row>
    <row r="40" spans="1:25">
      <c r="A40" s="143">
        <v>60</v>
      </c>
      <c r="B40" s="1">
        <f t="shared" si="7"/>
        <v>0</v>
      </c>
      <c r="C40" s="1">
        <f t="shared" si="8"/>
        <v>0</v>
      </c>
      <c r="D40" s="1">
        <f t="shared" si="9"/>
        <v>0</v>
      </c>
      <c r="E40" s="1">
        <f t="shared" si="10"/>
        <v>0</v>
      </c>
      <c r="F40" s="1">
        <f t="shared" si="11"/>
        <v>0</v>
      </c>
      <c r="G40" s="1" t="str">
        <f t="shared" si="12"/>
        <v>25010520</v>
      </c>
      <c r="H40" s="2">
        <v>45662</v>
      </c>
      <c r="I40" s="113">
        <v>20</v>
      </c>
      <c r="J40" s="1">
        <f t="shared" si="1"/>
        <v>20</v>
      </c>
      <c r="K40" s="3">
        <f t="shared" si="2"/>
        <v>25</v>
      </c>
      <c r="L40" s="3">
        <f t="shared" si="3"/>
        <v>1</v>
      </c>
      <c r="M40" s="3">
        <f t="shared" si="4"/>
        <v>5</v>
      </c>
      <c r="N40" s="3" t="str">
        <f t="shared" si="5"/>
        <v>01</v>
      </c>
      <c r="O40" s="14" t="str">
        <f t="shared" si="6"/>
        <v>05</v>
      </c>
      <c r="P40" s="4">
        <v>90000</v>
      </c>
      <c r="T40" s="164" t="s">
        <v>2090</v>
      </c>
      <c r="U40" s="3" t="s">
        <v>1</v>
      </c>
      <c r="V40" s="3" t="s">
        <v>5</v>
      </c>
      <c r="W40" t="s">
        <v>1306</v>
      </c>
      <c r="X40" s="159"/>
      <c r="Y40" s="163"/>
    </row>
    <row r="41" spans="1:25" hidden="1">
      <c r="A41" s="143"/>
      <c r="J41" s="1" t="str">
        <f t="shared" si="1"/>
        <v>0</v>
      </c>
      <c r="K41" s="3">
        <f t="shared" si="2"/>
        <v>-100</v>
      </c>
      <c r="L41" s="3">
        <f t="shared" si="3"/>
        <v>1</v>
      </c>
      <c r="M41" s="3">
        <f t="shared" si="4"/>
        <v>0</v>
      </c>
      <c r="N41" s="3" t="str">
        <f t="shared" si="5"/>
        <v>01</v>
      </c>
      <c r="O41" s="14" t="str">
        <f t="shared" si="6"/>
        <v>00</v>
      </c>
      <c r="W41"/>
      <c r="X41" s="159"/>
    </row>
    <row r="42" spans="1:25">
      <c r="A42" s="143">
        <v>16</v>
      </c>
      <c r="B42" s="1">
        <f>IF(G42="-",0,IF(G41=G42,1,0))</f>
        <v>0</v>
      </c>
      <c r="C42" s="1">
        <f>+IF(G42="-",0,IF(I42=I41+1,0,(IF(I42=1,0,1))))</f>
        <v>1</v>
      </c>
      <c r="D42" s="1">
        <f>+IF(AND(P42="",Q42=""),1,0)</f>
        <v>0</v>
      </c>
      <c r="E42" s="1">
        <f>IF(U42="",1,0)</f>
        <v>0</v>
      </c>
      <c r="F42" s="1">
        <f>IF(V42="",1,0)</f>
        <v>0</v>
      </c>
      <c r="G42" s="1" t="str">
        <f>IF(H42=0,"-",_xlfn.CONCAT(K42,N42,O42,J42))</f>
        <v>25010602</v>
      </c>
      <c r="H42" s="2">
        <v>45663</v>
      </c>
      <c r="I42" s="113">
        <v>2</v>
      </c>
      <c r="J42" s="1" t="str">
        <f t="shared" si="1"/>
        <v>02</v>
      </c>
      <c r="K42" s="3">
        <f t="shared" si="2"/>
        <v>25</v>
      </c>
      <c r="L42" s="3">
        <f t="shared" si="3"/>
        <v>1</v>
      </c>
      <c r="M42" s="3">
        <f t="shared" si="4"/>
        <v>6</v>
      </c>
      <c r="N42" s="3" t="str">
        <f t="shared" si="5"/>
        <v>01</v>
      </c>
      <c r="O42" s="14" t="str">
        <f t="shared" si="6"/>
        <v>06</v>
      </c>
      <c r="P42" s="4">
        <v>291349.67</v>
      </c>
      <c r="T42" s="5" t="s">
        <v>2089</v>
      </c>
      <c r="U42" s="3" t="s">
        <v>2</v>
      </c>
      <c r="V42" s="3" t="s">
        <v>5</v>
      </c>
      <c r="W42" t="s">
        <v>1306</v>
      </c>
      <c r="X42" s="159" t="s">
        <v>1305</v>
      </c>
      <c r="Y42" s="141" t="s">
        <v>2088</v>
      </c>
    </row>
    <row r="43" spans="1:25" hidden="1">
      <c r="A43" s="143"/>
      <c r="J43" s="1" t="str">
        <f t="shared" si="1"/>
        <v>0</v>
      </c>
      <c r="K43" s="3">
        <f t="shared" si="2"/>
        <v>-100</v>
      </c>
      <c r="L43" s="3">
        <f t="shared" si="3"/>
        <v>1</v>
      </c>
      <c r="M43" s="3">
        <f t="shared" si="4"/>
        <v>0</v>
      </c>
      <c r="N43" s="3" t="str">
        <f t="shared" si="5"/>
        <v>01</v>
      </c>
      <c r="O43" s="14" t="str">
        <f t="shared" si="6"/>
        <v>00</v>
      </c>
      <c r="W43"/>
      <c r="X43" s="159"/>
    </row>
    <row r="44" spans="1:25" hidden="1">
      <c r="A44" s="143"/>
      <c r="J44" s="1" t="str">
        <f t="shared" si="1"/>
        <v>0</v>
      </c>
      <c r="K44" s="3">
        <f t="shared" si="2"/>
        <v>-100</v>
      </c>
      <c r="L44" s="3">
        <f t="shared" si="3"/>
        <v>1</v>
      </c>
      <c r="M44" s="3">
        <f t="shared" si="4"/>
        <v>0</v>
      </c>
      <c r="N44" s="3" t="str">
        <f t="shared" si="5"/>
        <v>01</v>
      </c>
      <c r="O44" s="14" t="str">
        <f t="shared" si="6"/>
        <v>00</v>
      </c>
      <c r="W44"/>
      <c r="X44" s="159"/>
    </row>
    <row r="45" spans="1:25" hidden="1">
      <c r="A45" s="143"/>
      <c r="J45" s="1" t="str">
        <f t="shared" si="1"/>
        <v>0</v>
      </c>
      <c r="K45" s="3">
        <f t="shared" si="2"/>
        <v>-100</v>
      </c>
      <c r="L45" s="3">
        <f t="shared" si="3"/>
        <v>1</v>
      </c>
      <c r="M45" s="3">
        <f t="shared" si="4"/>
        <v>0</v>
      </c>
      <c r="N45" s="3" t="str">
        <f t="shared" si="5"/>
        <v>01</v>
      </c>
      <c r="O45" s="14" t="str">
        <f t="shared" si="6"/>
        <v>00</v>
      </c>
      <c r="W45"/>
      <c r="X45" s="159"/>
    </row>
    <row r="46" spans="1:25">
      <c r="A46" s="143">
        <v>31</v>
      </c>
      <c r="B46" s="1">
        <f>IF(G46="-",0,IF(G45=G46,1,0))</f>
        <v>0</v>
      </c>
      <c r="C46" s="1">
        <f>+IF(G46="-",0,IF(I46=I45+1,0,(IF(I46=1,0,1))))</f>
        <v>1</v>
      </c>
      <c r="D46" s="1">
        <f>+IF(AND(P46="",Q46=""),1,0)</f>
        <v>0</v>
      </c>
      <c r="E46" s="1">
        <f>IF(U46="",1,0)</f>
        <v>0</v>
      </c>
      <c r="F46" s="1">
        <f>IF(V46="",1,0)</f>
        <v>0</v>
      </c>
      <c r="G46" s="1" t="str">
        <f>IF(H46=0,"-",_xlfn.CONCAT(K46,N46,O46,J46))</f>
        <v>25010606</v>
      </c>
      <c r="H46" s="2">
        <v>45663</v>
      </c>
      <c r="I46" s="113">
        <v>6</v>
      </c>
      <c r="J46" s="1" t="str">
        <f t="shared" si="1"/>
        <v>06</v>
      </c>
      <c r="K46" s="3">
        <f t="shared" si="2"/>
        <v>25</v>
      </c>
      <c r="L46" s="3">
        <f t="shared" si="3"/>
        <v>1</v>
      </c>
      <c r="M46" s="3">
        <f t="shared" si="4"/>
        <v>6</v>
      </c>
      <c r="N46" s="3" t="str">
        <f t="shared" si="5"/>
        <v>01</v>
      </c>
      <c r="O46" s="14" t="str">
        <f t="shared" si="6"/>
        <v>06</v>
      </c>
      <c r="P46" s="4">
        <v>29762.41</v>
      </c>
      <c r="T46" s="5" t="s">
        <v>2087</v>
      </c>
      <c r="U46" s="3" t="s">
        <v>1</v>
      </c>
      <c r="V46" s="3" t="s">
        <v>5</v>
      </c>
      <c r="W46" t="s">
        <v>1306</v>
      </c>
      <c r="X46" s="159" t="s">
        <v>1305</v>
      </c>
      <c r="Y46" s="141" t="s">
        <v>2079</v>
      </c>
    </row>
    <row r="47" spans="1:25" hidden="1">
      <c r="A47" s="143"/>
      <c r="J47" s="1" t="str">
        <f t="shared" si="1"/>
        <v>0</v>
      </c>
      <c r="K47" s="3">
        <f t="shared" si="2"/>
        <v>-100</v>
      </c>
      <c r="L47" s="3">
        <f t="shared" si="3"/>
        <v>1</v>
      </c>
      <c r="M47" s="3">
        <f t="shared" si="4"/>
        <v>0</v>
      </c>
      <c r="N47" s="3" t="str">
        <f t="shared" si="5"/>
        <v>01</v>
      </c>
      <c r="O47" s="14" t="str">
        <f t="shared" si="6"/>
        <v>00</v>
      </c>
      <c r="W47"/>
      <c r="X47" s="159"/>
    </row>
    <row r="48" spans="1:25" hidden="1">
      <c r="A48" s="143">
        <v>36</v>
      </c>
      <c r="B48" s="1">
        <f>IF(G48="-",0,IF(G47=G48,1,0))</f>
        <v>0</v>
      </c>
      <c r="C48" s="1">
        <f>+IF(G48="-",0,IF(I48=I47+1,0,(IF(I48=1,0,1))))</f>
        <v>1</v>
      </c>
      <c r="D48" s="1">
        <f>+IF(AND(P48="",Q48=""),1,0)</f>
        <v>0</v>
      </c>
      <c r="E48" s="1">
        <f t="shared" ref="E48:F50" si="13">IF(U48="",1,0)</f>
        <v>0</v>
      </c>
      <c r="F48" s="1">
        <f t="shared" si="13"/>
        <v>0</v>
      </c>
      <c r="G48" s="1" t="str">
        <f>IF(H48=0,"-",_xlfn.CONCAT(K48,N48,O48,J48))</f>
        <v>25010608</v>
      </c>
      <c r="H48" s="2">
        <v>45663</v>
      </c>
      <c r="I48" s="113">
        <v>8</v>
      </c>
      <c r="J48" s="1" t="str">
        <f t="shared" si="1"/>
        <v>08</v>
      </c>
      <c r="K48" s="3">
        <f t="shared" si="2"/>
        <v>25</v>
      </c>
      <c r="L48" s="3">
        <f t="shared" si="3"/>
        <v>1</v>
      </c>
      <c r="M48" s="3">
        <f t="shared" si="4"/>
        <v>6</v>
      </c>
      <c r="N48" s="3" t="str">
        <f t="shared" si="5"/>
        <v>01</v>
      </c>
      <c r="O48" s="14" t="str">
        <f t="shared" si="6"/>
        <v>06</v>
      </c>
      <c r="P48" s="4">
        <v>89653.13</v>
      </c>
      <c r="T48" s="5" t="s">
        <v>2086</v>
      </c>
      <c r="U48" s="3" t="s">
        <v>29</v>
      </c>
      <c r="V48" s="3" t="s">
        <v>5</v>
      </c>
      <c r="W48" t="s">
        <v>1307</v>
      </c>
      <c r="X48" s="159" t="s">
        <v>1305</v>
      </c>
    </row>
    <row r="49" spans="1:25" hidden="1">
      <c r="A49" s="143">
        <v>37</v>
      </c>
      <c r="B49" s="1">
        <f>IF(G49="-",0,IF(G48=G49,1,0))</f>
        <v>0</v>
      </c>
      <c r="C49" s="1">
        <f>+IF(G49="-",0,IF(I49=I48+1,0,(IF(I49=1,0,1))))</f>
        <v>0</v>
      </c>
      <c r="D49" s="1">
        <f>+IF(AND(P49="",Q49=""),1,0)</f>
        <v>0</v>
      </c>
      <c r="E49" s="1">
        <f t="shared" si="13"/>
        <v>0</v>
      </c>
      <c r="F49" s="1">
        <f t="shared" si="13"/>
        <v>0</v>
      </c>
      <c r="G49" s="1" t="str">
        <f>IF(H49=0,"-",_xlfn.CONCAT(K49,N49,O49,J49))</f>
        <v>25010609</v>
      </c>
      <c r="H49" s="2">
        <v>45663</v>
      </c>
      <c r="I49" s="113">
        <v>9</v>
      </c>
      <c r="J49" s="1" t="str">
        <f t="shared" si="1"/>
        <v>09</v>
      </c>
      <c r="K49" s="3">
        <f t="shared" si="2"/>
        <v>25</v>
      </c>
      <c r="L49" s="3">
        <f t="shared" si="3"/>
        <v>1</v>
      </c>
      <c r="M49" s="3">
        <f t="shared" si="4"/>
        <v>6</v>
      </c>
      <c r="N49" s="3" t="str">
        <f t="shared" si="5"/>
        <v>01</v>
      </c>
      <c r="O49" s="14" t="str">
        <f t="shared" si="6"/>
        <v>06</v>
      </c>
      <c r="P49" s="4">
        <v>-4948.24</v>
      </c>
      <c r="T49" s="5" t="s">
        <v>2085</v>
      </c>
      <c r="U49" s="3" t="s">
        <v>29</v>
      </c>
      <c r="V49" s="3" t="s">
        <v>5</v>
      </c>
      <c r="W49" t="s">
        <v>1307</v>
      </c>
      <c r="X49" s="159" t="s">
        <v>1305</v>
      </c>
      <c r="Y49" s="141" t="s">
        <v>2084</v>
      </c>
    </row>
    <row r="50" spans="1:25" hidden="1">
      <c r="A50" s="143">
        <v>38</v>
      </c>
      <c r="B50" s="1">
        <f>IF(G50="-",0,IF(G49=G50,1,0))</f>
        <v>0</v>
      </c>
      <c r="C50" s="1">
        <f>+IF(G50="-",0,IF(I50=I49+1,0,(IF(I50=1,0,1))))</f>
        <v>0</v>
      </c>
      <c r="D50" s="1">
        <f>+IF(AND(P50="",Q50=""),1,0)</f>
        <v>0</v>
      </c>
      <c r="E50" s="1">
        <f t="shared" si="13"/>
        <v>0</v>
      </c>
      <c r="F50" s="1">
        <f t="shared" si="13"/>
        <v>0</v>
      </c>
      <c r="G50" s="1" t="str">
        <f>IF(H50=0,"-",_xlfn.CONCAT(K50,N50,O50,J50))</f>
        <v>25010610</v>
      </c>
      <c r="H50" s="2">
        <v>45663</v>
      </c>
      <c r="I50" s="113">
        <v>10</v>
      </c>
      <c r="J50" s="1">
        <f t="shared" si="1"/>
        <v>10</v>
      </c>
      <c r="K50" s="3">
        <f t="shared" si="2"/>
        <v>25</v>
      </c>
      <c r="L50" s="3">
        <f t="shared" si="3"/>
        <v>1</v>
      </c>
      <c r="M50" s="3">
        <f t="shared" si="4"/>
        <v>6</v>
      </c>
      <c r="N50" s="3" t="str">
        <f t="shared" si="5"/>
        <v>01</v>
      </c>
      <c r="O50" s="14" t="str">
        <f t="shared" si="6"/>
        <v>06</v>
      </c>
      <c r="P50" s="4">
        <v>95135.87</v>
      </c>
      <c r="T50" s="5" t="s">
        <v>352</v>
      </c>
      <c r="U50" s="3" t="s">
        <v>30</v>
      </c>
      <c r="V50" s="3" t="s">
        <v>1312</v>
      </c>
      <c r="W50" t="s">
        <v>1307</v>
      </c>
      <c r="X50" s="159" t="s">
        <v>1305</v>
      </c>
    </row>
    <row r="51" spans="1:25" hidden="1">
      <c r="A51" s="143"/>
      <c r="J51" s="1" t="str">
        <f t="shared" si="1"/>
        <v>0</v>
      </c>
      <c r="K51" s="3">
        <f t="shared" si="2"/>
        <v>-100</v>
      </c>
      <c r="L51" s="3">
        <f t="shared" si="3"/>
        <v>1</v>
      </c>
      <c r="M51" s="3">
        <f t="shared" si="4"/>
        <v>0</v>
      </c>
      <c r="N51" s="3" t="str">
        <f t="shared" si="5"/>
        <v>01</v>
      </c>
      <c r="O51" s="14" t="str">
        <f t="shared" si="6"/>
        <v>00</v>
      </c>
      <c r="W51"/>
      <c r="X51" s="159"/>
    </row>
    <row r="52" spans="1:25" hidden="1">
      <c r="A52" s="143"/>
      <c r="J52" s="1" t="str">
        <f t="shared" si="1"/>
        <v>0</v>
      </c>
      <c r="K52" s="3">
        <f t="shared" si="2"/>
        <v>-100</v>
      </c>
      <c r="L52" s="3">
        <f t="shared" si="3"/>
        <v>1</v>
      </c>
      <c r="M52" s="3">
        <f t="shared" si="4"/>
        <v>0</v>
      </c>
      <c r="N52" s="3" t="str">
        <f t="shared" si="5"/>
        <v>01</v>
      </c>
      <c r="O52" s="14" t="str">
        <f t="shared" si="6"/>
        <v>00</v>
      </c>
      <c r="W52"/>
      <c r="X52" s="159"/>
    </row>
    <row r="53" spans="1:25" hidden="1">
      <c r="A53" s="143"/>
      <c r="J53" s="1" t="str">
        <f t="shared" si="1"/>
        <v>0</v>
      </c>
      <c r="K53" s="3">
        <f t="shared" si="2"/>
        <v>-100</v>
      </c>
      <c r="L53" s="3">
        <f t="shared" si="3"/>
        <v>1</v>
      </c>
      <c r="M53" s="3">
        <f t="shared" si="4"/>
        <v>0</v>
      </c>
      <c r="N53" s="3" t="str">
        <f t="shared" si="5"/>
        <v>01</v>
      </c>
      <c r="O53" s="14" t="str">
        <f t="shared" si="6"/>
        <v>00</v>
      </c>
      <c r="W53"/>
      <c r="X53" s="159"/>
    </row>
    <row r="54" spans="1:25">
      <c r="A54" s="143">
        <v>50</v>
      </c>
      <c r="B54" s="1">
        <f>IF(G54="-",0,IF(G53=G54,1,0))</f>
        <v>0</v>
      </c>
      <c r="C54" s="1">
        <f>+IF(G54="-",0,IF(I54=I53+1,0,(IF(I54=1,0,1))))</f>
        <v>1</v>
      </c>
      <c r="D54" s="1">
        <f>+IF(AND(P54="",Q54=""),1,0)</f>
        <v>0</v>
      </c>
      <c r="E54" s="1">
        <f t="shared" ref="E54:F56" si="14">IF(U54="",1,0)</f>
        <v>0</v>
      </c>
      <c r="F54" s="1">
        <f t="shared" si="14"/>
        <v>0</v>
      </c>
      <c r="G54" s="1" t="str">
        <f>IF(H54=0,"-",_xlfn.CONCAT(K54,N54,O54,J54))</f>
        <v>25010614</v>
      </c>
      <c r="H54" s="2">
        <v>45663</v>
      </c>
      <c r="I54" s="113">
        <v>14</v>
      </c>
      <c r="J54" s="1">
        <f t="shared" si="1"/>
        <v>14</v>
      </c>
      <c r="K54" s="3">
        <f t="shared" si="2"/>
        <v>25</v>
      </c>
      <c r="L54" s="3">
        <f t="shared" si="3"/>
        <v>1</v>
      </c>
      <c r="M54" s="3">
        <f t="shared" si="4"/>
        <v>6</v>
      </c>
      <c r="N54" s="3" t="str">
        <f t="shared" si="5"/>
        <v>01</v>
      </c>
      <c r="O54" s="14" t="str">
        <f t="shared" si="6"/>
        <v>06</v>
      </c>
      <c r="P54" s="4">
        <v>200000</v>
      </c>
      <c r="T54" s="5" t="s">
        <v>1570</v>
      </c>
      <c r="U54" s="3" t="s">
        <v>2</v>
      </c>
      <c r="V54" s="3" t="s">
        <v>5</v>
      </c>
      <c r="W54" t="s">
        <v>1306</v>
      </c>
      <c r="X54" s="159"/>
      <c r="Y54" s="163"/>
    </row>
    <row r="55" spans="1:25" hidden="1">
      <c r="A55" s="143">
        <v>263</v>
      </c>
      <c r="B55" s="1">
        <f>IF(G55="-",0,IF(G54=G55,1,0))</f>
        <v>0</v>
      </c>
      <c r="C55" s="1">
        <f>+IF(G55="-",0,IF(I55=I54+1,0,(IF(I55=1,0,1))))</f>
        <v>0</v>
      </c>
      <c r="D55" s="1">
        <f>+IF(AND(P55="",Q55=""),1,0)</f>
        <v>0</v>
      </c>
      <c r="E55" s="1">
        <f t="shared" si="14"/>
        <v>0</v>
      </c>
      <c r="F55" s="1">
        <f t="shared" si="14"/>
        <v>0</v>
      </c>
      <c r="G55" s="1" t="str">
        <f>IF(H55=0,"-",_xlfn.CONCAT(K55,N55,O55,J55))</f>
        <v>25010615</v>
      </c>
      <c r="H55" s="2">
        <v>45663</v>
      </c>
      <c r="I55" s="113">
        <v>15</v>
      </c>
      <c r="J55" s="1">
        <f t="shared" si="1"/>
        <v>15</v>
      </c>
      <c r="K55" s="3">
        <f t="shared" si="2"/>
        <v>25</v>
      </c>
      <c r="L55" s="3">
        <f t="shared" si="3"/>
        <v>1</v>
      </c>
      <c r="M55" s="3">
        <f t="shared" si="4"/>
        <v>6</v>
      </c>
      <c r="N55" s="3" t="str">
        <f t="shared" si="5"/>
        <v>01</v>
      </c>
      <c r="O55" s="14" t="str">
        <f t="shared" si="6"/>
        <v>06</v>
      </c>
      <c r="P55" s="4">
        <v>10000</v>
      </c>
      <c r="T55" s="5" t="s">
        <v>1706</v>
      </c>
      <c r="U55" s="3" t="s">
        <v>29</v>
      </c>
      <c r="V55" s="3" t="s">
        <v>5</v>
      </c>
      <c r="W55" t="s">
        <v>1307</v>
      </c>
      <c r="X55" s="159" t="s">
        <v>1305</v>
      </c>
    </row>
    <row r="56" spans="1:25" hidden="1">
      <c r="A56" s="143">
        <v>40</v>
      </c>
      <c r="B56" s="1">
        <f>IF(G56="-",0,IF(G55=G56,1,0))</f>
        <v>0</v>
      </c>
      <c r="C56" s="1">
        <f>+IF(G56="-",0,IF(I56=I55+1,0,(IF(I56=1,0,1))))</f>
        <v>0</v>
      </c>
      <c r="D56" s="1">
        <f>+IF(AND(P56="",Q56=""),1,0)</f>
        <v>0</v>
      </c>
      <c r="E56" s="1">
        <f t="shared" si="14"/>
        <v>0</v>
      </c>
      <c r="F56" s="1">
        <f t="shared" si="14"/>
        <v>0</v>
      </c>
      <c r="G56" s="1" t="str">
        <f>IF(H56=0,"-",_xlfn.CONCAT(K56,N56,O56,J56))</f>
        <v>25010701</v>
      </c>
      <c r="H56" s="2">
        <v>45664</v>
      </c>
      <c r="I56" s="113">
        <v>1</v>
      </c>
      <c r="J56" s="1" t="str">
        <f t="shared" si="1"/>
        <v>01</v>
      </c>
      <c r="K56" s="3">
        <f t="shared" si="2"/>
        <v>25</v>
      </c>
      <c r="L56" s="3">
        <f t="shared" si="3"/>
        <v>1</v>
      </c>
      <c r="M56" s="3">
        <f t="shared" si="4"/>
        <v>7</v>
      </c>
      <c r="N56" s="3" t="str">
        <f t="shared" si="5"/>
        <v>01</v>
      </c>
      <c r="O56" s="14" t="str">
        <f t="shared" si="6"/>
        <v>07</v>
      </c>
      <c r="P56" s="4">
        <v>12657.1</v>
      </c>
      <c r="T56" s="5" t="s">
        <v>2083</v>
      </c>
      <c r="U56" s="3" t="s">
        <v>29</v>
      </c>
      <c r="V56" s="3" t="s">
        <v>5</v>
      </c>
      <c r="W56" t="s">
        <v>1307</v>
      </c>
      <c r="X56" s="159" t="s">
        <v>1305</v>
      </c>
    </row>
    <row r="57" spans="1:25" hidden="1">
      <c r="A57" s="143"/>
      <c r="J57" s="1" t="str">
        <f t="shared" si="1"/>
        <v>0</v>
      </c>
      <c r="K57" s="3">
        <f t="shared" si="2"/>
        <v>-100</v>
      </c>
      <c r="L57" s="3">
        <f t="shared" si="3"/>
        <v>1</v>
      </c>
      <c r="M57" s="3">
        <f t="shared" si="4"/>
        <v>0</v>
      </c>
      <c r="N57" s="3" t="str">
        <f t="shared" si="5"/>
        <v>01</v>
      </c>
      <c r="O57" s="14" t="str">
        <f t="shared" si="6"/>
        <v>00</v>
      </c>
      <c r="W57"/>
      <c r="X57" s="159"/>
    </row>
    <row r="58" spans="1:25" hidden="1">
      <c r="A58" s="143"/>
      <c r="J58" s="1" t="str">
        <f t="shared" si="1"/>
        <v>0</v>
      </c>
      <c r="K58" s="3">
        <f t="shared" si="2"/>
        <v>-100</v>
      </c>
      <c r="L58" s="3">
        <f t="shared" si="3"/>
        <v>1</v>
      </c>
      <c r="M58" s="3">
        <f t="shared" si="4"/>
        <v>0</v>
      </c>
      <c r="N58" s="3" t="str">
        <f t="shared" si="5"/>
        <v>01</v>
      </c>
      <c r="O58" s="14" t="str">
        <f t="shared" si="6"/>
        <v>00</v>
      </c>
      <c r="W58"/>
      <c r="X58" s="159"/>
    </row>
    <row r="59" spans="1:25" hidden="1">
      <c r="A59" s="143">
        <v>41</v>
      </c>
      <c r="B59" s="1">
        <f>IF(G59="-",0,IF(G58=G59,1,0))</f>
        <v>0</v>
      </c>
      <c r="C59" s="1">
        <f>+IF(G59="-",0,IF(I59=I58+1,0,(IF(I59=1,0,1))))</f>
        <v>1</v>
      </c>
      <c r="D59" s="1">
        <f>+IF(AND(P59="",Q59=""),1,0)</f>
        <v>0</v>
      </c>
      <c r="E59" s="1">
        <f t="shared" ref="E59:F61" si="15">IF(U59="",1,0)</f>
        <v>0</v>
      </c>
      <c r="F59" s="1">
        <f t="shared" si="15"/>
        <v>0</v>
      </c>
      <c r="G59" s="1" t="str">
        <f>IF(H59=0,"-",_xlfn.CONCAT(K59,N59,O59,J59))</f>
        <v>25010803</v>
      </c>
      <c r="H59" s="2">
        <v>45665</v>
      </c>
      <c r="I59" s="113">
        <v>3</v>
      </c>
      <c r="J59" s="1" t="str">
        <f t="shared" si="1"/>
        <v>03</v>
      </c>
      <c r="K59" s="3">
        <f t="shared" si="2"/>
        <v>25</v>
      </c>
      <c r="L59" s="3">
        <f t="shared" si="3"/>
        <v>1</v>
      </c>
      <c r="M59" s="3">
        <f t="shared" si="4"/>
        <v>8</v>
      </c>
      <c r="N59" s="3" t="str">
        <f t="shared" si="5"/>
        <v>01</v>
      </c>
      <c r="O59" s="14" t="str">
        <f t="shared" si="6"/>
        <v>08</v>
      </c>
      <c r="P59" s="4">
        <v>6539.88</v>
      </c>
      <c r="T59" s="5" t="s">
        <v>2082</v>
      </c>
      <c r="U59" s="3" t="s">
        <v>29</v>
      </c>
      <c r="V59" s="3" t="s">
        <v>5</v>
      </c>
      <c r="W59" t="s">
        <v>1307</v>
      </c>
      <c r="X59" s="159" t="s">
        <v>1305</v>
      </c>
    </row>
    <row r="60" spans="1:25" hidden="1">
      <c r="A60" s="143">
        <v>42</v>
      </c>
      <c r="B60" s="1">
        <f>IF(G60="-",0,IF(G59=G60,1,0))</f>
        <v>0</v>
      </c>
      <c r="C60" s="1">
        <f>+IF(G60="-",0,IF(I60=I59+1,0,(IF(I60=1,0,1))))</f>
        <v>0</v>
      </c>
      <c r="D60" s="1">
        <f>+IF(AND(P60="",Q60=""),1,0)</f>
        <v>0</v>
      </c>
      <c r="E60" s="1">
        <f t="shared" si="15"/>
        <v>0</v>
      </c>
      <c r="F60" s="1">
        <f t="shared" si="15"/>
        <v>0</v>
      </c>
      <c r="G60" s="1" t="str">
        <f>IF(H60=0,"-",_xlfn.CONCAT(K60,N60,O60,J60))</f>
        <v>25010804</v>
      </c>
      <c r="H60" s="2">
        <v>45665</v>
      </c>
      <c r="I60" s="113">
        <v>4</v>
      </c>
      <c r="J60" s="1" t="str">
        <f t="shared" si="1"/>
        <v>04</v>
      </c>
      <c r="K60" s="3">
        <f t="shared" si="2"/>
        <v>25</v>
      </c>
      <c r="L60" s="3">
        <f t="shared" si="3"/>
        <v>1</v>
      </c>
      <c r="M60" s="3">
        <f t="shared" si="4"/>
        <v>8</v>
      </c>
      <c r="N60" s="3" t="str">
        <f t="shared" si="5"/>
        <v>01</v>
      </c>
      <c r="O60" s="14" t="str">
        <f t="shared" si="6"/>
        <v>08</v>
      </c>
      <c r="P60" s="4">
        <v>1243</v>
      </c>
      <c r="T60" s="5" t="s">
        <v>2081</v>
      </c>
      <c r="U60" s="3" t="s">
        <v>29</v>
      </c>
      <c r="V60" s="3" t="s">
        <v>5</v>
      </c>
      <c r="W60" t="s">
        <v>1307</v>
      </c>
      <c r="X60" s="159" t="s">
        <v>1305</v>
      </c>
    </row>
    <row r="61" spans="1:25" hidden="1">
      <c r="A61" s="143">
        <v>43</v>
      </c>
      <c r="B61" s="1">
        <f>IF(G61="-",0,IF(G60=G61,1,0))</f>
        <v>0</v>
      </c>
      <c r="C61" s="1">
        <f>+IF(G61="-",0,IF(I61=I60+1,0,(IF(I61=1,0,1))))</f>
        <v>0</v>
      </c>
      <c r="D61" s="1">
        <f>+IF(AND(P61="",Q61=""),1,0)</f>
        <v>0</v>
      </c>
      <c r="E61" s="1">
        <f t="shared" si="15"/>
        <v>0</v>
      </c>
      <c r="F61" s="1">
        <f t="shared" si="15"/>
        <v>0</v>
      </c>
      <c r="G61" s="1" t="str">
        <f>IF(H61=0,"-",_xlfn.CONCAT(K61,N61,O61,J61))</f>
        <v>25010805</v>
      </c>
      <c r="H61" s="2">
        <v>45665</v>
      </c>
      <c r="I61" s="113">
        <v>5</v>
      </c>
      <c r="J61" s="1" t="str">
        <f t="shared" si="1"/>
        <v>05</v>
      </c>
      <c r="K61" s="3">
        <f t="shared" si="2"/>
        <v>25</v>
      </c>
      <c r="L61" s="3">
        <f t="shared" si="3"/>
        <v>1</v>
      </c>
      <c r="M61" s="3">
        <f t="shared" si="4"/>
        <v>8</v>
      </c>
      <c r="N61" s="3" t="str">
        <f t="shared" si="5"/>
        <v>01</v>
      </c>
      <c r="O61" s="14" t="str">
        <f t="shared" si="6"/>
        <v>08</v>
      </c>
      <c r="P61" s="4">
        <v>-1243</v>
      </c>
      <c r="T61" s="5" t="s">
        <v>2080</v>
      </c>
      <c r="U61" s="3" t="s">
        <v>29</v>
      </c>
      <c r="V61" s="3" t="s">
        <v>5</v>
      </c>
      <c r="W61" t="s">
        <v>1307</v>
      </c>
      <c r="X61" s="159" t="s">
        <v>1305</v>
      </c>
    </row>
    <row r="62" spans="1:25" hidden="1">
      <c r="A62" s="143"/>
      <c r="J62" s="1" t="str">
        <f t="shared" si="1"/>
        <v>0</v>
      </c>
      <c r="K62" s="3">
        <f t="shared" si="2"/>
        <v>-100</v>
      </c>
      <c r="L62" s="3">
        <f t="shared" si="3"/>
        <v>1</v>
      </c>
      <c r="M62" s="3">
        <f t="shared" si="4"/>
        <v>0</v>
      </c>
      <c r="N62" s="3" t="str">
        <f t="shared" si="5"/>
        <v>01</v>
      </c>
      <c r="O62" s="14" t="str">
        <f t="shared" si="6"/>
        <v>00</v>
      </c>
      <c r="W62"/>
      <c r="X62" s="159"/>
    </row>
    <row r="63" spans="1:25" hidden="1">
      <c r="A63" s="143"/>
      <c r="J63" s="1" t="str">
        <f t="shared" si="1"/>
        <v>0</v>
      </c>
      <c r="K63" s="3">
        <f t="shared" si="2"/>
        <v>-100</v>
      </c>
      <c r="L63" s="3">
        <f t="shared" si="3"/>
        <v>1</v>
      </c>
      <c r="M63" s="3">
        <f t="shared" si="4"/>
        <v>0</v>
      </c>
      <c r="N63" s="3" t="str">
        <f t="shared" si="5"/>
        <v>01</v>
      </c>
      <c r="O63" s="14" t="str">
        <f t="shared" si="6"/>
        <v>00</v>
      </c>
      <c r="W63"/>
      <c r="X63" s="159"/>
    </row>
    <row r="64" spans="1:25" hidden="1">
      <c r="A64" s="143"/>
      <c r="J64" s="1" t="str">
        <f t="shared" si="1"/>
        <v>0</v>
      </c>
      <c r="K64" s="3">
        <f t="shared" si="2"/>
        <v>-100</v>
      </c>
      <c r="L64" s="3">
        <f t="shared" si="3"/>
        <v>1</v>
      </c>
      <c r="M64" s="3">
        <f t="shared" si="4"/>
        <v>0</v>
      </c>
      <c r="N64" s="3" t="str">
        <f t="shared" si="5"/>
        <v>01</v>
      </c>
      <c r="O64" s="14" t="str">
        <f t="shared" si="6"/>
        <v>00</v>
      </c>
      <c r="W64"/>
      <c r="X64" s="159"/>
    </row>
    <row r="65" spans="1:25" hidden="1">
      <c r="A65" s="143">
        <v>264</v>
      </c>
      <c r="B65" s="1">
        <f>IF(G65="-",0,IF(G64=G65,1,0))</f>
        <v>0</v>
      </c>
      <c r="C65" s="1">
        <f>+IF(G65="-",0,IF(I65=I64+1,0,(IF(I65=1,0,1))))</f>
        <v>1</v>
      </c>
      <c r="D65" s="1">
        <f>+IF(AND(P65="",Q65=""),1,0)</f>
        <v>0</v>
      </c>
      <c r="E65" s="1">
        <f>IF(U65="",1,0)</f>
        <v>0</v>
      </c>
      <c r="F65" s="1">
        <f>IF(V65="",1,0)</f>
        <v>0</v>
      </c>
      <c r="G65" s="1" t="str">
        <f>IF(H65=0,"-",_xlfn.CONCAT(K65,N65,O65,J65))</f>
        <v>25010809</v>
      </c>
      <c r="H65" s="2">
        <v>45665</v>
      </c>
      <c r="I65" s="113">
        <v>9</v>
      </c>
      <c r="J65" s="1" t="str">
        <f t="shared" si="1"/>
        <v>09</v>
      </c>
      <c r="K65" s="3">
        <f t="shared" si="2"/>
        <v>25</v>
      </c>
      <c r="L65" s="3">
        <f t="shared" si="3"/>
        <v>1</v>
      </c>
      <c r="M65" s="3">
        <f t="shared" si="4"/>
        <v>8</v>
      </c>
      <c r="N65" s="3" t="str">
        <f t="shared" si="5"/>
        <v>01</v>
      </c>
      <c r="O65" s="14" t="str">
        <f t="shared" si="6"/>
        <v>08</v>
      </c>
      <c r="P65" s="4">
        <v>13000</v>
      </c>
      <c r="T65" s="5" t="s">
        <v>1921</v>
      </c>
      <c r="U65" s="3" t="s">
        <v>29</v>
      </c>
      <c r="V65" s="3" t="s">
        <v>5</v>
      </c>
      <c r="W65" t="s">
        <v>1307</v>
      </c>
      <c r="X65" s="159" t="s">
        <v>1305</v>
      </c>
    </row>
    <row r="66" spans="1:25" hidden="1">
      <c r="A66" s="143">
        <v>389</v>
      </c>
      <c r="B66" s="1">
        <f>IF(G66="-",0,IF(G65=G66,1,0))</f>
        <v>0</v>
      </c>
      <c r="C66" s="1">
        <f>+IF(G66="-",0,IF(I66=I65+1,0,(IF(I66=1,0,1))))</f>
        <v>0</v>
      </c>
      <c r="D66" s="1">
        <f>+IF(AND(P66="",Q66=""),1,0)</f>
        <v>0</v>
      </c>
      <c r="E66" s="1">
        <f>IF(U66="",1,0)</f>
        <v>0</v>
      </c>
      <c r="F66" s="1">
        <f>IF(V66="",1,0)</f>
        <v>0</v>
      </c>
      <c r="G66" s="1" t="str">
        <f>IF(H66=0,"-",_xlfn.CONCAT(K66,N66,O66,J66))</f>
        <v>25010810</v>
      </c>
      <c r="H66" s="2">
        <v>45665</v>
      </c>
      <c r="I66" s="113">
        <v>10</v>
      </c>
      <c r="J66" s="1">
        <f t="shared" si="1"/>
        <v>10</v>
      </c>
      <c r="K66" s="3">
        <f t="shared" si="2"/>
        <v>25</v>
      </c>
      <c r="L66" s="3">
        <f t="shared" si="3"/>
        <v>1</v>
      </c>
      <c r="M66" s="3">
        <f t="shared" si="4"/>
        <v>8</v>
      </c>
      <c r="N66" s="3" t="str">
        <f t="shared" si="5"/>
        <v>01</v>
      </c>
      <c r="O66" s="14" t="str">
        <f t="shared" si="6"/>
        <v>08</v>
      </c>
      <c r="P66" s="4">
        <v>5050</v>
      </c>
      <c r="T66" s="5" t="s">
        <v>2078</v>
      </c>
      <c r="U66" s="3" t="s">
        <v>1310</v>
      </c>
      <c r="V66" s="3" t="s">
        <v>1304</v>
      </c>
      <c r="W66" s="3" t="s">
        <v>1309</v>
      </c>
      <c r="X66" s="1" t="s">
        <v>1302</v>
      </c>
    </row>
    <row r="67" spans="1:25" hidden="1">
      <c r="A67" s="143"/>
      <c r="J67" s="1" t="str">
        <f t="shared" si="1"/>
        <v>0</v>
      </c>
      <c r="K67" s="3">
        <f t="shared" si="2"/>
        <v>-100</v>
      </c>
      <c r="L67" s="3">
        <f t="shared" si="3"/>
        <v>1</v>
      </c>
      <c r="M67" s="3">
        <f t="shared" si="4"/>
        <v>0</v>
      </c>
      <c r="N67" s="3" t="str">
        <f t="shared" si="5"/>
        <v>01</v>
      </c>
      <c r="O67" s="14" t="str">
        <f t="shared" si="6"/>
        <v>00</v>
      </c>
      <c r="W67"/>
      <c r="X67" s="159"/>
    </row>
    <row r="68" spans="1:25" hidden="1">
      <c r="A68" s="143">
        <v>47</v>
      </c>
      <c r="B68" s="1">
        <f>IF(G68="-",0,IF(G67=G68,1,0))</f>
        <v>0</v>
      </c>
      <c r="C68" s="1">
        <f>+IF(G68="-",0,IF(I68=I67+1,0,(IF(I68=1,0,1))))</f>
        <v>1</v>
      </c>
      <c r="D68" s="1">
        <f>+IF(AND(P68="",Q68=""),1,0)</f>
        <v>0</v>
      </c>
      <c r="E68" s="1">
        <f>IF(U68="",1,0)</f>
        <v>0</v>
      </c>
      <c r="F68" s="1">
        <f>IF(V68="",1,0)</f>
        <v>0</v>
      </c>
      <c r="G68" s="1" t="str">
        <f>IF(H68=0,"-",_xlfn.CONCAT(K68,N68,O68,J68))</f>
        <v>25010902</v>
      </c>
      <c r="H68" s="2">
        <v>45666</v>
      </c>
      <c r="I68" s="113">
        <v>2</v>
      </c>
      <c r="J68" s="1" t="str">
        <f t="shared" si="1"/>
        <v>02</v>
      </c>
      <c r="K68" s="3">
        <f t="shared" si="2"/>
        <v>25</v>
      </c>
      <c r="L68" s="3">
        <f t="shared" si="3"/>
        <v>1</v>
      </c>
      <c r="M68" s="3">
        <f t="shared" si="4"/>
        <v>9</v>
      </c>
      <c r="N68" s="3" t="str">
        <f t="shared" si="5"/>
        <v>01</v>
      </c>
      <c r="O68" s="14" t="str">
        <f t="shared" si="6"/>
        <v>09</v>
      </c>
      <c r="P68" s="4">
        <v>8700.0300000000007</v>
      </c>
      <c r="T68" s="5" t="s">
        <v>2077</v>
      </c>
      <c r="U68" s="3" t="s">
        <v>30</v>
      </c>
      <c r="V68" s="3" t="s">
        <v>1312</v>
      </c>
      <c r="W68" t="s">
        <v>1307</v>
      </c>
      <c r="X68" s="159" t="s">
        <v>1305</v>
      </c>
    </row>
    <row r="69" spans="1:25" hidden="1">
      <c r="A69" s="143"/>
      <c r="J69" s="1" t="str">
        <f t="shared" si="1"/>
        <v>0</v>
      </c>
      <c r="K69" s="3">
        <f t="shared" si="2"/>
        <v>-100</v>
      </c>
      <c r="L69" s="3">
        <f t="shared" si="3"/>
        <v>1</v>
      </c>
      <c r="M69" s="3">
        <f t="shared" si="4"/>
        <v>0</v>
      </c>
      <c r="N69" s="3" t="str">
        <f t="shared" si="5"/>
        <v>01</v>
      </c>
      <c r="O69" s="14" t="str">
        <f t="shared" si="6"/>
        <v>00</v>
      </c>
      <c r="W69"/>
      <c r="X69" s="159"/>
    </row>
    <row r="70" spans="1:25">
      <c r="A70" s="143">
        <v>49</v>
      </c>
      <c r="B70" s="1">
        <f>IF(G70="-",0,IF(G69=G70,1,0))</f>
        <v>0</v>
      </c>
      <c r="C70" s="1">
        <f>+IF(G70="-",0,IF(I70=I69+1,0,(IF(I70=1,0,1))))</f>
        <v>0</v>
      </c>
      <c r="D70" s="1">
        <f>+IF(AND(P70="",Q70=""),1,0)</f>
        <v>0</v>
      </c>
      <c r="E70" s="1">
        <f>IF(U70="",1,0)</f>
        <v>0</v>
      </c>
      <c r="F70" s="1">
        <f>IF(V70="",1,0)</f>
        <v>0</v>
      </c>
      <c r="G70" s="1" t="str">
        <f>IF(H70=0,"-",_xlfn.CONCAT(K70,N70,O70,J70))</f>
        <v>25011001</v>
      </c>
      <c r="H70" s="2">
        <v>45667</v>
      </c>
      <c r="I70" s="113">
        <v>1</v>
      </c>
      <c r="J70" s="1" t="str">
        <f t="shared" si="1"/>
        <v>01</v>
      </c>
      <c r="K70" s="3">
        <f t="shared" si="2"/>
        <v>25</v>
      </c>
      <c r="L70" s="3">
        <f t="shared" si="3"/>
        <v>1</v>
      </c>
      <c r="M70" s="3">
        <f t="shared" si="4"/>
        <v>10</v>
      </c>
      <c r="N70" s="3" t="str">
        <f t="shared" si="5"/>
        <v>01</v>
      </c>
      <c r="O70" s="14">
        <f t="shared" si="6"/>
        <v>10</v>
      </c>
      <c r="P70" s="4">
        <v>1378600</v>
      </c>
      <c r="T70" s="5" t="s">
        <v>2076</v>
      </c>
      <c r="U70" s="3" t="s">
        <v>1313</v>
      </c>
      <c r="V70" s="3" t="s">
        <v>5</v>
      </c>
      <c r="W70" t="s">
        <v>1306</v>
      </c>
      <c r="X70" s="159"/>
    </row>
    <row r="71" spans="1:25" hidden="1">
      <c r="A71" s="143"/>
      <c r="J71" s="1" t="str">
        <f t="shared" si="1"/>
        <v>0</v>
      </c>
      <c r="K71" s="3">
        <f t="shared" si="2"/>
        <v>-100</v>
      </c>
      <c r="L71" s="3">
        <f t="shared" si="3"/>
        <v>1</v>
      </c>
      <c r="M71" s="3">
        <f t="shared" si="4"/>
        <v>0</v>
      </c>
      <c r="N71" s="3" t="str">
        <f t="shared" si="5"/>
        <v>01</v>
      </c>
      <c r="O71" s="14" t="str">
        <f t="shared" si="6"/>
        <v>00</v>
      </c>
      <c r="W71"/>
      <c r="X71" s="159"/>
      <c r="Y71" s="163"/>
    </row>
    <row r="72" spans="1:25" hidden="1">
      <c r="A72" s="143"/>
      <c r="J72" s="1" t="str">
        <f t="shared" ref="J72:J135" si="16">+IF(I72&lt;10,_xlfn.CONCAT("0",I72),I72)</f>
        <v>0</v>
      </c>
      <c r="K72" s="3">
        <f t="shared" ref="K72:K135" si="17">+YEAR(H72)-2000</f>
        <v>-100</v>
      </c>
      <c r="L72" s="3">
        <f t="shared" ref="L72:L135" si="18">+MONTH(H72)</f>
        <v>1</v>
      </c>
      <c r="M72" s="3">
        <f t="shared" ref="M72:M135" si="19">+DAY(H72)</f>
        <v>0</v>
      </c>
      <c r="N72" s="3" t="str">
        <f t="shared" ref="N72:N135" si="20">+IF(L72&lt;10,_xlfn.CONCAT("0",L72),L72)</f>
        <v>01</v>
      </c>
      <c r="O72" s="14" t="str">
        <f t="shared" ref="O72:O135" si="21">+IF(M72&lt;10,_xlfn.CONCAT("0",M72),M72)</f>
        <v>00</v>
      </c>
      <c r="W72"/>
      <c r="X72" s="159"/>
    </row>
    <row r="73" spans="1:25" hidden="1">
      <c r="A73" s="143"/>
      <c r="J73" s="1" t="str">
        <f t="shared" si="16"/>
        <v>0</v>
      </c>
      <c r="K73" s="3">
        <f t="shared" si="17"/>
        <v>-100</v>
      </c>
      <c r="L73" s="3">
        <f t="shared" si="18"/>
        <v>1</v>
      </c>
      <c r="M73" s="3">
        <f t="shared" si="19"/>
        <v>0</v>
      </c>
      <c r="N73" s="3" t="str">
        <f t="shared" si="20"/>
        <v>01</v>
      </c>
      <c r="O73" s="14" t="str">
        <f t="shared" si="21"/>
        <v>00</v>
      </c>
      <c r="W73"/>
      <c r="X73" s="159"/>
      <c r="Y73" s="163"/>
    </row>
    <row r="74" spans="1:25">
      <c r="A74" s="143">
        <v>890</v>
      </c>
      <c r="B74" s="1">
        <f t="shared" ref="B74:B89" si="22">IF(G74="-",0,IF(G73=G74,1,0))</f>
        <v>0</v>
      </c>
      <c r="C74" s="1">
        <f t="shared" ref="C74:C89" si="23">+IF(G74="-",0,IF(I74=I73+1,0,(IF(I74=1,0,1))))</f>
        <v>1</v>
      </c>
      <c r="D74" s="1">
        <f t="shared" ref="D74:D89" si="24">+IF(AND(P74="",Q74=""),1,0)</f>
        <v>0</v>
      </c>
      <c r="E74" s="1">
        <f t="shared" ref="E74:E89" si="25">IF(U74="",1,0)</f>
        <v>0</v>
      </c>
      <c r="F74" s="1">
        <f t="shared" ref="F74:F89" si="26">IF(V74="",1,0)</f>
        <v>0</v>
      </c>
      <c r="G74" s="1" t="str">
        <f t="shared" ref="G74:G89" si="27">IF(H74=0,"-",_xlfn.CONCAT(K74,N74,O74,J74))</f>
        <v>25011005</v>
      </c>
      <c r="H74" s="2">
        <v>45667</v>
      </c>
      <c r="I74" s="113">
        <v>5</v>
      </c>
      <c r="J74" s="1" t="str">
        <f t="shared" si="16"/>
        <v>05</v>
      </c>
      <c r="K74" s="3">
        <f t="shared" si="17"/>
        <v>25</v>
      </c>
      <c r="L74" s="3">
        <f t="shared" si="18"/>
        <v>1</v>
      </c>
      <c r="M74" s="3">
        <f t="shared" si="19"/>
        <v>10</v>
      </c>
      <c r="N74" s="3" t="str">
        <f t="shared" si="20"/>
        <v>01</v>
      </c>
      <c r="O74" s="14">
        <f t="shared" si="21"/>
        <v>10</v>
      </c>
      <c r="P74" s="4">
        <v>1638500</v>
      </c>
      <c r="T74" s="5" t="s">
        <v>2075</v>
      </c>
      <c r="U74" s="3" t="s">
        <v>1313</v>
      </c>
      <c r="V74" s="3" t="s">
        <v>5</v>
      </c>
      <c r="W74" s="3" t="s">
        <v>1313</v>
      </c>
      <c r="X74" s="1" t="s">
        <v>1305</v>
      </c>
    </row>
    <row r="75" spans="1:25">
      <c r="A75" s="143">
        <v>891</v>
      </c>
      <c r="B75" s="1">
        <f t="shared" si="22"/>
        <v>0</v>
      </c>
      <c r="C75" s="1">
        <f t="shared" si="23"/>
        <v>0</v>
      </c>
      <c r="D75" s="1">
        <f t="shared" si="24"/>
        <v>0</v>
      </c>
      <c r="E75" s="1">
        <f t="shared" si="25"/>
        <v>0</v>
      </c>
      <c r="F75" s="1">
        <f t="shared" si="26"/>
        <v>0</v>
      </c>
      <c r="G75" s="1" t="str">
        <f t="shared" si="27"/>
        <v>25011006</v>
      </c>
      <c r="H75" s="2">
        <v>45667</v>
      </c>
      <c r="I75" s="113">
        <v>6</v>
      </c>
      <c r="J75" s="1" t="str">
        <f t="shared" si="16"/>
        <v>06</v>
      </c>
      <c r="K75" s="3">
        <f t="shared" si="17"/>
        <v>25</v>
      </c>
      <c r="L75" s="3">
        <f t="shared" si="18"/>
        <v>1</v>
      </c>
      <c r="M75" s="3">
        <f t="shared" si="19"/>
        <v>10</v>
      </c>
      <c r="N75" s="3" t="str">
        <f t="shared" si="20"/>
        <v>01</v>
      </c>
      <c r="O75" s="14">
        <f t="shared" si="21"/>
        <v>10</v>
      </c>
      <c r="P75" s="4">
        <v>-1638500</v>
      </c>
      <c r="T75" s="5" t="s">
        <v>2074</v>
      </c>
      <c r="U75" s="3" t="s">
        <v>1313</v>
      </c>
      <c r="V75" s="3" t="s">
        <v>5</v>
      </c>
      <c r="W75" s="3" t="s">
        <v>1313</v>
      </c>
      <c r="X75" s="1" t="s">
        <v>1305</v>
      </c>
    </row>
    <row r="76" spans="1:25">
      <c r="A76" s="143">
        <v>69</v>
      </c>
      <c r="B76" s="1">
        <f t="shared" si="22"/>
        <v>0</v>
      </c>
      <c r="C76" s="1">
        <f t="shared" si="23"/>
        <v>0</v>
      </c>
      <c r="D76" s="1">
        <f t="shared" si="24"/>
        <v>0</v>
      </c>
      <c r="E76" s="1">
        <f t="shared" si="25"/>
        <v>0</v>
      </c>
      <c r="F76" s="1">
        <f t="shared" si="26"/>
        <v>0</v>
      </c>
      <c r="G76" s="1" t="str">
        <f t="shared" si="27"/>
        <v>25011101</v>
      </c>
      <c r="H76" s="2">
        <v>45668</v>
      </c>
      <c r="I76" s="113">
        <v>1</v>
      </c>
      <c r="J76" s="1" t="str">
        <f t="shared" si="16"/>
        <v>01</v>
      </c>
      <c r="K76" s="3">
        <f t="shared" si="17"/>
        <v>25</v>
      </c>
      <c r="L76" s="3">
        <f t="shared" si="18"/>
        <v>1</v>
      </c>
      <c r="M76" s="3">
        <f t="shared" si="19"/>
        <v>11</v>
      </c>
      <c r="N76" s="3" t="str">
        <f t="shared" si="20"/>
        <v>01</v>
      </c>
      <c r="O76" s="14">
        <f t="shared" si="21"/>
        <v>11</v>
      </c>
      <c r="P76" s="28">
        <v>53000</v>
      </c>
      <c r="T76" s="28" t="s">
        <v>2073</v>
      </c>
      <c r="U76" s="3" t="s">
        <v>1</v>
      </c>
      <c r="V76" s="3" t="s">
        <v>5</v>
      </c>
      <c r="W76" t="s">
        <v>1306</v>
      </c>
      <c r="X76" s="159"/>
      <c r="Y76" s="163" t="s">
        <v>1951</v>
      </c>
    </row>
    <row r="77" spans="1:25">
      <c r="A77" s="143">
        <v>70</v>
      </c>
      <c r="B77" s="1">
        <f t="shared" si="22"/>
        <v>0</v>
      </c>
      <c r="C77" s="1">
        <f t="shared" si="23"/>
        <v>0</v>
      </c>
      <c r="D77" s="1">
        <f t="shared" si="24"/>
        <v>0</v>
      </c>
      <c r="E77" s="1">
        <f t="shared" si="25"/>
        <v>0</v>
      </c>
      <c r="F77" s="1">
        <f t="shared" si="26"/>
        <v>0</v>
      </c>
      <c r="G77" s="1" t="str">
        <f t="shared" si="27"/>
        <v>25011102</v>
      </c>
      <c r="H77" s="2">
        <v>45668</v>
      </c>
      <c r="I77" s="113">
        <v>2</v>
      </c>
      <c r="J77" s="1" t="str">
        <f t="shared" si="16"/>
        <v>02</v>
      </c>
      <c r="K77" s="3">
        <f t="shared" si="17"/>
        <v>25</v>
      </c>
      <c r="L77" s="3">
        <f t="shared" si="18"/>
        <v>1</v>
      </c>
      <c r="M77" s="3">
        <f t="shared" si="19"/>
        <v>11</v>
      </c>
      <c r="N77" s="3" t="str">
        <f t="shared" si="20"/>
        <v>01</v>
      </c>
      <c r="O77" s="14">
        <f t="shared" si="21"/>
        <v>11</v>
      </c>
      <c r="P77" s="28">
        <v>138000</v>
      </c>
      <c r="T77" s="28" t="s">
        <v>2072</v>
      </c>
      <c r="U77" s="3" t="s">
        <v>1</v>
      </c>
      <c r="V77" s="3" t="s">
        <v>5</v>
      </c>
      <c r="W77" t="s">
        <v>1306</v>
      </c>
      <c r="X77" s="159"/>
      <c r="Y77" s="163" t="s">
        <v>1949</v>
      </c>
    </row>
    <row r="78" spans="1:25">
      <c r="A78" s="143">
        <v>71</v>
      </c>
      <c r="B78" s="1">
        <f t="shared" si="22"/>
        <v>0</v>
      </c>
      <c r="C78" s="1">
        <f t="shared" si="23"/>
        <v>0</v>
      </c>
      <c r="D78" s="1">
        <f t="shared" si="24"/>
        <v>0</v>
      </c>
      <c r="E78" s="1">
        <f t="shared" si="25"/>
        <v>0</v>
      </c>
      <c r="F78" s="1">
        <f t="shared" si="26"/>
        <v>0</v>
      </c>
      <c r="G78" s="1" t="str">
        <f t="shared" si="27"/>
        <v>25011103</v>
      </c>
      <c r="H78" s="2">
        <v>45668</v>
      </c>
      <c r="I78" s="113">
        <v>3</v>
      </c>
      <c r="J78" s="1" t="str">
        <f t="shared" si="16"/>
        <v>03</v>
      </c>
      <c r="K78" s="3">
        <f t="shared" si="17"/>
        <v>25</v>
      </c>
      <c r="L78" s="3">
        <f t="shared" si="18"/>
        <v>1</v>
      </c>
      <c r="M78" s="3">
        <f t="shared" si="19"/>
        <v>11</v>
      </c>
      <c r="N78" s="3" t="str">
        <f t="shared" si="20"/>
        <v>01</v>
      </c>
      <c r="O78" s="14">
        <f t="shared" si="21"/>
        <v>11</v>
      </c>
      <c r="P78" s="28">
        <v>132000</v>
      </c>
      <c r="T78" s="28" t="s">
        <v>2071</v>
      </c>
      <c r="U78" s="3" t="s">
        <v>1</v>
      </c>
      <c r="V78" s="3" t="s">
        <v>5</v>
      </c>
      <c r="W78" t="s">
        <v>1306</v>
      </c>
      <c r="X78" s="159"/>
      <c r="Y78" s="163" t="s">
        <v>1947</v>
      </c>
    </row>
    <row r="79" spans="1:25">
      <c r="A79" s="143">
        <v>72</v>
      </c>
      <c r="B79" s="1">
        <f t="shared" si="22"/>
        <v>0</v>
      </c>
      <c r="C79" s="1">
        <f t="shared" si="23"/>
        <v>0</v>
      </c>
      <c r="D79" s="1">
        <f t="shared" si="24"/>
        <v>0</v>
      </c>
      <c r="E79" s="1">
        <f t="shared" si="25"/>
        <v>0</v>
      </c>
      <c r="F79" s="1">
        <f t="shared" si="26"/>
        <v>0</v>
      </c>
      <c r="G79" s="1" t="str">
        <f t="shared" si="27"/>
        <v>25011104</v>
      </c>
      <c r="H79" s="2">
        <v>45668</v>
      </c>
      <c r="I79" s="113">
        <v>4</v>
      </c>
      <c r="J79" s="1" t="str">
        <f t="shared" si="16"/>
        <v>04</v>
      </c>
      <c r="K79" s="3">
        <f t="shared" si="17"/>
        <v>25</v>
      </c>
      <c r="L79" s="3">
        <f t="shared" si="18"/>
        <v>1</v>
      </c>
      <c r="M79" s="3">
        <f t="shared" si="19"/>
        <v>11</v>
      </c>
      <c r="N79" s="3" t="str">
        <f t="shared" si="20"/>
        <v>01</v>
      </c>
      <c r="O79" s="14">
        <f t="shared" si="21"/>
        <v>11</v>
      </c>
      <c r="P79" s="28">
        <v>132000</v>
      </c>
      <c r="T79" s="28" t="s">
        <v>2070</v>
      </c>
      <c r="U79" s="3" t="s">
        <v>1</v>
      </c>
      <c r="V79" s="3" t="s">
        <v>5</v>
      </c>
      <c r="W79" t="s">
        <v>1306</v>
      </c>
      <c r="X79" s="159"/>
      <c r="Y79" s="163" t="s">
        <v>1945</v>
      </c>
    </row>
    <row r="80" spans="1:25">
      <c r="A80" s="143">
        <v>73</v>
      </c>
      <c r="B80" s="1">
        <f t="shared" si="22"/>
        <v>0</v>
      </c>
      <c r="C80" s="1">
        <f t="shared" si="23"/>
        <v>0</v>
      </c>
      <c r="D80" s="1">
        <f t="shared" si="24"/>
        <v>0</v>
      </c>
      <c r="E80" s="1">
        <f t="shared" si="25"/>
        <v>0</v>
      </c>
      <c r="F80" s="1">
        <f t="shared" si="26"/>
        <v>0</v>
      </c>
      <c r="G80" s="1" t="str">
        <f t="shared" si="27"/>
        <v>25011105</v>
      </c>
      <c r="H80" s="2">
        <v>45668</v>
      </c>
      <c r="I80" s="113">
        <v>5</v>
      </c>
      <c r="J80" s="1" t="str">
        <f t="shared" si="16"/>
        <v>05</v>
      </c>
      <c r="K80" s="3">
        <f t="shared" si="17"/>
        <v>25</v>
      </c>
      <c r="L80" s="3">
        <f t="shared" si="18"/>
        <v>1</v>
      </c>
      <c r="M80" s="3">
        <f t="shared" si="19"/>
        <v>11</v>
      </c>
      <c r="N80" s="3" t="str">
        <f t="shared" si="20"/>
        <v>01</v>
      </c>
      <c r="O80" s="14">
        <f t="shared" si="21"/>
        <v>11</v>
      </c>
      <c r="P80" s="28">
        <v>159000</v>
      </c>
      <c r="T80" s="28" t="s">
        <v>2069</v>
      </c>
      <c r="U80" s="3" t="s">
        <v>1</v>
      </c>
      <c r="V80" s="3" t="s">
        <v>5</v>
      </c>
      <c r="W80" t="s">
        <v>1306</v>
      </c>
      <c r="X80" s="159"/>
      <c r="Y80" s="163" t="s">
        <v>1943</v>
      </c>
    </row>
    <row r="81" spans="1:25">
      <c r="A81" s="143">
        <v>74</v>
      </c>
      <c r="B81" s="1">
        <f t="shared" si="22"/>
        <v>0</v>
      </c>
      <c r="C81" s="1">
        <f t="shared" si="23"/>
        <v>0</v>
      </c>
      <c r="D81" s="1">
        <f t="shared" si="24"/>
        <v>0</v>
      </c>
      <c r="E81" s="1">
        <f t="shared" si="25"/>
        <v>0</v>
      </c>
      <c r="F81" s="1">
        <f t="shared" si="26"/>
        <v>0</v>
      </c>
      <c r="G81" s="1" t="str">
        <f t="shared" si="27"/>
        <v>25011106</v>
      </c>
      <c r="H81" s="2">
        <v>45668</v>
      </c>
      <c r="I81" s="113">
        <v>6</v>
      </c>
      <c r="J81" s="1" t="str">
        <f t="shared" si="16"/>
        <v>06</v>
      </c>
      <c r="K81" s="3">
        <f t="shared" si="17"/>
        <v>25</v>
      </c>
      <c r="L81" s="3">
        <f t="shared" si="18"/>
        <v>1</v>
      </c>
      <c r="M81" s="3">
        <f t="shared" si="19"/>
        <v>11</v>
      </c>
      <c r="N81" s="3" t="str">
        <f t="shared" si="20"/>
        <v>01</v>
      </c>
      <c r="O81" s="14">
        <f t="shared" si="21"/>
        <v>11</v>
      </c>
      <c r="P81" s="31">
        <v>132000</v>
      </c>
      <c r="T81" s="31" t="s">
        <v>2068</v>
      </c>
      <c r="U81" s="3" t="s">
        <v>1</v>
      </c>
      <c r="V81" s="3" t="s">
        <v>5</v>
      </c>
      <c r="W81" t="s">
        <v>1306</v>
      </c>
      <c r="X81" s="159"/>
      <c r="Y81" s="163"/>
    </row>
    <row r="82" spans="1:25">
      <c r="A82" s="143">
        <v>75</v>
      </c>
      <c r="B82" s="1">
        <f t="shared" si="22"/>
        <v>0</v>
      </c>
      <c r="C82" s="1">
        <f t="shared" si="23"/>
        <v>0</v>
      </c>
      <c r="D82" s="1">
        <f t="shared" si="24"/>
        <v>0</v>
      </c>
      <c r="E82" s="1">
        <f t="shared" si="25"/>
        <v>0</v>
      </c>
      <c r="F82" s="1">
        <f t="shared" si="26"/>
        <v>0</v>
      </c>
      <c r="G82" s="1" t="str">
        <f t="shared" si="27"/>
        <v>25011107</v>
      </c>
      <c r="H82" s="2">
        <v>45668</v>
      </c>
      <c r="I82" s="113">
        <v>7</v>
      </c>
      <c r="J82" s="1" t="str">
        <f t="shared" si="16"/>
        <v>07</v>
      </c>
      <c r="K82" s="3">
        <f t="shared" si="17"/>
        <v>25</v>
      </c>
      <c r="L82" s="3">
        <f t="shared" si="18"/>
        <v>1</v>
      </c>
      <c r="M82" s="3">
        <f t="shared" si="19"/>
        <v>11</v>
      </c>
      <c r="N82" s="3" t="str">
        <f t="shared" si="20"/>
        <v>01</v>
      </c>
      <c r="O82" s="14">
        <f t="shared" si="21"/>
        <v>11</v>
      </c>
      <c r="P82" s="31">
        <v>108000</v>
      </c>
      <c r="T82" s="31" t="s">
        <v>2067</v>
      </c>
      <c r="U82" s="3" t="s">
        <v>1</v>
      </c>
      <c r="V82" s="3" t="s">
        <v>5</v>
      </c>
      <c r="W82" t="s">
        <v>1306</v>
      </c>
      <c r="X82" s="159"/>
      <c r="Y82" s="163"/>
    </row>
    <row r="83" spans="1:25">
      <c r="A83" s="143">
        <v>76</v>
      </c>
      <c r="B83" s="1">
        <f t="shared" si="22"/>
        <v>0</v>
      </c>
      <c r="C83" s="1">
        <f t="shared" si="23"/>
        <v>0</v>
      </c>
      <c r="D83" s="1">
        <f t="shared" si="24"/>
        <v>0</v>
      </c>
      <c r="E83" s="1">
        <f t="shared" si="25"/>
        <v>0</v>
      </c>
      <c r="F83" s="1">
        <f t="shared" si="26"/>
        <v>0</v>
      </c>
      <c r="G83" s="1" t="str">
        <f t="shared" si="27"/>
        <v>25011108</v>
      </c>
      <c r="H83" s="2">
        <v>45668</v>
      </c>
      <c r="I83" s="113">
        <v>8</v>
      </c>
      <c r="J83" s="1" t="str">
        <f t="shared" si="16"/>
        <v>08</v>
      </c>
      <c r="K83" s="3">
        <f t="shared" si="17"/>
        <v>25</v>
      </c>
      <c r="L83" s="3">
        <f t="shared" si="18"/>
        <v>1</v>
      </c>
      <c r="M83" s="3">
        <f t="shared" si="19"/>
        <v>11</v>
      </c>
      <c r="N83" s="3" t="str">
        <f t="shared" si="20"/>
        <v>01</v>
      </c>
      <c r="O83" s="14">
        <f t="shared" si="21"/>
        <v>11</v>
      </c>
      <c r="P83" s="31">
        <v>252000</v>
      </c>
      <c r="T83" s="31" t="s">
        <v>2066</v>
      </c>
      <c r="U83" s="3" t="s">
        <v>1</v>
      </c>
      <c r="V83" s="3" t="s">
        <v>5</v>
      </c>
      <c r="W83" t="s">
        <v>1306</v>
      </c>
      <c r="X83" s="159"/>
      <c r="Y83" s="163"/>
    </row>
    <row r="84" spans="1:25">
      <c r="A84" s="143">
        <v>77</v>
      </c>
      <c r="B84" s="1">
        <f t="shared" si="22"/>
        <v>0</v>
      </c>
      <c r="C84" s="1">
        <f t="shared" si="23"/>
        <v>0</v>
      </c>
      <c r="D84" s="1">
        <f t="shared" si="24"/>
        <v>0</v>
      </c>
      <c r="E84" s="1">
        <f t="shared" si="25"/>
        <v>0</v>
      </c>
      <c r="F84" s="1">
        <f t="shared" si="26"/>
        <v>0</v>
      </c>
      <c r="G84" s="1" t="str">
        <f t="shared" si="27"/>
        <v>25011109</v>
      </c>
      <c r="H84" s="2">
        <v>45668</v>
      </c>
      <c r="I84" s="113">
        <v>9</v>
      </c>
      <c r="J84" s="1" t="str">
        <f t="shared" si="16"/>
        <v>09</v>
      </c>
      <c r="K84" s="3">
        <f t="shared" si="17"/>
        <v>25</v>
      </c>
      <c r="L84" s="3">
        <f t="shared" si="18"/>
        <v>1</v>
      </c>
      <c r="M84" s="3">
        <f t="shared" si="19"/>
        <v>11</v>
      </c>
      <c r="N84" s="3" t="str">
        <f t="shared" si="20"/>
        <v>01</v>
      </c>
      <c r="O84" s="14">
        <f t="shared" si="21"/>
        <v>11</v>
      </c>
      <c r="P84" s="31">
        <v>90000</v>
      </c>
      <c r="T84" s="31" t="s">
        <v>2065</v>
      </c>
      <c r="U84" s="3" t="s">
        <v>1</v>
      </c>
      <c r="V84" s="3" t="s">
        <v>5</v>
      </c>
      <c r="W84" t="s">
        <v>1306</v>
      </c>
      <c r="X84" s="159"/>
      <c r="Y84" s="163"/>
    </row>
    <row r="85" spans="1:25">
      <c r="A85" s="143">
        <v>78</v>
      </c>
      <c r="B85" s="1">
        <f t="shared" si="22"/>
        <v>0</v>
      </c>
      <c r="C85" s="1">
        <f t="shared" si="23"/>
        <v>0</v>
      </c>
      <c r="D85" s="1">
        <f t="shared" si="24"/>
        <v>0</v>
      </c>
      <c r="E85" s="1">
        <f t="shared" si="25"/>
        <v>0</v>
      </c>
      <c r="F85" s="1">
        <f t="shared" si="26"/>
        <v>0</v>
      </c>
      <c r="G85" s="1" t="str">
        <f t="shared" si="27"/>
        <v>25011110</v>
      </c>
      <c r="H85" s="2">
        <v>45668</v>
      </c>
      <c r="I85" s="113">
        <v>10</v>
      </c>
      <c r="J85" s="1">
        <f t="shared" si="16"/>
        <v>10</v>
      </c>
      <c r="K85" s="3">
        <f t="shared" si="17"/>
        <v>25</v>
      </c>
      <c r="L85" s="3">
        <f t="shared" si="18"/>
        <v>1</v>
      </c>
      <c r="M85" s="3">
        <f t="shared" si="19"/>
        <v>11</v>
      </c>
      <c r="N85" s="3" t="str">
        <f t="shared" si="20"/>
        <v>01</v>
      </c>
      <c r="O85" s="14">
        <f t="shared" si="21"/>
        <v>11</v>
      </c>
      <c r="P85" s="31">
        <v>150000</v>
      </c>
      <c r="T85" s="31" t="s">
        <v>2064</v>
      </c>
      <c r="U85" s="3" t="s">
        <v>1</v>
      </c>
      <c r="V85" s="3" t="s">
        <v>5</v>
      </c>
      <c r="W85" t="s">
        <v>1306</v>
      </c>
      <c r="X85" s="159"/>
      <c r="Y85" s="163" t="s">
        <v>1941</v>
      </c>
    </row>
    <row r="86" spans="1:25">
      <c r="A86" s="143">
        <v>79</v>
      </c>
      <c r="B86" s="1">
        <f t="shared" si="22"/>
        <v>0</v>
      </c>
      <c r="C86" s="1">
        <f t="shared" si="23"/>
        <v>0</v>
      </c>
      <c r="D86" s="1">
        <f t="shared" si="24"/>
        <v>0</v>
      </c>
      <c r="E86" s="1">
        <f t="shared" si="25"/>
        <v>0</v>
      </c>
      <c r="F86" s="1">
        <f t="shared" si="26"/>
        <v>0</v>
      </c>
      <c r="G86" s="1" t="str">
        <f t="shared" si="27"/>
        <v>25011111</v>
      </c>
      <c r="H86" s="2">
        <v>45668</v>
      </c>
      <c r="I86" s="113">
        <v>11</v>
      </c>
      <c r="J86" s="1">
        <f t="shared" si="16"/>
        <v>11</v>
      </c>
      <c r="K86" s="3">
        <f t="shared" si="17"/>
        <v>25</v>
      </c>
      <c r="L86" s="3">
        <f t="shared" si="18"/>
        <v>1</v>
      </c>
      <c r="M86" s="3">
        <f t="shared" si="19"/>
        <v>11</v>
      </c>
      <c r="N86" s="3" t="str">
        <f t="shared" si="20"/>
        <v>01</v>
      </c>
      <c r="O86" s="14">
        <f t="shared" si="21"/>
        <v>11</v>
      </c>
      <c r="P86" s="28">
        <v>30000</v>
      </c>
      <c r="T86" s="28" t="s">
        <v>2063</v>
      </c>
      <c r="U86" s="3" t="s">
        <v>1</v>
      </c>
      <c r="V86" s="3" t="s">
        <v>5</v>
      </c>
      <c r="W86" t="s">
        <v>1303</v>
      </c>
      <c r="X86" s="159"/>
      <c r="Y86" s="163" t="s">
        <v>1939</v>
      </c>
    </row>
    <row r="87" spans="1:25" hidden="1">
      <c r="A87" s="143">
        <v>80</v>
      </c>
      <c r="B87" s="1">
        <f t="shared" si="22"/>
        <v>0</v>
      </c>
      <c r="C87" s="1">
        <f t="shared" si="23"/>
        <v>0</v>
      </c>
      <c r="D87" s="1">
        <f t="shared" si="24"/>
        <v>0</v>
      </c>
      <c r="E87" s="1">
        <f t="shared" si="25"/>
        <v>0</v>
      </c>
      <c r="F87" s="1">
        <f t="shared" si="26"/>
        <v>0</v>
      </c>
      <c r="G87" s="1" t="str">
        <f t="shared" si="27"/>
        <v>25011112</v>
      </c>
      <c r="H87" s="2">
        <v>45668</v>
      </c>
      <c r="I87" s="113">
        <v>12</v>
      </c>
      <c r="J87" s="1">
        <f t="shared" si="16"/>
        <v>12</v>
      </c>
      <c r="K87" s="3">
        <f t="shared" si="17"/>
        <v>25</v>
      </c>
      <c r="L87" s="3">
        <f t="shared" si="18"/>
        <v>1</v>
      </c>
      <c r="M87" s="3">
        <f t="shared" si="19"/>
        <v>11</v>
      </c>
      <c r="N87" s="3" t="str">
        <f t="shared" si="20"/>
        <v>01</v>
      </c>
      <c r="O87" s="14">
        <f t="shared" si="21"/>
        <v>11</v>
      </c>
      <c r="P87" s="4">
        <v>12426</v>
      </c>
      <c r="T87" s="5" t="s">
        <v>2062</v>
      </c>
      <c r="U87" s="3" t="s">
        <v>29</v>
      </c>
      <c r="V87" s="3" t="s">
        <v>5</v>
      </c>
      <c r="W87" t="s">
        <v>1307</v>
      </c>
      <c r="X87" s="159" t="s">
        <v>1305</v>
      </c>
    </row>
    <row r="88" spans="1:25" hidden="1">
      <c r="A88" s="143">
        <v>81</v>
      </c>
      <c r="B88" s="1">
        <f t="shared" si="22"/>
        <v>0</v>
      </c>
      <c r="C88" s="1">
        <f t="shared" si="23"/>
        <v>0</v>
      </c>
      <c r="D88" s="1">
        <f t="shared" si="24"/>
        <v>0</v>
      </c>
      <c r="E88" s="1">
        <f t="shared" si="25"/>
        <v>0</v>
      </c>
      <c r="F88" s="1">
        <f t="shared" si="26"/>
        <v>0</v>
      </c>
      <c r="G88" s="1" t="str">
        <f t="shared" si="27"/>
        <v>25011113</v>
      </c>
      <c r="H88" s="2">
        <v>45668</v>
      </c>
      <c r="I88" s="113">
        <v>13</v>
      </c>
      <c r="J88" s="1">
        <f t="shared" si="16"/>
        <v>13</v>
      </c>
      <c r="K88" s="3">
        <f t="shared" si="17"/>
        <v>25</v>
      </c>
      <c r="L88" s="3">
        <f t="shared" si="18"/>
        <v>1</v>
      </c>
      <c r="M88" s="3">
        <f t="shared" si="19"/>
        <v>11</v>
      </c>
      <c r="N88" s="3" t="str">
        <f t="shared" si="20"/>
        <v>01</v>
      </c>
      <c r="O88" s="14">
        <f t="shared" si="21"/>
        <v>11</v>
      </c>
      <c r="P88" s="28">
        <v>271293.01</v>
      </c>
      <c r="T88" s="5" t="s">
        <v>2061</v>
      </c>
      <c r="U88" s="3" t="s">
        <v>29</v>
      </c>
      <c r="V88" s="3" t="s">
        <v>5</v>
      </c>
      <c r="W88" t="s">
        <v>1307</v>
      </c>
      <c r="X88" s="159" t="s">
        <v>1305</v>
      </c>
      <c r="Y88" s="163"/>
    </row>
    <row r="89" spans="1:25" hidden="1">
      <c r="A89" s="143">
        <v>82</v>
      </c>
      <c r="B89" s="1">
        <f t="shared" si="22"/>
        <v>0</v>
      </c>
      <c r="C89" s="1">
        <f t="shared" si="23"/>
        <v>0</v>
      </c>
      <c r="D89" s="1">
        <f t="shared" si="24"/>
        <v>0</v>
      </c>
      <c r="E89" s="1">
        <f t="shared" si="25"/>
        <v>0</v>
      </c>
      <c r="F89" s="1">
        <f t="shared" si="26"/>
        <v>0</v>
      </c>
      <c r="G89" s="1" t="str">
        <f t="shared" si="27"/>
        <v>25011114</v>
      </c>
      <c r="H89" s="2">
        <v>45668</v>
      </c>
      <c r="I89" s="113">
        <v>14</v>
      </c>
      <c r="J89" s="1">
        <f t="shared" si="16"/>
        <v>14</v>
      </c>
      <c r="K89" s="3">
        <f t="shared" si="17"/>
        <v>25</v>
      </c>
      <c r="L89" s="3">
        <f t="shared" si="18"/>
        <v>1</v>
      </c>
      <c r="M89" s="3">
        <f t="shared" si="19"/>
        <v>11</v>
      </c>
      <c r="N89" s="3" t="str">
        <f t="shared" si="20"/>
        <v>01</v>
      </c>
      <c r="O89" s="14">
        <f t="shared" si="21"/>
        <v>11</v>
      </c>
      <c r="P89" s="28">
        <v>56161</v>
      </c>
      <c r="T89" s="28" t="s">
        <v>2060</v>
      </c>
      <c r="U89" s="3" t="s">
        <v>29</v>
      </c>
      <c r="V89" s="3" t="s">
        <v>5</v>
      </c>
      <c r="W89" t="s">
        <v>1307</v>
      </c>
      <c r="X89" s="159" t="s">
        <v>1305</v>
      </c>
      <c r="Y89" s="163"/>
    </row>
    <row r="90" spans="1:25" hidden="1">
      <c r="A90" s="143"/>
      <c r="J90" s="1" t="str">
        <f t="shared" si="16"/>
        <v>0</v>
      </c>
      <c r="K90" s="3">
        <f t="shared" si="17"/>
        <v>-100</v>
      </c>
      <c r="L90" s="3">
        <f t="shared" si="18"/>
        <v>1</v>
      </c>
      <c r="M90" s="3">
        <f t="shared" si="19"/>
        <v>0</v>
      </c>
      <c r="N90" s="3" t="str">
        <f t="shared" si="20"/>
        <v>01</v>
      </c>
      <c r="O90" s="14" t="str">
        <f t="shared" si="21"/>
        <v>00</v>
      </c>
      <c r="P90" s="28"/>
      <c r="T90" s="28"/>
      <c r="W90"/>
      <c r="X90" s="159"/>
      <c r="Y90" s="163"/>
    </row>
    <row r="91" spans="1:25">
      <c r="A91" s="143">
        <v>92</v>
      </c>
      <c r="B91" s="1">
        <f>IF(G91="-",0,IF(G90=G91,1,0))</f>
        <v>0</v>
      </c>
      <c r="C91" s="1">
        <f>+IF(G91="-",0,IF(I91=I90+1,0,(IF(I91=1,0,1))))</f>
        <v>1</v>
      </c>
      <c r="D91" s="1">
        <f>+IF(AND(P91="",Q91=""),1,0)</f>
        <v>0</v>
      </c>
      <c r="E91" s="1">
        <f>IF(U91="",1,0)</f>
        <v>1</v>
      </c>
      <c r="F91" s="1">
        <f>IF(V91="",1,0)</f>
        <v>0</v>
      </c>
      <c r="G91" s="1" t="str">
        <f>IF(H91=0,"-",_xlfn.CONCAT(K91,N91,O91,J91))</f>
        <v>25011116</v>
      </c>
      <c r="H91" s="2">
        <v>45668</v>
      </c>
      <c r="I91" s="113">
        <v>16</v>
      </c>
      <c r="J91" s="1">
        <f t="shared" si="16"/>
        <v>16</v>
      </c>
      <c r="K91" s="3">
        <f t="shared" si="17"/>
        <v>25</v>
      </c>
      <c r="L91" s="3">
        <f t="shared" si="18"/>
        <v>1</v>
      </c>
      <c r="M91" s="3">
        <f t="shared" si="19"/>
        <v>11</v>
      </c>
      <c r="N91" s="3" t="str">
        <f t="shared" si="20"/>
        <v>01</v>
      </c>
      <c r="O91" s="14">
        <f t="shared" si="21"/>
        <v>11</v>
      </c>
      <c r="P91" s="4">
        <v>541388.65</v>
      </c>
      <c r="T91" s="5" t="s">
        <v>2059</v>
      </c>
      <c r="V91" s="3" t="s">
        <v>5</v>
      </c>
      <c r="W91" t="s">
        <v>1306</v>
      </c>
      <c r="X91" s="159" t="s">
        <v>1305</v>
      </c>
      <c r="Y91" s="141" t="s">
        <v>2058</v>
      </c>
    </row>
    <row r="92" spans="1:25" hidden="1">
      <c r="A92" s="143"/>
      <c r="J92" s="1" t="str">
        <f t="shared" si="16"/>
        <v>0</v>
      </c>
      <c r="K92" s="3">
        <f t="shared" si="17"/>
        <v>-100</v>
      </c>
      <c r="L92" s="3">
        <f t="shared" si="18"/>
        <v>1</v>
      </c>
      <c r="M92" s="3">
        <f t="shared" si="19"/>
        <v>0</v>
      </c>
      <c r="N92" s="3" t="str">
        <f t="shared" si="20"/>
        <v>01</v>
      </c>
      <c r="O92" s="14" t="str">
        <f t="shared" si="21"/>
        <v>00</v>
      </c>
      <c r="P92" s="28"/>
      <c r="T92" s="28"/>
      <c r="W92"/>
      <c r="X92" s="159"/>
      <c r="Y92" s="163"/>
    </row>
    <row r="93" spans="1:25" hidden="1">
      <c r="A93" s="143"/>
      <c r="J93" s="1" t="str">
        <f t="shared" si="16"/>
        <v>0</v>
      </c>
      <c r="K93" s="3">
        <f t="shared" si="17"/>
        <v>-100</v>
      </c>
      <c r="L93" s="3">
        <f t="shared" si="18"/>
        <v>1</v>
      </c>
      <c r="M93" s="3">
        <f t="shared" si="19"/>
        <v>0</v>
      </c>
      <c r="N93" s="3" t="str">
        <f t="shared" si="20"/>
        <v>01</v>
      </c>
      <c r="O93" s="14" t="str">
        <f t="shared" si="21"/>
        <v>00</v>
      </c>
      <c r="P93" s="28"/>
      <c r="T93" s="28"/>
      <c r="W93"/>
      <c r="X93" s="159"/>
      <c r="Y93" s="163"/>
    </row>
    <row r="94" spans="1:25" hidden="1">
      <c r="A94" s="143"/>
      <c r="J94" s="1" t="str">
        <f t="shared" si="16"/>
        <v>0</v>
      </c>
      <c r="K94" s="3">
        <f t="shared" si="17"/>
        <v>-100</v>
      </c>
      <c r="L94" s="3">
        <f t="shared" si="18"/>
        <v>1</v>
      </c>
      <c r="M94" s="3">
        <f t="shared" si="19"/>
        <v>0</v>
      </c>
      <c r="N94" s="3" t="str">
        <f t="shared" si="20"/>
        <v>01</v>
      </c>
      <c r="O94" s="14" t="str">
        <f t="shared" si="21"/>
        <v>00</v>
      </c>
      <c r="P94" s="28"/>
      <c r="T94" s="28"/>
      <c r="W94"/>
      <c r="X94" s="159"/>
      <c r="Y94" s="163"/>
    </row>
    <row r="95" spans="1:25" hidden="1">
      <c r="A95" s="143"/>
      <c r="J95" s="1" t="str">
        <f t="shared" si="16"/>
        <v>0</v>
      </c>
      <c r="K95" s="3">
        <f t="shared" si="17"/>
        <v>-100</v>
      </c>
      <c r="L95" s="3">
        <f t="shared" si="18"/>
        <v>1</v>
      </c>
      <c r="M95" s="3">
        <f t="shared" si="19"/>
        <v>0</v>
      </c>
      <c r="N95" s="3" t="str">
        <f t="shared" si="20"/>
        <v>01</v>
      </c>
      <c r="O95" s="14" t="str">
        <f t="shared" si="21"/>
        <v>00</v>
      </c>
      <c r="P95" s="28"/>
      <c r="T95" s="28"/>
      <c r="W95"/>
      <c r="X95" s="159"/>
      <c r="Y95" s="163"/>
    </row>
    <row r="96" spans="1:25" hidden="1">
      <c r="A96" s="143"/>
      <c r="J96" s="1" t="str">
        <f t="shared" si="16"/>
        <v>0</v>
      </c>
      <c r="K96" s="3">
        <f t="shared" si="17"/>
        <v>-100</v>
      </c>
      <c r="L96" s="3">
        <f t="shared" si="18"/>
        <v>1</v>
      </c>
      <c r="M96" s="3">
        <f t="shared" si="19"/>
        <v>0</v>
      </c>
      <c r="N96" s="3" t="str">
        <f t="shared" si="20"/>
        <v>01</v>
      </c>
      <c r="O96" s="14" t="str">
        <f t="shared" si="21"/>
        <v>00</v>
      </c>
    </row>
    <row r="97" spans="1:25">
      <c r="A97" s="143">
        <v>88</v>
      </c>
      <c r="B97" s="1">
        <f>IF(G97="-",0,IF(G96=G97,1,0))</f>
        <v>0</v>
      </c>
      <c r="C97" s="1">
        <f>+IF(G97="-",0,IF(I97=I96+1,0,(IF(I97=1,0,1))))</f>
        <v>0</v>
      </c>
      <c r="D97" s="1">
        <f>+IF(AND(P97="",Q97=""),1,0)</f>
        <v>0</v>
      </c>
      <c r="E97" s="1">
        <f t="shared" ref="E97:F99" si="28">IF(U97="",1,0)</f>
        <v>1</v>
      </c>
      <c r="F97" s="1">
        <f t="shared" si="28"/>
        <v>0</v>
      </c>
      <c r="G97" s="1" t="str">
        <f>IF(H97=0,"-",_xlfn.CONCAT(K97,N97,O97,J97))</f>
        <v>25011301</v>
      </c>
      <c r="H97" s="2">
        <v>45670</v>
      </c>
      <c r="I97" s="113">
        <v>1</v>
      </c>
      <c r="J97" s="1" t="str">
        <f t="shared" si="16"/>
        <v>01</v>
      </c>
      <c r="K97" s="3">
        <f t="shared" si="17"/>
        <v>25</v>
      </c>
      <c r="L97" s="3">
        <f t="shared" si="18"/>
        <v>1</v>
      </c>
      <c r="M97" s="3">
        <f t="shared" si="19"/>
        <v>13</v>
      </c>
      <c r="N97" s="3" t="str">
        <f t="shared" si="20"/>
        <v>01</v>
      </c>
      <c r="O97" s="14">
        <f t="shared" si="21"/>
        <v>13</v>
      </c>
      <c r="P97" s="28">
        <v>193446.11</v>
      </c>
      <c r="T97" s="5" t="s">
        <v>2057</v>
      </c>
      <c r="V97" s="3" t="s">
        <v>5</v>
      </c>
      <c r="W97"/>
      <c r="X97" s="159" t="s">
        <v>1305</v>
      </c>
      <c r="Y97" s="163"/>
    </row>
    <row r="98" spans="1:25">
      <c r="A98" s="143">
        <v>89</v>
      </c>
      <c r="B98" s="1">
        <f>IF(G98="-",0,IF(G97=G98,1,0))</f>
        <v>0</v>
      </c>
      <c r="C98" s="1">
        <f>+IF(G98="-",0,IF(I98=I97+1,0,(IF(I98=1,0,1))))</f>
        <v>0</v>
      </c>
      <c r="D98" s="1">
        <f>+IF(AND(P98="",Q98=""),1,0)</f>
        <v>0</v>
      </c>
      <c r="E98" s="1">
        <f t="shared" si="28"/>
        <v>0</v>
      </c>
      <c r="F98" s="1">
        <f t="shared" si="28"/>
        <v>0</v>
      </c>
      <c r="G98" s="1" t="str">
        <f>IF(H98=0,"-",_xlfn.CONCAT(K98,N98,O98,J98))</f>
        <v>25011302</v>
      </c>
      <c r="H98" s="2">
        <v>45670</v>
      </c>
      <c r="I98" s="113">
        <v>2</v>
      </c>
      <c r="J98" s="1" t="str">
        <f t="shared" si="16"/>
        <v>02</v>
      </c>
      <c r="K98" s="3">
        <f t="shared" si="17"/>
        <v>25</v>
      </c>
      <c r="L98" s="3">
        <f t="shared" si="18"/>
        <v>1</v>
      </c>
      <c r="M98" s="3">
        <f t="shared" si="19"/>
        <v>13</v>
      </c>
      <c r="N98" s="3" t="str">
        <f t="shared" si="20"/>
        <v>01</v>
      </c>
      <c r="O98" s="14">
        <f t="shared" si="21"/>
        <v>13</v>
      </c>
      <c r="P98" s="28">
        <v>35028.82</v>
      </c>
      <c r="T98" s="5" t="s">
        <v>2056</v>
      </c>
      <c r="U98" s="3" t="s">
        <v>1</v>
      </c>
      <c r="V98" s="3" t="s">
        <v>5</v>
      </c>
      <c r="W98" t="s">
        <v>1306</v>
      </c>
      <c r="X98" s="159" t="s">
        <v>1305</v>
      </c>
      <c r="Y98" s="163"/>
    </row>
    <row r="99" spans="1:25" hidden="1">
      <c r="A99" s="143">
        <v>90</v>
      </c>
      <c r="B99" s="1">
        <f>IF(G99="-",0,IF(G98=G99,1,0))</f>
        <v>0</v>
      </c>
      <c r="C99" s="1">
        <f>+IF(G99="-",0,IF(I99=I98+1,0,(IF(I99=1,0,1))))</f>
        <v>0</v>
      </c>
      <c r="D99" s="1">
        <f>+IF(AND(P99="",Q99=""),1,0)</f>
        <v>0</v>
      </c>
      <c r="E99" s="1">
        <f t="shared" si="28"/>
        <v>0</v>
      </c>
      <c r="F99" s="1">
        <f t="shared" si="28"/>
        <v>0</v>
      </c>
      <c r="G99" s="1" t="str">
        <f>IF(H99=0,"-",_xlfn.CONCAT(K99,N99,O99,J99))</f>
        <v>25011303</v>
      </c>
      <c r="H99" s="2">
        <v>45670</v>
      </c>
      <c r="I99" s="113">
        <v>3</v>
      </c>
      <c r="J99" s="1" t="str">
        <f t="shared" si="16"/>
        <v>03</v>
      </c>
      <c r="K99" s="3">
        <f t="shared" si="17"/>
        <v>25</v>
      </c>
      <c r="L99" s="3">
        <f t="shared" si="18"/>
        <v>1</v>
      </c>
      <c r="M99" s="3">
        <f t="shared" si="19"/>
        <v>13</v>
      </c>
      <c r="N99" s="3" t="str">
        <f t="shared" si="20"/>
        <v>01</v>
      </c>
      <c r="O99" s="14">
        <f t="shared" si="21"/>
        <v>13</v>
      </c>
      <c r="P99" s="28">
        <v>7601.51</v>
      </c>
      <c r="T99" s="28" t="s">
        <v>2055</v>
      </c>
      <c r="U99" s="3" t="s">
        <v>30</v>
      </c>
      <c r="V99" s="3" t="s">
        <v>1312</v>
      </c>
      <c r="W99" t="s">
        <v>1326</v>
      </c>
      <c r="X99" s="159" t="s">
        <v>1305</v>
      </c>
      <c r="Y99" s="163"/>
    </row>
    <row r="100" spans="1:25" hidden="1">
      <c r="A100" s="143"/>
      <c r="J100" s="1" t="str">
        <f t="shared" si="16"/>
        <v>0</v>
      </c>
      <c r="K100" s="3">
        <f t="shared" si="17"/>
        <v>-100</v>
      </c>
      <c r="L100" s="3">
        <f t="shared" si="18"/>
        <v>1</v>
      </c>
      <c r="M100" s="3">
        <f t="shared" si="19"/>
        <v>0</v>
      </c>
      <c r="N100" s="3" t="str">
        <f t="shared" si="20"/>
        <v>01</v>
      </c>
      <c r="O100" s="14" t="str">
        <f t="shared" si="21"/>
        <v>00</v>
      </c>
      <c r="W100"/>
      <c r="X100" s="159"/>
      <c r="Y100" s="163"/>
    </row>
    <row r="101" spans="1:25" hidden="1">
      <c r="A101" s="143"/>
      <c r="J101" s="1" t="str">
        <f t="shared" si="16"/>
        <v>0</v>
      </c>
      <c r="K101" s="3">
        <f t="shared" si="17"/>
        <v>-100</v>
      </c>
      <c r="L101" s="3">
        <f t="shared" si="18"/>
        <v>1</v>
      </c>
      <c r="M101" s="3">
        <f t="shared" si="19"/>
        <v>0</v>
      </c>
      <c r="N101" s="3" t="str">
        <f t="shared" si="20"/>
        <v>01</v>
      </c>
      <c r="O101" s="14" t="str">
        <f t="shared" si="21"/>
        <v>00</v>
      </c>
      <c r="W101"/>
      <c r="X101" s="159"/>
      <c r="Y101" s="163"/>
    </row>
    <row r="102" spans="1:25" hidden="1">
      <c r="A102" s="143"/>
      <c r="J102" s="1" t="str">
        <f t="shared" si="16"/>
        <v>0</v>
      </c>
      <c r="K102" s="3">
        <f t="shared" si="17"/>
        <v>-100</v>
      </c>
      <c r="L102" s="3">
        <f t="shared" si="18"/>
        <v>1</v>
      </c>
      <c r="M102" s="3">
        <f t="shared" si="19"/>
        <v>0</v>
      </c>
      <c r="N102" s="3" t="str">
        <f t="shared" si="20"/>
        <v>01</v>
      </c>
      <c r="O102" s="14" t="str">
        <f t="shared" si="21"/>
        <v>00</v>
      </c>
      <c r="W102"/>
      <c r="X102" s="159"/>
      <c r="Y102" s="163"/>
    </row>
    <row r="103" spans="1:25" hidden="1">
      <c r="A103" s="143"/>
      <c r="J103" s="1" t="str">
        <f t="shared" si="16"/>
        <v>0</v>
      </c>
      <c r="K103" s="3">
        <f t="shared" si="17"/>
        <v>-100</v>
      </c>
      <c r="L103" s="3">
        <f t="shared" si="18"/>
        <v>1</v>
      </c>
      <c r="M103" s="3">
        <f t="shared" si="19"/>
        <v>0</v>
      </c>
      <c r="N103" s="3" t="str">
        <f t="shared" si="20"/>
        <v>01</v>
      </c>
      <c r="O103" s="14" t="str">
        <f t="shared" si="21"/>
        <v>00</v>
      </c>
      <c r="P103" s="28"/>
      <c r="T103" s="28"/>
      <c r="W103"/>
      <c r="X103" s="159"/>
      <c r="Y103" s="163"/>
    </row>
    <row r="104" spans="1:25">
      <c r="A104" s="143">
        <v>5</v>
      </c>
      <c r="B104" s="1">
        <f>IF(G104="-",0,IF(G103=G104,1,0))</f>
        <v>0</v>
      </c>
      <c r="C104" s="1">
        <f>+IF(G104="-",0,IF(I104=I103+1,0,(IF(I104=1,0,1))))</f>
        <v>1</v>
      </c>
      <c r="D104" s="1">
        <f>+IF(AND(P104="",Q104=""),1,0)</f>
        <v>0</v>
      </c>
      <c r="E104" s="1">
        <f t="shared" ref="E104:F106" si="29">IF(U104="",1,0)</f>
        <v>0</v>
      </c>
      <c r="F104" s="1">
        <f t="shared" si="29"/>
        <v>0</v>
      </c>
      <c r="G104" s="1" t="str">
        <f>IF(H104=0,"-",_xlfn.CONCAT(K104,N104,O104,J104))</f>
        <v>25011308</v>
      </c>
      <c r="H104" s="2">
        <v>45670</v>
      </c>
      <c r="I104" s="113">
        <v>8</v>
      </c>
      <c r="J104" s="1" t="str">
        <f t="shared" si="16"/>
        <v>08</v>
      </c>
      <c r="K104" s="3">
        <f t="shared" si="17"/>
        <v>25</v>
      </c>
      <c r="L104" s="3">
        <f t="shared" si="18"/>
        <v>1</v>
      </c>
      <c r="M104" s="3">
        <f t="shared" si="19"/>
        <v>13</v>
      </c>
      <c r="N104" s="3" t="str">
        <f t="shared" si="20"/>
        <v>01</v>
      </c>
      <c r="O104" s="14">
        <f t="shared" si="21"/>
        <v>13</v>
      </c>
      <c r="P104" s="4">
        <v>200000</v>
      </c>
      <c r="T104" s="5" t="s">
        <v>1570</v>
      </c>
      <c r="U104" s="3" t="s">
        <v>2</v>
      </c>
      <c r="V104" s="3" t="s">
        <v>5</v>
      </c>
      <c r="W104" t="s">
        <v>1306</v>
      </c>
      <c r="X104" s="159"/>
    </row>
    <row r="105" spans="1:25" hidden="1">
      <c r="A105" s="143">
        <v>67</v>
      </c>
      <c r="B105" s="1">
        <f>IF(G105="-",0,IF(G104=G105,1,0))</f>
        <v>0</v>
      </c>
      <c r="C105" s="1">
        <f>+IF(G105="-",0,IF(I105=I104+1,0,(IF(I105=1,0,1))))</f>
        <v>0</v>
      </c>
      <c r="D105" s="1">
        <f>+IF(AND(P105="",Q105=""),1,0)</f>
        <v>0</v>
      </c>
      <c r="E105" s="1">
        <f t="shared" si="29"/>
        <v>0</v>
      </c>
      <c r="F105" s="1">
        <f t="shared" si="29"/>
        <v>0</v>
      </c>
      <c r="G105" s="1" t="str">
        <f>IF(H105=0,"-",_xlfn.CONCAT(K105,N105,O105,J105))</f>
        <v>25011401</v>
      </c>
      <c r="H105" s="2">
        <v>45671</v>
      </c>
      <c r="I105" s="113">
        <v>1</v>
      </c>
      <c r="J105" s="1" t="str">
        <f t="shared" si="16"/>
        <v>01</v>
      </c>
      <c r="K105" s="3">
        <f t="shared" si="17"/>
        <v>25</v>
      </c>
      <c r="L105" s="3">
        <f t="shared" si="18"/>
        <v>1</v>
      </c>
      <c r="M105" s="3">
        <f t="shared" si="19"/>
        <v>14</v>
      </c>
      <c r="N105" s="3" t="str">
        <f t="shared" si="20"/>
        <v>01</v>
      </c>
      <c r="O105" s="14">
        <f t="shared" si="21"/>
        <v>14</v>
      </c>
      <c r="P105" s="28">
        <v>37800</v>
      </c>
      <c r="T105" s="5" t="s">
        <v>2054</v>
      </c>
      <c r="U105" s="3" t="s">
        <v>29</v>
      </c>
      <c r="V105" s="3" t="s">
        <v>5</v>
      </c>
      <c r="W105" t="s">
        <v>1307</v>
      </c>
      <c r="X105" s="159" t="s">
        <v>1305</v>
      </c>
      <c r="Y105" s="163"/>
    </row>
    <row r="106" spans="1:25">
      <c r="A106" s="143">
        <v>68</v>
      </c>
      <c r="B106" s="1">
        <f>IF(G106="-",0,IF(G105=G106,1,0))</f>
        <v>0</v>
      </c>
      <c r="C106" s="1">
        <f>+IF(G106="-",0,IF(I106=I105+1,0,(IF(I106=1,0,1))))</f>
        <v>0</v>
      </c>
      <c r="D106" s="1">
        <f>+IF(AND(P106="",Q106=""),1,0)</f>
        <v>0</v>
      </c>
      <c r="E106" s="1">
        <f t="shared" si="29"/>
        <v>0</v>
      </c>
      <c r="F106" s="1">
        <f t="shared" si="29"/>
        <v>0</v>
      </c>
      <c r="G106" s="1" t="str">
        <f>IF(H106=0,"-",_xlfn.CONCAT(K106,N106,O106,J106))</f>
        <v>25011402</v>
      </c>
      <c r="H106" s="2">
        <v>45671</v>
      </c>
      <c r="I106" s="113">
        <v>2</v>
      </c>
      <c r="J106" s="1" t="str">
        <f t="shared" si="16"/>
        <v>02</v>
      </c>
      <c r="K106" s="3">
        <f t="shared" si="17"/>
        <v>25</v>
      </c>
      <c r="L106" s="3">
        <f t="shared" si="18"/>
        <v>1</v>
      </c>
      <c r="M106" s="3">
        <f t="shared" si="19"/>
        <v>14</v>
      </c>
      <c r="N106" s="3" t="str">
        <f t="shared" si="20"/>
        <v>01</v>
      </c>
      <c r="O106" s="14">
        <f t="shared" si="21"/>
        <v>14</v>
      </c>
      <c r="P106" s="4">
        <v>31103.25</v>
      </c>
      <c r="T106" s="5" t="s">
        <v>2053</v>
      </c>
      <c r="U106" s="3" t="s">
        <v>2</v>
      </c>
      <c r="V106" s="3" t="s">
        <v>5</v>
      </c>
      <c r="W106" t="s">
        <v>1306</v>
      </c>
      <c r="X106" s="159" t="s">
        <v>1305</v>
      </c>
    </row>
    <row r="107" spans="1:25" hidden="1">
      <c r="A107" s="143"/>
      <c r="J107" s="1" t="str">
        <f t="shared" si="16"/>
        <v>0</v>
      </c>
      <c r="K107" s="3">
        <f t="shared" si="17"/>
        <v>-100</v>
      </c>
      <c r="L107" s="3">
        <f t="shared" si="18"/>
        <v>1</v>
      </c>
      <c r="M107" s="3">
        <f t="shared" si="19"/>
        <v>0</v>
      </c>
      <c r="N107" s="3" t="str">
        <f t="shared" si="20"/>
        <v>01</v>
      </c>
      <c r="O107" s="14" t="str">
        <f t="shared" si="21"/>
        <v>00</v>
      </c>
      <c r="W107"/>
      <c r="X107" s="159"/>
    </row>
    <row r="108" spans="1:25" hidden="1">
      <c r="A108" s="143"/>
      <c r="H108" s="8"/>
      <c r="I108" s="122"/>
      <c r="J108" s="122" t="str">
        <f t="shared" si="16"/>
        <v>0</v>
      </c>
      <c r="K108" s="56">
        <f t="shared" si="17"/>
        <v>-100</v>
      </c>
      <c r="L108" s="56">
        <f t="shared" si="18"/>
        <v>1</v>
      </c>
      <c r="M108" s="56">
        <f t="shared" si="19"/>
        <v>0</v>
      </c>
      <c r="N108" s="56" t="str">
        <f t="shared" si="20"/>
        <v>01</v>
      </c>
      <c r="O108" s="123" t="str">
        <f t="shared" si="21"/>
        <v>00</v>
      </c>
      <c r="P108" s="53"/>
      <c r="Q108" s="54"/>
      <c r="R108" s="55"/>
      <c r="S108" s="54"/>
      <c r="T108" s="54"/>
      <c r="W108"/>
      <c r="X108" s="159"/>
    </row>
    <row r="109" spans="1:25" hidden="1">
      <c r="A109" s="143">
        <v>265</v>
      </c>
      <c r="B109" s="1">
        <f>IF(G109="-",0,IF(G108=G109,1,0))</f>
        <v>0</v>
      </c>
      <c r="C109" s="1">
        <f>+IF(G109="-",0,IF(I109=I108+1,0,(IF(I109=1,0,1))))</f>
        <v>1</v>
      </c>
      <c r="D109" s="1">
        <f>+IF(AND(P109="",Q109=""),1,0)</f>
        <v>0</v>
      </c>
      <c r="E109" s="1">
        <f>IF(U109="",1,0)</f>
        <v>0</v>
      </c>
      <c r="F109" s="1">
        <f>IF(V109="",1,0)</f>
        <v>0</v>
      </c>
      <c r="G109" s="1" t="str">
        <f>IF(H109=0,"-",_xlfn.CONCAT(K109,N109,O109,J109))</f>
        <v>25011405</v>
      </c>
      <c r="H109" s="2">
        <v>45671</v>
      </c>
      <c r="I109" s="113">
        <v>5</v>
      </c>
      <c r="J109" s="1" t="str">
        <f t="shared" si="16"/>
        <v>05</v>
      </c>
      <c r="K109" s="3">
        <f t="shared" si="17"/>
        <v>25</v>
      </c>
      <c r="L109" s="3">
        <f t="shared" si="18"/>
        <v>1</v>
      </c>
      <c r="M109" s="3">
        <f t="shared" si="19"/>
        <v>14</v>
      </c>
      <c r="N109" s="3" t="str">
        <f t="shared" si="20"/>
        <v>01</v>
      </c>
      <c r="O109" s="14">
        <f t="shared" si="21"/>
        <v>14</v>
      </c>
      <c r="P109" s="4">
        <v>15000</v>
      </c>
      <c r="T109" s="5" t="s">
        <v>1921</v>
      </c>
      <c r="U109" s="3" t="s">
        <v>29</v>
      </c>
      <c r="V109" s="3" t="s">
        <v>5</v>
      </c>
      <c r="W109" t="s">
        <v>1307</v>
      </c>
      <c r="X109" s="159" t="s">
        <v>1305</v>
      </c>
    </row>
    <row r="110" spans="1:25" hidden="1">
      <c r="A110" s="143">
        <v>121</v>
      </c>
      <c r="B110" s="1">
        <f>IF(G110="-",0,IF(G109=G110,1,0))</f>
        <v>0</v>
      </c>
      <c r="C110" s="1">
        <f>+IF(G110="-",0,IF(I110=I109+1,0,(IF(I110=1,0,1))))</f>
        <v>0</v>
      </c>
      <c r="D110" s="1">
        <f>+IF(AND(P110="",Q110=""),1,0)</f>
        <v>0</v>
      </c>
      <c r="E110" s="1">
        <f>IF(U110="",1,0)</f>
        <v>0</v>
      </c>
      <c r="F110" s="1">
        <f>IF(V110="",1,0)</f>
        <v>0</v>
      </c>
      <c r="G110" s="1" t="str">
        <f>IF(H110=0,"-",_xlfn.CONCAT(K110,N110,O110,J110))</f>
        <v>25011501</v>
      </c>
      <c r="H110" s="2">
        <v>45672</v>
      </c>
      <c r="I110" s="113">
        <v>1</v>
      </c>
      <c r="J110" s="1" t="str">
        <f t="shared" si="16"/>
        <v>01</v>
      </c>
      <c r="K110" s="3">
        <f t="shared" si="17"/>
        <v>25</v>
      </c>
      <c r="L110" s="3">
        <f t="shared" si="18"/>
        <v>1</v>
      </c>
      <c r="M110" s="3">
        <f t="shared" si="19"/>
        <v>15</v>
      </c>
      <c r="N110" s="3" t="str">
        <f t="shared" si="20"/>
        <v>01</v>
      </c>
      <c r="O110" s="14">
        <f t="shared" si="21"/>
        <v>15</v>
      </c>
      <c r="P110" s="4">
        <v>19687.5</v>
      </c>
      <c r="T110" s="5" t="s">
        <v>2052</v>
      </c>
      <c r="U110" s="3" t="s">
        <v>1406</v>
      </c>
      <c r="V110" s="3" t="s">
        <v>1316</v>
      </c>
      <c r="W110" t="s">
        <v>1306</v>
      </c>
      <c r="X110" s="159" t="s">
        <v>1302</v>
      </c>
    </row>
    <row r="111" spans="1:25" hidden="1">
      <c r="A111" s="143"/>
      <c r="J111" s="1" t="str">
        <f t="shared" si="16"/>
        <v>0</v>
      </c>
      <c r="K111" s="3">
        <f t="shared" si="17"/>
        <v>-100</v>
      </c>
      <c r="L111" s="3">
        <f t="shared" si="18"/>
        <v>1</v>
      </c>
      <c r="M111" s="3">
        <f t="shared" si="19"/>
        <v>0</v>
      </c>
      <c r="N111" s="3" t="str">
        <f t="shared" si="20"/>
        <v>01</v>
      </c>
      <c r="O111" s="14" t="str">
        <f t="shared" si="21"/>
        <v>00</v>
      </c>
      <c r="W111"/>
      <c r="X111" s="159"/>
    </row>
    <row r="112" spans="1:25" hidden="1">
      <c r="A112" s="143"/>
      <c r="J112" s="1" t="str">
        <f t="shared" si="16"/>
        <v>0</v>
      </c>
      <c r="K112" s="3">
        <f t="shared" si="17"/>
        <v>-100</v>
      </c>
      <c r="L112" s="3">
        <f t="shared" si="18"/>
        <v>1</v>
      </c>
      <c r="M112" s="3">
        <f t="shared" si="19"/>
        <v>0</v>
      </c>
      <c r="N112" s="3" t="str">
        <f t="shared" si="20"/>
        <v>01</v>
      </c>
      <c r="O112" s="14" t="str">
        <f t="shared" si="21"/>
        <v>00</v>
      </c>
      <c r="W112"/>
      <c r="X112" s="159"/>
    </row>
    <row r="113" spans="1:25" hidden="1">
      <c r="A113" s="143"/>
      <c r="J113" s="1" t="str">
        <f t="shared" si="16"/>
        <v>0</v>
      </c>
      <c r="K113" s="3">
        <f t="shared" si="17"/>
        <v>-100</v>
      </c>
      <c r="L113" s="3">
        <f t="shared" si="18"/>
        <v>1</v>
      </c>
      <c r="M113" s="3">
        <f t="shared" si="19"/>
        <v>0</v>
      </c>
      <c r="N113" s="3" t="str">
        <f t="shared" si="20"/>
        <v>01</v>
      </c>
      <c r="O113" s="14" t="str">
        <f t="shared" si="21"/>
        <v>00</v>
      </c>
      <c r="W113"/>
      <c r="X113" s="159"/>
    </row>
    <row r="114" spans="1:25" hidden="1">
      <c r="A114" s="143"/>
      <c r="J114" s="1" t="str">
        <f t="shared" si="16"/>
        <v>0</v>
      </c>
      <c r="K114" s="3">
        <f t="shared" si="17"/>
        <v>-100</v>
      </c>
      <c r="L114" s="3">
        <f t="shared" si="18"/>
        <v>1</v>
      </c>
      <c r="M114" s="3">
        <f t="shared" si="19"/>
        <v>0</v>
      </c>
      <c r="N114" s="3" t="str">
        <f t="shared" si="20"/>
        <v>01</v>
      </c>
      <c r="O114" s="14" t="str">
        <f t="shared" si="21"/>
        <v>00</v>
      </c>
      <c r="W114"/>
      <c r="X114" s="159"/>
    </row>
    <row r="115" spans="1:25">
      <c r="A115" s="143">
        <v>126</v>
      </c>
      <c r="B115" s="1">
        <f>IF(G115="-",0,IF(G114=G115,1,0))</f>
        <v>0</v>
      </c>
      <c r="C115" s="1">
        <f>+IF(G115="-",0,IF(I115=I114+1,0,(IF(I115=1,0,1))))</f>
        <v>1</v>
      </c>
      <c r="D115" s="1">
        <f>+IF(AND(P115="",Q115=""),1,0)</f>
        <v>0</v>
      </c>
      <c r="E115" s="1">
        <f t="shared" ref="E115:F118" si="30">IF(U115="",1,0)</f>
        <v>0</v>
      </c>
      <c r="F115" s="1">
        <f t="shared" si="30"/>
        <v>0</v>
      </c>
      <c r="G115" s="1" t="str">
        <f>IF(H115=0,"-",_xlfn.CONCAT(K115,N115,O115,J115))</f>
        <v>25011506</v>
      </c>
      <c r="H115" s="2">
        <v>45672</v>
      </c>
      <c r="I115" s="113">
        <v>6</v>
      </c>
      <c r="J115" s="1" t="str">
        <f t="shared" si="16"/>
        <v>06</v>
      </c>
      <c r="K115" s="3">
        <f t="shared" si="17"/>
        <v>25</v>
      </c>
      <c r="L115" s="3">
        <f t="shared" si="18"/>
        <v>1</v>
      </c>
      <c r="M115" s="3">
        <f t="shared" si="19"/>
        <v>15</v>
      </c>
      <c r="N115" s="3" t="str">
        <f t="shared" si="20"/>
        <v>01</v>
      </c>
      <c r="O115" s="14">
        <f t="shared" si="21"/>
        <v>15</v>
      </c>
      <c r="P115" s="4">
        <v>289052.59000000003</v>
      </c>
      <c r="T115" s="5" t="s">
        <v>2051</v>
      </c>
      <c r="U115" s="3" t="s">
        <v>2</v>
      </c>
      <c r="V115" s="3" t="s">
        <v>5</v>
      </c>
      <c r="W115" t="s">
        <v>1306</v>
      </c>
      <c r="X115" s="159" t="s">
        <v>1305</v>
      </c>
      <c r="Y115" s="141" t="s">
        <v>2050</v>
      </c>
    </row>
    <row r="116" spans="1:25" hidden="1">
      <c r="A116" s="143">
        <v>127</v>
      </c>
      <c r="B116" s="1">
        <f>IF(G116="-",0,IF(G115=G116,1,0))</f>
        <v>0</v>
      </c>
      <c r="C116" s="1">
        <f>+IF(G116="-",0,IF(I116=I115+1,0,(IF(I116=1,0,1))))</f>
        <v>0</v>
      </c>
      <c r="D116" s="1">
        <f>+IF(AND(P116="",Q116=""),1,0)</f>
        <v>0</v>
      </c>
      <c r="E116" s="1">
        <f t="shared" si="30"/>
        <v>0</v>
      </c>
      <c r="F116" s="1">
        <f t="shared" si="30"/>
        <v>0</v>
      </c>
      <c r="G116" s="1" t="str">
        <f>IF(H116=0,"-",_xlfn.CONCAT(K116,N116,O116,J116))</f>
        <v>25011507</v>
      </c>
      <c r="H116" s="2">
        <v>45672</v>
      </c>
      <c r="I116" s="113">
        <v>7</v>
      </c>
      <c r="J116" s="1" t="str">
        <f t="shared" si="16"/>
        <v>07</v>
      </c>
      <c r="K116" s="3">
        <f t="shared" si="17"/>
        <v>25</v>
      </c>
      <c r="L116" s="3">
        <f t="shared" si="18"/>
        <v>1</v>
      </c>
      <c r="M116" s="3">
        <f t="shared" si="19"/>
        <v>15</v>
      </c>
      <c r="N116" s="3" t="str">
        <f t="shared" si="20"/>
        <v>01</v>
      </c>
      <c r="O116" s="14">
        <f t="shared" si="21"/>
        <v>15</v>
      </c>
      <c r="P116" s="4">
        <v>32000</v>
      </c>
      <c r="T116" s="5" t="s">
        <v>2049</v>
      </c>
      <c r="U116" s="3" t="s">
        <v>29</v>
      </c>
      <c r="V116" s="3" t="s">
        <v>5</v>
      </c>
      <c r="W116" t="s">
        <v>1307</v>
      </c>
      <c r="X116" s="159" t="s">
        <v>1305</v>
      </c>
    </row>
    <row r="117" spans="1:25">
      <c r="A117" s="143">
        <v>62</v>
      </c>
      <c r="B117" s="1">
        <f>IF(G117="-",0,IF(G116=G117,1,0))</f>
        <v>0</v>
      </c>
      <c r="C117" s="1">
        <f>+IF(G117="-",0,IF(I117=I116+1,0,(IF(I117=1,0,1))))</f>
        <v>0</v>
      </c>
      <c r="D117" s="1">
        <f>+IF(AND(P117="",Q117=""),1,0)</f>
        <v>0</v>
      </c>
      <c r="E117" s="1">
        <f t="shared" si="30"/>
        <v>1</v>
      </c>
      <c r="F117" s="1">
        <f t="shared" si="30"/>
        <v>0</v>
      </c>
      <c r="G117" s="1" t="str">
        <f>IF(H117=0,"-",_xlfn.CONCAT(K117,N117,O117,J117))</f>
        <v>25011508</v>
      </c>
      <c r="H117" s="2">
        <v>45672</v>
      </c>
      <c r="I117" s="113">
        <v>8</v>
      </c>
      <c r="J117" s="1" t="str">
        <f t="shared" si="16"/>
        <v>08</v>
      </c>
      <c r="K117" s="3">
        <f t="shared" si="17"/>
        <v>25</v>
      </c>
      <c r="L117" s="3">
        <f t="shared" si="18"/>
        <v>1</v>
      </c>
      <c r="M117" s="3">
        <f t="shared" si="19"/>
        <v>15</v>
      </c>
      <c r="N117" s="3" t="str">
        <f t="shared" si="20"/>
        <v>01</v>
      </c>
      <c r="O117" s="14">
        <f t="shared" si="21"/>
        <v>15</v>
      </c>
      <c r="P117" s="4">
        <v>-71387.75</v>
      </c>
      <c r="T117" s="5" t="s">
        <v>2048</v>
      </c>
      <c r="V117" s="3" t="s">
        <v>5</v>
      </c>
      <c r="W117" s="3" t="s">
        <v>1307</v>
      </c>
      <c r="Y117" s="172" t="s">
        <v>2047</v>
      </c>
    </row>
    <row r="118" spans="1:25" hidden="1">
      <c r="A118" s="143">
        <v>266</v>
      </c>
      <c r="B118" s="1">
        <f>IF(G118="-",0,IF(G117=G118,1,0))</f>
        <v>0</v>
      </c>
      <c r="C118" s="1">
        <f>+IF(G118="-",0,IF(I118=I117+1,0,(IF(I118=1,0,1))))</f>
        <v>0</v>
      </c>
      <c r="D118" s="1">
        <f>+IF(AND(P118="",Q118=""),1,0)</f>
        <v>0</v>
      </c>
      <c r="E118" s="1">
        <f t="shared" si="30"/>
        <v>0</v>
      </c>
      <c r="F118" s="1">
        <f t="shared" si="30"/>
        <v>0</v>
      </c>
      <c r="G118" s="1" t="str">
        <f>IF(H118=0,"-",_xlfn.CONCAT(K118,N118,O118,J118))</f>
        <v>25011509</v>
      </c>
      <c r="H118" s="2">
        <v>45672</v>
      </c>
      <c r="I118" s="113">
        <v>9</v>
      </c>
      <c r="J118" s="1" t="str">
        <f t="shared" si="16"/>
        <v>09</v>
      </c>
      <c r="K118" s="3">
        <f t="shared" si="17"/>
        <v>25</v>
      </c>
      <c r="L118" s="3">
        <f t="shared" si="18"/>
        <v>1</v>
      </c>
      <c r="M118" s="3">
        <f t="shared" si="19"/>
        <v>15</v>
      </c>
      <c r="N118" s="3" t="str">
        <f t="shared" si="20"/>
        <v>01</v>
      </c>
      <c r="O118" s="14">
        <f t="shared" si="21"/>
        <v>15</v>
      </c>
      <c r="P118" s="4">
        <v>8000</v>
      </c>
      <c r="T118" s="5" t="s">
        <v>1920</v>
      </c>
      <c r="U118" s="3" t="s">
        <v>29</v>
      </c>
      <c r="V118" s="3" t="s">
        <v>5</v>
      </c>
      <c r="W118" t="s">
        <v>1307</v>
      </c>
      <c r="X118" s="159" t="s">
        <v>1305</v>
      </c>
    </row>
    <row r="119" spans="1:25" hidden="1">
      <c r="A119" s="143"/>
      <c r="J119" s="1" t="str">
        <f t="shared" si="16"/>
        <v>0</v>
      </c>
      <c r="K119" s="3">
        <f t="shared" si="17"/>
        <v>-100</v>
      </c>
      <c r="L119" s="3">
        <f t="shared" si="18"/>
        <v>1</v>
      </c>
      <c r="M119" s="3">
        <f t="shared" si="19"/>
        <v>0</v>
      </c>
      <c r="N119" s="3" t="str">
        <f t="shared" si="20"/>
        <v>01</v>
      </c>
      <c r="O119" s="14" t="str">
        <f t="shared" si="21"/>
        <v>00</v>
      </c>
    </row>
    <row r="120" spans="1:25" hidden="1">
      <c r="A120" s="143">
        <v>128</v>
      </c>
      <c r="B120" s="1">
        <f>IF(G120="-",0,IF(G119=G120,1,0))</f>
        <v>0</v>
      </c>
      <c r="C120" s="1">
        <f>+IF(G120="-",0,IF(I120=I119+1,0,(IF(I120=1,0,1))))</f>
        <v>0</v>
      </c>
      <c r="D120" s="1">
        <f>+IF(AND(P120="",Q120=""),1,0)</f>
        <v>0</v>
      </c>
      <c r="E120" s="1">
        <f t="shared" ref="E120:F123" si="31">IF(U120="",1,0)</f>
        <v>0</v>
      </c>
      <c r="F120" s="1">
        <f t="shared" si="31"/>
        <v>0</v>
      </c>
      <c r="G120" s="1" t="str">
        <f>IF(H120=0,"-",_xlfn.CONCAT(K120,N120,O120,J120))</f>
        <v>25011601</v>
      </c>
      <c r="H120" s="2">
        <v>45673</v>
      </c>
      <c r="I120" s="113">
        <v>1</v>
      </c>
      <c r="J120" s="1" t="str">
        <f t="shared" si="16"/>
        <v>01</v>
      </c>
      <c r="K120" s="3">
        <f t="shared" si="17"/>
        <v>25</v>
      </c>
      <c r="L120" s="3">
        <f t="shared" si="18"/>
        <v>1</v>
      </c>
      <c r="M120" s="3">
        <f t="shared" si="19"/>
        <v>16</v>
      </c>
      <c r="N120" s="3" t="str">
        <f t="shared" si="20"/>
        <v>01</v>
      </c>
      <c r="O120" s="14">
        <f t="shared" si="21"/>
        <v>16</v>
      </c>
      <c r="P120" s="4">
        <v>8919.92</v>
      </c>
      <c r="T120" s="5" t="s">
        <v>2046</v>
      </c>
      <c r="U120" s="3" t="s">
        <v>29</v>
      </c>
      <c r="V120" s="3" t="s">
        <v>5</v>
      </c>
      <c r="W120" t="s">
        <v>1307</v>
      </c>
      <c r="X120" s="159" t="s">
        <v>1305</v>
      </c>
    </row>
    <row r="121" spans="1:25">
      <c r="A121" s="143">
        <v>149</v>
      </c>
      <c r="B121" s="1">
        <f>IF(G121="-",0,IF(G120=G121,1,0))</f>
        <v>0</v>
      </c>
      <c r="C121" s="1">
        <f>+IF(G121="-",0,IF(I121=I120+1,0,(IF(I121=1,0,1))))</f>
        <v>0</v>
      </c>
      <c r="D121" s="1">
        <f>+IF(AND(P121="",Q121=""),1,0)</f>
        <v>0</v>
      </c>
      <c r="E121" s="1">
        <f t="shared" si="31"/>
        <v>0</v>
      </c>
      <c r="F121" s="1">
        <f t="shared" si="31"/>
        <v>0</v>
      </c>
      <c r="G121" s="1" t="str">
        <f>IF(H121=0,"-",_xlfn.CONCAT(K121,N121,O121,J121))</f>
        <v>25011602</v>
      </c>
      <c r="H121" s="2">
        <v>45673</v>
      </c>
      <c r="I121" s="113">
        <v>2</v>
      </c>
      <c r="J121" s="1" t="str">
        <f t="shared" si="16"/>
        <v>02</v>
      </c>
      <c r="K121" s="3">
        <f t="shared" si="17"/>
        <v>25</v>
      </c>
      <c r="L121" s="3">
        <f t="shared" si="18"/>
        <v>1</v>
      </c>
      <c r="M121" s="3">
        <f t="shared" si="19"/>
        <v>16</v>
      </c>
      <c r="N121" s="3" t="str">
        <f t="shared" si="20"/>
        <v>01</v>
      </c>
      <c r="O121" s="14">
        <f t="shared" si="21"/>
        <v>16</v>
      </c>
      <c r="P121" s="4">
        <v>36650.61</v>
      </c>
      <c r="T121" s="5" t="s">
        <v>2045</v>
      </c>
      <c r="U121" s="3" t="s">
        <v>1</v>
      </c>
      <c r="V121" s="3" t="s">
        <v>5</v>
      </c>
      <c r="W121" t="s">
        <v>1306</v>
      </c>
      <c r="X121" s="159" t="s">
        <v>1305</v>
      </c>
    </row>
    <row r="122" spans="1:25" hidden="1">
      <c r="A122" s="143">
        <v>129</v>
      </c>
      <c r="B122" s="1">
        <f>IF(G122="-",0,IF(G121=G122,1,0))</f>
        <v>0</v>
      </c>
      <c r="C122" s="1">
        <f>+IF(G122="-",0,IF(I122=I121+1,0,(IF(I122=1,0,1))))</f>
        <v>0</v>
      </c>
      <c r="D122" s="1">
        <f>+IF(AND(P122="",Q122=""),1,0)</f>
        <v>0</v>
      </c>
      <c r="E122" s="1">
        <f t="shared" si="31"/>
        <v>0</v>
      </c>
      <c r="F122" s="1">
        <f t="shared" si="31"/>
        <v>0</v>
      </c>
      <c r="G122" s="1" t="str">
        <f>IF(H122=0,"-",_xlfn.CONCAT(K122,N122,O122,J122))</f>
        <v>25011701</v>
      </c>
      <c r="H122" s="2">
        <v>45674</v>
      </c>
      <c r="I122" s="113">
        <v>1</v>
      </c>
      <c r="J122" s="1" t="str">
        <f t="shared" si="16"/>
        <v>01</v>
      </c>
      <c r="K122" s="3">
        <f t="shared" si="17"/>
        <v>25</v>
      </c>
      <c r="L122" s="3">
        <f t="shared" si="18"/>
        <v>1</v>
      </c>
      <c r="M122" s="3">
        <f t="shared" si="19"/>
        <v>17</v>
      </c>
      <c r="N122" s="3" t="str">
        <f t="shared" si="20"/>
        <v>01</v>
      </c>
      <c r="O122" s="14">
        <f t="shared" si="21"/>
        <v>17</v>
      </c>
      <c r="P122" s="4">
        <v>39839.129999999997</v>
      </c>
      <c r="T122" s="5" t="s">
        <v>352</v>
      </c>
      <c r="U122" s="3" t="s">
        <v>30</v>
      </c>
      <c r="V122" s="3" t="s">
        <v>1312</v>
      </c>
      <c r="W122" t="s">
        <v>1309</v>
      </c>
      <c r="X122" s="159" t="s">
        <v>1305</v>
      </c>
    </row>
    <row r="123" spans="1:25" hidden="1">
      <c r="A123" s="143">
        <v>130</v>
      </c>
      <c r="B123" s="1">
        <f>IF(G123="-",0,IF(G122=G123,1,0))</f>
        <v>0</v>
      </c>
      <c r="C123" s="1">
        <f>+IF(G123="-",0,IF(I123=I122+1,0,(IF(I123=1,0,1))))</f>
        <v>0</v>
      </c>
      <c r="D123" s="1">
        <f>+IF(AND(P123="",Q123=""),1,0)</f>
        <v>0</v>
      </c>
      <c r="E123" s="1">
        <f t="shared" si="31"/>
        <v>0</v>
      </c>
      <c r="F123" s="1">
        <f t="shared" si="31"/>
        <v>0</v>
      </c>
      <c r="G123" s="1" t="str">
        <f>IF(H123=0,"-",_xlfn.CONCAT(K123,N123,O123,J123))</f>
        <v>25011702</v>
      </c>
      <c r="H123" s="2">
        <v>45674</v>
      </c>
      <c r="I123" s="113">
        <v>2</v>
      </c>
      <c r="J123" s="1" t="str">
        <f t="shared" si="16"/>
        <v>02</v>
      </c>
      <c r="K123" s="3">
        <f t="shared" si="17"/>
        <v>25</v>
      </c>
      <c r="L123" s="3">
        <f t="shared" si="18"/>
        <v>1</v>
      </c>
      <c r="M123" s="3">
        <f t="shared" si="19"/>
        <v>17</v>
      </c>
      <c r="N123" s="3" t="str">
        <f t="shared" si="20"/>
        <v>01</v>
      </c>
      <c r="O123" s="14">
        <f t="shared" si="21"/>
        <v>17</v>
      </c>
      <c r="Q123" s="5">
        <v>5782.21</v>
      </c>
      <c r="T123" s="5" t="s">
        <v>2044</v>
      </c>
      <c r="U123" s="3" t="s">
        <v>3</v>
      </c>
      <c r="V123" s="3" t="s">
        <v>5</v>
      </c>
      <c r="W123" t="s">
        <v>1306</v>
      </c>
      <c r="X123" s="159"/>
    </row>
    <row r="124" spans="1:25" hidden="1">
      <c r="A124" s="143"/>
      <c r="J124" s="1" t="str">
        <f t="shared" si="16"/>
        <v>0</v>
      </c>
      <c r="K124" s="3">
        <f t="shared" si="17"/>
        <v>-100</v>
      </c>
      <c r="L124" s="3">
        <f t="shared" si="18"/>
        <v>1</v>
      </c>
      <c r="M124" s="3">
        <f t="shared" si="19"/>
        <v>0</v>
      </c>
      <c r="N124" s="3" t="str">
        <f t="shared" si="20"/>
        <v>01</v>
      </c>
      <c r="O124" s="14" t="str">
        <f t="shared" si="21"/>
        <v>00</v>
      </c>
      <c r="W124"/>
      <c r="X124" s="159"/>
    </row>
    <row r="125" spans="1:25" hidden="1">
      <c r="A125" s="143"/>
      <c r="J125" s="1" t="str">
        <f t="shared" si="16"/>
        <v>0</v>
      </c>
      <c r="K125" s="3">
        <f t="shared" si="17"/>
        <v>-100</v>
      </c>
      <c r="L125" s="3">
        <f t="shared" si="18"/>
        <v>1</v>
      </c>
      <c r="M125" s="3">
        <f t="shared" si="19"/>
        <v>0</v>
      </c>
      <c r="N125" s="3" t="str">
        <f t="shared" si="20"/>
        <v>01</v>
      </c>
      <c r="O125" s="14" t="str">
        <f t="shared" si="21"/>
        <v>00</v>
      </c>
      <c r="W125"/>
      <c r="X125" s="159"/>
    </row>
    <row r="126" spans="1:25" hidden="1">
      <c r="A126" s="143"/>
      <c r="J126" s="1" t="str">
        <f t="shared" si="16"/>
        <v>0</v>
      </c>
      <c r="K126" s="3">
        <f t="shared" si="17"/>
        <v>-100</v>
      </c>
      <c r="L126" s="3">
        <f t="shared" si="18"/>
        <v>1</v>
      </c>
      <c r="M126" s="3">
        <f t="shared" si="19"/>
        <v>0</v>
      </c>
      <c r="N126" s="3" t="str">
        <f t="shared" si="20"/>
        <v>01</v>
      </c>
      <c r="O126" s="14" t="str">
        <f t="shared" si="21"/>
        <v>00</v>
      </c>
      <c r="W126"/>
      <c r="X126" s="159"/>
    </row>
    <row r="127" spans="1:25" hidden="1">
      <c r="A127" s="143"/>
      <c r="J127" s="1" t="str">
        <f t="shared" si="16"/>
        <v>0</v>
      </c>
      <c r="K127" s="3">
        <f t="shared" si="17"/>
        <v>-100</v>
      </c>
      <c r="L127" s="3">
        <f t="shared" si="18"/>
        <v>1</v>
      </c>
      <c r="M127" s="3">
        <f t="shared" si="19"/>
        <v>0</v>
      </c>
      <c r="N127" s="3" t="str">
        <f t="shared" si="20"/>
        <v>01</v>
      </c>
      <c r="O127" s="14" t="str">
        <f t="shared" si="21"/>
        <v>00</v>
      </c>
      <c r="W127"/>
      <c r="X127" s="159"/>
    </row>
    <row r="128" spans="1:25">
      <c r="A128" s="143">
        <v>134</v>
      </c>
      <c r="B128" s="1">
        <f>IF(G128="-",0,IF(G127=G128,1,0))</f>
        <v>0</v>
      </c>
      <c r="C128" s="1">
        <f>+IF(G128="-",0,IF(I128=I127+1,0,(IF(I128=1,0,1))))</f>
        <v>0</v>
      </c>
      <c r="D128" s="1">
        <f>+IF(AND(P128="",Q128=""),1,0)</f>
        <v>0</v>
      </c>
      <c r="E128" s="1">
        <f>IF(U128="",1,0)</f>
        <v>0</v>
      </c>
      <c r="F128" s="1">
        <f>IF(V128="",1,0)</f>
        <v>0</v>
      </c>
      <c r="G128" s="1" t="str">
        <f>IF(H128=0,"-",_xlfn.CONCAT(K128,N128,O128,J128))</f>
        <v>25011801</v>
      </c>
      <c r="H128" s="2">
        <v>45675</v>
      </c>
      <c r="I128" s="113">
        <v>1</v>
      </c>
      <c r="J128" s="1" t="str">
        <f t="shared" si="16"/>
        <v>01</v>
      </c>
      <c r="K128" s="3">
        <f t="shared" si="17"/>
        <v>25</v>
      </c>
      <c r="L128" s="3">
        <f t="shared" si="18"/>
        <v>1</v>
      </c>
      <c r="M128" s="3">
        <f t="shared" si="19"/>
        <v>18</v>
      </c>
      <c r="N128" s="3" t="str">
        <f t="shared" si="20"/>
        <v>01</v>
      </c>
      <c r="O128" s="14">
        <f t="shared" si="21"/>
        <v>18</v>
      </c>
      <c r="P128" s="94">
        <v>599118.23</v>
      </c>
      <c r="T128" s="5" t="s">
        <v>2043</v>
      </c>
      <c r="U128" s="3" t="s">
        <v>2</v>
      </c>
      <c r="V128" s="3" t="s">
        <v>5</v>
      </c>
      <c r="W128" t="s">
        <v>1306</v>
      </c>
      <c r="X128" s="159" t="s">
        <v>1305</v>
      </c>
      <c r="Y128" s="141" t="s">
        <v>2042</v>
      </c>
    </row>
    <row r="129" spans="1:25" hidden="1">
      <c r="A129" s="143">
        <v>135</v>
      </c>
      <c r="B129" s="1">
        <f>IF(G129="-",0,IF(G128=G129,1,0))</f>
        <v>0</v>
      </c>
      <c r="C129" s="1">
        <f>+IF(G129="-",0,IF(I129=I128+1,0,(IF(I129=1,0,1))))</f>
        <v>0</v>
      </c>
      <c r="D129" s="1">
        <f>+IF(AND(P129="",Q129=""),1,0)</f>
        <v>0</v>
      </c>
      <c r="E129" s="1">
        <f>IF(U129="",1,0)</f>
        <v>0</v>
      </c>
      <c r="F129" s="1">
        <f>IF(V129="",1,0)</f>
        <v>0</v>
      </c>
      <c r="G129" s="1" t="str">
        <f>IF(H129=0,"-",_xlfn.CONCAT(K129,N129,O129,J129))</f>
        <v>25011802</v>
      </c>
      <c r="H129" s="2">
        <v>45675</v>
      </c>
      <c r="I129" s="113">
        <v>2</v>
      </c>
      <c r="J129" s="1" t="str">
        <f t="shared" si="16"/>
        <v>02</v>
      </c>
      <c r="K129" s="3">
        <f t="shared" si="17"/>
        <v>25</v>
      </c>
      <c r="L129" s="3">
        <f t="shared" si="18"/>
        <v>1</v>
      </c>
      <c r="M129" s="3">
        <f t="shared" si="19"/>
        <v>18</v>
      </c>
      <c r="N129" s="3" t="str">
        <f t="shared" si="20"/>
        <v>01</v>
      </c>
      <c r="O129" s="14">
        <f t="shared" si="21"/>
        <v>18</v>
      </c>
      <c r="P129" s="4">
        <v>20930.59</v>
      </c>
      <c r="T129" s="5" t="s">
        <v>2041</v>
      </c>
      <c r="U129" s="3" t="s">
        <v>29</v>
      </c>
      <c r="V129" s="3" t="s">
        <v>5</v>
      </c>
      <c r="W129" t="s">
        <v>1309</v>
      </c>
      <c r="X129" s="159" t="s">
        <v>1305</v>
      </c>
    </row>
    <row r="130" spans="1:25" hidden="1">
      <c r="A130" s="143"/>
      <c r="J130" s="1" t="str">
        <f t="shared" si="16"/>
        <v>0</v>
      </c>
      <c r="K130" s="3">
        <f t="shared" si="17"/>
        <v>-100</v>
      </c>
      <c r="L130" s="3">
        <f t="shared" si="18"/>
        <v>1</v>
      </c>
      <c r="M130" s="3">
        <f t="shared" si="19"/>
        <v>0</v>
      </c>
      <c r="N130" s="3" t="str">
        <f t="shared" si="20"/>
        <v>01</v>
      </c>
      <c r="O130" s="14" t="str">
        <f t="shared" si="21"/>
        <v>00</v>
      </c>
      <c r="W130"/>
      <c r="X130" s="159"/>
    </row>
    <row r="131" spans="1:25" hidden="1">
      <c r="A131" s="143"/>
      <c r="J131" s="1" t="str">
        <f t="shared" si="16"/>
        <v>0</v>
      </c>
      <c r="K131" s="3">
        <f t="shared" si="17"/>
        <v>-100</v>
      </c>
      <c r="L131" s="3">
        <f t="shared" si="18"/>
        <v>1</v>
      </c>
      <c r="M131" s="3">
        <f t="shared" si="19"/>
        <v>0</v>
      </c>
      <c r="N131" s="3" t="str">
        <f t="shared" si="20"/>
        <v>01</v>
      </c>
      <c r="O131" s="14" t="str">
        <f t="shared" si="21"/>
        <v>00</v>
      </c>
      <c r="W131"/>
      <c r="X131" s="159"/>
    </row>
    <row r="132" spans="1:25" hidden="1">
      <c r="A132" s="143"/>
      <c r="J132" s="1" t="str">
        <f t="shared" si="16"/>
        <v>0</v>
      </c>
      <c r="K132" s="3">
        <f t="shared" si="17"/>
        <v>-100</v>
      </c>
      <c r="L132" s="3">
        <f t="shared" si="18"/>
        <v>1</v>
      </c>
      <c r="M132" s="3">
        <f t="shared" si="19"/>
        <v>0</v>
      </c>
      <c r="N132" s="3" t="str">
        <f t="shared" si="20"/>
        <v>01</v>
      </c>
      <c r="O132" s="14" t="str">
        <f t="shared" si="21"/>
        <v>00</v>
      </c>
      <c r="W132"/>
      <c r="X132" s="159"/>
    </row>
    <row r="133" spans="1:25" hidden="1">
      <c r="A133" s="143">
        <v>267</v>
      </c>
      <c r="B133" s="1">
        <f t="shared" ref="B133:B147" si="32">IF(G133="-",0,IF(G132=G133,1,0))</f>
        <v>0</v>
      </c>
      <c r="C133" s="1">
        <f t="shared" ref="C133:C147" si="33">+IF(G133="-",0,IF(I133=I132+1,0,(IF(I133=1,0,1))))</f>
        <v>1</v>
      </c>
      <c r="D133" s="1">
        <f t="shared" ref="D133:D147" si="34">+IF(AND(P133="",Q133=""),1,0)</f>
        <v>0</v>
      </c>
      <c r="E133" s="1">
        <f t="shared" ref="E133:E147" si="35">IF(U133="",1,0)</f>
        <v>0</v>
      </c>
      <c r="F133" s="1">
        <f t="shared" ref="F133:F147" si="36">IF(V133="",1,0)</f>
        <v>0</v>
      </c>
      <c r="G133" s="1" t="str">
        <f t="shared" ref="G133:G147" si="37">IF(H133=0,"-",_xlfn.CONCAT(K133,N133,O133,J133))</f>
        <v>25011806</v>
      </c>
      <c r="H133" s="2">
        <v>45675</v>
      </c>
      <c r="I133" s="113">
        <v>6</v>
      </c>
      <c r="J133" s="1" t="str">
        <f t="shared" si="16"/>
        <v>06</v>
      </c>
      <c r="K133" s="3">
        <f t="shared" si="17"/>
        <v>25</v>
      </c>
      <c r="L133" s="3">
        <f t="shared" si="18"/>
        <v>1</v>
      </c>
      <c r="M133" s="3">
        <f t="shared" si="19"/>
        <v>18</v>
      </c>
      <c r="N133" s="3" t="str">
        <f t="shared" si="20"/>
        <v>01</v>
      </c>
      <c r="O133" s="14">
        <f t="shared" si="21"/>
        <v>18</v>
      </c>
      <c r="P133" s="4">
        <v>10000</v>
      </c>
      <c r="T133" s="5" t="s">
        <v>1706</v>
      </c>
      <c r="U133" s="3" t="s">
        <v>29</v>
      </c>
      <c r="V133" s="3" t="s">
        <v>5</v>
      </c>
      <c r="W133" t="s">
        <v>1307</v>
      </c>
      <c r="X133" s="159" t="s">
        <v>1305</v>
      </c>
    </row>
    <row r="134" spans="1:25">
      <c r="A134" s="143">
        <v>93</v>
      </c>
      <c r="B134" s="1">
        <f t="shared" si="32"/>
        <v>0</v>
      </c>
      <c r="C134" s="1">
        <f t="shared" si="33"/>
        <v>0</v>
      </c>
      <c r="D134" s="1">
        <f t="shared" si="34"/>
        <v>0</v>
      </c>
      <c r="E134" s="1">
        <f t="shared" si="35"/>
        <v>0</v>
      </c>
      <c r="F134" s="1">
        <f t="shared" si="36"/>
        <v>0</v>
      </c>
      <c r="G134" s="1" t="str">
        <f t="shared" si="37"/>
        <v>25011901</v>
      </c>
      <c r="H134" s="2">
        <v>45676</v>
      </c>
      <c r="I134" s="113">
        <v>1</v>
      </c>
      <c r="J134" s="1" t="str">
        <f t="shared" si="16"/>
        <v>01</v>
      </c>
      <c r="K134" s="3">
        <f t="shared" si="17"/>
        <v>25</v>
      </c>
      <c r="L134" s="3">
        <f t="shared" si="18"/>
        <v>1</v>
      </c>
      <c r="M134" s="3">
        <f t="shared" si="19"/>
        <v>19</v>
      </c>
      <c r="N134" s="3" t="str">
        <f t="shared" si="20"/>
        <v>01</v>
      </c>
      <c r="O134" s="14">
        <f t="shared" si="21"/>
        <v>19</v>
      </c>
      <c r="P134" s="28">
        <v>159000</v>
      </c>
      <c r="T134" s="28" t="s">
        <v>2040</v>
      </c>
      <c r="U134" s="3" t="s">
        <v>1</v>
      </c>
      <c r="V134" s="3" t="s">
        <v>5</v>
      </c>
      <c r="W134" t="s">
        <v>1306</v>
      </c>
      <c r="X134" s="159"/>
      <c r="Y134" s="163" t="s">
        <v>2039</v>
      </c>
    </row>
    <row r="135" spans="1:25">
      <c r="A135" s="143">
        <v>94</v>
      </c>
      <c r="B135" s="1">
        <f t="shared" si="32"/>
        <v>0</v>
      </c>
      <c r="C135" s="1">
        <f t="shared" si="33"/>
        <v>0</v>
      </c>
      <c r="D135" s="1">
        <f t="shared" si="34"/>
        <v>0</v>
      </c>
      <c r="E135" s="1">
        <f t="shared" si="35"/>
        <v>0</v>
      </c>
      <c r="F135" s="1">
        <f t="shared" si="36"/>
        <v>0</v>
      </c>
      <c r="G135" s="1" t="str">
        <f t="shared" si="37"/>
        <v>25011902</v>
      </c>
      <c r="H135" s="2">
        <v>45676</v>
      </c>
      <c r="I135" s="113">
        <v>2</v>
      </c>
      <c r="J135" s="1" t="str">
        <f t="shared" si="16"/>
        <v>02</v>
      </c>
      <c r="K135" s="3">
        <f t="shared" si="17"/>
        <v>25</v>
      </c>
      <c r="L135" s="3">
        <f t="shared" si="18"/>
        <v>1</v>
      </c>
      <c r="M135" s="3">
        <f t="shared" si="19"/>
        <v>19</v>
      </c>
      <c r="N135" s="3" t="str">
        <f t="shared" si="20"/>
        <v>01</v>
      </c>
      <c r="O135" s="14">
        <f t="shared" si="21"/>
        <v>19</v>
      </c>
      <c r="P135" s="28">
        <v>103500</v>
      </c>
      <c r="T135" s="28" t="s">
        <v>2038</v>
      </c>
      <c r="U135" s="3" t="s">
        <v>1</v>
      </c>
      <c r="V135" s="3" t="s">
        <v>5</v>
      </c>
      <c r="W135" t="s">
        <v>1306</v>
      </c>
      <c r="X135" s="159"/>
      <c r="Y135" s="163" t="s">
        <v>2037</v>
      </c>
    </row>
    <row r="136" spans="1:25">
      <c r="A136" s="143">
        <v>95</v>
      </c>
      <c r="B136" s="1">
        <f t="shared" si="32"/>
        <v>0</v>
      </c>
      <c r="C136" s="1">
        <f t="shared" si="33"/>
        <v>0</v>
      </c>
      <c r="D136" s="1">
        <f t="shared" si="34"/>
        <v>0</v>
      </c>
      <c r="E136" s="1">
        <f t="shared" si="35"/>
        <v>0</v>
      </c>
      <c r="F136" s="1">
        <f t="shared" si="36"/>
        <v>0</v>
      </c>
      <c r="G136" s="1" t="str">
        <f t="shared" si="37"/>
        <v>25011903</v>
      </c>
      <c r="H136" s="2">
        <v>45676</v>
      </c>
      <c r="I136" s="113">
        <v>3</v>
      </c>
      <c r="J136" s="1" t="str">
        <f t="shared" ref="J136:J199" si="38">+IF(I136&lt;10,_xlfn.CONCAT("0",I136),I136)</f>
        <v>03</v>
      </c>
      <c r="K136" s="3">
        <f t="shared" ref="K136:K199" si="39">+YEAR(H136)-2000</f>
        <v>25</v>
      </c>
      <c r="L136" s="3">
        <f t="shared" ref="L136:L199" si="40">+MONTH(H136)</f>
        <v>1</v>
      </c>
      <c r="M136" s="3">
        <f t="shared" ref="M136:M199" si="41">+DAY(H136)</f>
        <v>19</v>
      </c>
      <c r="N136" s="3" t="str">
        <f t="shared" ref="N136:N199" si="42">+IF(L136&lt;10,_xlfn.CONCAT("0",L136),L136)</f>
        <v>01</v>
      </c>
      <c r="O136" s="14">
        <f t="shared" ref="O136:O199" si="43">+IF(M136&lt;10,_xlfn.CONCAT("0",M136),M136)</f>
        <v>19</v>
      </c>
      <c r="P136" s="28">
        <v>132000</v>
      </c>
      <c r="T136" s="28" t="s">
        <v>2036</v>
      </c>
      <c r="U136" s="3" t="s">
        <v>1</v>
      </c>
      <c r="V136" s="3" t="s">
        <v>5</v>
      </c>
      <c r="W136" t="s">
        <v>1306</v>
      </c>
      <c r="X136" s="159"/>
      <c r="Y136" s="163" t="s">
        <v>2035</v>
      </c>
    </row>
    <row r="137" spans="1:25">
      <c r="A137" s="143">
        <v>96</v>
      </c>
      <c r="B137" s="1">
        <f t="shared" si="32"/>
        <v>0</v>
      </c>
      <c r="C137" s="1">
        <f t="shared" si="33"/>
        <v>0</v>
      </c>
      <c r="D137" s="1">
        <f t="shared" si="34"/>
        <v>0</v>
      </c>
      <c r="E137" s="1">
        <f t="shared" si="35"/>
        <v>0</v>
      </c>
      <c r="F137" s="1">
        <f t="shared" si="36"/>
        <v>0</v>
      </c>
      <c r="G137" s="1" t="str">
        <f t="shared" si="37"/>
        <v>25011904</v>
      </c>
      <c r="H137" s="2">
        <v>45676</v>
      </c>
      <c r="I137" s="113">
        <v>4</v>
      </c>
      <c r="J137" s="1" t="str">
        <f t="shared" si="38"/>
        <v>04</v>
      </c>
      <c r="K137" s="3">
        <f t="shared" si="39"/>
        <v>25</v>
      </c>
      <c r="L137" s="3">
        <f t="shared" si="40"/>
        <v>1</v>
      </c>
      <c r="M137" s="3">
        <f t="shared" si="41"/>
        <v>19</v>
      </c>
      <c r="N137" s="3" t="str">
        <f t="shared" si="42"/>
        <v>01</v>
      </c>
      <c r="O137" s="14">
        <f t="shared" si="43"/>
        <v>19</v>
      </c>
      <c r="P137" s="28">
        <v>108000</v>
      </c>
      <c r="T137" s="28" t="s">
        <v>2034</v>
      </c>
      <c r="U137" s="3" t="s">
        <v>1</v>
      </c>
      <c r="V137" s="3" t="s">
        <v>5</v>
      </c>
      <c r="W137" t="s">
        <v>1306</v>
      </c>
      <c r="X137" s="159"/>
      <c r="Y137" s="163" t="s">
        <v>2033</v>
      </c>
    </row>
    <row r="138" spans="1:25">
      <c r="A138" s="143">
        <v>97</v>
      </c>
      <c r="B138" s="1">
        <f t="shared" si="32"/>
        <v>0</v>
      </c>
      <c r="C138" s="1">
        <f t="shared" si="33"/>
        <v>0</v>
      </c>
      <c r="D138" s="1">
        <f t="shared" si="34"/>
        <v>0</v>
      </c>
      <c r="E138" s="1">
        <f t="shared" si="35"/>
        <v>0</v>
      </c>
      <c r="F138" s="1">
        <f t="shared" si="36"/>
        <v>0</v>
      </c>
      <c r="G138" s="1" t="str">
        <f t="shared" si="37"/>
        <v>25011905</v>
      </c>
      <c r="H138" s="2">
        <v>45676</v>
      </c>
      <c r="I138" s="113">
        <v>5</v>
      </c>
      <c r="J138" s="1" t="str">
        <f t="shared" si="38"/>
        <v>05</v>
      </c>
      <c r="K138" s="3">
        <f t="shared" si="39"/>
        <v>25</v>
      </c>
      <c r="L138" s="3">
        <f t="shared" si="40"/>
        <v>1</v>
      </c>
      <c r="M138" s="3">
        <f t="shared" si="41"/>
        <v>19</v>
      </c>
      <c r="N138" s="3" t="str">
        <f t="shared" si="42"/>
        <v>01</v>
      </c>
      <c r="O138" s="14">
        <f t="shared" si="43"/>
        <v>19</v>
      </c>
      <c r="P138" s="28">
        <v>132000</v>
      </c>
      <c r="T138" s="28" t="s">
        <v>2032</v>
      </c>
      <c r="U138" s="3" t="s">
        <v>1</v>
      </c>
      <c r="V138" s="3" t="s">
        <v>5</v>
      </c>
      <c r="W138" t="s">
        <v>1306</v>
      </c>
      <c r="X138" s="159"/>
      <c r="Y138" s="163" t="s">
        <v>2031</v>
      </c>
    </row>
    <row r="139" spans="1:25">
      <c r="A139" s="143">
        <v>98</v>
      </c>
      <c r="B139" s="1">
        <f t="shared" si="32"/>
        <v>0</v>
      </c>
      <c r="C139" s="1">
        <f t="shared" si="33"/>
        <v>0</v>
      </c>
      <c r="D139" s="1">
        <f t="shared" si="34"/>
        <v>0</v>
      </c>
      <c r="E139" s="1">
        <f t="shared" si="35"/>
        <v>0</v>
      </c>
      <c r="F139" s="1">
        <f t="shared" si="36"/>
        <v>0</v>
      </c>
      <c r="G139" s="1" t="str">
        <f t="shared" si="37"/>
        <v>25011906</v>
      </c>
      <c r="H139" s="2">
        <v>45676</v>
      </c>
      <c r="I139" s="113">
        <v>6</v>
      </c>
      <c r="J139" s="1" t="str">
        <f t="shared" si="38"/>
        <v>06</v>
      </c>
      <c r="K139" s="3">
        <f t="shared" si="39"/>
        <v>25</v>
      </c>
      <c r="L139" s="3">
        <f t="shared" si="40"/>
        <v>1</v>
      </c>
      <c r="M139" s="3">
        <f t="shared" si="41"/>
        <v>19</v>
      </c>
      <c r="N139" s="3" t="str">
        <f t="shared" si="42"/>
        <v>01</v>
      </c>
      <c r="O139" s="14">
        <f t="shared" si="43"/>
        <v>19</v>
      </c>
      <c r="P139" s="28">
        <v>159000</v>
      </c>
      <c r="T139" s="28" t="s">
        <v>2030</v>
      </c>
      <c r="U139" s="3" t="s">
        <v>1</v>
      </c>
      <c r="V139" s="3" t="s">
        <v>5</v>
      </c>
      <c r="W139" t="s">
        <v>1306</v>
      </c>
      <c r="X139" s="159"/>
      <c r="Y139" s="163" t="s">
        <v>2029</v>
      </c>
    </row>
    <row r="140" spans="1:25">
      <c r="A140" s="143">
        <v>99</v>
      </c>
      <c r="B140" s="1">
        <f t="shared" si="32"/>
        <v>0</v>
      </c>
      <c r="C140" s="1">
        <f t="shared" si="33"/>
        <v>0</v>
      </c>
      <c r="D140" s="1">
        <f t="shared" si="34"/>
        <v>0</v>
      </c>
      <c r="E140" s="1">
        <f t="shared" si="35"/>
        <v>0</v>
      </c>
      <c r="F140" s="1">
        <f t="shared" si="36"/>
        <v>0</v>
      </c>
      <c r="G140" s="1" t="str">
        <f t="shared" si="37"/>
        <v>25011907</v>
      </c>
      <c r="H140" s="2">
        <v>45676</v>
      </c>
      <c r="I140" s="113">
        <v>7</v>
      </c>
      <c r="J140" s="1" t="str">
        <f t="shared" si="38"/>
        <v>07</v>
      </c>
      <c r="K140" s="3">
        <f t="shared" si="39"/>
        <v>25</v>
      </c>
      <c r="L140" s="3">
        <f t="shared" si="40"/>
        <v>1</v>
      </c>
      <c r="M140" s="3">
        <f t="shared" si="41"/>
        <v>19</v>
      </c>
      <c r="N140" s="3" t="str">
        <f t="shared" si="42"/>
        <v>01</v>
      </c>
      <c r="O140" s="14">
        <f t="shared" si="43"/>
        <v>19</v>
      </c>
      <c r="P140" s="31">
        <v>132000</v>
      </c>
      <c r="T140" s="31" t="s">
        <v>2028</v>
      </c>
      <c r="U140" s="3" t="s">
        <v>1</v>
      </c>
      <c r="V140" s="3" t="s">
        <v>5</v>
      </c>
      <c r="W140" t="s">
        <v>1306</v>
      </c>
      <c r="X140" s="159"/>
      <c r="Y140" s="163"/>
    </row>
    <row r="141" spans="1:25">
      <c r="A141" s="143">
        <v>100</v>
      </c>
      <c r="B141" s="1">
        <f t="shared" si="32"/>
        <v>0</v>
      </c>
      <c r="C141" s="1">
        <f t="shared" si="33"/>
        <v>0</v>
      </c>
      <c r="D141" s="1">
        <f t="shared" si="34"/>
        <v>0</v>
      </c>
      <c r="E141" s="1">
        <f t="shared" si="35"/>
        <v>0</v>
      </c>
      <c r="F141" s="1">
        <f t="shared" si="36"/>
        <v>0</v>
      </c>
      <c r="G141" s="1" t="str">
        <f t="shared" si="37"/>
        <v>25011908</v>
      </c>
      <c r="H141" s="2">
        <v>45676</v>
      </c>
      <c r="I141" s="113">
        <v>8</v>
      </c>
      <c r="J141" s="1" t="str">
        <f t="shared" si="38"/>
        <v>08</v>
      </c>
      <c r="K141" s="3">
        <f t="shared" si="39"/>
        <v>25</v>
      </c>
      <c r="L141" s="3">
        <f t="shared" si="40"/>
        <v>1</v>
      </c>
      <c r="M141" s="3">
        <f t="shared" si="41"/>
        <v>19</v>
      </c>
      <c r="N141" s="3" t="str">
        <f t="shared" si="42"/>
        <v>01</v>
      </c>
      <c r="O141" s="14">
        <f t="shared" si="43"/>
        <v>19</v>
      </c>
      <c r="P141" s="31">
        <v>108000</v>
      </c>
      <c r="T141" s="31" t="s">
        <v>2027</v>
      </c>
      <c r="U141" s="3" t="s">
        <v>1</v>
      </c>
      <c r="V141" s="3" t="s">
        <v>5</v>
      </c>
      <c r="W141" t="s">
        <v>1306</v>
      </c>
      <c r="X141" s="159"/>
      <c r="Y141" s="163"/>
    </row>
    <row r="142" spans="1:25">
      <c r="A142" s="143">
        <v>101</v>
      </c>
      <c r="B142" s="1">
        <f t="shared" si="32"/>
        <v>0</v>
      </c>
      <c r="C142" s="1">
        <f t="shared" si="33"/>
        <v>0</v>
      </c>
      <c r="D142" s="1">
        <f t="shared" si="34"/>
        <v>0</v>
      </c>
      <c r="E142" s="1">
        <f t="shared" si="35"/>
        <v>0</v>
      </c>
      <c r="F142" s="1">
        <f t="shared" si="36"/>
        <v>0</v>
      </c>
      <c r="G142" s="1" t="str">
        <f t="shared" si="37"/>
        <v>25011909</v>
      </c>
      <c r="H142" s="2">
        <v>45676</v>
      </c>
      <c r="I142" s="113">
        <v>9</v>
      </c>
      <c r="J142" s="1" t="str">
        <f t="shared" si="38"/>
        <v>09</v>
      </c>
      <c r="K142" s="3">
        <f t="shared" si="39"/>
        <v>25</v>
      </c>
      <c r="L142" s="3">
        <f t="shared" si="40"/>
        <v>1</v>
      </c>
      <c r="M142" s="3">
        <f t="shared" si="41"/>
        <v>19</v>
      </c>
      <c r="N142" s="3" t="str">
        <f t="shared" si="42"/>
        <v>01</v>
      </c>
      <c r="O142" s="14">
        <f t="shared" si="43"/>
        <v>19</v>
      </c>
      <c r="P142" s="31">
        <v>108000</v>
      </c>
      <c r="T142" s="31" t="s">
        <v>2026</v>
      </c>
      <c r="U142" s="3" t="s">
        <v>1</v>
      </c>
      <c r="V142" s="3" t="s">
        <v>5</v>
      </c>
      <c r="W142" t="s">
        <v>1306</v>
      </c>
      <c r="X142" s="159"/>
      <c r="Y142" s="163"/>
    </row>
    <row r="143" spans="1:25">
      <c r="A143" s="143">
        <v>102</v>
      </c>
      <c r="B143" s="1">
        <f t="shared" si="32"/>
        <v>0</v>
      </c>
      <c r="C143" s="1">
        <f t="shared" si="33"/>
        <v>0</v>
      </c>
      <c r="D143" s="1">
        <f t="shared" si="34"/>
        <v>0</v>
      </c>
      <c r="E143" s="1">
        <f t="shared" si="35"/>
        <v>0</v>
      </c>
      <c r="F143" s="1">
        <f t="shared" si="36"/>
        <v>0</v>
      </c>
      <c r="G143" s="1" t="str">
        <f t="shared" si="37"/>
        <v>25011910</v>
      </c>
      <c r="H143" s="2">
        <v>45676</v>
      </c>
      <c r="I143" s="113">
        <v>10</v>
      </c>
      <c r="J143" s="1">
        <f t="shared" si="38"/>
        <v>10</v>
      </c>
      <c r="K143" s="3">
        <f t="shared" si="39"/>
        <v>25</v>
      </c>
      <c r="L143" s="3">
        <f t="shared" si="40"/>
        <v>1</v>
      </c>
      <c r="M143" s="3">
        <f t="shared" si="41"/>
        <v>19</v>
      </c>
      <c r="N143" s="3" t="str">
        <f t="shared" si="42"/>
        <v>01</v>
      </c>
      <c r="O143" s="14">
        <f t="shared" si="43"/>
        <v>19</v>
      </c>
      <c r="P143" s="31">
        <v>132000</v>
      </c>
      <c r="T143" s="31" t="s">
        <v>2025</v>
      </c>
      <c r="U143" s="3" t="s">
        <v>1</v>
      </c>
      <c r="V143" s="3" t="s">
        <v>5</v>
      </c>
      <c r="W143" t="s">
        <v>1306</v>
      </c>
      <c r="X143" s="159"/>
      <c r="Y143" s="163"/>
    </row>
    <row r="144" spans="1:25">
      <c r="A144" s="143">
        <v>103</v>
      </c>
      <c r="B144" s="1">
        <f t="shared" si="32"/>
        <v>0</v>
      </c>
      <c r="C144" s="1">
        <f t="shared" si="33"/>
        <v>0</v>
      </c>
      <c r="D144" s="1">
        <f t="shared" si="34"/>
        <v>0</v>
      </c>
      <c r="E144" s="1">
        <f t="shared" si="35"/>
        <v>0</v>
      </c>
      <c r="F144" s="1">
        <f t="shared" si="36"/>
        <v>0</v>
      </c>
      <c r="G144" s="1" t="str">
        <f t="shared" si="37"/>
        <v>25011911</v>
      </c>
      <c r="H144" s="2">
        <v>45676</v>
      </c>
      <c r="I144" s="113">
        <v>11</v>
      </c>
      <c r="J144" s="1">
        <f t="shared" si="38"/>
        <v>11</v>
      </c>
      <c r="K144" s="3">
        <f t="shared" si="39"/>
        <v>25</v>
      </c>
      <c r="L144" s="3">
        <f t="shared" si="40"/>
        <v>1</v>
      </c>
      <c r="M144" s="3">
        <f t="shared" si="41"/>
        <v>19</v>
      </c>
      <c r="N144" s="3" t="str">
        <f t="shared" si="42"/>
        <v>01</v>
      </c>
      <c r="O144" s="14">
        <f t="shared" si="43"/>
        <v>19</v>
      </c>
      <c r="P144" s="31">
        <v>252000</v>
      </c>
      <c r="T144" s="31" t="s">
        <v>2024</v>
      </c>
      <c r="U144" s="3" t="s">
        <v>1</v>
      </c>
      <c r="V144" s="3" t="s">
        <v>5</v>
      </c>
      <c r="W144" t="s">
        <v>1306</v>
      </c>
      <c r="X144" s="159"/>
      <c r="Y144" s="163"/>
    </row>
    <row r="145" spans="1:25">
      <c r="A145" s="143">
        <v>104</v>
      </c>
      <c r="B145" s="1">
        <f t="shared" si="32"/>
        <v>0</v>
      </c>
      <c r="C145" s="1">
        <f t="shared" si="33"/>
        <v>0</v>
      </c>
      <c r="D145" s="1">
        <f t="shared" si="34"/>
        <v>0</v>
      </c>
      <c r="E145" s="1">
        <f t="shared" si="35"/>
        <v>0</v>
      </c>
      <c r="F145" s="1">
        <f t="shared" si="36"/>
        <v>0</v>
      </c>
      <c r="G145" s="1" t="str">
        <f t="shared" si="37"/>
        <v>25011912</v>
      </c>
      <c r="H145" s="2">
        <v>45676</v>
      </c>
      <c r="I145" s="113">
        <v>12</v>
      </c>
      <c r="J145" s="1">
        <f t="shared" si="38"/>
        <v>12</v>
      </c>
      <c r="K145" s="3">
        <f t="shared" si="39"/>
        <v>25</v>
      </c>
      <c r="L145" s="3">
        <f t="shared" si="40"/>
        <v>1</v>
      </c>
      <c r="M145" s="3">
        <f t="shared" si="41"/>
        <v>19</v>
      </c>
      <c r="N145" s="3" t="str">
        <f t="shared" si="42"/>
        <v>01</v>
      </c>
      <c r="O145" s="14">
        <f t="shared" si="43"/>
        <v>19</v>
      </c>
      <c r="P145" s="31">
        <v>90000</v>
      </c>
      <c r="T145" s="31" t="s">
        <v>2023</v>
      </c>
      <c r="U145" s="3" t="s">
        <v>1</v>
      </c>
      <c r="V145" s="3" t="s">
        <v>5</v>
      </c>
      <c r="W145" t="s">
        <v>1306</v>
      </c>
      <c r="X145" s="159"/>
      <c r="Y145" s="163"/>
    </row>
    <row r="146" spans="1:25">
      <c r="A146" s="143">
        <v>105</v>
      </c>
      <c r="B146" s="1">
        <f t="shared" si="32"/>
        <v>0</v>
      </c>
      <c r="C146" s="1">
        <f t="shared" si="33"/>
        <v>0</v>
      </c>
      <c r="D146" s="1">
        <f t="shared" si="34"/>
        <v>0</v>
      </c>
      <c r="E146" s="1">
        <f t="shared" si="35"/>
        <v>0</v>
      </c>
      <c r="F146" s="1">
        <f t="shared" si="36"/>
        <v>0</v>
      </c>
      <c r="G146" s="1" t="str">
        <f t="shared" si="37"/>
        <v>25011913</v>
      </c>
      <c r="H146" s="2">
        <v>45676</v>
      </c>
      <c r="I146" s="113">
        <v>13</v>
      </c>
      <c r="J146" s="1">
        <f t="shared" si="38"/>
        <v>13</v>
      </c>
      <c r="K146" s="3">
        <f t="shared" si="39"/>
        <v>25</v>
      </c>
      <c r="L146" s="3">
        <f t="shared" si="40"/>
        <v>1</v>
      </c>
      <c r="M146" s="3">
        <f t="shared" si="41"/>
        <v>19</v>
      </c>
      <c r="N146" s="3" t="str">
        <f t="shared" si="42"/>
        <v>01</v>
      </c>
      <c r="O146" s="14">
        <f t="shared" si="43"/>
        <v>19</v>
      </c>
      <c r="P146" s="31">
        <v>150000</v>
      </c>
      <c r="T146" s="31" t="s">
        <v>2022</v>
      </c>
      <c r="U146" s="3" t="s">
        <v>1</v>
      </c>
      <c r="V146" s="3" t="s">
        <v>5</v>
      </c>
      <c r="W146" t="s">
        <v>1306</v>
      </c>
      <c r="X146" s="159"/>
      <c r="Y146" s="163" t="s">
        <v>2021</v>
      </c>
    </row>
    <row r="147" spans="1:25" hidden="1">
      <c r="A147" s="143">
        <v>140</v>
      </c>
      <c r="B147" s="1">
        <f t="shared" si="32"/>
        <v>0</v>
      </c>
      <c r="C147" s="1">
        <f t="shared" si="33"/>
        <v>0</v>
      </c>
      <c r="D147" s="1">
        <f t="shared" si="34"/>
        <v>0</v>
      </c>
      <c r="E147" s="1">
        <f t="shared" si="35"/>
        <v>0</v>
      </c>
      <c r="F147" s="1">
        <f t="shared" si="36"/>
        <v>0</v>
      </c>
      <c r="G147" s="1" t="str">
        <f t="shared" si="37"/>
        <v>25011914</v>
      </c>
      <c r="H147" s="2">
        <v>45676</v>
      </c>
      <c r="I147" s="113">
        <v>14</v>
      </c>
      <c r="J147" s="1">
        <f t="shared" si="38"/>
        <v>14</v>
      </c>
      <c r="K147" s="3">
        <f t="shared" si="39"/>
        <v>25</v>
      </c>
      <c r="L147" s="3">
        <f t="shared" si="40"/>
        <v>1</v>
      </c>
      <c r="M147" s="3">
        <f t="shared" si="41"/>
        <v>19</v>
      </c>
      <c r="N147" s="3" t="str">
        <f t="shared" si="42"/>
        <v>01</v>
      </c>
      <c r="O147" s="14">
        <f t="shared" si="43"/>
        <v>19</v>
      </c>
      <c r="P147" s="4">
        <v>9400</v>
      </c>
      <c r="T147" s="5" t="s">
        <v>352</v>
      </c>
      <c r="U147" s="3" t="s">
        <v>30</v>
      </c>
      <c r="V147" s="3" t="s">
        <v>1312</v>
      </c>
      <c r="W147" t="s">
        <v>1307</v>
      </c>
      <c r="X147" s="159" t="s">
        <v>1305</v>
      </c>
    </row>
    <row r="148" spans="1:25" hidden="1">
      <c r="A148" s="143"/>
      <c r="J148" s="1" t="str">
        <f t="shared" si="38"/>
        <v>0</v>
      </c>
      <c r="K148" s="3">
        <f t="shared" si="39"/>
        <v>-100</v>
      </c>
      <c r="L148" s="3">
        <f t="shared" si="40"/>
        <v>1</v>
      </c>
      <c r="M148" s="3">
        <f t="shared" si="41"/>
        <v>0</v>
      </c>
      <c r="N148" s="3" t="str">
        <f t="shared" si="42"/>
        <v>01</v>
      </c>
      <c r="O148" s="14" t="str">
        <f t="shared" si="43"/>
        <v>00</v>
      </c>
      <c r="W148"/>
      <c r="X148" s="159"/>
    </row>
    <row r="149" spans="1:25" hidden="1">
      <c r="A149" s="143">
        <v>142</v>
      </c>
      <c r="B149" s="1">
        <f>IF(G149="-",0,IF(G148=G149,1,0))</f>
        <v>0</v>
      </c>
      <c r="C149" s="1">
        <f>+IF(G149="-",0,IF(I149=I148+1,0,(IF(I149=1,0,1))))</f>
        <v>0</v>
      </c>
      <c r="D149" s="1">
        <f>+IF(AND(P149="",Q149=""),1,0)</f>
        <v>0</v>
      </c>
      <c r="E149" s="1">
        <f>IF(U149="",1,0)</f>
        <v>0</v>
      </c>
      <c r="F149" s="1">
        <f>IF(V149="",1,0)</f>
        <v>0</v>
      </c>
      <c r="G149" s="1" t="str">
        <f>IF(H149=0,"-",_xlfn.CONCAT(K149,N149,O149,J149))</f>
        <v>25012001</v>
      </c>
      <c r="H149" s="2">
        <v>45677</v>
      </c>
      <c r="I149" s="113">
        <v>1</v>
      </c>
      <c r="J149" s="1" t="str">
        <f t="shared" si="38"/>
        <v>01</v>
      </c>
      <c r="K149" s="3">
        <f t="shared" si="39"/>
        <v>25</v>
      </c>
      <c r="L149" s="3">
        <f t="shared" si="40"/>
        <v>1</v>
      </c>
      <c r="M149" s="3">
        <f t="shared" si="41"/>
        <v>20</v>
      </c>
      <c r="N149" s="3" t="str">
        <f t="shared" si="42"/>
        <v>01</v>
      </c>
      <c r="O149" s="14">
        <f t="shared" si="43"/>
        <v>20</v>
      </c>
      <c r="P149" s="4">
        <v>18517.2</v>
      </c>
      <c r="T149" s="5" t="s">
        <v>2020</v>
      </c>
      <c r="U149" s="3" t="s">
        <v>29</v>
      </c>
      <c r="V149" s="3" t="s">
        <v>5</v>
      </c>
      <c r="W149" t="s">
        <v>1307</v>
      </c>
      <c r="X149" s="159" t="s">
        <v>1305</v>
      </c>
    </row>
    <row r="150" spans="1:25" hidden="1">
      <c r="A150" s="143"/>
      <c r="G150" s="122"/>
      <c r="H150" s="8"/>
      <c r="J150" s="122" t="str">
        <f t="shared" si="38"/>
        <v>0</v>
      </c>
      <c r="K150" s="56">
        <f t="shared" si="39"/>
        <v>-100</v>
      </c>
      <c r="L150" s="56">
        <f t="shared" si="40"/>
        <v>1</v>
      </c>
      <c r="M150" s="56">
        <f t="shared" si="41"/>
        <v>0</v>
      </c>
      <c r="N150" s="56" t="str">
        <f t="shared" si="42"/>
        <v>01</v>
      </c>
      <c r="O150" s="123" t="str">
        <f t="shared" si="43"/>
        <v>00</v>
      </c>
      <c r="P150" s="53"/>
      <c r="Q150" s="54"/>
      <c r="R150" s="55"/>
      <c r="S150" s="54"/>
      <c r="T150" s="54"/>
      <c r="U150" s="56"/>
      <c r="V150" s="56"/>
      <c r="W150" s="161"/>
      <c r="X150" s="171"/>
    </row>
    <row r="151" spans="1:25" hidden="1">
      <c r="A151" s="143"/>
      <c r="J151" s="1" t="str">
        <f t="shared" si="38"/>
        <v>0</v>
      </c>
      <c r="K151" s="3">
        <f t="shared" si="39"/>
        <v>-100</v>
      </c>
      <c r="L151" s="3">
        <f t="shared" si="40"/>
        <v>1</v>
      </c>
      <c r="M151" s="3">
        <f t="shared" si="41"/>
        <v>0</v>
      </c>
      <c r="N151" s="3" t="str">
        <f t="shared" si="42"/>
        <v>01</v>
      </c>
      <c r="O151" s="14" t="str">
        <f t="shared" si="43"/>
        <v>00</v>
      </c>
      <c r="W151"/>
      <c r="X151" s="159"/>
    </row>
    <row r="152" spans="1:25" hidden="1">
      <c r="A152" s="143"/>
      <c r="J152" s="1" t="str">
        <f t="shared" si="38"/>
        <v>0</v>
      </c>
      <c r="K152" s="3">
        <f t="shared" si="39"/>
        <v>-100</v>
      </c>
      <c r="L152" s="3">
        <f t="shared" si="40"/>
        <v>1</v>
      </c>
      <c r="M152" s="3">
        <f t="shared" si="41"/>
        <v>0</v>
      </c>
      <c r="N152" s="3" t="str">
        <f t="shared" si="42"/>
        <v>01</v>
      </c>
      <c r="O152" s="14" t="str">
        <f t="shared" si="43"/>
        <v>00</v>
      </c>
      <c r="W152"/>
      <c r="X152" s="159"/>
    </row>
    <row r="153" spans="1:25">
      <c r="A153" s="143">
        <v>193</v>
      </c>
      <c r="B153" s="1">
        <f>IF(G153="-",0,IF(G152=G153,1,0))</f>
        <v>0</v>
      </c>
      <c r="C153" s="1">
        <f>+IF(G153="-",0,IF(I153=I152+1,0,(IF(I153=1,0,1))))</f>
        <v>1</v>
      </c>
      <c r="D153" s="1">
        <f>+IF(AND(P153="",Q153=""),1,0)</f>
        <v>0</v>
      </c>
      <c r="E153" s="1">
        <f>IF(U153="",1,0)</f>
        <v>0</v>
      </c>
      <c r="F153" s="1">
        <f>IF(V153="",1,0)</f>
        <v>0</v>
      </c>
      <c r="G153" s="1" t="str">
        <f>IF(H153=0,"-",_xlfn.CONCAT(K153,N153,O153,J153))</f>
        <v>25012005</v>
      </c>
      <c r="H153" s="2">
        <v>45677</v>
      </c>
      <c r="I153" s="113">
        <v>5</v>
      </c>
      <c r="J153" s="1" t="str">
        <f t="shared" si="38"/>
        <v>05</v>
      </c>
      <c r="K153" s="3">
        <f t="shared" si="39"/>
        <v>25</v>
      </c>
      <c r="L153" s="3">
        <f t="shared" si="40"/>
        <v>1</v>
      </c>
      <c r="M153" s="3">
        <f t="shared" si="41"/>
        <v>20</v>
      </c>
      <c r="N153" s="3" t="str">
        <f t="shared" si="42"/>
        <v>01</v>
      </c>
      <c r="O153" s="14">
        <f t="shared" si="43"/>
        <v>20</v>
      </c>
      <c r="P153" s="4">
        <v>200000</v>
      </c>
      <c r="T153" s="5" t="s">
        <v>1570</v>
      </c>
      <c r="U153" s="3" t="s">
        <v>2</v>
      </c>
      <c r="V153" s="3" t="s">
        <v>5</v>
      </c>
      <c r="W153" t="s">
        <v>1306</v>
      </c>
      <c r="X153" s="159" t="s">
        <v>1302</v>
      </c>
    </row>
    <row r="154" spans="1:25" hidden="1">
      <c r="A154" s="143"/>
      <c r="J154" s="1" t="str">
        <f t="shared" si="38"/>
        <v>0</v>
      </c>
      <c r="K154" s="3">
        <f t="shared" si="39"/>
        <v>-100</v>
      </c>
      <c r="L154" s="3">
        <f t="shared" si="40"/>
        <v>1</v>
      </c>
      <c r="M154" s="3">
        <f t="shared" si="41"/>
        <v>0</v>
      </c>
      <c r="N154" s="3" t="str">
        <f t="shared" si="42"/>
        <v>01</v>
      </c>
      <c r="O154" s="14" t="str">
        <f t="shared" si="43"/>
        <v>00</v>
      </c>
      <c r="W154"/>
      <c r="X154" s="159"/>
    </row>
    <row r="155" spans="1:25" hidden="1">
      <c r="A155" s="143">
        <v>268</v>
      </c>
      <c r="B155" s="1">
        <f>IF(G155="-",0,IF(G154=G155,1,0))</f>
        <v>0</v>
      </c>
      <c r="C155" s="1">
        <f>+IF(G155="-",0,IF(I155=I154+1,0,(IF(I155=1,0,1))))</f>
        <v>1</v>
      </c>
      <c r="D155" s="1">
        <f>+IF(AND(P155="",Q155=""),1,0)</f>
        <v>0</v>
      </c>
      <c r="E155" s="1">
        <f t="shared" ref="E155:F157" si="44">IF(U155="",1,0)</f>
        <v>0</v>
      </c>
      <c r="F155" s="1">
        <f t="shared" si="44"/>
        <v>0</v>
      </c>
      <c r="G155" s="1" t="str">
        <f>IF(H155=0,"-",_xlfn.CONCAT(K155,N155,O155,J155))</f>
        <v>25012007</v>
      </c>
      <c r="H155" s="2">
        <v>45677</v>
      </c>
      <c r="I155" s="113">
        <v>7</v>
      </c>
      <c r="J155" s="1" t="str">
        <f t="shared" si="38"/>
        <v>07</v>
      </c>
      <c r="K155" s="3">
        <f t="shared" si="39"/>
        <v>25</v>
      </c>
      <c r="L155" s="3">
        <f t="shared" si="40"/>
        <v>1</v>
      </c>
      <c r="M155" s="3">
        <f t="shared" si="41"/>
        <v>20</v>
      </c>
      <c r="N155" s="3" t="str">
        <f t="shared" si="42"/>
        <v>01</v>
      </c>
      <c r="O155" s="14">
        <f t="shared" si="43"/>
        <v>20</v>
      </c>
      <c r="P155" s="4">
        <v>15007</v>
      </c>
      <c r="T155" s="5" t="s">
        <v>1921</v>
      </c>
      <c r="U155" s="3" t="s">
        <v>29</v>
      </c>
      <c r="V155" s="3" t="s">
        <v>5</v>
      </c>
      <c r="W155" t="s">
        <v>1307</v>
      </c>
      <c r="X155" s="159" t="s">
        <v>1305</v>
      </c>
    </row>
    <row r="156" spans="1:25" hidden="1">
      <c r="A156" s="143">
        <v>144</v>
      </c>
      <c r="B156" s="1">
        <f>IF(G156="-",0,IF(G155=G156,1,0))</f>
        <v>0</v>
      </c>
      <c r="C156" s="1">
        <f>+IF(G156="-",0,IF(I156=I155+1,0,(IF(I156=1,0,1))))</f>
        <v>0</v>
      </c>
      <c r="D156" s="1">
        <f>+IF(AND(P156="",Q156=""),1,0)</f>
        <v>0</v>
      </c>
      <c r="E156" s="1">
        <f t="shared" si="44"/>
        <v>0</v>
      </c>
      <c r="F156" s="1">
        <f t="shared" si="44"/>
        <v>0</v>
      </c>
      <c r="G156" s="1" t="str">
        <f>IF(H156=0,"-",_xlfn.CONCAT(K156,N156,O156,J156))</f>
        <v>25012101</v>
      </c>
      <c r="H156" s="2">
        <v>45678</v>
      </c>
      <c r="I156" s="113">
        <v>1</v>
      </c>
      <c r="J156" s="1" t="str">
        <f t="shared" si="38"/>
        <v>01</v>
      </c>
      <c r="K156" s="3">
        <f t="shared" si="39"/>
        <v>25</v>
      </c>
      <c r="L156" s="3">
        <f t="shared" si="40"/>
        <v>1</v>
      </c>
      <c r="M156" s="3">
        <f t="shared" si="41"/>
        <v>21</v>
      </c>
      <c r="N156" s="3" t="str">
        <f t="shared" si="42"/>
        <v>01</v>
      </c>
      <c r="O156" s="14">
        <f t="shared" si="43"/>
        <v>21</v>
      </c>
      <c r="P156" s="4">
        <v>16602.009999999998</v>
      </c>
      <c r="T156" s="5" t="s">
        <v>2019</v>
      </c>
      <c r="U156" s="3" t="s">
        <v>1406</v>
      </c>
      <c r="V156" s="3" t="s">
        <v>1316</v>
      </c>
      <c r="W156" t="s">
        <v>1306</v>
      </c>
      <c r="X156" s="159" t="s">
        <v>1305</v>
      </c>
    </row>
    <row r="157" spans="1:25">
      <c r="A157" s="143">
        <v>148</v>
      </c>
      <c r="B157" s="1">
        <f>IF(G157="-",0,IF(G156=G157,1,0))</f>
        <v>0</v>
      </c>
      <c r="C157" s="1">
        <f>+IF(G157="-",0,IF(I157=I156+1,0,(IF(I157=1,0,1))))</f>
        <v>0</v>
      </c>
      <c r="D157" s="1">
        <f>+IF(AND(P157="",Q157=""),1,0)</f>
        <v>0</v>
      </c>
      <c r="E157" s="1">
        <f t="shared" si="44"/>
        <v>0</v>
      </c>
      <c r="F157" s="1">
        <f t="shared" si="44"/>
        <v>0</v>
      </c>
      <c r="G157" s="1" t="str">
        <f>IF(H157=0,"-",_xlfn.CONCAT(K157,N157,O157,J157))</f>
        <v>25012102</v>
      </c>
      <c r="H157" s="2">
        <v>45678</v>
      </c>
      <c r="I157" s="113">
        <v>2</v>
      </c>
      <c r="J157" s="1" t="str">
        <f t="shared" si="38"/>
        <v>02</v>
      </c>
      <c r="K157" s="3">
        <f t="shared" si="39"/>
        <v>25</v>
      </c>
      <c r="L157" s="3">
        <f t="shared" si="40"/>
        <v>1</v>
      </c>
      <c r="M157" s="3">
        <f t="shared" si="41"/>
        <v>21</v>
      </c>
      <c r="N157" s="3" t="str">
        <f t="shared" si="42"/>
        <v>01</v>
      </c>
      <c r="O157" s="14">
        <f t="shared" si="43"/>
        <v>21</v>
      </c>
      <c r="P157" s="4">
        <v>909650</v>
      </c>
      <c r="T157" s="5" t="s">
        <v>2018</v>
      </c>
      <c r="U157" s="3" t="s">
        <v>2</v>
      </c>
      <c r="V157" s="3" t="s">
        <v>5</v>
      </c>
      <c r="W157" t="s">
        <v>1306</v>
      </c>
      <c r="X157" s="159" t="s">
        <v>1305</v>
      </c>
    </row>
    <row r="158" spans="1:25" hidden="1">
      <c r="A158" s="143"/>
      <c r="J158" s="1" t="str">
        <f t="shared" si="38"/>
        <v>0</v>
      </c>
      <c r="K158" s="3">
        <f t="shared" si="39"/>
        <v>-100</v>
      </c>
      <c r="L158" s="3">
        <f t="shared" si="40"/>
        <v>1</v>
      </c>
      <c r="M158" s="3">
        <f t="shared" si="41"/>
        <v>0</v>
      </c>
      <c r="N158" s="3" t="str">
        <f t="shared" si="42"/>
        <v>01</v>
      </c>
      <c r="O158" s="14" t="str">
        <f t="shared" si="43"/>
        <v>00</v>
      </c>
      <c r="U158" s="92"/>
      <c r="W158"/>
      <c r="X158" s="159"/>
    </row>
    <row r="159" spans="1:25" hidden="1">
      <c r="A159" s="143"/>
      <c r="J159" s="1" t="str">
        <f t="shared" si="38"/>
        <v>0</v>
      </c>
      <c r="K159" s="3">
        <f t="shared" si="39"/>
        <v>-100</v>
      </c>
      <c r="L159" s="3">
        <f t="shared" si="40"/>
        <v>1</v>
      </c>
      <c r="M159" s="3">
        <f t="shared" si="41"/>
        <v>0</v>
      </c>
      <c r="N159" s="3" t="str">
        <f t="shared" si="42"/>
        <v>01</v>
      </c>
      <c r="O159" s="14" t="str">
        <f t="shared" si="43"/>
        <v>00</v>
      </c>
      <c r="W159"/>
      <c r="X159" s="159"/>
    </row>
    <row r="160" spans="1:25" hidden="1">
      <c r="A160" s="143"/>
      <c r="J160" s="1" t="str">
        <f t="shared" si="38"/>
        <v>0</v>
      </c>
      <c r="K160" s="3">
        <f t="shared" si="39"/>
        <v>-100</v>
      </c>
      <c r="L160" s="3">
        <f t="shared" si="40"/>
        <v>1</v>
      </c>
      <c r="M160" s="3">
        <f t="shared" si="41"/>
        <v>0</v>
      </c>
      <c r="N160" s="3" t="str">
        <f t="shared" si="42"/>
        <v>01</v>
      </c>
      <c r="O160" s="14" t="str">
        <f t="shared" si="43"/>
        <v>00</v>
      </c>
      <c r="W160"/>
      <c r="X160" s="159"/>
    </row>
    <row r="161" spans="1:25" hidden="1">
      <c r="A161" s="143"/>
      <c r="J161" s="1" t="str">
        <f t="shared" si="38"/>
        <v>0</v>
      </c>
      <c r="K161" s="3">
        <f t="shared" si="39"/>
        <v>-100</v>
      </c>
      <c r="L161" s="3">
        <f t="shared" si="40"/>
        <v>1</v>
      </c>
      <c r="M161" s="3">
        <f t="shared" si="41"/>
        <v>0</v>
      </c>
      <c r="N161" s="3" t="str">
        <f t="shared" si="42"/>
        <v>01</v>
      </c>
      <c r="O161" s="14" t="str">
        <f t="shared" si="43"/>
        <v>00</v>
      </c>
      <c r="W161"/>
      <c r="X161" s="159"/>
    </row>
    <row r="162" spans="1:25" hidden="1">
      <c r="A162" s="143"/>
      <c r="J162" s="1" t="str">
        <f t="shared" si="38"/>
        <v>0</v>
      </c>
      <c r="K162" s="3">
        <f t="shared" si="39"/>
        <v>-100</v>
      </c>
      <c r="L162" s="3">
        <f t="shared" si="40"/>
        <v>1</v>
      </c>
      <c r="M162" s="3">
        <f t="shared" si="41"/>
        <v>0</v>
      </c>
      <c r="N162" s="3" t="str">
        <f t="shared" si="42"/>
        <v>01</v>
      </c>
      <c r="O162" s="14" t="str">
        <f t="shared" si="43"/>
        <v>00</v>
      </c>
      <c r="Y162" s="147"/>
    </row>
    <row r="163" spans="1:25" hidden="1">
      <c r="A163" s="143"/>
      <c r="J163" s="1" t="str">
        <f t="shared" si="38"/>
        <v>0</v>
      </c>
      <c r="K163" s="3">
        <f t="shared" si="39"/>
        <v>-100</v>
      </c>
      <c r="L163" s="3">
        <f t="shared" si="40"/>
        <v>1</v>
      </c>
      <c r="M163" s="3">
        <f t="shared" si="41"/>
        <v>0</v>
      </c>
      <c r="N163" s="3" t="str">
        <f t="shared" si="42"/>
        <v>01</v>
      </c>
      <c r="O163" s="14" t="str">
        <f t="shared" si="43"/>
        <v>00</v>
      </c>
      <c r="W163"/>
      <c r="X163" s="159"/>
    </row>
    <row r="164" spans="1:25" hidden="1">
      <c r="A164" s="143"/>
      <c r="J164" s="1" t="str">
        <f t="shared" si="38"/>
        <v>0</v>
      </c>
      <c r="K164" s="3">
        <f t="shared" si="39"/>
        <v>-100</v>
      </c>
      <c r="L164" s="3">
        <f t="shared" si="40"/>
        <v>1</v>
      </c>
      <c r="M164" s="3">
        <f t="shared" si="41"/>
        <v>0</v>
      </c>
      <c r="N164" s="3" t="str">
        <f t="shared" si="42"/>
        <v>01</v>
      </c>
      <c r="O164" s="14" t="str">
        <f t="shared" si="43"/>
        <v>00</v>
      </c>
      <c r="W164"/>
      <c r="X164" s="159"/>
    </row>
    <row r="165" spans="1:25" hidden="1">
      <c r="A165" s="143"/>
      <c r="J165" s="1" t="str">
        <f t="shared" si="38"/>
        <v>0</v>
      </c>
      <c r="K165" s="3">
        <f t="shared" si="39"/>
        <v>-100</v>
      </c>
      <c r="L165" s="3">
        <f t="shared" si="40"/>
        <v>1</v>
      </c>
      <c r="M165" s="3">
        <f t="shared" si="41"/>
        <v>0</v>
      </c>
      <c r="N165" s="3" t="str">
        <f t="shared" si="42"/>
        <v>01</v>
      </c>
      <c r="O165" s="14" t="str">
        <f t="shared" si="43"/>
        <v>00</v>
      </c>
      <c r="W165"/>
      <c r="X165" s="159"/>
    </row>
    <row r="166" spans="1:25" hidden="1">
      <c r="A166" s="143"/>
      <c r="J166" s="1" t="str">
        <f t="shared" si="38"/>
        <v>0</v>
      </c>
      <c r="K166" s="3">
        <f t="shared" si="39"/>
        <v>-100</v>
      </c>
      <c r="L166" s="3">
        <f t="shared" si="40"/>
        <v>1</v>
      </c>
      <c r="M166" s="3">
        <f t="shared" si="41"/>
        <v>0</v>
      </c>
      <c r="N166" s="3" t="str">
        <f t="shared" si="42"/>
        <v>01</v>
      </c>
      <c r="O166" s="14" t="str">
        <f t="shared" si="43"/>
        <v>00</v>
      </c>
      <c r="W166"/>
      <c r="X166" s="159"/>
    </row>
    <row r="167" spans="1:25" hidden="1">
      <c r="A167" s="143"/>
      <c r="J167" s="1" t="str">
        <f t="shared" si="38"/>
        <v>0</v>
      </c>
      <c r="K167" s="3">
        <f t="shared" si="39"/>
        <v>-100</v>
      </c>
      <c r="L167" s="3">
        <f t="shared" si="40"/>
        <v>1</v>
      </c>
      <c r="M167" s="3">
        <f t="shared" si="41"/>
        <v>0</v>
      </c>
      <c r="N167" s="3" t="str">
        <f t="shared" si="42"/>
        <v>01</v>
      </c>
      <c r="O167" s="14" t="str">
        <f t="shared" si="43"/>
        <v>00</v>
      </c>
      <c r="W167"/>
      <c r="X167" s="159"/>
    </row>
    <row r="168" spans="1:25" hidden="1">
      <c r="A168" s="143"/>
      <c r="J168" s="1" t="str">
        <f t="shared" si="38"/>
        <v>0</v>
      </c>
      <c r="K168" s="3">
        <f t="shared" si="39"/>
        <v>-100</v>
      </c>
      <c r="L168" s="3">
        <f t="shared" si="40"/>
        <v>1</v>
      </c>
      <c r="M168" s="3">
        <f t="shared" si="41"/>
        <v>0</v>
      </c>
      <c r="N168" s="3" t="str">
        <f t="shared" si="42"/>
        <v>01</v>
      </c>
      <c r="O168" s="14" t="str">
        <f t="shared" si="43"/>
        <v>00</v>
      </c>
      <c r="W168"/>
      <c r="X168" s="159"/>
    </row>
    <row r="169" spans="1:25" hidden="1">
      <c r="A169" s="143"/>
      <c r="J169" s="1" t="str">
        <f t="shared" si="38"/>
        <v>0</v>
      </c>
      <c r="K169" s="3">
        <f t="shared" si="39"/>
        <v>-100</v>
      </c>
      <c r="L169" s="3">
        <f t="shared" si="40"/>
        <v>1</v>
      </c>
      <c r="M169" s="3">
        <f t="shared" si="41"/>
        <v>0</v>
      </c>
      <c r="N169" s="3" t="str">
        <f t="shared" si="42"/>
        <v>01</v>
      </c>
      <c r="O169" s="14" t="str">
        <f t="shared" si="43"/>
        <v>00</v>
      </c>
    </row>
    <row r="170" spans="1:25">
      <c r="A170" s="143">
        <v>153</v>
      </c>
      <c r="B170" s="1">
        <f t="shared" ref="B170:B176" si="45">IF(G170="-",0,IF(G169=G170,1,0))</f>
        <v>0</v>
      </c>
      <c r="C170" s="1">
        <f t="shared" ref="C170:C176" si="46">+IF(G170="-",0,IF(I170=I169+1,0,(IF(I170=1,0,1))))</f>
        <v>1</v>
      </c>
      <c r="D170" s="1">
        <f t="shared" ref="D170:D176" si="47">+IF(AND(P170="",Q170=""),1,0)</f>
        <v>0</v>
      </c>
      <c r="E170" s="1">
        <f t="shared" ref="E170:F176" si="48">IF(U170="",1,0)</f>
        <v>0</v>
      </c>
      <c r="F170" s="1">
        <f t="shared" si="48"/>
        <v>0</v>
      </c>
      <c r="G170" s="1" t="str">
        <f t="shared" ref="G170:G176" si="49">IF(H170=0,"-",_xlfn.CONCAT(K170,N170,O170,J170))</f>
        <v>25012202</v>
      </c>
      <c r="H170" s="2">
        <v>45679</v>
      </c>
      <c r="I170" s="113">
        <v>2</v>
      </c>
      <c r="J170" s="1" t="str">
        <f t="shared" si="38"/>
        <v>02</v>
      </c>
      <c r="K170" s="3">
        <f t="shared" si="39"/>
        <v>25</v>
      </c>
      <c r="L170" s="3">
        <f t="shared" si="40"/>
        <v>1</v>
      </c>
      <c r="M170" s="3">
        <f t="shared" si="41"/>
        <v>22</v>
      </c>
      <c r="N170" s="3" t="str">
        <f t="shared" si="42"/>
        <v>01</v>
      </c>
      <c r="O170" s="14">
        <f t="shared" si="43"/>
        <v>22</v>
      </c>
      <c r="P170" s="4">
        <v>551647.21</v>
      </c>
      <c r="T170" s="5" t="s">
        <v>2017</v>
      </c>
      <c r="U170" s="3" t="s">
        <v>1</v>
      </c>
      <c r="V170" s="3" t="s">
        <v>5</v>
      </c>
      <c r="W170" t="s">
        <v>1306</v>
      </c>
      <c r="X170" s="159" t="s">
        <v>1305</v>
      </c>
    </row>
    <row r="171" spans="1:25" hidden="1">
      <c r="A171" s="143">
        <v>154</v>
      </c>
      <c r="B171" s="1">
        <f t="shared" si="45"/>
        <v>0</v>
      </c>
      <c r="C171" s="1">
        <f t="shared" si="46"/>
        <v>0</v>
      </c>
      <c r="D171" s="1">
        <f t="shared" si="47"/>
        <v>0</v>
      </c>
      <c r="E171" s="1">
        <f t="shared" si="48"/>
        <v>0</v>
      </c>
      <c r="F171" s="1">
        <f t="shared" si="48"/>
        <v>0</v>
      </c>
      <c r="G171" s="1" t="str">
        <f t="shared" si="49"/>
        <v>25012203</v>
      </c>
      <c r="H171" s="2">
        <v>45679</v>
      </c>
      <c r="I171" s="113">
        <v>3</v>
      </c>
      <c r="J171" s="1" t="str">
        <f t="shared" si="38"/>
        <v>03</v>
      </c>
      <c r="K171" s="3">
        <f t="shared" si="39"/>
        <v>25</v>
      </c>
      <c r="L171" s="3">
        <f t="shared" si="40"/>
        <v>1</v>
      </c>
      <c r="M171" s="3">
        <f t="shared" si="41"/>
        <v>22</v>
      </c>
      <c r="N171" s="3" t="str">
        <f t="shared" si="42"/>
        <v>01</v>
      </c>
      <c r="O171" s="14">
        <f t="shared" si="43"/>
        <v>22</v>
      </c>
      <c r="P171" s="4">
        <v>5099.9799999999996</v>
      </c>
      <c r="T171" s="5" t="s">
        <v>2016</v>
      </c>
      <c r="U171" s="3" t="s">
        <v>29</v>
      </c>
      <c r="V171" s="3" t="s">
        <v>5</v>
      </c>
      <c r="W171" t="s">
        <v>1307</v>
      </c>
      <c r="X171" s="159" t="s">
        <v>1305</v>
      </c>
    </row>
    <row r="172" spans="1:25" hidden="1">
      <c r="A172" s="143">
        <v>155</v>
      </c>
      <c r="B172" s="1">
        <f t="shared" si="45"/>
        <v>0</v>
      </c>
      <c r="C172" s="1">
        <f t="shared" si="46"/>
        <v>0</v>
      </c>
      <c r="D172" s="1">
        <f t="shared" si="47"/>
        <v>0</v>
      </c>
      <c r="E172" s="1">
        <f t="shared" si="48"/>
        <v>0</v>
      </c>
      <c r="F172" s="1">
        <f t="shared" si="48"/>
        <v>0</v>
      </c>
      <c r="G172" s="1" t="str">
        <f t="shared" si="49"/>
        <v>25012204</v>
      </c>
      <c r="H172" s="2">
        <v>45679</v>
      </c>
      <c r="I172" s="113">
        <v>4</v>
      </c>
      <c r="J172" s="1" t="str">
        <f t="shared" si="38"/>
        <v>04</v>
      </c>
      <c r="K172" s="3">
        <f t="shared" si="39"/>
        <v>25</v>
      </c>
      <c r="L172" s="3">
        <f t="shared" si="40"/>
        <v>1</v>
      </c>
      <c r="M172" s="3">
        <f t="shared" si="41"/>
        <v>22</v>
      </c>
      <c r="N172" s="3" t="str">
        <f t="shared" si="42"/>
        <v>01</v>
      </c>
      <c r="O172" s="14">
        <f t="shared" si="43"/>
        <v>22</v>
      </c>
      <c r="P172" s="4">
        <v>78044.02</v>
      </c>
      <c r="T172" s="5" t="s">
        <v>2015</v>
      </c>
      <c r="U172" s="3" t="s">
        <v>29</v>
      </c>
      <c r="V172" s="3" t="s">
        <v>5</v>
      </c>
      <c r="W172" t="s">
        <v>1307</v>
      </c>
      <c r="X172" s="159" t="s">
        <v>1305</v>
      </c>
    </row>
    <row r="173" spans="1:25">
      <c r="A173" s="143">
        <v>156</v>
      </c>
      <c r="B173" s="1">
        <f t="shared" si="45"/>
        <v>0</v>
      </c>
      <c r="C173" s="1">
        <f t="shared" si="46"/>
        <v>0</v>
      </c>
      <c r="D173" s="1">
        <f t="shared" si="47"/>
        <v>0</v>
      </c>
      <c r="E173" s="1">
        <f t="shared" si="48"/>
        <v>0</v>
      </c>
      <c r="F173" s="1">
        <f t="shared" si="48"/>
        <v>0</v>
      </c>
      <c r="G173" s="1" t="str">
        <f t="shared" si="49"/>
        <v>25012205</v>
      </c>
      <c r="H173" s="2">
        <v>45679</v>
      </c>
      <c r="I173" s="113">
        <v>5</v>
      </c>
      <c r="J173" s="1" t="str">
        <f t="shared" si="38"/>
        <v>05</v>
      </c>
      <c r="K173" s="3">
        <f t="shared" si="39"/>
        <v>25</v>
      </c>
      <c r="L173" s="3">
        <f t="shared" si="40"/>
        <v>1</v>
      </c>
      <c r="M173" s="3">
        <f t="shared" si="41"/>
        <v>22</v>
      </c>
      <c r="N173" s="3" t="str">
        <f t="shared" si="42"/>
        <v>01</v>
      </c>
      <c r="O173" s="14">
        <f t="shared" si="43"/>
        <v>22</v>
      </c>
      <c r="P173" s="4">
        <v>246921.27</v>
      </c>
      <c r="T173" s="5" t="s">
        <v>2014</v>
      </c>
      <c r="U173" s="3" t="s">
        <v>1</v>
      </c>
      <c r="V173" s="3" t="s">
        <v>5</v>
      </c>
      <c r="W173" t="s">
        <v>1306</v>
      </c>
      <c r="X173" s="159" t="s">
        <v>1305</v>
      </c>
    </row>
    <row r="174" spans="1:25" hidden="1">
      <c r="A174" s="143">
        <v>157</v>
      </c>
      <c r="B174" s="1">
        <f t="shared" si="45"/>
        <v>0</v>
      </c>
      <c r="C174" s="1">
        <f t="shared" si="46"/>
        <v>0</v>
      </c>
      <c r="D174" s="1">
        <f t="shared" si="47"/>
        <v>0</v>
      </c>
      <c r="E174" s="1">
        <f t="shared" si="48"/>
        <v>0</v>
      </c>
      <c r="F174" s="1">
        <f t="shared" si="48"/>
        <v>0</v>
      </c>
      <c r="G174" s="1" t="str">
        <f t="shared" si="49"/>
        <v>25012206</v>
      </c>
      <c r="H174" s="2">
        <v>45679</v>
      </c>
      <c r="I174" s="113">
        <v>6</v>
      </c>
      <c r="J174" s="1" t="str">
        <f t="shared" si="38"/>
        <v>06</v>
      </c>
      <c r="K174" s="3">
        <f t="shared" si="39"/>
        <v>25</v>
      </c>
      <c r="L174" s="3">
        <f t="shared" si="40"/>
        <v>1</v>
      </c>
      <c r="M174" s="3">
        <f t="shared" si="41"/>
        <v>22</v>
      </c>
      <c r="N174" s="3" t="str">
        <f t="shared" si="42"/>
        <v>01</v>
      </c>
      <c r="O174" s="14">
        <f t="shared" si="43"/>
        <v>22</v>
      </c>
      <c r="P174" s="4">
        <v>78044.02</v>
      </c>
      <c r="T174" s="5" t="s">
        <v>2013</v>
      </c>
      <c r="U174" s="3" t="s">
        <v>29</v>
      </c>
      <c r="V174" s="3" t="s">
        <v>5</v>
      </c>
      <c r="W174" t="s">
        <v>1326</v>
      </c>
      <c r="X174" s="159" t="s">
        <v>1305</v>
      </c>
    </row>
    <row r="175" spans="1:25" hidden="1">
      <c r="A175" s="143">
        <v>158</v>
      </c>
      <c r="B175" s="1">
        <f t="shared" si="45"/>
        <v>0</v>
      </c>
      <c r="C175" s="1">
        <f t="shared" si="46"/>
        <v>0</v>
      </c>
      <c r="D175" s="1">
        <f t="shared" si="47"/>
        <v>0</v>
      </c>
      <c r="E175" s="1">
        <f t="shared" si="48"/>
        <v>0</v>
      </c>
      <c r="F175" s="1">
        <f t="shared" si="48"/>
        <v>0</v>
      </c>
      <c r="G175" s="1" t="str">
        <f t="shared" si="49"/>
        <v>25012207</v>
      </c>
      <c r="H175" s="2">
        <v>45679</v>
      </c>
      <c r="I175" s="113">
        <v>7</v>
      </c>
      <c r="J175" s="1" t="str">
        <f t="shared" si="38"/>
        <v>07</v>
      </c>
      <c r="K175" s="3">
        <f t="shared" si="39"/>
        <v>25</v>
      </c>
      <c r="L175" s="3">
        <f t="shared" si="40"/>
        <v>1</v>
      </c>
      <c r="M175" s="3">
        <f t="shared" si="41"/>
        <v>22</v>
      </c>
      <c r="N175" s="3" t="str">
        <f t="shared" si="42"/>
        <v>01</v>
      </c>
      <c r="O175" s="14">
        <f t="shared" si="43"/>
        <v>22</v>
      </c>
      <c r="P175" s="4">
        <v>280.06</v>
      </c>
      <c r="T175" s="5" t="s">
        <v>2012</v>
      </c>
      <c r="U175" s="3" t="s">
        <v>29</v>
      </c>
      <c r="V175" s="3" t="s">
        <v>4</v>
      </c>
      <c r="W175" t="s">
        <v>1326</v>
      </c>
      <c r="X175" s="159" t="s">
        <v>1305</v>
      </c>
    </row>
    <row r="176" spans="1:25" hidden="1">
      <c r="A176" s="143">
        <v>159</v>
      </c>
      <c r="B176" s="1">
        <f t="shared" si="45"/>
        <v>0</v>
      </c>
      <c r="C176" s="1">
        <f t="shared" si="46"/>
        <v>0</v>
      </c>
      <c r="D176" s="1">
        <f t="shared" si="47"/>
        <v>0</v>
      </c>
      <c r="E176" s="1">
        <f t="shared" si="48"/>
        <v>0</v>
      </c>
      <c r="F176" s="1">
        <f t="shared" si="48"/>
        <v>0</v>
      </c>
      <c r="G176" s="1" t="str">
        <f t="shared" si="49"/>
        <v>25012208</v>
      </c>
      <c r="H176" s="2">
        <v>45679</v>
      </c>
      <c r="I176" s="113">
        <v>8</v>
      </c>
      <c r="J176" s="1" t="str">
        <f t="shared" si="38"/>
        <v>08</v>
      </c>
      <c r="K176" s="3">
        <f t="shared" si="39"/>
        <v>25</v>
      </c>
      <c r="L176" s="3">
        <f t="shared" si="40"/>
        <v>1</v>
      </c>
      <c r="M176" s="3">
        <f t="shared" si="41"/>
        <v>22</v>
      </c>
      <c r="N176" s="3" t="str">
        <f t="shared" si="42"/>
        <v>01</v>
      </c>
      <c r="O176" s="14">
        <f t="shared" si="43"/>
        <v>22</v>
      </c>
      <c r="P176" s="4">
        <v>21568.99</v>
      </c>
      <c r="T176" s="5" t="s">
        <v>2011</v>
      </c>
      <c r="U176" s="3" t="s">
        <v>29</v>
      </c>
      <c r="V176" s="3" t="s">
        <v>5</v>
      </c>
      <c r="W176" t="s">
        <v>1326</v>
      </c>
      <c r="X176" s="159" t="s">
        <v>1305</v>
      </c>
    </row>
    <row r="177" spans="1:25" hidden="1">
      <c r="A177" s="143"/>
      <c r="J177" s="1" t="str">
        <f t="shared" si="38"/>
        <v>0</v>
      </c>
      <c r="K177" s="3">
        <f t="shared" si="39"/>
        <v>-100</v>
      </c>
      <c r="L177" s="3">
        <f t="shared" si="40"/>
        <v>1</v>
      </c>
      <c r="M177" s="3">
        <f t="shared" si="41"/>
        <v>0</v>
      </c>
      <c r="N177" s="3" t="str">
        <f t="shared" si="42"/>
        <v>01</v>
      </c>
      <c r="O177" s="14" t="str">
        <f t="shared" si="43"/>
        <v>00</v>
      </c>
      <c r="W177"/>
      <c r="X177" s="159"/>
    </row>
    <row r="178" spans="1:25">
      <c r="A178" s="143">
        <v>195</v>
      </c>
      <c r="B178" s="1">
        <f>IF(G178="-",0,IF(G177=G178,1,0))</f>
        <v>0</v>
      </c>
      <c r="C178" s="1">
        <f>+IF(G178="-",0,IF(I178=I177+1,0,(IF(I178=1,0,1))))</f>
        <v>1</v>
      </c>
      <c r="D178" s="1">
        <f>+IF(AND(P178="",Q178=""),1,0)</f>
        <v>0</v>
      </c>
      <c r="E178" s="1">
        <f>IF(U178="",1,0)</f>
        <v>1</v>
      </c>
      <c r="F178" s="1">
        <f>IF(V178="",1,0)</f>
        <v>0</v>
      </c>
      <c r="G178" s="1" t="str">
        <f>IF(H178=0,"-",_xlfn.CONCAT(K178,N178,O178,J178))</f>
        <v>25012210</v>
      </c>
      <c r="H178" s="2">
        <v>45679</v>
      </c>
      <c r="I178" s="113">
        <v>10</v>
      </c>
      <c r="J178" s="1">
        <f t="shared" si="38"/>
        <v>10</v>
      </c>
      <c r="K178" s="3">
        <f t="shared" si="39"/>
        <v>25</v>
      </c>
      <c r="L178" s="3">
        <f t="shared" si="40"/>
        <v>1</v>
      </c>
      <c r="M178" s="3">
        <f t="shared" si="41"/>
        <v>22</v>
      </c>
      <c r="N178" s="3" t="str">
        <f t="shared" si="42"/>
        <v>01</v>
      </c>
      <c r="O178" s="14">
        <f t="shared" si="43"/>
        <v>22</v>
      </c>
      <c r="P178" s="4">
        <v>1215993</v>
      </c>
      <c r="T178" s="5" t="s">
        <v>2010</v>
      </c>
      <c r="V178" s="3" t="s">
        <v>5</v>
      </c>
      <c r="W178" t="s">
        <v>1303</v>
      </c>
      <c r="X178" s="159" t="s">
        <v>1302</v>
      </c>
      <c r="Y178" s="141" t="s">
        <v>2009</v>
      </c>
    </row>
    <row r="179" spans="1:25" hidden="1">
      <c r="A179" s="143"/>
      <c r="J179" s="1" t="str">
        <f t="shared" si="38"/>
        <v>0</v>
      </c>
      <c r="K179" s="3">
        <f t="shared" si="39"/>
        <v>-100</v>
      </c>
      <c r="L179" s="3">
        <f t="shared" si="40"/>
        <v>1</v>
      </c>
      <c r="M179" s="3">
        <f t="shared" si="41"/>
        <v>0</v>
      </c>
      <c r="N179" s="3" t="str">
        <f t="shared" si="42"/>
        <v>01</v>
      </c>
      <c r="O179" s="14" t="str">
        <f t="shared" si="43"/>
        <v>00</v>
      </c>
      <c r="W179"/>
      <c r="X179" s="159"/>
    </row>
    <row r="180" spans="1:25" hidden="1">
      <c r="A180" s="143"/>
      <c r="J180" s="1" t="str">
        <f t="shared" si="38"/>
        <v>0</v>
      </c>
      <c r="K180" s="3">
        <f t="shared" si="39"/>
        <v>-100</v>
      </c>
      <c r="L180" s="3">
        <f t="shared" si="40"/>
        <v>1</v>
      </c>
      <c r="M180" s="3">
        <f t="shared" si="41"/>
        <v>0</v>
      </c>
      <c r="N180" s="3" t="str">
        <f t="shared" si="42"/>
        <v>01</v>
      </c>
      <c r="O180" s="14" t="str">
        <f t="shared" si="43"/>
        <v>00</v>
      </c>
      <c r="P180" s="170"/>
      <c r="T180" s="169"/>
      <c r="W180"/>
      <c r="X180" s="159"/>
    </row>
    <row r="181" spans="1:25" hidden="1">
      <c r="A181" s="143"/>
      <c r="J181" s="1" t="str">
        <f t="shared" si="38"/>
        <v>0</v>
      </c>
      <c r="K181" s="3">
        <f t="shared" si="39"/>
        <v>-100</v>
      </c>
      <c r="L181" s="3">
        <f t="shared" si="40"/>
        <v>1</v>
      </c>
      <c r="M181" s="3">
        <f t="shared" si="41"/>
        <v>0</v>
      </c>
      <c r="N181" s="3" t="str">
        <f t="shared" si="42"/>
        <v>01</v>
      </c>
      <c r="O181" s="14" t="str">
        <f t="shared" si="43"/>
        <v>00</v>
      </c>
      <c r="P181" s="170"/>
      <c r="T181" s="169"/>
      <c r="W181"/>
      <c r="X181" s="159"/>
    </row>
    <row r="182" spans="1:25" hidden="1">
      <c r="A182" s="143"/>
      <c r="J182" s="1" t="str">
        <f t="shared" si="38"/>
        <v>0</v>
      </c>
      <c r="K182" s="3">
        <f t="shared" si="39"/>
        <v>-100</v>
      </c>
      <c r="L182" s="3">
        <f t="shared" si="40"/>
        <v>1</v>
      </c>
      <c r="M182" s="3">
        <f t="shared" si="41"/>
        <v>0</v>
      </c>
      <c r="N182" s="3" t="str">
        <f t="shared" si="42"/>
        <v>01</v>
      </c>
      <c r="O182" s="14" t="str">
        <f t="shared" si="43"/>
        <v>00</v>
      </c>
      <c r="W182"/>
      <c r="X182" s="159"/>
    </row>
    <row r="183" spans="1:25" hidden="1">
      <c r="A183" s="143"/>
      <c r="J183" s="1" t="str">
        <f t="shared" si="38"/>
        <v>0</v>
      </c>
      <c r="K183" s="3">
        <f t="shared" si="39"/>
        <v>-100</v>
      </c>
      <c r="L183" s="3">
        <f t="shared" si="40"/>
        <v>1</v>
      </c>
      <c r="M183" s="3">
        <f t="shared" si="41"/>
        <v>0</v>
      </c>
      <c r="N183" s="3" t="str">
        <f t="shared" si="42"/>
        <v>01</v>
      </c>
      <c r="O183" s="14" t="str">
        <f t="shared" si="43"/>
        <v>00</v>
      </c>
      <c r="P183" s="87"/>
      <c r="T183" s="168"/>
      <c r="W183"/>
      <c r="X183" s="159"/>
    </row>
    <row r="184" spans="1:25" hidden="1">
      <c r="A184" s="143"/>
      <c r="J184" s="1" t="str">
        <f t="shared" si="38"/>
        <v>0</v>
      </c>
      <c r="K184" s="3">
        <f t="shared" si="39"/>
        <v>-100</v>
      </c>
      <c r="L184" s="3">
        <f t="shared" si="40"/>
        <v>1</v>
      </c>
      <c r="M184" s="3">
        <f t="shared" si="41"/>
        <v>0</v>
      </c>
      <c r="N184" s="3" t="str">
        <f t="shared" si="42"/>
        <v>01</v>
      </c>
      <c r="O184" s="14" t="str">
        <f t="shared" si="43"/>
        <v>00</v>
      </c>
      <c r="P184" s="87"/>
      <c r="T184" s="168"/>
      <c r="W184"/>
      <c r="X184" s="159"/>
    </row>
    <row r="185" spans="1:25" hidden="1">
      <c r="A185" s="143"/>
      <c r="J185" s="1" t="str">
        <f t="shared" si="38"/>
        <v>0</v>
      </c>
      <c r="K185" s="3">
        <f t="shared" si="39"/>
        <v>-100</v>
      </c>
      <c r="L185" s="3">
        <f t="shared" si="40"/>
        <v>1</v>
      </c>
      <c r="M185" s="3">
        <f t="shared" si="41"/>
        <v>0</v>
      </c>
      <c r="N185" s="3" t="str">
        <f t="shared" si="42"/>
        <v>01</v>
      </c>
      <c r="O185" s="14" t="str">
        <f t="shared" si="43"/>
        <v>00</v>
      </c>
      <c r="W185"/>
      <c r="X185" s="159"/>
      <c r="Y185" s="167"/>
    </row>
    <row r="186" spans="1:25" hidden="1">
      <c r="A186" s="143">
        <v>269</v>
      </c>
      <c r="B186" s="1">
        <f>IF(G186="-",0,IF(G185=G186,1,0))</f>
        <v>0</v>
      </c>
      <c r="C186" s="1">
        <f>+IF(G186="-",0,IF(I186=I185+1,0,(IF(I186=1,0,1))))</f>
        <v>1</v>
      </c>
      <c r="D186" s="1">
        <f>+IF(AND(P186="",Q186=""),1,0)</f>
        <v>0</v>
      </c>
      <c r="E186" s="1">
        <f t="shared" ref="E186:F189" si="50">IF(U186="",1,0)</f>
        <v>0</v>
      </c>
      <c r="F186" s="1">
        <f t="shared" si="50"/>
        <v>0</v>
      </c>
      <c r="G186" s="1" t="str">
        <f>IF(H186=0,"-",_xlfn.CONCAT(K186,N186,O186,J186))</f>
        <v>25012218</v>
      </c>
      <c r="H186" s="2">
        <v>45679</v>
      </c>
      <c r="I186" s="113">
        <v>18</v>
      </c>
      <c r="J186" s="1">
        <f t="shared" si="38"/>
        <v>18</v>
      </c>
      <c r="K186" s="3">
        <f t="shared" si="39"/>
        <v>25</v>
      </c>
      <c r="L186" s="3">
        <f t="shared" si="40"/>
        <v>1</v>
      </c>
      <c r="M186" s="3">
        <f t="shared" si="41"/>
        <v>22</v>
      </c>
      <c r="N186" s="3" t="str">
        <f t="shared" si="42"/>
        <v>01</v>
      </c>
      <c r="O186" s="14">
        <f t="shared" si="43"/>
        <v>22</v>
      </c>
      <c r="P186" s="4">
        <v>15000</v>
      </c>
      <c r="T186" s="5" t="s">
        <v>1921</v>
      </c>
      <c r="U186" s="3" t="s">
        <v>29</v>
      </c>
      <c r="V186" s="3" t="s">
        <v>5</v>
      </c>
      <c r="W186" t="s">
        <v>1307</v>
      </c>
      <c r="X186" s="159" t="s">
        <v>1305</v>
      </c>
    </row>
    <row r="187" spans="1:25" hidden="1">
      <c r="A187" s="143">
        <v>160</v>
      </c>
      <c r="B187" s="1">
        <f>IF(G187="-",0,IF(G186=G187,1,0))</f>
        <v>0</v>
      </c>
      <c r="C187" s="1">
        <f>+IF(G187="-",0,IF(I187=I186+1,0,(IF(I187=1,0,1))))</f>
        <v>0</v>
      </c>
      <c r="D187" s="1">
        <f>+IF(AND(P187="",Q187=""),1,0)</f>
        <v>0</v>
      </c>
      <c r="E187" s="1">
        <f t="shared" si="50"/>
        <v>0</v>
      </c>
      <c r="F187" s="1">
        <f t="shared" si="50"/>
        <v>0</v>
      </c>
      <c r="G187" s="1" t="str">
        <f>IF(H187=0,"-",_xlfn.CONCAT(K187,N187,O187,J187))</f>
        <v>25012301</v>
      </c>
      <c r="H187" s="2">
        <v>45680</v>
      </c>
      <c r="I187" s="113">
        <v>1</v>
      </c>
      <c r="J187" s="1" t="str">
        <f t="shared" si="38"/>
        <v>01</v>
      </c>
      <c r="K187" s="3">
        <f t="shared" si="39"/>
        <v>25</v>
      </c>
      <c r="L187" s="3">
        <f t="shared" si="40"/>
        <v>1</v>
      </c>
      <c r="M187" s="3">
        <f t="shared" si="41"/>
        <v>23</v>
      </c>
      <c r="N187" s="3" t="str">
        <f t="shared" si="42"/>
        <v>01</v>
      </c>
      <c r="O187" s="14">
        <f t="shared" si="43"/>
        <v>23</v>
      </c>
      <c r="P187" s="4">
        <v>6915.6</v>
      </c>
      <c r="T187" s="5" t="s">
        <v>2008</v>
      </c>
      <c r="U187" s="3" t="s">
        <v>29</v>
      </c>
      <c r="V187" s="3" t="s">
        <v>5</v>
      </c>
      <c r="W187" t="s">
        <v>1306</v>
      </c>
      <c r="X187" s="159" t="s">
        <v>1305</v>
      </c>
    </row>
    <row r="188" spans="1:25" hidden="1">
      <c r="A188" s="143">
        <v>161</v>
      </c>
      <c r="B188" s="1">
        <f>IF(G188="-",0,IF(G187=G188,1,0))</f>
        <v>0</v>
      </c>
      <c r="C188" s="1">
        <f>+IF(G188="-",0,IF(I188=I187+1,0,(IF(I188=1,0,1))))</f>
        <v>0</v>
      </c>
      <c r="D188" s="1">
        <f>+IF(AND(P188="",Q188=""),1,0)</f>
        <v>0</v>
      </c>
      <c r="E188" s="1">
        <f t="shared" si="50"/>
        <v>0</v>
      </c>
      <c r="F188" s="1">
        <f t="shared" si="50"/>
        <v>0</v>
      </c>
      <c r="G188" s="1" t="str">
        <f>IF(H188=0,"-",_xlfn.CONCAT(K188,N188,O188,J188))</f>
        <v>25012302</v>
      </c>
      <c r="H188" s="2">
        <v>45680</v>
      </c>
      <c r="I188" s="113">
        <v>2</v>
      </c>
      <c r="J188" s="1" t="str">
        <f t="shared" si="38"/>
        <v>02</v>
      </c>
      <c r="K188" s="3">
        <f t="shared" si="39"/>
        <v>25</v>
      </c>
      <c r="L188" s="3">
        <f t="shared" si="40"/>
        <v>1</v>
      </c>
      <c r="M188" s="3">
        <f t="shared" si="41"/>
        <v>23</v>
      </c>
      <c r="N188" s="3" t="str">
        <f t="shared" si="42"/>
        <v>01</v>
      </c>
      <c r="O188" s="14">
        <f t="shared" si="43"/>
        <v>23</v>
      </c>
      <c r="P188" s="4">
        <v>2784.32</v>
      </c>
      <c r="T188" s="5" t="s">
        <v>2007</v>
      </c>
      <c r="U188" s="3" t="s">
        <v>29</v>
      </c>
      <c r="V188" s="3" t="s">
        <v>5</v>
      </c>
      <c r="W188" t="s">
        <v>1306</v>
      </c>
      <c r="X188" s="159" t="s">
        <v>1305</v>
      </c>
    </row>
    <row r="189" spans="1:25">
      <c r="A189" s="143">
        <v>162</v>
      </c>
      <c r="B189" s="1">
        <f>IF(G189="-",0,IF(G188=G189,1,0))</f>
        <v>0</v>
      </c>
      <c r="C189" s="1">
        <f>+IF(G189="-",0,IF(I189=I188+1,0,(IF(I189=1,0,1))))</f>
        <v>0</v>
      </c>
      <c r="D189" s="1">
        <f>+IF(AND(P189="",Q189=""),1,0)</f>
        <v>0</v>
      </c>
      <c r="E189" s="1">
        <f t="shared" si="50"/>
        <v>1</v>
      </c>
      <c r="F189" s="1">
        <f t="shared" si="50"/>
        <v>0</v>
      </c>
      <c r="G189" s="1" t="str">
        <f>IF(H189=0,"-",_xlfn.CONCAT(K189,N189,O189,J189))</f>
        <v>25012303</v>
      </c>
      <c r="H189" s="2">
        <v>45680</v>
      </c>
      <c r="I189" s="113">
        <v>3</v>
      </c>
      <c r="J189" s="1" t="str">
        <f t="shared" si="38"/>
        <v>03</v>
      </c>
      <c r="K189" s="3">
        <f t="shared" si="39"/>
        <v>25</v>
      </c>
      <c r="L189" s="3">
        <f t="shared" si="40"/>
        <v>1</v>
      </c>
      <c r="M189" s="3">
        <f t="shared" si="41"/>
        <v>23</v>
      </c>
      <c r="N189" s="3" t="str">
        <f t="shared" si="42"/>
        <v>01</v>
      </c>
      <c r="O189" s="14">
        <f t="shared" si="43"/>
        <v>23</v>
      </c>
      <c r="P189" s="4">
        <v>447013.88</v>
      </c>
      <c r="T189" s="5" t="s">
        <v>2006</v>
      </c>
      <c r="V189" s="3" t="s">
        <v>5</v>
      </c>
      <c r="W189"/>
      <c r="X189" s="159" t="s">
        <v>1305</v>
      </c>
      <c r="Y189" s="141" t="s">
        <v>2005</v>
      </c>
    </row>
    <row r="190" spans="1:25" hidden="1">
      <c r="A190" s="143"/>
      <c r="J190" s="1" t="str">
        <f t="shared" si="38"/>
        <v>0</v>
      </c>
      <c r="K190" s="3">
        <f t="shared" si="39"/>
        <v>-100</v>
      </c>
      <c r="L190" s="3">
        <f t="shared" si="40"/>
        <v>1</v>
      </c>
      <c r="M190" s="3">
        <f t="shared" si="41"/>
        <v>0</v>
      </c>
      <c r="N190" s="3" t="str">
        <f t="shared" si="42"/>
        <v>01</v>
      </c>
      <c r="O190" s="14" t="str">
        <f t="shared" si="43"/>
        <v>00</v>
      </c>
      <c r="W190"/>
      <c r="X190" s="159"/>
    </row>
    <row r="191" spans="1:25" hidden="1">
      <c r="A191" s="143">
        <v>164</v>
      </c>
      <c r="B191" s="1">
        <f>IF(G191="-",0,IF(G190=G191,1,0))</f>
        <v>0</v>
      </c>
      <c r="C191" s="1">
        <f>+IF(G191="-",0,IF(I191=I190+1,0,(IF(I191=1,0,1))))</f>
        <v>1</v>
      </c>
      <c r="D191" s="1">
        <f>+IF(AND(P191="",Q191=""),1,0)</f>
        <v>0</v>
      </c>
      <c r="E191" s="1">
        <f t="shared" ref="E191:F193" si="51">IF(U191="",1,0)</f>
        <v>0</v>
      </c>
      <c r="F191" s="1">
        <f t="shared" si="51"/>
        <v>0</v>
      </c>
      <c r="G191" s="1" t="str">
        <f>IF(H191=0,"-",_xlfn.CONCAT(K191,N191,O191,J191))</f>
        <v>25012305</v>
      </c>
      <c r="H191" s="2">
        <v>45680</v>
      </c>
      <c r="I191" s="113">
        <v>5</v>
      </c>
      <c r="J191" s="1" t="str">
        <f t="shared" si="38"/>
        <v>05</v>
      </c>
      <c r="K191" s="3">
        <f t="shared" si="39"/>
        <v>25</v>
      </c>
      <c r="L191" s="3">
        <f t="shared" si="40"/>
        <v>1</v>
      </c>
      <c r="M191" s="3">
        <f t="shared" si="41"/>
        <v>23</v>
      </c>
      <c r="N191" s="3" t="str">
        <f t="shared" si="42"/>
        <v>01</v>
      </c>
      <c r="O191" s="14">
        <f t="shared" si="43"/>
        <v>23</v>
      </c>
      <c r="P191" s="4">
        <v>31100.01</v>
      </c>
      <c r="T191" s="5" t="s">
        <v>352</v>
      </c>
      <c r="U191" s="3" t="s">
        <v>30</v>
      </c>
      <c r="V191" s="3" t="s">
        <v>1312</v>
      </c>
      <c r="W191" t="s">
        <v>1307</v>
      </c>
      <c r="X191" s="159" t="s">
        <v>1305</v>
      </c>
    </row>
    <row r="192" spans="1:25">
      <c r="A192" s="143">
        <v>197</v>
      </c>
      <c r="B192" s="1">
        <f>IF(G192="-",0,IF(G191=G192,1,0))</f>
        <v>0</v>
      </c>
      <c r="C192" s="1">
        <f>+IF(G192="-",0,IF(I192=I191+1,0,(IF(I192=1,0,1))))</f>
        <v>0</v>
      </c>
      <c r="D192" s="1">
        <f>+IF(AND(P192="",Q192=""),1,0)</f>
        <v>0</v>
      </c>
      <c r="E192" s="1">
        <f t="shared" si="51"/>
        <v>0</v>
      </c>
      <c r="F192" s="1">
        <f t="shared" si="51"/>
        <v>0</v>
      </c>
      <c r="G192" s="1" t="str">
        <f>IF(H192=0,"-",_xlfn.CONCAT(K192,N192,O192,J192))</f>
        <v>25012306</v>
      </c>
      <c r="H192" s="2">
        <v>45680</v>
      </c>
      <c r="I192" s="113">
        <v>6</v>
      </c>
      <c r="J192" s="1" t="str">
        <f t="shared" si="38"/>
        <v>06</v>
      </c>
      <c r="K192" s="3">
        <f t="shared" si="39"/>
        <v>25</v>
      </c>
      <c r="L192" s="3">
        <f t="shared" si="40"/>
        <v>1</v>
      </c>
      <c r="M192" s="3">
        <f t="shared" si="41"/>
        <v>23</v>
      </c>
      <c r="N192" s="3" t="str">
        <f t="shared" si="42"/>
        <v>01</v>
      </c>
      <c r="O192" s="14">
        <f t="shared" si="43"/>
        <v>23</v>
      </c>
      <c r="P192" s="4">
        <f>287635.29+1539</f>
        <v>289174.28999999998</v>
      </c>
      <c r="T192" s="5" t="s">
        <v>2004</v>
      </c>
      <c r="U192" s="3" t="s">
        <v>1</v>
      </c>
      <c r="V192" s="3" t="s">
        <v>5</v>
      </c>
      <c r="W192" t="s">
        <v>1306</v>
      </c>
      <c r="X192" s="159" t="s">
        <v>1302</v>
      </c>
      <c r="Y192" s="141" t="s">
        <v>72</v>
      </c>
    </row>
    <row r="193" spans="1:25">
      <c r="A193" s="143">
        <v>198</v>
      </c>
      <c r="B193" s="1">
        <f>IF(G193="-",0,IF(G192=G193,1,0))</f>
        <v>0</v>
      </c>
      <c r="C193" s="1">
        <f>+IF(G193="-",0,IF(I193=I192+1,0,(IF(I193=1,0,1))))</f>
        <v>0</v>
      </c>
      <c r="D193" s="1">
        <f>+IF(AND(P193="",Q193=""),1,0)</f>
        <v>0</v>
      </c>
      <c r="E193" s="1">
        <f t="shared" si="51"/>
        <v>0</v>
      </c>
      <c r="F193" s="1">
        <f t="shared" si="51"/>
        <v>0</v>
      </c>
      <c r="G193" s="1" t="str">
        <f>IF(H193=0,"-",_xlfn.CONCAT(K193,N193,O193,J193))</f>
        <v>25012307</v>
      </c>
      <c r="H193" s="2">
        <v>45680</v>
      </c>
      <c r="I193" s="113">
        <v>7</v>
      </c>
      <c r="J193" s="1" t="str">
        <f t="shared" si="38"/>
        <v>07</v>
      </c>
      <c r="K193" s="3">
        <f t="shared" si="39"/>
        <v>25</v>
      </c>
      <c r="L193" s="3">
        <f t="shared" si="40"/>
        <v>1</v>
      </c>
      <c r="M193" s="3">
        <f t="shared" si="41"/>
        <v>23</v>
      </c>
      <c r="N193" s="3" t="str">
        <f t="shared" si="42"/>
        <v>01</v>
      </c>
      <c r="O193" s="14">
        <f t="shared" si="43"/>
        <v>23</v>
      </c>
      <c r="P193" s="4">
        <v>151873.67000000001</v>
      </c>
      <c r="T193" s="5" t="s">
        <v>2003</v>
      </c>
      <c r="U193" s="3" t="s">
        <v>1</v>
      </c>
      <c r="V193" s="3" t="s">
        <v>5</v>
      </c>
      <c r="W193" t="s">
        <v>1306</v>
      </c>
      <c r="X193" s="159" t="s">
        <v>1305</v>
      </c>
      <c r="Y193" s="141" t="s">
        <v>72</v>
      </c>
    </row>
    <row r="194" spans="1:25" hidden="1">
      <c r="A194" s="143"/>
      <c r="J194" s="1" t="str">
        <f t="shared" si="38"/>
        <v>0</v>
      </c>
      <c r="K194" s="3">
        <f t="shared" si="39"/>
        <v>-100</v>
      </c>
      <c r="L194" s="3">
        <f t="shared" si="40"/>
        <v>1</v>
      </c>
      <c r="M194" s="3">
        <f t="shared" si="41"/>
        <v>0</v>
      </c>
      <c r="N194" s="3" t="str">
        <f t="shared" si="42"/>
        <v>01</v>
      </c>
      <c r="O194" s="14" t="str">
        <f t="shared" si="43"/>
        <v>00</v>
      </c>
      <c r="W194"/>
      <c r="X194" s="159"/>
    </row>
    <row r="195" spans="1:25" hidden="1">
      <c r="A195" s="143"/>
      <c r="J195" s="1" t="str">
        <f t="shared" si="38"/>
        <v>0</v>
      </c>
      <c r="K195" s="3">
        <f t="shared" si="39"/>
        <v>-100</v>
      </c>
      <c r="L195" s="3">
        <f t="shared" si="40"/>
        <v>1</v>
      </c>
      <c r="M195" s="3">
        <f t="shared" si="41"/>
        <v>0</v>
      </c>
      <c r="N195" s="3" t="str">
        <f t="shared" si="42"/>
        <v>01</v>
      </c>
      <c r="O195" s="14" t="str">
        <f t="shared" si="43"/>
        <v>00</v>
      </c>
      <c r="W195"/>
      <c r="X195" s="159"/>
    </row>
    <row r="196" spans="1:25" hidden="1">
      <c r="A196" s="143"/>
      <c r="J196" s="1" t="str">
        <f t="shared" si="38"/>
        <v>0</v>
      </c>
      <c r="K196" s="3">
        <f t="shared" si="39"/>
        <v>-100</v>
      </c>
      <c r="L196" s="3">
        <f t="shared" si="40"/>
        <v>1</v>
      </c>
      <c r="M196" s="3">
        <f t="shared" si="41"/>
        <v>0</v>
      </c>
      <c r="N196" s="3" t="str">
        <f t="shared" si="42"/>
        <v>01</v>
      </c>
      <c r="O196" s="14" t="str">
        <f t="shared" si="43"/>
        <v>00</v>
      </c>
      <c r="W196"/>
      <c r="X196" s="159"/>
    </row>
    <row r="197" spans="1:25" hidden="1">
      <c r="A197" s="143"/>
      <c r="J197" s="1" t="str">
        <f t="shared" si="38"/>
        <v>0</v>
      </c>
      <c r="K197" s="3">
        <f t="shared" si="39"/>
        <v>-100</v>
      </c>
      <c r="L197" s="3">
        <f t="shared" si="40"/>
        <v>1</v>
      </c>
      <c r="M197" s="3">
        <f t="shared" si="41"/>
        <v>0</v>
      </c>
      <c r="N197" s="3" t="str">
        <f t="shared" si="42"/>
        <v>01</v>
      </c>
      <c r="O197" s="14" t="str">
        <f t="shared" si="43"/>
        <v>00</v>
      </c>
      <c r="W197"/>
      <c r="X197" s="159"/>
    </row>
    <row r="198" spans="1:25" hidden="1">
      <c r="A198" s="143"/>
      <c r="J198" s="1" t="str">
        <f t="shared" si="38"/>
        <v>0</v>
      </c>
      <c r="K198" s="3">
        <f t="shared" si="39"/>
        <v>-100</v>
      </c>
      <c r="L198" s="3">
        <f t="shared" si="40"/>
        <v>1</v>
      </c>
      <c r="M198" s="3">
        <f t="shared" si="41"/>
        <v>0</v>
      </c>
      <c r="N198" s="3" t="str">
        <f t="shared" si="42"/>
        <v>01</v>
      </c>
      <c r="O198" s="14" t="str">
        <f t="shared" si="43"/>
        <v>00</v>
      </c>
      <c r="W198"/>
      <c r="X198" s="159"/>
    </row>
    <row r="199" spans="1:25" hidden="1">
      <c r="A199" s="143">
        <v>390</v>
      </c>
      <c r="B199" s="1">
        <f>IF(G199="-",0,IF(G198=G199,1,0))</f>
        <v>0</v>
      </c>
      <c r="C199" s="1">
        <f>+IF(G199="-",0,IF(I199=I198+1,0,(IF(I199=1,0,1))))</f>
        <v>1</v>
      </c>
      <c r="D199" s="1">
        <f>+IF(AND(P199="",Q199=""),1,0)</f>
        <v>0</v>
      </c>
      <c r="E199" s="1">
        <f t="shared" ref="E199:F202" si="52">IF(U199="",1,0)</f>
        <v>0</v>
      </c>
      <c r="F199" s="1">
        <f t="shared" si="52"/>
        <v>0</v>
      </c>
      <c r="G199" s="1" t="str">
        <f>IF(H199=0,"-",_xlfn.CONCAT(K199,N199,O199,J199))</f>
        <v>25012313</v>
      </c>
      <c r="H199" s="2">
        <v>45680</v>
      </c>
      <c r="I199" s="113">
        <v>13</v>
      </c>
      <c r="J199" s="1">
        <f t="shared" si="38"/>
        <v>13</v>
      </c>
      <c r="K199" s="3">
        <f t="shared" si="39"/>
        <v>25</v>
      </c>
      <c r="L199" s="3">
        <f t="shared" si="40"/>
        <v>1</v>
      </c>
      <c r="M199" s="3">
        <f t="shared" si="41"/>
        <v>23</v>
      </c>
      <c r="N199" s="3" t="str">
        <f t="shared" si="42"/>
        <v>01</v>
      </c>
      <c r="O199" s="14">
        <f t="shared" si="43"/>
        <v>23</v>
      </c>
      <c r="P199" s="4">
        <v>3100</v>
      </c>
      <c r="T199" s="5" t="s">
        <v>2002</v>
      </c>
      <c r="U199" s="3" t="s">
        <v>1310</v>
      </c>
      <c r="V199" s="3" t="s">
        <v>1304</v>
      </c>
      <c r="W199" s="3" t="s">
        <v>1309</v>
      </c>
      <c r="X199" s="1" t="s">
        <v>1302</v>
      </c>
      <c r="Y199" s="141" t="s">
        <v>1963</v>
      </c>
    </row>
    <row r="200" spans="1:25">
      <c r="A200" s="143">
        <v>477</v>
      </c>
      <c r="B200" s="1">
        <f>IF(G200="-",0,IF(G199=G200,1,0))</f>
        <v>0</v>
      </c>
      <c r="C200" s="1">
        <f>+IF(G200="-",0,IF(I200=I199+1,0,(IF(I200=1,0,1))))</f>
        <v>0</v>
      </c>
      <c r="D200" s="1">
        <f>+IF(AND(P200="",Q200=""),1,0)</f>
        <v>0</v>
      </c>
      <c r="E200" s="1">
        <f t="shared" si="52"/>
        <v>1</v>
      </c>
      <c r="F200" s="1">
        <f t="shared" si="52"/>
        <v>0</v>
      </c>
      <c r="G200" s="1" t="str">
        <f>IF(H200=0,"-",_xlfn.CONCAT(K200,N200,O200,J200))</f>
        <v>25012314</v>
      </c>
      <c r="H200" s="2">
        <v>45680</v>
      </c>
      <c r="I200" s="113">
        <v>14</v>
      </c>
      <c r="J200" s="1">
        <f t="shared" ref="J200:J263" si="53">+IF(I200&lt;10,_xlfn.CONCAT("0",I200),I200)</f>
        <v>14</v>
      </c>
      <c r="K200" s="3">
        <f t="shared" ref="K200:K263" si="54">+YEAR(H200)-2000</f>
        <v>25</v>
      </c>
      <c r="L200" s="3">
        <f t="shared" ref="L200:L263" si="55">+MONTH(H200)</f>
        <v>1</v>
      </c>
      <c r="M200" s="3">
        <f t="shared" ref="M200:M263" si="56">+DAY(H200)</f>
        <v>23</v>
      </c>
      <c r="N200" s="3" t="str">
        <f t="shared" ref="N200:N263" si="57">+IF(L200&lt;10,_xlfn.CONCAT("0",L200),L200)</f>
        <v>01</v>
      </c>
      <c r="O200" s="14">
        <f t="shared" ref="O200:O263" si="58">+IF(M200&lt;10,_xlfn.CONCAT("0",M200),M200)</f>
        <v>23</v>
      </c>
      <c r="P200" s="4">
        <v>-159378.59</v>
      </c>
      <c r="T200" s="5" t="s">
        <v>2001</v>
      </c>
      <c r="V200" s="3" t="s">
        <v>5</v>
      </c>
      <c r="W200" s="3" t="s">
        <v>1307</v>
      </c>
      <c r="X200" s="1" t="s">
        <v>1305</v>
      </c>
      <c r="Y200" s="166" t="s">
        <v>2000</v>
      </c>
    </row>
    <row r="201" spans="1:25" hidden="1">
      <c r="A201" s="143">
        <v>165</v>
      </c>
      <c r="B201" s="1">
        <f>IF(G201="-",0,IF(G200=G201,1,0))</f>
        <v>0</v>
      </c>
      <c r="C201" s="1">
        <f>+IF(G201="-",0,IF(I201=I200+1,0,(IF(I201=1,0,1))))</f>
        <v>0</v>
      </c>
      <c r="D201" s="1">
        <f>+IF(AND(P201="",Q201=""),1,0)</f>
        <v>0</v>
      </c>
      <c r="E201" s="1">
        <f t="shared" si="52"/>
        <v>0</v>
      </c>
      <c r="F201" s="1">
        <f t="shared" si="52"/>
        <v>0</v>
      </c>
      <c r="G201" s="1" t="str">
        <f>IF(H201=0,"-",_xlfn.CONCAT(K201,N201,O201,J201))</f>
        <v>25012401</v>
      </c>
      <c r="H201" s="2">
        <v>45681</v>
      </c>
      <c r="I201" s="113">
        <v>1</v>
      </c>
      <c r="J201" s="1" t="str">
        <f t="shared" si="53"/>
        <v>01</v>
      </c>
      <c r="K201" s="3">
        <f t="shared" si="54"/>
        <v>25</v>
      </c>
      <c r="L201" s="3">
        <f t="shared" si="55"/>
        <v>1</v>
      </c>
      <c r="M201" s="3">
        <f t="shared" si="56"/>
        <v>24</v>
      </c>
      <c r="N201" s="3" t="str">
        <f t="shared" si="57"/>
        <v>01</v>
      </c>
      <c r="O201" s="14">
        <f t="shared" si="58"/>
        <v>24</v>
      </c>
      <c r="P201" s="4">
        <v>4894.28</v>
      </c>
      <c r="T201" s="5" t="s">
        <v>1999</v>
      </c>
      <c r="U201" s="3" t="s">
        <v>29</v>
      </c>
      <c r="V201" s="3" t="s">
        <v>5</v>
      </c>
      <c r="W201" t="s">
        <v>1326</v>
      </c>
      <c r="X201" s="159" t="s">
        <v>1305</v>
      </c>
    </row>
    <row r="202" spans="1:25" hidden="1">
      <c r="A202" s="143">
        <v>166</v>
      </c>
      <c r="B202" s="1">
        <f>IF(G202="-",0,IF(G201=G202,1,0))</f>
        <v>0</v>
      </c>
      <c r="C202" s="1">
        <f>+IF(G202="-",0,IF(I202=I201+1,0,(IF(I202=1,0,1))))</f>
        <v>0</v>
      </c>
      <c r="D202" s="1">
        <f>+IF(AND(P202="",Q202=""),1,0)</f>
        <v>0</v>
      </c>
      <c r="E202" s="1">
        <f t="shared" si="52"/>
        <v>0</v>
      </c>
      <c r="F202" s="1">
        <f t="shared" si="52"/>
        <v>0</v>
      </c>
      <c r="G202" s="1" t="str">
        <f>IF(H202=0,"-",_xlfn.CONCAT(K202,N202,O202,J202))</f>
        <v>25012402</v>
      </c>
      <c r="H202" s="2">
        <v>45681</v>
      </c>
      <c r="I202" s="113">
        <v>2</v>
      </c>
      <c r="J202" s="1" t="str">
        <f t="shared" si="53"/>
        <v>02</v>
      </c>
      <c r="K202" s="3">
        <f t="shared" si="54"/>
        <v>25</v>
      </c>
      <c r="L202" s="3">
        <f t="shared" si="55"/>
        <v>1</v>
      </c>
      <c r="M202" s="3">
        <f t="shared" si="56"/>
        <v>24</v>
      </c>
      <c r="N202" s="3" t="str">
        <f t="shared" si="57"/>
        <v>01</v>
      </c>
      <c r="O202" s="14">
        <f t="shared" si="58"/>
        <v>24</v>
      </c>
      <c r="P202" s="4">
        <v>11330</v>
      </c>
      <c r="T202" s="5" t="s">
        <v>1998</v>
      </c>
      <c r="U202" s="3" t="s">
        <v>29</v>
      </c>
      <c r="V202" s="3" t="s">
        <v>5</v>
      </c>
      <c r="W202" t="s">
        <v>1307</v>
      </c>
      <c r="X202" s="159" t="s">
        <v>1305</v>
      </c>
    </row>
    <row r="203" spans="1:25" hidden="1">
      <c r="A203" s="143"/>
      <c r="J203" s="1" t="str">
        <f t="shared" si="53"/>
        <v>0</v>
      </c>
      <c r="K203" s="3">
        <f t="shared" si="54"/>
        <v>-100</v>
      </c>
      <c r="L203" s="3">
        <f t="shared" si="55"/>
        <v>1</v>
      </c>
      <c r="M203" s="3">
        <f t="shared" si="56"/>
        <v>0</v>
      </c>
      <c r="N203" s="3" t="str">
        <f t="shared" si="57"/>
        <v>01</v>
      </c>
      <c r="O203" s="14" t="str">
        <f t="shared" si="58"/>
        <v>00</v>
      </c>
      <c r="W203"/>
      <c r="X203" s="159"/>
    </row>
    <row r="204" spans="1:25" hidden="1">
      <c r="A204" s="143"/>
      <c r="J204" s="1" t="str">
        <f t="shared" si="53"/>
        <v>0</v>
      </c>
      <c r="K204" s="3">
        <f t="shared" si="54"/>
        <v>-100</v>
      </c>
      <c r="L204" s="3">
        <f t="shared" si="55"/>
        <v>1</v>
      </c>
      <c r="M204" s="3">
        <f t="shared" si="56"/>
        <v>0</v>
      </c>
      <c r="N204" s="3" t="str">
        <f t="shared" si="57"/>
        <v>01</v>
      </c>
      <c r="O204" s="14" t="str">
        <f t="shared" si="58"/>
        <v>00</v>
      </c>
      <c r="W204"/>
      <c r="X204" s="159"/>
    </row>
    <row r="205" spans="1:25">
      <c r="A205" s="143">
        <v>205</v>
      </c>
      <c r="B205" s="1">
        <f>IF(G205="-",0,IF(G204=G205,1,0))</f>
        <v>0</v>
      </c>
      <c r="C205" s="1">
        <f>+IF(G205="-",0,IF(I205=I204+1,0,(IF(I205=1,0,1))))</f>
        <v>1</v>
      </c>
      <c r="D205" s="1">
        <f>+IF(AND(P205="",Q205=""),1,0)</f>
        <v>0</v>
      </c>
      <c r="E205" s="1">
        <f>IF(U205="",1,0)</f>
        <v>0</v>
      </c>
      <c r="F205" s="1">
        <f>IF(V205="",1,0)</f>
        <v>0</v>
      </c>
      <c r="G205" s="1" t="str">
        <f>IF(H205=0,"-",_xlfn.CONCAT(K205,N205,O205,J205))</f>
        <v>25012405</v>
      </c>
      <c r="H205" s="2">
        <v>45681</v>
      </c>
      <c r="I205" s="113">
        <v>5</v>
      </c>
      <c r="J205" s="1" t="str">
        <f t="shared" si="53"/>
        <v>05</v>
      </c>
      <c r="K205" s="3">
        <f t="shared" si="54"/>
        <v>25</v>
      </c>
      <c r="L205" s="3">
        <f t="shared" si="55"/>
        <v>1</v>
      </c>
      <c r="M205" s="3">
        <f t="shared" si="56"/>
        <v>24</v>
      </c>
      <c r="N205" s="3" t="str">
        <f t="shared" si="57"/>
        <v>01</v>
      </c>
      <c r="O205" s="14">
        <f t="shared" si="58"/>
        <v>24</v>
      </c>
      <c r="P205" s="4">
        <v>325650</v>
      </c>
      <c r="T205" s="5" t="s">
        <v>1997</v>
      </c>
      <c r="U205" s="3" t="s">
        <v>1</v>
      </c>
      <c r="V205" s="3" t="s">
        <v>5</v>
      </c>
      <c r="W205" t="s">
        <v>1306</v>
      </c>
      <c r="X205" s="159"/>
      <c r="Y205" s="141" t="s">
        <v>1996</v>
      </c>
    </row>
    <row r="206" spans="1:25" hidden="1">
      <c r="A206" s="143"/>
      <c r="J206" s="1" t="str">
        <f t="shared" si="53"/>
        <v>0</v>
      </c>
      <c r="K206" s="3">
        <f t="shared" si="54"/>
        <v>-100</v>
      </c>
      <c r="L206" s="3">
        <f t="shared" si="55"/>
        <v>1</v>
      </c>
      <c r="M206" s="3">
        <f t="shared" si="56"/>
        <v>0</v>
      </c>
      <c r="N206" s="3" t="str">
        <f t="shared" si="57"/>
        <v>01</v>
      </c>
      <c r="O206" s="14" t="str">
        <f t="shared" si="58"/>
        <v>00</v>
      </c>
      <c r="W206"/>
      <c r="X206" s="159"/>
    </row>
    <row r="207" spans="1:25" hidden="1">
      <c r="A207" s="143">
        <v>270</v>
      </c>
      <c r="B207" s="1">
        <f>IF(G207="-",0,IF(G206=G207,1,0))</f>
        <v>0</v>
      </c>
      <c r="C207" s="1">
        <f>+IF(G207="-",0,IF(I207=I206+1,0,(IF(I207=1,0,1))))</f>
        <v>1</v>
      </c>
      <c r="D207" s="1">
        <f>+IF(AND(P207="",Q207=""),1,0)</f>
        <v>0</v>
      </c>
      <c r="E207" s="1">
        <f>IF(U207="",1,0)</f>
        <v>0</v>
      </c>
      <c r="F207" s="1">
        <f>IF(V207="",1,0)</f>
        <v>0</v>
      </c>
      <c r="G207" s="1" t="str">
        <f>IF(H207=0,"-",_xlfn.CONCAT(K207,N207,O207,J207))</f>
        <v>25012407</v>
      </c>
      <c r="H207" s="2">
        <v>45681</v>
      </c>
      <c r="I207" s="113">
        <v>7</v>
      </c>
      <c r="J207" s="1" t="str">
        <f t="shared" si="53"/>
        <v>07</v>
      </c>
      <c r="K207" s="3">
        <f t="shared" si="54"/>
        <v>25</v>
      </c>
      <c r="L207" s="3">
        <f t="shared" si="55"/>
        <v>1</v>
      </c>
      <c r="M207" s="3">
        <f t="shared" si="56"/>
        <v>24</v>
      </c>
      <c r="N207" s="3" t="str">
        <f t="shared" si="57"/>
        <v>01</v>
      </c>
      <c r="O207" s="14">
        <f t="shared" si="58"/>
        <v>24</v>
      </c>
      <c r="P207" s="4">
        <v>15000</v>
      </c>
      <c r="T207" s="5" t="s">
        <v>1921</v>
      </c>
      <c r="U207" s="3" t="s">
        <v>29</v>
      </c>
      <c r="V207" s="3" t="s">
        <v>5</v>
      </c>
      <c r="W207" t="s">
        <v>1307</v>
      </c>
      <c r="X207" s="159" t="s">
        <v>1305</v>
      </c>
    </row>
    <row r="208" spans="1:25" hidden="1">
      <c r="A208" s="143"/>
      <c r="J208" s="1" t="str">
        <f t="shared" si="53"/>
        <v>0</v>
      </c>
      <c r="K208" s="3">
        <f t="shared" si="54"/>
        <v>-100</v>
      </c>
      <c r="L208" s="3">
        <f t="shared" si="55"/>
        <v>1</v>
      </c>
      <c r="M208" s="3">
        <f t="shared" si="56"/>
        <v>0</v>
      </c>
      <c r="N208" s="3" t="str">
        <f t="shared" si="57"/>
        <v>01</v>
      </c>
      <c r="O208" s="14" t="str">
        <f t="shared" si="58"/>
        <v>00</v>
      </c>
    </row>
    <row r="209" spans="1:25" hidden="1">
      <c r="A209" s="143">
        <v>655</v>
      </c>
      <c r="B209" s="1">
        <f t="shared" ref="B209:B224" si="59">IF(G209="-",0,IF(G208=G209,1,0))</f>
        <v>0</v>
      </c>
      <c r="C209" s="1">
        <f t="shared" ref="C209:C224" si="60">+IF(G209="-",0,IF(I209=I208+1,0,(IF(I209=1,0,1))))</f>
        <v>1</v>
      </c>
      <c r="D209" s="1">
        <f t="shared" ref="D209:D224" si="61">+IF(AND(P209="",Q209=""),1,0)</f>
        <v>0</v>
      </c>
      <c r="E209" s="1">
        <f t="shared" ref="E209:E224" si="62">IF(U209="",1,0)</f>
        <v>0</v>
      </c>
      <c r="F209" s="1">
        <f t="shared" ref="F209:F224" si="63">IF(V209="",1,0)</f>
        <v>0</v>
      </c>
      <c r="G209" s="1" t="str">
        <f t="shared" ref="G209:G224" si="64">IF(H209=0,"-",_xlfn.CONCAT(K209,N209,O209,J209))</f>
        <v>25012409</v>
      </c>
      <c r="H209" s="2">
        <v>45681</v>
      </c>
      <c r="I209" s="113">
        <v>9</v>
      </c>
      <c r="J209" s="1" t="str">
        <f t="shared" si="53"/>
        <v>09</v>
      </c>
      <c r="K209" s="3">
        <f t="shared" si="54"/>
        <v>25</v>
      </c>
      <c r="L209" s="3">
        <f t="shared" si="55"/>
        <v>1</v>
      </c>
      <c r="M209" s="3">
        <f t="shared" si="56"/>
        <v>24</v>
      </c>
      <c r="N209" s="3" t="str">
        <f t="shared" si="57"/>
        <v>01</v>
      </c>
      <c r="O209" s="14">
        <f t="shared" si="58"/>
        <v>24</v>
      </c>
      <c r="P209" s="4">
        <v>1805</v>
      </c>
      <c r="T209" s="5" t="s">
        <v>1995</v>
      </c>
      <c r="U209" s="3" t="s">
        <v>1310</v>
      </c>
      <c r="V209" s="3" t="s">
        <v>1304</v>
      </c>
      <c r="W209" s="3" t="s">
        <v>1309</v>
      </c>
      <c r="X209" s="1" t="s">
        <v>1302</v>
      </c>
    </row>
    <row r="210" spans="1:25">
      <c r="A210" s="143">
        <v>107</v>
      </c>
      <c r="B210" s="1">
        <f t="shared" si="59"/>
        <v>0</v>
      </c>
      <c r="C210" s="1">
        <f t="shared" si="60"/>
        <v>0</v>
      </c>
      <c r="D210" s="1">
        <f t="shared" si="61"/>
        <v>0</v>
      </c>
      <c r="E210" s="1">
        <f t="shared" si="62"/>
        <v>0</v>
      </c>
      <c r="F210" s="1">
        <f t="shared" si="63"/>
        <v>0</v>
      </c>
      <c r="G210" s="1" t="str">
        <f t="shared" si="64"/>
        <v>25012501</v>
      </c>
      <c r="H210" s="2">
        <v>45682</v>
      </c>
      <c r="I210" s="113">
        <v>1</v>
      </c>
      <c r="J210" s="1" t="str">
        <f t="shared" si="53"/>
        <v>01</v>
      </c>
      <c r="K210" s="3">
        <f t="shared" si="54"/>
        <v>25</v>
      </c>
      <c r="L210" s="3">
        <f t="shared" si="55"/>
        <v>1</v>
      </c>
      <c r="M210" s="3">
        <f t="shared" si="56"/>
        <v>25</v>
      </c>
      <c r="N210" s="3" t="str">
        <f t="shared" si="57"/>
        <v>01</v>
      </c>
      <c r="O210" s="14">
        <f t="shared" si="58"/>
        <v>25</v>
      </c>
      <c r="P210" s="28">
        <v>159000</v>
      </c>
      <c r="T210" s="28" t="s">
        <v>1994</v>
      </c>
      <c r="U210" s="3" t="s">
        <v>1</v>
      </c>
      <c r="V210" s="3" t="s">
        <v>5</v>
      </c>
      <c r="W210" t="s">
        <v>1306</v>
      </c>
      <c r="X210" s="159"/>
      <c r="Y210" s="163" t="s">
        <v>1993</v>
      </c>
    </row>
    <row r="211" spans="1:25">
      <c r="A211" s="143">
        <v>108</v>
      </c>
      <c r="B211" s="1">
        <f t="shared" si="59"/>
        <v>0</v>
      </c>
      <c r="C211" s="1">
        <f t="shared" si="60"/>
        <v>0</v>
      </c>
      <c r="D211" s="1">
        <f t="shared" si="61"/>
        <v>0</v>
      </c>
      <c r="E211" s="1">
        <f t="shared" si="62"/>
        <v>0</v>
      </c>
      <c r="F211" s="1">
        <f t="shared" si="63"/>
        <v>0</v>
      </c>
      <c r="G211" s="1" t="str">
        <f t="shared" si="64"/>
        <v>25012502</v>
      </c>
      <c r="H211" s="2">
        <v>45682</v>
      </c>
      <c r="I211" s="113">
        <v>2</v>
      </c>
      <c r="J211" s="1" t="str">
        <f t="shared" si="53"/>
        <v>02</v>
      </c>
      <c r="K211" s="3">
        <f t="shared" si="54"/>
        <v>25</v>
      </c>
      <c r="L211" s="3">
        <f t="shared" si="55"/>
        <v>1</v>
      </c>
      <c r="M211" s="3">
        <f t="shared" si="56"/>
        <v>25</v>
      </c>
      <c r="N211" s="3" t="str">
        <f t="shared" si="57"/>
        <v>01</v>
      </c>
      <c r="O211" s="14">
        <f t="shared" si="58"/>
        <v>25</v>
      </c>
      <c r="P211" s="28">
        <v>138000</v>
      </c>
      <c r="T211" s="28" t="s">
        <v>1992</v>
      </c>
      <c r="U211" s="3" t="s">
        <v>1</v>
      </c>
      <c r="V211" s="3" t="s">
        <v>5</v>
      </c>
      <c r="W211" t="s">
        <v>1306</v>
      </c>
      <c r="X211" s="159"/>
      <c r="Y211" s="163" t="s">
        <v>1991</v>
      </c>
    </row>
    <row r="212" spans="1:25">
      <c r="A212" s="143">
        <v>109</v>
      </c>
      <c r="B212" s="1">
        <f t="shared" si="59"/>
        <v>0</v>
      </c>
      <c r="C212" s="1">
        <f t="shared" si="60"/>
        <v>0</v>
      </c>
      <c r="D212" s="1">
        <f t="shared" si="61"/>
        <v>0</v>
      </c>
      <c r="E212" s="1">
        <f t="shared" si="62"/>
        <v>0</v>
      </c>
      <c r="F212" s="1">
        <f t="shared" si="63"/>
        <v>0</v>
      </c>
      <c r="G212" s="1" t="str">
        <f t="shared" si="64"/>
        <v>25012503</v>
      </c>
      <c r="H212" s="2">
        <v>45682</v>
      </c>
      <c r="I212" s="113">
        <v>3</v>
      </c>
      <c r="J212" s="1" t="str">
        <f t="shared" si="53"/>
        <v>03</v>
      </c>
      <c r="K212" s="3">
        <f t="shared" si="54"/>
        <v>25</v>
      </c>
      <c r="L212" s="3">
        <f t="shared" si="55"/>
        <v>1</v>
      </c>
      <c r="M212" s="3">
        <f t="shared" si="56"/>
        <v>25</v>
      </c>
      <c r="N212" s="3" t="str">
        <f t="shared" si="57"/>
        <v>01</v>
      </c>
      <c r="O212" s="14">
        <f t="shared" si="58"/>
        <v>25</v>
      </c>
      <c r="P212" s="28">
        <v>132000</v>
      </c>
      <c r="T212" s="28" t="s">
        <v>1990</v>
      </c>
      <c r="U212" s="3" t="s">
        <v>1</v>
      </c>
      <c r="V212" s="3" t="s">
        <v>5</v>
      </c>
      <c r="W212" t="s">
        <v>1306</v>
      </c>
      <c r="X212" s="159"/>
      <c r="Y212" s="163" t="s">
        <v>1989</v>
      </c>
    </row>
    <row r="213" spans="1:25">
      <c r="A213" s="143">
        <v>110</v>
      </c>
      <c r="B213" s="1">
        <f t="shared" si="59"/>
        <v>0</v>
      </c>
      <c r="C213" s="1">
        <f t="shared" si="60"/>
        <v>0</v>
      </c>
      <c r="D213" s="1">
        <f t="shared" si="61"/>
        <v>0</v>
      </c>
      <c r="E213" s="1">
        <f t="shared" si="62"/>
        <v>0</v>
      </c>
      <c r="F213" s="1">
        <f t="shared" si="63"/>
        <v>0</v>
      </c>
      <c r="G213" s="1" t="str">
        <f t="shared" si="64"/>
        <v>25012504</v>
      </c>
      <c r="H213" s="2">
        <v>45682</v>
      </c>
      <c r="I213" s="113">
        <v>4</v>
      </c>
      <c r="J213" s="1" t="str">
        <f t="shared" si="53"/>
        <v>04</v>
      </c>
      <c r="K213" s="3">
        <f t="shared" si="54"/>
        <v>25</v>
      </c>
      <c r="L213" s="3">
        <f t="shared" si="55"/>
        <v>1</v>
      </c>
      <c r="M213" s="3">
        <f t="shared" si="56"/>
        <v>25</v>
      </c>
      <c r="N213" s="3" t="str">
        <f t="shared" si="57"/>
        <v>01</v>
      </c>
      <c r="O213" s="14">
        <f t="shared" si="58"/>
        <v>25</v>
      </c>
      <c r="P213" s="28">
        <v>108000</v>
      </c>
      <c r="T213" s="28" t="s">
        <v>1988</v>
      </c>
      <c r="U213" s="3" t="s">
        <v>1</v>
      </c>
      <c r="V213" s="3" t="s">
        <v>5</v>
      </c>
      <c r="W213" t="s">
        <v>1306</v>
      </c>
      <c r="X213" s="159"/>
      <c r="Y213" s="163" t="s">
        <v>1987</v>
      </c>
    </row>
    <row r="214" spans="1:25">
      <c r="A214" s="143">
        <v>111</v>
      </c>
      <c r="B214" s="1">
        <f t="shared" si="59"/>
        <v>0</v>
      </c>
      <c r="C214" s="1">
        <f t="shared" si="60"/>
        <v>0</v>
      </c>
      <c r="D214" s="1">
        <f t="shared" si="61"/>
        <v>0</v>
      </c>
      <c r="E214" s="1">
        <f t="shared" si="62"/>
        <v>0</v>
      </c>
      <c r="F214" s="1">
        <f t="shared" si="63"/>
        <v>0</v>
      </c>
      <c r="G214" s="1" t="str">
        <f t="shared" si="64"/>
        <v>25012505</v>
      </c>
      <c r="H214" s="2">
        <v>45682</v>
      </c>
      <c r="I214" s="113">
        <v>5</v>
      </c>
      <c r="J214" s="1" t="str">
        <f t="shared" si="53"/>
        <v>05</v>
      </c>
      <c r="K214" s="3">
        <f t="shared" si="54"/>
        <v>25</v>
      </c>
      <c r="L214" s="3">
        <f t="shared" si="55"/>
        <v>1</v>
      </c>
      <c r="M214" s="3">
        <f t="shared" si="56"/>
        <v>25</v>
      </c>
      <c r="N214" s="3" t="str">
        <f t="shared" si="57"/>
        <v>01</v>
      </c>
      <c r="O214" s="14">
        <f t="shared" si="58"/>
        <v>25</v>
      </c>
      <c r="P214" s="28">
        <v>132000</v>
      </c>
      <c r="T214" s="28" t="s">
        <v>1986</v>
      </c>
      <c r="U214" s="3" t="s">
        <v>1</v>
      </c>
      <c r="V214" s="3" t="s">
        <v>5</v>
      </c>
      <c r="W214" t="s">
        <v>1306</v>
      </c>
      <c r="X214" s="159"/>
      <c r="Y214" s="163" t="s">
        <v>1985</v>
      </c>
    </row>
    <row r="215" spans="1:25">
      <c r="A215" s="143">
        <v>112</v>
      </c>
      <c r="B215" s="1">
        <f t="shared" si="59"/>
        <v>0</v>
      </c>
      <c r="C215" s="1">
        <f t="shared" si="60"/>
        <v>0</v>
      </c>
      <c r="D215" s="1">
        <f t="shared" si="61"/>
        <v>0</v>
      </c>
      <c r="E215" s="1">
        <f t="shared" si="62"/>
        <v>0</v>
      </c>
      <c r="F215" s="1">
        <f t="shared" si="63"/>
        <v>0</v>
      </c>
      <c r="G215" s="1" t="str">
        <f t="shared" si="64"/>
        <v>25012506</v>
      </c>
      <c r="H215" s="2">
        <v>45682</v>
      </c>
      <c r="I215" s="113">
        <v>6</v>
      </c>
      <c r="J215" s="1" t="str">
        <f t="shared" si="53"/>
        <v>06</v>
      </c>
      <c r="K215" s="3">
        <f t="shared" si="54"/>
        <v>25</v>
      </c>
      <c r="L215" s="3">
        <f t="shared" si="55"/>
        <v>1</v>
      </c>
      <c r="M215" s="3">
        <f t="shared" si="56"/>
        <v>25</v>
      </c>
      <c r="N215" s="3" t="str">
        <f t="shared" si="57"/>
        <v>01</v>
      </c>
      <c r="O215" s="14">
        <f t="shared" si="58"/>
        <v>25</v>
      </c>
      <c r="P215" s="28">
        <v>159000</v>
      </c>
      <c r="T215" s="28" t="s">
        <v>1984</v>
      </c>
      <c r="U215" s="3" t="s">
        <v>1</v>
      </c>
      <c r="V215" s="3" t="s">
        <v>5</v>
      </c>
      <c r="W215" t="s">
        <v>1306</v>
      </c>
      <c r="X215" s="159"/>
      <c r="Y215" s="163" t="s">
        <v>1983</v>
      </c>
    </row>
    <row r="216" spans="1:25">
      <c r="A216" s="143">
        <v>113</v>
      </c>
      <c r="B216" s="1">
        <f t="shared" si="59"/>
        <v>0</v>
      </c>
      <c r="C216" s="1">
        <f t="shared" si="60"/>
        <v>0</v>
      </c>
      <c r="D216" s="1">
        <f t="shared" si="61"/>
        <v>0</v>
      </c>
      <c r="E216" s="1">
        <f t="shared" si="62"/>
        <v>0</v>
      </c>
      <c r="F216" s="1">
        <f t="shared" si="63"/>
        <v>0</v>
      </c>
      <c r="G216" s="1" t="str">
        <f t="shared" si="64"/>
        <v>25012507</v>
      </c>
      <c r="H216" s="2">
        <v>45682</v>
      </c>
      <c r="I216" s="113">
        <v>7</v>
      </c>
      <c r="J216" s="1" t="str">
        <f t="shared" si="53"/>
        <v>07</v>
      </c>
      <c r="K216" s="3">
        <f t="shared" si="54"/>
        <v>25</v>
      </c>
      <c r="L216" s="3">
        <f t="shared" si="55"/>
        <v>1</v>
      </c>
      <c r="M216" s="3">
        <f t="shared" si="56"/>
        <v>25</v>
      </c>
      <c r="N216" s="3" t="str">
        <f t="shared" si="57"/>
        <v>01</v>
      </c>
      <c r="O216" s="14">
        <f t="shared" si="58"/>
        <v>25</v>
      </c>
      <c r="P216" s="31">
        <v>132000</v>
      </c>
      <c r="Q216" s="164"/>
      <c r="R216" s="165"/>
      <c r="S216" s="164"/>
      <c r="T216" s="31" t="s">
        <v>1982</v>
      </c>
      <c r="U216" s="3" t="s">
        <v>1</v>
      </c>
      <c r="V216" s="3" t="s">
        <v>5</v>
      </c>
      <c r="W216" t="s">
        <v>1306</v>
      </c>
      <c r="X216" s="159"/>
      <c r="Y216" s="163"/>
    </row>
    <row r="217" spans="1:25">
      <c r="A217" s="143">
        <v>114</v>
      </c>
      <c r="B217" s="1">
        <f t="shared" si="59"/>
        <v>0</v>
      </c>
      <c r="C217" s="1">
        <f t="shared" si="60"/>
        <v>0</v>
      </c>
      <c r="D217" s="1">
        <f t="shared" si="61"/>
        <v>0</v>
      </c>
      <c r="E217" s="1">
        <f t="shared" si="62"/>
        <v>0</v>
      </c>
      <c r="F217" s="1">
        <f t="shared" si="63"/>
        <v>0</v>
      </c>
      <c r="G217" s="1" t="str">
        <f t="shared" si="64"/>
        <v>25012508</v>
      </c>
      <c r="H217" s="2">
        <v>45682</v>
      </c>
      <c r="I217" s="113">
        <v>8</v>
      </c>
      <c r="J217" s="1" t="str">
        <f t="shared" si="53"/>
        <v>08</v>
      </c>
      <c r="K217" s="3">
        <f t="shared" si="54"/>
        <v>25</v>
      </c>
      <c r="L217" s="3">
        <f t="shared" si="55"/>
        <v>1</v>
      </c>
      <c r="M217" s="3">
        <f t="shared" si="56"/>
        <v>25</v>
      </c>
      <c r="N217" s="3" t="str">
        <f t="shared" si="57"/>
        <v>01</v>
      </c>
      <c r="O217" s="14">
        <f t="shared" si="58"/>
        <v>25</v>
      </c>
      <c r="P217" s="31">
        <v>108000</v>
      </c>
      <c r="Q217" s="164"/>
      <c r="R217" s="165"/>
      <c r="S217" s="164"/>
      <c r="T217" s="31" t="s">
        <v>1981</v>
      </c>
      <c r="U217" s="3" t="s">
        <v>1</v>
      </c>
      <c r="V217" s="3" t="s">
        <v>5</v>
      </c>
      <c r="W217" t="s">
        <v>1306</v>
      </c>
      <c r="X217" s="159"/>
      <c r="Y217" s="163"/>
    </row>
    <row r="218" spans="1:25">
      <c r="A218" s="143">
        <v>115</v>
      </c>
      <c r="B218" s="1">
        <f t="shared" si="59"/>
        <v>0</v>
      </c>
      <c r="C218" s="1">
        <f t="shared" si="60"/>
        <v>0</v>
      </c>
      <c r="D218" s="1">
        <f t="shared" si="61"/>
        <v>0</v>
      </c>
      <c r="E218" s="1">
        <f t="shared" si="62"/>
        <v>0</v>
      </c>
      <c r="F218" s="1">
        <f t="shared" si="63"/>
        <v>0</v>
      </c>
      <c r="G218" s="1" t="str">
        <f t="shared" si="64"/>
        <v>25012509</v>
      </c>
      <c r="H218" s="2">
        <v>45682</v>
      </c>
      <c r="I218" s="113">
        <v>9</v>
      </c>
      <c r="J218" s="1" t="str">
        <f t="shared" si="53"/>
        <v>09</v>
      </c>
      <c r="K218" s="3">
        <f t="shared" si="54"/>
        <v>25</v>
      </c>
      <c r="L218" s="3">
        <f t="shared" si="55"/>
        <v>1</v>
      </c>
      <c r="M218" s="3">
        <f t="shared" si="56"/>
        <v>25</v>
      </c>
      <c r="N218" s="3" t="str">
        <f t="shared" si="57"/>
        <v>01</v>
      </c>
      <c r="O218" s="14">
        <f t="shared" si="58"/>
        <v>25</v>
      </c>
      <c r="P218" s="31">
        <v>108000</v>
      </c>
      <c r="Q218" s="164"/>
      <c r="R218" s="165"/>
      <c r="S218" s="164"/>
      <c r="T218" s="31" t="s">
        <v>1980</v>
      </c>
      <c r="U218" s="3" t="s">
        <v>1</v>
      </c>
      <c r="V218" s="3" t="s">
        <v>5</v>
      </c>
      <c r="W218" t="s">
        <v>1306</v>
      </c>
      <c r="X218" s="159"/>
      <c r="Y218" s="163"/>
    </row>
    <row r="219" spans="1:25">
      <c r="A219" s="143">
        <v>116</v>
      </c>
      <c r="B219" s="1">
        <f t="shared" si="59"/>
        <v>0</v>
      </c>
      <c r="C219" s="1">
        <f t="shared" si="60"/>
        <v>0</v>
      </c>
      <c r="D219" s="1">
        <f t="shared" si="61"/>
        <v>0</v>
      </c>
      <c r="E219" s="1">
        <f t="shared" si="62"/>
        <v>0</v>
      </c>
      <c r="F219" s="1">
        <f t="shared" si="63"/>
        <v>0</v>
      </c>
      <c r="G219" s="1" t="str">
        <f t="shared" si="64"/>
        <v>25012510</v>
      </c>
      <c r="H219" s="2">
        <v>45682</v>
      </c>
      <c r="I219" s="113">
        <v>10</v>
      </c>
      <c r="J219" s="1">
        <f t="shared" si="53"/>
        <v>10</v>
      </c>
      <c r="K219" s="3">
        <f t="shared" si="54"/>
        <v>25</v>
      </c>
      <c r="L219" s="3">
        <f t="shared" si="55"/>
        <v>1</v>
      </c>
      <c r="M219" s="3">
        <f t="shared" si="56"/>
        <v>25</v>
      </c>
      <c r="N219" s="3" t="str">
        <f t="shared" si="57"/>
        <v>01</v>
      </c>
      <c r="O219" s="14">
        <f t="shared" si="58"/>
        <v>25</v>
      </c>
      <c r="P219" s="31">
        <v>132000</v>
      </c>
      <c r="Q219" s="164"/>
      <c r="R219" s="165"/>
      <c r="S219" s="164"/>
      <c r="T219" s="31" t="s">
        <v>1979</v>
      </c>
      <c r="U219" s="3" t="s">
        <v>1</v>
      </c>
      <c r="V219" s="3" t="s">
        <v>5</v>
      </c>
      <c r="W219" t="s">
        <v>1306</v>
      </c>
      <c r="X219" s="159"/>
      <c r="Y219" s="163"/>
    </row>
    <row r="220" spans="1:25">
      <c r="A220" s="143">
        <v>117</v>
      </c>
      <c r="B220" s="1">
        <f t="shared" si="59"/>
        <v>0</v>
      </c>
      <c r="C220" s="1">
        <f t="shared" si="60"/>
        <v>0</v>
      </c>
      <c r="D220" s="1">
        <f t="shared" si="61"/>
        <v>0</v>
      </c>
      <c r="E220" s="1">
        <f t="shared" si="62"/>
        <v>0</v>
      </c>
      <c r="F220" s="1">
        <f t="shared" si="63"/>
        <v>0</v>
      </c>
      <c r="G220" s="1" t="str">
        <f t="shared" si="64"/>
        <v>25012511</v>
      </c>
      <c r="H220" s="2">
        <v>45682</v>
      </c>
      <c r="I220" s="113">
        <v>11</v>
      </c>
      <c r="J220" s="1">
        <f t="shared" si="53"/>
        <v>11</v>
      </c>
      <c r="K220" s="3">
        <f t="shared" si="54"/>
        <v>25</v>
      </c>
      <c r="L220" s="3">
        <f t="shared" si="55"/>
        <v>1</v>
      </c>
      <c r="M220" s="3">
        <f t="shared" si="56"/>
        <v>25</v>
      </c>
      <c r="N220" s="3" t="str">
        <f t="shared" si="57"/>
        <v>01</v>
      </c>
      <c r="O220" s="14">
        <f t="shared" si="58"/>
        <v>25</v>
      </c>
      <c r="P220" s="31">
        <v>252000</v>
      </c>
      <c r="Q220" s="164"/>
      <c r="R220" s="165"/>
      <c r="S220" s="164"/>
      <c r="T220" s="31" t="s">
        <v>1978</v>
      </c>
      <c r="U220" s="3" t="s">
        <v>1</v>
      </c>
      <c r="V220" s="3" t="s">
        <v>5</v>
      </c>
      <c r="W220" t="s">
        <v>1306</v>
      </c>
      <c r="X220" s="159"/>
      <c r="Y220" s="163"/>
    </row>
    <row r="221" spans="1:25">
      <c r="A221" s="143">
        <v>118</v>
      </c>
      <c r="B221" s="1">
        <f t="shared" si="59"/>
        <v>0</v>
      </c>
      <c r="C221" s="1">
        <f t="shared" si="60"/>
        <v>0</v>
      </c>
      <c r="D221" s="1">
        <f t="shared" si="61"/>
        <v>0</v>
      </c>
      <c r="E221" s="1">
        <f t="shared" si="62"/>
        <v>0</v>
      </c>
      <c r="F221" s="1">
        <f t="shared" si="63"/>
        <v>0</v>
      </c>
      <c r="G221" s="1" t="str">
        <f t="shared" si="64"/>
        <v>25012512</v>
      </c>
      <c r="H221" s="2">
        <v>45682</v>
      </c>
      <c r="I221" s="113">
        <v>12</v>
      </c>
      <c r="J221" s="1">
        <f t="shared" si="53"/>
        <v>12</v>
      </c>
      <c r="K221" s="3">
        <f t="shared" si="54"/>
        <v>25</v>
      </c>
      <c r="L221" s="3">
        <f t="shared" si="55"/>
        <v>1</v>
      </c>
      <c r="M221" s="3">
        <f t="shared" si="56"/>
        <v>25</v>
      </c>
      <c r="N221" s="3" t="str">
        <f t="shared" si="57"/>
        <v>01</v>
      </c>
      <c r="O221" s="14">
        <f t="shared" si="58"/>
        <v>25</v>
      </c>
      <c r="P221" s="31">
        <v>90000</v>
      </c>
      <c r="Q221" s="164"/>
      <c r="R221" s="165"/>
      <c r="S221" s="164"/>
      <c r="T221" s="31" t="s">
        <v>1977</v>
      </c>
      <c r="U221" s="3" t="s">
        <v>1</v>
      </c>
      <c r="V221" s="3" t="s">
        <v>5</v>
      </c>
      <c r="W221" t="s">
        <v>1306</v>
      </c>
      <c r="X221" s="159"/>
      <c r="Y221" s="163"/>
    </row>
    <row r="222" spans="1:25">
      <c r="A222" s="143">
        <v>119</v>
      </c>
      <c r="B222" s="1">
        <f t="shared" si="59"/>
        <v>0</v>
      </c>
      <c r="C222" s="1">
        <f t="shared" si="60"/>
        <v>0</v>
      </c>
      <c r="D222" s="1">
        <f t="shared" si="61"/>
        <v>0</v>
      </c>
      <c r="E222" s="1">
        <f t="shared" si="62"/>
        <v>0</v>
      </c>
      <c r="F222" s="1">
        <f t="shared" si="63"/>
        <v>0</v>
      </c>
      <c r="G222" s="1" t="str">
        <f t="shared" si="64"/>
        <v>25012513</v>
      </c>
      <c r="H222" s="2">
        <v>45682</v>
      </c>
      <c r="I222" s="113">
        <v>13</v>
      </c>
      <c r="J222" s="1">
        <f t="shared" si="53"/>
        <v>13</v>
      </c>
      <c r="K222" s="3">
        <f t="shared" si="54"/>
        <v>25</v>
      </c>
      <c r="L222" s="3">
        <f t="shared" si="55"/>
        <v>1</v>
      </c>
      <c r="M222" s="3">
        <f t="shared" si="56"/>
        <v>25</v>
      </c>
      <c r="N222" s="3" t="str">
        <f t="shared" si="57"/>
        <v>01</v>
      </c>
      <c r="O222" s="14">
        <f t="shared" si="58"/>
        <v>25</v>
      </c>
      <c r="P222" s="31">
        <v>150000</v>
      </c>
      <c r="Q222" s="164"/>
      <c r="R222" s="165"/>
      <c r="S222" s="164"/>
      <c r="T222" s="31" t="s">
        <v>1976</v>
      </c>
      <c r="U222" s="3" t="s">
        <v>1</v>
      </c>
      <c r="V222" s="3" t="s">
        <v>5</v>
      </c>
      <c r="W222" t="s">
        <v>1306</v>
      </c>
      <c r="X222" s="159"/>
      <c r="Y222" s="163" t="s">
        <v>1975</v>
      </c>
    </row>
    <row r="223" spans="1:25">
      <c r="A223" s="143">
        <v>120</v>
      </c>
      <c r="B223" s="1">
        <f t="shared" si="59"/>
        <v>0</v>
      </c>
      <c r="C223" s="1">
        <f t="shared" si="60"/>
        <v>0</v>
      </c>
      <c r="D223" s="1">
        <f t="shared" si="61"/>
        <v>0</v>
      </c>
      <c r="E223" s="1">
        <f t="shared" si="62"/>
        <v>0</v>
      </c>
      <c r="F223" s="1">
        <f t="shared" si="63"/>
        <v>0</v>
      </c>
      <c r="G223" s="1" t="str">
        <f t="shared" si="64"/>
        <v>25012514</v>
      </c>
      <c r="H223" s="2">
        <v>45682</v>
      </c>
      <c r="I223" s="1">
        <v>14</v>
      </c>
      <c r="J223" s="1">
        <f t="shared" si="53"/>
        <v>14</v>
      </c>
      <c r="K223" s="3">
        <f t="shared" si="54"/>
        <v>25</v>
      </c>
      <c r="L223" s="3">
        <f t="shared" si="55"/>
        <v>1</v>
      </c>
      <c r="M223" s="3">
        <f t="shared" si="56"/>
        <v>25</v>
      </c>
      <c r="N223" s="3" t="str">
        <f t="shared" si="57"/>
        <v>01</v>
      </c>
      <c r="O223" s="14">
        <f t="shared" si="58"/>
        <v>25</v>
      </c>
      <c r="P223" s="28">
        <v>220000</v>
      </c>
      <c r="T223" s="28" t="s">
        <v>1974</v>
      </c>
      <c r="U223" s="3" t="s">
        <v>1</v>
      </c>
      <c r="V223" s="3" t="s">
        <v>5</v>
      </c>
      <c r="W223" t="s">
        <v>1306</v>
      </c>
      <c r="X223" s="159"/>
      <c r="Y223" s="163" t="s">
        <v>1973</v>
      </c>
    </row>
    <row r="224" spans="1:25" hidden="1">
      <c r="A224" s="143">
        <v>271</v>
      </c>
      <c r="B224" s="1">
        <f t="shared" si="59"/>
        <v>0</v>
      </c>
      <c r="C224" s="1">
        <f t="shared" si="60"/>
        <v>0</v>
      </c>
      <c r="D224" s="1">
        <f t="shared" si="61"/>
        <v>0</v>
      </c>
      <c r="E224" s="1">
        <f t="shared" si="62"/>
        <v>0</v>
      </c>
      <c r="F224" s="1">
        <f t="shared" si="63"/>
        <v>0</v>
      </c>
      <c r="G224" s="1" t="str">
        <f t="shared" si="64"/>
        <v>25012515</v>
      </c>
      <c r="H224" s="2">
        <v>45682</v>
      </c>
      <c r="I224" s="113">
        <v>15</v>
      </c>
      <c r="J224" s="1">
        <f t="shared" si="53"/>
        <v>15</v>
      </c>
      <c r="K224" s="3">
        <f t="shared" si="54"/>
        <v>25</v>
      </c>
      <c r="L224" s="3">
        <f t="shared" si="55"/>
        <v>1</v>
      </c>
      <c r="M224" s="3">
        <f t="shared" si="56"/>
        <v>25</v>
      </c>
      <c r="N224" s="3" t="str">
        <f t="shared" si="57"/>
        <v>01</v>
      </c>
      <c r="O224" s="14">
        <f t="shared" si="58"/>
        <v>25</v>
      </c>
      <c r="P224" s="4">
        <v>10000</v>
      </c>
      <c r="T224" s="5" t="s">
        <v>1706</v>
      </c>
      <c r="U224" s="3" t="s">
        <v>29</v>
      </c>
      <c r="V224" s="3" t="s">
        <v>5</v>
      </c>
      <c r="W224" t="s">
        <v>1307</v>
      </c>
      <c r="X224" s="159" t="s">
        <v>1305</v>
      </c>
    </row>
    <row r="225" spans="1:25" hidden="1">
      <c r="A225" s="143"/>
      <c r="J225" s="1" t="str">
        <f t="shared" si="53"/>
        <v>0</v>
      </c>
      <c r="K225" s="3">
        <f t="shared" si="54"/>
        <v>-100</v>
      </c>
      <c r="L225" s="3">
        <f t="shared" si="55"/>
        <v>1</v>
      </c>
      <c r="M225" s="3">
        <f t="shared" si="56"/>
        <v>0</v>
      </c>
      <c r="N225" s="3" t="str">
        <f t="shared" si="57"/>
        <v>01</v>
      </c>
      <c r="O225" s="14" t="str">
        <f t="shared" si="58"/>
        <v>00</v>
      </c>
    </row>
    <row r="226" spans="1:25" hidden="1">
      <c r="A226" s="143">
        <v>394</v>
      </c>
      <c r="B226" s="1">
        <f>IF(G226="-",0,IF(G225=G226,1,0))</f>
        <v>0</v>
      </c>
      <c r="C226" s="1">
        <f>+IF(G226="-",0,IF(I226=I225+1,0,(IF(I226=1,0,1))))</f>
        <v>0</v>
      </c>
      <c r="D226" s="1">
        <f>+IF(AND(P226="",Q226=""),1,0)</f>
        <v>0</v>
      </c>
      <c r="E226" s="1">
        <f t="shared" ref="E226:F230" si="65">IF(U226="",1,0)</f>
        <v>0</v>
      </c>
      <c r="F226" s="1">
        <f t="shared" si="65"/>
        <v>0</v>
      </c>
      <c r="G226" s="1" t="str">
        <f>IF(H226=0,"-",_xlfn.CONCAT(K226,N226,O226,J226))</f>
        <v>25012601</v>
      </c>
      <c r="H226" s="2">
        <v>45683</v>
      </c>
      <c r="I226" s="113">
        <v>1</v>
      </c>
      <c r="J226" s="1" t="str">
        <f t="shared" si="53"/>
        <v>01</v>
      </c>
      <c r="K226" s="3">
        <f t="shared" si="54"/>
        <v>25</v>
      </c>
      <c r="L226" s="3">
        <f t="shared" si="55"/>
        <v>1</v>
      </c>
      <c r="M226" s="3">
        <f t="shared" si="56"/>
        <v>26</v>
      </c>
      <c r="N226" s="3" t="str">
        <f t="shared" si="57"/>
        <v>01</v>
      </c>
      <c r="O226" s="14">
        <f t="shared" si="58"/>
        <v>26</v>
      </c>
      <c r="P226" s="4">
        <v>20982.5</v>
      </c>
      <c r="T226" s="5" t="s">
        <v>1972</v>
      </c>
      <c r="U226" s="3" t="s">
        <v>1310</v>
      </c>
      <c r="V226" s="3" t="s">
        <v>1316</v>
      </c>
      <c r="W226" s="3" t="s">
        <v>1309</v>
      </c>
      <c r="X226" s="1" t="s">
        <v>1302</v>
      </c>
      <c r="Y226" s="141" t="s">
        <v>1963</v>
      </c>
    </row>
    <row r="227" spans="1:25" hidden="1">
      <c r="A227" s="143">
        <v>399</v>
      </c>
      <c r="B227" s="1">
        <f>IF(G227="-",0,IF(G226=G227,1,0))</f>
        <v>0</v>
      </c>
      <c r="C227" s="1">
        <f>+IF(G227="-",0,IF(I227=I226+1,0,(IF(I227=1,0,1))))</f>
        <v>0</v>
      </c>
      <c r="D227" s="1">
        <f>+IF(AND(P227="",Q227=""),1,0)</f>
        <v>0</v>
      </c>
      <c r="E227" s="1">
        <f t="shared" si="65"/>
        <v>0</v>
      </c>
      <c r="F227" s="1">
        <f t="shared" si="65"/>
        <v>0</v>
      </c>
      <c r="G227" s="1" t="str">
        <f>IF(H227=0,"-",_xlfn.CONCAT(K227,N227,O227,J227))</f>
        <v>25012602</v>
      </c>
      <c r="H227" s="2">
        <v>45683</v>
      </c>
      <c r="I227" s="113">
        <v>2</v>
      </c>
      <c r="J227" s="1" t="str">
        <f t="shared" si="53"/>
        <v>02</v>
      </c>
      <c r="K227" s="3">
        <f t="shared" si="54"/>
        <v>25</v>
      </c>
      <c r="L227" s="3">
        <f t="shared" si="55"/>
        <v>1</v>
      </c>
      <c r="M227" s="3">
        <f t="shared" si="56"/>
        <v>26</v>
      </c>
      <c r="N227" s="3" t="str">
        <f t="shared" si="57"/>
        <v>01</v>
      </c>
      <c r="O227" s="14">
        <f t="shared" si="58"/>
        <v>26</v>
      </c>
      <c r="P227" s="4">
        <v>13980</v>
      </c>
      <c r="T227" s="5" t="s">
        <v>1971</v>
      </c>
      <c r="U227" s="3" t="s">
        <v>1310</v>
      </c>
      <c r="V227" s="3" t="s">
        <v>1304</v>
      </c>
      <c r="W227" s="3" t="s">
        <v>1309</v>
      </c>
      <c r="X227" s="1" t="s">
        <v>1302</v>
      </c>
      <c r="Y227" s="141" t="s">
        <v>1963</v>
      </c>
    </row>
    <row r="228" spans="1:25" hidden="1">
      <c r="A228" s="143">
        <v>169</v>
      </c>
      <c r="B228" s="1">
        <f>IF(G228="-",0,IF(G227=G228,1,0))</f>
        <v>0</v>
      </c>
      <c r="C228" s="1">
        <f>+IF(G228="-",0,IF(I228=I227+1,0,(IF(I228=1,0,1))))</f>
        <v>0</v>
      </c>
      <c r="D228" s="1">
        <f>+IF(AND(P228="",Q228=""),1,0)</f>
        <v>0</v>
      </c>
      <c r="E228" s="1">
        <f t="shared" si="65"/>
        <v>0</v>
      </c>
      <c r="F228" s="1">
        <f t="shared" si="65"/>
        <v>0</v>
      </c>
      <c r="G228" s="1" t="str">
        <f>IF(H228=0,"-",_xlfn.CONCAT(K228,N228,O228,J228))</f>
        <v>25012701</v>
      </c>
      <c r="H228" s="2">
        <v>45684</v>
      </c>
      <c r="I228" s="113">
        <v>1</v>
      </c>
      <c r="J228" s="1" t="str">
        <f t="shared" si="53"/>
        <v>01</v>
      </c>
      <c r="K228" s="3">
        <f t="shared" si="54"/>
        <v>25</v>
      </c>
      <c r="L228" s="3">
        <f t="shared" si="55"/>
        <v>1</v>
      </c>
      <c r="M228" s="3">
        <f t="shared" si="56"/>
        <v>27</v>
      </c>
      <c r="N228" s="3" t="str">
        <f t="shared" si="57"/>
        <v>01</v>
      </c>
      <c r="O228" s="14">
        <f t="shared" si="58"/>
        <v>27</v>
      </c>
      <c r="P228" s="4">
        <v>58693.95</v>
      </c>
      <c r="T228" s="5" t="s">
        <v>1970</v>
      </c>
      <c r="U228" s="3" t="s">
        <v>29</v>
      </c>
      <c r="V228" s="3" t="s">
        <v>5</v>
      </c>
      <c r="W228" t="s">
        <v>1309</v>
      </c>
      <c r="X228" s="159" t="s">
        <v>1305</v>
      </c>
      <c r="Y228" s="141" t="s">
        <v>1969</v>
      </c>
    </row>
    <row r="229" spans="1:25">
      <c r="A229" s="143">
        <v>178</v>
      </c>
      <c r="B229" s="1">
        <f>IF(G229="-",0,IF(G228=G229,1,0))</f>
        <v>0</v>
      </c>
      <c r="C229" s="1">
        <f>+IF(G229="-",0,IF(I229=I228+1,0,(IF(I229=1,0,1))))</f>
        <v>0</v>
      </c>
      <c r="D229" s="1">
        <f>+IF(AND(P229="",Q229=""),1,0)</f>
        <v>0</v>
      </c>
      <c r="E229" s="1">
        <f t="shared" si="65"/>
        <v>0</v>
      </c>
      <c r="F229" s="1">
        <f t="shared" si="65"/>
        <v>0</v>
      </c>
      <c r="G229" s="1" t="str">
        <f>IF(H229=0,"-",_xlfn.CONCAT(K229,N229,O229,J229))</f>
        <v>25012702</v>
      </c>
      <c r="H229" s="2">
        <v>45684</v>
      </c>
      <c r="I229" s="113">
        <v>2</v>
      </c>
      <c r="J229" s="1" t="str">
        <f t="shared" si="53"/>
        <v>02</v>
      </c>
      <c r="K229" s="3">
        <f t="shared" si="54"/>
        <v>25</v>
      </c>
      <c r="L229" s="3">
        <f t="shared" si="55"/>
        <v>1</v>
      </c>
      <c r="M229" s="3">
        <f t="shared" si="56"/>
        <v>27</v>
      </c>
      <c r="N229" s="3" t="str">
        <f t="shared" si="57"/>
        <v>01</v>
      </c>
      <c r="O229" s="14">
        <f t="shared" si="58"/>
        <v>27</v>
      </c>
      <c r="P229" s="4">
        <v>389850</v>
      </c>
      <c r="T229" s="5" t="s">
        <v>1968</v>
      </c>
      <c r="U229" s="3" t="s">
        <v>1313</v>
      </c>
      <c r="V229" s="3" t="s">
        <v>5</v>
      </c>
      <c r="W229"/>
      <c r="X229" s="159" t="s">
        <v>1305</v>
      </c>
    </row>
    <row r="230" spans="1:25" hidden="1">
      <c r="A230" s="143">
        <v>179</v>
      </c>
      <c r="B230" s="1">
        <f>IF(G230="-",0,IF(G229=G230,1,0))</f>
        <v>0</v>
      </c>
      <c r="C230" s="1">
        <f>+IF(G230="-",0,IF(I230=I229+1,0,(IF(I230=1,0,1))))</f>
        <v>0</v>
      </c>
      <c r="D230" s="1">
        <f>+IF(AND(P230="",Q230=""),1,0)</f>
        <v>0</v>
      </c>
      <c r="E230" s="1">
        <f t="shared" si="65"/>
        <v>0</v>
      </c>
      <c r="F230" s="1">
        <f t="shared" si="65"/>
        <v>0</v>
      </c>
      <c r="G230" s="1" t="str">
        <f>IF(H230=0,"-",_xlfn.CONCAT(K230,N230,O230,J230))</f>
        <v>25012703</v>
      </c>
      <c r="H230" s="2">
        <v>45684</v>
      </c>
      <c r="I230" s="113">
        <v>3</v>
      </c>
      <c r="J230" s="1" t="str">
        <f t="shared" si="53"/>
        <v>03</v>
      </c>
      <c r="K230" s="3">
        <f t="shared" si="54"/>
        <v>25</v>
      </c>
      <c r="L230" s="3">
        <f t="shared" si="55"/>
        <v>1</v>
      </c>
      <c r="M230" s="3">
        <f t="shared" si="56"/>
        <v>27</v>
      </c>
      <c r="N230" s="3" t="str">
        <f t="shared" si="57"/>
        <v>01</v>
      </c>
      <c r="O230" s="14">
        <f t="shared" si="58"/>
        <v>27</v>
      </c>
      <c r="P230" s="4">
        <v>120196.5</v>
      </c>
      <c r="T230" s="5" t="s">
        <v>352</v>
      </c>
      <c r="U230" s="3" t="s">
        <v>30</v>
      </c>
      <c r="V230" s="3" t="s">
        <v>1312</v>
      </c>
      <c r="W230" t="s">
        <v>1307</v>
      </c>
      <c r="X230" s="159" t="s">
        <v>1305</v>
      </c>
    </row>
    <row r="231" spans="1:25" hidden="1">
      <c r="A231" s="143"/>
      <c r="J231" s="1" t="str">
        <f t="shared" si="53"/>
        <v>0</v>
      </c>
      <c r="K231" s="3">
        <f t="shared" si="54"/>
        <v>-100</v>
      </c>
      <c r="L231" s="3">
        <f t="shared" si="55"/>
        <v>1</v>
      </c>
      <c r="M231" s="3">
        <f t="shared" si="56"/>
        <v>0</v>
      </c>
      <c r="N231" s="3" t="str">
        <f t="shared" si="57"/>
        <v>01</v>
      </c>
      <c r="O231" s="14" t="str">
        <f t="shared" si="58"/>
        <v>00</v>
      </c>
      <c r="W231"/>
      <c r="X231" s="159"/>
    </row>
    <row r="232" spans="1:25" hidden="1">
      <c r="A232" s="143"/>
      <c r="J232" s="1" t="str">
        <f t="shared" si="53"/>
        <v>0</v>
      </c>
      <c r="K232" s="3">
        <f t="shared" si="54"/>
        <v>-100</v>
      </c>
      <c r="L232" s="3">
        <f t="shared" si="55"/>
        <v>1</v>
      </c>
      <c r="M232" s="3">
        <f t="shared" si="56"/>
        <v>0</v>
      </c>
      <c r="N232" s="3" t="str">
        <f t="shared" si="57"/>
        <v>01</v>
      </c>
      <c r="O232" s="14" t="str">
        <f t="shared" si="58"/>
        <v>00</v>
      </c>
      <c r="W232"/>
      <c r="X232" s="159"/>
    </row>
    <row r="233" spans="1:25" hidden="1">
      <c r="A233" s="143"/>
      <c r="J233" s="1" t="str">
        <f t="shared" si="53"/>
        <v>0</v>
      </c>
      <c r="K233" s="3">
        <f t="shared" si="54"/>
        <v>-100</v>
      </c>
      <c r="L233" s="3">
        <f t="shared" si="55"/>
        <v>1</v>
      </c>
      <c r="M233" s="3">
        <f t="shared" si="56"/>
        <v>0</v>
      </c>
      <c r="N233" s="3" t="str">
        <f t="shared" si="57"/>
        <v>01</v>
      </c>
      <c r="O233" s="14" t="str">
        <f t="shared" si="58"/>
        <v>00</v>
      </c>
      <c r="W233"/>
      <c r="X233" s="159"/>
    </row>
    <row r="234" spans="1:25" hidden="1">
      <c r="A234" s="143"/>
      <c r="J234" s="1" t="str">
        <f t="shared" si="53"/>
        <v>0</v>
      </c>
      <c r="K234" s="3">
        <f t="shared" si="54"/>
        <v>-100</v>
      </c>
      <c r="L234" s="3">
        <f t="shared" si="55"/>
        <v>1</v>
      </c>
      <c r="M234" s="3">
        <f t="shared" si="56"/>
        <v>0</v>
      </c>
      <c r="N234" s="3" t="str">
        <f t="shared" si="57"/>
        <v>01</v>
      </c>
      <c r="O234" s="14" t="str">
        <f t="shared" si="58"/>
        <v>00</v>
      </c>
      <c r="W234"/>
      <c r="X234" s="159"/>
    </row>
    <row r="235" spans="1:25">
      <c r="A235" s="143">
        <v>207</v>
      </c>
      <c r="B235" s="1">
        <f>IF(G235="-",0,IF(G234=G235,1,0))</f>
        <v>0</v>
      </c>
      <c r="C235" s="1">
        <f>+IF(G235="-",0,IF(I235=I234+1,0,(IF(I235=1,0,1))))</f>
        <v>1</v>
      </c>
      <c r="D235" s="1">
        <f>+IF(AND(P235="",Q235=""),1,0)</f>
        <v>0</v>
      </c>
      <c r="E235" s="1">
        <f>IF(U235="",1,0)</f>
        <v>0</v>
      </c>
      <c r="F235" s="1">
        <f>IF(V235="",1,0)</f>
        <v>0</v>
      </c>
      <c r="G235" s="1" t="str">
        <f>IF(H235=0,"-",_xlfn.CONCAT(K235,N235,O235,J235))</f>
        <v>25012708</v>
      </c>
      <c r="H235" s="2">
        <v>45684</v>
      </c>
      <c r="I235" s="113">
        <v>8</v>
      </c>
      <c r="J235" s="1" t="str">
        <f t="shared" si="53"/>
        <v>08</v>
      </c>
      <c r="K235" s="3">
        <f t="shared" si="54"/>
        <v>25</v>
      </c>
      <c r="L235" s="3">
        <f t="shared" si="55"/>
        <v>1</v>
      </c>
      <c r="M235" s="3">
        <f t="shared" si="56"/>
        <v>27</v>
      </c>
      <c r="N235" s="3" t="str">
        <f t="shared" si="57"/>
        <v>01</v>
      </c>
      <c r="O235" s="14">
        <f t="shared" si="58"/>
        <v>27</v>
      </c>
      <c r="P235" s="4">
        <v>200000</v>
      </c>
      <c r="T235" s="5" t="s">
        <v>1570</v>
      </c>
      <c r="U235" s="3" t="s">
        <v>1</v>
      </c>
      <c r="V235" s="3" t="s">
        <v>5</v>
      </c>
      <c r="W235" t="s">
        <v>1306</v>
      </c>
      <c r="X235" s="159" t="s">
        <v>1302</v>
      </c>
      <c r="Y235" s="141" t="s">
        <v>72</v>
      </c>
    </row>
    <row r="236" spans="1:25">
      <c r="A236" s="143">
        <v>208</v>
      </c>
      <c r="B236" s="1">
        <f>IF(G236="-",0,IF(G235=G236,1,0))</f>
        <v>0</v>
      </c>
      <c r="C236" s="1">
        <f>+IF(G236="-",0,IF(I236=I235+1,0,(IF(I236=1,0,1))))</f>
        <v>0</v>
      </c>
      <c r="D236" s="1">
        <f>+IF(AND(P236="",Q236=""),1,0)</f>
        <v>0</v>
      </c>
      <c r="E236" s="1">
        <f>IF(U236="",1,0)</f>
        <v>0</v>
      </c>
      <c r="F236" s="1">
        <f>IF(V236="",1,0)</f>
        <v>0</v>
      </c>
      <c r="G236" s="1" t="str">
        <f>IF(H236=0,"-",_xlfn.CONCAT(K236,N236,O236,J236))</f>
        <v>25012709</v>
      </c>
      <c r="H236" s="2">
        <v>45684</v>
      </c>
      <c r="I236" s="113">
        <v>9</v>
      </c>
      <c r="J236" s="1" t="str">
        <f t="shared" si="53"/>
        <v>09</v>
      </c>
      <c r="K236" s="3">
        <f t="shared" si="54"/>
        <v>25</v>
      </c>
      <c r="L236" s="3">
        <f t="shared" si="55"/>
        <v>1</v>
      </c>
      <c r="M236" s="3">
        <f t="shared" si="56"/>
        <v>27</v>
      </c>
      <c r="N236" s="3" t="str">
        <f t="shared" si="57"/>
        <v>01</v>
      </c>
      <c r="O236" s="14">
        <f t="shared" si="58"/>
        <v>27</v>
      </c>
      <c r="P236" s="4">
        <v>565000</v>
      </c>
      <c r="T236" s="5" t="s">
        <v>1967</v>
      </c>
      <c r="U236" s="3" t="s">
        <v>1</v>
      </c>
      <c r="V236" s="3" t="s">
        <v>5</v>
      </c>
      <c r="W236" t="s">
        <v>1306</v>
      </c>
      <c r="X236" s="159"/>
    </row>
    <row r="237" spans="1:25" hidden="1">
      <c r="A237" s="143"/>
      <c r="J237" s="1" t="str">
        <f t="shared" si="53"/>
        <v>0</v>
      </c>
      <c r="K237" s="3">
        <f t="shared" si="54"/>
        <v>-100</v>
      </c>
      <c r="L237" s="3">
        <f t="shared" si="55"/>
        <v>1</v>
      </c>
      <c r="M237" s="3">
        <f t="shared" si="56"/>
        <v>0</v>
      </c>
      <c r="N237" s="3" t="str">
        <f t="shared" si="57"/>
        <v>01</v>
      </c>
      <c r="O237" s="14" t="str">
        <f t="shared" si="58"/>
        <v>00</v>
      </c>
      <c r="W237"/>
      <c r="X237" s="159"/>
    </row>
    <row r="238" spans="1:25" hidden="1">
      <c r="A238" s="143">
        <v>376</v>
      </c>
      <c r="B238" s="1">
        <f>IF(G238="-",0,IF(G237=G238,1,0))</f>
        <v>0</v>
      </c>
      <c r="C238" s="1">
        <f>+IF(G238="-",0,IF(I238=I237+1,0,(IF(I238=1,0,1))))</f>
        <v>1</v>
      </c>
      <c r="D238" s="1">
        <f>+IF(AND(P238="",Q238=""),1,0)</f>
        <v>0</v>
      </c>
      <c r="E238" s="1">
        <f>IF(U238="",1,0)</f>
        <v>0</v>
      </c>
      <c r="F238" s="1">
        <f>IF(V238="",1,0)</f>
        <v>0</v>
      </c>
      <c r="G238" s="1" t="str">
        <f>IF(H238=0,"-",_xlfn.CONCAT(K238,N238,O238,J238))</f>
        <v>25012711</v>
      </c>
      <c r="H238" s="2">
        <v>45684</v>
      </c>
      <c r="I238" s="113">
        <v>11</v>
      </c>
      <c r="J238" s="1">
        <f t="shared" si="53"/>
        <v>11</v>
      </c>
      <c r="K238" s="3">
        <f t="shared" si="54"/>
        <v>25</v>
      </c>
      <c r="L238" s="3">
        <f t="shared" si="55"/>
        <v>1</v>
      </c>
      <c r="M238" s="3">
        <f t="shared" si="56"/>
        <v>27</v>
      </c>
      <c r="N238" s="3" t="str">
        <f t="shared" si="57"/>
        <v>01</v>
      </c>
      <c r="O238" s="14">
        <f t="shared" si="58"/>
        <v>27</v>
      </c>
      <c r="P238" s="4">
        <v>-9419.9599999999991</v>
      </c>
      <c r="T238" s="5" t="s">
        <v>1966</v>
      </c>
      <c r="U238" s="3" t="s">
        <v>29</v>
      </c>
      <c r="V238" s="3" t="s">
        <v>5</v>
      </c>
      <c r="W238" s="3" t="s">
        <v>1045</v>
      </c>
      <c r="X238" s="1" t="s">
        <v>1305</v>
      </c>
      <c r="Y238" s="141" t="s">
        <v>1965</v>
      </c>
    </row>
    <row r="239" spans="1:25" hidden="1">
      <c r="A239" s="143"/>
      <c r="J239" s="1" t="str">
        <f t="shared" si="53"/>
        <v>0</v>
      </c>
      <c r="K239" s="3">
        <f t="shared" si="54"/>
        <v>-100</v>
      </c>
      <c r="L239" s="3">
        <f t="shared" si="55"/>
        <v>1</v>
      </c>
      <c r="M239" s="3">
        <f t="shared" si="56"/>
        <v>0</v>
      </c>
      <c r="N239" s="3" t="str">
        <f t="shared" si="57"/>
        <v>01</v>
      </c>
      <c r="O239" s="14" t="str">
        <f t="shared" si="58"/>
        <v>00</v>
      </c>
    </row>
    <row r="240" spans="1:25" hidden="1">
      <c r="A240" s="143"/>
      <c r="J240" s="1" t="str">
        <f t="shared" si="53"/>
        <v>0</v>
      </c>
      <c r="K240" s="3">
        <f t="shared" si="54"/>
        <v>-100</v>
      </c>
      <c r="L240" s="3">
        <f t="shared" si="55"/>
        <v>1</v>
      </c>
      <c r="M240" s="3">
        <f t="shared" si="56"/>
        <v>0</v>
      </c>
      <c r="N240" s="3" t="str">
        <f t="shared" si="57"/>
        <v>01</v>
      </c>
      <c r="O240" s="14" t="str">
        <f t="shared" si="58"/>
        <v>00</v>
      </c>
    </row>
    <row r="241" spans="1:25" hidden="1">
      <c r="A241" s="143"/>
      <c r="J241" s="1" t="str">
        <f t="shared" si="53"/>
        <v>0</v>
      </c>
      <c r="K241" s="3">
        <f t="shared" si="54"/>
        <v>-100</v>
      </c>
      <c r="L241" s="3">
        <f t="shared" si="55"/>
        <v>1</v>
      </c>
      <c r="M241" s="3">
        <f t="shared" si="56"/>
        <v>0</v>
      </c>
      <c r="N241" s="3" t="str">
        <f t="shared" si="57"/>
        <v>01</v>
      </c>
      <c r="O241" s="14" t="str">
        <f t="shared" si="58"/>
        <v>00</v>
      </c>
    </row>
    <row r="242" spans="1:25" hidden="1">
      <c r="A242" s="143">
        <v>184</v>
      </c>
      <c r="B242" s="1">
        <f>IF(G242="-",0,IF(G241=G242,1,0))</f>
        <v>0</v>
      </c>
      <c r="C242" s="1">
        <f>+IF(G242="-",0,IF(I242=I241+1,0,(IF(I242=1,0,1))))</f>
        <v>0</v>
      </c>
      <c r="D242" s="1">
        <f>+IF(AND(P242="",Q242=""),1,0)</f>
        <v>0</v>
      </c>
      <c r="E242" s="1">
        <f>IF(U242="",1,0)</f>
        <v>0</v>
      </c>
      <c r="F242" s="1">
        <f>IF(V242="",1,0)</f>
        <v>0</v>
      </c>
      <c r="G242" s="1" t="str">
        <f>IF(H242=0,"-",_xlfn.CONCAT(K242,N242,O242,J242))</f>
        <v>25012801</v>
      </c>
      <c r="H242" s="2">
        <v>45685</v>
      </c>
      <c r="I242" s="113">
        <v>1</v>
      </c>
      <c r="J242" s="1" t="str">
        <f t="shared" si="53"/>
        <v>01</v>
      </c>
      <c r="K242" s="3">
        <f t="shared" si="54"/>
        <v>25</v>
      </c>
      <c r="L242" s="3">
        <f t="shared" si="55"/>
        <v>1</v>
      </c>
      <c r="M242" s="3">
        <f t="shared" si="56"/>
        <v>28</v>
      </c>
      <c r="N242" s="3" t="str">
        <f t="shared" si="57"/>
        <v>01</v>
      </c>
      <c r="O242" s="14">
        <f t="shared" si="58"/>
        <v>28</v>
      </c>
      <c r="P242" s="4">
        <v>8500</v>
      </c>
      <c r="T242" s="5" t="s">
        <v>352</v>
      </c>
      <c r="U242" s="3" t="s">
        <v>30</v>
      </c>
      <c r="V242" s="3" t="s">
        <v>1312</v>
      </c>
      <c r="W242" t="s">
        <v>1307</v>
      </c>
      <c r="X242" s="159" t="s">
        <v>1305</v>
      </c>
    </row>
    <row r="243" spans="1:25" hidden="1">
      <c r="A243" s="143"/>
      <c r="J243" s="1" t="str">
        <f t="shared" si="53"/>
        <v>0</v>
      </c>
      <c r="K243" s="3">
        <f t="shared" si="54"/>
        <v>-100</v>
      </c>
      <c r="L243" s="3">
        <f t="shared" si="55"/>
        <v>1</v>
      </c>
      <c r="M243" s="3">
        <f t="shared" si="56"/>
        <v>0</v>
      </c>
      <c r="N243" s="3" t="str">
        <f t="shared" si="57"/>
        <v>01</v>
      </c>
      <c r="O243" s="14" t="str">
        <f t="shared" si="58"/>
        <v>00</v>
      </c>
      <c r="W243"/>
      <c r="X243" s="159"/>
    </row>
    <row r="244" spans="1:25" hidden="1">
      <c r="A244" s="143"/>
      <c r="J244" s="1" t="str">
        <f t="shared" si="53"/>
        <v>0</v>
      </c>
      <c r="K244" s="3">
        <f t="shared" si="54"/>
        <v>-100</v>
      </c>
      <c r="L244" s="3">
        <f t="shared" si="55"/>
        <v>1</v>
      </c>
      <c r="M244" s="3">
        <f t="shared" si="56"/>
        <v>0</v>
      </c>
      <c r="N244" s="3" t="str">
        <f t="shared" si="57"/>
        <v>01</v>
      </c>
      <c r="O244" s="14" t="str">
        <f t="shared" si="58"/>
        <v>00</v>
      </c>
      <c r="W244"/>
      <c r="X244" s="159"/>
    </row>
    <row r="245" spans="1:25" hidden="1">
      <c r="A245" s="143"/>
      <c r="J245" s="1" t="str">
        <f t="shared" si="53"/>
        <v>0</v>
      </c>
      <c r="K245" s="3">
        <f t="shared" si="54"/>
        <v>-100</v>
      </c>
      <c r="L245" s="3">
        <f t="shared" si="55"/>
        <v>1</v>
      </c>
      <c r="M245" s="3">
        <f t="shared" si="56"/>
        <v>0</v>
      </c>
      <c r="N245" s="3" t="str">
        <f t="shared" si="57"/>
        <v>01</v>
      </c>
      <c r="O245" s="14" t="str">
        <f t="shared" si="58"/>
        <v>00</v>
      </c>
      <c r="W245"/>
      <c r="X245" s="159"/>
    </row>
    <row r="246" spans="1:25" hidden="1">
      <c r="A246" s="143">
        <v>396</v>
      </c>
      <c r="B246" s="1">
        <f>IF(G246="-",0,IF(G245=G246,1,0))</f>
        <v>0</v>
      </c>
      <c r="C246" s="1">
        <f>+IF(G246="-",0,IF(I246=I245+1,0,(IF(I246=1,0,1))))</f>
        <v>1</v>
      </c>
      <c r="D246" s="1">
        <f>+IF(AND(P246="",Q246=""),1,0)</f>
        <v>0</v>
      </c>
      <c r="E246" s="1">
        <f>IF(U246="",1,0)</f>
        <v>0</v>
      </c>
      <c r="F246" s="1">
        <f>IF(V246="",1,0)</f>
        <v>0</v>
      </c>
      <c r="G246" s="1" t="str">
        <f>IF(H246=0,"-",_xlfn.CONCAT(K246,N246,O246,J246))</f>
        <v>25012805</v>
      </c>
      <c r="H246" s="2">
        <v>45685</v>
      </c>
      <c r="I246" s="113">
        <v>5</v>
      </c>
      <c r="J246" s="1" t="str">
        <f t="shared" si="53"/>
        <v>05</v>
      </c>
      <c r="K246" s="3">
        <f t="shared" si="54"/>
        <v>25</v>
      </c>
      <c r="L246" s="3">
        <f t="shared" si="55"/>
        <v>1</v>
      </c>
      <c r="M246" s="3">
        <f t="shared" si="56"/>
        <v>28</v>
      </c>
      <c r="N246" s="3" t="str">
        <f t="shared" si="57"/>
        <v>01</v>
      </c>
      <c r="O246" s="14">
        <f t="shared" si="58"/>
        <v>28</v>
      </c>
      <c r="P246" s="4">
        <v>2650</v>
      </c>
      <c r="T246" s="5" t="s">
        <v>1964</v>
      </c>
      <c r="U246" s="3" t="s">
        <v>1310</v>
      </c>
      <c r="V246" s="3" t="s">
        <v>1304</v>
      </c>
      <c r="W246" s="3" t="s">
        <v>1309</v>
      </c>
      <c r="X246" s="1" t="s">
        <v>1302</v>
      </c>
      <c r="Y246" s="141" t="s">
        <v>1963</v>
      </c>
    </row>
    <row r="247" spans="1:25" hidden="1">
      <c r="A247" s="143"/>
      <c r="J247" s="1" t="str">
        <f t="shared" si="53"/>
        <v>0</v>
      </c>
      <c r="K247" s="3">
        <f t="shared" si="54"/>
        <v>-100</v>
      </c>
      <c r="L247" s="3">
        <f t="shared" si="55"/>
        <v>1</v>
      </c>
      <c r="M247" s="3">
        <f t="shared" si="56"/>
        <v>0</v>
      </c>
      <c r="N247" s="3" t="str">
        <f t="shared" si="57"/>
        <v>01</v>
      </c>
      <c r="O247" s="14" t="str">
        <f t="shared" si="58"/>
        <v>00</v>
      </c>
      <c r="W247"/>
      <c r="X247" s="159"/>
    </row>
    <row r="248" spans="1:25" hidden="1">
      <c r="A248" s="143"/>
      <c r="J248" s="1" t="str">
        <f t="shared" si="53"/>
        <v>0</v>
      </c>
      <c r="K248" s="3">
        <f t="shared" si="54"/>
        <v>-100</v>
      </c>
      <c r="L248" s="3">
        <f t="shared" si="55"/>
        <v>1</v>
      </c>
      <c r="M248" s="3">
        <f t="shared" si="56"/>
        <v>0</v>
      </c>
      <c r="N248" s="3" t="str">
        <f t="shared" si="57"/>
        <v>01</v>
      </c>
      <c r="O248" s="14" t="str">
        <f t="shared" si="58"/>
        <v>00</v>
      </c>
    </row>
    <row r="249" spans="1:25" hidden="1">
      <c r="A249" s="143">
        <v>658</v>
      </c>
      <c r="B249" s="1">
        <f>IF(G249="-",0,IF(G248=G249,1,0))</f>
        <v>0</v>
      </c>
      <c r="C249" s="1">
        <f>+IF(G249="-",0,IF(I249=I248+1,0,(IF(I249=1,0,1))))</f>
        <v>1</v>
      </c>
      <c r="D249" s="1">
        <f>+IF(AND(P249="",Q249=""),1,0)</f>
        <v>0</v>
      </c>
      <c r="E249" s="1">
        <f t="shared" ref="E249:F251" si="66">IF(U249="",1,0)</f>
        <v>0</v>
      </c>
      <c r="F249" s="1">
        <f t="shared" si="66"/>
        <v>0</v>
      </c>
      <c r="G249" s="1" t="str">
        <f>IF(H249=0,"-",_xlfn.CONCAT(K249,N249,O249,J249))</f>
        <v>25012808</v>
      </c>
      <c r="H249" s="2">
        <v>45685</v>
      </c>
      <c r="I249" s="162">
        <v>8</v>
      </c>
      <c r="J249" s="1" t="str">
        <f t="shared" si="53"/>
        <v>08</v>
      </c>
      <c r="K249" s="3">
        <f t="shared" si="54"/>
        <v>25</v>
      </c>
      <c r="L249" s="3">
        <f t="shared" si="55"/>
        <v>1</v>
      </c>
      <c r="M249" s="3">
        <f t="shared" si="56"/>
        <v>28</v>
      </c>
      <c r="N249" s="3" t="str">
        <f t="shared" si="57"/>
        <v>01</v>
      </c>
      <c r="O249" s="14">
        <f t="shared" si="58"/>
        <v>28</v>
      </c>
      <c r="P249" s="4">
        <v>2865</v>
      </c>
      <c r="T249" s="5" t="s">
        <v>1486</v>
      </c>
      <c r="U249" s="3" t="s">
        <v>1310</v>
      </c>
      <c r="V249" s="3" t="s">
        <v>1304</v>
      </c>
      <c r="W249" s="3" t="s">
        <v>1309</v>
      </c>
      <c r="X249" s="1" t="s">
        <v>1302</v>
      </c>
    </row>
    <row r="250" spans="1:25">
      <c r="A250" s="143">
        <v>188</v>
      </c>
      <c r="B250" s="1">
        <f>IF(G250="-",0,IF(G249=G250,1,0))</f>
        <v>0</v>
      </c>
      <c r="C250" s="1">
        <f>+IF(G250="-",0,IF(I250=I249+1,0,(IF(I250=1,0,1))))</f>
        <v>0</v>
      </c>
      <c r="D250" s="1">
        <f>+IF(AND(P250="",Q250=""),1,0)</f>
        <v>0</v>
      </c>
      <c r="E250" s="1">
        <f t="shared" si="66"/>
        <v>0</v>
      </c>
      <c r="F250" s="1">
        <f t="shared" si="66"/>
        <v>0</v>
      </c>
      <c r="G250" s="1" t="str">
        <f>IF(H250=0,"-",_xlfn.CONCAT(K250,N250,O250,J250))</f>
        <v>25012901</v>
      </c>
      <c r="H250" s="2">
        <v>45686</v>
      </c>
      <c r="I250" s="113">
        <v>1</v>
      </c>
      <c r="J250" s="1" t="str">
        <f t="shared" si="53"/>
        <v>01</v>
      </c>
      <c r="K250" s="3">
        <f t="shared" si="54"/>
        <v>25</v>
      </c>
      <c r="L250" s="3">
        <f t="shared" si="55"/>
        <v>1</v>
      </c>
      <c r="M250" s="3">
        <f t="shared" si="56"/>
        <v>29</v>
      </c>
      <c r="N250" s="3" t="str">
        <f t="shared" si="57"/>
        <v>01</v>
      </c>
      <c r="O250" s="14">
        <f t="shared" si="58"/>
        <v>29</v>
      </c>
      <c r="P250" s="4">
        <v>364442.97</v>
      </c>
      <c r="T250" s="5" t="s">
        <v>1962</v>
      </c>
      <c r="U250" s="3" t="s">
        <v>2</v>
      </c>
      <c r="V250" s="3" t="s">
        <v>5</v>
      </c>
      <c r="W250" t="s">
        <v>1306</v>
      </c>
      <c r="X250" s="159" t="s">
        <v>1305</v>
      </c>
    </row>
    <row r="251" spans="1:25">
      <c r="A251" s="143">
        <v>189</v>
      </c>
      <c r="B251" s="1">
        <f>IF(G251="-",0,IF(G250=G251,1,0))</f>
        <v>0</v>
      </c>
      <c r="C251" s="1">
        <f>+IF(G251="-",0,IF(I251=I250+1,0,(IF(I251=1,0,1))))</f>
        <v>0</v>
      </c>
      <c r="D251" s="1">
        <f>+IF(AND(P251="",Q251=""),1,0)</f>
        <v>0</v>
      </c>
      <c r="E251" s="1">
        <f t="shared" si="66"/>
        <v>0</v>
      </c>
      <c r="F251" s="1">
        <f t="shared" si="66"/>
        <v>0</v>
      </c>
      <c r="G251" s="1" t="str">
        <f>IF(H251=0,"-",_xlfn.CONCAT(K251,N251,O251,J251))</f>
        <v>25012902</v>
      </c>
      <c r="H251" s="2">
        <v>45686</v>
      </c>
      <c r="I251" s="113">
        <v>2</v>
      </c>
      <c r="J251" s="1" t="str">
        <f t="shared" si="53"/>
        <v>02</v>
      </c>
      <c r="K251" s="3">
        <f t="shared" si="54"/>
        <v>25</v>
      </c>
      <c r="L251" s="3">
        <f t="shared" si="55"/>
        <v>1</v>
      </c>
      <c r="M251" s="3">
        <f t="shared" si="56"/>
        <v>29</v>
      </c>
      <c r="N251" s="3" t="str">
        <f t="shared" si="57"/>
        <v>01</v>
      </c>
      <c r="O251" s="14">
        <f t="shared" si="58"/>
        <v>29</v>
      </c>
      <c r="P251" s="4">
        <v>736266.47</v>
      </c>
      <c r="T251" s="5" t="s">
        <v>1961</v>
      </c>
      <c r="U251" s="3" t="s">
        <v>1</v>
      </c>
      <c r="V251" s="3" t="s">
        <v>5</v>
      </c>
      <c r="W251" t="s">
        <v>1306</v>
      </c>
      <c r="X251" s="159" t="s">
        <v>1305</v>
      </c>
    </row>
    <row r="252" spans="1:25" hidden="1">
      <c r="A252" s="143"/>
      <c r="J252" s="1" t="str">
        <f t="shared" si="53"/>
        <v>0</v>
      </c>
      <c r="K252" s="3">
        <f t="shared" si="54"/>
        <v>-100</v>
      </c>
      <c r="L252" s="3">
        <f t="shared" si="55"/>
        <v>1</v>
      </c>
      <c r="M252" s="3">
        <f t="shared" si="56"/>
        <v>0</v>
      </c>
      <c r="N252" s="3" t="str">
        <f t="shared" si="57"/>
        <v>01</v>
      </c>
      <c r="O252" s="14" t="str">
        <f t="shared" si="58"/>
        <v>00</v>
      </c>
      <c r="W252"/>
      <c r="X252" s="159"/>
    </row>
    <row r="253" spans="1:25" hidden="1">
      <c r="A253" s="143"/>
      <c r="J253" s="1" t="str">
        <f t="shared" si="53"/>
        <v>0</v>
      </c>
      <c r="K253" s="3">
        <f t="shared" si="54"/>
        <v>-100</v>
      </c>
      <c r="L253" s="3">
        <f t="shared" si="55"/>
        <v>1</v>
      </c>
      <c r="M253" s="3">
        <f t="shared" si="56"/>
        <v>0</v>
      </c>
      <c r="N253" s="3" t="str">
        <f t="shared" si="57"/>
        <v>01</v>
      </c>
      <c r="O253" s="14" t="str">
        <f t="shared" si="58"/>
        <v>00</v>
      </c>
      <c r="W253"/>
      <c r="X253" s="159"/>
    </row>
    <row r="254" spans="1:25" hidden="1">
      <c r="A254" s="143"/>
      <c r="J254" s="1" t="str">
        <f t="shared" si="53"/>
        <v>0</v>
      </c>
      <c r="K254" s="3">
        <f t="shared" si="54"/>
        <v>-100</v>
      </c>
      <c r="L254" s="3">
        <f t="shared" si="55"/>
        <v>1</v>
      </c>
      <c r="M254" s="3">
        <f t="shared" si="56"/>
        <v>0</v>
      </c>
      <c r="N254" s="3" t="str">
        <f t="shared" si="57"/>
        <v>01</v>
      </c>
      <c r="O254" s="14" t="str">
        <f t="shared" si="58"/>
        <v>00</v>
      </c>
      <c r="W254"/>
      <c r="X254" s="159"/>
    </row>
    <row r="255" spans="1:25" hidden="1">
      <c r="A255" s="143"/>
      <c r="J255" s="1" t="str">
        <f t="shared" si="53"/>
        <v>0</v>
      </c>
      <c r="K255" s="3">
        <f t="shared" si="54"/>
        <v>-100</v>
      </c>
      <c r="L255" s="3">
        <f t="shared" si="55"/>
        <v>1</v>
      </c>
      <c r="M255" s="3">
        <f t="shared" si="56"/>
        <v>0</v>
      </c>
      <c r="N255" s="3" t="str">
        <f t="shared" si="57"/>
        <v>01</v>
      </c>
      <c r="O255" s="14" t="str">
        <f t="shared" si="58"/>
        <v>00</v>
      </c>
      <c r="W255"/>
      <c r="X255" s="159"/>
    </row>
    <row r="256" spans="1:25" hidden="1">
      <c r="A256" s="143"/>
      <c r="J256" s="1" t="str">
        <f t="shared" si="53"/>
        <v>0</v>
      </c>
      <c r="K256" s="3">
        <f t="shared" si="54"/>
        <v>-100</v>
      </c>
      <c r="L256" s="3">
        <f t="shared" si="55"/>
        <v>1</v>
      </c>
      <c r="M256" s="3">
        <f t="shared" si="56"/>
        <v>0</v>
      </c>
      <c r="N256" s="3" t="str">
        <f t="shared" si="57"/>
        <v>01</v>
      </c>
      <c r="O256" s="14" t="str">
        <f t="shared" si="58"/>
        <v>00</v>
      </c>
    </row>
    <row r="257" spans="1:24" hidden="1">
      <c r="A257" s="143"/>
      <c r="J257" s="1" t="str">
        <f t="shared" si="53"/>
        <v>0</v>
      </c>
      <c r="K257" s="3">
        <f t="shared" si="54"/>
        <v>-100</v>
      </c>
      <c r="L257" s="3">
        <f t="shared" si="55"/>
        <v>1</v>
      </c>
      <c r="M257" s="3">
        <f t="shared" si="56"/>
        <v>0</v>
      </c>
      <c r="N257" s="3" t="str">
        <f t="shared" si="57"/>
        <v>01</v>
      </c>
      <c r="O257" s="14" t="str">
        <f t="shared" si="58"/>
        <v>00</v>
      </c>
    </row>
    <row r="258" spans="1:24" hidden="1">
      <c r="A258" s="143"/>
      <c r="J258" s="1" t="str">
        <f t="shared" si="53"/>
        <v>0</v>
      </c>
      <c r="K258" s="3">
        <f t="shared" si="54"/>
        <v>-100</v>
      </c>
      <c r="L258" s="3">
        <f t="shared" si="55"/>
        <v>1</v>
      </c>
      <c r="M258" s="3">
        <f t="shared" si="56"/>
        <v>0</v>
      </c>
      <c r="N258" s="3" t="str">
        <f t="shared" si="57"/>
        <v>01</v>
      </c>
      <c r="O258" s="14" t="str">
        <f t="shared" si="58"/>
        <v>00</v>
      </c>
    </row>
    <row r="259" spans="1:24">
      <c r="A259" s="143">
        <v>212</v>
      </c>
      <c r="B259" s="1">
        <f>IF(G259="-",0,IF(G258=G259,1,0))</f>
        <v>0</v>
      </c>
      <c r="C259" s="1">
        <f>+IF(G259="-",0,IF(I259=I258+1,0,(IF(I259=1,0,1))))</f>
        <v>0</v>
      </c>
      <c r="D259" s="1">
        <f>+IF(AND(P259="",Q259=""),1,0)</f>
        <v>0</v>
      </c>
      <c r="E259" s="1">
        <f>IF(U259="",1,0)</f>
        <v>0</v>
      </c>
      <c r="F259" s="1">
        <f>IF(V259="",1,0)</f>
        <v>0</v>
      </c>
      <c r="G259" s="1" t="str">
        <f>IF(H259=0,"-",_xlfn.CONCAT(K259,N259,O259,J259))</f>
        <v>25013001</v>
      </c>
      <c r="H259" s="2">
        <v>45687</v>
      </c>
      <c r="I259" s="113">
        <v>1</v>
      </c>
      <c r="J259" s="1" t="str">
        <f t="shared" si="53"/>
        <v>01</v>
      </c>
      <c r="K259" s="3">
        <f t="shared" si="54"/>
        <v>25</v>
      </c>
      <c r="L259" s="3">
        <f t="shared" si="55"/>
        <v>1</v>
      </c>
      <c r="M259" s="3">
        <f t="shared" si="56"/>
        <v>30</v>
      </c>
      <c r="N259" s="3" t="str">
        <f t="shared" si="57"/>
        <v>01</v>
      </c>
      <c r="O259" s="14">
        <f t="shared" si="58"/>
        <v>30</v>
      </c>
      <c r="P259" s="4">
        <v>200000</v>
      </c>
      <c r="T259" s="5" t="s">
        <v>1570</v>
      </c>
      <c r="U259" s="3" t="s">
        <v>2</v>
      </c>
      <c r="V259" s="3" t="s">
        <v>5</v>
      </c>
      <c r="W259" t="s">
        <v>1306</v>
      </c>
      <c r="X259" s="159" t="s">
        <v>1302</v>
      </c>
    </row>
    <row r="260" spans="1:24" hidden="1">
      <c r="A260" s="143">
        <v>916</v>
      </c>
      <c r="B260" s="1">
        <f>IF(G260="-",0,IF(G259=G260,1,0))</f>
        <v>1</v>
      </c>
      <c r="C260" s="1">
        <f>+IF(G260="-",0,IF(I260=I259+1,0,(IF(I260=1,0,1))))</f>
        <v>0</v>
      </c>
      <c r="D260" s="1">
        <f>+IF(AND(P260="",Q260=""),1,0)</f>
        <v>0</v>
      </c>
      <c r="E260" s="1">
        <f>IF(U260="",1,0)</f>
        <v>0</v>
      </c>
      <c r="F260" s="1">
        <f>IF(V260="",1,0)</f>
        <v>0</v>
      </c>
      <c r="G260" s="1" t="str">
        <f>IF(H260=0,"-",_xlfn.CONCAT(K260,N260,O260,J260))</f>
        <v>25013001</v>
      </c>
      <c r="H260" s="2">
        <v>45687</v>
      </c>
      <c r="I260" s="113">
        <v>1</v>
      </c>
      <c r="J260" s="1" t="str">
        <f t="shared" si="53"/>
        <v>01</v>
      </c>
      <c r="K260" s="3">
        <f t="shared" si="54"/>
        <v>25</v>
      </c>
      <c r="L260" s="3">
        <f t="shared" si="55"/>
        <v>1</v>
      </c>
      <c r="M260" s="3">
        <f t="shared" si="56"/>
        <v>30</v>
      </c>
      <c r="N260" s="3" t="str">
        <f t="shared" si="57"/>
        <v>01</v>
      </c>
      <c r="O260" s="14">
        <f t="shared" si="58"/>
        <v>30</v>
      </c>
      <c r="P260" s="4">
        <v>195369.43</v>
      </c>
      <c r="T260" s="5" t="s">
        <v>1960</v>
      </c>
      <c r="U260" s="3" t="s">
        <v>29</v>
      </c>
      <c r="V260" s="3" t="s">
        <v>5</v>
      </c>
      <c r="W260" s="3" t="s">
        <v>1307</v>
      </c>
      <c r="X260" s="1" t="s">
        <v>1305</v>
      </c>
    </row>
    <row r="261" spans="1:24" hidden="1">
      <c r="A261" s="143"/>
      <c r="J261" s="1" t="str">
        <f t="shared" si="53"/>
        <v>0</v>
      </c>
      <c r="K261" s="3">
        <f t="shared" si="54"/>
        <v>-100</v>
      </c>
      <c r="L261" s="3">
        <f t="shared" si="55"/>
        <v>1</v>
      </c>
      <c r="M261" s="3">
        <f t="shared" si="56"/>
        <v>0</v>
      </c>
      <c r="N261" s="3" t="str">
        <f t="shared" si="57"/>
        <v>01</v>
      </c>
      <c r="O261" s="14" t="str">
        <f t="shared" si="58"/>
        <v>00</v>
      </c>
      <c r="W261"/>
      <c r="X261" s="159"/>
    </row>
    <row r="262" spans="1:24" hidden="1">
      <c r="A262" s="143">
        <v>219</v>
      </c>
      <c r="B262" s="1">
        <f>IF(G262="-",0,IF(G261=G262,1,0))</f>
        <v>0</v>
      </c>
      <c r="C262" s="1">
        <f>+IF(G262="-",0,IF(I262=I261+1,0,(IF(I262=1,0,1))))</f>
        <v>1</v>
      </c>
      <c r="D262" s="1">
        <f>+IF(AND(P262="",Q262=""),1,0)</f>
        <v>0</v>
      </c>
      <c r="E262" s="1">
        <f>IF(U262="",1,0)</f>
        <v>0</v>
      </c>
      <c r="F262" s="1">
        <f>IF(V262="",1,0)</f>
        <v>0</v>
      </c>
      <c r="G262" s="1" t="str">
        <f>IF(H262=0,"-",_xlfn.CONCAT(K262,N262,O262,J262))</f>
        <v>25013003</v>
      </c>
      <c r="H262" s="2">
        <v>45687</v>
      </c>
      <c r="I262" s="113">
        <v>3</v>
      </c>
      <c r="J262" s="1" t="str">
        <f t="shared" si="53"/>
        <v>03</v>
      </c>
      <c r="K262" s="3">
        <f t="shared" si="54"/>
        <v>25</v>
      </c>
      <c r="L262" s="3">
        <f t="shared" si="55"/>
        <v>1</v>
      </c>
      <c r="M262" s="3">
        <f t="shared" si="56"/>
        <v>30</v>
      </c>
      <c r="N262" s="3" t="str">
        <f t="shared" si="57"/>
        <v>01</v>
      </c>
      <c r="O262" s="14">
        <f t="shared" si="58"/>
        <v>30</v>
      </c>
      <c r="P262" s="4">
        <v>172276.83</v>
      </c>
      <c r="T262" s="5" t="s">
        <v>1959</v>
      </c>
      <c r="U262" s="3" t="s">
        <v>29</v>
      </c>
      <c r="V262" s="3" t="s">
        <v>5</v>
      </c>
      <c r="W262" t="s">
        <v>1307</v>
      </c>
      <c r="X262" s="159" t="s">
        <v>1305</v>
      </c>
    </row>
    <row r="263" spans="1:24" hidden="1">
      <c r="A263" s="143"/>
      <c r="J263" s="1" t="str">
        <f t="shared" si="53"/>
        <v>0</v>
      </c>
      <c r="K263" s="3">
        <f t="shared" si="54"/>
        <v>-100</v>
      </c>
      <c r="L263" s="3">
        <f t="shared" si="55"/>
        <v>1</v>
      </c>
      <c r="M263" s="3">
        <f t="shared" si="56"/>
        <v>0</v>
      </c>
      <c r="N263" s="3" t="str">
        <f t="shared" si="57"/>
        <v>01</v>
      </c>
      <c r="O263" s="14" t="str">
        <f t="shared" si="58"/>
        <v>00</v>
      </c>
      <c r="W263"/>
      <c r="X263" s="159"/>
    </row>
    <row r="264" spans="1:24" hidden="1">
      <c r="A264" s="143"/>
      <c r="J264" s="1" t="str">
        <f t="shared" ref="J264:J327" si="67">+IF(I264&lt;10,_xlfn.CONCAT("0",I264),I264)</f>
        <v>0</v>
      </c>
      <c r="K264" s="3">
        <f t="shared" ref="K264:K327" si="68">+YEAR(H264)-2000</f>
        <v>-100</v>
      </c>
      <c r="L264" s="3">
        <f t="shared" ref="L264:L327" si="69">+MONTH(H264)</f>
        <v>1</v>
      </c>
      <c r="M264" s="3">
        <f t="shared" ref="M264:M327" si="70">+DAY(H264)</f>
        <v>0</v>
      </c>
      <c r="N264" s="3" t="str">
        <f t="shared" ref="N264:N327" si="71">+IF(L264&lt;10,_xlfn.CONCAT("0",L264),L264)</f>
        <v>01</v>
      </c>
      <c r="O264" s="14" t="str">
        <f t="shared" ref="O264:O327" si="72">+IF(M264&lt;10,_xlfn.CONCAT("0",M264),M264)</f>
        <v>00</v>
      </c>
      <c r="W264"/>
      <c r="X264" s="159"/>
    </row>
    <row r="265" spans="1:24" hidden="1">
      <c r="A265" s="143"/>
      <c r="J265" s="1" t="str">
        <f t="shared" si="67"/>
        <v>0</v>
      </c>
      <c r="K265" s="3">
        <f t="shared" si="68"/>
        <v>-100</v>
      </c>
      <c r="L265" s="3">
        <f t="shared" si="69"/>
        <v>1</v>
      </c>
      <c r="M265" s="3">
        <f t="shared" si="70"/>
        <v>0</v>
      </c>
      <c r="N265" s="3" t="str">
        <f t="shared" si="71"/>
        <v>01</v>
      </c>
      <c r="O265" s="14" t="str">
        <f t="shared" si="72"/>
        <v>00</v>
      </c>
      <c r="W265"/>
      <c r="X265" s="159"/>
    </row>
    <row r="266" spans="1:24" hidden="1">
      <c r="A266" s="143"/>
      <c r="J266" s="1" t="str">
        <f t="shared" si="67"/>
        <v>0</v>
      </c>
      <c r="K266" s="3">
        <f t="shared" si="68"/>
        <v>-100</v>
      </c>
      <c r="L266" s="3">
        <f t="shared" si="69"/>
        <v>1</v>
      </c>
      <c r="M266" s="3">
        <f t="shared" si="70"/>
        <v>0</v>
      </c>
      <c r="N266" s="3" t="str">
        <f t="shared" si="71"/>
        <v>01</v>
      </c>
      <c r="O266" s="14" t="str">
        <f t="shared" si="72"/>
        <v>00</v>
      </c>
      <c r="W266"/>
      <c r="X266" s="159"/>
    </row>
    <row r="267" spans="1:24" hidden="1">
      <c r="A267" s="143"/>
      <c r="J267" s="1" t="str">
        <f t="shared" si="67"/>
        <v>0</v>
      </c>
      <c r="K267" s="3">
        <f t="shared" si="68"/>
        <v>-100</v>
      </c>
      <c r="L267" s="3">
        <f t="shared" si="69"/>
        <v>1</v>
      </c>
      <c r="M267" s="3">
        <f t="shared" si="70"/>
        <v>0</v>
      </c>
      <c r="N267" s="3" t="str">
        <f t="shared" si="71"/>
        <v>01</v>
      </c>
      <c r="O267" s="14" t="str">
        <f t="shared" si="72"/>
        <v>00</v>
      </c>
      <c r="W267"/>
      <c r="X267" s="159"/>
    </row>
    <row r="268" spans="1:24" hidden="1">
      <c r="A268" s="143"/>
      <c r="J268" s="1" t="str">
        <f t="shared" si="67"/>
        <v>0</v>
      </c>
      <c r="K268" s="3">
        <f t="shared" si="68"/>
        <v>-100</v>
      </c>
      <c r="L268" s="3">
        <f t="shared" si="69"/>
        <v>1</v>
      </c>
      <c r="M268" s="3">
        <f t="shared" si="70"/>
        <v>0</v>
      </c>
      <c r="N268" s="3" t="str">
        <f t="shared" si="71"/>
        <v>01</v>
      </c>
      <c r="O268" s="14" t="str">
        <f t="shared" si="72"/>
        <v>00</v>
      </c>
    </row>
    <row r="269" spans="1:24" hidden="1">
      <c r="A269" s="143"/>
      <c r="J269" s="1" t="str">
        <f t="shared" si="67"/>
        <v>0</v>
      </c>
      <c r="K269" s="3">
        <f t="shared" si="68"/>
        <v>-100</v>
      </c>
      <c r="L269" s="3">
        <f t="shared" si="69"/>
        <v>1</v>
      </c>
      <c r="M269" s="3">
        <f t="shared" si="70"/>
        <v>0</v>
      </c>
      <c r="N269" s="3" t="str">
        <f t="shared" si="71"/>
        <v>01</v>
      </c>
      <c r="O269" s="14" t="str">
        <f t="shared" si="72"/>
        <v>00</v>
      </c>
    </row>
    <row r="270" spans="1:24" hidden="1">
      <c r="A270" s="143"/>
      <c r="G270" s="122"/>
      <c r="H270" s="8"/>
      <c r="J270" s="122" t="str">
        <f t="shared" si="67"/>
        <v>0</v>
      </c>
      <c r="K270" s="56">
        <f t="shared" si="68"/>
        <v>-100</v>
      </c>
      <c r="L270" s="56">
        <f t="shared" si="69"/>
        <v>1</v>
      </c>
      <c r="M270" s="56">
        <f t="shared" si="70"/>
        <v>0</v>
      </c>
      <c r="N270" s="56" t="str">
        <f t="shared" si="71"/>
        <v>01</v>
      </c>
      <c r="O270" s="123" t="str">
        <f t="shared" si="72"/>
        <v>00</v>
      </c>
      <c r="P270" s="53"/>
      <c r="Q270" s="54"/>
      <c r="R270" s="55"/>
      <c r="S270" s="54"/>
      <c r="T270" s="54"/>
      <c r="U270" s="56"/>
      <c r="V270" s="56"/>
      <c r="W270" s="161"/>
      <c r="X270" s="159"/>
    </row>
    <row r="271" spans="1:24" hidden="1">
      <c r="A271" s="143"/>
      <c r="H271" s="8"/>
      <c r="I271" s="122"/>
      <c r="J271" s="122" t="str">
        <f t="shared" si="67"/>
        <v>0</v>
      </c>
      <c r="K271" s="56">
        <f t="shared" si="68"/>
        <v>-100</v>
      </c>
      <c r="L271" s="56">
        <f t="shared" si="69"/>
        <v>1</v>
      </c>
      <c r="M271" s="56">
        <f t="shared" si="70"/>
        <v>0</v>
      </c>
      <c r="N271" s="56" t="str">
        <f t="shared" si="71"/>
        <v>01</v>
      </c>
      <c r="O271" s="123" t="str">
        <f t="shared" si="72"/>
        <v>00</v>
      </c>
      <c r="P271" s="53"/>
      <c r="Q271" s="54"/>
      <c r="R271" s="55"/>
      <c r="S271" s="54"/>
      <c r="T271" s="54"/>
      <c r="W271"/>
      <c r="X271" s="159"/>
    </row>
    <row r="272" spans="1:24" hidden="1">
      <c r="A272" s="143"/>
      <c r="J272" s="1" t="str">
        <f t="shared" si="67"/>
        <v>0</v>
      </c>
      <c r="K272" s="3">
        <f t="shared" si="68"/>
        <v>-100</v>
      </c>
      <c r="L272" s="3">
        <f t="shared" si="69"/>
        <v>1</v>
      </c>
      <c r="M272" s="3">
        <f t="shared" si="70"/>
        <v>0</v>
      </c>
      <c r="N272" s="3" t="str">
        <f t="shared" si="71"/>
        <v>01</v>
      </c>
      <c r="O272" s="14" t="str">
        <f t="shared" si="72"/>
        <v>00</v>
      </c>
      <c r="W272"/>
      <c r="X272" s="159"/>
    </row>
    <row r="273" spans="1:25" hidden="1">
      <c r="A273" s="143"/>
      <c r="J273" s="1" t="str">
        <f t="shared" si="67"/>
        <v>0</v>
      </c>
      <c r="K273" s="3">
        <f t="shared" si="68"/>
        <v>-100</v>
      </c>
      <c r="L273" s="3">
        <f t="shared" si="69"/>
        <v>1</v>
      </c>
      <c r="M273" s="3">
        <f t="shared" si="70"/>
        <v>0</v>
      </c>
      <c r="N273" s="3" t="str">
        <f t="shared" si="71"/>
        <v>01</v>
      </c>
      <c r="O273" s="14" t="str">
        <f t="shared" si="72"/>
        <v>00</v>
      </c>
      <c r="W273"/>
      <c r="X273" s="159"/>
    </row>
    <row r="274" spans="1:25" hidden="1">
      <c r="A274" s="143">
        <v>224</v>
      </c>
      <c r="B274" s="1">
        <f>IF(G274="-",0,IF(G273=G274,1,0))</f>
        <v>0</v>
      </c>
      <c r="C274" s="1">
        <f>+IF(G274="-",0,IF(I274=I273+1,0,(IF(I274=1,0,1))))</f>
        <v>1</v>
      </c>
      <c r="D274" s="1">
        <f>+IF(AND(P274="",Q274=""),1,0)</f>
        <v>0</v>
      </c>
      <c r="E274" s="1">
        <f t="shared" ref="E274:F278" si="73">IF(U274="",1,0)</f>
        <v>0</v>
      </c>
      <c r="F274" s="1">
        <f t="shared" si="73"/>
        <v>0</v>
      </c>
      <c r="G274" s="1" t="str">
        <f>IF(H274=0,"-",_xlfn.CONCAT(K274,N274,O274,J274))</f>
        <v>25013105</v>
      </c>
      <c r="H274" s="2">
        <v>45688</v>
      </c>
      <c r="I274" s="113">
        <v>5</v>
      </c>
      <c r="J274" s="1" t="str">
        <f t="shared" si="67"/>
        <v>05</v>
      </c>
      <c r="K274" s="3">
        <f t="shared" si="68"/>
        <v>25</v>
      </c>
      <c r="L274" s="3">
        <f t="shared" si="69"/>
        <v>1</v>
      </c>
      <c r="M274" s="3">
        <f t="shared" si="70"/>
        <v>31</v>
      </c>
      <c r="N274" s="3" t="str">
        <f t="shared" si="71"/>
        <v>01</v>
      </c>
      <c r="O274" s="14">
        <f t="shared" si="72"/>
        <v>31</v>
      </c>
      <c r="P274" s="4">
        <v>55902.81</v>
      </c>
      <c r="T274" s="5" t="s">
        <v>1958</v>
      </c>
      <c r="U274" s="3" t="s">
        <v>29</v>
      </c>
      <c r="V274" s="3" t="s">
        <v>5</v>
      </c>
      <c r="W274" t="s">
        <v>1307</v>
      </c>
      <c r="X274" s="159" t="s">
        <v>1305</v>
      </c>
    </row>
    <row r="275" spans="1:25" hidden="1">
      <c r="A275" s="143">
        <v>225</v>
      </c>
      <c r="B275" s="1">
        <f>IF(G275="-",0,IF(G274=G275,1,0))</f>
        <v>0</v>
      </c>
      <c r="C275" s="1">
        <f>+IF(G275="-",0,IF(I275=I274+1,0,(IF(I275=1,0,1))))</f>
        <v>0</v>
      </c>
      <c r="D275" s="1">
        <f>+IF(AND(P275="",Q275=""),1,0)</f>
        <v>0</v>
      </c>
      <c r="E275" s="1">
        <f t="shared" si="73"/>
        <v>0</v>
      </c>
      <c r="F275" s="1">
        <f t="shared" si="73"/>
        <v>0</v>
      </c>
      <c r="G275" s="1" t="str">
        <f>IF(H275=0,"-",_xlfn.CONCAT(K275,N275,O275,J275))</f>
        <v>25013106</v>
      </c>
      <c r="H275" s="2">
        <v>45688</v>
      </c>
      <c r="I275" s="113">
        <v>6</v>
      </c>
      <c r="J275" s="1" t="str">
        <f t="shared" si="67"/>
        <v>06</v>
      </c>
      <c r="K275" s="3">
        <f t="shared" si="68"/>
        <v>25</v>
      </c>
      <c r="L275" s="3">
        <f t="shared" si="69"/>
        <v>1</v>
      </c>
      <c r="M275" s="3">
        <f t="shared" si="70"/>
        <v>31</v>
      </c>
      <c r="N275" s="3" t="str">
        <f t="shared" si="71"/>
        <v>01</v>
      </c>
      <c r="O275" s="14">
        <f t="shared" si="72"/>
        <v>31</v>
      </c>
      <c r="P275" s="4">
        <v>37295.65</v>
      </c>
      <c r="T275" s="5" t="s">
        <v>1957</v>
      </c>
      <c r="U275" s="3" t="s">
        <v>29</v>
      </c>
      <c r="V275" s="3" t="s">
        <v>5</v>
      </c>
      <c r="W275" t="s">
        <v>1307</v>
      </c>
      <c r="X275" s="159" t="s">
        <v>1305</v>
      </c>
    </row>
    <row r="276" spans="1:25" hidden="1">
      <c r="A276" s="143">
        <v>226</v>
      </c>
      <c r="B276" s="1">
        <f>IF(G276="-",0,IF(G275=G276,1,0))</f>
        <v>0</v>
      </c>
      <c r="C276" s="1">
        <f>+IF(G276="-",0,IF(I276=I275+1,0,(IF(I276=1,0,1))))</f>
        <v>0</v>
      </c>
      <c r="D276" s="1">
        <f>+IF(AND(P276="",Q276=""),1,0)</f>
        <v>0</v>
      </c>
      <c r="E276" s="1">
        <f t="shared" si="73"/>
        <v>0</v>
      </c>
      <c r="F276" s="1">
        <f t="shared" si="73"/>
        <v>0</v>
      </c>
      <c r="G276" s="1" t="str">
        <f>IF(H276=0,"-",_xlfn.CONCAT(K276,N276,O276,J276))</f>
        <v>25013107</v>
      </c>
      <c r="H276" s="2">
        <v>45688</v>
      </c>
      <c r="I276" s="113">
        <v>7</v>
      </c>
      <c r="J276" s="1" t="str">
        <f t="shared" si="67"/>
        <v>07</v>
      </c>
      <c r="K276" s="3">
        <f t="shared" si="68"/>
        <v>25</v>
      </c>
      <c r="L276" s="3">
        <f t="shared" si="69"/>
        <v>1</v>
      </c>
      <c r="M276" s="3">
        <f t="shared" si="70"/>
        <v>31</v>
      </c>
      <c r="N276" s="3" t="str">
        <f t="shared" si="71"/>
        <v>01</v>
      </c>
      <c r="O276" s="14">
        <f t="shared" si="72"/>
        <v>31</v>
      </c>
      <c r="P276" s="4">
        <v>36069.599999999999</v>
      </c>
      <c r="T276" s="5" t="s">
        <v>1956</v>
      </c>
      <c r="U276" s="3" t="s">
        <v>29</v>
      </c>
      <c r="V276" s="3" t="s">
        <v>5</v>
      </c>
      <c r="W276" t="s">
        <v>1307</v>
      </c>
      <c r="X276" s="159" t="s">
        <v>1305</v>
      </c>
    </row>
    <row r="277" spans="1:25" hidden="1">
      <c r="A277" s="143">
        <v>227</v>
      </c>
      <c r="B277" s="1">
        <f>IF(G277="-",0,IF(G276=G277,1,0))</f>
        <v>0</v>
      </c>
      <c r="C277" s="1">
        <f>+IF(G277="-",0,IF(I277=I276+1,0,(IF(I277=1,0,1))))</f>
        <v>0</v>
      </c>
      <c r="D277" s="1">
        <f>+IF(AND(P277="",Q277=""),1,0)</f>
        <v>0</v>
      </c>
      <c r="E277" s="1">
        <f t="shared" si="73"/>
        <v>0</v>
      </c>
      <c r="F277" s="1">
        <f t="shared" si="73"/>
        <v>0</v>
      </c>
      <c r="G277" s="1" t="str">
        <f>IF(H277=0,"-",_xlfn.CONCAT(K277,N277,O277,J277))</f>
        <v>25013108</v>
      </c>
      <c r="H277" s="2">
        <v>45688</v>
      </c>
      <c r="I277" s="113">
        <v>8</v>
      </c>
      <c r="J277" s="1" t="str">
        <f t="shared" si="67"/>
        <v>08</v>
      </c>
      <c r="K277" s="3">
        <f t="shared" si="68"/>
        <v>25</v>
      </c>
      <c r="L277" s="3">
        <f t="shared" si="69"/>
        <v>1</v>
      </c>
      <c r="M277" s="3">
        <f t="shared" si="70"/>
        <v>31</v>
      </c>
      <c r="N277" s="3" t="str">
        <f t="shared" si="71"/>
        <v>01</v>
      </c>
      <c r="O277" s="14">
        <f t="shared" si="72"/>
        <v>31</v>
      </c>
      <c r="P277" s="4">
        <v>20279.259999999998</v>
      </c>
      <c r="T277" s="5" t="s">
        <v>1955</v>
      </c>
      <c r="U277" s="3" t="s">
        <v>29</v>
      </c>
      <c r="V277" s="3" t="s">
        <v>5</v>
      </c>
      <c r="W277" t="s">
        <v>1306</v>
      </c>
      <c r="X277" s="159" t="s">
        <v>1305</v>
      </c>
    </row>
    <row r="278" spans="1:25" hidden="1">
      <c r="A278" s="143">
        <v>228</v>
      </c>
      <c r="B278" s="1">
        <f>IF(G278="-",0,IF(G277=G278,1,0))</f>
        <v>0</v>
      </c>
      <c r="C278" s="1">
        <f>+IF(G278="-",0,IF(I278=I277+1,0,(IF(I278=1,0,1))))</f>
        <v>0</v>
      </c>
      <c r="D278" s="1">
        <f>+IF(AND(P278="",Q278=""),1,0)</f>
        <v>0</v>
      </c>
      <c r="E278" s="1">
        <f t="shared" si="73"/>
        <v>0</v>
      </c>
      <c r="F278" s="1">
        <f t="shared" si="73"/>
        <v>0</v>
      </c>
      <c r="G278" s="1" t="str">
        <f>IF(H278=0,"-",_xlfn.CONCAT(K278,N278,O278,J278))</f>
        <v>25013109</v>
      </c>
      <c r="H278" s="2">
        <v>45688</v>
      </c>
      <c r="I278" s="113">
        <v>9</v>
      </c>
      <c r="J278" s="1" t="str">
        <f t="shared" si="67"/>
        <v>09</v>
      </c>
      <c r="K278" s="3">
        <f t="shared" si="68"/>
        <v>25</v>
      </c>
      <c r="L278" s="3">
        <f t="shared" si="69"/>
        <v>1</v>
      </c>
      <c r="M278" s="3">
        <f t="shared" si="70"/>
        <v>31</v>
      </c>
      <c r="N278" s="3" t="str">
        <f t="shared" si="71"/>
        <v>01</v>
      </c>
      <c r="O278" s="14">
        <f t="shared" si="72"/>
        <v>31</v>
      </c>
      <c r="P278" s="4">
        <v>7000</v>
      </c>
      <c r="T278" s="5" t="s">
        <v>1954</v>
      </c>
      <c r="U278" s="3" t="s">
        <v>29</v>
      </c>
      <c r="V278" s="3" t="s">
        <v>5</v>
      </c>
      <c r="W278" t="s">
        <v>1307</v>
      </c>
      <c r="X278" s="159" t="s">
        <v>1305</v>
      </c>
    </row>
    <row r="279" spans="1:25" hidden="1">
      <c r="A279" s="143"/>
      <c r="J279" s="1" t="str">
        <f t="shared" si="67"/>
        <v>0</v>
      </c>
      <c r="K279" s="3">
        <f t="shared" si="68"/>
        <v>-100</v>
      </c>
      <c r="L279" s="3">
        <f t="shared" si="69"/>
        <v>1</v>
      </c>
      <c r="M279" s="3">
        <f t="shared" si="70"/>
        <v>0</v>
      </c>
      <c r="N279" s="3" t="str">
        <f t="shared" si="71"/>
        <v>01</v>
      </c>
      <c r="O279" s="14" t="str">
        <f t="shared" si="72"/>
        <v>00</v>
      </c>
      <c r="W279"/>
      <c r="X279" s="159"/>
    </row>
    <row r="280" spans="1:25" hidden="1">
      <c r="A280" s="143"/>
      <c r="J280" s="1" t="str">
        <f t="shared" si="67"/>
        <v>0</v>
      </c>
      <c r="K280" s="3">
        <f t="shared" si="68"/>
        <v>-100</v>
      </c>
      <c r="L280" s="3">
        <f t="shared" si="69"/>
        <v>1</v>
      </c>
      <c r="M280" s="3">
        <f t="shared" si="70"/>
        <v>0</v>
      </c>
      <c r="N280" s="3" t="str">
        <f t="shared" si="71"/>
        <v>01</v>
      </c>
      <c r="O280" s="14" t="str">
        <f t="shared" si="72"/>
        <v>00</v>
      </c>
      <c r="W280"/>
      <c r="X280" s="159"/>
    </row>
    <row r="281" spans="1:25" hidden="1">
      <c r="A281" s="143">
        <v>272</v>
      </c>
      <c r="B281" s="1">
        <f>IF(G281="-",0,IF(G280=G281,1,0))</f>
        <v>0</v>
      </c>
      <c r="C281" s="1">
        <f>+IF(G281="-",0,IF(I281=I280+1,0,(IF(I281=1,0,1))))</f>
        <v>1</v>
      </c>
      <c r="D281" s="1">
        <f>+IF(AND(P281="",Q281=""),1,0)</f>
        <v>0</v>
      </c>
      <c r="E281" s="1">
        <f>IF(U281="",1,0)</f>
        <v>0</v>
      </c>
      <c r="F281" s="1">
        <f>IF(V281="",1,0)</f>
        <v>0</v>
      </c>
      <c r="G281" s="1" t="str">
        <f>IF(H281=0,"-",_xlfn.CONCAT(K281,N281,O281,J281))</f>
        <v>25013112</v>
      </c>
      <c r="H281" s="2">
        <v>45688</v>
      </c>
      <c r="I281" s="113">
        <v>12</v>
      </c>
      <c r="J281" s="1">
        <f t="shared" si="67"/>
        <v>12</v>
      </c>
      <c r="K281" s="3">
        <f t="shared" si="68"/>
        <v>25</v>
      </c>
      <c r="L281" s="3">
        <f t="shared" si="69"/>
        <v>1</v>
      </c>
      <c r="M281" s="3">
        <f t="shared" si="70"/>
        <v>31</v>
      </c>
      <c r="N281" s="3" t="str">
        <f t="shared" si="71"/>
        <v>01</v>
      </c>
      <c r="O281" s="14">
        <f t="shared" si="72"/>
        <v>31</v>
      </c>
      <c r="P281" s="4">
        <v>10000</v>
      </c>
      <c r="T281" s="5" t="s">
        <v>1706</v>
      </c>
      <c r="U281" s="3" t="s">
        <v>29</v>
      </c>
      <c r="V281" s="3" t="s">
        <v>5</v>
      </c>
      <c r="W281" t="s">
        <v>1307</v>
      </c>
      <c r="X281" s="159" t="s">
        <v>1305</v>
      </c>
    </row>
    <row r="282" spans="1:25" hidden="1">
      <c r="A282" s="143">
        <v>653</v>
      </c>
      <c r="B282" s="1">
        <f>IF(G282="-",0,IF(G281=G282,1,0))</f>
        <v>0</v>
      </c>
      <c r="C282" s="1">
        <f>+IF(G282="-",0,IF(I282=I281+1,0,(IF(I282=1,0,1))))</f>
        <v>0</v>
      </c>
      <c r="D282" s="1">
        <f>+IF(AND(P282="",Q282=""),1,0)</f>
        <v>0</v>
      </c>
      <c r="E282" s="1">
        <f>IF(U282="",1,0)</f>
        <v>0</v>
      </c>
      <c r="F282" s="1">
        <f>IF(V282="",1,0)</f>
        <v>0</v>
      </c>
      <c r="G282" s="1" t="str">
        <f>IF(H282=0,"-",_xlfn.CONCAT(K282,N282,O282,J282))</f>
        <v>25013113</v>
      </c>
      <c r="H282" s="2">
        <v>45688</v>
      </c>
      <c r="I282" s="113">
        <v>13</v>
      </c>
      <c r="J282" s="1">
        <f t="shared" si="67"/>
        <v>13</v>
      </c>
      <c r="K282" s="3">
        <f t="shared" si="68"/>
        <v>25</v>
      </c>
      <c r="L282" s="3">
        <f t="shared" si="69"/>
        <v>1</v>
      </c>
      <c r="M282" s="3">
        <f t="shared" si="70"/>
        <v>31</v>
      </c>
      <c r="N282" s="3" t="str">
        <f t="shared" si="71"/>
        <v>01</v>
      </c>
      <c r="O282" s="14">
        <f t="shared" si="72"/>
        <v>31</v>
      </c>
      <c r="P282" s="4">
        <v>75000</v>
      </c>
      <c r="T282" s="5" t="s">
        <v>1953</v>
      </c>
      <c r="U282" s="3" t="s">
        <v>29</v>
      </c>
      <c r="V282" s="3" t="s">
        <v>5</v>
      </c>
      <c r="W282" s="3" t="s">
        <v>1303</v>
      </c>
      <c r="X282" s="1" t="s">
        <v>1302</v>
      </c>
    </row>
    <row r="283" spans="1:25" hidden="1">
      <c r="A283" s="143"/>
      <c r="J283" s="1" t="str">
        <f t="shared" si="67"/>
        <v>0</v>
      </c>
      <c r="K283" s="3">
        <f t="shared" si="68"/>
        <v>-100</v>
      </c>
      <c r="L283" s="3">
        <f t="shared" si="69"/>
        <v>1</v>
      </c>
      <c r="M283" s="3">
        <f t="shared" si="70"/>
        <v>0</v>
      </c>
      <c r="N283" s="3" t="str">
        <f t="shared" si="71"/>
        <v>01</v>
      </c>
      <c r="O283" s="14" t="str">
        <f t="shared" si="72"/>
        <v>00</v>
      </c>
    </row>
    <row r="284" spans="1:25" hidden="1">
      <c r="A284" s="143">
        <v>232</v>
      </c>
      <c r="B284" s="1">
        <f>IF(G284="-",0,IF(G283=G284,1,0))</f>
        <v>0</v>
      </c>
      <c r="C284" s="1">
        <f>+IF(G284="-",0,IF(I284=I283+1,0,(IF(I284=1,0,1))))</f>
        <v>0</v>
      </c>
      <c r="D284" s="1">
        <f>+IF(AND(P284="",Q284=""),1,0)</f>
        <v>0</v>
      </c>
      <c r="E284" s="1">
        <f>IF(U284="",1,0)</f>
        <v>0</v>
      </c>
      <c r="F284" s="1">
        <f>IF(V284="",1,0)</f>
        <v>0</v>
      </c>
      <c r="G284" s="1" t="str">
        <f>IF(H284=0,"-",_xlfn.CONCAT(K284,N284,O284,J284))</f>
        <v>25020101</v>
      </c>
      <c r="H284" s="2">
        <v>45689</v>
      </c>
      <c r="I284" s="113">
        <v>1</v>
      </c>
      <c r="J284" s="1" t="str">
        <f t="shared" si="67"/>
        <v>01</v>
      </c>
      <c r="K284" s="3">
        <f t="shared" si="68"/>
        <v>25</v>
      </c>
      <c r="L284" s="3">
        <f t="shared" si="69"/>
        <v>2</v>
      </c>
      <c r="M284" s="3">
        <f t="shared" si="70"/>
        <v>1</v>
      </c>
      <c r="N284" s="3" t="str">
        <f t="shared" si="71"/>
        <v>02</v>
      </c>
      <c r="O284" s="14" t="str">
        <f t="shared" si="72"/>
        <v>01</v>
      </c>
      <c r="P284" s="4">
        <v>33200.160000000003</v>
      </c>
      <c r="T284" s="5" t="s">
        <v>1404</v>
      </c>
      <c r="U284" s="3" t="s">
        <v>30</v>
      </c>
      <c r="V284" s="3" t="s">
        <v>1312</v>
      </c>
      <c r="W284" t="s">
        <v>1307</v>
      </c>
      <c r="X284" s="159" t="s">
        <v>1305</v>
      </c>
    </row>
    <row r="285" spans="1:25" hidden="1">
      <c r="A285" s="143">
        <v>238</v>
      </c>
      <c r="B285" s="1">
        <f>IF(G285="-",0,IF(G284=G285,1,0))</f>
        <v>0</v>
      </c>
      <c r="C285" s="1">
        <f>+IF(G285="-",0,IF(I285=I284+1,0,(IF(I285=1,0,1))))</f>
        <v>0</v>
      </c>
      <c r="D285" s="1">
        <f>+IF(AND(P285="",Q285=""),1,0)</f>
        <v>0</v>
      </c>
      <c r="E285" s="1">
        <f>IF(U285="",1,0)</f>
        <v>0</v>
      </c>
      <c r="F285" s="1">
        <f>IF(V285="",1,0)</f>
        <v>0</v>
      </c>
      <c r="G285" s="1" t="str">
        <f>IF(H285=0,"-",_xlfn.CONCAT(K285,N285,O285,J285))</f>
        <v>25020102</v>
      </c>
      <c r="H285" s="2">
        <v>45689</v>
      </c>
      <c r="I285" s="113">
        <v>2</v>
      </c>
      <c r="J285" s="1" t="str">
        <f t="shared" si="67"/>
        <v>02</v>
      </c>
      <c r="K285" s="3">
        <f t="shared" si="68"/>
        <v>25</v>
      </c>
      <c r="L285" s="3">
        <f t="shared" si="69"/>
        <v>2</v>
      </c>
      <c r="M285" s="3">
        <f t="shared" si="70"/>
        <v>1</v>
      </c>
      <c r="N285" s="3" t="str">
        <f t="shared" si="71"/>
        <v>02</v>
      </c>
      <c r="O285" s="14" t="str">
        <f t="shared" si="72"/>
        <v>01</v>
      </c>
      <c r="P285" s="4">
        <v>16700</v>
      </c>
      <c r="T285" s="5" t="s">
        <v>1404</v>
      </c>
      <c r="U285" s="3" t="s">
        <v>30</v>
      </c>
      <c r="V285" s="3" t="s">
        <v>1312</v>
      </c>
      <c r="W285" t="s">
        <v>1307</v>
      </c>
      <c r="X285" s="159" t="s">
        <v>1305</v>
      </c>
    </row>
    <row r="286" spans="1:25" hidden="1">
      <c r="A286" s="143"/>
      <c r="J286" s="1" t="str">
        <f t="shared" si="67"/>
        <v>0</v>
      </c>
      <c r="K286" s="3">
        <f t="shared" si="68"/>
        <v>-100</v>
      </c>
      <c r="L286" s="3">
        <f t="shared" si="69"/>
        <v>1</v>
      </c>
      <c r="M286" s="3">
        <f t="shared" si="70"/>
        <v>0</v>
      </c>
      <c r="N286" s="3" t="str">
        <f t="shared" si="71"/>
        <v>01</v>
      </c>
      <c r="O286" s="14" t="str">
        <f t="shared" si="72"/>
        <v>00</v>
      </c>
      <c r="W286"/>
      <c r="X286" s="159"/>
    </row>
    <row r="287" spans="1:25">
      <c r="A287" s="143">
        <v>276</v>
      </c>
      <c r="B287" s="1">
        <f t="shared" ref="B287:B302" si="74">IF(G287="-",0,IF(G286=G287,1,0))</f>
        <v>0</v>
      </c>
      <c r="C287" s="1">
        <f t="shared" ref="C287:C302" si="75">+IF(G287="-",0,IF(I287=I286+1,0,(IF(I287=1,0,1))))</f>
        <v>1</v>
      </c>
      <c r="D287" s="1">
        <f t="shared" ref="D287:D302" si="76">+IF(AND(P287="",Q287=""),1,0)</f>
        <v>0</v>
      </c>
      <c r="E287" s="1">
        <f t="shared" ref="E287:E302" si="77">IF(U287="",1,0)</f>
        <v>0</v>
      </c>
      <c r="F287" s="1">
        <f t="shared" ref="F287:F302" si="78">IF(V287="",1,0)</f>
        <v>0</v>
      </c>
      <c r="G287" s="1" t="str">
        <f t="shared" ref="G287:G302" si="79">IF(H287=0,"-",_xlfn.CONCAT(K287,N287,O287,J287))</f>
        <v>25020104</v>
      </c>
      <c r="H287" s="2">
        <v>45689</v>
      </c>
      <c r="I287" s="113">
        <v>4</v>
      </c>
      <c r="J287" s="1" t="str">
        <f t="shared" si="67"/>
        <v>04</v>
      </c>
      <c r="K287" s="3">
        <f t="shared" si="68"/>
        <v>25</v>
      </c>
      <c r="L287" s="3">
        <f t="shared" si="69"/>
        <v>2</v>
      </c>
      <c r="M287" s="3">
        <f t="shared" si="70"/>
        <v>1</v>
      </c>
      <c r="N287" s="3" t="str">
        <f t="shared" si="71"/>
        <v>02</v>
      </c>
      <c r="O287" s="14" t="str">
        <f t="shared" si="72"/>
        <v>01</v>
      </c>
      <c r="P287" s="4">
        <v>159000</v>
      </c>
      <c r="T287" s="28" t="s">
        <v>1952</v>
      </c>
      <c r="U287" s="3" t="s">
        <v>1</v>
      </c>
      <c r="V287" s="3" t="s">
        <v>5</v>
      </c>
      <c r="W287" t="s">
        <v>1306</v>
      </c>
      <c r="X287" s="159" t="s">
        <v>1302</v>
      </c>
      <c r="Y287" t="s">
        <v>1951</v>
      </c>
    </row>
    <row r="288" spans="1:25">
      <c r="A288" s="143">
        <v>277</v>
      </c>
      <c r="B288" s="1">
        <f t="shared" si="74"/>
        <v>0</v>
      </c>
      <c r="C288" s="1">
        <f t="shared" si="75"/>
        <v>0</v>
      </c>
      <c r="D288" s="1">
        <f t="shared" si="76"/>
        <v>0</v>
      </c>
      <c r="E288" s="1">
        <f t="shared" si="77"/>
        <v>0</v>
      </c>
      <c r="F288" s="1">
        <f t="shared" si="78"/>
        <v>0</v>
      </c>
      <c r="G288" s="1" t="str">
        <f t="shared" si="79"/>
        <v>25020105</v>
      </c>
      <c r="H288" s="2">
        <v>45689</v>
      </c>
      <c r="I288" s="113">
        <v>5</v>
      </c>
      <c r="J288" s="1" t="str">
        <f t="shared" si="67"/>
        <v>05</v>
      </c>
      <c r="K288" s="3">
        <f t="shared" si="68"/>
        <v>25</v>
      </c>
      <c r="L288" s="3">
        <f t="shared" si="69"/>
        <v>2</v>
      </c>
      <c r="M288" s="3">
        <f t="shared" si="70"/>
        <v>1</v>
      </c>
      <c r="N288" s="3" t="str">
        <f t="shared" si="71"/>
        <v>02</v>
      </c>
      <c r="O288" s="14" t="str">
        <f t="shared" si="72"/>
        <v>01</v>
      </c>
      <c r="P288" s="4">
        <v>138000</v>
      </c>
      <c r="T288" s="33" t="s">
        <v>1950</v>
      </c>
      <c r="U288" s="3" t="s">
        <v>1</v>
      </c>
      <c r="V288" s="3" t="s">
        <v>5</v>
      </c>
      <c r="W288" t="s">
        <v>1306</v>
      </c>
      <c r="X288" s="159" t="s">
        <v>1302</v>
      </c>
      <c r="Y288" t="s">
        <v>1949</v>
      </c>
    </row>
    <row r="289" spans="1:25">
      <c r="A289" s="143">
        <v>278</v>
      </c>
      <c r="B289" s="1">
        <f t="shared" si="74"/>
        <v>0</v>
      </c>
      <c r="C289" s="1">
        <f t="shared" si="75"/>
        <v>0</v>
      </c>
      <c r="D289" s="1">
        <f t="shared" si="76"/>
        <v>0</v>
      </c>
      <c r="E289" s="1">
        <f t="shared" si="77"/>
        <v>0</v>
      </c>
      <c r="F289" s="1">
        <f t="shared" si="78"/>
        <v>0</v>
      </c>
      <c r="G289" s="1" t="str">
        <f t="shared" si="79"/>
        <v>25020106</v>
      </c>
      <c r="H289" s="2">
        <v>45689</v>
      </c>
      <c r="I289" s="113">
        <v>6</v>
      </c>
      <c r="J289" s="1" t="str">
        <f t="shared" si="67"/>
        <v>06</v>
      </c>
      <c r="K289" s="3">
        <f t="shared" si="68"/>
        <v>25</v>
      </c>
      <c r="L289" s="3">
        <f t="shared" si="69"/>
        <v>2</v>
      </c>
      <c r="M289" s="3">
        <f t="shared" si="70"/>
        <v>1</v>
      </c>
      <c r="N289" s="3" t="str">
        <f t="shared" si="71"/>
        <v>02</v>
      </c>
      <c r="O289" s="14" t="str">
        <f t="shared" si="72"/>
        <v>01</v>
      </c>
      <c r="P289" s="4">
        <v>132000</v>
      </c>
      <c r="T289" s="28" t="s">
        <v>1948</v>
      </c>
      <c r="U289" s="3" t="s">
        <v>1</v>
      </c>
      <c r="V289" s="3" t="s">
        <v>5</v>
      </c>
      <c r="W289" t="s">
        <v>1306</v>
      </c>
      <c r="X289" s="159" t="s">
        <v>1302</v>
      </c>
      <c r="Y289" t="s">
        <v>1947</v>
      </c>
    </row>
    <row r="290" spans="1:25">
      <c r="A290" s="143">
        <v>279</v>
      </c>
      <c r="B290" s="1">
        <f t="shared" si="74"/>
        <v>0</v>
      </c>
      <c r="C290" s="1">
        <f t="shared" si="75"/>
        <v>0</v>
      </c>
      <c r="D290" s="1">
        <f t="shared" si="76"/>
        <v>0</v>
      </c>
      <c r="E290" s="1">
        <f t="shared" si="77"/>
        <v>0</v>
      </c>
      <c r="F290" s="1">
        <f t="shared" si="78"/>
        <v>0</v>
      </c>
      <c r="G290" s="1" t="str">
        <f t="shared" si="79"/>
        <v>25020107</v>
      </c>
      <c r="H290" s="2">
        <v>45689</v>
      </c>
      <c r="I290" s="113">
        <v>7</v>
      </c>
      <c r="J290" s="1" t="str">
        <f t="shared" si="67"/>
        <v>07</v>
      </c>
      <c r="K290" s="3">
        <f t="shared" si="68"/>
        <v>25</v>
      </c>
      <c r="L290" s="3">
        <f t="shared" si="69"/>
        <v>2</v>
      </c>
      <c r="M290" s="3">
        <f t="shared" si="70"/>
        <v>1</v>
      </c>
      <c r="N290" s="3" t="str">
        <f t="shared" si="71"/>
        <v>02</v>
      </c>
      <c r="O290" s="14" t="str">
        <f t="shared" si="72"/>
        <v>01</v>
      </c>
      <c r="P290" s="4">
        <v>108000</v>
      </c>
      <c r="T290" s="33" t="s">
        <v>1946</v>
      </c>
      <c r="U290" s="3" t="s">
        <v>1</v>
      </c>
      <c r="V290" s="3" t="s">
        <v>5</v>
      </c>
      <c r="W290" t="s">
        <v>1306</v>
      </c>
      <c r="X290" s="159" t="s">
        <v>1302</v>
      </c>
      <c r="Y290" t="s">
        <v>1945</v>
      </c>
    </row>
    <row r="291" spans="1:25">
      <c r="A291" s="143">
        <v>280</v>
      </c>
      <c r="B291" s="1">
        <f t="shared" si="74"/>
        <v>0</v>
      </c>
      <c r="C291" s="1">
        <f t="shared" si="75"/>
        <v>0</v>
      </c>
      <c r="D291" s="1">
        <f t="shared" si="76"/>
        <v>0</v>
      </c>
      <c r="E291" s="1">
        <f t="shared" si="77"/>
        <v>0</v>
      </c>
      <c r="F291" s="1">
        <f t="shared" si="78"/>
        <v>0</v>
      </c>
      <c r="G291" s="1" t="str">
        <f t="shared" si="79"/>
        <v>25020108</v>
      </c>
      <c r="H291" s="2">
        <v>45689</v>
      </c>
      <c r="I291" s="113">
        <v>8</v>
      </c>
      <c r="J291" s="1" t="str">
        <f t="shared" si="67"/>
        <v>08</v>
      </c>
      <c r="K291" s="3">
        <f t="shared" si="68"/>
        <v>25</v>
      </c>
      <c r="L291" s="3">
        <f t="shared" si="69"/>
        <v>2</v>
      </c>
      <c r="M291" s="3">
        <f t="shared" si="70"/>
        <v>1</v>
      </c>
      <c r="N291" s="3" t="str">
        <f t="shared" si="71"/>
        <v>02</v>
      </c>
      <c r="O291" s="14" t="str">
        <f t="shared" si="72"/>
        <v>01</v>
      </c>
      <c r="P291" s="4">
        <v>132000</v>
      </c>
      <c r="T291" s="28" t="s">
        <v>1944</v>
      </c>
      <c r="U291" s="3" t="s">
        <v>1</v>
      </c>
      <c r="V291" s="3" t="s">
        <v>5</v>
      </c>
      <c r="W291" t="s">
        <v>1306</v>
      </c>
      <c r="X291" s="159" t="s">
        <v>1302</v>
      </c>
      <c r="Y291" t="s">
        <v>1943</v>
      </c>
    </row>
    <row r="292" spans="1:25">
      <c r="A292" s="143">
        <v>281</v>
      </c>
      <c r="B292" s="1">
        <f t="shared" si="74"/>
        <v>0</v>
      </c>
      <c r="C292" s="1">
        <f t="shared" si="75"/>
        <v>0</v>
      </c>
      <c r="D292" s="1">
        <f t="shared" si="76"/>
        <v>0</v>
      </c>
      <c r="E292" s="1">
        <f t="shared" si="77"/>
        <v>0</v>
      </c>
      <c r="F292" s="1">
        <f t="shared" si="78"/>
        <v>0</v>
      </c>
      <c r="G292" s="1" t="str">
        <f t="shared" si="79"/>
        <v>25020109</v>
      </c>
      <c r="H292" s="2">
        <v>45689</v>
      </c>
      <c r="I292" s="113">
        <v>9</v>
      </c>
      <c r="J292" s="1" t="str">
        <f t="shared" si="67"/>
        <v>09</v>
      </c>
      <c r="K292" s="3">
        <f t="shared" si="68"/>
        <v>25</v>
      </c>
      <c r="L292" s="3">
        <f t="shared" si="69"/>
        <v>2</v>
      </c>
      <c r="M292" s="3">
        <f t="shared" si="70"/>
        <v>1</v>
      </c>
      <c r="N292" s="3" t="str">
        <f t="shared" si="71"/>
        <v>02</v>
      </c>
      <c r="O292" s="14" t="str">
        <f t="shared" si="72"/>
        <v>01</v>
      </c>
      <c r="P292" s="4">
        <v>159000</v>
      </c>
      <c r="T292" s="28" t="s">
        <v>1942</v>
      </c>
      <c r="U292" s="3" t="s">
        <v>1</v>
      </c>
      <c r="V292" s="3" t="s">
        <v>5</v>
      </c>
      <c r="W292" t="s">
        <v>1306</v>
      </c>
      <c r="X292" s="159" t="s">
        <v>1302</v>
      </c>
      <c r="Y292" t="s">
        <v>1941</v>
      </c>
    </row>
    <row r="293" spans="1:25">
      <c r="A293" s="143">
        <v>282</v>
      </c>
      <c r="B293" s="1">
        <f t="shared" si="74"/>
        <v>0</v>
      </c>
      <c r="C293" s="1">
        <f t="shared" si="75"/>
        <v>0</v>
      </c>
      <c r="D293" s="1">
        <f t="shared" si="76"/>
        <v>0</v>
      </c>
      <c r="E293" s="1">
        <f t="shared" si="77"/>
        <v>0</v>
      </c>
      <c r="F293" s="1">
        <f t="shared" si="78"/>
        <v>0</v>
      </c>
      <c r="G293" s="1" t="str">
        <f t="shared" si="79"/>
        <v>25020110</v>
      </c>
      <c r="H293" s="2">
        <v>45689</v>
      </c>
      <c r="I293" s="113">
        <v>10</v>
      </c>
      <c r="J293" s="1">
        <f t="shared" si="67"/>
        <v>10</v>
      </c>
      <c r="K293" s="3">
        <f t="shared" si="68"/>
        <v>25</v>
      </c>
      <c r="L293" s="3">
        <f t="shared" si="69"/>
        <v>2</v>
      </c>
      <c r="M293" s="3">
        <f t="shared" si="70"/>
        <v>1</v>
      </c>
      <c r="N293" s="3" t="str">
        <f t="shared" si="71"/>
        <v>02</v>
      </c>
      <c r="O293" s="14" t="str">
        <f t="shared" si="72"/>
        <v>01</v>
      </c>
      <c r="P293" s="4">
        <v>18000</v>
      </c>
      <c r="T293" s="28" t="s">
        <v>1940</v>
      </c>
      <c r="U293" s="3" t="s">
        <v>1</v>
      </c>
      <c r="V293" s="3" t="s">
        <v>5</v>
      </c>
      <c r="W293" t="s">
        <v>1306</v>
      </c>
      <c r="X293" s="159" t="s">
        <v>1302</v>
      </c>
      <c r="Y293" t="s">
        <v>1939</v>
      </c>
    </row>
    <row r="294" spans="1:25">
      <c r="A294" s="143">
        <v>283</v>
      </c>
      <c r="B294" s="1">
        <f t="shared" si="74"/>
        <v>0</v>
      </c>
      <c r="C294" s="1">
        <f t="shared" si="75"/>
        <v>0</v>
      </c>
      <c r="D294" s="1">
        <f t="shared" si="76"/>
        <v>0</v>
      </c>
      <c r="E294" s="1">
        <f t="shared" si="77"/>
        <v>0</v>
      </c>
      <c r="F294" s="1">
        <f t="shared" si="78"/>
        <v>0</v>
      </c>
      <c r="G294" s="1" t="str">
        <f t="shared" si="79"/>
        <v>25020111</v>
      </c>
      <c r="H294" s="2">
        <v>45689</v>
      </c>
      <c r="I294" s="113">
        <v>11</v>
      </c>
      <c r="J294" s="1">
        <f t="shared" si="67"/>
        <v>11</v>
      </c>
      <c r="K294" s="3">
        <f t="shared" si="68"/>
        <v>25</v>
      </c>
      <c r="L294" s="3">
        <f t="shared" si="69"/>
        <v>2</v>
      </c>
      <c r="M294" s="3">
        <f t="shared" si="70"/>
        <v>1</v>
      </c>
      <c r="N294" s="3" t="str">
        <f t="shared" si="71"/>
        <v>02</v>
      </c>
      <c r="O294" s="14" t="str">
        <f t="shared" si="72"/>
        <v>01</v>
      </c>
      <c r="P294" s="4">
        <v>132000</v>
      </c>
      <c r="T294" s="31" t="s">
        <v>1938</v>
      </c>
      <c r="U294" s="3" t="s">
        <v>1</v>
      </c>
      <c r="V294" s="3" t="s">
        <v>5</v>
      </c>
      <c r="W294" t="s">
        <v>1306</v>
      </c>
      <c r="X294" s="159" t="s">
        <v>1302</v>
      </c>
      <c r="Y294"/>
    </row>
    <row r="295" spans="1:25">
      <c r="A295" s="143">
        <v>284</v>
      </c>
      <c r="B295" s="1">
        <f t="shared" si="74"/>
        <v>0</v>
      </c>
      <c r="C295" s="1">
        <f t="shared" si="75"/>
        <v>0</v>
      </c>
      <c r="D295" s="1">
        <f t="shared" si="76"/>
        <v>0</v>
      </c>
      <c r="E295" s="1">
        <f t="shared" si="77"/>
        <v>0</v>
      </c>
      <c r="F295" s="1">
        <f t="shared" si="78"/>
        <v>0</v>
      </c>
      <c r="G295" s="1" t="str">
        <f t="shared" si="79"/>
        <v>25020112</v>
      </c>
      <c r="H295" s="2">
        <v>45689</v>
      </c>
      <c r="I295" s="113">
        <v>12</v>
      </c>
      <c r="J295" s="1">
        <f t="shared" si="67"/>
        <v>12</v>
      </c>
      <c r="K295" s="3">
        <f t="shared" si="68"/>
        <v>25</v>
      </c>
      <c r="L295" s="3">
        <f t="shared" si="69"/>
        <v>2</v>
      </c>
      <c r="M295" s="3">
        <f t="shared" si="70"/>
        <v>1</v>
      </c>
      <c r="N295" s="3" t="str">
        <f t="shared" si="71"/>
        <v>02</v>
      </c>
      <c r="O295" s="14" t="str">
        <f t="shared" si="72"/>
        <v>01</v>
      </c>
      <c r="P295" s="4">
        <v>108000</v>
      </c>
      <c r="T295" s="31" t="s">
        <v>1937</v>
      </c>
      <c r="U295" s="3" t="s">
        <v>1</v>
      </c>
      <c r="V295" s="3" t="s">
        <v>5</v>
      </c>
      <c r="W295" t="s">
        <v>1306</v>
      </c>
      <c r="X295" s="159" t="s">
        <v>1302</v>
      </c>
      <c r="Y295"/>
    </row>
    <row r="296" spans="1:25">
      <c r="A296" s="143">
        <v>285</v>
      </c>
      <c r="B296" s="1">
        <f t="shared" si="74"/>
        <v>0</v>
      </c>
      <c r="C296" s="1">
        <f t="shared" si="75"/>
        <v>0</v>
      </c>
      <c r="D296" s="1">
        <f t="shared" si="76"/>
        <v>0</v>
      </c>
      <c r="E296" s="1">
        <f t="shared" si="77"/>
        <v>0</v>
      </c>
      <c r="F296" s="1">
        <f t="shared" si="78"/>
        <v>0</v>
      </c>
      <c r="G296" s="1" t="str">
        <f t="shared" si="79"/>
        <v>25020113</v>
      </c>
      <c r="H296" s="2">
        <v>45689</v>
      </c>
      <c r="I296" s="113">
        <v>13</v>
      </c>
      <c r="J296" s="1">
        <f t="shared" si="67"/>
        <v>13</v>
      </c>
      <c r="K296" s="3">
        <f t="shared" si="68"/>
        <v>25</v>
      </c>
      <c r="L296" s="3">
        <f t="shared" si="69"/>
        <v>2</v>
      </c>
      <c r="M296" s="3">
        <f t="shared" si="70"/>
        <v>1</v>
      </c>
      <c r="N296" s="3" t="str">
        <f t="shared" si="71"/>
        <v>02</v>
      </c>
      <c r="O296" s="14" t="str">
        <f t="shared" si="72"/>
        <v>01</v>
      </c>
      <c r="P296" s="4">
        <v>108000</v>
      </c>
      <c r="T296" s="31" t="s">
        <v>1936</v>
      </c>
      <c r="U296" s="3" t="s">
        <v>1</v>
      </c>
      <c r="V296" s="3" t="s">
        <v>5</v>
      </c>
      <c r="W296" t="s">
        <v>1306</v>
      </c>
      <c r="X296" s="159" t="s">
        <v>1302</v>
      </c>
      <c r="Y296"/>
    </row>
    <row r="297" spans="1:25">
      <c r="A297" s="143">
        <v>286</v>
      </c>
      <c r="B297" s="1">
        <f t="shared" si="74"/>
        <v>0</v>
      </c>
      <c r="C297" s="1">
        <f t="shared" si="75"/>
        <v>0</v>
      </c>
      <c r="D297" s="1">
        <f t="shared" si="76"/>
        <v>0</v>
      </c>
      <c r="E297" s="1">
        <f t="shared" si="77"/>
        <v>0</v>
      </c>
      <c r="F297" s="1">
        <f t="shared" si="78"/>
        <v>0</v>
      </c>
      <c r="G297" s="1" t="str">
        <f t="shared" si="79"/>
        <v>25020114</v>
      </c>
      <c r="H297" s="2">
        <v>45689</v>
      </c>
      <c r="I297" s="113">
        <v>14</v>
      </c>
      <c r="J297" s="1">
        <f t="shared" si="67"/>
        <v>14</v>
      </c>
      <c r="K297" s="3">
        <f t="shared" si="68"/>
        <v>25</v>
      </c>
      <c r="L297" s="3">
        <f t="shared" si="69"/>
        <v>2</v>
      </c>
      <c r="M297" s="3">
        <f t="shared" si="70"/>
        <v>1</v>
      </c>
      <c r="N297" s="3" t="str">
        <f t="shared" si="71"/>
        <v>02</v>
      </c>
      <c r="O297" s="14" t="str">
        <f t="shared" si="72"/>
        <v>01</v>
      </c>
      <c r="P297" s="4">
        <v>132000</v>
      </c>
      <c r="T297" s="31" t="s">
        <v>1935</v>
      </c>
      <c r="U297" s="3" t="s">
        <v>1</v>
      </c>
      <c r="V297" s="3" t="s">
        <v>5</v>
      </c>
      <c r="W297" t="s">
        <v>1306</v>
      </c>
      <c r="X297" s="159" t="s">
        <v>1302</v>
      </c>
      <c r="Y297"/>
    </row>
    <row r="298" spans="1:25">
      <c r="A298" s="143">
        <v>287</v>
      </c>
      <c r="B298" s="1">
        <f t="shared" si="74"/>
        <v>0</v>
      </c>
      <c r="C298" s="1">
        <f t="shared" si="75"/>
        <v>0</v>
      </c>
      <c r="D298" s="1">
        <f t="shared" si="76"/>
        <v>0</v>
      </c>
      <c r="E298" s="1">
        <f t="shared" si="77"/>
        <v>0</v>
      </c>
      <c r="F298" s="1">
        <f t="shared" si="78"/>
        <v>0</v>
      </c>
      <c r="G298" s="1" t="str">
        <f t="shared" si="79"/>
        <v>25020115</v>
      </c>
      <c r="H298" s="2">
        <v>45689</v>
      </c>
      <c r="I298" s="113">
        <v>15</v>
      </c>
      <c r="J298" s="1">
        <f t="shared" si="67"/>
        <v>15</v>
      </c>
      <c r="K298" s="3">
        <f t="shared" si="68"/>
        <v>25</v>
      </c>
      <c r="L298" s="3">
        <f t="shared" si="69"/>
        <v>2</v>
      </c>
      <c r="M298" s="3">
        <f t="shared" si="70"/>
        <v>1</v>
      </c>
      <c r="N298" s="3" t="str">
        <f t="shared" si="71"/>
        <v>02</v>
      </c>
      <c r="O298" s="14" t="str">
        <f t="shared" si="72"/>
        <v>01</v>
      </c>
      <c r="P298" s="4">
        <v>252000</v>
      </c>
      <c r="T298" s="31" t="s">
        <v>1934</v>
      </c>
      <c r="U298" s="3" t="s">
        <v>1</v>
      </c>
      <c r="V298" s="3" t="s">
        <v>5</v>
      </c>
      <c r="W298" t="s">
        <v>1306</v>
      </c>
      <c r="X298" s="159" t="s">
        <v>1302</v>
      </c>
      <c r="Y298"/>
    </row>
    <row r="299" spans="1:25">
      <c r="A299" s="143">
        <v>288</v>
      </c>
      <c r="B299" s="1">
        <f t="shared" si="74"/>
        <v>0</v>
      </c>
      <c r="C299" s="1">
        <f t="shared" si="75"/>
        <v>0</v>
      </c>
      <c r="D299" s="1">
        <f t="shared" si="76"/>
        <v>0</v>
      </c>
      <c r="E299" s="1">
        <f t="shared" si="77"/>
        <v>0</v>
      </c>
      <c r="F299" s="1">
        <f t="shared" si="78"/>
        <v>0</v>
      </c>
      <c r="G299" s="1" t="str">
        <f t="shared" si="79"/>
        <v>25020116</v>
      </c>
      <c r="H299" s="2">
        <v>45689</v>
      </c>
      <c r="I299" s="113">
        <v>16</v>
      </c>
      <c r="J299" s="1">
        <f t="shared" si="67"/>
        <v>16</v>
      </c>
      <c r="K299" s="3">
        <f t="shared" si="68"/>
        <v>25</v>
      </c>
      <c r="L299" s="3">
        <f t="shared" si="69"/>
        <v>2</v>
      </c>
      <c r="M299" s="3">
        <f t="shared" si="70"/>
        <v>1</v>
      </c>
      <c r="N299" s="3" t="str">
        <f t="shared" si="71"/>
        <v>02</v>
      </c>
      <c r="O299" s="14" t="str">
        <f t="shared" si="72"/>
        <v>01</v>
      </c>
      <c r="P299" s="4">
        <v>90000</v>
      </c>
      <c r="T299" s="31" t="s">
        <v>1933</v>
      </c>
      <c r="U299" s="3" t="s">
        <v>1</v>
      </c>
      <c r="V299" s="3" t="s">
        <v>5</v>
      </c>
      <c r="W299" t="s">
        <v>1306</v>
      </c>
      <c r="X299" s="159" t="s">
        <v>1302</v>
      </c>
      <c r="Y299"/>
    </row>
    <row r="300" spans="1:25">
      <c r="A300" s="143">
        <v>289</v>
      </c>
      <c r="B300" s="1">
        <f t="shared" si="74"/>
        <v>0</v>
      </c>
      <c r="C300" s="1">
        <f t="shared" si="75"/>
        <v>0</v>
      </c>
      <c r="D300" s="1">
        <f t="shared" si="76"/>
        <v>0</v>
      </c>
      <c r="E300" s="1">
        <f t="shared" si="77"/>
        <v>0</v>
      </c>
      <c r="F300" s="1">
        <f t="shared" si="78"/>
        <v>0</v>
      </c>
      <c r="G300" s="1" t="str">
        <f t="shared" si="79"/>
        <v>25020117</v>
      </c>
      <c r="H300" s="2">
        <v>45689</v>
      </c>
      <c r="I300" s="113">
        <v>17</v>
      </c>
      <c r="J300" s="1">
        <f t="shared" si="67"/>
        <v>17</v>
      </c>
      <c r="K300" s="3">
        <f t="shared" si="68"/>
        <v>25</v>
      </c>
      <c r="L300" s="3">
        <f t="shared" si="69"/>
        <v>2</v>
      </c>
      <c r="M300" s="3">
        <f t="shared" si="70"/>
        <v>1</v>
      </c>
      <c r="N300" s="3" t="str">
        <f t="shared" si="71"/>
        <v>02</v>
      </c>
      <c r="O300" s="14" t="str">
        <f t="shared" si="72"/>
        <v>01</v>
      </c>
      <c r="P300" s="4">
        <v>200000</v>
      </c>
      <c r="T300" s="31" t="s">
        <v>1932</v>
      </c>
      <c r="U300" s="3" t="s">
        <v>1</v>
      </c>
      <c r="V300" s="3" t="s">
        <v>5</v>
      </c>
      <c r="W300" t="s">
        <v>1306</v>
      </c>
      <c r="X300" s="159" t="s">
        <v>1302</v>
      </c>
      <c r="Y300"/>
    </row>
    <row r="301" spans="1:25">
      <c r="A301" s="143">
        <v>290</v>
      </c>
      <c r="B301" s="1">
        <f t="shared" si="74"/>
        <v>0</v>
      </c>
      <c r="C301" s="1">
        <f t="shared" si="75"/>
        <v>0</v>
      </c>
      <c r="D301" s="1">
        <f t="shared" si="76"/>
        <v>0</v>
      </c>
      <c r="E301" s="1">
        <f t="shared" si="77"/>
        <v>0</v>
      </c>
      <c r="F301" s="1">
        <f t="shared" si="78"/>
        <v>0</v>
      </c>
      <c r="G301" s="1" t="str">
        <f t="shared" si="79"/>
        <v>25020118</v>
      </c>
      <c r="H301" s="2">
        <v>45689</v>
      </c>
      <c r="I301" s="113">
        <v>18</v>
      </c>
      <c r="J301" s="1">
        <f t="shared" si="67"/>
        <v>18</v>
      </c>
      <c r="K301" s="3">
        <f t="shared" si="68"/>
        <v>25</v>
      </c>
      <c r="L301" s="3">
        <f t="shared" si="69"/>
        <v>2</v>
      </c>
      <c r="M301" s="3">
        <f t="shared" si="70"/>
        <v>1</v>
      </c>
      <c r="N301" s="3" t="str">
        <f t="shared" si="71"/>
        <v>02</v>
      </c>
      <c r="O301" s="14" t="str">
        <f t="shared" si="72"/>
        <v>01</v>
      </c>
      <c r="P301" s="4">
        <v>150000</v>
      </c>
      <c r="T301" s="31" t="s">
        <v>1931</v>
      </c>
      <c r="U301" s="3" t="s">
        <v>1</v>
      </c>
      <c r="V301" s="3" t="s">
        <v>5</v>
      </c>
      <c r="W301" t="s">
        <v>1306</v>
      </c>
      <c r="X301" s="159" t="s">
        <v>1302</v>
      </c>
      <c r="Y301" t="s">
        <v>1930</v>
      </c>
    </row>
    <row r="302" spans="1:25">
      <c r="A302" s="143">
        <v>291</v>
      </c>
      <c r="B302" s="1">
        <f t="shared" si="74"/>
        <v>0</v>
      </c>
      <c r="C302" s="1">
        <f t="shared" si="75"/>
        <v>0</v>
      </c>
      <c r="D302" s="1">
        <f t="shared" si="76"/>
        <v>0</v>
      </c>
      <c r="E302" s="1">
        <f t="shared" si="77"/>
        <v>0</v>
      </c>
      <c r="F302" s="1">
        <f t="shared" si="78"/>
        <v>0</v>
      </c>
      <c r="G302" s="1" t="str">
        <f t="shared" si="79"/>
        <v>25020119</v>
      </c>
      <c r="H302" s="2">
        <v>45689</v>
      </c>
      <c r="I302" s="113">
        <v>19</v>
      </c>
      <c r="J302" s="1">
        <f t="shared" si="67"/>
        <v>19</v>
      </c>
      <c r="K302" s="3">
        <f t="shared" si="68"/>
        <v>25</v>
      </c>
      <c r="L302" s="3">
        <f t="shared" si="69"/>
        <v>2</v>
      </c>
      <c r="M302" s="3">
        <f t="shared" si="70"/>
        <v>1</v>
      </c>
      <c r="N302" s="3" t="str">
        <f t="shared" si="71"/>
        <v>02</v>
      </c>
      <c r="O302" s="14" t="str">
        <f t="shared" si="72"/>
        <v>01</v>
      </c>
      <c r="P302" s="4">
        <v>90000</v>
      </c>
      <c r="T302" s="28" t="s">
        <v>1929</v>
      </c>
      <c r="U302" s="3" t="s">
        <v>1</v>
      </c>
      <c r="V302" s="3" t="s">
        <v>5</v>
      </c>
      <c r="W302" t="s">
        <v>1306</v>
      </c>
      <c r="X302" s="159" t="s">
        <v>1302</v>
      </c>
      <c r="Y302" t="s">
        <v>1928</v>
      </c>
    </row>
    <row r="303" spans="1:25" hidden="1">
      <c r="A303" s="143"/>
      <c r="J303" s="1" t="str">
        <f t="shared" si="67"/>
        <v>0</v>
      </c>
      <c r="K303" s="3">
        <f t="shared" si="68"/>
        <v>-100</v>
      </c>
      <c r="L303" s="3">
        <f t="shared" si="69"/>
        <v>1</v>
      </c>
      <c r="M303" s="3">
        <f t="shared" si="70"/>
        <v>0</v>
      </c>
      <c r="N303" s="3" t="str">
        <f t="shared" si="71"/>
        <v>01</v>
      </c>
      <c r="O303" s="14" t="str">
        <f t="shared" si="72"/>
        <v>00</v>
      </c>
      <c r="W303"/>
      <c r="X303" s="159"/>
    </row>
    <row r="304" spans="1:25" hidden="1">
      <c r="A304" s="143"/>
      <c r="J304" s="1" t="str">
        <f t="shared" si="67"/>
        <v>0</v>
      </c>
      <c r="K304" s="3">
        <f t="shared" si="68"/>
        <v>-100</v>
      </c>
      <c r="L304" s="3">
        <f t="shared" si="69"/>
        <v>1</v>
      </c>
      <c r="M304" s="3">
        <f t="shared" si="70"/>
        <v>0</v>
      </c>
      <c r="N304" s="3" t="str">
        <f t="shared" si="71"/>
        <v>01</v>
      </c>
      <c r="O304" s="14" t="str">
        <f t="shared" si="72"/>
        <v>00</v>
      </c>
    </row>
    <row r="305" spans="1:25" hidden="1">
      <c r="A305" s="143">
        <v>241</v>
      </c>
      <c r="B305" s="1">
        <f>IF(G305="-",0,IF(G304=G305,1,0))</f>
        <v>0</v>
      </c>
      <c r="C305" s="1">
        <f>+IF(G305="-",0,IF(I305=I304+1,0,(IF(I305=1,0,1))))</f>
        <v>0</v>
      </c>
      <c r="D305" s="1">
        <f>+IF(AND(P305="",Q305=""),1,0)</f>
        <v>0</v>
      </c>
      <c r="E305" s="1">
        <f>IF(U305="",1,0)</f>
        <v>0</v>
      </c>
      <c r="F305" s="1">
        <f>IF(V305="",1,0)</f>
        <v>0</v>
      </c>
      <c r="G305" s="1" t="str">
        <f>IF(H305=0,"-",_xlfn.CONCAT(K305,N305,O305,J305))</f>
        <v>25020301</v>
      </c>
      <c r="H305" s="2">
        <v>45691</v>
      </c>
      <c r="I305" s="113">
        <v>1</v>
      </c>
      <c r="J305" s="1" t="str">
        <f t="shared" si="67"/>
        <v>01</v>
      </c>
      <c r="K305" s="3">
        <f t="shared" si="68"/>
        <v>25</v>
      </c>
      <c r="L305" s="3">
        <f t="shared" si="69"/>
        <v>2</v>
      </c>
      <c r="M305" s="3">
        <f t="shared" si="70"/>
        <v>3</v>
      </c>
      <c r="N305" s="3" t="str">
        <f t="shared" si="71"/>
        <v>02</v>
      </c>
      <c r="O305" s="14" t="str">
        <f t="shared" si="72"/>
        <v>03</v>
      </c>
      <c r="P305" s="4">
        <v>22639.55</v>
      </c>
      <c r="T305" s="5" t="s">
        <v>1927</v>
      </c>
      <c r="U305" s="3" t="s">
        <v>29</v>
      </c>
      <c r="V305" s="3" t="s">
        <v>5</v>
      </c>
      <c r="W305" t="s">
        <v>1309</v>
      </c>
      <c r="X305" s="159" t="s">
        <v>1305</v>
      </c>
    </row>
    <row r="306" spans="1:25" hidden="1">
      <c r="A306" s="143">
        <v>242</v>
      </c>
      <c r="B306" s="1">
        <f>IF(G306="-",0,IF(G305=G306,1,0))</f>
        <v>0</v>
      </c>
      <c r="C306" s="1">
        <f>+IF(G306="-",0,IF(I306=I305+1,0,(IF(I306=1,0,1))))</f>
        <v>0</v>
      </c>
      <c r="D306" s="1">
        <f>+IF(AND(P306="",Q306=""),1,0)</f>
        <v>0</v>
      </c>
      <c r="E306" s="1">
        <f>IF(U306="",1,0)</f>
        <v>0</v>
      </c>
      <c r="F306" s="1">
        <f>IF(V306="",1,0)</f>
        <v>0</v>
      </c>
      <c r="G306" s="1" t="str">
        <f>IF(H306=0,"-",_xlfn.CONCAT(K306,N306,O306,J306))</f>
        <v>25020302</v>
      </c>
      <c r="H306" s="2">
        <v>45691</v>
      </c>
      <c r="I306" s="113">
        <v>2</v>
      </c>
      <c r="J306" s="1" t="str">
        <f t="shared" si="67"/>
        <v>02</v>
      </c>
      <c r="K306" s="3">
        <f t="shared" si="68"/>
        <v>25</v>
      </c>
      <c r="L306" s="3">
        <f t="shared" si="69"/>
        <v>2</v>
      </c>
      <c r="M306" s="3">
        <f t="shared" si="70"/>
        <v>3</v>
      </c>
      <c r="N306" s="3" t="str">
        <f t="shared" si="71"/>
        <v>02</v>
      </c>
      <c r="O306" s="14" t="str">
        <f t="shared" si="72"/>
        <v>03</v>
      </c>
      <c r="P306" s="4">
        <v>40001</v>
      </c>
      <c r="T306" s="5" t="s">
        <v>1926</v>
      </c>
      <c r="U306" s="3" t="s">
        <v>1326</v>
      </c>
      <c r="V306" s="3" t="s">
        <v>1304</v>
      </c>
      <c r="W306" t="s">
        <v>1326</v>
      </c>
      <c r="X306" s="159" t="s">
        <v>1305</v>
      </c>
    </row>
    <row r="307" spans="1:25" hidden="1">
      <c r="A307" s="143"/>
      <c r="J307" s="1" t="str">
        <f t="shared" si="67"/>
        <v>0</v>
      </c>
      <c r="K307" s="3">
        <f t="shared" si="68"/>
        <v>-100</v>
      </c>
      <c r="L307" s="3">
        <f t="shared" si="69"/>
        <v>1</v>
      </c>
      <c r="M307" s="3">
        <f t="shared" si="70"/>
        <v>0</v>
      </c>
      <c r="N307" s="3" t="str">
        <f t="shared" si="71"/>
        <v>01</v>
      </c>
      <c r="O307" s="14" t="str">
        <f t="shared" si="72"/>
        <v>00</v>
      </c>
      <c r="W307"/>
      <c r="X307" s="159"/>
    </row>
    <row r="308" spans="1:25" hidden="1">
      <c r="A308" s="143"/>
      <c r="J308" s="1" t="str">
        <f t="shared" si="67"/>
        <v>0</v>
      </c>
      <c r="K308" s="3">
        <f t="shared" si="68"/>
        <v>-100</v>
      </c>
      <c r="L308" s="3">
        <f t="shared" si="69"/>
        <v>1</v>
      </c>
      <c r="M308" s="3">
        <f t="shared" si="70"/>
        <v>0</v>
      </c>
      <c r="N308" s="3" t="str">
        <f t="shared" si="71"/>
        <v>01</v>
      </c>
      <c r="O308" s="14" t="str">
        <f t="shared" si="72"/>
        <v>00</v>
      </c>
    </row>
    <row r="309" spans="1:25" hidden="1">
      <c r="A309" s="143">
        <v>243</v>
      </c>
      <c r="B309" s="1">
        <f>IF(G309="-",0,IF(G308=G309,1,0))</f>
        <v>0</v>
      </c>
      <c r="C309" s="1">
        <f>+IF(G309="-",0,IF(I309=I308+1,0,(IF(I309=1,0,1))))</f>
        <v>0</v>
      </c>
      <c r="D309" s="1">
        <f>+IF(AND(P309="",Q309=""),1,0)</f>
        <v>0</v>
      </c>
      <c r="E309" s="1">
        <f t="shared" ref="E309:F311" si="80">IF(U309="",1,0)</f>
        <v>0</v>
      </c>
      <c r="F309" s="1">
        <f t="shared" si="80"/>
        <v>0</v>
      </c>
      <c r="G309" s="1" t="str">
        <f>IF(H309=0,"-",_xlfn.CONCAT(K309,N309,O309,J309))</f>
        <v>25020401</v>
      </c>
      <c r="H309" s="2">
        <v>45692</v>
      </c>
      <c r="I309" s="113">
        <v>1</v>
      </c>
      <c r="J309" s="1" t="str">
        <f t="shared" si="67"/>
        <v>01</v>
      </c>
      <c r="K309" s="3">
        <f t="shared" si="68"/>
        <v>25</v>
      </c>
      <c r="L309" s="3">
        <f t="shared" si="69"/>
        <v>2</v>
      </c>
      <c r="M309" s="3">
        <f t="shared" si="70"/>
        <v>4</v>
      </c>
      <c r="N309" s="3" t="str">
        <f t="shared" si="71"/>
        <v>02</v>
      </c>
      <c r="O309" s="14" t="str">
        <f t="shared" si="72"/>
        <v>04</v>
      </c>
      <c r="P309" s="4">
        <v>3000</v>
      </c>
      <c r="T309" s="5" t="s">
        <v>1925</v>
      </c>
      <c r="U309" s="3" t="s">
        <v>29</v>
      </c>
      <c r="V309" s="3" t="s">
        <v>5</v>
      </c>
      <c r="W309" t="s">
        <v>1326</v>
      </c>
      <c r="X309" s="159" t="s">
        <v>1305</v>
      </c>
    </row>
    <row r="310" spans="1:25" hidden="1">
      <c r="A310" s="143">
        <v>244</v>
      </c>
      <c r="B310" s="1">
        <f>IF(G310="-",0,IF(G309=G310,1,0))</f>
        <v>0</v>
      </c>
      <c r="C310" s="1">
        <f>+IF(G310="-",0,IF(I310=I309+1,0,(IF(I310=1,0,1))))</f>
        <v>0</v>
      </c>
      <c r="D310" s="1">
        <f>+IF(AND(P310="",Q310=""),1,0)</f>
        <v>0</v>
      </c>
      <c r="E310" s="1">
        <f t="shared" si="80"/>
        <v>0</v>
      </c>
      <c r="F310" s="1">
        <f t="shared" si="80"/>
        <v>0</v>
      </c>
      <c r="G310" s="1" t="str">
        <f>IF(H310=0,"-",_xlfn.CONCAT(K310,N310,O310,J310))</f>
        <v>25020402</v>
      </c>
      <c r="H310" s="2">
        <v>45692</v>
      </c>
      <c r="I310" s="113">
        <v>2</v>
      </c>
      <c r="J310" s="1" t="str">
        <f t="shared" si="67"/>
        <v>02</v>
      </c>
      <c r="K310" s="3">
        <f t="shared" si="68"/>
        <v>25</v>
      </c>
      <c r="L310" s="3">
        <f t="shared" si="69"/>
        <v>2</v>
      </c>
      <c r="M310" s="3">
        <f t="shared" si="70"/>
        <v>4</v>
      </c>
      <c r="N310" s="3" t="str">
        <f t="shared" si="71"/>
        <v>02</v>
      </c>
      <c r="O310" s="14" t="str">
        <f t="shared" si="72"/>
        <v>04</v>
      </c>
      <c r="P310" s="4">
        <v>59841.4</v>
      </c>
      <c r="T310" s="5" t="s">
        <v>1924</v>
      </c>
      <c r="U310" s="3" t="s">
        <v>29</v>
      </c>
      <c r="V310" s="3" t="s">
        <v>5</v>
      </c>
      <c r="W310" t="s">
        <v>1309</v>
      </c>
      <c r="X310" s="159" t="s">
        <v>1305</v>
      </c>
      <c r="Y310" s="141" t="s">
        <v>1923</v>
      </c>
    </row>
    <row r="311" spans="1:25" hidden="1">
      <c r="A311" s="143">
        <v>245</v>
      </c>
      <c r="B311" s="1">
        <f>IF(G311="-",0,IF(G310=G311,1,0))</f>
        <v>0</v>
      </c>
      <c r="C311" s="1">
        <f>+IF(G311="-",0,IF(I311=I310+1,0,(IF(I311=1,0,1))))</f>
        <v>0</v>
      </c>
      <c r="D311" s="1">
        <f>+IF(AND(P311="",Q311=""),1,0)</f>
        <v>0</v>
      </c>
      <c r="E311" s="1">
        <f t="shared" si="80"/>
        <v>0</v>
      </c>
      <c r="F311" s="1">
        <f t="shared" si="80"/>
        <v>0</v>
      </c>
      <c r="G311" s="1" t="str">
        <f>IF(H311=0,"-",_xlfn.CONCAT(K311,N311,O311,J311))</f>
        <v>25020403</v>
      </c>
      <c r="H311" s="2">
        <v>45692</v>
      </c>
      <c r="I311" s="113">
        <v>3</v>
      </c>
      <c r="J311" s="1" t="str">
        <f t="shared" si="67"/>
        <v>03</v>
      </c>
      <c r="K311" s="3">
        <f t="shared" si="68"/>
        <v>25</v>
      </c>
      <c r="L311" s="3">
        <f t="shared" si="69"/>
        <v>2</v>
      </c>
      <c r="M311" s="3">
        <f t="shared" si="70"/>
        <v>4</v>
      </c>
      <c r="N311" s="3" t="str">
        <f t="shared" si="71"/>
        <v>02</v>
      </c>
      <c r="O311" s="14" t="str">
        <f t="shared" si="72"/>
        <v>04</v>
      </c>
      <c r="P311" s="4">
        <v>13642.9</v>
      </c>
      <c r="T311" s="5" t="s">
        <v>1922</v>
      </c>
      <c r="U311" s="3" t="s">
        <v>29</v>
      </c>
      <c r="V311" s="3" t="s">
        <v>5</v>
      </c>
      <c r="W311" t="s">
        <v>1309</v>
      </c>
      <c r="X311" s="159" t="s">
        <v>1305</v>
      </c>
    </row>
    <row r="312" spans="1:25" hidden="1">
      <c r="A312" s="143"/>
      <c r="J312" s="1" t="str">
        <f t="shared" si="67"/>
        <v>0</v>
      </c>
      <c r="K312" s="3">
        <f t="shared" si="68"/>
        <v>-100</v>
      </c>
      <c r="L312" s="3">
        <f t="shared" si="69"/>
        <v>1</v>
      </c>
      <c r="M312" s="3">
        <f t="shared" si="70"/>
        <v>0</v>
      </c>
      <c r="N312" s="3" t="str">
        <f t="shared" si="71"/>
        <v>01</v>
      </c>
      <c r="O312" s="14" t="str">
        <f t="shared" si="72"/>
        <v>00</v>
      </c>
      <c r="W312"/>
      <c r="X312" s="159"/>
    </row>
    <row r="313" spans="1:25" hidden="1">
      <c r="A313" s="143">
        <v>273</v>
      </c>
      <c r="B313" s="1">
        <f>IF(G313="-",0,IF(G312=G313,1,0))</f>
        <v>0</v>
      </c>
      <c r="C313" s="1">
        <f>+IF(G313="-",0,IF(I313=I312+1,0,(IF(I313=1,0,1))))</f>
        <v>1</v>
      </c>
      <c r="D313" s="1">
        <f>+IF(AND(P313="",Q313=""),1,0)</f>
        <v>0</v>
      </c>
      <c r="E313" s="1">
        <f t="shared" ref="E313:F317" si="81">IF(U313="",1,0)</f>
        <v>0</v>
      </c>
      <c r="F313" s="1">
        <f t="shared" si="81"/>
        <v>0</v>
      </c>
      <c r="G313" s="1" t="str">
        <f>IF(H313=0,"-",_xlfn.CONCAT(K313,N313,O313,J313))</f>
        <v>25020405</v>
      </c>
      <c r="H313" s="2">
        <v>45692</v>
      </c>
      <c r="I313" s="113">
        <v>5</v>
      </c>
      <c r="J313" s="1" t="str">
        <f t="shared" si="67"/>
        <v>05</v>
      </c>
      <c r="K313" s="3">
        <f t="shared" si="68"/>
        <v>25</v>
      </c>
      <c r="L313" s="3">
        <f t="shared" si="69"/>
        <v>2</v>
      </c>
      <c r="M313" s="3">
        <f t="shared" si="70"/>
        <v>4</v>
      </c>
      <c r="N313" s="3" t="str">
        <f t="shared" si="71"/>
        <v>02</v>
      </c>
      <c r="O313" s="14" t="str">
        <f t="shared" si="72"/>
        <v>04</v>
      </c>
      <c r="P313" s="4">
        <v>16008</v>
      </c>
      <c r="T313" s="5" t="s">
        <v>1920</v>
      </c>
      <c r="U313" s="3" t="s">
        <v>29</v>
      </c>
      <c r="V313" s="3" t="s">
        <v>5</v>
      </c>
      <c r="W313" t="s">
        <v>1307</v>
      </c>
      <c r="X313" s="159" t="s">
        <v>1305</v>
      </c>
    </row>
    <row r="314" spans="1:25" hidden="1">
      <c r="A314" s="143">
        <v>274</v>
      </c>
      <c r="B314" s="1">
        <f>IF(G314="-",0,IF(G313=G314,1,0))</f>
        <v>0</v>
      </c>
      <c r="C314" s="1">
        <f>+IF(G314="-",0,IF(I314=I313+1,0,(IF(I314=1,0,1))))</f>
        <v>0</v>
      </c>
      <c r="D314" s="1">
        <f>+IF(AND(P314="",Q314=""),1,0)</f>
        <v>0</v>
      </c>
      <c r="E314" s="1">
        <f t="shared" si="81"/>
        <v>0</v>
      </c>
      <c r="F314" s="1">
        <f t="shared" si="81"/>
        <v>0</v>
      </c>
      <c r="G314" s="1" t="str">
        <f>IF(H314=0,"-",_xlfn.CONCAT(K314,N314,O314,J314))</f>
        <v>25020406</v>
      </c>
      <c r="H314" s="2">
        <v>45692</v>
      </c>
      <c r="I314" s="113">
        <v>6</v>
      </c>
      <c r="J314" s="1" t="str">
        <f t="shared" si="67"/>
        <v>06</v>
      </c>
      <c r="K314" s="3">
        <f t="shared" si="68"/>
        <v>25</v>
      </c>
      <c r="L314" s="3">
        <f t="shared" si="69"/>
        <v>2</v>
      </c>
      <c r="M314" s="3">
        <f t="shared" si="70"/>
        <v>4</v>
      </c>
      <c r="N314" s="3" t="str">
        <f t="shared" si="71"/>
        <v>02</v>
      </c>
      <c r="O314" s="14" t="str">
        <f t="shared" si="72"/>
        <v>04</v>
      </c>
      <c r="P314" s="4">
        <v>9008</v>
      </c>
      <c r="T314" s="5" t="s">
        <v>1921</v>
      </c>
      <c r="U314" s="3" t="s">
        <v>29</v>
      </c>
      <c r="V314" s="3" t="s">
        <v>5</v>
      </c>
      <c r="W314" t="s">
        <v>1307</v>
      </c>
      <c r="X314" s="159" t="s">
        <v>1305</v>
      </c>
    </row>
    <row r="315" spans="1:25" hidden="1">
      <c r="A315" s="143">
        <v>275</v>
      </c>
      <c r="B315" s="1">
        <f>IF(G315="-",0,IF(G314=G315,1,0))</f>
        <v>0</v>
      </c>
      <c r="C315" s="1">
        <f>+IF(G315="-",0,IF(I315=I314+1,0,(IF(I315=1,0,1))))</f>
        <v>0</v>
      </c>
      <c r="D315" s="1">
        <f>+IF(AND(P315="",Q315=""),1,0)</f>
        <v>0</v>
      </c>
      <c r="E315" s="1">
        <f t="shared" si="81"/>
        <v>0</v>
      </c>
      <c r="F315" s="1">
        <f t="shared" si="81"/>
        <v>0</v>
      </c>
      <c r="G315" s="1" t="str">
        <f>IF(H315=0,"-",_xlfn.CONCAT(K315,N315,O315,J315))</f>
        <v>25020407</v>
      </c>
      <c r="H315" s="2">
        <v>45692</v>
      </c>
      <c r="I315" s="113">
        <v>7</v>
      </c>
      <c r="J315" s="1" t="str">
        <f t="shared" si="67"/>
        <v>07</v>
      </c>
      <c r="K315" s="3">
        <f t="shared" si="68"/>
        <v>25</v>
      </c>
      <c r="L315" s="3">
        <f t="shared" si="69"/>
        <v>2</v>
      </c>
      <c r="M315" s="3">
        <f t="shared" si="70"/>
        <v>4</v>
      </c>
      <c r="N315" s="3" t="str">
        <f t="shared" si="71"/>
        <v>02</v>
      </c>
      <c r="O315" s="14" t="str">
        <f t="shared" si="72"/>
        <v>04</v>
      </c>
      <c r="P315" s="4">
        <v>16008</v>
      </c>
      <c r="T315" s="5" t="s">
        <v>1920</v>
      </c>
      <c r="U315" s="3" t="s">
        <v>29</v>
      </c>
      <c r="V315" s="3" t="s">
        <v>5</v>
      </c>
      <c r="W315" t="s">
        <v>1307</v>
      </c>
      <c r="X315" s="159" t="s">
        <v>1305</v>
      </c>
    </row>
    <row r="316" spans="1:25" hidden="1">
      <c r="A316" s="143">
        <v>247</v>
      </c>
      <c r="B316" s="1">
        <f>IF(G316="-",0,IF(G315=G316,1,0))</f>
        <v>0</v>
      </c>
      <c r="C316" s="1">
        <f>+IF(G316="-",0,IF(I316=I315+1,0,(IF(I316=1,0,1))))</f>
        <v>0</v>
      </c>
      <c r="D316" s="1">
        <f>+IF(AND(P316="",Q316=""),1,0)</f>
        <v>0</v>
      </c>
      <c r="E316" s="1">
        <f t="shared" si="81"/>
        <v>0</v>
      </c>
      <c r="F316" s="1">
        <f t="shared" si="81"/>
        <v>0</v>
      </c>
      <c r="G316" s="1" t="str">
        <f>IF(H316=0,"-",_xlfn.CONCAT(K316,N316,O316,J316))</f>
        <v>25020501</v>
      </c>
      <c r="H316" s="2">
        <v>45693</v>
      </c>
      <c r="I316" s="113">
        <v>1</v>
      </c>
      <c r="J316" s="1" t="str">
        <f t="shared" si="67"/>
        <v>01</v>
      </c>
      <c r="K316" s="3">
        <f t="shared" si="68"/>
        <v>25</v>
      </c>
      <c r="L316" s="3">
        <f t="shared" si="69"/>
        <v>2</v>
      </c>
      <c r="M316" s="3">
        <f t="shared" si="70"/>
        <v>5</v>
      </c>
      <c r="N316" s="3" t="str">
        <f t="shared" si="71"/>
        <v>02</v>
      </c>
      <c r="O316" s="14" t="str">
        <f t="shared" si="72"/>
        <v>05</v>
      </c>
      <c r="P316" s="4">
        <v>30501.05</v>
      </c>
      <c r="T316" s="5" t="s">
        <v>1404</v>
      </c>
      <c r="U316" s="3" t="s">
        <v>30</v>
      </c>
      <c r="V316" s="3" t="s">
        <v>1312</v>
      </c>
      <c r="W316" t="s">
        <v>1309</v>
      </c>
      <c r="X316" s="159" t="s">
        <v>1305</v>
      </c>
    </row>
    <row r="317" spans="1:25" hidden="1">
      <c r="A317" s="143">
        <v>248</v>
      </c>
      <c r="B317" s="1">
        <f>IF(G317="-",0,IF(G316=G317,1,0))</f>
        <v>0</v>
      </c>
      <c r="C317" s="1">
        <f>+IF(G317="-",0,IF(I317=I316+1,0,(IF(I317=1,0,1))))</f>
        <v>0</v>
      </c>
      <c r="D317" s="1">
        <f>+IF(AND(P317="",Q317=""),1,0)</f>
        <v>0</v>
      </c>
      <c r="E317" s="1">
        <f t="shared" si="81"/>
        <v>0</v>
      </c>
      <c r="F317" s="1">
        <f t="shared" si="81"/>
        <v>0</v>
      </c>
      <c r="G317" s="1" t="str">
        <f>IF(H317=0,"-",_xlfn.CONCAT(K317,N317,O317,J317))</f>
        <v>25020502</v>
      </c>
      <c r="H317" s="2">
        <v>45693</v>
      </c>
      <c r="I317" s="113">
        <v>2</v>
      </c>
      <c r="J317" s="1" t="str">
        <f t="shared" si="67"/>
        <v>02</v>
      </c>
      <c r="K317" s="3">
        <f t="shared" si="68"/>
        <v>25</v>
      </c>
      <c r="L317" s="3">
        <f t="shared" si="69"/>
        <v>2</v>
      </c>
      <c r="M317" s="3">
        <f t="shared" si="70"/>
        <v>5</v>
      </c>
      <c r="N317" s="3" t="str">
        <f t="shared" si="71"/>
        <v>02</v>
      </c>
      <c r="O317" s="14" t="str">
        <f t="shared" si="72"/>
        <v>05</v>
      </c>
      <c r="P317" s="4">
        <v>53010</v>
      </c>
      <c r="T317" s="5" t="s">
        <v>352</v>
      </c>
      <c r="U317" s="3" t="s">
        <v>30</v>
      </c>
      <c r="V317" s="3" t="s">
        <v>1312</v>
      </c>
      <c r="W317" t="s">
        <v>1307</v>
      </c>
      <c r="X317" s="159" t="s">
        <v>1305</v>
      </c>
    </row>
    <row r="318" spans="1:25" hidden="1">
      <c r="A318" s="143"/>
      <c r="J318" s="1" t="str">
        <f t="shared" si="67"/>
        <v>0</v>
      </c>
      <c r="K318" s="3">
        <f t="shared" si="68"/>
        <v>-100</v>
      </c>
      <c r="L318" s="3">
        <f t="shared" si="69"/>
        <v>1</v>
      </c>
      <c r="M318" s="3">
        <f t="shared" si="70"/>
        <v>0</v>
      </c>
      <c r="N318" s="3" t="str">
        <f t="shared" si="71"/>
        <v>01</v>
      </c>
      <c r="O318" s="14" t="str">
        <f t="shared" si="72"/>
        <v>00</v>
      </c>
      <c r="W318"/>
      <c r="X318" s="159"/>
    </row>
    <row r="319" spans="1:25" hidden="1">
      <c r="A319" s="143">
        <v>309</v>
      </c>
      <c r="B319" s="1">
        <f>IF(G319="-",0,IF(G318=G319,1,0))</f>
        <v>0</v>
      </c>
      <c r="C319" s="1">
        <f>+IF(G319="-",0,IF(I319=I318+1,0,(IF(I319=1,0,1))))</f>
        <v>1</v>
      </c>
      <c r="D319" s="1">
        <f>+IF(AND(P319="",Q319=""),1,0)</f>
        <v>0</v>
      </c>
      <c r="E319" s="1">
        <f>IF(U319="",1,0)</f>
        <v>0</v>
      </c>
      <c r="F319" s="1">
        <f>IF(V319="",1,0)</f>
        <v>0</v>
      </c>
      <c r="G319" s="1" t="str">
        <f>IF(H319=0,"-",_xlfn.CONCAT(K319,N319,O319,J319))</f>
        <v>25020504</v>
      </c>
      <c r="H319" s="2">
        <v>45693</v>
      </c>
      <c r="I319" s="113">
        <v>4</v>
      </c>
      <c r="J319" s="1" t="str">
        <f t="shared" si="67"/>
        <v>04</v>
      </c>
      <c r="K319" s="3">
        <f t="shared" si="68"/>
        <v>25</v>
      </c>
      <c r="L319" s="3">
        <f t="shared" si="69"/>
        <v>2</v>
      </c>
      <c r="M319" s="3">
        <f t="shared" si="70"/>
        <v>5</v>
      </c>
      <c r="N319" s="3" t="str">
        <f t="shared" si="71"/>
        <v>02</v>
      </c>
      <c r="O319" s="14" t="str">
        <f t="shared" si="72"/>
        <v>05</v>
      </c>
      <c r="P319" s="4">
        <v>437208.3</v>
      </c>
      <c r="T319" s="5" t="s">
        <v>1919</v>
      </c>
      <c r="U319" s="3" t="s">
        <v>305</v>
      </c>
      <c r="V319" s="3" t="s">
        <v>5</v>
      </c>
      <c r="W319" s="3" t="s">
        <v>1306</v>
      </c>
    </row>
    <row r="320" spans="1:25" hidden="1">
      <c r="A320" s="143"/>
      <c r="J320" s="1" t="str">
        <f t="shared" si="67"/>
        <v>0</v>
      </c>
      <c r="K320" s="3">
        <f t="shared" si="68"/>
        <v>-100</v>
      </c>
      <c r="L320" s="3">
        <f t="shared" si="69"/>
        <v>1</v>
      </c>
      <c r="M320" s="3">
        <f t="shared" si="70"/>
        <v>0</v>
      </c>
      <c r="N320" s="3" t="str">
        <f t="shared" si="71"/>
        <v>01</v>
      </c>
      <c r="O320" s="14" t="str">
        <f t="shared" si="72"/>
        <v>00</v>
      </c>
    </row>
    <row r="321" spans="1:25" hidden="1">
      <c r="A321" s="143">
        <v>250</v>
      </c>
      <c r="B321" s="1">
        <f>IF(G321="-",0,IF(G320=G321,1,0))</f>
        <v>0</v>
      </c>
      <c r="C321" s="1">
        <f>+IF(G321="-",0,IF(I321=I320+1,0,(IF(I321=1,0,1))))</f>
        <v>0</v>
      </c>
      <c r="D321" s="1">
        <f>+IF(AND(P321="",Q321=""),1,0)</f>
        <v>0</v>
      </c>
      <c r="E321" s="1">
        <f>IF(U321="",1,0)</f>
        <v>0</v>
      </c>
      <c r="F321" s="1">
        <f>IF(V321="",1,0)</f>
        <v>0</v>
      </c>
      <c r="G321" s="1" t="str">
        <f>IF(H321=0,"-",_xlfn.CONCAT(K321,N321,O321,J321))</f>
        <v>25020601</v>
      </c>
      <c r="H321" s="2">
        <v>45694</v>
      </c>
      <c r="I321" s="113">
        <v>1</v>
      </c>
      <c r="J321" s="1" t="str">
        <f t="shared" si="67"/>
        <v>01</v>
      </c>
      <c r="K321" s="3">
        <f t="shared" si="68"/>
        <v>25</v>
      </c>
      <c r="L321" s="3">
        <f t="shared" si="69"/>
        <v>2</v>
      </c>
      <c r="M321" s="3">
        <f t="shared" si="70"/>
        <v>6</v>
      </c>
      <c r="N321" s="3" t="str">
        <f t="shared" si="71"/>
        <v>02</v>
      </c>
      <c r="O321" s="14" t="str">
        <f t="shared" si="72"/>
        <v>06</v>
      </c>
      <c r="P321" s="4">
        <v>423912.72</v>
      </c>
      <c r="T321" s="5" t="s">
        <v>1918</v>
      </c>
      <c r="U321" s="3" t="s">
        <v>3</v>
      </c>
      <c r="V321" s="3" t="s">
        <v>5</v>
      </c>
      <c r="W321" t="s">
        <v>1306</v>
      </c>
      <c r="X321" s="159" t="s">
        <v>1305</v>
      </c>
      <c r="Y321" s="141" t="s">
        <v>1917</v>
      </c>
    </row>
    <row r="322" spans="1:25" hidden="1">
      <c r="A322" s="143"/>
      <c r="J322" s="1" t="str">
        <f t="shared" si="67"/>
        <v>0</v>
      </c>
      <c r="K322" s="3">
        <f t="shared" si="68"/>
        <v>-100</v>
      </c>
      <c r="L322" s="3">
        <f t="shared" si="69"/>
        <v>1</v>
      </c>
      <c r="M322" s="3">
        <f t="shared" si="70"/>
        <v>0</v>
      </c>
      <c r="N322" s="3" t="str">
        <f t="shared" si="71"/>
        <v>01</v>
      </c>
      <c r="O322" s="14" t="str">
        <f t="shared" si="72"/>
        <v>00</v>
      </c>
      <c r="W322"/>
      <c r="X322" s="159"/>
    </row>
    <row r="323" spans="1:25" hidden="1">
      <c r="A323" s="143"/>
      <c r="J323" s="1" t="str">
        <f t="shared" si="67"/>
        <v>0</v>
      </c>
      <c r="K323" s="3">
        <f t="shared" si="68"/>
        <v>-100</v>
      </c>
      <c r="L323" s="3">
        <f t="shared" si="69"/>
        <v>1</v>
      </c>
      <c r="M323" s="3">
        <f t="shared" si="70"/>
        <v>0</v>
      </c>
      <c r="N323" s="3" t="str">
        <f t="shared" si="71"/>
        <v>01</v>
      </c>
      <c r="O323" s="14" t="str">
        <f t="shared" si="72"/>
        <v>00</v>
      </c>
      <c r="W323"/>
      <c r="X323" s="159"/>
    </row>
    <row r="324" spans="1:25" hidden="1">
      <c r="A324" s="143"/>
      <c r="J324" s="1" t="str">
        <f t="shared" si="67"/>
        <v>0</v>
      </c>
      <c r="K324" s="3">
        <f t="shared" si="68"/>
        <v>-100</v>
      </c>
      <c r="L324" s="3">
        <f t="shared" si="69"/>
        <v>1</v>
      </c>
      <c r="M324" s="3">
        <f t="shared" si="70"/>
        <v>0</v>
      </c>
      <c r="N324" s="3" t="str">
        <f t="shared" si="71"/>
        <v>01</v>
      </c>
      <c r="O324" s="14" t="str">
        <f t="shared" si="72"/>
        <v>00</v>
      </c>
      <c r="W324"/>
      <c r="X324" s="159"/>
    </row>
    <row r="325" spans="1:25" hidden="1">
      <c r="A325" s="143">
        <v>377</v>
      </c>
      <c r="B325" s="1">
        <f>IF(G325="-",0,IF(G324=G325,1,0))</f>
        <v>0</v>
      </c>
      <c r="C325" s="1">
        <f>+IF(G325="-",0,IF(I325=I324+1,0,(IF(I325=1,0,1))))</f>
        <v>1</v>
      </c>
      <c r="D325" s="1">
        <f>+IF(AND(P325="",Q325=""),1,0)</f>
        <v>0</v>
      </c>
      <c r="E325" s="1">
        <f t="shared" ref="E325:F329" si="82">IF(U325="",1,0)</f>
        <v>0</v>
      </c>
      <c r="F325" s="1">
        <f t="shared" si="82"/>
        <v>0</v>
      </c>
      <c r="G325" s="1" t="str">
        <f>IF(H325=0,"-",_xlfn.CONCAT(K325,N325,O325,J325))</f>
        <v>25020605</v>
      </c>
      <c r="H325" s="2">
        <v>45694</v>
      </c>
      <c r="I325" s="113">
        <v>5</v>
      </c>
      <c r="J325" s="1" t="str">
        <f t="shared" si="67"/>
        <v>05</v>
      </c>
      <c r="K325" s="3">
        <f t="shared" si="68"/>
        <v>25</v>
      </c>
      <c r="L325" s="3">
        <f t="shared" si="69"/>
        <v>2</v>
      </c>
      <c r="M325" s="3">
        <f t="shared" si="70"/>
        <v>6</v>
      </c>
      <c r="N325" s="3" t="str">
        <f t="shared" si="71"/>
        <v>02</v>
      </c>
      <c r="O325" s="14" t="str">
        <f t="shared" si="72"/>
        <v>06</v>
      </c>
      <c r="P325" s="4">
        <v>-22935.05</v>
      </c>
      <c r="T325" s="5" t="s">
        <v>1916</v>
      </c>
      <c r="U325" s="3" t="s">
        <v>29</v>
      </c>
      <c r="V325" s="3" t="s">
        <v>5</v>
      </c>
      <c r="W325" s="3" t="s">
        <v>1045</v>
      </c>
      <c r="X325" s="1" t="s">
        <v>1305</v>
      </c>
    </row>
    <row r="326" spans="1:25" hidden="1">
      <c r="A326" s="143">
        <v>254</v>
      </c>
      <c r="B326" s="1">
        <f>IF(G326="-",0,IF(G325=G326,1,0))</f>
        <v>0</v>
      </c>
      <c r="C326" s="1">
        <f>+IF(G326="-",0,IF(I326=I325+1,0,(IF(I326=1,0,1))))</f>
        <v>0</v>
      </c>
      <c r="D326" s="1">
        <f>+IF(AND(P326="",Q326=""),1,0)</f>
        <v>0</v>
      </c>
      <c r="E326" s="1">
        <f t="shared" si="82"/>
        <v>0</v>
      </c>
      <c r="F326" s="1">
        <f t="shared" si="82"/>
        <v>0</v>
      </c>
      <c r="G326" s="1" t="str">
        <f>IF(H326=0,"-",_xlfn.CONCAT(K326,N326,O326,J326))</f>
        <v>25020701</v>
      </c>
      <c r="H326" s="2">
        <v>45695</v>
      </c>
      <c r="I326" s="113">
        <v>1</v>
      </c>
      <c r="J326" s="1" t="str">
        <f t="shared" si="67"/>
        <v>01</v>
      </c>
      <c r="K326" s="3">
        <f t="shared" si="68"/>
        <v>25</v>
      </c>
      <c r="L326" s="3">
        <f t="shared" si="69"/>
        <v>2</v>
      </c>
      <c r="M326" s="3">
        <f t="shared" si="70"/>
        <v>7</v>
      </c>
      <c r="N326" s="3" t="str">
        <f t="shared" si="71"/>
        <v>02</v>
      </c>
      <c r="O326" s="14" t="str">
        <f t="shared" si="72"/>
        <v>07</v>
      </c>
      <c r="P326" s="4">
        <v>62581.94</v>
      </c>
      <c r="T326" s="5" t="s">
        <v>1915</v>
      </c>
      <c r="U326" s="3" t="s">
        <v>29</v>
      </c>
      <c r="V326" s="3" t="s">
        <v>5</v>
      </c>
      <c r="W326" t="s">
        <v>1326</v>
      </c>
      <c r="X326" s="159" t="s">
        <v>1305</v>
      </c>
    </row>
    <row r="327" spans="1:25" hidden="1">
      <c r="A327" s="143">
        <v>255</v>
      </c>
      <c r="B327" s="1">
        <f>IF(G327="-",0,IF(G326=G327,1,0))</f>
        <v>0</v>
      </c>
      <c r="C327" s="1">
        <f>+IF(G327="-",0,IF(I327=I326+1,0,(IF(I327=1,0,1))))</f>
        <v>0</v>
      </c>
      <c r="D327" s="1">
        <f>+IF(AND(P327="",Q327=""),1,0)</f>
        <v>0</v>
      </c>
      <c r="E327" s="1">
        <f t="shared" si="82"/>
        <v>0</v>
      </c>
      <c r="F327" s="1">
        <f t="shared" si="82"/>
        <v>0</v>
      </c>
      <c r="G327" s="1" t="str">
        <f>IF(H327=0,"-",_xlfn.CONCAT(K327,N327,O327,J327))</f>
        <v>25020702</v>
      </c>
      <c r="H327" s="2">
        <v>45695</v>
      </c>
      <c r="I327" s="113">
        <v>2</v>
      </c>
      <c r="J327" s="1" t="str">
        <f t="shared" si="67"/>
        <v>02</v>
      </c>
      <c r="K327" s="3">
        <f t="shared" si="68"/>
        <v>25</v>
      </c>
      <c r="L327" s="3">
        <f t="shared" si="69"/>
        <v>2</v>
      </c>
      <c r="M327" s="3">
        <f t="shared" si="70"/>
        <v>7</v>
      </c>
      <c r="N327" s="3" t="str">
        <f t="shared" si="71"/>
        <v>02</v>
      </c>
      <c r="O327" s="14" t="str">
        <f t="shared" si="72"/>
        <v>07</v>
      </c>
      <c r="P327" s="4">
        <v>50606.09</v>
      </c>
      <c r="T327" s="5" t="s">
        <v>1914</v>
      </c>
      <c r="U327" s="3" t="s">
        <v>29</v>
      </c>
      <c r="V327" s="3" t="s">
        <v>5</v>
      </c>
      <c r="W327" t="s">
        <v>1309</v>
      </c>
      <c r="X327" s="159" t="s">
        <v>1305</v>
      </c>
    </row>
    <row r="328" spans="1:25" hidden="1">
      <c r="A328" s="143">
        <v>256</v>
      </c>
      <c r="B328" s="1">
        <f>IF(G328="-",0,IF(G327=G328,1,0))</f>
        <v>0</v>
      </c>
      <c r="C328" s="1">
        <f>+IF(G328="-",0,IF(I328=I327+1,0,(IF(I328=1,0,1))))</f>
        <v>0</v>
      </c>
      <c r="D328" s="1">
        <f>+IF(AND(P328="",Q328=""),1,0)</f>
        <v>0</v>
      </c>
      <c r="E328" s="1">
        <f t="shared" si="82"/>
        <v>0</v>
      </c>
      <c r="F328" s="1">
        <f t="shared" si="82"/>
        <v>0</v>
      </c>
      <c r="G328" s="1" t="str">
        <f>IF(H328=0,"-",_xlfn.CONCAT(K328,N328,O328,J328))</f>
        <v>25020703</v>
      </c>
      <c r="H328" s="2">
        <v>45695</v>
      </c>
      <c r="I328" s="113">
        <v>3</v>
      </c>
      <c r="J328" s="1" t="str">
        <f t="shared" ref="J328:J391" si="83">+IF(I328&lt;10,_xlfn.CONCAT("0",I328),I328)</f>
        <v>03</v>
      </c>
      <c r="K328" s="3">
        <f t="shared" ref="K328:K391" si="84">+YEAR(H328)-2000</f>
        <v>25</v>
      </c>
      <c r="L328" s="3">
        <f t="shared" ref="L328:L391" si="85">+MONTH(H328)</f>
        <v>2</v>
      </c>
      <c r="M328" s="3">
        <f t="shared" ref="M328:M391" si="86">+DAY(H328)</f>
        <v>7</v>
      </c>
      <c r="N328" s="3" t="str">
        <f t="shared" ref="N328:N391" si="87">+IF(L328&lt;10,_xlfn.CONCAT("0",L328),L328)</f>
        <v>02</v>
      </c>
      <c r="O328" s="14" t="str">
        <f t="shared" ref="O328:O391" si="88">+IF(M328&lt;10,_xlfn.CONCAT("0",M328),M328)</f>
        <v>07</v>
      </c>
      <c r="P328" s="4">
        <v>16800</v>
      </c>
      <c r="T328" s="5" t="s">
        <v>1913</v>
      </c>
      <c r="U328" s="3" t="s">
        <v>29</v>
      </c>
      <c r="V328" s="3" t="s">
        <v>5</v>
      </c>
      <c r="W328" t="s">
        <v>1307</v>
      </c>
      <c r="X328" s="159" t="s">
        <v>1305</v>
      </c>
    </row>
    <row r="329" spans="1:25" hidden="1">
      <c r="A329" s="143">
        <v>257</v>
      </c>
      <c r="B329" s="1">
        <f>IF(G329="-",0,IF(G328=G329,1,0))</f>
        <v>0</v>
      </c>
      <c r="C329" s="1">
        <f>+IF(G329="-",0,IF(I329=I328+1,0,(IF(I329=1,0,1))))</f>
        <v>0</v>
      </c>
      <c r="D329" s="1">
        <f>+IF(AND(P329="",Q329=""),1,0)</f>
        <v>0</v>
      </c>
      <c r="E329" s="1">
        <f t="shared" si="82"/>
        <v>0</v>
      </c>
      <c r="F329" s="1">
        <f t="shared" si="82"/>
        <v>0</v>
      </c>
      <c r="G329" s="1" t="str">
        <f>IF(H329=0,"-",_xlfn.CONCAT(K329,N329,O329,J329))</f>
        <v>25020704</v>
      </c>
      <c r="H329" s="2">
        <v>45695</v>
      </c>
      <c r="I329" s="113">
        <v>4</v>
      </c>
      <c r="J329" s="1" t="str">
        <f t="shared" si="83"/>
        <v>04</v>
      </c>
      <c r="K329" s="3">
        <f t="shared" si="84"/>
        <v>25</v>
      </c>
      <c r="L329" s="3">
        <f t="shared" si="85"/>
        <v>2</v>
      </c>
      <c r="M329" s="3">
        <f t="shared" si="86"/>
        <v>7</v>
      </c>
      <c r="N329" s="3" t="str">
        <f t="shared" si="87"/>
        <v>02</v>
      </c>
      <c r="O329" s="14" t="str">
        <f t="shared" si="88"/>
        <v>07</v>
      </c>
      <c r="P329" s="4">
        <v>5550</v>
      </c>
      <c r="T329" s="5" t="s">
        <v>352</v>
      </c>
      <c r="U329" s="3" t="s">
        <v>30</v>
      </c>
      <c r="V329" s="3" t="s">
        <v>1312</v>
      </c>
      <c r="W329" t="s">
        <v>1307</v>
      </c>
      <c r="X329" s="159" t="s">
        <v>1305</v>
      </c>
    </row>
    <row r="330" spans="1:25" hidden="1">
      <c r="A330" s="143"/>
      <c r="J330" s="1" t="str">
        <f t="shared" si="83"/>
        <v>0</v>
      </c>
      <c r="K330" s="3">
        <f t="shared" si="84"/>
        <v>-100</v>
      </c>
      <c r="L330" s="3">
        <f t="shared" si="85"/>
        <v>1</v>
      </c>
      <c r="M330" s="3">
        <f t="shared" si="86"/>
        <v>0</v>
      </c>
      <c r="N330" s="3" t="str">
        <f t="shared" si="87"/>
        <v>01</v>
      </c>
      <c r="O330" s="14" t="str">
        <f t="shared" si="88"/>
        <v>00</v>
      </c>
      <c r="W330"/>
      <c r="X330" s="159"/>
    </row>
    <row r="331" spans="1:25" hidden="1">
      <c r="A331" s="143">
        <v>311</v>
      </c>
      <c r="B331" s="1">
        <f t="shared" ref="B331:B349" si="89">IF(G331="-",0,IF(G330=G331,1,0))</f>
        <v>0</v>
      </c>
      <c r="C331" s="1">
        <f t="shared" ref="C331:C349" si="90">+IF(G331="-",0,IF(I331=I330+1,0,(IF(I331=1,0,1))))</f>
        <v>1</v>
      </c>
      <c r="D331" s="1">
        <f t="shared" ref="D331:D349" si="91">+IF(AND(P331="",Q331=""),1,0)</f>
        <v>0</v>
      </c>
      <c r="E331" s="1">
        <f t="shared" ref="E331:E349" si="92">IF(U331="",1,0)</f>
        <v>0</v>
      </c>
      <c r="F331" s="1">
        <f t="shared" ref="F331:F349" si="93">IF(V331="",1,0)</f>
        <v>0</v>
      </c>
      <c r="G331" s="1" t="str">
        <f t="shared" ref="G331:G349" si="94">IF(H331=0,"-",_xlfn.CONCAT(K331,N331,O331,J331))</f>
        <v>25020706</v>
      </c>
      <c r="H331" s="2">
        <v>45695</v>
      </c>
      <c r="I331" s="113">
        <v>6</v>
      </c>
      <c r="J331" s="1" t="str">
        <f t="shared" si="83"/>
        <v>06</v>
      </c>
      <c r="K331" s="3">
        <f t="shared" si="84"/>
        <v>25</v>
      </c>
      <c r="L331" s="3">
        <f t="shared" si="85"/>
        <v>2</v>
      </c>
      <c r="M331" s="3">
        <f t="shared" si="86"/>
        <v>7</v>
      </c>
      <c r="N331" s="3" t="str">
        <f t="shared" si="87"/>
        <v>02</v>
      </c>
      <c r="O331" s="14" t="str">
        <f t="shared" si="88"/>
        <v>07</v>
      </c>
      <c r="P331" s="4">
        <v>150000</v>
      </c>
      <c r="T331" s="5" t="s">
        <v>1912</v>
      </c>
      <c r="U331" s="3" t="s">
        <v>305</v>
      </c>
      <c r="V331" s="3" t="s">
        <v>5</v>
      </c>
      <c r="W331" s="3" t="s">
        <v>1306</v>
      </c>
    </row>
    <row r="332" spans="1:25" hidden="1">
      <c r="A332" s="143">
        <v>378</v>
      </c>
      <c r="B332" s="1">
        <f t="shared" si="89"/>
        <v>0</v>
      </c>
      <c r="C332" s="1">
        <f t="shared" si="90"/>
        <v>0</v>
      </c>
      <c r="D332" s="1">
        <f t="shared" si="91"/>
        <v>0</v>
      </c>
      <c r="E332" s="1">
        <f t="shared" si="92"/>
        <v>0</v>
      </c>
      <c r="F332" s="1">
        <f t="shared" si="93"/>
        <v>0</v>
      </c>
      <c r="G332" s="1" t="str">
        <f t="shared" si="94"/>
        <v>25020707</v>
      </c>
      <c r="H332" s="2">
        <v>45695</v>
      </c>
      <c r="I332" s="113">
        <v>7</v>
      </c>
      <c r="J332" s="1" t="str">
        <f t="shared" si="83"/>
        <v>07</v>
      </c>
      <c r="K332" s="3">
        <f t="shared" si="84"/>
        <v>25</v>
      </c>
      <c r="L332" s="3">
        <f t="shared" si="85"/>
        <v>2</v>
      </c>
      <c r="M332" s="3">
        <f t="shared" si="86"/>
        <v>7</v>
      </c>
      <c r="N332" s="3" t="str">
        <f t="shared" si="87"/>
        <v>02</v>
      </c>
      <c r="O332" s="14" t="str">
        <f t="shared" si="88"/>
        <v>07</v>
      </c>
      <c r="P332" s="4">
        <v>-99243.95</v>
      </c>
      <c r="T332" s="5" t="s">
        <v>1911</v>
      </c>
      <c r="U332" s="3" t="s">
        <v>29</v>
      </c>
      <c r="V332" s="3" t="s">
        <v>5</v>
      </c>
      <c r="W332" s="3" t="s">
        <v>1045</v>
      </c>
      <c r="X332" s="1" t="s">
        <v>1305</v>
      </c>
    </row>
    <row r="333" spans="1:25">
      <c r="A333" s="143">
        <v>292</v>
      </c>
      <c r="B333" s="1">
        <f t="shared" si="89"/>
        <v>0</v>
      </c>
      <c r="C333" s="1">
        <f t="shared" si="90"/>
        <v>0</v>
      </c>
      <c r="D333" s="1">
        <f t="shared" si="91"/>
        <v>0</v>
      </c>
      <c r="E333" s="1">
        <f t="shared" si="92"/>
        <v>0</v>
      </c>
      <c r="F333" s="1">
        <f t="shared" si="93"/>
        <v>0</v>
      </c>
      <c r="G333" s="1" t="str">
        <f t="shared" si="94"/>
        <v>25020801</v>
      </c>
      <c r="H333" s="2">
        <v>45696</v>
      </c>
      <c r="I333" s="113">
        <v>1</v>
      </c>
      <c r="J333" s="1" t="str">
        <f t="shared" si="83"/>
        <v>01</v>
      </c>
      <c r="K333" s="3">
        <f t="shared" si="84"/>
        <v>25</v>
      </c>
      <c r="L333" s="3">
        <f t="shared" si="85"/>
        <v>2</v>
      </c>
      <c r="M333" s="3">
        <f t="shared" si="86"/>
        <v>8</v>
      </c>
      <c r="N333" s="3" t="str">
        <f t="shared" si="87"/>
        <v>02</v>
      </c>
      <c r="O333" s="14" t="str">
        <f t="shared" si="88"/>
        <v>08</v>
      </c>
      <c r="P333" s="4">
        <v>159000</v>
      </c>
      <c r="T333" s="28" t="s">
        <v>1910</v>
      </c>
      <c r="U333" s="3" t="s">
        <v>1</v>
      </c>
      <c r="V333" s="3" t="s">
        <v>5</v>
      </c>
      <c r="W333" t="s">
        <v>1306</v>
      </c>
      <c r="X333" s="159" t="s">
        <v>1302</v>
      </c>
      <c r="Y333" t="s">
        <v>1909</v>
      </c>
    </row>
    <row r="334" spans="1:25">
      <c r="A334" s="143">
        <v>293</v>
      </c>
      <c r="B334" s="1">
        <f t="shared" si="89"/>
        <v>0</v>
      </c>
      <c r="C334" s="1">
        <f t="shared" si="90"/>
        <v>0</v>
      </c>
      <c r="D334" s="1">
        <f t="shared" si="91"/>
        <v>0</v>
      </c>
      <c r="E334" s="1">
        <f t="shared" si="92"/>
        <v>0</v>
      </c>
      <c r="F334" s="1">
        <f t="shared" si="93"/>
        <v>0</v>
      </c>
      <c r="G334" s="1" t="str">
        <f t="shared" si="94"/>
        <v>25020802</v>
      </c>
      <c r="H334" s="2">
        <v>45696</v>
      </c>
      <c r="I334" s="113">
        <v>2</v>
      </c>
      <c r="J334" s="1" t="str">
        <f t="shared" si="83"/>
        <v>02</v>
      </c>
      <c r="K334" s="3">
        <f t="shared" si="84"/>
        <v>25</v>
      </c>
      <c r="L334" s="3">
        <f t="shared" si="85"/>
        <v>2</v>
      </c>
      <c r="M334" s="3">
        <f t="shared" si="86"/>
        <v>8</v>
      </c>
      <c r="N334" s="3" t="str">
        <f t="shared" si="87"/>
        <v>02</v>
      </c>
      <c r="O334" s="14" t="str">
        <f t="shared" si="88"/>
        <v>08</v>
      </c>
      <c r="P334" s="4">
        <v>138000</v>
      </c>
      <c r="T334" s="28" t="s">
        <v>1908</v>
      </c>
      <c r="U334" s="3" t="s">
        <v>1</v>
      </c>
      <c r="V334" s="3" t="s">
        <v>5</v>
      </c>
      <c r="W334" t="s">
        <v>1306</v>
      </c>
      <c r="X334" s="159" t="s">
        <v>1302</v>
      </c>
      <c r="Y334" t="s">
        <v>1907</v>
      </c>
    </row>
    <row r="335" spans="1:25">
      <c r="A335" s="143">
        <v>294</v>
      </c>
      <c r="B335" s="1">
        <f t="shared" si="89"/>
        <v>0</v>
      </c>
      <c r="C335" s="1">
        <f t="shared" si="90"/>
        <v>0</v>
      </c>
      <c r="D335" s="1">
        <f t="shared" si="91"/>
        <v>0</v>
      </c>
      <c r="E335" s="1">
        <f t="shared" si="92"/>
        <v>0</v>
      </c>
      <c r="F335" s="1">
        <f t="shared" si="93"/>
        <v>0</v>
      </c>
      <c r="G335" s="1" t="str">
        <f t="shared" si="94"/>
        <v>25020803</v>
      </c>
      <c r="H335" s="2">
        <v>45696</v>
      </c>
      <c r="I335" s="113">
        <v>3</v>
      </c>
      <c r="J335" s="1" t="str">
        <f t="shared" si="83"/>
        <v>03</v>
      </c>
      <c r="K335" s="3">
        <f t="shared" si="84"/>
        <v>25</v>
      </c>
      <c r="L335" s="3">
        <f t="shared" si="85"/>
        <v>2</v>
      </c>
      <c r="M335" s="3">
        <f t="shared" si="86"/>
        <v>8</v>
      </c>
      <c r="N335" s="3" t="str">
        <f t="shared" si="87"/>
        <v>02</v>
      </c>
      <c r="O335" s="14" t="str">
        <f t="shared" si="88"/>
        <v>08</v>
      </c>
      <c r="P335" s="4">
        <v>132000</v>
      </c>
      <c r="T335" s="28" t="s">
        <v>1906</v>
      </c>
      <c r="U335" s="3" t="s">
        <v>1</v>
      </c>
      <c r="V335" s="3" t="s">
        <v>5</v>
      </c>
      <c r="W335" t="s">
        <v>1306</v>
      </c>
      <c r="X335" s="159" t="s">
        <v>1302</v>
      </c>
      <c r="Y335" t="s">
        <v>1905</v>
      </c>
    </row>
    <row r="336" spans="1:25">
      <c r="A336" s="143">
        <v>295</v>
      </c>
      <c r="B336" s="1">
        <f t="shared" si="89"/>
        <v>0</v>
      </c>
      <c r="C336" s="1">
        <f t="shared" si="90"/>
        <v>0</v>
      </c>
      <c r="D336" s="1">
        <f t="shared" si="91"/>
        <v>0</v>
      </c>
      <c r="E336" s="1">
        <f t="shared" si="92"/>
        <v>0</v>
      </c>
      <c r="F336" s="1">
        <f t="shared" si="93"/>
        <v>0</v>
      </c>
      <c r="G336" s="1" t="str">
        <f t="shared" si="94"/>
        <v>25020804</v>
      </c>
      <c r="H336" s="2">
        <v>45696</v>
      </c>
      <c r="I336" s="113">
        <v>4</v>
      </c>
      <c r="J336" s="1" t="str">
        <f t="shared" si="83"/>
        <v>04</v>
      </c>
      <c r="K336" s="3">
        <f t="shared" si="84"/>
        <v>25</v>
      </c>
      <c r="L336" s="3">
        <f t="shared" si="85"/>
        <v>2</v>
      </c>
      <c r="M336" s="3">
        <f t="shared" si="86"/>
        <v>8</v>
      </c>
      <c r="N336" s="3" t="str">
        <f t="shared" si="87"/>
        <v>02</v>
      </c>
      <c r="O336" s="14" t="str">
        <f t="shared" si="88"/>
        <v>08</v>
      </c>
      <c r="P336" s="4">
        <v>108000</v>
      </c>
      <c r="T336" s="28" t="s">
        <v>1904</v>
      </c>
      <c r="U336" s="3" t="s">
        <v>1</v>
      </c>
      <c r="V336" s="3" t="s">
        <v>5</v>
      </c>
      <c r="W336" t="s">
        <v>1306</v>
      </c>
      <c r="X336" s="159" t="s">
        <v>1302</v>
      </c>
      <c r="Y336" t="s">
        <v>1903</v>
      </c>
    </row>
    <row r="337" spans="1:25">
      <c r="A337" s="143">
        <v>296</v>
      </c>
      <c r="B337" s="1">
        <f t="shared" si="89"/>
        <v>0</v>
      </c>
      <c r="C337" s="1">
        <f t="shared" si="90"/>
        <v>0</v>
      </c>
      <c r="D337" s="1">
        <f t="shared" si="91"/>
        <v>0</v>
      </c>
      <c r="E337" s="1">
        <f t="shared" si="92"/>
        <v>0</v>
      </c>
      <c r="F337" s="1">
        <f t="shared" si="93"/>
        <v>0</v>
      </c>
      <c r="G337" s="1" t="str">
        <f t="shared" si="94"/>
        <v>25020805</v>
      </c>
      <c r="H337" s="2">
        <v>45696</v>
      </c>
      <c r="I337" s="113">
        <v>5</v>
      </c>
      <c r="J337" s="1" t="str">
        <f t="shared" si="83"/>
        <v>05</v>
      </c>
      <c r="K337" s="3">
        <f t="shared" si="84"/>
        <v>25</v>
      </c>
      <c r="L337" s="3">
        <f t="shared" si="85"/>
        <v>2</v>
      </c>
      <c r="M337" s="3">
        <f t="shared" si="86"/>
        <v>8</v>
      </c>
      <c r="N337" s="3" t="str">
        <f t="shared" si="87"/>
        <v>02</v>
      </c>
      <c r="O337" s="14" t="str">
        <f t="shared" si="88"/>
        <v>08</v>
      </c>
      <c r="P337" s="4">
        <v>132000</v>
      </c>
      <c r="T337" s="28" t="s">
        <v>1902</v>
      </c>
      <c r="U337" s="3" t="s">
        <v>1</v>
      </c>
      <c r="V337" s="3" t="s">
        <v>5</v>
      </c>
      <c r="W337" t="s">
        <v>1306</v>
      </c>
      <c r="X337" s="159" t="s">
        <v>1302</v>
      </c>
      <c r="Y337" t="s">
        <v>1901</v>
      </c>
    </row>
    <row r="338" spans="1:25">
      <c r="A338" s="143">
        <v>297</v>
      </c>
      <c r="B338" s="1">
        <f t="shared" si="89"/>
        <v>0</v>
      </c>
      <c r="C338" s="1">
        <f t="shared" si="90"/>
        <v>0</v>
      </c>
      <c r="D338" s="1">
        <f t="shared" si="91"/>
        <v>0</v>
      </c>
      <c r="E338" s="1">
        <f t="shared" si="92"/>
        <v>0</v>
      </c>
      <c r="F338" s="1">
        <f t="shared" si="93"/>
        <v>0</v>
      </c>
      <c r="G338" s="1" t="str">
        <f t="shared" si="94"/>
        <v>25020806</v>
      </c>
      <c r="H338" s="2">
        <v>45696</v>
      </c>
      <c r="I338" s="113">
        <v>6</v>
      </c>
      <c r="J338" s="1" t="str">
        <f t="shared" si="83"/>
        <v>06</v>
      </c>
      <c r="K338" s="3">
        <f t="shared" si="84"/>
        <v>25</v>
      </c>
      <c r="L338" s="3">
        <f t="shared" si="85"/>
        <v>2</v>
      </c>
      <c r="M338" s="3">
        <f t="shared" si="86"/>
        <v>8</v>
      </c>
      <c r="N338" s="3" t="str">
        <f t="shared" si="87"/>
        <v>02</v>
      </c>
      <c r="O338" s="14" t="str">
        <f t="shared" si="88"/>
        <v>08</v>
      </c>
      <c r="P338" s="4">
        <v>159000</v>
      </c>
      <c r="T338" s="28" t="s">
        <v>1900</v>
      </c>
      <c r="U338" s="3" t="s">
        <v>1</v>
      </c>
      <c r="V338" s="3" t="s">
        <v>5</v>
      </c>
      <c r="W338" t="s">
        <v>1306</v>
      </c>
      <c r="X338" s="159" t="s">
        <v>1302</v>
      </c>
      <c r="Y338" t="s">
        <v>1899</v>
      </c>
    </row>
    <row r="339" spans="1:25">
      <c r="A339" s="143">
        <v>298</v>
      </c>
      <c r="B339" s="1">
        <f t="shared" si="89"/>
        <v>0</v>
      </c>
      <c r="C339" s="1">
        <f t="shared" si="90"/>
        <v>0</v>
      </c>
      <c r="D339" s="1">
        <f t="shared" si="91"/>
        <v>0</v>
      </c>
      <c r="E339" s="1">
        <f t="shared" si="92"/>
        <v>0</v>
      </c>
      <c r="F339" s="1">
        <f t="shared" si="93"/>
        <v>0</v>
      </c>
      <c r="G339" s="1" t="str">
        <f t="shared" si="94"/>
        <v>25020807</v>
      </c>
      <c r="H339" s="2">
        <v>45696</v>
      </c>
      <c r="I339" s="113">
        <v>7</v>
      </c>
      <c r="J339" s="1" t="str">
        <f t="shared" si="83"/>
        <v>07</v>
      </c>
      <c r="K339" s="3">
        <f t="shared" si="84"/>
        <v>25</v>
      </c>
      <c r="L339" s="3">
        <f t="shared" si="85"/>
        <v>2</v>
      </c>
      <c r="M339" s="3">
        <f t="shared" si="86"/>
        <v>8</v>
      </c>
      <c r="N339" s="3" t="str">
        <f t="shared" si="87"/>
        <v>02</v>
      </c>
      <c r="O339" s="14" t="str">
        <f t="shared" si="88"/>
        <v>08</v>
      </c>
      <c r="P339" s="4">
        <v>108000</v>
      </c>
      <c r="T339" s="28" t="s">
        <v>1898</v>
      </c>
      <c r="U339" s="3" t="s">
        <v>1</v>
      </c>
      <c r="V339" s="3" t="s">
        <v>5</v>
      </c>
      <c r="W339" t="s">
        <v>1306</v>
      </c>
      <c r="X339" s="159" t="s">
        <v>1302</v>
      </c>
      <c r="Y339" t="s">
        <v>1897</v>
      </c>
    </row>
    <row r="340" spans="1:25">
      <c r="A340" s="143">
        <v>299</v>
      </c>
      <c r="B340" s="1">
        <f t="shared" si="89"/>
        <v>0</v>
      </c>
      <c r="C340" s="1">
        <f t="shared" si="90"/>
        <v>0</v>
      </c>
      <c r="D340" s="1">
        <f t="shared" si="91"/>
        <v>0</v>
      </c>
      <c r="E340" s="1">
        <f t="shared" si="92"/>
        <v>0</v>
      </c>
      <c r="F340" s="1">
        <f t="shared" si="93"/>
        <v>0</v>
      </c>
      <c r="G340" s="1" t="str">
        <f t="shared" si="94"/>
        <v>25020808</v>
      </c>
      <c r="H340" s="2">
        <v>45696</v>
      </c>
      <c r="I340" s="113">
        <v>8</v>
      </c>
      <c r="J340" s="1" t="str">
        <f t="shared" si="83"/>
        <v>08</v>
      </c>
      <c r="K340" s="3">
        <f t="shared" si="84"/>
        <v>25</v>
      </c>
      <c r="L340" s="3">
        <f t="shared" si="85"/>
        <v>2</v>
      </c>
      <c r="M340" s="3">
        <f t="shared" si="86"/>
        <v>8</v>
      </c>
      <c r="N340" s="3" t="str">
        <f t="shared" si="87"/>
        <v>02</v>
      </c>
      <c r="O340" s="14" t="str">
        <f t="shared" si="88"/>
        <v>08</v>
      </c>
      <c r="P340" s="4">
        <v>132000</v>
      </c>
      <c r="T340" s="31" t="s">
        <v>1896</v>
      </c>
      <c r="U340" s="3" t="s">
        <v>1</v>
      </c>
      <c r="V340" s="3" t="s">
        <v>5</v>
      </c>
      <c r="W340" t="s">
        <v>1306</v>
      </c>
      <c r="X340" s="159" t="s">
        <v>1302</v>
      </c>
      <c r="Y340"/>
    </row>
    <row r="341" spans="1:25">
      <c r="A341" s="143">
        <v>300</v>
      </c>
      <c r="B341" s="1">
        <f t="shared" si="89"/>
        <v>0</v>
      </c>
      <c r="C341" s="1">
        <f t="shared" si="90"/>
        <v>0</v>
      </c>
      <c r="D341" s="1">
        <f t="shared" si="91"/>
        <v>0</v>
      </c>
      <c r="E341" s="1">
        <f t="shared" si="92"/>
        <v>0</v>
      </c>
      <c r="F341" s="1">
        <f t="shared" si="93"/>
        <v>0</v>
      </c>
      <c r="G341" s="1" t="str">
        <f t="shared" si="94"/>
        <v>25020809</v>
      </c>
      <c r="H341" s="2">
        <v>45696</v>
      </c>
      <c r="I341" s="113">
        <v>9</v>
      </c>
      <c r="J341" s="1" t="str">
        <f t="shared" si="83"/>
        <v>09</v>
      </c>
      <c r="K341" s="3">
        <f t="shared" si="84"/>
        <v>25</v>
      </c>
      <c r="L341" s="3">
        <f t="shared" si="85"/>
        <v>2</v>
      </c>
      <c r="M341" s="3">
        <f t="shared" si="86"/>
        <v>8</v>
      </c>
      <c r="N341" s="3" t="str">
        <f t="shared" si="87"/>
        <v>02</v>
      </c>
      <c r="O341" s="14" t="str">
        <f t="shared" si="88"/>
        <v>08</v>
      </c>
      <c r="P341" s="4">
        <v>108000</v>
      </c>
      <c r="T341" s="31" t="s">
        <v>1895</v>
      </c>
      <c r="U341" s="3" t="s">
        <v>1</v>
      </c>
      <c r="V341" s="3" t="s">
        <v>5</v>
      </c>
      <c r="W341" t="s">
        <v>1306</v>
      </c>
      <c r="X341" s="159" t="s">
        <v>1302</v>
      </c>
      <c r="Y341"/>
    </row>
    <row r="342" spans="1:25">
      <c r="A342" s="143">
        <v>301</v>
      </c>
      <c r="B342" s="1">
        <f t="shared" si="89"/>
        <v>0</v>
      </c>
      <c r="C342" s="1">
        <f t="shared" si="90"/>
        <v>0</v>
      </c>
      <c r="D342" s="1">
        <f t="shared" si="91"/>
        <v>0</v>
      </c>
      <c r="E342" s="1">
        <f t="shared" si="92"/>
        <v>0</v>
      </c>
      <c r="F342" s="1">
        <f t="shared" si="93"/>
        <v>0</v>
      </c>
      <c r="G342" s="1" t="str">
        <f t="shared" si="94"/>
        <v>25020810</v>
      </c>
      <c r="H342" s="2">
        <v>45696</v>
      </c>
      <c r="I342" s="113">
        <v>10</v>
      </c>
      <c r="J342" s="1">
        <f t="shared" si="83"/>
        <v>10</v>
      </c>
      <c r="K342" s="3">
        <f t="shared" si="84"/>
        <v>25</v>
      </c>
      <c r="L342" s="3">
        <f t="shared" si="85"/>
        <v>2</v>
      </c>
      <c r="M342" s="3">
        <f t="shared" si="86"/>
        <v>8</v>
      </c>
      <c r="N342" s="3" t="str">
        <f t="shared" si="87"/>
        <v>02</v>
      </c>
      <c r="O342" s="14" t="str">
        <f t="shared" si="88"/>
        <v>08</v>
      </c>
      <c r="P342" s="4">
        <v>108000</v>
      </c>
      <c r="T342" s="31" t="s">
        <v>1894</v>
      </c>
      <c r="U342" s="3" t="s">
        <v>1</v>
      </c>
      <c r="V342" s="3" t="s">
        <v>5</v>
      </c>
      <c r="W342" t="s">
        <v>1306</v>
      </c>
      <c r="X342" s="159" t="s">
        <v>1302</v>
      </c>
      <c r="Y342"/>
    </row>
    <row r="343" spans="1:25">
      <c r="A343" s="143">
        <v>302</v>
      </c>
      <c r="B343" s="1">
        <f t="shared" si="89"/>
        <v>0</v>
      </c>
      <c r="C343" s="1">
        <f t="shared" si="90"/>
        <v>0</v>
      </c>
      <c r="D343" s="1">
        <f t="shared" si="91"/>
        <v>0</v>
      </c>
      <c r="E343" s="1">
        <f t="shared" si="92"/>
        <v>0</v>
      </c>
      <c r="F343" s="1">
        <f t="shared" si="93"/>
        <v>0</v>
      </c>
      <c r="G343" s="1" t="str">
        <f t="shared" si="94"/>
        <v>25020811</v>
      </c>
      <c r="H343" s="2">
        <v>45696</v>
      </c>
      <c r="I343" s="113">
        <v>11</v>
      </c>
      <c r="J343" s="1">
        <f t="shared" si="83"/>
        <v>11</v>
      </c>
      <c r="K343" s="3">
        <f t="shared" si="84"/>
        <v>25</v>
      </c>
      <c r="L343" s="3">
        <f t="shared" si="85"/>
        <v>2</v>
      </c>
      <c r="M343" s="3">
        <f t="shared" si="86"/>
        <v>8</v>
      </c>
      <c r="N343" s="3" t="str">
        <f t="shared" si="87"/>
        <v>02</v>
      </c>
      <c r="O343" s="14" t="str">
        <f t="shared" si="88"/>
        <v>08</v>
      </c>
      <c r="P343" s="4">
        <v>132000</v>
      </c>
      <c r="T343" s="31" t="s">
        <v>1893</v>
      </c>
      <c r="U343" s="3" t="s">
        <v>1</v>
      </c>
      <c r="V343" s="3" t="s">
        <v>5</v>
      </c>
      <c r="W343" t="s">
        <v>1306</v>
      </c>
      <c r="X343" s="159" t="s">
        <v>1302</v>
      </c>
      <c r="Y343"/>
    </row>
    <row r="344" spans="1:25">
      <c r="A344" s="143">
        <v>303</v>
      </c>
      <c r="B344" s="1">
        <f t="shared" si="89"/>
        <v>0</v>
      </c>
      <c r="C344" s="1">
        <f t="shared" si="90"/>
        <v>0</v>
      </c>
      <c r="D344" s="1">
        <f t="shared" si="91"/>
        <v>0</v>
      </c>
      <c r="E344" s="1">
        <f t="shared" si="92"/>
        <v>0</v>
      </c>
      <c r="F344" s="1">
        <f t="shared" si="93"/>
        <v>0</v>
      </c>
      <c r="G344" s="1" t="str">
        <f t="shared" si="94"/>
        <v>25020812</v>
      </c>
      <c r="H344" s="2">
        <v>45696</v>
      </c>
      <c r="I344" s="113">
        <v>12</v>
      </c>
      <c r="J344" s="1">
        <f t="shared" si="83"/>
        <v>12</v>
      </c>
      <c r="K344" s="3">
        <f t="shared" si="84"/>
        <v>25</v>
      </c>
      <c r="L344" s="3">
        <f t="shared" si="85"/>
        <v>2</v>
      </c>
      <c r="M344" s="3">
        <f t="shared" si="86"/>
        <v>8</v>
      </c>
      <c r="N344" s="3" t="str">
        <f t="shared" si="87"/>
        <v>02</v>
      </c>
      <c r="O344" s="14" t="str">
        <f t="shared" si="88"/>
        <v>08</v>
      </c>
      <c r="P344" s="4">
        <v>252000</v>
      </c>
      <c r="T344" s="31" t="s">
        <v>1892</v>
      </c>
      <c r="U344" s="3" t="s">
        <v>1</v>
      </c>
      <c r="V344" s="3" t="s">
        <v>5</v>
      </c>
      <c r="W344" t="s">
        <v>1306</v>
      </c>
      <c r="X344" s="159" t="s">
        <v>1302</v>
      </c>
      <c r="Y344"/>
    </row>
    <row r="345" spans="1:25">
      <c r="A345" s="143">
        <v>304</v>
      </c>
      <c r="B345" s="1">
        <f t="shared" si="89"/>
        <v>0</v>
      </c>
      <c r="C345" s="1">
        <f t="shared" si="90"/>
        <v>0</v>
      </c>
      <c r="D345" s="1">
        <f t="shared" si="91"/>
        <v>0</v>
      </c>
      <c r="E345" s="1">
        <f t="shared" si="92"/>
        <v>0</v>
      </c>
      <c r="F345" s="1">
        <f t="shared" si="93"/>
        <v>0</v>
      </c>
      <c r="G345" s="1" t="str">
        <f t="shared" si="94"/>
        <v>25020813</v>
      </c>
      <c r="H345" s="2">
        <v>45696</v>
      </c>
      <c r="I345" s="113">
        <v>13</v>
      </c>
      <c r="J345" s="1">
        <f t="shared" si="83"/>
        <v>13</v>
      </c>
      <c r="K345" s="3">
        <f t="shared" si="84"/>
        <v>25</v>
      </c>
      <c r="L345" s="3">
        <f t="shared" si="85"/>
        <v>2</v>
      </c>
      <c r="M345" s="3">
        <f t="shared" si="86"/>
        <v>8</v>
      </c>
      <c r="N345" s="3" t="str">
        <f t="shared" si="87"/>
        <v>02</v>
      </c>
      <c r="O345" s="14" t="str">
        <f t="shared" si="88"/>
        <v>08</v>
      </c>
      <c r="P345" s="4">
        <v>90000</v>
      </c>
      <c r="T345" s="31" t="s">
        <v>1891</v>
      </c>
      <c r="U345" s="3" t="s">
        <v>1</v>
      </c>
      <c r="V345" s="3" t="s">
        <v>5</v>
      </c>
      <c r="W345" t="s">
        <v>1306</v>
      </c>
      <c r="X345" s="159" t="s">
        <v>1302</v>
      </c>
      <c r="Y345"/>
    </row>
    <row r="346" spans="1:25">
      <c r="A346" s="143">
        <v>305</v>
      </c>
      <c r="B346" s="1">
        <f t="shared" si="89"/>
        <v>0</v>
      </c>
      <c r="C346" s="1">
        <f t="shared" si="90"/>
        <v>0</v>
      </c>
      <c r="D346" s="1">
        <f t="shared" si="91"/>
        <v>0</v>
      </c>
      <c r="E346" s="1">
        <f t="shared" si="92"/>
        <v>0</v>
      </c>
      <c r="F346" s="1">
        <f t="shared" si="93"/>
        <v>0</v>
      </c>
      <c r="G346" s="1" t="str">
        <f t="shared" si="94"/>
        <v>25020814</v>
      </c>
      <c r="H346" s="2">
        <v>45696</v>
      </c>
      <c r="I346" s="113">
        <v>14</v>
      </c>
      <c r="J346" s="1">
        <f t="shared" si="83"/>
        <v>14</v>
      </c>
      <c r="K346" s="3">
        <f t="shared" si="84"/>
        <v>25</v>
      </c>
      <c r="L346" s="3">
        <f t="shared" si="85"/>
        <v>2</v>
      </c>
      <c r="M346" s="3">
        <f t="shared" si="86"/>
        <v>8</v>
      </c>
      <c r="N346" s="3" t="str">
        <f t="shared" si="87"/>
        <v>02</v>
      </c>
      <c r="O346" s="14" t="str">
        <f t="shared" si="88"/>
        <v>08</v>
      </c>
      <c r="P346" s="4">
        <v>200000</v>
      </c>
      <c r="T346" s="31" t="s">
        <v>1890</v>
      </c>
      <c r="U346" s="3" t="s">
        <v>1</v>
      </c>
      <c r="V346" s="3" t="s">
        <v>5</v>
      </c>
      <c r="W346" t="s">
        <v>1306</v>
      </c>
      <c r="X346" s="159" t="s">
        <v>1302</v>
      </c>
      <c r="Y346"/>
    </row>
    <row r="347" spans="1:25">
      <c r="A347" s="143">
        <v>306</v>
      </c>
      <c r="B347" s="1">
        <f t="shared" si="89"/>
        <v>0</v>
      </c>
      <c r="C347" s="1">
        <f t="shared" si="90"/>
        <v>0</v>
      </c>
      <c r="D347" s="1">
        <f t="shared" si="91"/>
        <v>0</v>
      </c>
      <c r="E347" s="1">
        <f t="shared" si="92"/>
        <v>0</v>
      </c>
      <c r="F347" s="1">
        <f t="shared" si="93"/>
        <v>0</v>
      </c>
      <c r="G347" s="1" t="str">
        <f t="shared" si="94"/>
        <v>25020815</v>
      </c>
      <c r="H347" s="2">
        <v>45696</v>
      </c>
      <c r="I347" s="113">
        <v>15</v>
      </c>
      <c r="J347" s="1">
        <f t="shared" si="83"/>
        <v>15</v>
      </c>
      <c r="K347" s="3">
        <f t="shared" si="84"/>
        <v>25</v>
      </c>
      <c r="L347" s="3">
        <f t="shared" si="85"/>
        <v>2</v>
      </c>
      <c r="M347" s="3">
        <f t="shared" si="86"/>
        <v>8</v>
      </c>
      <c r="N347" s="3" t="str">
        <f t="shared" si="87"/>
        <v>02</v>
      </c>
      <c r="O347" s="14" t="str">
        <f t="shared" si="88"/>
        <v>08</v>
      </c>
      <c r="P347" s="4">
        <v>150000</v>
      </c>
      <c r="T347" s="31" t="s">
        <v>1889</v>
      </c>
      <c r="U347" s="3" t="s">
        <v>1</v>
      </c>
      <c r="V347" s="3" t="s">
        <v>5</v>
      </c>
      <c r="W347" t="s">
        <v>1306</v>
      </c>
      <c r="X347" s="159" t="s">
        <v>1302</v>
      </c>
      <c r="Y347" t="s">
        <v>1888</v>
      </c>
    </row>
    <row r="348" spans="1:25">
      <c r="A348" s="143">
        <v>307</v>
      </c>
      <c r="B348" s="1">
        <f t="shared" si="89"/>
        <v>0</v>
      </c>
      <c r="C348" s="1">
        <f t="shared" si="90"/>
        <v>0</v>
      </c>
      <c r="D348" s="1">
        <f t="shared" si="91"/>
        <v>0</v>
      </c>
      <c r="E348" s="1">
        <f t="shared" si="92"/>
        <v>0</v>
      </c>
      <c r="F348" s="1">
        <f t="shared" si="93"/>
        <v>0</v>
      </c>
      <c r="G348" s="1" t="str">
        <f t="shared" si="94"/>
        <v>25020816</v>
      </c>
      <c r="H348" s="2">
        <v>45696</v>
      </c>
      <c r="I348" s="113">
        <v>16</v>
      </c>
      <c r="J348" s="1">
        <f t="shared" si="83"/>
        <v>16</v>
      </c>
      <c r="K348" s="3">
        <f t="shared" si="84"/>
        <v>25</v>
      </c>
      <c r="L348" s="3">
        <f t="shared" si="85"/>
        <v>2</v>
      </c>
      <c r="M348" s="3">
        <f t="shared" si="86"/>
        <v>8</v>
      </c>
      <c r="N348" s="3" t="str">
        <f t="shared" si="87"/>
        <v>02</v>
      </c>
      <c r="O348" s="14" t="str">
        <f t="shared" si="88"/>
        <v>08</v>
      </c>
      <c r="P348" s="4">
        <v>30000</v>
      </c>
      <c r="T348" s="28" t="s">
        <v>1887</v>
      </c>
      <c r="U348" s="3" t="s">
        <v>1</v>
      </c>
      <c r="V348" s="3" t="s">
        <v>5</v>
      </c>
      <c r="W348" t="s">
        <v>1306</v>
      </c>
      <c r="X348" s="159" t="s">
        <v>1302</v>
      </c>
      <c r="Y348" t="s">
        <v>1886</v>
      </c>
    </row>
    <row r="349" spans="1:25" hidden="1">
      <c r="A349" s="143">
        <v>312</v>
      </c>
      <c r="B349" s="1">
        <f t="shared" si="89"/>
        <v>0</v>
      </c>
      <c r="C349" s="1">
        <f t="shared" si="90"/>
        <v>0</v>
      </c>
      <c r="D349" s="1">
        <f t="shared" si="91"/>
        <v>0</v>
      </c>
      <c r="E349" s="1">
        <f t="shared" si="92"/>
        <v>0</v>
      </c>
      <c r="F349" s="1">
        <f t="shared" si="93"/>
        <v>0</v>
      </c>
      <c r="G349" s="1" t="str">
        <f t="shared" si="94"/>
        <v>25020817</v>
      </c>
      <c r="H349" s="2">
        <v>45696</v>
      </c>
      <c r="I349" s="113">
        <v>17</v>
      </c>
      <c r="J349" s="1">
        <f t="shared" si="83"/>
        <v>17</v>
      </c>
      <c r="K349" s="3">
        <f t="shared" si="84"/>
        <v>25</v>
      </c>
      <c r="L349" s="3">
        <f t="shared" si="85"/>
        <v>2</v>
      </c>
      <c r="M349" s="3">
        <f t="shared" si="86"/>
        <v>8</v>
      </c>
      <c r="N349" s="3" t="str">
        <f t="shared" si="87"/>
        <v>02</v>
      </c>
      <c r="O349" s="14" t="str">
        <f t="shared" si="88"/>
        <v>08</v>
      </c>
      <c r="P349" s="4">
        <v>4190040</v>
      </c>
      <c r="T349" s="5" t="s">
        <v>1885</v>
      </c>
      <c r="U349" s="3" t="s">
        <v>305</v>
      </c>
      <c r="V349" s="3" t="s">
        <v>5</v>
      </c>
      <c r="W349" s="3" t="s">
        <v>1306</v>
      </c>
    </row>
    <row r="350" spans="1:25" hidden="1">
      <c r="A350" s="143"/>
      <c r="J350" s="1" t="str">
        <f t="shared" si="83"/>
        <v>0</v>
      </c>
      <c r="K350" s="3">
        <f t="shared" si="84"/>
        <v>-100</v>
      </c>
      <c r="L350" s="3">
        <f t="shared" si="85"/>
        <v>1</v>
      </c>
      <c r="M350" s="3">
        <f t="shared" si="86"/>
        <v>0</v>
      </c>
      <c r="N350" s="3" t="str">
        <f t="shared" si="87"/>
        <v>01</v>
      </c>
      <c r="O350" s="14" t="str">
        <f t="shared" si="88"/>
        <v>00</v>
      </c>
    </row>
    <row r="351" spans="1:25" hidden="1">
      <c r="A351" s="143">
        <v>323</v>
      </c>
      <c r="B351" s="1">
        <f>IF(G351="-",0,IF(G350=G351,1,0))</f>
        <v>0</v>
      </c>
      <c r="C351" s="1">
        <f>+IF(G351="-",0,IF(I351=I350+1,0,(IF(I351=1,0,1))))</f>
        <v>1</v>
      </c>
      <c r="D351" s="1">
        <f>+IF(AND(P351="",Q351=""),1,0)</f>
        <v>0</v>
      </c>
      <c r="E351" s="1">
        <f t="shared" ref="E351:F354" si="95">IF(U351="",1,0)</f>
        <v>0</v>
      </c>
      <c r="F351" s="1">
        <f t="shared" si="95"/>
        <v>0</v>
      </c>
      <c r="G351" s="1" t="str">
        <f>IF(H351=0,"-",_xlfn.CONCAT(K351,N351,O351,J351))</f>
        <v>25020819</v>
      </c>
      <c r="H351" s="2">
        <v>45696</v>
      </c>
      <c r="I351" s="113">
        <v>19</v>
      </c>
      <c r="J351" s="1">
        <f t="shared" si="83"/>
        <v>19</v>
      </c>
      <c r="K351" s="3">
        <f t="shared" si="84"/>
        <v>25</v>
      </c>
      <c r="L351" s="3">
        <f t="shared" si="85"/>
        <v>2</v>
      </c>
      <c r="M351" s="3">
        <f t="shared" si="86"/>
        <v>8</v>
      </c>
      <c r="N351" s="3" t="str">
        <f t="shared" si="87"/>
        <v>02</v>
      </c>
      <c r="O351" s="14" t="str">
        <f t="shared" si="88"/>
        <v>08</v>
      </c>
      <c r="P351" s="4">
        <v>21865.5</v>
      </c>
      <c r="T351" s="5" t="s">
        <v>1884</v>
      </c>
      <c r="U351" s="3" t="s">
        <v>1399</v>
      </c>
      <c r="V351" s="3" t="s">
        <v>1304</v>
      </c>
      <c r="W351" s="3" t="s">
        <v>1306</v>
      </c>
      <c r="X351" s="1" t="s">
        <v>1305</v>
      </c>
      <c r="Y351" s="141" t="s">
        <v>1882</v>
      </c>
    </row>
    <row r="352" spans="1:25" hidden="1">
      <c r="A352" s="143">
        <v>324</v>
      </c>
      <c r="B352" s="1">
        <f>IF(G352="-",0,IF(G351=G352,1,0))</f>
        <v>0</v>
      </c>
      <c r="C352" s="1">
        <f>+IF(G352="-",0,IF(I352=I351+1,0,(IF(I352=1,0,1))))</f>
        <v>0</v>
      </c>
      <c r="D352" s="1">
        <f>+IF(AND(P352="",Q352=""),1,0)</f>
        <v>0</v>
      </c>
      <c r="E352" s="1">
        <f t="shared" si="95"/>
        <v>0</v>
      </c>
      <c r="F352" s="1">
        <f t="shared" si="95"/>
        <v>0</v>
      </c>
      <c r="G352" s="1" t="str">
        <f>IF(H352=0,"-",_xlfn.CONCAT(K352,N352,O352,J352))</f>
        <v>25020820</v>
      </c>
      <c r="H352" s="2">
        <v>45696</v>
      </c>
      <c r="I352" s="113">
        <v>20</v>
      </c>
      <c r="J352" s="1">
        <f t="shared" si="83"/>
        <v>20</v>
      </c>
      <c r="K352" s="3">
        <f t="shared" si="84"/>
        <v>25</v>
      </c>
      <c r="L352" s="3">
        <f t="shared" si="85"/>
        <v>2</v>
      </c>
      <c r="M352" s="3">
        <f t="shared" si="86"/>
        <v>8</v>
      </c>
      <c r="N352" s="3" t="str">
        <f t="shared" si="87"/>
        <v>02</v>
      </c>
      <c r="O352" s="14" t="str">
        <f t="shared" si="88"/>
        <v>08</v>
      </c>
      <c r="P352" s="4">
        <v>3231.8</v>
      </c>
      <c r="T352" s="5" t="s">
        <v>1883</v>
      </c>
      <c r="U352" s="3" t="s">
        <v>1399</v>
      </c>
      <c r="V352" s="3" t="s">
        <v>1304</v>
      </c>
      <c r="W352" s="3" t="s">
        <v>1306</v>
      </c>
      <c r="Y352" s="141" t="s">
        <v>1882</v>
      </c>
    </row>
    <row r="353" spans="1:25" hidden="1">
      <c r="A353" s="143">
        <v>338</v>
      </c>
      <c r="B353" s="1">
        <f>IF(G353="-",0,IF(G352=G353,1,0))</f>
        <v>0</v>
      </c>
      <c r="C353" s="1">
        <f>+IF(G353="-",0,IF(I353=I352+1,0,(IF(I353=1,0,1))))</f>
        <v>0</v>
      </c>
      <c r="D353" s="1">
        <f>+IF(AND(P353="",Q353=""),1,0)</f>
        <v>0</v>
      </c>
      <c r="E353" s="1">
        <f t="shared" si="95"/>
        <v>0</v>
      </c>
      <c r="F353" s="1">
        <f t="shared" si="95"/>
        <v>0</v>
      </c>
      <c r="G353" s="1" t="str">
        <f>IF(H353=0,"-",_xlfn.CONCAT(K353,N353,O353,J353))</f>
        <v>25020821</v>
      </c>
      <c r="H353" s="2">
        <v>45696</v>
      </c>
      <c r="I353" s="113">
        <v>21</v>
      </c>
      <c r="J353" s="1">
        <f t="shared" si="83"/>
        <v>21</v>
      </c>
      <c r="K353" s="3">
        <f t="shared" si="84"/>
        <v>25</v>
      </c>
      <c r="L353" s="3">
        <f t="shared" si="85"/>
        <v>2</v>
      </c>
      <c r="M353" s="3">
        <f t="shared" si="86"/>
        <v>8</v>
      </c>
      <c r="N353" s="3" t="str">
        <f t="shared" si="87"/>
        <v>02</v>
      </c>
      <c r="O353" s="14" t="str">
        <f t="shared" si="88"/>
        <v>08</v>
      </c>
      <c r="P353" s="4">
        <v>19075</v>
      </c>
      <c r="T353" s="5" t="s">
        <v>352</v>
      </c>
      <c r="U353" s="3" t="s">
        <v>30</v>
      </c>
      <c r="V353" s="3" t="s">
        <v>1312</v>
      </c>
      <c r="W353" s="3" t="s">
        <v>1307</v>
      </c>
      <c r="X353" s="1" t="s">
        <v>1305</v>
      </c>
    </row>
    <row r="354" spans="1:25" hidden="1">
      <c r="A354" s="143">
        <v>336</v>
      </c>
      <c r="B354" s="1">
        <f>IF(G354="-",0,IF(G353=G354,1,0))</f>
        <v>0</v>
      </c>
      <c r="C354" s="1">
        <f>+IF(G354="-",0,IF(I354=I353+1,0,(IF(I354=1,0,1))))</f>
        <v>0</v>
      </c>
      <c r="D354" s="1">
        <f>+IF(AND(P354="",Q354=""),1,0)</f>
        <v>0</v>
      </c>
      <c r="E354" s="1">
        <f t="shared" si="95"/>
        <v>0</v>
      </c>
      <c r="F354" s="1">
        <f t="shared" si="95"/>
        <v>0</v>
      </c>
      <c r="G354" s="1" t="str">
        <f>IF(H354=0,"-",_xlfn.CONCAT(K354,N354,O354,J354))</f>
        <v>25020901</v>
      </c>
      <c r="H354" s="2">
        <v>45697</v>
      </c>
      <c r="I354" s="113">
        <v>1</v>
      </c>
      <c r="J354" s="1" t="str">
        <f t="shared" si="83"/>
        <v>01</v>
      </c>
      <c r="K354" s="3">
        <f t="shared" si="84"/>
        <v>25</v>
      </c>
      <c r="L354" s="3">
        <f t="shared" si="85"/>
        <v>2</v>
      </c>
      <c r="M354" s="3">
        <f t="shared" si="86"/>
        <v>9</v>
      </c>
      <c r="N354" s="3" t="str">
        <f t="shared" si="87"/>
        <v>02</v>
      </c>
      <c r="O354" s="14" t="str">
        <f t="shared" si="88"/>
        <v>09</v>
      </c>
      <c r="P354" s="4">
        <v>4675</v>
      </c>
      <c r="T354" s="5" t="s">
        <v>352</v>
      </c>
      <c r="U354" s="3" t="s">
        <v>30</v>
      </c>
      <c r="V354" s="3" t="s">
        <v>1312</v>
      </c>
      <c r="W354" s="3" t="s">
        <v>1307</v>
      </c>
      <c r="X354" s="1" t="s">
        <v>1305</v>
      </c>
    </row>
    <row r="355" spans="1:25" hidden="1">
      <c r="A355" s="143"/>
      <c r="J355" s="1" t="str">
        <f t="shared" si="83"/>
        <v>0</v>
      </c>
      <c r="K355" s="3">
        <f t="shared" si="84"/>
        <v>-100</v>
      </c>
      <c r="L355" s="3">
        <f t="shared" si="85"/>
        <v>1</v>
      </c>
      <c r="M355" s="3">
        <f t="shared" si="86"/>
        <v>0</v>
      </c>
      <c r="N355" s="3" t="str">
        <f t="shared" si="87"/>
        <v>01</v>
      </c>
      <c r="O355" s="14" t="str">
        <f t="shared" si="88"/>
        <v>00</v>
      </c>
    </row>
    <row r="356" spans="1:25" hidden="1">
      <c r="A356" s="143"/>
      <c r="J356" s="1" t="str">
        <f t="shared" si="83"/>
        <v>0</v>
      </c>
      <c r="K356" s="3">
        <f t="shared" si="84"/>
        <v>-100</v>
      </c>
      <c r="L356" s="3">
        <f t="shared" si="85"/>
        <v>1</v>
      </c>
      <c r="M356" s="3">
        <f t="shared" si="86"/>
        <v>0</v>
      </c>
      <c r="N356" s="3" t="str">
        <f t="shared" si="87"/>
        <v>01</v>
      </c>
      <c r="O356" s="14" t="str">
        <f t="shared" si="88"/>
        <v>00</v>
      </c>
    </row>
    <row r="357" spans="1:25" hidden="1">
      <c r="A357" s="143">
        <v>315</v>
      </c>
      <c r="B357" s="1">
        <f>IF(G357="-",0,IF(G356=G357,1,0))</f>
        <v>0</v>
      </c>
      <c r="C357" s="1">
        <f>+IF(G357="-",0,IF(I357=I356+1,0,(IF(I357=1,0,1))))</f>
        <v>1</v>
      </c>
      <c r="D357" s="1">
        <f>+IF(AND(P357="",Q357=""),1,0)</f>
        <v>0</v>
      </c>
      <c r="E357" s="1">
        <f>IF(U357="",1,0)</f>
        <v>0</v>
      </c>
      <c r="F357" s="1">
        <f>IF(V357="",1,0)</f>
        <v>0</v>
      </c>
      <c r="G357" s="1" t="str">
        <f>IF(H357=0,"-",_xlfn.CONCAT(K357,N357,O357,J357))</f>
        <v>25021003</v>
      </c>
      <c r="H357" s="2">
        <v>45698</v>
      </c>
      <c r="I357" s="113">
        <v>3</v>
      </c>
      <c r="J357" s="1" t="str">
        <f t="shared" si="83"/>
        <v>03</v>
      </c>
      <c r="K357" s="3">
        <f t="shared" si="84"/>
        <v>25</v>
      </c>
      <c r="L357" s="3">
        <f t="shared" si="85"/>
        <v>2</v>
      </c>
      <c r="M357" s="3">
        <f t="shared" si="86"/>
        <v>10</v>
      </c>
      <c r="N357" s="3" t="str">
        <f t="shared" si="87"/>
        <v>02</v>
      </c>
      <c r="O357" s="14">
        <f t="shared" si="88"/>
        <v>10</v>
      </c>
      <c r="P357" s="4">
        <v>39236.080000000002</v>
      </c>
      <c r="T357" s="5" t="s">
        <v>1881</v>
      </c>
      <c r="U357" s="3" t="s">
        <v>305</v>
      </c>
      <c r="V357" s="3" t="s">
        <v>5</v>
      </c>
      <c r="W357" s="3" t="s">
        <v>1306</v>
      </c>
    </row>
    <row r="358" spans="1:25" hidden="1">
      <c r="A358" s="143"/>
      <c r="J358" s="1" t="str">
        <f t="shared" si="83"/>
        <v>0</v>
      </c>
      <c r="K358" s="3">
        <f t="shared" si="84"/>
        <v>-100</v>
      </c>
      <c r="L358" s="3">
        <f t="shared" si="85"/>
        <v>1</v>
      </c>
      <c r="M358" s="3">
        <f t="shared" si="86"/>
        <v>0</v>
      </c>
      <c r="N358" s="3" t="str">
        <f t="shared" si="87"/>
        <v>01</v>
      </c>
      <c r="O358" s="14" t="str">
        <f t="shared" si="88"/>
        <v>00</v>
      </c>
      <c r="Y358" s="160"/>
    </row>
    <row r="359" spans="1:25" hidden="1">
      <c r="A359" s="143"/>
      <c r="J359" s="1" t="str">
        <f t="shared" si="83"/>
        <v>0</v>
      </c>
      <c r="K359" s="3">
        <f t="shared" si="84"/>
        <v>-100</v>
      </c>
      <c r="L359" s="3">
        <f t="shared" si="85"/>
        <v>1</v>
      </c>
      <c r="M359" s="3">
        <f t="shared" si="86"/>
        <v>0</v>
      </c>
      <c r="N359" s="3" t="str">
        <f t="shared" si="87"/>
        <v>01</v>
      </c>
      <c r="O359" s="14" t="str">
        <f t="shared" si="88"/>
        <v>00</v>
      </c>
    </row>
    <row r="360" spans="1:25">
      <c r="A360" s="143">
        <v>335</v>
      </c>
      <c r="B360" s="1">
        <f>IF(G360="-",0,IF(G359=G360,1,0))</f>
        <v>0</v>
      </c>
      <c r="C360" s="1">
        <f>+IF(G360="-",0,IF(I360=I359+1,0,(IF(I360=1,0,1))))</f>
        <v>1</v>
      </c>
      <c r="D360" s="1">
        <f>+IF(AND(P360="",Q360=""),1,0)</f>
        <v>0</v>
      </c>
      <c r="E360" s="1">
        <f t="shared" ref="E360:F362" si="96">IF(U360="",1,0)</f>
        <v>1</v>
      </c>
      <c r="F360" s="1">
        <f t="shared" si="96"/>
        <v>0</v>
      </c>
      <c r="G360" s="1" t="str">
        <f>IF(H360=0,"-",_xlfn.CONCAT(K360,N360,O360,J360))</f>
        <v>25021006</v>
      </c>
      <c r="H360" s="2">
        <v>45698</v>
      </c>
      <c r="I360" s="113">
        <v>6</v>
      </c>
      <c r="J360" s="1" t="str">
        <f t="shared" si="83"/>
        <v>06</v>
      </c>
      <c r="K360" s="3">
        <f t="shared" si="84"/>
        <v>25</v>
      </c>
      <c r="L360" s="3">
        <f t="shared" si="85"/>
        <v>2</v>
      </c>
      <c r="M360" s="3">
        <f t="shared" si="86"/>
        <v>10</v>
      </c>
      <c r="N360" s="3" t="str">
        <f t="shared" si="87"/>
        <v>02</v>
      </c>
      <c r="O360" s="14">
        <f t="shared" si="88"/>
        <v>10</v>
      </c>
      <c r="P360" s="4">
        <v>74585</v>
      </c>
      <c r="T360" s="5" t="s">
        <v>1880</v>
      </c>
      <c r="V360" s="3" t="s">
        <v>5</v>
      </c>
      <c r="X360" s="1" t="s">
        <v>1305</v>
      </c>
    </row>
    <row r="361" spans="1:25">
      <c r="A361" s="143">
        <v>337</v>
      </c>
      <c r="B361" s="1">
        <f>IF(G361="-",0,IF(G360=G361,1,0))</f>
        <v>0</v>
      </c>
      <c r="C361" s="1">
        <f>+IF(G361="-",0,IF(I361=I360+1,0,(IF(I361=1,0,1))))</f>
        <v>0</v>
      </c>
      <c r="D361" s="1">
        <f>+IF(AND(P361="",Q361=""),1,0)</f>
        <v>0</v>
      </c>
      <c r="E361" s="1">
        <f t="shared" si="96"/>
        <v>1</v>
      </c>
      <c r="F361" s="1">
        <f t="shared" si="96"/>
        <v>0</v>
      </c>
      <c r="G361" s="1" t="str">
        <f>IF(H361=0,"-",_xlfn.CONCAT(K361,N361,O361,J361))</f>
        <v>25021007</v>
      </c>
      <c r="H361" s="2">
        <v>45698</v>
      </c>
      <c r="I361" s="113">
        <v>7</v>
      </c>
      <c r="J361" s="1" t="str">
        <f t="shared" si="83"/>
        <v>07</v>
      </c>
      <c r="K361" s="3">
        <f t="shared" si="84"/>
        <v>25</v>
      </c>
      <c r="L361" s="3">
        <f t="shared" si="85"/>
        <v>2</v>
      </c>
      <c r="M361" s="3">
        <f t="shared" si="86"/>
        <v>10</v>
      </c>
      <c r="N361" s="3" t="str">
        <f t="shared" si="87"/>
        <v>02</v>
      </c>
      <c r="O361" s="14">
        <f t="shared" si="88"/>
        <v>10</v>
      </c>
      <c r="P361" s="4">
        <v>1541</v>
      </c>
      <c r="T361" s="5" t="s">
        <v>1879</v>
      </c>
      <c r="V361" s="3" t="s">
        <v>5</v>
      </c>
      <c r="W361" s="3" t="s">
        <v>1307</v>
      </c>
      <c r="X361" s="1" t="s">
        <v>1305</v>
      </c>
    </row>
    <row r="362" spans="1:25" hidden="1">
      <c r="A362" s="143">
        <v>339</v>
      </c>
      <c r="B362" s="1">
        <f>IF(G362="-",0,IF(G361=G362,1,0))</f>
        <v>0</v>
      </c>
      <c r="C362" s="1">
        <f>+IF(G362="-",0,IF(I362=I361+1,0,(IF(I362=1,0,1))))</f>
        <v>0</v>
      </c>
      <c r="D362" s="1">
        <f>+IF(AND(P362="",Q362=""),1,0)</f>
        <v>0</v>
      </c>
      <c r="E362" s="1">
        <f t="shared" si="96"/>
        <v>0</v>
      </c>
      <c r="F362" s="1">
        <f t="shared" si="96"/>
        <v>0</v>
      </c>
      <c r="G362" s="1" t="str">
        <f>IF(H362=0,"-",_xlfn.CONCAT(K362,N362,O362,J362))</f>
        <v>25021008</v>
      </c>
      <c r="H362" s="2">
        <v>45698</v>
      </c>
      <c r="I362" s="113">
        <v>8</v>
      </c>
      <c r="J362" s="1" t="str">
        <f t="shared" si="83"/>
        <v>08</v>
      </c>
      <c r="K362" s="3">
        <f t="shared" si="84"/>
        <v>25</v>
      </c>
      <c r="L362" s="3">
        <f t="shared" si="85"/>
        <v>2</v>
      </c>
      <c r="M362" s="3">
        <f t="shared" si="86"/>
        <v>10</v>
      </c>
      <c r="N362" s="3" t="str">
        <f t="shared" si="87"/>
        <v>02</v>
      </c>
      <c r="O362" s="14">
        <f t="shared" si="88"/>
        <v>10</v>
      </c>
      <c r="P362" s="4">
        <v>8500</v>
      </c>
      <c r="T362" s="5" t="s">
        <v>352</v>
      </c>
      <c r="U362" s="3" t="s">
        <v>30</v>
      </c>
      <c r="V362" s="3" t="s">
        <v>1312</v>
      </c>
      <c r="W362" s="3" t="s">
        <v>1307</v>
      </c>
      <c r="X362" s="1" t="s">
        <v>1305</v>
      </c>
    </row>
    <row r="363" spans="1:25" hidden="1">
      <c r="A363" s="143"/>
      <c r="J363" s="1" t="str">
        <f t="shared" si="83"/>
        <v>0</v>
      </c>
      <c r="K363" s="3">
        <f t="shared" si="84"/>
        <v>-100</v>
      </c>
      <c r="L363" s="3">
        <f t="shared" si="85"/>
        <v>1</v>
      </c>
      <c r="M363" s="3">
        <f t="shared" si="86"/>
        <v>0</v>
      </c>
      <c r="N363" s="3" t="str">
        <f t="shared" si="87"/>
        <v>01</v>
      </c>
      <c r="O363" s="14" t="str">
        <f t="shared" si="88"/>
        <v>00</v>
      </c>
    </row>
    <row r="364" spans="1:25" hidden="1">
      <c r="A364" s="143"/>
      <c r="J364" s="1" t="str">
        <f t="shared" si="83"/>
        <v>0</v>
      </c>
      <c r="K364" s="3">
        <f t="shared" si="84"/>
        <v>-100</v>
      </c>
      <c r="L364" s="3">
        <f t="shared" si="85"/>
        <v>1</v>
      </c>
      <c r="M364" s="3">
        <f t="shared" si="86"/>
        <v>0</v>
      </c>
      <c r="N364" s="3" t="str">
        <f t="shared" si="87"/>
        <v>01</v>
      </c>
      <c r="O364" s="14" t="str">
        <f t="shared" si="88"/>
        <v>00</v>
      </c>
    </row>
    <row r="365" spans="1:25">
      <c r="A365" s="143">
        <v>482</v>
      </c>
      <c r="B365" s="1">
        <f>IF(G365="-",0,IF(G364=G365,1,0))</f>
        <v>0</v>
      </c>
      <c r="C365" s="1">
        <f>+IF(G365="-",0,IF(I365=I364+1,0,(IF(I365=1,0,1))))</f>
        <v>1</v>
      </c>
      <c r="D365" s="1">
        <f>+IF(AND(P365="",Q365=""),1,0)</f>
        <v>0</v>
      </c>
      <c r="E365" s="1">
        <f>IF(U365="",1,0)</f>
        <v>1</v>
      </c>
      <c r="F365" s="1">
        <f>IF(V365="",1,0)</f>
        <v>0</v>
      </c>
      <c r="G365" s="1" t="str">
        <f>IF(H365=0,"-",_xlfn.CONCAT(K365,N365,O365,J365))</f>
        <v>25021011</v>
      </c>
      <c r="H365" s="2">
        <v>45698</v>
      </c>
      <c r="I365" s="113">
        <v>11</v>
      </c>
      <c r="J365" s="1">
        <f t="shared" si="83"/>
        <v>11</v>
      </c>
      <c r="K365" s="3">
        <f t="shared" si="84"/>
        <v>25</v>
      </c>
      <c r="L365" s="3">
        <f t="shared" si="85"/>
        <v>2</v>
      </c>
      <c r="M365" s="3">
        <f t="shared" si="86"/>
        <v>10</v>
      </c>
      <c r="N365" s="3" t="str">
        <f t="shared" si="87"/>
        <v>02</v>
      </c>
      <c r="O365" s="14">
        <f t="shared" si="88"/>
        <v>10</v>
      </c>
      <c r="P365" s="4">
        <v>28406.41</v>
      </c>
      <c r="T365" s="5" t="s">
        <v>1878</v>
      </c>
      <c r="V365" s="3" t="s">
        <v>5</v>
      </c>
      <c r="W365" s="3" t="s">
        <v>1306</v>
      </c>
      <c r="X365" s="1" t="s">
        <v>1305</v>
      </c>
    </row>
    <row r="366" spans="1:25" hidden="1">
      <c r="A366" s="143">
        <v>259</v>
      </c>
      <c r="B366" s="1">
        <f>IF(G366="-",0,IF(G365=G366,1,0))</f>
        <v>0</v>
      </c>
      <c r="C366" s="1">
        <f>+IF(G366="-",0,IF(I366=I365+1,0,(IF(I366=1,0,1))))</f>
        <v>0</v>
      </c>
      <c r="D366" s="1">
        <f>+IF(AND(P366="",Q366=""),1,0)</f>
        <v>0</v>
      </c>
      <c r="E366" s="1">
        <f>IF(U366="",1,0)</f>
        <v>0</v>
      </c>
      <c r="F366" s="1">
        <f>IF(V366="",1,0)</f>
        <v>0</v>
      </c>
      <c r="G366" s="1" t="str">
        <f>IF(H366=0,"-",_xlfn.CONCAT(K366,N366,O366,J366))</f>
        <v>25021101</v>
      </c>
      <c r="H366" s="2">
        <v>45699</v>
      </c>
      <c r="I366" s="113">
        <v>1</v>
      </c>
      <c r="J366" s="1" t="str">
        <f t="shared" si="83"/>
        <v>01</v>
      </c>
      <c r="K366" s="3">
        <f t="shared" si="84"/>
        <v>25</v>
      </c>
      <c r="L366" s="3">
        <f t="shared" si="85"/>
        <v>2</v>
      </c>
      <c r="M366" s="3">
        <f t="shared" si="86"/>
        <v>11</v>
      </c>
      <c r="N366" s="3" t="str">
        <f t="shared" si="87"/>
        <v>02</v>
      </c>
      <c r="O366" s="14">
        <f t="shared" si="88"/>
        <v>11</v>
      </c>
      <c r="P366" s="4">
        <v>264498.43</v>
      </c>
      <c r="T366" s="5" t="s">
        <v>1877</v>
      </c>
      <c r="U366" s="3" t="s">
        <v>305</v>
      </c>
      <c r="V366" s="3" t="s">
        <v>5</v>
      </c>
      <c r="W366" t="s">
        <v>1306</v>
      </c>
      <c r="X366" s="159" t="s">
        <v>1305</v>
      </c>
    </row>
    <row r="367" spans="1:25" hidden="1">
      <c r="A367" s="143"/>
      <c r="J367" s="1" t="str">
        <f t="shared" si="83"/>
        <v>0</v>
      </c>
      <c r="K367" s="3">
        <f t="shared" si="84"/>
        <v>-100</v>
      </c>
      <c r="L367" s="3">
        <f t="shared" si="85"/>
        <v>1</v>
      </c>
      <c r="M367" s="3">
        <f t="shared" si="86"/>
        <v>0</v>
      </c>
      <c r="N367" s="3" t="str">
        <f t="shared" si="87"/>
        <v>01</v>
      </c>
      <c r="O367" s="14" t="str">
        <f t="shared" si="88"/>
        <v>00</v>
      </c>
    </row>
    <row r="368" spans="1:25" hidden="1">
      <c r="A368" s="143">
        <v>319</v>
      </c>
      <c r="B368" s="1">
        <f>IF(G368="-",0,IF(G367=G368,1,0))</f>
        <v>0</v>
      </c>
      <c r="C368" s="1">
        <f>+IF(G368="-",0,IF(I368=I367+1,0,(IF(I368=1,0,1))))</f>
        <v>1</v>
      </c>
      <c r="D368" s="1">
        <f>+IF(AND(P368="",Q368=""),1,0)</f>
        <v>0</v>
      </c>
      <c r="E368" s="1">
        <f>IF(U368="",1,0)</f>
        <v>0</v>
      </c>
      <c r="F368" s="1">
        <f>IF(V368="",1,0)</f>
        <v>0</v>
      </c>
      <c r="G368" s="1" t="str">
        <f>IF(H368=0,"-",_xlfn.CONCAT(K368,N368,O368,J368))</f>
        <v>25021103</v>
      </c>
      <c r="H368" s="2">
        <v>45699</v>
      </c>
      <c r="I368" s="113">
        <v>3</v>
      </c>
      <c r="J368" s="1" t="str">
        <f t="shared" si="83"/>
        <v>03</v>
      </c>
      <c r="K368" s="3">
        <f t="shared" si="84"/>
        <v>25</v>
      </c>
      <c r="L368" s="3">
        <f t="shared" si="85"/>
        <v>2</v>
      </c>
      <c r="M368" s="3">
        <f t="shared" si="86"/>
        <v>11</v>
      </c>
      <c r="N368" s="3" t="str">
        <f t="shared" si="87"/>
        <v>02</v>
      </c>
      <c r="O368" s="14">
        <f t="shared" si="88"/>
        <v>11</v>
      </c>
      <c r="P368" s="4">
        <v>400000</v>
      </c>
      <c r="T368" s="5" t="s">
        <v>1876</v>
      </c>
      <c r="U368" s="3" t="s">
        <v>305</v>
      </c>
      <c r="V368" s="3" t="s">
        <v>5</v>
      </c>
      <c r="W368" s="3" t="s">
        <v>1306</v>
      </c>
    </row>
    <row r="369" spans="1:25" hidden="1">
      <c r="A369" s="143">
        <v>320</v>
      </c>
      <c r="B369" s="1">
        <f>IF(G369="-",0,IF(G368=G369,1,0))</f>
        <v>0</v>
      </c>
      <c r="C369" s="1">
        <f>+IF(G369="-",0,IF(I369=I368+1,0,(IF(I369=1,0,1))))</f>
        <v>0</v>
      </c>
      <c r="D369" s="1">
        <f>+IF(AND(P369="",Q369=""),1,0)</f>
        <v>0</v>
      </c>
      <c r="E369" s="1">
        <f>IF(U369="",1,0)</f>
        <v>0</v>
      </c>
      <c r="F369" s="1">
        <f>IF(V369="",1,0)</f>
        <v>0</v>
      </c>
      <c r="G369" s="1" t="str">
        <f>IF(H369=0,"-",_xlfn.CONCAT(K369,N369,O369,J369))</f>
        <v>25021104</v>
      </c>
      <c r="H369" s="2">
        <v>45699</v>
      </c>
      <c r="I369" s="113">
        <v>4</v>
      </c>
      <c r="J369" s="1" t="str">
        <f t="shared" si="83"/>
        <v>04</v>
      </c>
      <c r="K369" s="3">
        <f t="shared" si="84"/>
        <v>25</v>
      </c>
      <c r="L369" s="3">
        <f t="shared" si="85"/>
        <v>2</v>
      </c>
      <c r="M369" s="3">
        <f t="shared" si="86"/>
        <v>11</v>
      </c>
      <c r="N369" s="3" t="str">
        <f t="shared" si="87"/>
        <v>02</v>
      </c>
      <c r="O369" s="14">
        <f t="shared" si="88"/>
        <v>11</v>
      </c>
      <c r="P369" s="4">
        <v>120000</v>
      </c>
      <c r="T369" s="5" t="s">
        <v>1875</v>
      </c>
      <c r="U369" s="3" t="s">
        <v>305</v>
      </c>
      <c r="V369" s="3" t="s">
        <v>5</v>
      </c>
      <c r="W369" s="3" t="s">
        <v>1306</v>
      </c>
    </row>
    <row r="370" spans="1:25" hidden="1">
      <c r="A370" s="143"/>
      <c r="J370" s="1" t="str">
        <f t="shared" si="83"/>
        <v>0</v>
      </c>
      <c r="K370" s="3">
        <f t="shared" si="84"/>
        <v>-100</v>
      </c>
      <c r="L370" s="3">
        <f t="shared" si="85"/>
        <v>1</v>
      </c>
      <c r="M370" s="3">
        <f t="shared" si="86"/>
        <v>0</v>
      </c>
      <c r="N370" s="3" t="str">
        <f t="shared" si="87"/>
        <v>01</v>
      </c>
      <c r="O370" s="14" t="str">
        <f t="shared" si="88"/>
        <v>00</v>
      </c>
    </row>
    <row r="371" spans="1:25" hidden="1">
      <c r="A371" s="143">
        <v>341</v>
      </c>
      <c r="B371" s="1">
        <f t="shared" ref="B371:B379" si="97">IF(G371="-",0,IF(G370=G371,1,0))</f>
        <v>0</v>
      </c>
      <c r="C371" s="1">
        <f t="shared" ref="C371:C379" si="98">+IF(G371="-",0,IF(I371=I370+1,0,(IF(I371=1,0,1))))</f>
        <v>1</v>
      </c>
      <c r="D371" s="1">
        <f t="shared" ref="D371:D379" si="99">+IF(AND(P371="",Q371=""),1,0)</f>
        <v>0</v>
      </c>
      <c r="E371" s="1">
        <f t="shared" ref="E371:E379" si="100">IF(U371="",1,0)</f>
        <v>0</v>
      </c>
      <c r="F371" s="1">
        <f t="shared" ref="F371:F379" si="101">IF(V371="",1,0)</f>
        <v>0</v>
      </c>
      <c r="G371" s="1" t="str">
        <f t="shared" ref="G371:G379" si="102">IF(H371=0,"-",_xlfn.CONCAT(K371,N371,O371,J371))</f>
        <v>25021106</v>
      </c>
      <c r="H371" s="2">
        <v>45699</v>
      </c>
      <c r="I371" s="113">
        <v>6</v>
      </c>
      <c r="J371" s="1" t="str">
        <f t="shared" si="83"/>
        <v>06</v>
      </c>
      <c r="K371" s="3">
        <f t="shared" si="84"/>
        <v>25</v>
      </c>
      <c r="L371" s="3">
        <f t="shared" si="85"/>
        <v>2</v>
      </c>
      <c r="M371" s="3">
        <f t="shared" si="86"/>
        <v>11</v>
      </c>
      <c r="N371" s="3" t="str">
        <f t="shared" si="87"/>
        <v>02</v>
      </c>
      <c r="O371" s="14">
        <f t="shared" si="88"/>
        <v>11</v>
      </c>
      <c r="P371" s="4">
        <v>148267.87</v>
      </c>
      <c r="T371" s="5" t="s">
        <v>1874</v>
      </c>
      <c r="U371" s="3" t="s">
        <v>29</v>
      </c>
      <c r="V371" s="3" t="s">
        <v>5</v>
      </c>
      <c r="W371" s="3" t="s">
        <v>1306</v>
      </c>
      <c r="X371" s="1" t="s">
        <v>1305</v>
      </c>
      <c r="Y371" s="141" t="s">
        <v>1873</v>
      </c>
    </row>
    <row r="372" spans="1:25">
      <c r="A372" s="143">
        <v>342</v>
      </c>
      <c r="B372" s="1">
        <f t="shared" si="97"/>
        <v>0</v>
      </c>
      <c r="C372" s="1">
        <f t="shared" si="98"/>
        <v>0</v>
      </c>
      <c r="D372" s="1">
        <f t="shared" si="99"/>
        <v>0</v>
      </c>
      <c r="E372" s="1">
        <f t="shared" si="100"/>
        <v>1</v>
      </c>
      <c r="F372" s="1">
        <f t="shared" si="101"/>
        <v>0</v>
      </c>
      <c r="G372" s="1" t="str">
        <f t="shared" si="102"/>
        <v>25021107</v>
      </c>
      <c r="H372" s="2">
        <v>45699</v>
      </c>
      <c r="I372" s="113">
        <v>7</v>
      </c>
      <c r="J372" s="1" t="str">
        <f t="shared" si="83"/>
        <v>07</v>
      </c>
      <c r="K372" s="3">
        <f t="shared" si="84"/>
        <v>25</v>
      </c>
      <c r="L372" s="3">
        <f t="shared" si="85"/>
        <v>2</v>
      </c>
      <c r="M372" s="3">
        <f t="shared" si="86"/>
        <v>11</v>
      </c>
      <c r="N372" s="3" t="str">
        <f t="shared" si="87"/>
        <v>02</v>
      </c>
      <c r="O372" s="14">
        <f t="shared" si="88"/>
        <v>11</v>
      </c>
      <c r="P372" s="4">
        <v>120663.66</v>
      </c>
      <c r="T372" s="5" t="s">
        <v>1872</v>
      </c>
      <c r="V372" s="3" t="s">
        <v>5</v>
      </c>
      <c r="W372" s="3" t="s">
        <v>1306</v>
      </c>
      <c r="X372" s="1" t="s">
        <v>1305</v>
      </c>
    </row>
    <row r="373" spans="1:25">
      <c r="A373" s="143">
        <v>343</v>
      </c>
      <c r="B373" s="1">
        <f t="shared" si="97"/>
        <v>0</v>
      </c>
      <c r="C373" s="1">
        <f t="shared" si="98"/>
        <v>0</v>
      </c>
      <c r="D373" s="1">
        <f t="shared" si="99"/>
        <v>0</v>
      </c>
      <c r="E373" s="1">
        <f t="shared" si="100"/>
        <v>1</v>
      </c>
      <c r="F373" s="1">
        <f t="shared" si="101"/>
        <v>0</v>
      </c>
      <c r="G373" s="1" t="str">
        <f t="shared" si="102"/>
        <v>25021108</v>
      </c>
      <c r="H373" s="2">
        <v>45699</v>
      </c>
      <c r="I373" s="113">
        <v>8</v>
      </c>
      <c r="J373" s="1" t="str">
        <f t="shared" si="83"/>
        <v>08</v>
      </c>
      <c r="K373" s="3">
        <f t="shared" si="84"/>
        <v>25</v>
      </c>
      <c r="L373" s="3">
        <f t="shared" si="85"/>
        <v>2</v>
      </c>
      <c r="M373" s="3">
        <f t="shared" si="86"/>
        <v>11</v>
      </c>
      <c r="N373" s="3" t="str">
        <f t="shared" si="87"/>
        <v>02</v>
      </c>
      <c r="O373" s="14">
        <f t="shared" si="88"/>
        <v>11</v>
      </c>
      <c r="P373" s="4">
        <v>30869.34</v>
      </c>
      <c r="T373" s="5" t="s">
        <v>1871</v>
      </c>
      <c r="V373" s="3" t="s">
        <v>5</v>
      </c>
      <c r="W373" s="3" t="s">
        <v>1309</v>
      </c>
      <c r="X373" s="1" t="s">
        <v>1305</v>
      </c>
    </row>
    <row r="374" spans="1:25" hidden="1">
      <c r="A374" s="143">
        <v>344</v>
      </c>
      <c r="B374" s="1">
        <f t="shared" si="97"/>
        <v>0</v>
      </c>
      <c r="C374" s="1">
        <f t="shared" si="98"/>
        <v>0</v>
      </c>
      <c r="D374" s="1">
        <f t="shared" si="99"/>
        <v>0</v>
      </c>
      <c r="E374" s="1">
        <f t="shared" si="100"/>
        <v>0</v>
      </c>
      <c r="F374" s="1">
        <f t="shared" si="101"/>
        <v>0</v>
      </c>
      <c r="G374" s="1" t="str">
        <f t="shared" si="102"/>
        <v>25021109</v>
      </c>
      <c r="H374" s="2">
        <v>45699</v>
      </c>
      <c r="I374" s="113">
        <v>9</v>
      </c>
      <c r="J374" s="1" t="str">
        <f t="shared" si="83"/>
        <v>09</v>
      </c>
      <c r="K374" s="3">
        <f t="shared" si="84"/>
        <v>25</v>
      </c>
      <c r="L374" s="3">
        <f t="shared" si="85"/>
        <v>2</v>
      </c>
      <c r="M374" s="3">
        <f t="shared" si="86"/>
        <v>11</v>
      </c>
      <c r="N374" s="3" t="str">
        <f t="shared" si="87"/>
        <v>02</v>
      </c>
      <c r="O374" s="14">
        <f t="shared" si="88"/>
        <v>11</v>
      </c>
      <c r="P374" s="4">
        <v>8000</v>
      </c>
      <c r="T374" s="5" t="s">
        <v>1870</v>
      </c>
      <c r="U374" s="3" t="s">
        <v>29</v>
      </c>
      <c r="V374" s="3" t="s">
        <v>5</v>
      </c>
      <c r="W374" s="3" t="s">
        <v>1326</v>
      </c>
      <c r="X374" s="1" t="s">
        <v>1305</v>
      </c>
    </row>
    <row r="375" spans="1:25" hidden="1">
      <c r="A375" s="143">
        <v>345</v>
      </c>
      <c r="B375" s="1">
        <f t="shared" si="97"/>
        <v>0</v>
      </c>
      <c r="C375" s="1">
        <f t="shared" si="98"/>
        <v>0</v>
      </c>
      <c r="D375" s="1">
        <f t="shared" si="99"/>
        <v>0</v>
      </c>
      <c r="E375" s="1">
        <f t="shared" si="100"/>
        <v>0</v>
      </c>
      <c r="F375" s="1">
        <f t="shared" si="101"/>
        <v>0</v>
      </c>
      <c r="G375" s="1" t="str">
        <f t="shared" si="102"/>
        <v>25021110</v>
      </c>
      <c r="H375" s="2">
        <v>45699</v>
      </c>
      <c r="I375" s="113">
        <v>10</v>
      </c>
      <c r="J375" s="1">
        <f t="shared" si="83"/>
        <v>10</v>
      </c>
      <c r="K375" s="3">
        <f t="shared" si="84"/>
        <v>25</v>
      </c>
      <c r="L375" s="3">
        <f t="shared" si="85"/>
        <v>2</v>
      </c>
      <c r="M375" s="3">
        <f t="shared" si="86"/>
        <v>11</v>
      </c>
      <c r="N375" s="3" t="str">
        <f t="shared" si="87"/>
        <v>02</v>
      </c>
      <c r="O375" s="14">
        <f t="shared" si="88"/>
        <v>11</v>
      </c>
      <c r="P375" s="4">
        <v>10000</v>
      </c>
      <c r="T375" s="5" t="s">
        <v>1706</v>
      </c>
      <c r="U375" s="3" t="s">
        <v>29</v>
      </c>
      <c r="V375" s="3" t="s">
        <v>5</v>
      </c>
      <c r="W375" s="3" t="s">
        <v>1326</v>
      </c>
      <c r="X375" s="1" t="s">
        <v>1305</v>
      </c>
    </row>
    <row r="376" spans="1:25" hidden="1">
      <c r="A376" s="143">
        <v>379</v>
      </c>
      <c r="B376" s="1">
        <f t="shared" si="97"/>
        <v>0</v>
      </c>
      <c r="C376" s="1">
        <f t="shared" si="98"/>
        <v>0</v>
      </c>
      <c r="D376" s="1">
        <f t="shared" si="99"/>
        <v>0</v>
      </c>
      <c r="E376" s="1">
        <f t="shared" si="100"/>
        <v>0</v>
      </c>
      <c r="F376" s="1">
        <f t="shared" si="101"/>
        <v>0</v>
      </c>
      <c r="G376" s="1" t="str">
        <f t="shared" si="102"/>
        <v>25021111</v>
      </c>
      <c r="H376" s="2">
        <v>45699</v>
      </c>
      <c r="I376" s="113">
        <v>11</v>
      </c>
      <c r="J376" s="1">
        <f t="shared" si="83"/>
        <v>11</v>
      </c>
      <c r="K376" s="3">
        <f t="shared" si="84"/>
        <v>25</v>
      </c>
      <c r="L376" s="3">
        <f t="shared" si="85"/>
        <v>2</v>
      </c>
      <c r="M376" s="3">
        <f t="shared" si="86"/>
        <v>11</v>
      </c>
      <c r="N376" s="3" t="str">
        <f t="shared" si="87"/>
        <v>02</v>
      </c>
      <c r="O376" s="14">
        <f t="shared" si="88"/>
        <v>11</v>
      </c>
      <c r="P376" s="4">
        <v>-19379.5</v>
      </c>
      <c r="T376" s="5" t="s">
        <v>1869</v>
      </c>
      <c r="U376" s="3" t="s">
        <v>29</v>
      </c>
      <c r="V376" s="3" t="s">
        <v>5</v>
      </c>
      <c r="W376" s="3" t="s">
        <v>1045</v>
      </c>
      <c r="X376" s="1" t="s">
        <v>1305</v>
      </c>
      <c r="Y376" s="141" t="s">
        <v>1868</v>
      </c>
    </row>
    <row r="377" spans="1:25" hidden="1">
      <c r="A377" s="143">
        <v>346</v>
      </c>
      <c r="B377" s="1">
        <f t="shared" si="97"/>
        <v>0</v>
      </c>
      <c r="C377" s="1">
        <f t="shared" si="98"/>
        <v>0</v>
      </c>
      <c r="D377" s="1">
        <f t="shared" si="99"/>
        <v>0</v>
      </c>
      <c r="E377" s="1">
        <f t="shared" si="100"/>
        <v>0</v>
      </c>
      <c r="F377" s="1">
        <f t="shared" si="101"/>
        <v>0</v>
      </c>
      <c r="G377" s="1" t="str">
        <f t="shared" si="102"/>
        <v>25021201</v>
      </c>
      <c r="H377" s="2">
        <v>45700</v>
      </c>
      <c r="I377" s="113">
        <v>1</v>
      </c>
      <c r="J377" s="1" t="str">
        <f t="shared" si="83"/>
        <v>01</v>
      </c>
      <c r="K377" s="3">
        <f t="shared" si="84"/>
        <v>25</v>
      </c>
      <c r="L377" s="3">
        <f t="shared" si="85"/>
        <v>2</v>
      </c>
      <c r="M377" s="3">
        <f t="shared" si="86"/>
        <v>12</v>
      </c>
      <c r="N377" s="3" t="str">
        <f t="shared" si="87"/>
        <v>02</v>
      </c>
      <c r="O377" s="14">
        <f t="shared" si="88"/>
        <v>12</v>
      </c>
      <c r="P377" s="4">
        <v>26086.05</v>
      </c>
      <c r="T377" s="5" t="s">
        <v>1867</v>
      </c>
      <c r="U377" s="3" t="s">
        <v>29</v>
      </c>
      <c r="V377" s="3" t="s">
        <v>5</v>
      </c>
      <c r="W377" s="3" t="s">
        <v>1326</v>
      </c>
      <c r="X377" s="1" t="s">
        <v>1305</v>
      </c>
    </row>
    <row r="378" spans="1:25" hidden="1">
      <c r="A378" s="143">
        <v>347</v>
      </c>
      <c r="B378" s="1">
        <f t="shared" si="97"/>
        <v>0</v>
      </c>
      <c r="C378" s="1">
        <f t="shared" si="98"/>
        <v>0</v>
      </c>
      <c r="D378" s="1">
        <f t="shared" si="99"/>
        <v>0</v>
      </c>
      <c r="E378" s="1">
        <f t="shared" si="100"/>
        <v>0</v>
      </c>
      <c r="F378" s="1">
        <f t="shared" si="101"/>
        <v>0</v>
      </c>
      <c r="G378" s="1" t="str">
        <f t="shared" si="102"/>
        <v>25021202</v>
      </c>
      <c r="H378" s="2">
        <v>45700</v>
      </c>
      <c r="I378" s="113">
        <v>2</v>
      </c>
      <c r="J378" s="1" t="str">
        <f t="shared" si="83"/>
        <v>02</v>
      </c>
      <c r="K378" s="3">
        <f t="shared" si="84"/>
        <v>25</v>
      </c>
      <c r="L378" s="3">
        <f t="shared" si="85"/>
        <v>2</v>
      </c>
      <c r="M378" s="3">
        <f t="shared" si="86"/>
        <v>12</v>
      </c>
      <c r="N378" s="3" t="str">
        <f t="shared" si="87"/>
        <v>02</v>
      </c>
      <c r="O378" s="14">
        <f t="shared" si="88"/>
        <v>12</v>
      </c>
      <c r="P378" s="4">
        <v>10000</v>
      </c>
      <c r="T378" s="5" t="s">
        <v>1666</v>
      </c>
      <c r="U378" s="3" t="s">
        <v>30</v>
      </c>
      <c r="V378" s="3" t="s">
        <v>1312</v>
      </c>
      <c r="W378" s="3" t="s">
        <v>1307</v>
      </c>
      <c r="X378" s="1" t="s">
        <v>1305</v>
      </c>
    </row>
    <row r="379" spans="1:25" hidden="1">
      <c r="A379" s="143">
        <v>348</v>
      </c>
      <c r="B379" s="1">
        <f t="shared" si="97"/>
        <v>0</v>
      </c>
      <c r="C379" s="1">
        <f t="shared" si="98"/>
        <v>0</v>
      </c>
      <c r="D379" s="1">
        <f t="shared" si="99"/>
        <v>0</v>
      </c>
      <c r="E379" s="1">
        <f t="shared" si="100"/>
        <v>0</v>
      </c>
      <c r="F379" s="1">
        <f t="shared" si="101"/>
        <v>0</v>
      </c>
      <c r="G379" s="1" t="str">
        <f t="shared" si="102"/>
        <v>25021203</v>
      </c>
      <c r="H379" s="2">
        <v>45700</v>
      </c>
      <c r="I379" s="113">
        <v>3</v>
      </c>
      <c r="J379" s="1" t="str">
        <f t="shared" si="83"/>
        <v>03</v>
      </c>
      <c r="K379" s="3">
        <f t="shared" si="84"/>
        <v>25</v>
      </c>
      <c r="L379" s="3">
        <f t="shared" si="85"/>
        <v>2</v>
      </c>
      <c r="M379" s="3">
        <f t="shared" si="86"/>
        <v>12</v>
      </c>
      <c r="N379" s="3" t="str">
        <f t="shared" si="87"/>
        <v>02</v>
      </c>
      <c r="O379" s="14">
        <f t="shared" si="88"/>
        <v>12</v>
      </c>
      <c r="P379" s="4">
        <v>20000</v>
      </c>
      <c r="T379" s="5" t="s">
        <v>1666</v>
      </c>
      <c r="U379" s="3" t="s">
        <v>30</v>
      </c>
      <c r="V379" s="3" t="s">
        <v>1312</v>
      </c>
      <c r="W379" s="3" t="s">
        <v>1307</v>
      </c>
      <c r="X379" s="1" t="s">
        <v>1305</v>
      </c>
    </row>
    <row r="380" spans="1:25" hidden="1">
      <c r="A380" s="143"/>
      <c r="J380" s="1" t="str">
        <f t="shared" si="83"/>
        <v>0</v>
      </c>
      <c r="K380" s="3">
        <f t="shared" si="84"/>
        <v>-100</v>
      </c>
      <c r="L380" s="3">
        <f t="shared" si="85"/>
        <v>1</v>
      </c>
      <c r="M380" s="3">
        <f t="shared" si="86"/>
        <v>0</v>
      </c>
      <c r="N380" s="3" t="str">
        <f t="shared" si="87"/>
        <v>01</v>
      </c>
      <c r="O380" s="14" t="str">
        <f t="shared" si="88"/>
        <v>00</v>
      </c>
    </row>
    <row r="381" spans="1:25" hidden="1">
      <c r="A381" s="143">
        <v>322</v>
      </c>
      <c r="B381" s="1">
        <f>IF(G381="-",0,IF(G380=G381,1,0))</f>
        <v>0</v>
      </c>
      <c r="C381" s="1">
        <f>+IF(G381="-",0,IF(I381=I380+1,0,(IF(I381=1,0,1))))</f>
        <v>0</v>
      </c>
      <c r="D381" s="1">
        <f>+IF(AND(P381="",Q381=""),1,0)</f>
        <v>0</v>
      </c>
      <c r="E381" s="1">
        <f>IF(U381="",1,0)</f>
        <v>0</v>
      </c>
      <c r="F381" s="1">
        <f>IF(V381="",1,0)</f>
        <v>0</v>
      </c>
      <c r="G381" s="1" t="str">
        <f>IF(H381=0,"-",_xlfn.CONCAT(K381,N381,O381,J381))</f>
        <v>25021301</v>
      </c>
      <c r="H381" s="2">
        <v>45701</v>
      </c>
      <c r="I381" s="113">
        <v>1</v>
      </c>
      <c r="J381" s="1" t="str">
        <f t="shared" si="83"/>
        <v>01</v>
      </c>
      <c r="K381" s="3">
        <f t="shared" si="84"/>
        <v>25</v>
      </c>
      <c r="L381" s="3">
        <f t="shared" si="85"/>
        <v>2</v>
      </c>
      <c r="M381" s="3">
        <f t="shared" si="86"/>
        <v>13</v>
      </c>
      <c r="N381" s="3" t="str">
        <f t="shared" si="87"/>
        <v>02</v>
      </c>
      <c r="O381" s="14">
        <f t="shared" si="88"/>
        <v>13</v>
      </c>
      <c r="P381" s="4">
        <v>437284.31</v>
      </c>
      <c r="T381" s="5" t="s">
        <v>1866</v>
      </c>
      <c r="U381" s="3" t="s">
        <v>305</v>
      </c>
      <c r="V381" s="3" t="s">
        <v>5</v>
      </c>
      <c r="W381" s="3" t="s">
        <v>1306</v>
      </c>
    </row>
    <row r="382" spans="1:25" hidden="1">
      <c r="A382" s="143"/>
      <c r="J382" s="1" t="str">
        <f t="shared" si="83"/>
        <v>0</v>
      </c>
      <c r="K382" s="3">
        <f t="shared" si="84"/>
        <v>-100</v>
      </c>
      <c r="L382" s="3">
        <f t="shared" si="85"/>
        <v>1</v>
      </c>
      <c r="M382" s="3">
        <f t="shared" si="86"/>
        <v>0</v>
      </c>
      <c r="N382" s="3" t="str">
        <f t="shared" si="87"/>
        <v>01</v>
      </c>
      <c r="O382" s="14" t="str">
        <f t="shared" si="88"/>
        <v>00</v>
      </c>
    </row>
    <row r="383" spans="1:25" hidden="1">
      <c r="A383" s="143"/>
      <c r="J383" s="1" t="str">
        <f t="shared" si="83"/>
        <v>0</v>
      </c>
      <c r="K383" s="3">
        <f t="shared" si="84"/>
        <v>-100</v>
      </c>
      <c r="L383" s="3">
        <f t="shared" si="85"/>
        <v>1</v>
      </c>
      <c r="M383" s="3">
        <f t="shared" si="86"/>
        <v>0</v>
      </c>
      <c r="N383" s="3" t="str">
        <f t="shared" si="87"/>
        <v>01</v>
      </c>
      <c r="O383" s="14" t="str">
        <f t="shared" si="88"/>
        <v>00</v>
      </c>
    </row>
    <row r="384" spans="1:25" hidden="1">
      <c r="A384" s="143"/>
      <c r="J384" s="1" t="str">
        <f t="shared" si="83"/>
        <v>0</v>
      </c>
      <c r="K384" s="3">
        <f t="shared" si="84"/>
        <v>-100</v>
      </c>
      <c r="L384" s="3">
        <f t="shared" si="85"/>
        <v>1</v>
      </c>
      <c r="M384" s="3">
        <f t="shared" si="86"/>
        <v>0</v>
      </c>
      <c r="N384" s="3" t="str">
        <f t="shared" si="87"/>
        <v>01</v>
      </c>
      <c r="O384" s="14" t="str">
        <f t="shared" si="88"/>
        <v>00</v>
      </c>
    </row>
    <row r="385" spans="1:24" hidden="1">
      <c r="A385" s="143">
        <v>359</v>
      </c>
      <c r="B385" s="1">
        <f>IF(G385="-",0,IF(G384=G385,1,0))</f>
        <v>0</v>
      </c>
      <c r="C385" s="1">
        <f>+IF(G385="-",0,IF(I385=I384+1,0,(IF(I385=1,0,1))))</f>
        <v>1</v>
      </c>
      <c r="D385" s="1">
        <f>+IF(AND(P385="",Q385=""),1,0)</f>
        <v>0</v>
      </c>
      <c r="E385" s="1">
        <f>IF(U385="",1,0)</f>
        <v>0</v>
      </c>
      <c r="F385" s="1">
        <f>IF(V385="",1,0)</f>
        <v>0</v>
      </c>
      <c r="G385" s="1" t="str">
        <f>IF(H385=0,"-",_xlfn.CONCAT(K385,N385,O385,J385))</f>
        <v>25021305</v>
      </c>
      <c r="H385" s="2">
        <v>45701</v>
      </c>
      <c r="I385" s="113">
        <v>5</v>
      </c>
      <c r="J385" s="1" t="str">
        <f t="shared" si="83"/>
        <v>05</v>
      </c>
      <c r="K385" s="3">
        <f t="shared" si="84"/>
        <v>25</v>
      </c>
      <c r="L385" s="3">
        <f t="shared" si="85"/>
        <v>2</v>
      </c>
      <c r="M385" s="3">
        <f t="shared" si="86"/>
        <v>13</v>
      </c>
      <c r="N385" s="3" t="str">
        <f t="shared" si="87"/>
        <v>02</v>
      </c>
      <c r="O385" s="14">
        <f t="shared" si="88"/>
        <v>13</v>
      </c>
      <c r="P385" s="4">
        <v>341525</v>
      </c>
      <c r="T385" s="5" t="s">
        <v>1865</v>
      </c>
      <c r="U385" s="3" t="s">
        <v>1406</v>
      </c>
      <c r="V385" s="3" t="s">
        <v>1316</v>
      </c>
      <c r="W385" s="3" t="s">
        <v>1306</v>
      </c>
      <c r="X385" s="1" t="s">
        <v>1305</v>
      </c>
    </row>
    <row r="386" spans="1:24" hidden="1">
      <c r="A386" s="143">
        <v>463</v>
      </c>
      <c r="B386" s="1">
        <f>IF(G386="-",0,IF(G385=G386,1,0))</f>
        <v>0</v>
      </c>
      <c r="C386" s="1">
        <f>+IF(G386="-",0,IF(I386=I385+1,0,(IF(I386=1,0,1))))</f>
        <v>0</v>
      </c>
      <c r="D386" s="1">
        <f>+IF(AND(P386="",Q386=""),1,0)</f>
        <v>0</v>
      </c>
      <c r="E386" s="1">
        <f>IF(U386="",1,0)</f>
        <v>0</v>
      </c>
      <c r="F386" s="1">
        <f>IF(V386="",1,0)</f>
        <v>0</v>
      </c>
      <c r="G386" s="1" t="str">
        <f>IF(H386=0,"-",_xlfn.CONCAT(K386,N386,O386,J386))</f>
        <v>25021306</v>
      </c>
      <c r="H386" s="2">
        <v>45701</v>
      </c>
      <c r="I386" s="113">
        <v>6</v>
      </c>
      <c r="J386" s="1" t="str">
        <f t="shared" si="83"/>
        <v>06</v>
      </c>
      <c r="K386" s="3">
        <f t="shared" si="84"/>
        <v>25</v>
      </c>
      <c r="L386" s="3">
        <f t="shared" si="85"/>
        <v>2</v>
      </c>
      <c r="M386" s="3">
        <f t="shared" si="86"/>
        <v>13</v>
      </c>
      <c r="N386" s="3" t="str">
        <f t="shared" si="87"/>
        <v>02</v>
      </c>
      <c r="O386" s="14">
        <f t="shared" si="88"/>
        <v>13</v>
      </c>
      <c r="P386" s="4">
        <v>45600</v>
      </c>
      <c r="T386" s="5" t="s">
        <v>1657</v>
      </c>
      <c r="U386" s="3" t="s">
        <v>29</v>
      </c>
      <c r="V386" s="3" t="s">
        <v>5</v>
      </c>
      <c r="W386" s="3" t="s">
        <v>1303</v>
      </c>
      <c r="X386" s="1" t="s">
        <v>1302</v>
      </c>
    </row>
    <row r="387" spans="1:24" hidden="1">
      <c r="A387" s="143"/>
      <c r="J387" s="1" t="str">
        <f t="shared" si="83"/>
        <v>0</v>
      </c>
      <c r="K387" s="3">
        <f t="shared" si="84"/>
        <v>-100</v>
      </c>
      <c r="L387" s="3">
        <f t="shared" si="85"/>
        <v>1</v>
      </c>
      <c r="M387" s="3">
        <f t="shared" si="86"/>
        <v>0</v>
      </c>
      <c r="N387" s="3" t="str">
        <f t="shared" si="87"/>
        <v>01</v>
      </c>
      <c r="O387" s="14" t="str">
        <f t="shared" si="88"/>
        <v>00</v>
      </c>
    </row>
    <row r="388" spans="1:24" hidden="1">
      <c r="A388" s="143"/>
      <c r="J388" s="1" t="str">
        <f t="shared" si="83"/>
        <v>0</v>
      </c>
      <c r="K388" s="3">
        <f t="shared" si="84"/>
        <v>-100</v>
      </c>
      <c r="L388" s="3">
        <f t="shared" si="85"/>
        <v>1</v>
      </c>
      <c r="M388" s="3">
        <f t="shared" si="86"/>
        <v>0</v>
      </c>
      <c r="N388" s="3" t="str">
        <f t="shared" si="87"/>
        <v>01</v>
      </c>
      <c r="O388" s="14" t="str">
        <f t="shared" si="88"/>
        <v>00</v>
      </c>
    </row>
    <row r="389" spans="1:24" hidden="1">
      <c r="A389" s="143"/>
      <c r="J389" s="1" t="str">
        <f t="shared" si="83"/>
        <v>0</v>
      </c>
      <c r="K389" s="3">
        <f t="shared" si="84"/>
        <v>-100</v>
      </c>
      <c r="L389" s="3">
        <f t="shared" si="85"/>
        <v>1</v>
      </c>
      <c r="M389" s="3">
        <f t="shared" si="86"/>
        <v>0</v>
      </c>
      <c r="N389" s="3" t="str">
        <f t="shared" si="87"/>
        <v>01</v>
      </c>
      <c r="O389" s="14" t="str">
        <f t="shared" si="88"/>
        <v>00</v>
      </c>
    </row>
    <row r="390" spans="1:24" hidden="1">
      <c r="A390" s="143">
        <v>327</v>
      </c>
      <c r="B390" s="1">
        <f t="shared" ref="B390:B395" si="103">IF(G390="-",0,IF(G389=G390,1,0))</f>
        <v>0</v>
      </c>
      <c r="C390" s="1">
        <f t="shared" ref="C390:C395" si="104">+IF(G390="-",0,IF(I390=I389+1,0,(IF(I390=1,0,1))))</f>
        <v>1</v>
      </c>
      <c r="D390" s="1">
        <f t="shared" ref="D390:D395" si="105">+IF(AND(P390="",Q390=""),1,0)</f>
        <v>0</v>
      </c>
      <c r="E390" s="1">
        <f t="shared" ref="E390:F395" si="106">IF(U390="",1,0)</f>
        <v>0</v>
      </c>
      <c r="F390" s="1">
        <f t="shared" si="106"/>
        <v>0</v>
      </c>
      <c r="G390" s="1" t="str">
        <f t="shared" ref="G390:G395" si="107">IF(H390=0,"-",_xlfn.CONCAT(K390,N390,O390,J390))</f>
        <v>25021403</v>
      </c>
      <c r="H390" s="2">
        <v>45702</v>
      </c>
      <c r="I390" s="113">
        <v>3</v>
      </c>
      <c r="J390" s="1" t="str">
        <f t="shared" si="83"/>
        <v>03</v>
      </c>
      <c r="K390" s="3">
        <f t="shared" si="84"/>
        <v>25</v>
      </c>
      <c r="L390" s="3">
        <f t="shared" si="85"/>
        <v>2</v>
      </c>
      <c r="M390" s="3">
        <f t="shared" si="86"/>
        <v>14</v>
      </c>
      <c r="N390" s="3" t="str">
        <f t="shared" si="87"/>
        <v>02</v>
      </c>
      <c r="O390" s="14">
        <f t="shared" si="88"/>
        <v>14</v>
      </c>
      <c r="P390" s="4">
        <v>28627</v>
      </c>
      <c r="T390" s="5" t="s">
        <v>1864</v>
      </c>
      <c r="U390" s="3" t="s">
        <v>305</v>
      </c>
      <c r="V390" s="3" t="s">
        <v>1304</v>
      </c>
      <c r="W390" s="3" t="s">
        <v>1306</v>
      </c>
      <c r="X390" s="1" t="s">
        <v>1302</v>
      </c>
    </row>
    <row r="391" spans="1:24" hidden="1">
      <c r="A391" s="143">
        <v>328</v>
      </c>
      <c r="B391" s="1">
        <f t="shared" si="103"/>
        <v>0</v>
      </c>
      <c r="C391" s="1">
        <f t="shared" si="104"/>
        <v>0</v>
      </c>
      <c r="D391" s="1">
        <f t="shared" si="105"/>
        <v>0</v>
      </c>
      <c r="E391" s="1">
        <f t="shared" si="106"/>
        <v>0</v>
      </c>
      <c r="F391" s="1">
        <f t="shared" si="106"/>
        <v>0</v>
      </c>
      <c r="G391" s="1" t="str">
        <f t="shared" si="107"/>
        <v>25021404</v>
      </c>
      <c r="H391" s="2">
        <v>45702</v>
      </c>
      <c r="I391" s="113">
        <v>4</v>
      </c>
      <c r="J391" s="1" t="str">
        <f t="shared" si="83"/>
        <v>04</v>
      </c>
      <c r="K391" s="3">
        <f t="shared" si="84"/>
        <v>25</v>
      </c>
      <c r="L391" s="3">
        <f t="shared" si="85"/>
        <v>2</v>
      </c>
      <c r="M391" s="3">
        <f t="shared" si="86"/>
        <v>14</v>
      </c>
      <c r="N391" s="3" t="str">
        <f t="shared" si="87"/>
        <v>02</v>
      </c>
      <c r="O391" s="14">
        <f t="shared" si="88"/>
        <v>14</v>
      </c>
      <c r="P391" s="4">
        <v>78885.3</v>
      </c>
      <c r="T391" s="5" t="s">
        <v>1863</v>
      </c>
      <c r="U391" s="3" t="s">
        <v>305</v>
      </c>
      <c r="V391" s="3" t="s">
        <v>5</v>
      </c>
      <c r="W391" s="3" t="s">
        <v>1306</v>
      </c>
    </row>
    <row r="392" spans="1:24">
      <c r="A392" s="143">
        <v>353</v>
      </c>
      <c r="B392" s="1">
        <f t="shared" si="103"/>
        <v>0</v>
      </c>
      <c r="C392" s="1">
        <f t="shared" si="104"/>
        <v>0</v>
      </c>
      <c r="D392" s="1">
        <f t="shared" si="105"/>
        <v>0</v>
      </c>
      <c r="E392" s="1">
        <f t="shared" si="106"/>
        <v>1</v>
      </c>
      <c r="F392" s="1">
        <f t="shared" si="106"/>
        <v>0</v>
      </c>
      <c r="G392" s="1" t="str">
        <f t="shared" si="107"/>
        <v>25021405</v>
      </c>
      <c r="H392" s="2">
        <v>45702</v>
      </c>
      <c r="I392" s="113">
        <v>5</v>
      </c>
      <c r="J392" s="1" t="str">
        <f t="shared" ref="J392:J455" si="108">+IF(I392&lt;10,_xlfn.CONCAT("0",I392),I392)</f>
        <v>05</v>
      </c>
      <c r="K392" s="3">
        <f t="shared" ref="K392:K455" si="109">+YEAR(H392)-2000</f>
        <v>25</v>
      </c>
      <c r="L392" s="3">
        <f t="shared" ref="L392:L455" si="110">+MONTH(H392)</f>
        <v>2</v>
      </c>
      <c r="M392" s="3">
        <f t="shared" ref="M392:M455" si="111">+DAY(H392)</f>
        <v>14</v>
      </c>
      <c r="N392" s="3" t="str">
        <f t="shared" ref="N392:N455" si="112">+IF(L392&lt;10,_xlfn.CONCAT("0",L392),L392)</f>
        <v>02</v>
      </c>
      <c r="O392" s="14">
        <f t="shared" ref="O392:O455" si="113">+IF(M392&lt;10,_xlfn.CONCAT("0",M392),M392)</f>
        <v>14</v>
      </c>
      <c r="P392" s="4">
        <v>817494.66</v>
      </c>
      <c r="T392" s="5" t="s">
        <v>1862</v>
      </c>
      <c r="V392" s="3" t="s">
        <v>5</v>
      </c>
      <c r="W392" s="3" t="s">
        <v>1306</v>
      </c>
      <c r="X392" s="1" t="s">
        <v>1305</v>
      </c>
    </row>
    <row r="393" spans="1:24" hidden="1">
      <c r="A393" s="143">
        <v>354</v>
      </c>
      <c r="B393" s="1">
        <f t="shared" si="103"/>
        <v>0</v>
      </c>
      <c r="C393" s="1">
        <f t="shared" si="104"/>
        <v>0</v>
      </c>
      <c r="D393" s="1">
        <f t="shared" si="105"/>
        <v>0</v>
      </c>
      <c r="E393" s="1">
        <f t="shared" si="106"/>
        <v>0</v>
      </c>
      <c r="F393" s="1">
        <f t="shared" si="106"/>
        <v>0</v>
      </c>
      <c r="G393" s="1" t="str">
        <f t="shared" si="107"/>
        <v>25021406</v>
      </c>
      <c r="H393" s="2">
        <v>45702</v>
      </c>
      <c r="I393" s="113">
        <v>6</v>
      </c>
      <c r="J393" s="1" t="str">
        <f t="shared" si="108"/>
        <v>06</v>
      </c>
      <c r="K393" s="3">
        <f t="shared" si="109"/>
        <v>25</v>
      </c>
      <c r="L393" s="3">
        <f t="shared" si="110"/>
        <v>2</v>
      </c>
      <c r="M393" s="3">
        <f t="shared" si="111"/>
        <v>14</v>
      </c>
      <c r="N393" s="3" t="str">
        <f t="shared" si="112"/>
        <v>02</v>
      </c>
      <c r="O393" s="14">
        <f t="shared" si="113"/>
        <v>14</v>
      </c>
      <c r="P393" s="4">
        <v>6090.7</v>
      </c>
      <c r="T393" s="5" t="s">
        <v>1861</v>
      </c>
      <c r="U393" s="3" t="s">
        <v>29</v>
      </c>
      <c r="V393" s="3" t="s">
        <v>5</v>
      </c>
      <c r="W393" s="3" t="s">
        <v>1326</v>
      </c>
      <c r="X393" s="1" t="s">
        <v>1305</v>
      </c>
    </row>
    <row r="394" spans="1:24" hidden="1">
      <c r="A394" s="143">
        <v>355</v>
      </c>
      <c r="B394" s="1">
        <f t="shared" si="103"/>
        <v>0</v>
      </c>
      <c r="C394" s="1">
        <f t="shared" si="104"/>
        <v>0</v>
      </c>
      <c r="D394" s="1">
        <f t="shared" si="105"/>
        <v>0</v>
      </c>
      <c r="E394" s="1">
        <f t="shared" si="106"/>
        <v>0</v>
      </c>
      <c r="F394" s="1">
        <f t="shared" si="106"/>
        <v>0</v>
      </c>
      <c r="G394" s="1" t="str">
        <f t="shared" si="107"/>
        <v>25021407</v>
      </c>
      <c r="H394" s="2">
        <v>45702</v>
      </c>
      <c r="I394" s="113">
        <v>7</v>
      </c>
      <c r="J394" s="1" t="str">
        <f t="shared" si="108"/>
        <v>07</v>
      </c>
      <c r="K394" s="3">
        <f t="shared" si="109"/>
        <v>25</v>
      </c>
      <c r="L394" s="3">
        <f t="shared" si="110"/>
        <v>2</v>
      </c>
      <c r="M394" s="3">
        <f t="shared" si="111"/>
        <v>14</v>
      </c>
      <c r="N394" s="3" t="str">
        <f t="shared" si="112"/>
        <v>02</v>
      </c>
      <c r="O394" s="14">
        <f t="shared" si="113"/>
        <v>14</v>
      </c>
      <c r="P394" s="4">
        <v>10000</v>
      </c>
      <c r="T394" s="5" t="s">
        <v>1706</v>
      </c>
      <c r="U394" s="3" t="s">
        <v>29</v>
      </c>
      <c r="V394" s="3" t="s">
        <v>5</v>
      </c>
      <c r="W394" s="3" t="s">
        <v>1307</v>
      </c>
      <c r="X394" s="1" t="s">
        <v>1305</v>
      </c>
    </row>
    <row r="395" spans="1:24" hidden="1">
      <c r="A395" s="143">
        <v>356</v>
      </c>
      <c r="B395" s="1">
        <f t="shared" si="103"/>
        <v>0</v>
      </c>
      <c r="C395" s="1">
        <f t="shared" si="104"/>
        <v>0</v>
      </c>
      <c r="D395" s="1">
        <f t="shared" si="105"/>
        <v>0</v>
      </c>
      <c r="E395" s="1">
        <f t="shared" si="106"/>
        <v>0</v>
      </c>
      <c r="F395" s="1">
        <f t="shared" si="106"/>
        <v>0</v>
      </c>
      <c r="G395" s="1" t="str">
        <f t="shared" si="107"/>
        <v>25021408</v>
      </c>
      <c r="H395" s="2">
        <v>45702</v>
      </c>
      <c r="I395" s="113">
        <v>8</v>
      </c>
      <c r="J395" s="1" t="str">
        <f t="shared" si="108"/>
        <v>08</v>
      </c>
      <c r="K395" s="3">
        <f t="shared" si="109"/>
        <v>25</v>
      </c>
      <c r="L395" s="3">
        <f t="shared" si="110"/>
        <v>2</v>
      </c>
      <c r="M395" s="3">
        <f t="shared" si="111"/>
        <v>14</v>
      </c>
      <c r="N395" s="3" t="str">
        <f t="shared" si="112"/>
        <v>02</v>
      </c>
      <c r="O395" s="14">
        <f t="shared" si="113"/>
        <v>14</v>
      </c>
      <c r="P395" s="4">
        <v>69478.05</v>
      </c>
      <c r="T395" s="5" t="s">
        <v>1860</v>
      </c>
      <c r="U395" s="3" t="s">
        <v>29</v>
      </c>
      <c r="V395" s="3" t="s">
        <v>5</v>
      </c>
      <c r="W395" s="3" t="s">
        <v>1326</v>
      </c>
      <c r="X395" s="1" t="s">
        <v>1305</v>
      </c>
    </row>
    <row r="396" spans="1:24" hidden="1">
      <c r="A396" s="143"/>
      <c r="J396" s="1" t="str">
        <f t="shared" si="108"/>
        <v>0</v>
      </c>
      <c r="K396" s="3">
        <f t="shared" si="109"/>
        <v>-100</v>
      </c>
      <c r="L396" s="3">
        <f t="shared" si="110"/>
        <v>1</v>
      </c>
      <c r="M396" s="3">
        <f t="shared" si="111"/>
        <v>0</v>
      </c>
      <c r="N396" s="3" t="str">
        <f t="shared" si="112"/>
        <v>01</v>
      </c>
      <c r="O396" s="14" t="str">
        <f t="shared" si="113"/>
        <v>00</v>
      </c>
    </row>
    <row r="397" spans="1:24" hidden="1">
      <c r="A397" s="143"/>
      <c r="J397" s="1" t="str">
        <f t="shared" si="108"/>
        <v>0</v>
      </c>
      <c r="K397" s="3">
        <f t="shared" si="109"/>
        <v>-100</v>
      </c>
      <c r="L397" s="3">
        <f t="shared" si="110"/>
        <v>1</v>
      </c>
      <c r="M397" s="3">
        <f t="shared" si="111"/>
        <v>0</v>
      </c>
      <c r="N397" s="3" t="str">
        <f t="shared" si="112"/>
        <v>01</v>
      </c>
      <c r="O397" s="14" t="str">
        <f t="shared" si="113"/>
        <v>00</v>
      </c>
    </row>
    <row r="398" spans="1:24" hidden="1">
      <c r="A398" s="143"/>
      <c r="J398" s="1" t="str">
        <f t="shared" si="108"/>
        <v>0</v>
      </c>
      <c r="K398" s="3">
        <f t="shared" si="109"/>
        <v>-100</v>
      </c>
      <c r="L398" s="3">
        <f t="shared" si="110"/>
        <v>1</v>
      </c>
      <c r="M398" s="3">
        <f t="shared" si="111"/>
        <v>0</v>
      </c>
      <c r="N398" s="3" t="str">
        <f t="shared" si="112"/>
        <v>01</v>
      </c>
      <c r="O398" s="14" t="str">
        <f t="shared" si="113"/>
        <v>00</v>
      </c>
    </row>
    <row r="399" spans="1:24" hidden="1">
      <c r="A399" s="143"/>
      <c r="J399" s="1" t="str">
        <f t="shared" si="108"/>
        <v>0</v>
      </c>
      <c r="K399" s="3">
        <f t="shared" si="109"/>
        <v>-100</v>
      </c>
      <c r="L399" s="3">
        <f t="shared" si="110"/>
        <v>1</v>
      </c>
      <c r="M399" s="3">
        <f t="shared" si="111"/>
        <v>0</v>
      </c>
      <c r="N399" s="3" t="str">
        <f t="shared" si="112"/>
        <v>01</v>
      </c>
      <c r="O399" s="14" t="str">
        <f t="shared" si="113"/>
        <v>00</v>
      </c>
    </row>
    <row r="400" spans="1:24" hidden="1">
      <c r="A400" s="143"/>
      <c r="J400" s="1" t="str">
        <f t="shared" si="108"/>
        <v>0</v>
      </c>
      <c r="K400" s="3">
        <f t="shared" si="109"/>
        <v>-100</v>
      </c>
      <c r="L400" s="3">
        <f t="shared" si="110"/>
        <v>1</v>
      </c>
      <c r="M400" s="3">
        <f t="shared" si="111"/>
        <v>0</v>
      </c>
      <c r="N400" s="3" t="str">
        <f t="shared" si="112"/>
        <v>01</v>
      </c>
      <c r="O400" s="14" t="str">
        <f t="shared" si="113"/>
        <v>00</v>
      </c>
    </row>
    <row r="401" spans="1:25" hidden="1">
      <c r="A401" s="143"/>
      <c r="J401" s="1" t="str">
        <f t="shared" si="108"/>
        <v>0</v>
      </c>
      <c r="K401" s="3">
        <f t="shared" si="109"/>
        <v>-100</v>
      </c>
      <c r="L401" s="3">
        <f t="shared" si="110"/>
        <v>1</v>
      </c>
      <c r="M401" s="3">
        <f t="shared" si="111"/>
        <v>0</v>
      </c>
      <c r="N401" s="3" t="str">
        <f t="shared" si="112"/>
        <v>01</v>
      </c>
      <c r="O401" s="14" t="str">
        <f t="shared" si="113"/>
        <v>00</v>
      </c>
    </row>
    <row r="402" spans="1:25" hidden="1">
      <c r="A402" s="143">
        <v>360</v>
      </c>
      <c r="B402" s="1">
        <f>IF(G402="-",0,IF(G401=G402,1,0))</f>
        <v>0</v>
      </c>
      <c r="C402" s="1">
        <f>+IF(G402="-",0,IF(I402=I401+1,0,(IF(I402=1,0,1))))</f>
        <v>1</v>
      </c>
      <c r="D402" s="1">
        <f>+IF(AND(P402="",Q402=""),1,0)</f>
        <v>0</v>
      </c>
      <c r="E402" s="1">
        <f>IF(U402="",1,0)</f>
        <v>0</v>
      </c>
      <c r="F402" s="1">
        <f>IF(V402="",1,0)</f>
        <v>0</v>
      </c>
      <c r="G402" s="1" t="str">
        <f>IF(H402=0,"-",_xlfn.CONCAT(K402,N402,O402,J402))</f>
        <v>25021503</v>
      </c>
      <c r="H402" s="2">
        <v>45703</v>
      </c>
      <c r="I402" s="113">
        <v>3</v>
      </c>
      <c r="J402" s="1" t="str">
        <f t="shared" si="108"/>
        <v>03</v>
      </c>
      <c r="K402" s="3">
        <f t="shared" si="109"/>
        <v>25</v>
      </c>
      <c r="L402" s="3">
        <f t="shared" si="110"/>
        <v>2</v>
      </c>
      <c r="M402" s="3">
        <f t="shared" si="111"/>
        <v>15</v>
      </c>
      <c r="N402" s="3" t="str">
        <f t="shared" si="112"/>
        <v>02</v>
      </c>
      <c r="O402" s="14">
        <f t="shared" si="113"/>
        <v>15</v>
      </c>
      <c r="P402" s="4">
        <v>6610.5</v>
      </c>
      <c r="T402" s="5" t="s">
        <v>1859</v>
      </c>
      <c r="U402" s="3" t="s">
        <v>29</v>
      </c>
      <c r="V402" s="3" t="s">
        <v>5</v>
      </c>
      <c r="W402" s="3" t="s">
        <v>1326</v>
      </c>
      <c r="X402" s="1" t="s">
        <v>1305</v>
      </c>
    </row>
    <row r="403" spans="1:25" hidden="1">
      <c r="A403" s="143">
        <v>361</v>
      </c>
      <c r="B403" s="1">
        <f>IF(G403="-",0,IF(G402=G403,1,0))</f>
        <v>0</v>
      </c>
      <c r="C403" s="1">
        <f>+IF(G403="-",0,IF(I403=I402+1,0,(IF(I403=1,0,1))))</f>
        <v>0</v>
      </c>
      <c r="D403" s="1">
        <f>+IF(AND(P403="",Q403=""),1,0)</f>
        <v>0</v>
      </c>
      <c r="E403" s="1">
        <f>IF(U403="",1,0)</f>
        <v>0</v>
      </c>
      <c r="F403" s="1">
        <f>IF(V403="",1,0)</f>
        <v>0</v>
      </c>
      <c r="G403" s="1" t="str">
        <f>IF(H403=0,"-",_xlfn.CONCAT(K403,N403,O403,J403))</f>
        <v>25021504</v>
      </c>
      <c r="H403" s="2">
        <v>45703</v>
      </c>
      <c r="I403" s="113">
        <v>4</v>
      </c>
      <c r="J403" s="1" t="str">
        <f t="shared" si="108"/>
        <v>04</v>
      </c>
      <c r="K403" s="3">
        <f t="shared" si="109"/>
        <v>25</v>
      </c>
      <c r="L403" s="3">
        <f t="shared" si="110"/>
        <v>2</v>
      </c>
      <c r="M403" s="3">
        <f t="shared" si="111"/>
        <v>15</v>
      </c>
      <c r="N403" s="3" t="str">
        <f t="shared" si="112"/>
        <v>02</v>
      </c>
      <c r="O403" s="14">
        <f t="shared" si="113"/>
        <v>15</v>
      </c>
      <c r="P403" s="4">
        <v>10000</v>
      </c>
      <c r="T403" s="5" t="s">
        <v>1858</v>
      </c>
      <c r="U403" s="3" t="s">
        <v>29</v>
      </c>
      <c r="V403" s="3" t="s">
        <v>5</v>
      </c>
      <c r="W403" s="3" t="s">
        <v>1307</v>
      </c>
      <c r="X403" s="1" t="s">
        <v>1305</v>
      </c>
    </row>
    <row r="404" spans="1:25" hidden="1">
      <c r="A404" s="143"/>
      <c r="J404" s="1" t="str">
        <f t="shared" si="108"/>
        <v>0</v>
      </c>
      <c r="K404" s="3">
        <f t="shared" si="109"/>
        <v>-100</v>
      </c>
      <c r="L404" s="3">
        <f t="shared" si="110"/>
        <v>1</v>
      </c>
      <c r="M404" s="3">
        <f t="shared" si="111"/>
        <v>0</v>
      </c>
      <c r="N404" s="3" t="str">
        <f t="shared" si="112"/>
        <v>01</v>
      </c>
      <c r="O404" s="14" t="str">
        <f t="shared" si="113"/>
        <v>00</v>
      </c>
    </row>
    <row r="405" spans="1:25" hidden="1">
      <c r="A405" s="143"/>
      <c r="J405" s="1" t="str">
        <f t="shared" si="108"/>
        <v>0</v>
      </c>
      <c r="K405" s="3">
        <f t="shared" si="109"/>
        <v>-100</v>
      </c>
      <c r="L405" s="3">
        <f t="shared" si="110"/>
        <v>1</v>
      </c>
      <c r="M405" s="3">
        <f t="shared" si="111"/>
        <v>0</v>
      </c>
      <c r="N405" s="3" t="str">
        <f t="shared" si="112"/>
        <v>01</v>
      </c>
      <c r="O405" s="14" t="str">
        <f t="shared" si="113"/>
        <v>00</v>
      </c>
    </row>
    <row r="406" spans="1:25" hidden="1">
      <c r="A406" s="143"/>
      <c r="J406" s="1" t="str">
        <f t="shared" si="108"/>
        <v>0</v>
      </c>
      <c r="K406" s="3">
        <f t="shared" si="109"/>
        <v>-100</v>
      </c>
      <c r="L406" s="3">
        <f t="shared" si="110"/>
        <v>1</v>
      </c>
      <c r="M406" s="3">
        <f t="shared" si="111"/>
        <v>0</v>
      </c>
      <c r="N406" s="3" t="str">
        <f t="shared" si="112"/>
        <v>01</v>
      </c>
      <c r="O406" s="14" t="str">
        <f t="shared" si="113"/>
        <v>00</v>
      </c>
    </row>
    <row r="407" spans="1:25" hidden="1">
      <c r="A407" s="143"/>
      <c r="J407" s="1" t="str">
        <f t="shared" si="108"/>
        <v>0</v>
      </c>
      <c r="K407" s="3">
        <f t="shared" si="109"/>
        <v>-100</v>
      </c>
      <c r="L407" s="3">
        <f t="shared" si="110"/>
        <v>1</v>
      </c>
      <c r="M407" s="3">
        <f t="shared" si="111"/>
        <v>0</v>
      </c>
      <c r="N407" s="3" t="str">
        <f t="shared" si="112"/>
        <v>01</v>
      </c>
      <c r="O407" s="14" t="str">
        <f t="shared" si="113"/>
        <v>00</v>
      </c>
    </row>
    <row r="408" spans="1:25" hidden="1">
      <c r="A408" s="143"/>
      <c r="J408" s="1" t="str">
        <f t="shared" si="108"/>
        <v>0</v>
      </c>
      <c r="K408" s="3">
        <f t="shared" si="109"/>
        <v>-100</v>
      </c>
      <c r="L408" s="3">
        <f t="shared" si="110"/>
        <v>1</v>
      </c>
      <c r="M408" s="3">
        <f t="shared" si="111"/>
        <v>0</v>
      </c>
      <c r="N408" s="3" t="str">
        <f t="shared" si="112"/>
        <v>01</v>
      </c>
      <c r="O408" s="14" t="str">
        <f t="shared" si="113"/>
        <v>00</v>
      </c>
    </row>
    <row r="409" spans="1:25">
      <c r="A409" s="143">
        <v>533</v>
      </c>
      <c r="B409" s="1">
        <f t="shared" ref="B409:B423" si="114">IF(G409="-",0,IF(G408=G409,1,0))</f>
        <v>0</v>
      </c>
      <c r="C409" s="1">
        <f t="shared" ref="C409:C423" si="115">+IF(G409="-",0,IF(I409=I408+1,0,(IF(I409=1,0,1))))</f>
        <v>1</v>
      </c>
      <c r="D409" s="1">
        <f t="shared" ref="D409:D423" si="116">+IF(AND(P409="",Q409=""),1,0)</f>
        <v>0</v>
      </c>
      <c r="E409" s="1">
        <f t="shared" ref="E409:E423" si="117">IF(U409="",1,0)</f>
        <v>1</v>
      </c>
      <c r="F409" s="1">
        <f t="shared" ref="F409:F423" si="118">IF(V409="",1,0)</f>
        <v>0</v>
      </c>
      <c r="G409" s="1" t="str">
        <f t="shared" ref="G409:G423" si="119">IF(H409=0,"-",_xlfn.CONCAT(K409,N409,O409,J409))</f>
        <v>25021510</v>
      </c>
      <c r="H409" s="2">
        <v>45703</v>
      </c>
      <c r="I409" s="113">
        <v>10</v>
      </c>
      <c r="J409" s="1">
        <f t="shared" si="108"/>
        <v>10</v>
      </c>
      <c r="K409" s="3">
        <f t="shared" si="109"/>
        <v>25</v>
      </c>
      <c r="L409" s="3">
        <f t="shared" si="110"/>
        <v>2</v>
      </c>
      <c r="M409" s="3">
        <f t="shared" si="111"/>
        <v>15</v>
      </c>
      <c r="N409" s="3" t="str">
        <f t="shared" si="112"/>
        <v>02</v>
      </c>
      <c r="O409" s="14">
        <f t="shared" si="113"/>
        <v>15</v>
      </c>
      <c r="P409" s="4">
        <v>159000</v>
      </c>
      <c r="T409" s="5" t="s">
        <v>1857</v>
      </c>
      <c r="V409" s="3" t="s">
        <v>5</v>
      </c>
      <c r="W409" s="3" t="s">
        <v>1306</v>
      </c>
      <c r="Y409" s="141" t="s">
        <v>1626</v>
      </c>
    </row>
    <row r="410" spans="1:25">
      <c r="A410" s="143">
        <v>534</v>
      </c>
      <c r="B410" s="1">
        <f t="shared" si="114"/>
        <v>0</v>
      </c>
      <c r="C410" s="1">
        <f t="shared" si="115"/>
        <v>0</v>
      </c>
      <c r="D410" s="1">
        <f t="shared" si="116"/>
        <v>0</v>
      </c>
      <c r="E410" s="1">
        <f t="shared" si="117"/>
        <v>1</v>
      </c>
      <c r="F410" s="1">
        <f t="shared" si="118"/>
        <v>0</v>
      </c>
      <c r="G410" s="1" t="str">
        <f t="shared" si="119"/>
        <v>25021511</v>
      </c>
      <c r="H410" s="2">
        <v>45703</v>
      </c>
      <c r="I410" s="113">
        <v>11</v>
      </c>
      <c r="J410" s="1">
        <f t="shared" si="108"/>
        <v>11</v>
      </c>
      <c r="K410" s="3">
        <f t="shared" si="109"/>
        <v>25</v>
      </c>
      <c r="L410" s="3">
        <f t="shared" si="110"/>
        <v>2</v>
      </c>
      <c r="M410" s="3">
        <f t="shared" si="111"/>
        <v>15</v>
      </c>
      <c r="N410" s="3" t="str">
        <f t="shared" si="112"/>
        <v>02</v>
      </c>
      <c r="O410" s="14">
        <f t="shared" si="113"/>
        <v>15</v>
      </c>
      <c r="P410" s="4">
        <v>138000</v>
      </c>
      <c r="T410" s="5" t="s">
        <v>1856</v>
      </c>
      <c r="V410" s="3" t="s">
        <v>5</v>
      </c>
      <c r="W410" s="3" t="s">
        <v>1306</v>
      </c>
      <c r="Y410" s="141" t="s">
        <v>1242</v>
      </c>
    </row>
    <row r="411" spans="1:25">
      <c r="A411" s="143">
        <v>535</v>
      </c>
      <c r="B411" s="1">
        <f t="shared" si="114"/>
        <v>0</v>
      </c>
      <c r="C411" s="1">
        <f t="shared" si="115"/>
        <v>0</v>
      </c>
      <c r="D411" s="1">
        <f t="shared" si="116"/>
        <v>0</v>
      </c>
      <c r="E411" s="1">
        <f t="shared" si="117"/>
        <v>1</v>
      </c>
      <c r="F411" s="1">
        <f t="shared" si="118"/>
        <v>0</v>
      </c>
      <c r="G411" s="1" t="str">
        <f t="shared" si="119"/>
        <v>25021512</v>
      </c>
      <c r="H411" s="2">
        <v>45703</v>
      </c>
      <c r="I411" s="113">
        <v>12</v>
      </c>
      <c r="J411" s="1">
        <f t="shared" si="108"/>
        <v>12</v>
      </c>
      <c r="K411" s="3">
        <f t="shared" si="109"/>
        <v>25</v>
      </c>
      <c r="L411" s="3">
        <f t="shared" si="110"/>
        <v>2</v>
      </c>
      <c r="M411" s="3">
        <f t="shared" si="111"/>
        <v>15</v>
      </c>
      <c r="N411" s="3" t="str">
        <f t="shared" si="112"/>
        <v>02</v>
      </c>
      <c r="O411" s="14">
        <f t="shared" si="113"/>
        <v>15</v>
      </c>
      <c r="P411" s="4">
        <v>132000</v>
      </c>
      <c r="T411" s="5" t="s">
        <v>1855</v>
      </c>
      <c r="V411" s="3" t="s">
        <v>5</v>
      </c>
      <c r="W411" s="3" t="s">
        <v>1306</v>
      </c>
      <c r="Y411" s="141" t="s">
        <v>1244</v>
      </c>
    </row>
    <row r="412" spans="1:25">
      <c r="A412" s="143">
        <v>536</v>
      </c>
      <c r="B412" s="1">
        <f t="shared" si="114"/>
        <v>0</v>
      </c>
      <c r="C412" s="1">
        <f t="shared" si="115"/>
        <v>0</v>
      </c>
      <c r="D412" s="1">
        <f t="shared" si="116"/>
        <v>0</v>
      </c>
      <c r="E412" s="1">
        <f t="shared" si="117"/>
        <v>1</v>
      </c>
      <c r="F412" s="1">
        <f t="shared" si="118"/>
        <v>0</v>
      </c>
      <c r="G412" s="1" t="str">
        <f t="shared" si="119"/>
        <v>25021513</v>
      </c>
      <c r="H412" s="2">
        <v>45703</v>
      </c>
      <c r="I412" s="113">
        <v>13</v>
      </c>
      <c r="J412" s="1">
        <f t="shared" si="108"/>
        <v>13</v>
      </c>
      <c r="K412" s="3">
        <f t="shared" si="109"/>
        <v>25</v>
      </c>
      <c r="L412" s="3">
        <f t="shared" si="110"/>
        <v>2</v>
      </c>
      <c r="M412" s="3">
        <f t="shared" si="111"/>
        <v>15</v>
      </c>
      <c r="N412" s="3" t="str">
        <f t="shared" si="112"/>
        <v>02</v>
      </c>
      <c r="O412" s="14">
        <f t="shared" si="113"/>
        <v>15</v>
      </c>
      <c r="P412" s="4">
        <v>108000</v>
      </c>
      <c r="T412" s="5" t="s">
        <v>1854</v>
      </c>
      <c r="V412" s="3" t="s">
        <v>5</v>
      </c>
      <c r="W412" s="3" t="s">
        <v>1306</v>
      </c>
      <c r="Y412" s="141" t="s">
        <v>1246</v>
      </c>
    </row>
    <row r="413" spans="1:25">
      <c r="A413" s="143">
        <v>537</v>
      </c>
      <c r="B413" s="1">
        <f t="shared" si="114"/>
        <v>0</v>
      </c>
      <c r="C413" s="1">
        <f t="shared" si="115"/>
        <v>0</v>
      </c>
      <c r="D413" s="1">
        <f t="shared" si="116"/>
        <v>0</v>
      </c>
      <c r="E413" s="1">
        <f t="shared" si="117"/>
        <v>1</v>
      </c>
      <c r="F413" s="1">
        <f t="shared" si="118"/>
        <v>0</v>
      </c>
      <c r="G413" s="1" t="str">
        <f t="shared" si="119"/>
        <v>25021514</v>
      </c>
      <c r="H413" s="2">
        <v>45703</v>
      </c>
      <c r="I413" s="113">
        <v>14</v>
      </c>
      <c r="J413" s="1">
        <f t="shared" si="108"/>
        <v>14</v>
      </c>
      <c r="K413" s="3">
        <f t="shared" si="109"/>
        <v>25</v>
      </c>
      <c r="L413" s="3">
        <f t="shared" si="110"/>
        <v>2</v>
      </c>
      <c r="M413" s="3">
        <f t="shared" si="111"/>
        <v>15</v>
      </c>
      <c r="N413" s="3" t="str">
        <f t="shared" si="112"/>
        <v>02</v>
      </c>
      <c r="O413" s="14">
        <f t="shared" si="113"/>
        <v>15</v>
      </c>
      <c r="P413" s="4">
        <v>132000</v>
      </c>
      <c r="T413" s="5" t="s">
        <v>1853</v>
      </c>
      <c r="V413" s="3" t="s">
        <v>5</v>
      </c>
      <c r="W413" s="3" t="s">
        <v>1306</v>
      </c>
      <c r="Y413" s="141" t="s">
        <v>1249</v>
      </c>
    </row>
    <row r="414" spans="1:25">
      <c r="A414" s="143">
        <v>538</v>
      </c>
      <c r="B414" s="1">
        <f t="shared" si="114"/>
        <v>0</v>
      </c>
      <c r="C414" s="1">
        <f t="shared" si="115"/>
        <v>0</v>
      </c>
      <c r="D414" s="1">
        <f t="shared" si="116"/>
        <v>0</v>
      </c>
      <c r="E414" s="1">
        <f t="shared" si="117"/>
        <v>1</v>
      </c>
      <c r="F414" s="1">
        <f t="shared" si="118"/>
        <v>0</v>
      </c>
      <c r="G414" s="1" t="str">
        <f t="shared" si="119"/>
        <v>25021515</v>
      </c>
      <c r="H414" s="2">
        <v>45703</v>
      </c>
      <c r="I414" s="113">
        <v>15</v>
      </c>
      <c r="J414" s="1">
        <f t="shared" si="108"/>
        <v>15</v>
      </c>
      <c r="K414" s="3">
        <f t="shared" si="109"/>
        <v>25</v>
      </c>
      <c r="L414" s="3">
        <f t="shared" si="110"/>
        <v>2</v>
      </c>
      <c r="M414" s="3">
        <f t="shared" si="111"/>
        <v>15</v>
      </c>
      <c r="N414" s="3" t="str">
        <f t="shared" si="112"/>
        <v>02</v>
      </c>
      <c r="O414" s="14">
        <f t="shared" si="113"/>
        <v>15</v>
      </c>
      <c r="P414" s="4">
        <v>159000</v>
      </c>
      <c r="T414" s="5" t="s">
        <v>1852</v>
      </c>
      <c r="V414" s="3" t="s">
        <v>5</v>
      </c>
      <c r="W414" s="3" t="s">
        <v>1306</v>
      </c>
      <c r="Y414" s="141" t="s">
        <v>1250</v>
      </c>
    </row>
    <row r="415" spans="1:25">
      <c r="A415" s="143">
        <v>539</v>
      </c>
      <c r="B415" s="1">
        <f t="shared" si="114"/>
        <v>0</v>
      </c>
      <c r="C415" s="1">
        <f t="shared" si="115"/>
        <v>0</v>
      </c>
      <c r="D415" s="1">
        <f t="shared" si="116"/>
        <v>0</v>
      </c>
      <c r="E415" s="1">
        <f t="shared" si="117"/>
        <v>1</v>
      </c>
      <c r="F415" s="1">
        <f t="shared" si="118"/>
        <v>0</v>
      </c>
      <c r="G415" s="1" t="str">
        <f t="shared" si="119"/>
        <v>25021516</v>
      </c>
      <c r="H415" s="2">
        <v>45703</v>
      </c>
      <c r="I415" s="113">
        <v>16</v>
      </c>
      <c r="J415" s="1">
        <f t="shared" si="108"/>
        <v>16</v>
      </c>
      <c r="K415" s="3">
        <f t="shared" si="109"/>
        <v>25</v>
      </c>
      <c r="L415" s="3">
        <f t="shared" si="110"/>
        <v>2</v>
      </c>
      <c r="M415" s="3">
        <f t="shared" si="111"/>
        <v>15</v>
      </c>
      <c r="N415" s="3" t="str">
        <f t="shared" si="112"/>
        <v>02</v>
      </c>
      <c r="O415" s="14">
        <f t="shared" si="113"/>
        <v>15</v>
      </c>
      <c r="P415" s="4">
        <v>132000</v>
      </c>
      <c r="T415" s="5" t="s">
        <v>1851</v>
      </c>
      <c r="V415" s="3" t="s">
        <v>5</v>
      </c>
      <c r="W415" s="3" t="s">
        <v>1306</v>
      </c>
      <c r="Y415" s="141" t="s">
        <v>1252</v>
      </c>
    </row>
    <row r="416" spans="1:25">
      <c r="A416" s="143">
        <v>540</v>
      </c>
      <c r="B416" s="1">
        <f t="shared" si="114"/>
        <v>0</v>
      </c>
      <c r="C416" s="1">
        <f t="shared" si="115"/>
        <v>0</v>
      </c>
      <c r="D416" s="1">
        <f t="shared" si="116"/>
        <v>0</v>
      </c>
      <c r="E416" s="1">
        <f t="shared" si="117"/>
        <v>1</v>
      </c>
      <c r="F416" s="1">
        <f t="shared" si="118"/>
        <v>0</v>
      </c>
      <c r="G416" s="1" t="str">
        <f t="shared" si="119"/>
        <v>25021517</v>
      </c>
      <c r="H416" s="2">
        <v>45703</v>
      </c>
      <c r="I416" s="113">
        <v>17</v>
      </c>
      <c r="J416" s="1">
        <f t="shared" si="108"/>
        <v>17</v>
      </c>
      <c r="K416" s="3">
        <f t="shared" si="109"/>
        <v>25</v>
      </c>
      <c r="L416" s="3">
        <f t="shared" si="110"/>
        <v>2</v>
      </c>
      <c r="M416" s="3">
        <f t="shared" si="111"/>
        <v>15</v>
      </c>
      <c r="N416" s="3" t="str">
        <f t="shared" si="112"/>
        <v>02</v>
      </c>
      <c r="O416" s="14">
        <f t="shared" si="113"/>
        <v>15</v>
      </c>
      <c r="P416" s="4">
        <v>108000</v>
      </c>
      <c r="T416" s="5" t="s">
        <v>1850</v>
      </c>
      <c r="V416" s="3" t="s">
        <v>5</v>
      </c>
      <c r="W416" s="3" t="s">
        <v>1306</v>
      </c>
      <c r="Y416" s="141" t="s">
        <v>1612</v>
      </c>
    </row>
    <row r="417" spans="1:25">
      <c r="A417" s="143">
        <v>541</v>
      </c>
      <c r="B417" s="1">
        <f t="shared" si="114"/>
        <v>0</v>
      </c>
      <c r="C417" s="1">
        <f t="shared" si="115"/>
        <v>0</v>
      </c>
      <c r="D417" s="1">
        <f t="shared" si="116"/>
        <v>0</v>
      </c>
      <c r="E417" s="1">
        <f t="shared" si="117"/>
        <v>1</v>
      </c>
      <c r="F417" s="1">
        <f t="shared" si="118"/>
        <v>0</v>
      </c>
      <c r="G417" s="1" t="str">
        <f t="shared" si="119"/>
        <v>25021518</v>
      </c>
      <c r="H417" s="2">
        <v>45703</v>
      </c>
      <c r="I417" s="113">
        <v>18</v>
      </c>
      <c r="J417" s="1">
        <f t="shared" si="108"/>
        <v>18</v>
      </c>
      <c r="K417" s="3">
        <f t="shared" si="109"/>
        <v>25</v>
      </c>
      <c r="L417" s="3">
        <f t="shared" si="110"/>
        <v>2</v>
      </c>
      <c r="M417" s="3">
        <f t="shared" si="111"/>
        <v>15</v>
      </c>
      <c r="N417" s="3" t="str">
        <f t="shared" si="112"/>
        <v>02</v>
      </c>
      <c r="O417" s="14">
        <f t="shared" si="113"/>
        <v>15</v>
      </c>
      <c r="P417" s="4">
        <v>132000</v>
      </c>
      <c r="T417" s="115" t="s">
        <v>1849</v>
      </c>
      <c r="V417" s="3" t="s">
        <v>5</v>
      </c>
      <c r="W417" s="3" t="s">
        <v>1306</v>
      </c>
    </row>
    <row r="418" spans="1:25">
      <c r="A418" s="143">
        <v>542</v>
      </c>
      <c r="B418" s="1">
        <f t="shared" si="114"/>
        <v>0</v>
      </c>
      <c r="C418" s="1">
        <f t="shared" si="115"/>
        <v>0</v>
      </c>
      <c r="D418" s="1">
        <f t="shared" si="116"/>
        <v>0</v>
      </c>
      <c r="E418" s="1">
        <f t="shared" si="117"/>
        <v>1</v>
      </c>
      <c r="F418" s="1">
        <f t="shared" si="118"/>
        <v>0</v>
      </c>
      <c r="G418" s="1" t="str">
        <f t="shared" si="119"/>
        <v>25021519</v>
      </c>
      <c r="H418" s="2">
        <v>45703</v>
      </c>
      <c r="I418" s="113">
        <v>19</v>
      </c>
      <c r="J418" s="1">
        <f t="shared" si="108"/>
        <v>19</v>
      </c>
      <c r="K418" s="3">
        <f t="shared" si="109"/>
        <v>25</v>
      </c>
      <c r="L418" s="3">
        <f t="shared" si="110"/>
        <v>2</v>
      </c>
      <c r="M418" s="3">
        <f t="shared" si="111"/>
        <v>15</v>
      </c>
      <c r="N418" s="3" t="str">
        <f t="shared" si="112"/>
        <v>02</v>
      </c>
      <c r="O418" s="14">
        <f t="shared" si="113"/>
        <v>15</v>
      </c>
      <c r="P418" s="4">
        <v>108000</v>
      </c>
      <c r="T418" s="115" t="s">
        <v>1848</v>
      </c>
      <c r="V418" s="3" t="s">
        <v>5</v>
      </c>
      <c r="W418" s="3" t="s">
        <v>1306</v>
      </c>
    </row>
    <row r="419" spans="1:25">
      <c r="A419" s="143">
        <v>543</v>
      </c>
      <c r="B419" s="1">
        <f t="shared" si="114"/>
        <v>0</v>
      </c>
      <c r="C419" s="1">
        <f t="shared" si="115"/>
        <v>0</v>
      </c>
      <c r="D419" s="1">
        <f t="shared" si="116"/>
        <v>0</v>
      </c>
      <c r="E419" s="1">
        <f t="shared" si="117"/>
        <v>1</v>
      </c>
      <c r="F419" s="1">
        <f t="shared" si="118"/>
        <v>0</v>
      </c>
      <c r="G419" s="1" t="str">
        <f t="shared" si="119"/>
        <v>25021520</v>
      </c>
      <c r="H419" s="2">
        <v>45703</v>
      </c>
      <c r="I419" s="113">
        <v>20</v>
      </c>
      <c r="J419" s="1">
        <f t="shared" si="108"/>
        <v>20</v>
      </c>
      <c r="K419" s="3">
        <f t="shared" si="109"/>
        <v>25</v>
      </c>
      <c r="L419" s="3">
        <f t="shared" si="110"/>
        <v>2</v>
      </c>
      <c r="M419" s="3">
        <f t="shared" si="111"/>
        <v>15</v>
      </c>
      <c r="N419" s="3" t="str">
        <f t="shared" si="112"/>
        <v>02</v>
      </c>
      <c r="O419" s="14">
        <f t="shared" si="113"/>
        <v>15</v>
      </c>
      <c r="P419" s="4">
        <v>108000</v>
      </c>
      <c r="T419" s="115" t="s">
        <v>1847</v>
      </c>
      <c r="V419" s="3" t="s">
        <v>5</v>
      </c>
      <c r="W419" s="3" t="s">
        <v>1306</v>
      </c>
    </row>
    <row r="420" spans="1:25">
      <c r="A420" s="143">
        <v>544</v>
      </c>
      <c r="B420" s="1">
        <f t="shared" si="114"/>
        <v>0</v>
      </c>
      <c r="C420" s="1">
        <f t="shared" si="115"/>
        <v>0</v>
      </c>
      <c r="D420" s="1">
        <f t="shared" si="116"/>
        <v>0</v>
      </c>
      <c r="E420" s="1">
        <f t="shared" si="117"/>
        <v>1</v>
      </c>
      <c r="F420" s="1">
        <f t="shared" si="118"/>
        <v>0</v>
      </c>
      <c r="G420" s="1" t="str">
        <f t="shared" si="119"/>
        <v>25021521</v>
      </c>
      <c r="H420" s="2">
        <v>45703</v>
      </c>
      <c r="I420" s="113">
        <v>21</v>
      </c>
      <c r="J420" s="1">
        <f t="shared" si="108"/>
        <v>21</v>
      </c>
      <c r="K420" s="3">
        <f t="shared" si="109"/>
        <v>25</v>
      </c>
      <c r="L420" s="3">
        <f t="shared" si="110"/>
        <v>2</v>
      </c>
      <c r="M420" s="3">
        <f t="shared" si="111"/>
        <v>15</v>
      </c>
      <c r="N420" s="3" t="str">
        <f t="shared" si="112"/>
        <v>02</v>
      </c>
      <c r="O420" s="14">
        <f t="shared" si="113"/>
        <v>15</v>
      </c>
      <c r="P420" s="4">
        <v>132000</v>
      </c>
      <c r="T420" s="115" t="s">
        <v>1846</v>
      </c>
      <c r="V420" s="3" t="s">
        <v>5</v>
      </c>
      <c r="W420" s="3" t="s">
        <v>1306</v>
      </c>
    </row>
    <row r="421" spans="1:25">
      <c r="A421" s="143">
        <v>545</v>
      </c>
      <c r="B421" s="1">
        <f t="shared" si="114"/>
        <v>0</v>
      </c>
      <c r="C421" s="1">
        <f t="shared" si="115"/>
        <v>0</v>
      </c>
      <c r="D421" s="1">
        <f t="shared" si="116"/>
        <v>0</v>
      </c>
      <c r="E421" s="1">
        <f t="shared" si="117"/>
        <v>1</v>
      </c>
      <c r="F421" s="1">
        <f t="shared" si="118"/>
        <v>0</v>
      </c>
      <c r="G421" s="1" t="str">
        <f t="shared" si="119"/>
        <v>25021522</v>
      </c>
      <c r="H421" s="2">
        <v>45703</v>
      </c>
      <c r="I421" s="113">
        <v>22</v>
      </c>
      <c r="J421" s="1">
        <f t="shared" si="108"/>
        <v>22</v>
      </c>
      <c r="K421" s="3">
        <f t="shared" si="109"/>
        <v>25</v>
      </c>
      <c r="L421" s="3">
        <f t="shared" si="110"/>
        <v>2</v>
      </c>
      <c r="M421" s="3">
        <f t="shared" si="111"/>
        <v>15</v>
      </c>
      <c r="N421" s="3" t="str">
        <f t="shared" si="112"/>
        <v>02</v>
      </c>
      <c r="O421" s="14">
        <f t="shared" si="113"/>
        <v>15</v>
      </c>
      <c r="P421" s="4">
        <v>252000</v>
      </c>
      <c r="T421" s="115" t="s">
        <v>1845</v>
      </c>
      <c r="V421" s="3" t="s">
        <v>5</v>
      </c>
      <c r="W421" s="3" t="s">
        <v>1306</v>
      </c>
    </row>
    <row r="422" spans="1:25">
      <c r="A422" s="143">
        <v>546</v>
      </c>
      <c r="B422" s="1">
        <f t="shared" si="114"/>
        <v>0</v>
      </c>
      <c r="C422" s="1">
        <f t="shared" si="115"/>
        <v>0</v>
      </c>
      <c r="D422" s="1">
        <f t="shared" si="116"/>
        <v>0</v>
      </c>
      <c r="E422" s="1">
        <f t="shared" si="117"/>
        <v>1</v>
      </c>
      <c r="F422" s="1">
        <f t="shared" si="118"/>
        <v>0</v>
      </c>
      <c r="G422" s="1" t="str">
        <f t="shared" si="119"/>
        <v>25021523</v>
      </c>
      <c r="H422" s="2">
        <v>45703</v>
      </c>
      <c r="I422" s="113">
        <v>23</v>
      </c>
      <c r="J422" s="1">
        <f t="shared" si="108"/>
        <v>23</v>
      </c>
      <c r="K422" s="3">
        <f t="shared" si="109"/>
        <v>25</v>
      </c>
      <c r="L422" s="3">
        <f t="shared" si="110"/>
        <v>2</v>
      </c>
      <c r="M422" s="3">
        <f t="shared" si="111"/>
        <v>15</v>
      </c>
      <c r="N422" s="3" t="str">
        <f t="shared" si="112"/>
        <v>02</v>
      </c>
      <c r="O422" s="14">
        <f t="shared" si="113"/>
        <v>15</v>
      </c>
      <c r="P422" s="4">
        <v>90000</v>
      </c>
      <c r="T422" s="115" t="s">
        <v>1844</v>
      </c>
      <c r="V422" s="3" t="s">
        <v>5</v>
      </c>
      <c r="W422" s="3" t="s">
        <v>1306</v>
      </c>
    </row>
    <row r="423" spans="1:25">
      <c r="A423" s="143">
        <v>547</v>
      </c>
      <c r="B423" s="1">
        <f t="shared" si="114"/>
        <v>0</v>
      </c>
      <c r="C423" s="1">
        <f t="shared" si="115"/>
        <v>0</v>
      </c>
      <c r="D423" s="1">
        <f t="shared" si="116"/>
        <v>0</v>
      </c>
      <c r="E423" s="1">
        <f t="shared" si="117"/>
        <v>1</v>
      </c>
      <c r="F423" s="1">
        <f t="shared" si="118"/>
        <v>0</v>
      </c>
      <c r="G423" s="1" t="str">
        <f t="shared" si="119"/>
        <v>25021524</v>
      </c>
      <c r="H423" s="2">
        <v>45703</v>
      </c>
      <c r="I423" s="113">
        <v>24</v>
      </c>
      <c r="J423" s="1">
        <f t="shared" si="108"/>
        <v>24</v>
      </c>
      <c r="K423" s="3">
        <f t="shared" si="109"/>
        <v>25</v>
      </c>
      <c r="L423" s="3">
        <f t="shared" si="110"/>
        <v>2</v>
      </c>
      <c r="M423" s="3">
        <f t="shared" si="111"/>
        <v>15</v>
      </c>
      <c r="N423" s="3" t="str">
        <f t="shared" si="112"/>
        <v>02</v>
      </c>
      <c r="O423" s="14">
        <f t="shared" si="113"/>
        <v>15</v>
      </c>
      <c r="P423" s="4">
        <v>150000</v>
      </c>
      <c r="T423" s="115" t="s">
        <v>1843</v>
      </c>
      <c r="V423" s="3" t="s">
        <v>5</v>
      </c>
      <c r="W423" s="3" t="s">
        <v>1306</v>
      </c>
      <c r="Y423" s="141" t="s">
        <v>1637</v>
      </c>
    </row>
    <row r="424" spans="1:25" hidden="1">
      <c r="A424" s="143"/>
      <c r="J424" s="1" t="str">
        <f t="shared" si="108"/>
        <v>0</v>
      </c>
      <c r="K424" s="3">
        <f t="shared" si="109"/>
        <v>-100</v>
      </c>
      <c r="L424" s="3">
        <f t="shared" si="110"/>
        <v>1</v>
      </c>
      <c r="M424" s="3">
        <f t="shared" si="111"/>
        <v>0</v>
      </c>
      <c r="N424" s="3" t="str">
        <f t="shared" si="112"/>
        <v>01</v>
      </c>
      <c r="O424" s="14" t="str">
        <f t="shared" si="113"/>
        <v>00</v>
      </c>
    </row>
    <row r="425" spans="1:25" hidden="1">
      <c r="A425" s="143"/>
      <c r="J425" s="1" t="str">
        <f t="shared" si="108"/>
        <v>0</v>
      </c>
      <c r="K425" s="3">
        <f t="shared" si="109"/>
        <v>-100</v>
      </c>
      <c r="L425" s="3">
        <f t="shared" si="110"/>
        <v>1</v>
      </c>
      <c r="M425" s="3">
        <f t="shared" si="111"/>
        <v>0</v>
      </c>
      <c r="N425" s="3" t="str">
        <f t="shared" si="112"/>
        <v>01</v>
      </c>
      <c r="O425" s="14" t="str">
        <f t="shared" si="113"/>
        <v>00</v>
      </c>
    </row>
    <row r="426" spans="1:25" hidden="1">
      <c r="A426" s="143">
        <v>656</v>
      </c>
      <c r="B426" s="1">
        <f>IF(G426="-",0,IF(G425=G426,1,0))</f>
        <v>0</v>
      </c>
      <c r="C426" s="1">
        <f>+IF(G426="-",0,IF(I426=I425+1,0,(IF(I426=1,0,1))))</f>
        <v>1</v>
      </c>
      <c r="D426" s="1">
        <f>+IF(AND(P426="",Q426=""),1,0)</f>
        <v>0</v>
      </c>
      <c r="E426" s="1">
        <f t="shared" ref="E426:F429" si="120">IF(U426="",1,0)</f>
        <v>0</v>
      </c>
      <c r="F426" s="1">
        <f t="shared" si="120"/>
        <v>0</v>
      </c>
      <c r="G426" s="1" t="str">
        <f>IF(H426=0,"-",_xlfn.CONCAT(K426,N426,O426,J426))</f>
        <v>25021603</v>
      </c>
      <c r="H426" s="2">
        <v>45704</v>
      </c>
      <c r="I426" s="113">
        <v>3</v>
      </c>
      <c r="J426" s="1" t="str">
        <f t="shared" si="108"/>
        <v>03</v>
      </c>
      <c r="K426" s="3">
        <f t="shared" si="109"/>
        <v>25</v>
      </c>
      <c r="L426" s="3">
        <f t="shared" si="110"/>
        <v>2</v>
      </c>
      <c r="M426" s="3">
        <f t="shared" si="111"/>
        <v>16</v>
      </c>
      <c r="N426" s="3" t="str">
        <f t="shared" si="112"/>
        <v>02</v>
      </c>
      <c r="O426" s="14">
        <f t="shared" si="113"/>
        <v>16</v>
      </c>
      <c r="P426" s="4">
        <v>4430</v>
      </c>
      <c r="T426" s="5" t="s">
        <v>1842</v>
      </c>
      <c r="U426" s="3" t="s">
        <v>1310</v>
      </c>
      <c r="V426" s="3" t="s">
        <v>1304</v>
      </c>
      <c r="W426" s="3" t="s">
        <v>1309</v>
      </c>
      <c r="X426" s="1" t="s">
        <v>1302</v>
      </c>
    </row>
    <row r="427" spans="1:25" hidden="1">
      <c r="A427" s="143">
        <v>331</v>
      </c>
      <c r="B427" s="1">
        <f>IF(G427="-",0,IF(G426=G427,1,0))</f>
        <v>0</v>
      </c>
      <c r="C427" s="1">
        <f>+IF(G427="-",0,IF(I427=I426+1,0,(IF(I427=1,0,1))))</f>
        <v>0</v>
      </c>
      <c r="D427" s="1">
        <f>+IF(AND(P427="",Q427=""),1,0)</f>
        <v>0</v>
      </c>
      <c r="E427" s="1">
        <f t="shared" si="120"/>
        <v>0</v>
      </c>
      <c r="F427" s="1">
        <f t="shared" si="120"/>
        <v>0</v>
      </c>
      <c r="G427" s="1" t="str">
        <f>IF(H427=0,"-",_xlfn.CONCAT(K427,N427,O427,J427))</f>
        <v>25021701</v>
      </c>
      <c r="H427" s="2">
        <v>45705</v>
      </c>
      <c r="I427" s="113">
        <v>1</v>
      </c>
      <c r="J427" s="1" t="str">
        <f t="shared" si="108"/>
        <v>01</v>
      </c>
      <c r="K427" s="3">
        <f t="shared" si="109"/>
        <v>25</v>
      </c>
      <c r="L427" s="3">
        <f t="shared" si="110"/>
        <v>2</v>
      </c>
      <c r="M427" s="3">
        <f t="shared" si="111"/>
        <v>17</v>
      </c>
      <c r="N427" s="3" t="str">
        <f t="shared" si="112"/>
        <v>02</v>
      </c>
      <c r="O427" s="14">
        <f t="shared" si="113"/>
        <v>17</v>
      </c>
      <c r="P427" s="4">
        <v>13750</v>
      </c>
      <c r="T427" s="5" t="s">
        <v>1841</v>
      </c>
      <c r="U427" s="3" t="s">
        <v>1406</v>
      </c>
      <c r="V427" s="3" t="s">
        <v>1316</v>
      </c>
      <c r="W427" s="3" t="s">
        <v>1306</v>
      </c>
    </row>
    <row r="428" spans="1:25" hidden="1">
      <c r="A428" s="143">
        <v>369</v>
      </c>
      <c r="B428" s="1">
        <f>IF(G428="-",0,IF(G427=G428,1,0))</f>
        <v>0</v>
      </c>
      <c r="C428" s="1">
        <f>+IF(G428="-",0,IF(I428=I427+1,0,(IF(I428=1,0,1))))</f>
        <v>0</v>
      </c>
      <c r="D428" s="1">
        <f>+IF(AND(P428="",Q428=""),1,0)</f>
        <v>0</v>
      </c>
      <c r="E428" s="1">
        <f t="shared" si="120"/>
        <v>0</v>
      </c>
      <c r="F428" s="1">
        <f t="shared" si="120"/>
        <v>0</v>
      </c>
      <c r="G428" s="1" t="str">
        <f>IF(H428=0,"-",_xlfn.CONCAT(K428,N428,O428,J428))</f>
        <v>25021702</v>
      </c>
      <c r="H428" s="2">
        <v>45705</v>
      </c>
      <c r="I428" s="113">
        <v>2</v>
      </c>
      <c r="J428" s="1" t="str">
        <f t="shared" si="108"/>
        <v>02</v>
      </c>
      <c r="K428" s="3">
        <f t="shared" si="109"/>
        <v>25</v>
      </c>
      <c r="L428" s="3">
        <f t="shared" si="110"/>
        <v>2</v>
      </c>
      <c r="M428" s="3">
        <f t="shared" si="111"/>
        <v>17</v>
      </c>
      <c r="N428" s="3" t="str">
        <f t="shared" si="112"/>
        <v>02</v>
      </c>
      <c r="O428" s="14">
        <f t="shared" si="113"/>
        <v>17</v>
      </c>
      <c r="P428" s="4">
        <v>20000</v>
      </c>
      <c r="T428" s="5" t="s">
        <v>1840</v>
      </c>
      <c r="U428" s="3" t="s">
        <v>29</v>
      </c>
      <c r="V428" s="3" t="s">
        <v>5</v>
      </c>
      <c r="W428" s="3" t="s">
        <v>1307</v>
      </c>
      <c r="X428" s="1" t="s">
        <v>1305</v>
      </c>
    </row>
    <row r="429" spans="1:25" hidden="1">
      <c r="A429" s="143">
        <v>370</v>
      </c>
      <c r="B429" s="1">
        <f>IF(G429="-",0,IF(G428=G429,1,0))</f>
        <v>0</v>
      </c>
      <c r="C429" s="1">
        <f>+IF(G429="-",0,IF(I429=I428+1,0,(IF(I429=1,0,1))))</f>
        <v>0</v>
      </c>
      <c r="D429" s="1">
        <f>+IF(AND(P429="",Q429=""),1,0)</f>
        <v>0</v>
      </c>
      <c r="E429" s="1">
        <f t="shared" si="120"/>
        <v>0</v>
      </c>
      <c r="F429" s="1">
        <f t="shared" si="120"/>
        <v>0</v>
      </c>
      <c r="G429" s="1" t="str">
        <f>IF(H429=0,"-",_xlfn.CONCAT(K429,N429,O429,J429))</f>
        <v>25021703</v>
      </c>
      <c r="H429" s="2">
        <v>45705</v>
      </c>
      <c r="I429" s="113">
        <v>3</v>
      </c>
      <c r="J429" s="1" t="str">
        <f t="shared" si="108"/>
        <v>03</v>
      </c>
      <c r="K429" s="3">
        <f t="shared" si="109"/>
        <v>25</v>
      </c>
      <c r="L429" s="3">
        <f t="shared" si="110"/>
        <v>2</v>
      </c>
      <c r="M429" s="3">
        <f t="shared" si="111"/>
        <v>17</v>
      </c>
      <c r="N429" s="3" t="str">
        <f t="shared" si="112"/>
        <v>02</v>
      </c>
      <c r="O429" s="14">
        <f t="shared" si="113"/>
        <v>17</v>
      </c>
      <c r="P429" s="4">
        <v>28840.75</v>
      </c>
      <c r="T429" s="5" t="s">
        <v>352</v>
      </c>
      <c r="U429" s="3" t="s">
        <v>30</v>
      </c>
      <c r="V429" s="3" t="s">
        <v>1312</v>
      </c>
      <c r="W429" s="3" t="s">
        <v>1307</v>
      </c>
      <c r="X429" s="1" t="s">
        <v>1305</v>
      </c>
    </row>
    <row r="430" spans="1:25" hidden="1">
      <c r="A430" s="143"/>
      <c r="J430" s="1" t="str">
        <f t="shared" si="108"/>
        <v>0</v>
      </c>
      <c r="K430" s="3">
        <f t="shared" si="109"/>
        <v>-100</v>
      </c>
      <c r="L430" s="3">
        <f t="shared" si="110"/>
        <v>1</v>
      </c>
      <c r="M430" s="3">
        <f t="shared" si="111"/>
        <v>0</v>
      </c>
      <c r="N430" s="3" t="str">
        <f t="shared" si="112"/>
        <v>01</v>
      </c>
      <c r="O430" s="14" t="str">
        <f t="shared" si="113"/>
        <v>00</v>
      </c>
    </row>
    <row r="431" spans="1:25" hidden="1">
      <c r="A431" s="143"/>
      <c r="J431" s="1" t="str">
        <f t="shared" si="108"/>
        <v>0</v>
      </c>
      <c r="K431" s="3">
        <f t="shared" si="109"/>
        <v>-100</v>
      </c>
      <c r="L431" s="3">
        <f t="shared" si="110"/>
        <v>1</v>
      </c>
      <c r="M431" s="3">
        <f t="shared" si="111"/>
        <v>0</v>
      </c>
      <c r="N431" s="3" t="str">
        <f t="shared" si="112"/>
        <v>01</v>
      </c>
      <c r="O431" s="14" t="str">
        <f t="shared" si="113"/>
        <v>00</v>
      </c>
    </row>
    <row r="432" spans="1:25" hidden="1">
      <c r="A432" s="143"/>
      <c r="J432" s="1" t="str">
        <f t="shared" si="108"/>
        <v>0</v>
      </c>
      <c r="K432" s="3">
        <f t="shared" si="109"/>
        <v>-100</v>
      </c>
      <c r="L432" s="3">
        <f t="shared" si="110"/>
        <v>1</v>
      </c>
      <c r="M432" s="3">
        <f t="shared" si="111"/>
        <v>0</v>
      </c>
      <c r="N432" s="3" t="str">
        <f t="shared" si="112"/>
        <v>01</v>
      </c>
      <c r="O432" s="14" t="str">
        <f t="shared" si="113"/>
        <v>00</v>
      </c>
    </row>
    <row r="433" spans="1:25" hidden="1">
      <c r="A433" s="143"/>
      <c r="J433" s="1" t="str">
        <f t="shared" si="108"/>
        <v>0</v>
      </c>
      <c r="K433" s="3">
        <f t="shared" si="109"/>
        <v>-100</v>
      </c>
      <c r="L433" s="3">
        <f t="shared" si="110"/>
        <v>1</v>
      </c>
      <c r="M433" s="3">
        <f t="shared" si="111"/>
        <v>0</v>
      </c>
      <c r="N433" s="3" t="str">
        <f t="shared" si="112"/>
        <v>01</v>
      </c>
      <c r="O433" s="14" t="str">
        <f t="shared" si="113"/>
        <v>00</v>
      </c>
    </row>
    <row r="434" spans="1:25" hidden="1">
      <c r="A434" s="143"/>
      <c r="G434" s="90"/>
      <c r="H434" s="91"/>
      <c r="I434" s="90"/>
      <c r="J434" s="90" t="str">
        <f t="shared" si="108"/>
        <v>0</v>
      </c>
      <c r="K434" s="92">
        <f t="shared" si="109"/>
        <v>-100</v>
      </c>
      <c r="L434" s="92">
        <f t="shared" si="110"/>
        <v>1</v>
      </c>
      <c r="M434" s="92">
        <f t="shared" si="111"/>
        <v>0</v>
      </c>
      <c r="N434" s="92" t="str">
        <f t="shared" si="112"/>
        <v>01</v>
      </c>
      <c r="O434" s="93" t="str">
        <f t="shared" si="113"/>
        <v>00</v>
      </c>
      <c r="P434" s="94"/>
      <c r="Q434" s="95"/>
      <c r="R434" s="96"/>
      <c r="S434" s="95"/>
      <c r="T434" s="95"/>
      <c r="U434" s="92"/>
      <c r="V434" s="92"/>
      <c r="W434" s="92"/>
      <c r="X434" s="90"/>
    </row>
    <row r="435" spans="1:25" hidden="1">
      <c r="A435" s="143"/>
      <c r="J435" s="1" t="str">
        <f t="shared" si="108"/>
        <v>0</v>
      </c>
      <c r="K435" s="3">
        <f t="shared" si="109"/>
        <v>-100</v>
      </c>
      <c r="L435" s="3">
        <f t="shared" si="110"/>
        <v>1</v>
      </c>
      <c r="M435" s="3">
        <f t="shared" si="111"/>
        <v>0</v>
      </c>
      <c r="N435" s="3" t="str">
        <f t="shared" si="112"/>
        <v>01</v>
      </c>
      <c r="O435" s="14" t="str">
        <f t="shared" si="113"/>
        <v>00</v>
      </c>
    </row>
    <row r="436" spans="1:25" hidden="1">
      <c r="A436" s="143">
        <v>332</v>
      </c>
      <c r="B436" s="1">
        <f>IF(G436="-",0,IF(G435=G436,1,0))</f>
        <v>0</v>
      </c>
      <c r="C436" s="1">
        <f>+IF(G436="-",0,IF(I436=I435+1,0,(IF(I436=1,0,1))))</f>
        <v>0</v>
      </c>
      <c r="D436" s="1">
        <f>+IF(AND(P436="",Q436=""),1,0)</f>
        <v>0</v>
      </c>
      <c r="E436" s="1">
        <f t="shared" ref="E436:F438" si="121">IF(U436="",1,0)</f>
        <v>0</v>
      </c>
      <c r="F436" s="1">
        <f t="shared" si="121"/>
        <v>0</v>
      </c>
      <c r="G436" s="1" t="str">
        <f>IF(H436=0,"-",_xlfn.CONCAT(K436,N436,O436,J436))</f>
        <v>25021801</v>
      </c>
      <c r="H436" s="2">
        <v>45706</v>
      </c>
      <c r="I436" s="113">
        <v>1</v>
      </c>
      <c r="J436" s="1" t="str">
        <f t="shared" si="108"/>
        <v>01</v>
      </c>
      <c r="K436" s="3">
        <f t="shared" si="109"/>
        <v>25</v>
      </c>
      <c r="L436" s="3">
        <f t="shared" si="110"/>
        <v>2</v>
      </c>
      <c r="M436" s="3">
        <f t="shared" si="111"/>
        <v>18</v>
      </c>
      <c r="N436" s="3" t="str">
        <f t="shared" si="112"/>
        <v>02</v>
      </c>
      <c r="O436" s="14">
        <f t="shared" si="113"/>
        <v>18</v>
      </c>
      <c r="P436" s="4">
        <v>1005500</v>
      </c>
      <c r="T436" s="5" t="s">
        <v>1839</v>
      </c>
      <c r="U436" s="3" t="s">
        <v>305</v>
      </c>
      <c r="V436" s="3" t="s">
        <v>5</v>
      </c>
      <c r="W436" s="3" t="s">
        <v>1306</v>
      </c>
    </row>
    <row r="437" spans="1:25" hidden="1">
      <c r="A437" s="143">
        <v>333</v>
      </c>
      <c r="B437" s="1">
        <f>IF(G437="-",0,IF(G436=G437,1,0))</f>
        <v>0</v>
      </c>
      <c r="C437" s="1">
        <f>+IF(G437="-",0,IF(I437=I436+1,0,(IF(I437=1,0,1))))</f>
        <v>0</v>
      </c>
      <c r="D437" s="1">
        <f>+IF(AND(P437="",Q437=""),1,0)</f>
        <v>0</v>
      </c>
      <c r="E437" s="1">
        <f t="shared" si="121"/>
        <v>0</v>
      </c>
      <c r="F437" s="1">
        <f t="shared" si="121"/>
        <v>0</v>
      </c>
      <c r="G437" s="1" t="str">
        <f>IF(H437=0,"-",_xlfn.CONCAT(K437,N437,O437,J437))</f>
        <v>25021802</v>
      </c>
      <c r="H437" s="2">
        <v>45706</v>
      </c>
      <c r="I437" s="113">
        <v>2</v>
      </c>
      <c r="J437" s="1" t="str">
        <f t="shared" si="108"/>
        <v>02</v>
      </c>
      <c r="K437" s="3">
        <f t="shared" si="109"/>
        <v>25</v>
      </c>
      <c r="L437" s="3">
        <f t="shared" si="110"/>
        <v>2</v>
      </c>
      <c r="M437" s="3">
        <f t="shared" si="111"/>
        <v>18</v>
      </c>
      <c r="N437" s="3" t="str">
        <f t="shared" si="112"/>
        <v>02</v>
      </c>
      <c r="O437" s="14">
        <f t="shared" si="113"/>
        <v>18</v>
      </c>
      <c r="P437" s="4">
        <v>843100.71</v>
      </c>
      <c r="T437" s="5" t="s">
        <v>1838</v>
      </c>
      <c r="U437" s="3" t="s">
        <v>305</v>
      </c>
      <c r="V437" s="3" t="s">
        <v>5</v>
      </c>
      <c r="W437" s="3" t="s">
        <v>1306</v>
      </c>
      <c r="Y437" s="141" t="s">
        <v>1837</v>
      </c>
    </row>
    <row r="438" spans="1:25" hidden="1">
      <c r="A438" s="143">
        <v>334</v>
      </c>
      <c r="B438" s="1">
        <f>IF(G438="-",0,IF(G437=G438,1,0))</f>
        <v>0</v>
      </c>
      <c r="C438" s="1">
        <f>+IF(G438="-",0,IF(I438=I437+1,0,(IF(I438=1,0,1))))</f>
        <v>0</v>
      </c>
      <c r="D438" s="1">
        <f>+IF(AND(P438="",Q438=""),1,0)</f>
        <v>0</v>
      </c>
      <c r="E438" s="1">
        <f t="shared" si="121"/>
        <v>0</v>
      </c>
      <c r="F438" s="1">
        <f t="shared" si="121"/>
        <v>0</v>
      </c>
      <c r="G438" s="1" t="str">
        <f>IF(H438=0,"-",_xlfn.CONCAT(K438,N438,O438,J438))</f>
        <v>25021803</v>
      </c>
      <c r="H438" s="2">
        <v>45706</v>
      </c>
      <c r="I438" s="113">
        <v>3</v>
      </c>
      <c r="J438" s="1" t="str">
        <f t="shared" si="108"/>
        <v>03</v>
      </c>
      <c r="K438" s="3">
        <f t="shared" si="109"/>
        <v>25</v>
      </c>
      <c r="L438" s="3">
        <f t="shared" si="110"/>
        <v>2</v>
      </c>
      <c r="M438" s="3">
        <f t="shared" si="111"/>
        <v>18</v>
      </c>
      <c r="N438" s="3" t="str">
        <f t="shared" si="112"/>
        <v>02</v>
      </c>
      <c r="O438" s="14">
        <f t="shared" si="113"/>
        <v>18</v>
      </c>
      <c r="P438" s="4">
        <v>120000</v>
      </c>
      <c r="T438" s="5" t="s">
        <v>1836</v>
      </c>
      <c r="U438" s="3" t="s">
        <v>305</v>
      </c>
      <c r="V438" s="3" t="s">
        <v>5</v>
      </c>
      <c r="W438" s="3" t="s">
        <v>1306</v>
      </c>
    </row>
    <row r="439" spans="1:25" hidden="1">
      <c r="A439" s="143"/>
      <c r="J439" s="1" t="str">
        <f t="shared" si="108"/>
        <v>0</v>
      </c>
      <c r="K439" s="3">
        <f t="shared" si="109"/>
        <v>-100</v>
      </c>
      <c r="L439" s="3">
        <f t="shared" si="110"/>
        <v>1</v>
      </c>
      <c r="M439" s="3">
        <f t="shared" si="111"/>
        <v>0</v>
      </c>
      <c r="N439" s="3" t="str">
        <f t="shared" si="112"/>
        <v>01</v>
      </c>
      <c r="O439" s="14" t="str">
        <f t="shared" si="113"/>
        <v>00</v>
      </c>
    </row>
    <row r="440" spans="1:25" hidden="1">
      <c r="A440" s="143">
        <v>375</v>
      </c>
      <c r="B440" s="1">
        <f t="shared" ref="B440:B445" si="122">IF(G440="-",0,IF(G439=G440,1,0))</f>
        <v>0</v>
      </c>
      <c r="C440" s="1">
        <f t="shared" ref="C440:C445" si="123">+IF(G440="-",0,IF(I440=I439+1,0,(IF(I440=1,0,1))))</f>
        <v>1</v>
      </c>
      <c r="D440" s="1">
        <f t="shared" ref="D440:D445" si="124">+IF(AND(P440="",Q440=""),1,0)</f>
        <v>0</v>
      </c>
      <c r="E440" s="1">
        <f t="shared" ref="E440:F445" si="125">IF(U440="",1,0)</f>
        <v>0</v>
      </c>
      <c r="F440" s="1">
        <f t="shared" si="125"/>
        <v>0</v>
      </c>
      <c r="G440" s="1" t="str">
        <f t="shared" ref="G440:G445" si="126">IF(H440=0,"-",_xlfn.CONCAT(K440,N440,O440,J440))</f>
        <v>25021805</v>
      </c>
      <c r="H440" s="2">
        <v>45706</v>
      </c>
      <c r="I440" s="113">
        <v>5</v>
      </c>
      <c r="J440" s="1" t="str">
        <f t="shared" si="108"/>
        <v>05</v>
      </c>
      <c r="K440" s="3">
        <f t="shared" si="109"/>
        <v>25</v>
      </c>
      <c r="L440" s="3">
        <f t="shared" si="110"/>
        <v>2</v>
      </c>
      <c r="M440" s="3">
        <f t="shared" si="111"/>
        <v>18</v>
      </c>
      <c r="N440" s="3" t="str">
        <f t="shared" si="112"/>
        <v>02</v>
      </c>
      <c r="O440" s="14">
        <f t="shared" si="113"/>
        <v>18</v>
      </c>
      <c r="P440" s="4">
        <v>13975.03</v>
      </c>
      <c r="T440" s="5" t="s">
        <v>1835</v>
      </c>
      <c r="U440" s="3" t="s">
        <v>30</v>
      </c>
      <c r="V440" s="3" t="s">
        <v>1312</v>
      </c>
      <c r="W440" s="3" t="s">
        <v>1307</v>
      </c>
      <c r="X440" s="1" t="s">
        <v>1305</v>
      </c>
    </row>
    <row r="441" spans="1:25" hidden="1">
      <c r="A441" s="143">
        <v>403</v>
      </c>
      <c r="B441" s="1">
        <f t="shared" si="122"/>
        <v>0</v>
      </c>
      <c r="C441" s="1">
        <f t="shared" si="123"/>
        <v>0</v>
      </c>
      <c r="D441" s="1">
        <f t="shared" si="124"/>
        <v>0</v>
      </c>
      <c r="E441" s="1">
        <f t="shared" si="125"/>
        <v>0</v>
      </c>
      <c r="F441" s="1">
        <f t="shared" si="125"/>
        <v>0</v>
      </c>
      <c r="G441" s="1" t="str">
        <f t="shared" si="126"/>
        <v>25021806</v>
      </c>
      <c r="H441" s="2">
        <v>45706</v>
      </c>
      <c r="I441" s="113">
        <v>6</v>
      </c>
      <c r="J441" s="1" t="str">
        <f t="shared" si="108"/>
        <v>06</v>
      </c>
      <c r="K441" s="3">
        <f t="shared" si="109"/>
        <v>25</v>
      </c>
      <c r="L441" s="3">
        <f t="shared" si="110"/>
        <v>2</v>
      </c>
      <c r="M441" s="3">
        <f t="shared" si="111"/>
        <v>18</v>
      </c>
      <c r="N441" s="3" t="str">
        <f t="shared" si="112"/>
        <v>02</v>
      </c>
      <c r="O441" s="14">
        <f t="shared" si="113"/>
        <v>18</v>
      </c>
      <c r="P441" s="4">
        <v>191405.05</v>
      </c>
      <c r="T441" s="5" t="s">
        <v>1834</v>
      </c>
      <c r="U441" s="3" t="s">
        <v>305</v>
      </c>
      <c r="V441" s="3" t="s">
        <v>5</v>
      </c>
      <c r="W441" s="3" t="s">
        <v>1306</v>
      </c>
      <c r="X441" s="1" t="s">
        <v>1305</v>
      </c>
      <c r="Y441" s="1" t="s">
        <v>1833</v>
      </c>
    </row>
    <row r="442" spans="1:25" hidden="1">
      <c r="A442" s="143">
        <v>404</v>
      </c>
      <c r="B442" s="1">
        <f t="shared" si="122"/>
        <v>0</v>
      </c>
      <c r="C442" s="1">
        <f t="shared" si="123"/>
        <v>0</v>
      </c>
      <c r="D442" s="1">
        <f t="shared" si="124"/>
        <v>0</v>
      </c>
      <c r="E442" s="1">
        <f t="shared" si="125"/>
        <v>0</v>
      </c>
      <c r="F442" s="1">
        <f t="shared" si="125"/>
        <v>0</v>
      </c>
      <c r="G442" s="1" t="str">
        <f t="shared" si="126"/>
        <v>25021807</v>
      </c>
      <c r="H442" s="2">
        <v>45706</v>
      </c>
      <c r="I442" s="113">
        <v>7</v>
      </c>
      <c r="J442" s="1" t="str">
        <f t="shared" si="108"/>
        <v>07</v>
      </c>
      <c r="K442" s="3">
        <f t="shared" si="109"/>
        <v>25</v>
      </c>
      <c r="L442" s="3">
        <f t="shared" si="110"/>
        <v>2</v>
      </c>
      <c r="M442" s="3">
        <f t="shared" si="111"/>
        <v>18</v>
      </c>
      <c r="N442" s="3" t="str">
        <f t="shared" si="112"/>
        <v>02</v>
      </c>
      <c r="O442" s="14">
        <f t="shared" si="113"/>
        <v>18</v>
      </c>
      <c r="P442" s="4">
        <v>15917.93</v>
      </c>
      <c r="T442" s="5" t="s">
        <v>1832</v>
      </c>
      <c r="U442" s="3" t="s">
        <v>29</v>
      </c>
      <c r="V442" s="3" t="s">
        <v>5</v>
      </c>
      <c r="W442" s="3" t="s">
        <v>1307</v>
      </c>
      <c r="X442" s="1" t="s">
        <v>1305</v>
      </c>
    </row>
    <row r="443" spans="1:25" hidden="1">
      <c r="A443" s="143">
        <v>405</v>
      </c>
      <c r="B443" s="1">
        <f t="shared" si="122"/>
        <v>0</v>
      </c>
      <c r="C443" s="1">
        <f t="shared" si="123"/>
        <v>0</v>
      </c>
      <c r="D443" s="1">
        <f t="shared" si="124"/>
        <v>0</v>
      </c>
      <c r="E443" s="1">
        <f t="shared" si="125"/>
        <v>0</v>
      </c>
      <c r="F443" s="1">
        <f t="shared" si="125"/>
        <v>0</v>
      </c>
      <c r="G443" s="1" t="str">
        <f t="shared" si="126"/>
        <v>25021808</v>
      </c>
      <c r="H443" s="2">
        <v>45706</v>
      </c>
      <c r="I443" s="113">
        <v>8</v>
      </c>
      <c r="J443" s="1" t="str">
        <f t="shared" si="108"/>
        <v>08</v>
      </c>
      <c r="K443" s="3">
        <f t="shared" si="109"/>
        <v>25</v>
      </c>
      <c r="L443" s="3">
        <f t="shared" si="110"/>
        <v>2</v>
      </c>
      <c r="M443" s="3">
        <f t="shared" si="111"/>
        <v>18</v>
      </c>
      <c r="N443" s="3" t="str">
        <f t="shared" si="112"/>
        <v>02</v>
      </c>
      <c r="O443" s="14">
        <f t="shared" si="113"/>
        <v>18</v>
      </c>
      <c r="P443" s="4">
        <v>58198.01</v>
      </c>
      <c r="T443" s="5" t="s">
        <v>1831</v>
      </c>
      <c r="U443" s="3" t="s">
        <v>29</v>
      </c>
      <c r="V443" s="3" t="s">
        <v>5</v>
      </c>
      <c r="W443" s="3" t="s">
        <v>1307</v>
      </c>
      <c r="X443" s="1" t="s">
        <v>1305</v>
      </c>
    </row>
    <row r="444" spans="1:25" hidden="1">
      <c r="A444" s="143">
        <v>406</v>
      </c>
      <c r="B444" s="1">
        <f t="shared" si="122"/>
        <v>0</v>
      </c>
      <c r="C444" s="1">
        <f t="shared" si="123"/>
        <v>0</v>
      </c>
      <c r="D444" s="1">
        <f t="shared" si="124"/>
        <v>0</v>
      </c>
      <c r="E444" s="1">
        <f t="shared" si="125"/>
        <v>0</v>
      </c>
      <c r="F444" s="1">
        <f t="shared" si="125"/>
        <v>0</v>
      </c>
      <c r="G444" s="1" t="str">
        <f t="shared" si="126"/>
        <v>25021809</v>
      </c>
      <c r="H444" s="2">
        <v>45706</v>
      </c>
      <c r="I444" s="113">
        <v>9</v>
      </c>
      <c r="J444" s="1" t="str">
        <f t="shared" si="108"/>
        <v>09</v>
      </c>
      <c r="K444" s="3">
        <f t="shared" si="109"/>
        <v>25</v>
      </c>
      <c r="L444" s="3">
        <f t="shared" si="110"/>
        <v>2</v>
      </c>
      <c r="M444" s="3">
        <f t="shared" si="111"/>
        <v>18</v>
      </c>
      <c r="N444" s="3" t="str">
        <f t="shared" si="112"/>
        <v>02</v>
      </c>
      <c r="O444" s="14">
        <f t="shared" si="113"/>
        <v>18</v>
      </c>
      <c r="P444" s="4">
        <v>10000</v>
      </c>
      <c r="T444" s="5" t="s">
        <v>1830</v>
      </c>
      <c r="U444" s="3" t="s">
        <v>29</v>
      </c>
      <c r="V444" s="3" t="s">
        <v>5</v>
      </c>
      <c r="W444" s="3" t="s">
        <v>1307</v>
      </c>
      <c r="X444" s="1" t="s">
        <v>1305</v>
      </c>
    </row>
    <row r="445" spans="1:25">
      <c r="A445" s="143">
        <v>407</v>
      </c>
      <c r="B445" s="1">
        <f t="shared" si="122"/>
        <v>0</v>
      </c>
      <c r="C445" s="1">
        <f t="shared" si="123"/>
        <v>0</v>
      </c>
      <c r="D445" s="1">
        <f t="shared" si="124"/>
        <v>0</v>
      </c>
      <c r="E445" s="1">
        <f t="shared" si="125"/>
        <v>1</v>
      </c>
      <c r="F445" s="1">
        <f t="shared" si="125"/>
        <v>0</v>
      </c>
      <c r="G445" s="1" t="str">
        <f t="shared" si="126"/>
        <v>25021810</v>
      </c>
      <c r="H445" s="2">
        <v>45706</v>
      </c>
      <c r="I445" s="113">
        <v>10</v>
      </c>
      <c r="J445" s="1">
        <f t="shared" si="108"/>
        <v>10</v>
      </c>
      <c r="K445" s="3">
        <f t="shared" si="109"/>
        <v>25</v>
      </c>
      <c r="L445" s="3">
        <f t="shared" si="110"/>
        <v>2</v>
      </c>
      <c r="M445" s="3">
        <f t="shared" si="111"/>
        <v>18</v>
      </c>
      <c r="N445" s="3" t="str">
        <f t="shared" si="112"/>
        <v>02</v>
      </c>
      <c r="O445" s="14">
        <f t="shared" si="113"/>
        <v>18</v>
      </c>
      <c r="P445" s="4">
        <v>-226886.92</v>
      </c>
      <c r="T445" s="5" t="s">
        <v>1829</v>
      </c>
      <c r="V445" s="3" t="s">
        <v>5</v>
      </c>
      <c r="X445" s="1" t="s">
        <v>1305</v>
      </c>
    </row>
    <row r="446" spans="1:25" hidden="1">
      <c r="A446" s="143"/>
      <c r="J446" s="1" t="str">
        <f t="shared" si="108"/>
        <v>0</v>
      </c>
      <c r="K446" s="3">
        <f t="shared" si="109"/>
        <v>-100</v>
      </c>
      <c r="L446" s="3">
        <f t="shared" si="110"/>
        <v>1</v>
      </c>
      <c r="M446" s="3">
        <f t="shared" si="111"/>
        <v>0</v>
      </c>
      <c r="N446" s="3" t="str">
        <f t="shared" si="112"/>
        <v>01</v>
      </c>
      <c r="O446" s="14" t="str">
        <f t="shared" si="113"/>
        <v>00</v>
      </c>
    </row>
    <row r="447" spans="1:25" hidden="1">
      <c r="A447" s="143"/>
      <c r="J447" s="1" t="str">
        <f t="shared" si="108"/>
        <v>0</v>
      </c>
      <c r="K447" s="3">
        <f t="shared" si="109"/>
        <v>-100</v>
      </c>
      <c r="L447" s="3">
        <f t="shared" si="110"/>
        <v>1</v>
      </c>
      <c r="M447" s="3">
        <f t="shared" si="111"/>
        <v>0</v>
      </c>
      <c r="N447" s="3" t="str">
        <f t="shared" si="112"/>
        <v>01</v>
      </c>
      <c r="O447" s="14" t="str">
        <f t="shared" si="113"/>
        <v>00</v>
      </c>
    </row>
    <row r="448" spans="1:25" hidden="1">
      <c r="A448" s="143"/>
      <c r="J448" s="1" t="str">
        <f t="shared" si="108"/>
        <v>0</v>
      </c>
      <c r="K448" s="3">
        <f t="shared" si="109"/>
        <v>-100</v>
      </c>
      <c r="L448" s="3">
        <f t="shared" si="110"/>
        <v>1</v>
      </c>
      <c r="M448" s="3">
        <f t="shared" si="111"/>
        <v>0</v>
      </c>
      <c r="N448" s="3" t="str">
        <f t="shared" si="112"/>
        <v>01</v>
      </c>
      <c r="O448" s="14" t="str">
        <f t="shared" si="113"/>
        <v>00</v>
      </c>
    </row>
    <row r="449" spans="1:24" hidden="1">
      <c r="A449" s="143"/>
      <c r="J449" s="1" t="str">
        <f t="shared" si="108"/>
        <v>0</v>
      </c>
      <c r="K449" s="3">
        <f t="shared" si="109"/>
        <v>-100</v>
      </c>
      <c r="L449" s="3">
        <f t="shared" si="110"/>
        <v>1</v>
      </c>
      <c r="M449" s="3">
        <f t="shared" si="111"/>
        <v>0</v>
      </c>
      <c r="N449" s="3" t="str">
        <f t="shared" si="112"/>
        <v>01</v>
      </c>
      <c r="O449" s="14" t="str">
        <f t="shared" si="113"/>
        <v>00</v>
      </c>
    </row>
    <row r="450" spans="1:24" hidden="1">
      <c r="A450" s="143"/>
      <c r="J450" s="1" t="str">
        <f t="shared" si="108"/>
        <v>0</v>
      </c>
      <c r="K450" s="3">
        <f t="shared" si="109"/>
        <v>-100</v>
      </c>
      <c r="L450" s="3">
        <f t="shared" si="110"/>
        <v>1</v>
      </c>
      <c r="M450" s="3">
        <f t="shared" si="111"/>
        <v>0</v>
      </c>
      <c r="N450" s="3" t="str">
        <f t="shared" si="112"/>
        <v>01</v>
      </c>
      <c r="O450" s="14" t="str">
        <f t="shared" si="113"/>
        <v>00</v>
      </c>
    </row>
    <row r="451" spans="1:24" hidden="1">
      <c r="A451" s="143">
        <v>413</v>
      </c>
      <c r="B451" s="1">
        <f>IF(G451="-",0,IF(G450=G451,1,0))</f>
        <v>0</v>
      </c>
      <c r="C451" s="1">
        <f>+IF(G451="-",0,IF(I451=I450+1,0,(IF(I451=1,0,1))))</f>
        <v>1</v>
      </c>
      <c r="D451" s="1">
        <f>+IF(AND(P451="",Q451=""),1,0)</f>
        <v>0</v>
      </c>
      <c r="E451" s="1">
        <f>IF(U451="",1,0)</f>
        <v>0</v>
      </c>
      <c r="F451" s="1">
        <f>IF(V451="",1,0)</f>
        <v>0</v>
      </c>
      <c r="G451" s="1" t="str">
        <f>IF(H451=0,"-",_xlfn.CONCAT(K451,N451,O451,J451))</f>
        <v>25021816</v>
      </c>
      <c r="H451" s="2">
        <v>45706</v>
      </c>
      <c r="I451" s="113">
        <v>16</v>
      </c>
      <c r="J451" s="1">
        <f t="shared" si="108"/>
        <v>16</v>
      </c>
      <c r="K451" s="3">
        <f t="shared" si="109"/>
        <v>25</v>
      </c>
      <c r="L451" s="3">
        <f t="shared" si="110"/>
        <v>2</v>
      </c>
      <c r="M451" s="3">
        <f t="shared" si="111"/>
        <v>18</v>
      </c>
      <c r="N451" s="3" t="str">
        <f t="shared" si="112"/>
        <v>02</v>
      </c>
      <c r="O451" s="14">
        <f t="shared" si="113"/>
        <v>18</v>
      </c>
      <c r="Q451" s="5">
        <v>791</v>
      </c>
      <c r="T451" s="5" t="s">
        <v>1828</v>
      </c>
      <c r="U451" s="3" t="s">
        <v>1445</v>
      </c>
      <c r="V451" s="3" t="s">
        <v>1304</v>
      </c>
      <c r="W451" s="3" t="s">
        <v>1306</v>
      </c>
      <c r="X451" s="1" t="s">
        <v>1305</v>
      </c>
    </row>
    <row r="452" spans="1:24" hidden="1">
      <c r="A452" s="143">
        <v>659</v>
      </c>
      <c r="B452" s="1">
        <f>IF(G452="-",0,IF(G451=G452,1,0))</f>
        <v>0</v>
      </c>
      <c r="C452" s="1">
        <f>+IF(G452="-",0,IF(I452=I451+1,0,(IF(I452=1,0,1))))</f>
        <v>0</v>
      </c>
      <c r="D452" s="1">
        <f>+IF(AND(P452="",Q452=""),1,0)</f>
        <v>0</v>
      </c>
      <c r="E452" s="1">
        <f>IF(U452="",1,0)</f>
        <v>0</v>
      </c>
      <c r="F452" s="1">
        <f>IF(V452="",1,0)</f>
        <v>0</v>
      </c>
      <c r="G452" s="1" t="str">
        <f>IF(H452=0,"-",_xlfn.CONCAT(K452,N452,O452,J452))</f>
        <v>25021817</v>
      </c>
      <c r="H452" s="2">
        <v>45706</v>
      </c>
      <c r="I452" s="113">
        <v>17</v>
      </c>
      <c r="J452" s="1">
        <f t="shared" si="108"/>
        <v>17</v>
      </c>
      <c r="K452" s="3">
        <f t="shared" si="109"/>
        <v>25</v>
      </c>
      <c r="L452" s="3">
        <f t="shared" si="110"/>
        <v>2</v>
      </c>
      <c r="M452" s="3">
        <f t="shared" si="111"/>
        <v>18</v>
      </c>
      <c r="N452" s="3" t="str">
        <f t="shared" si="112"/>
        <v>02</v>
      </c>
      <c r="O452" s="14">
        <f t="shared" si="113"/>
        <v>18</v>
      </c>
      <c r="P452" s="4">
        <v>1350</v>
      </c>
      <c r="T452" s="5" t="s">
        <v>1827</v>
      </c>
      <c r="U452" s="3" t="s">
        <v>1310</v>
      </c>
      <c r="V452" s="3" t="s">
        <v>1304</v>
      </c>
      <c r="W452" s="3" t="s">
        <v>1309</v>
      </c>
      <c r="X452" s="1" t="s">
        <v>1302</v>
      </c>
    </row>
    <row r="453" spans="1:24" hidden="1">
      <c r="A453" s="143"/>
      <c r="J453" s="1" t="str">
        <f t="shared" si="108"/>
        <v>0</v>
      </c>
      <c r="K453" s="3">
        <f t="shared" si="109"/>
        <v>-100</v>
      </c>
      <c r="L453" s="3">
        <f t="shared" si="110"/>
        <v>1</v>
      </c>
      <c r="M453" s="3">
        <f t="shared" si="111"/>
        <v>0</v>
      </c>
      <c r="N453" s="3" t="str">
        <f t="shared" si="112"/>
        <v>01</v>
      </c>
      <c r="O453" s="14" t="str">
        <f t="shared" si="113"/>
        <v>00</v>
      </c>
    </row>
    <row r="454" spans="1:24" hidden="1">
      <c r="A454" s="143"/>
      <c r="J454" s="1" t="str">
        <f t="shared" si="108"/>
        <v>0</v>
      </c>
      <c r="K454" s="3">
        <f t="shared" si="109"/>
        <v>-100</v>
      </c>
      <c r="L454" s="3">
        <f t="shared" si="110"/>
        <v>1</v>
      </c>
      <c r="M454" s="3">
        <f t="shared" si="111"/>
        <v>0</v>
      </c>
      <c r="N454" s="3" t="str">
        <f t="shared" si="112"/>
        <v>01</v>
      </c>
      <c r="O454" s="14" t="str">
        <f t="shared" si="113"/>
        <v>00</v>
      </c>
    </row>
    <row r="455" spans="1:24" hidden="1">
      <c r="A455" s="143"/>
      <c r="J455" s="1" t="str">
        <f t="shared" si="108"/>
        <v>0</v>
      </c>
      <c r="K455" s="3">
        <f t="shared" si="109"/>
        <v>-100</v>
      </c>
      <c r="L455" s="3">
        <f t="shared" si="110"/>
        <v>1</v>
      </c>
      <c r="M455" s="3">
        <f t="shared" si="111"/>
        <v>0</v>
      </c>
      <c r="N455" s="3" t="str">
        <f t="shared" si="112"/>
        <v>01</v>
      </c>
      <c r="O455" s="14" t="str">
        <f t="shared" si="113"/>
        <v>00</v>
      </c>
    </row>
    <row r="456" spans="1:24" hidden="1">
      <c r="A456" s="143"/>
      <c r="J456" s="1" t="str">
        <f t="shared" ref="J456:J519" si="127">+IF(I456&lt;10,_xlfn.CONCAT("0",I456),I456)</f>
        <v>0</v>
      </c>
      <c r="K456" s="3">
        <f t="shared" ref="K456:K519" si="128">+YEAR(H456)-2000</f>
        <v>-100</v>
      </c>
      <c r="L456" s="3">
        <f t="shared" ref="L456:L519" si="129">+MONTH(H456)</f>
        <v>1</v>
      </c>
      <c r="M456" s="3">
        <f t="shared" ref="M456:M519" si="130">+DAY(H456)</f>
        <v>0</v>
      </c>
      <c r="N456" s="3" t="str">
        <f t="shared" ref="N456:N519" si="131">+IF(L456&lt;10,_xlfn.CONCAT("0",L456),L456)</f>
        <v>01</v>
      </c>
      <c r="O456" s="14" t="str">
        <f t="shared" ref="O456:O519" si="132">+IF(M456&lt;10,_xlfn.CONCAT("0",M456),M456)</f>
        <v>00</v>
      </c>
    </row>
    <row r="457" spans="1:24" hidden="1">
      <c r="A457" s="143"/>
      <c r="J457" s="1" t="str">
        <f t="shared" si="127"/>
        <v>0</v>
      </c>
      <c r="K457" s="3">
        <f t="shared" si="128"/>
        <v>-100</v>
      </c>
      <c r="L457" s="3">
        <f t="shared" si="129"/>
        <v>1</v>
      </c>
      <c r="M457" s="3">
        <f t="shared" si="130"/>
        <v>0</v>
      </c>
      <c r="N457" s="3" t="str">
        <f t="shared" si="131"/>
        <v>01</v>
      </c>
      <c r="O457" s="14" t="str">
        <f t="shared" si="132"/>
        <v>00</v>
      </c>
    </row>
    <row r="458" spans="1:24" hidden="1">
      <c r="A458" s="143">
        <v>417</v>
      </c>
      <c r="B458" s="1">
        <f>IF(G458="-",0,IF(G457=G458,1,0))</f>
        <v>0</v>
      </c>
      <c r="C458" s="1">
        <f>+IF(G458="-",0,IF(I458=I457+1,0,(IF(I458=1,0,1))))</f>
        <v>1</v>
      </c>
      <c r="D458" s="1">
        <f>+IF(AND(P458="",Q458=""),1,0)</f>
        <v>0</v>
      </c>
      <c r="E458" s="1">
        <f>IF(U458="",1,0)</f>
        <v>0</v>
      </c>
      <c r="F458" s="1">
        <f>IF(V458="",1,0)</f>
        <v>0</v>
      </c>
      <c r="G458" s="1" t="str">
        <f>IF(H458=0,"-",_xlfn.CONCAT(K458,N458,O458,J458))</f>
        <v>25021906</v>
      </c>
      <c r="H458" s="2">
        <v>45707</v>
      </c>
      <c r="I458" s="113">
        <v>6</v>
      </c>
      <c r="J458" s="1" t="str">
        <f t="shared" si="127"/>
        <v>06</v>
      </c>
      <c r="K458" s="3">
        <f t="shared" si="128"/>
        <v>25</v>
      </c>
      <c r="L458" s="3">
        <f t="shared" si="129"/>
        <v>2</v>
      </c>
      <c r="M458" s="3">
        <f t="shared" si="130"/>
        <v>19</v>
      </c>
      <c r="N458" s="3" t="str">
        <f t="shared" si="131"/>
        <v>02</v>
      </c>
      <c r="O458" s="14">
        <f t="shared" si="132"/>
        <v>19</v>
      </c>
      <c r="Q458" s="5">
        <v>34.840000000000003</v>
      </c>
      <c r="T458" s="5" t="s">
        <v>1826</v>
      </c>
      <c r="U458" s="3" t="s">
        <v>726</v>
      </c>
      <c r="V458" s="3" t="s">
        <v>1304</v>
      </c>
      <c r="W458" s="3" t="s">
        <v>1309</v>
      </c>
      <c r="X458" s="1" t="s">
        <v>1305</v>
      </c>
    </row>
    <row r="459" spans="1:24" hidden="1">
      <c r="A459" s="143"/>
      <c r="J459" s="1" t="str">
        <f t="shared" si="127"/>
        <v>0</v>
      </c>
      <c r="K459" s="3">
        <f t="shared" si="128"/>
        <v>-100</v>
      </c>
      <c r="L459" s="3">
        <f t="shared" si="129"/>
        <v>1</v>
      </c>
      <c r="M459" s="3">
        <f t="shared" si="130"/>
        <v>0</v>
      </c>
      <c r="N459" s="3" t="str">
        <f t="shared" si="131"/>
        <v>01</v>
      </c>
      <c r="O459" s="14" t="str">
        <f t="shared" si="132"/>
        <v>00</v>
      </c>
    </row>
    <row r="460" spans="1:24" hidden="1">
      <c r="A460" s="143">
        <v>654</v>
      </c>
      <c r="B460" s="1">
        <f>IF(G460="-",0,IF(G459=G460,1,0))</f>
        <v>0</v>
      </c>
      <c r="C460" s="1">
        <f>+IF(G460="-",0,IF(I460=I459+1,0,(IF(I460=1,0,1))))</f>
        <v>1</v>
      </c>
      <c r="D460" s="1">
        <f>+IF(AND(P460="",Q460=""),1,0)</f>
        <v>0</v>
      </c>
      <c r="E460" s="1">
        <f t="shared" ref="E460:F462" si="133">IF(U460="",1,0)</f>
        <v>0</v>
      </c>
      <c r="F460" s="1">
        <f t="shared" si="133"/>
        <v>0</v>
      </c>
      <c r="G460" s="1" t="str">
        <f>IF(H460=0,"-",_xlfn.CONCAT(K460,N460,O460,J460))</f>
        <v>25021908</v>
      </c>
      <c r="H460" s="2">
        <v>45707</v>
      </c>
      <c r="I460" s="113">
        <v>8</v>
      </c>
      <c r="J460" s="1" t="str">
        <f t="shared" si="127"/>
        <v>08</v>
      </c>
      <c r="K460" s="3">
        <f t="shared" si="128"/>
        <v>25</v>
      </c>
      <c r="L460" s="3">
        <f t="shared" si="129"/>
        <v>2</v>
      </c>
      <c r="M460" s="3">
        <f t="shared" si="130"/>
        <v>19</v>
      </c>
      <c r="N460" s="3" t="str">
        <f t="shared" si="131"/>
        <v>02</v>
      </c>
      <c r="O460" s="14">
        <f t="shared" si="132"/>
        <v>19</v>
      </c>
      <c r="P460" s="4">
        <v>4000</v>
      </c>
      <c r="T460" s="5" t="s">
        <v>1825</v>
      </c>
      <c r="U460" s="3" t="s">
        <v>1310</v>
      </c>
      <c r="V460" s="3" t="s">
        <v>1304</v>
      </c>
      <c r="W460" s="3" t="s">
        <v>1309</v>
      </c>
      <c r="X460" s="1" t="s">
        <v>1302</v>
      </c>
    </row>
    <row r="461" spans="1:24" hidden="1">
      <c r="A461" s="143">
        <v>418</v>
      </c>
      <c r="B461" s="1">
        <f>IF(G461="-",0,IF(G460=G461,1,0))</f>
        <v>0</v>
      </c>
      <c r="C461" s="1">
        <f>+IF(G461="-",0,IF(I461=I460+1,0,(IF(I461=1,0,1))))</f>
        <v>0</v>
      </c>
      <c r="D461" s="1">
        <f>+IF(AND(P461="",Q461=""),1,0)</f>
        <v>0</v>
      </c>
      <c r="E461" s="1">
        <f t="shared" si="133"/>
        <v>0</v>
      </c>
      <c r="F461" s="1">
        <f t="shared" si="133"/>
        <v>0</v>
      </c>
      <c r="G461" s="1" t="str">
        <f>IF(H461=0,"-",_xlfn.CONCAT(K461,N461,O461,J461))</f>
        <v>25022001</v>
      </c>
      <c r="H461" s="2">
        <v>45708</v>
      </c>
      <c r="I461" s="113">
        <v>1</v>
      </c>
      <c r="J461" s="1" t="str">
        <f t="shared" si="127"/>
        <v>01</v>
      </c>
      <c r="K461" s="3">
        <f t="shared" si="128"/>
        <v>25</v>
      </c>
      <c r="L461" s="3">
        <f t="shared" si="129"/>
        <v>2</v>
      </c>
      <c r="M461" s="3">
        <f t="shared" si="130"/>
        <v>20</v>
      </c>
      <c r="N461" s="3" t="str">
        <f t="shared" si="131"/>
        <v>02</v>
      </c>
      <c r="O461" s="14">
        <f t="shared" si="132"/>
        <v>20</v>
      </c>
      <c r="P461" s="4">
        <v>162656.29</v>
      </c>
      <c r="T461" s="5" t="s">
        <v>1824</v>
      </c>
      <c r="U461" s="3" t="s">
        <v>29</v>
      </c>
      <c r="V461" s="3" t="s">
        <v>5</v>
      </c>
      <c r="W461" s="3" t="s">
        <v>1309</v>
      </c>
      <c r="X461" s="1" t="s">
        <v>1305</v>
      </c>
    </row>
    <row r="462" spans="1:24" hidden="1">
      <c r="A462" s="143">
        <v>419</v>
      </c>
      <c r="B462" s="1">
        <f>IF(G462="-",0,IF(G461=G462,1,0))</f>
        <v>0</v>
      </c>
      <c r="C462" s="1">
        <f>+IF(G462="-",0,IF(I462=I461+1,0,(IF(I462=1,0,1))))</f>
        <v>0</v>
      </c>
      <c r="D462" s="1">
        <f>+IF(AND(P462="",Q462=""),1,0)</f>
        <v>0</v>
      </c>
      <c r="E462" s="1">
        <f t="shared" si="133"/>
        <v>0</v>
      </c>
      <c r="F462" s="1">
        <f t="shared" si="133"/>
        <v>0</v>
      </c>
      <c r="G462" s="1" t="str">
        <f>IF(H462=0,"-",_xlfn.CONCAT(K462,N462,O462,J462))</f>
        <v>25022002</v>
      </c>
      <c r="H462" s="2">
        <v>45708</v>
      </c>
      <c r="I462" s="113">
        <v>2</v>
      </c>
      <c r="J462" s="1" t="str">
        <f t="shared" si="127"/>
        <v>02</v>
      </c>
      <c r="K462" s="3">
        <f t="shared" si="128"/>
        <v>25</v>
      </c>
      <c r="L462" s="3">
        <f t="shared" si="129"/>
        <v>2</v>
      </c>
      <c r="M462" s="3">
        <f t="shared" si="130"/>
        <v>20</v>
      </c>
      <c r="N462" s="3" t="str">
        <f t="shared" si="131"/>
        <v>02</v>
      </c>
      <c r="O462" s="14">
        <f t="shared" si="132"/>
        <v>20</v>
      </c>
      <c r="P462" s="4">
        <v>12428.25</v>
      </c>
      <c r="T462" s="5" t="s">
        <v>1823</v>
      </c>
      <c r="U462" s="3" t="s">
        <v>29</v>
      </c>
      <c r="V462" s="3" t="s">
        <v>5</v>
      </c>
      <c r="W462" s="3" t="s">
        <v>1309</v>
      </c>
      <c r="X462" s="1" t="s">
        <v>1305</v>
      </c>
    </row>
    <row r="463" spans="1:24" hidden="1">
      <c r="A463" s="143"/>
      <c r="J463" s="1" t="str">
        <f t="shared" si="127"/>
        <v>0</v>
      </c>
      <c r="K463" s="3">
        <f t="shared" si="128"/>
        <v>-100</v>
      </c>
      <c r="L463" s="3">
        <f t="shared" si="129"/>
        <v>1</v>
      </c>
      <c r="M463" s="3">
        <f t="shared" si="130"/>
        <v>0</v>
      </c>
      <c r="N463" s="3" t="str">
        <f t="shared" si="131"/>
        <v>01</v>
      </c>
      <c r="O463" s="14" t="str">
        <f t="shared" si="132"/>
        <v>00</v>
      </c>
    </row>
    <row r="464" spans="1:24" hidden="1">
      <c r="A464" s="143"/>
      <c r="J464" s="1" t="str">
        <f t="shared" si="127"/>
        <v>0</v>
      </c>
      <c r="K464" s="3">
        <f t="shared" si="128"/>
        <v>-100</v>
      </c>
      <c r="L464" s="3">
        <f t="shared" si="129"/>
        <v>1</v>
      </c>
      <c r="M464" s="3">
        <f t="shared" si="130"/>
        <v>0</v>
      </c>
      <c r="N464" s="3" t="str">
        <f t="shared" si="131"/>
        <v>01</v>
      </c>
      <c r="O464" s="14" t="str">
        <f t="shared" si="132"/>
        <v>00</v>
      </c>
    </row>
    <row r="465" spans="1:25" hidden="1">
      <c r="A465" s="143">
        <v>422</v>
      </c>
      <c r="B465" s="1">
        <f>IF(G465="-",0,IF(G464=G465,1,0))</f>
        <v>0</v>
      </c>
      <c r="C465" s="1">
        <f>+IF(G465="-",0,IF(I465=I464+1,0,(IF(I465=1,0,1))))</f>
        <v>1</v>
      </c>
      <c r="D465" s="1">
        <f>+IF(AND(P465="",Q465=""),1,0)</f>
        <v>0</v>
      </c>
      <c r="E465" s="1">
        <f t="shared" ref="E465:F468" si="134">IF(U465="",1,0)</f>
        <v>0</v>
      </c>
      <c r="F465" s="1">
        <f t="shared" si="134"/>
        <v>0</v>
      </c>
      <c r="G465" s="1" t="str">
        <f>IF(H465=0,"-",_xlfn.CONCAT(K465,N465,O465,J465))</f>
        <v>25022005</v>
      </c>
      <c r="H465" s="2">
        <v>45708</v>
      </c>
      <c r="I465" s="113">
        <v>5</v>
      </c>
      <c r="J465" s="1" t="str">
        <f t="shared" si="127"/>
        <v>05</v>
      </c>
      <c r="K465" s="3">
        <f t="shared" si="128"/>
        <v>25</v>
      </c>
      <c r="L465" s="3">
        <f t="shared" si="129"/>
        <v>2</v>
      </c>
      <c r="M465" s="3">
        <f t="shared" si="130"/>
        <v>20</v>
      </c>
      <c r="N465" s="3" t="str">
        <f t="shared" si="131"/>
        <v>02</v>
      </c>
      <c r="O465" s="14">
        <f t="shared" si="132"/>
        <v>20</v>
      </c>
      <c r="P465" s="4">
        <v>11000</v>
      </c>
      <c r="T465" s="5" t="s">
        <v>352</v>
      </c>
      <c r="U465" s="3" t="s">
        <v>30</v>
      </c>
      <c r="V465" s="3" t="s">
        <v>1312</v>
      </c>
      <c r="W465" s="3" t="s">
        <v>1307</v>
      </c>
      <c r="X465" s="1" t="s">
        <v>1305</v>
      </c>
    </row>
    <row r="466" spans="1:25" hidden="1">
      <c r="A466" s="143">
        <v>423</v>
      </c>
      <c r="B466" s="1">
        <f>IF(G466="-",0,IF(G465=G466,1,0))</f>
        <v>0</v>
      </c>
      <c r="C466" s="1">
        <f>+IF(G466="-",0,IF(I466=I465+1,0,(IF(I466=1,0,1))))</f>
        <v>0</v>
      </c>
      <c r="D466" s="1">
        <f>+IF(AND(P466="",Q466=""),1,0)</f>
        <v>0</v>
      </c>
      <c r="E466" s="1">
        <f t="shared" si="134"/>
        <v>0</v>
      </c>
      <c r="F466" s="1">
        <f t="shared" si="134"/>
        <v>0</v>
      </c>
      <c r="G466" s="1" t="str">
        <f>IF(H466=0,"-",_xlfn.CONCAT(K466,N466,O466,J466))</f>
        <v>25022006</v>
      </c>
      <c r="H466" s="2">
        <v>45708</v>
      </c>
      <c r="I466" s="113">
        <v>6</v>
      </c>
      <c r="J466" s="1" t="str">
        <f t="shared" si="127"/>
        <v>06</v>
      </c>
      <c r="K466" s="3">
        <f t="shared" si="128"/>
        <v>25</v>
      </c>
      <c r="L466" s="3">
        <f t="shared" si="129"/>
        <v>2</v>
      </c>
      <c r="M466" s="3">
        <f t="shared" si="130"/>
        <v>20</v>
      </c>
      <c r="N466" s="3" t="str">
        <f t="shared" si="131"/>
        <v>02</v>
      </c>
      <c r="O466" s="14">
        <f t="shared" si="132"/>
        <v>20</v>
      </c>
      <c r="P466" s="4">
        <v>78635.600000000006</v>
      </c>
      <c r="T466" s="5" t="s">
        <v>352</v>
      </c>
      <c r="U466" s="3" t="s">
        <v>30</v>
      </c>
      <c r="V466" s="3" t="s">
        <v>1312</v>
      </c>
      <c r="W466" s="3" t="s">
        <v>1307</v>
      </c>
      <c r="X466" s="1" t="s">
        <v>1305</v>
      </c>
    </row>
    <row r="467" spans="1:25" hidden="1">
      <c r="A467" s="143">
        <v>424</v>
      </c>
      <c r="B467" s="1">
        <f>IF(G467="-",0,IF(G466=G467,1,0))</f>
        <v>0</v>
      </c>
      <c r="C467" s="1">
        <f>+IF(G467="-",0,IF(I467=I466+1,0,(IF(I467=1,0,1))))</f>
        <v>0</v>
      </c>
      <c r="D467" s="1">
        <f>+IF(AND(P467="",Q467=""),1,0)</f>
        <v>0</v>
      </c>
      <c r="E467" s="1">
        <f t="shared" si="134"/>
        <v>0</v>
      </c>
      <c r="F467" s="1">
        <f t="shared" si="134"/>
        <v>0</v>
      </c>
      <c r="G467" s="1" t="str">
        <f>IF(H467=0,"-",_xlfn.CONCAT(K467,N467,O467,J467))</f>
        <v>25022007</v>
      </c>
      <c r="H467" s="2">
        <v>45708</v>
      </c>
      <c r="I467" s="113">
        <v>7</v>
      </c>
      <c r="J467" s="1" t="str">
        <f t="shared" si="127"/>
        <v>07</v>
      </c>
      <c r="K467" s="3">
        <f t="shared" si="128"/>
        <v>25</v>
      </c>
      <c r="L467" s="3">
        <f t="shared" si="129"/>
        <v>2</v>
      </c>
      <c r="M467" s="3">
        <f t="shared" si="130"/>
        <v>20</v>
      </c>
      <c r="N467" s="3" t="str">
        <f t="shared" si="131"/>
        <v>02</v>
      </c>
      <c r="O467" s="14">
        <f t="shared" si="132"/>
        <v>20</v>
      </c>
      <c r="P467" s="4">
        <v>0</v>
      </c>
      <c r="T467" s="5" t="s">
        <v>1822</v>
      </c>
      <c r="U467" s="3" t="s">
        <v>1406</v>
      </c>
      <c r="V467" s="3" t="s">
        <v>1304</v>
      </c>
      <c r="W467" s="3" t="s">
        <v>1307</v>
      </c>
      <c r="X467" s="1" t="s">
        <v>1305</v>
      </c>
    </row>
    <row r="468" spans="1:25" hidden="1">
      <c r="A468" s="143">
        <v>465</v>
      </c>
      <c r="B468" s="1">
        <f>IF(G468="-",0,IF(G467=G468,1,0))</f>
        <v>0</v>
      </c>
      <c r="C468" s="1">
        <f>+IF(G468="-",0,IF(I468=I467+1,0,(IF(I468=1,0,1))))</f>
        <v>0</v>
      </c>
      <c r="D468" s="1">
        <f>+IF(AND(P468="",Q468=""),1,0)</f>
        <v>0</v>
      </c>
      <c r="E468" s="1">
        <f t="shared" si="134"/>
        <v>0</v>
      </c>
      <c r="F468" s="1">
        <f t="shared" si="134"/>
        <v>0</v>
      </c>
      <c r="G468" s="1" t="str">
        <f>IF(H468=0,"-",_xlfn.CONCAT(K468,N468,O468,J468))</f>
        <v>25022008</v>
      </c>
      <c r="H468" s="2">
        <v>45708</v>
      </c>
      <c r="I468" s="113">
        <v>8</v>
      </c>
      <c r="J468" s="1" t="str">
        <f t="shared" si="127"/>
        <v>08</v>
      </c>
      <c r="K468" s="3">
        <f t="shared" si="128"/>
        <v>25</v>
      </c>
      <c r="L468" s="3">
        <f t="shared" si="129"/>
        <v>2</v>
      </c>
      <c r="M468" s="3">
        <f t="shared" si="130"/>
        <v>20</v>
      </c>
      <c r="N468" s="3" t="str">
        <f t="shared" si="131"/>
        <v>02</v>
      </c>
      <c r="O468" s="14">
        <f t="shared" si="132"/>
        <v>20</v>
      </c>
      <c r="P468" s="4">
        <v>200000</v>
      </c>
      <c r="T468" s="5" t="s">
        <v>1570</v>
      </c>
      <c r="U468" s="3" t="s">
        <v>1545</v>
      </c>
      <c r="V468" s="3" t="s">
        <v>5</v>
      </c>
      <c r="W468" s="3" t="s">
        <v>1306</v>
      </c>
      <c r="X468" s="1" t="s">
        <v>1302</v>
      </c>
    </row>
    <row r="469" spans="1:25" hidden="1">
      <c r="A469" s="143"/>
      <c r="J469" s="1" t="str">
        <f t="shared" si="127"/>
        <v>0</v>
      </c>
      <c r="K469" s="3">
        <f t="shared" si="128"/>
        <v>-100</v>
      </c>
      <c r="L469" s="3">
        <f t="shared" si="129"/>
        <v>1</v>
      </c>
      <c r="M469" s="3">
        <f t="shared" si="130"/>
        <v>0</v>
      </c>
      <c r="N469" s="3" t="str">
        <f t="shared" si="131"/>
        <v>01</v>
      </c>
      <c r="O469" s="14" t="str">
        <f t="shared" si="132"/>
        <v>00</v>
      </c>
    </row>
    <row r="470" spans="1:25" hidden="1">
      <c r="A470" s="143"/>
      <c r="J470" s="1" t="str">
        <f t="shared" si="127"/>
        <v>0</v>
      </c>
      <c r="K470" s="3">
        <f t="shared" si="128"/>
        <v>-100</v>
      </c>
      <c r="L470" s="3">
        <f t="shared" si="129"/>
        <v>1</v>
      </c>
      <c r="M470" s="3">
        <f t="shared" si="130"/>
        <v>0</v>
      </c>
      <c r="N470" s="3" t="str">
        <f t="shared" si="131"/>
        <v>01</v>
      </c>
      <c r="O470" s="14" t="str">
        <f t="shared" si="132"/>
        <v>00</v>
      </c>
    </row>
    <row r="471" spans="1:25" hidden="1">
      <c r="A471" s="143"/>
      <c r="J471" s="1" t="str">
        <f t="shared" si="127"/>
        <v>0</v>
      </c>
      <c r="K471" s="3">
        <f t="shared" si="128"/>
        <v>-100</v>
      </c>
      <c r="L471" s="3">
        <f t="shared" si="129"/>
        <v>1</v>
      </c>
      <c r="M471" s="3">
        <f t="shared" si="130"/>
        <v>0</v>
      </c>
      <c r="N471" s="3" t="str">
        <f t="shared" si="131"/>
        <v>01</v>
      </c>
      <c r="O471" s="14" t="str">
        <f t="shared" si="132"/>
        <v>00</v>
      </c>
    </row>
    <row r="472" spans="1:25" hidden="1">
      <c r="A472" s="143">
        <v>425</v>
      </c>
      <c r="B472" s="1">
        <f t="shared" ref="B472:B483" si="135">IF(G472="-",0,IF(G471=G472,1,0))</f>
        <v>0</v>
      </c>
      <c r="C472" s="1">
        <f t="shared" ref="C472:C483" si="136">+IF(G472="-",0,IF(I472=I471+1,0,(IF(I472=1,0,1))))</f>
        <v>0</v>
      </c>
      <c r="D472" s="1">
        <f t="shared" ref="D472:D483" si="137">+IF(AND(P472="",Q472=""),1,0)</f>
        <v>0</v>
      </c>
      <c r="E472" s="1">
        <f t="shared" ref="E472:E483" si="138">IF(U472="",1,0)</f>
        <v>0</v>
      </c>
      <c r="F472" s="1">
        <f t="shared" ref="F472:F483" si="139">IF(V472="",1,0)</f>
        <v>0</v>
      </c>
      <c r="G472" s="1" t="str">
        <f t="shared" ref="G472:G483" si="140">IF(H472=0,"-",_xlfn.CONCAT(K472,N472,O472,J472))</f>
        <v>25022101</v>
      </c>
      <c r="H472" s="2">
        <v>45709</v>
      </c>
      <c r="I472" s="113">
        <v>1</v>
      </c>
      <c r="J472" s="1" t="str">
        <f t="shared" si="127"/>
        <v>01</v>
      </c>
      <c r="K472" s="3">
        <f t="shared" si="128"/>
        <v>25</v>
      </c>
      <c r="L472" s="3">
        <f t="shared" si="129"/>
        <v>2</v>
      </c>
      <c r="M472" s="3">
        <f t="shared" si="130"/>
        <v>21</v>
      </c>
      <c r="N472" s="3" t="str">
        <f t="shared" si="131"/>
        <v>02</v>
      </c>
      <c r="O472" s="14">
        <f t="shared" si="132"/>
        <v>21</v>
      </c>
      <c r="P472" s="4">
        <v>16888</v>
      </c>
      <c r="T472" s="5" t="s">
        <v>1332</v>
      </c>
      <c r="U472" s="3" t="s">
        <v>29</v>
      </c>
      <c r="V472" s="3" t="s">
        <v>5</v>
      </c>
      <c r="W472" s="3" t="s">
        <v>1307</v>
      </c>
      <c r="X472" s="1" t="s">
        <v>1305</v>
      </c>
    </row>
    <row r="473" spans="1:25">
      <c r="A473" s="143">
        <v>427</v>
      </c>
      <c r="B473" s="1">
        <f t="shared" si="135"/>
        <v>0</v>
      </c>
      <c r="C473" s="1">
        <f t="shared" si="136"/>
        <v>0</v>
      </c>
      <c r="D473" s="1">
        <f t="shared" si="137"/>
        <v>0</v>
      </c>
      <c r="E473" s="1">
        <f t="shared" si="138"/>
        <v>0</v>
      </c>
      <c r="F473" s="1">
        <f t="shared" si="139"/>
        <v>0</v>
      </c>
      <c r="G473" s="1" t="str">
        <f t="shared" si="140"/>
        <v>25022102</v>
      </c>
      <c r="H473" s="2">
        <v>45709</v>
      </c>
      <c r="I473" s="113">
        <v>2</v>
      </c>
      <c r="J473" s="1" t="str">
        <f t="shared" si="127"/>
        <v>02</v>
      </c>
      <c r="K473" s="3">
        <f t="shared" si="128"/>
        <v>25</v>
      </c>
      <c r="L473" s="3">
        <f t="shared" si="129"/>
        <v>2</v>
      </c>
      <c r="M473" s="3">
        <f t="shared" si="130"/>
        <v>21</v>
      </c>
      <c r="N473" s="3" t="str">
        <f t="shared" si="131"/>
        <v>02</v>
      </c>
      <c r="O473" s="14">
        <f t="shared" si="132"/>
        <v>21</v>
      </c>
      <c r="P473" s="4">
        <v>445707.31</v>
      </c>
      <c r="T473" s="5" t="s">
        <v>1821</v>
      </c>
      <c r="U473" s="3" t="s">
        <v>1342</v>
      </c>
      <c r="V473" s="3" t="s">
        <v>5</v>
      </c>
      <c r="W473" s="3" t="s">
        <v>1306</v>
      </c>
      <c r="X473" s="1" t="s">
        <v>1305</v>
      </c>
    </row>
    <row r="474" spans="1:25">
      <c r="A474" s="143">
        <v>428</v>
      </c>
      <c r="B474" s="1">
        <f t="shared" si="135"/>
        <v>0</v>
      </c>
      <c r="C474" s="1">
        <f t="shared" si="136"/>
        <v>0</v>
      </c>
      <c r="D474" s="1">
        <f t="shared" si="137"/>
        <v>0</v>
      </c>
      <c r="E474" s="1">
        <f t="shared" si="138"/>
        <v>1</v>
      </c>
      <c r="F474" s="1">
        <f t="shared" si="139"/>
        <v>0</v>
      </c>
      <c r="G474" s="1" t="str">
        <f t="shared" si="140"/>
        <v>25022103</v>
      </c>
      <c r="H474" s="2">
        <v>45709</v>
      </c>
      <c r="I474" s="113">
        <v>3</v>
      </c>
      <c r="J474" s="1" t="str">
        <f t="shared" si="127"/>
        <v>03</v>
      </c>
      <c r="K474" s="3">
        <f t="shared" si="128"/>
        <v>25</v>
      </c>
      <c r="L474" s="3">
        <f t="shared" si="129"/>
        <v>2</v>
      </c>
      <c r="M474" s="3">
        <f t="shared" si="130"/>
        <v>21</v>
      </c>
      <c r="N474" s="3" t="str">
        <f t="shared" si="131"/>
        <v>02</v>
      </c>
      <c r="O474" s="14">
        <f t="shared" si="132"/>
        <v>21</v>
      </c>
      <c r="P474" s="4">
        <v>304845.75</v>
      </c>
      <c r="T474" s="5" t="s">
        <v>1820</v>
      </c>
      <c r="V474" s="3" t="s">
        <v>5</v>
      </c>
      <c r="W474" s="3" t="s">
        <v>1306</v>
      </c>
      <c r="X474" s="1" t="s">
        <v>1305</v>
      </c>
    </row>
    <row r="475" spans="1:25">
      <c r="A475" s="143">
        <v>429</v>
      </c>
      <c r="B475" s="1">
        <f t="shared" si="135"/>
        <v>0</v>
      </c>
      <c r="C475" s="1">
        <f t="shared" si="136"/>
        <v>0</v>
      </c>
      <c r="D475" s="1">
        <f t="shared" si="137"/>
        <v>0</v>
      </c>
      <c r="E475" s="1">
        <f t="shared" si="138"/>
        <v>1</v>
      </c>
      <c r="F475" s="1">
        <f t="shared" si="139"/>
        <v>0</v>
      </c>
      <c r="G475" s="1" t="str">
        <f t="shared" si="140"/>
        <v>25022104</v>
      </c>
      <c r="H475" s="2">
        <v>45709</v>
      </c>
      <c r="I475" s="113">
        <v>4</v>
      </c>
      <c r="J475" s="1" t="str">
        <f t="shared" si="127"/>
        <v>04</v>
      </c>
      <c r="K475" s="3">
        <f t="shared" si="128"/>
        <v>25</v>
      </c>
      <c r="L475" s="3">
        <f t="shared" si="129"/>
        <v>2</v>
      </c>
      <c r="M475" s="3">
        <f t="shared" si="130"/>
        <v>21</v>
      </c>
      <c r="N475" s="3" t="str">
        <f t="shared" si="131"/>
        <v>02</v>
      </c>
      <c r="O475" s="14">
        <f t="shared" si="132"/>
        <v>21</v>
      </c>
      <c r="P475" s="4">
        <v>3000</v>
      </c>
      <c r="Q475" s="158"/>
      <c r="T475" s="5" t="s">
        <v>1791</v>
      </c>
      <c r="V475" s="3" t="s">
        <v>5</v>
      </c>
      <c r="W475" s="3" t="s">
        <v>1307</v>
      </c>
      <c r="X475" s="1" t="s">
        <v>1305</v>
      </c>
    </row>
    <row r="476" spans="1:25" hidden="1">
      <c r="A476" s="143">
        <v>430</v>
      </c>
      <c r="B476" s="1">
        <f t="shared" si="135"/>
        <v>0</v>
      </c>
      <c r="C476" s="1">
        <f t="shared" si="136"/>
        <v>0</v>
      </c>
      <c r="D476" s="1">
        <f t="shared" si="137"/>
        <v>0</v>
      </c>
      <c r="E476" s="1">
        <f t="shared" si="138"/>
        <v>0</v>
      </c>
      <c r="F476" s="1">
        <f t="shared" si="139"/>
        <v>0</v>
      </c>
      <c r="G476" s="1" t="str">
        <f t="shared" si="140"/>
        <v>25022105</v>
      </c>
      <c r="H476" s="2">
        <v>45709</v>
      </c>
      <c r="I476" s="113">
        <v>5</v>
      </c>
      <c r="J476" s="1" t="str">
        <f t="shared" si="127"/>
        <v>05</v>
      </c>
      <c r="K476" s="3">
        <f t="shared" si="128"/>
        <v>25</v>
      </c>
      <c r="L476" s="3">
        <f t="shared" si="129"/>
        <v>2</v>
      </c>
      <c r="M476" s="3">
        <f t="shared" si="130"/>
        <v>21</v>
      </c>
      <c r="N476" s="3" t="str">
        <f t="shared" si="131"/>
        <v>02</v>
      </c>
      <c r="O476" s="14">
        <f t="shared" si="132"/>
        <v>21</v>
      </c>
      <c r="Q476" s="5">
        <v>134.76</v>
      </c>
      <c r="T476" s="5" t="s">
        <v>1371</v>
      </c>
      <c r="U476" s="3" t="s">
        <v>1310</v>
      </c>
      <c r="V476" s="3" t="s">
        <v>1304</v>
      </c>
      <c r="W476" s="3" t="s">
        <v>1306</v>
      </c>
      <c r="X476" s="1" t="s">
        <v>1305</v>
      </c>
    </row>
    <row r="477" spans="1:25">
      <c r="A477" s="143">
        <v>468</v>
      </c>
      <c r="B477" s="1">
        <f t="shared" si="135"/>
        <v>0</v>
      </c>
      <c r="C477" s="1">
        <f t="shared" si="136"/>
        <v>0</v>
      </c>
      <c r="D477" s="1">
        <f t="shared" si="137"/>
        <v>0</v>
      </c>
      <c r="E477" s="1">
        <f t="shared" si="138"/>
        <v>0</v>
      </c>
      <c r="F477" s="1">
        <f t="shared" si="139"/>
        <v>0</v>
      </c>
      <c r="G477" s="1" t="str">
        <f t="shared" si="140"/>
        <v>25022106</v>
      </c>
      <c r="H477" s="2">
        <v>45709</v>
      </c>
      <c r="I477" s="113">
        <v>6</v>
      </c>
      <c r="J477" s="1" t="str">
        <f t="shared" si="127"/>
        <v>06</v>
      </c>
      <c r="K477" s="3">
        <f t="shared" si="128"/>
        <v>25</v>
      </c>
      <c r="L477" s="3">
        <f t="shared" si="129"/>
        <v>2</v>
      </c>
      <c r="M477" s="3">
        <f t="shared" si="130"/>
        <v>21</v>
      </c>
      <c r="N477" s="3" t="str">
        <f t="shared" si="131"/>
        <v>02</v>
      </c>
      <c r="O477" s="14">
        <f t="shared" si="132"/>
        <v>21</v>
      </c>
      <c r="P477" s="4">
        <v>200000</v>
      </c>
      <c r="T477" s="5" t="s">
        <v>1570</v>
      </c>
      <c r="U477" s="3" t="s">
        <v>1342</v>
      </c>
      <c r="V477" s="3" t="s">
        <v>5</v>
      </c>
      <c r="W477" s="3" t="s">
        <v>1306</v>
      </c>
      <c r="X477" s="1" t="s">
        <v>1302</v>
      </c>
    </row>
    <row r="478" spans="1:25" hidden="1">
      <c r="A478" s="143">
        <v>469</v>
      </c>
      <c r="B478" s="1">
        <f t="shared" si="135"/>
        <v>0</v>
      </c>
      <c r="C478" s="1">
        <f t="shared" si="136"/>
        <v>0</v>
      </c>
      <c r="D478" s="1">
        <f t="shared" si="137"/>
        <v>0</v>
      </c>
      <c r="E478" s="1">
        <f t="shared" si="138"/>
        <v>0</v>
      </c>
      <c r="F478" s="1">
        <f t="shared" si="139"/>
        <v>0</v>
      </c>
      <c r="G478" s="1" t="str">
        <f t="shared" si="140"/>
        <v>25022107</v>
      </c>
      <c r="H478" s="2">
        <v>45709</v>
      </c>
      <c r="I478" s="113">
        <v>7</v>
      </c>
      <c r="J478" s="1" t="str">
        <f t="shared" si="127"/>
        <v>07</v>
      </c>
      <c r="K478" s="3">
        <f t="shared" si="128"/>
        <v>25</v>
      </c>
      <c r="L478" s="3">
        <f t="shared" si="129"/>
        <v>2</v>
      </c>
      <c r="M478" s="3">
        <f t="shared" si="130"/>
        <v>21</v>
      </c>
      <c r="N478" s="3" t="str">
        <f t="shared" si="131"/>
        <v>02</v>
      </c>
      <c r="O478" s="14">
        <f t="shared" si="132"/>
        <v>21</v>
      </c>
      <c r="P478" s="4">
        <v>44556</v>
      </c>
      <c r="T478" s="5" t="s">
        <v>1819</v>
      </c>
      <c r="U478" s="3" t="s">
        <v>305</v>
      </c>
      <c r="V478" s="3" t="s">
        <v>1304</v>
      </c>
      <c r="W478" s="3" t="s">
        <v>1306</v>
      </c>
      <c r="Y478" s="141" t="s">
        <v>1816</v>
      </c>
    </row>
    <row r="479" spans="1:25" hidden="1">
      <c r="A479" s="143">
        <v>470</v>
      </c>
      <c r="B479" s="1">
        <f t="shared" si="135"/>
        <v>0</v>
      </c>
      <c r="C479" s="1">
        <f t="shared" si="136"/>
        <v>0</v>
      </c>
      <c r="D479" s="1">
        <f t="shared" si="137"/>
        <v>0</v>
      </c>
      <c r="E479" s="1">
        <f t="shared" si="138"/>
        <v>0</v>
      </c>
      <c r="F479" s="1">
        <f t="shared" si="139"/>
        <v>0</v>
      </c>
      <c r="G479" s="1" t="str">
        <f t="shared" si="140"/>
        <v>25022108</v>
      </c>
      <c r="H479" s="2">
        <v>45709</v>
      </c>
      <c r="I479" s="113">
        <v>8</v>
      </c>
      <c r="J479" s="1" t="str">
        <f t="shared" si="127"/>
        <v>08</v>
      </c>
      <c r="K479" s="3">
        <f t="shared" si="128"/>
        <v>25</v>
      </c>
      <c r="L479" s="3">
        <f t="shared" si="129"/>
        <v>2</v>
      </c>
      <c r="M479" s="3">
        <f t="shared" si="130"/>
        <v>21</v>
      </c>
      <c r="N479" s="3" t="str">
        <f t="shared" si="131"/>
        <v>02</v>
      </c>
      <c r="O479" s="14">
        <f t="shared" si="132"/>
        <v>21</v>
      </c>
      <c r="P479" s="4">
        <v>11020</v>
      </c>
      <c r="T479" s="5" t="s">
        <v>1818</v>
      </c>
      <c r="U479" s="3" t="s">
        <v>305</v>
      </c>
      <c r="V479" s="3" t="s">
        <v>1304</v>
      </c>
      <c r="W479" s="3" t="s">
        <v>1306</v>
      </c>
      <c r="Y479" s="141" t="s">
        <v>1816</v>
      </c>
    </row>
    <row r="480" spans="1:25" hidden="1">
      <c r="A480" s="143">
        <v>471</v>
      </c>
      <c r="B480" s="1">
        <f t="shared" si="135"/>
        <v>0</v>
      </c>
      <c r="C480" s="1">
        <f t="shared" si="136"/>
        <v>0</v>
      </c>
      <c r="D480" s="1">
        <f t="shared" si="137"/>
        <v>0</v>
      </c>
      <c r="E480" s="1">
        <f t="shared" si="138"/>
        <v>0</v>
      </c>
      <c r="F480" s="1">
        <f t="shared" si="139"/>
        <v>0</v>
      </c>
      <c r="G480" s="1" t="str">
        <f t="shared" si="140"/>
        <v>25022109</v>
      </c>
      <c r="H480" s="2">
        <v>45709</v>
      </c>
      <c r="I480" s="113">
        <v>9</v>
      </c>
      <c r="J480" s="1" t="str">
        <f t="shared" si="127"/>
        <v>09</v>
      </c>
      <c r="K480" s="3">
        <f t="shared" si="128"/>
        <v>25</v>
      </c>
      <c r="L480" s="3">
        <f t="shared" si="129"/>
        <v>2</v>
      </c>
      <c r="M480" s="3">
        <f t="shared" si="130"/>
        <v>21</v>
      </c>
      <c r="N480" s="3" t="str">
        <f t="shared" si="131"/>
        <v>02</v>
      </c>
      <c r="O480" s="14">
        <f t="shared" si="132"/>
        <v>21</v>
      </c>
      <c r="P480" s="4">
        <v>51665</v>
      </c>
      <c r="T480" s="5" t="s">
        <v>1817</v>
      </c>
      <c r="U480" s="3" t="s">
        <v>305</v>
      </c>
      <c r="V480" s="3" t="s">
        <v>1304</v>
      </c>
      <c r="W480" s="3" t="s">
        <v>1306</v>
      </c>
      <c r="Y480" s="141" t="s">
        <v>1816</v>
      </c>
    </row>
    <row r="481" spans="1:25" hidden="1">
      <c r="A481" s="143">
        <v>484</v>
      </c>
      <c r="B481" s="1">
        <f t="shared" si="135"/>
        <v>0</v>
      </c>
      <c r="C481" s="1">
        <f t="shared" si="136"/>
        <v>1</v>
      </c>
      <c r="D481" s="1">
        <f t="shared" si="137"/>
        <v>0</v>
      </c>
      <c r="E481" s="1">
        <f t="shared" si="138"/>
        <v>0</v>
      </c>
      <c r="F481" s="1">
        <f t="shared" si="139"/>
        <v>0</v>
      </c>
      <c r="G481" s="1" t="str">
        <f t="shared" si="140"/>
        <v>25022111</v>
      </c>
      <c r="H481" s="2">
        <v>45709</v>
      </c>
      <c r="I481" s="113">
        <v>11</v>
      </c>
      <c r="J481" s="1">
        <f t="shared" si="127"/>
        <v>11</v>
      </c>
      <c r="K481" s="3">
        <f t="shared" si="128"/>
        <v>25</v>
      </c>
      <c r="L481" s="3">
        <f t="shared" si="129"/>
        <v>2</v>
      </c>
      <c r="M481" s="3">
        <f t="shared" si="130"/>
        <v>21</v>
      </c>
      <c r="N481" s="3" t="str">
        <f t="shared" si="131"/>
        <v>02</v>
      </c>
      <c r="O481" s="14">
        <f t="shared" si="132"/>
        <v>21</v>
      </c>
      <c r="P481" s="4">
        <v>45600</v>
      </c>
      <c r="T481" s="5" t="s">
        <v>1657</v>
      </c>
      <c r="U481" s="3" t="s">
        <v>29</v>
      </c>
      <c r="V481" s="3" t="s">
        <v>5</v>
      </c>
      <c r="W481" s="3" t="s">
        <v>1303</v>
      </c>
      <c r="X481" s="1" t="s">
        <v>1302</v>
      </c>
    </row>
    <row r="482" spans="1:25" hidden="1">
      <c r="A482" s="143">
        <v>485</v>
      </c>
      <c r="B482" s="1">
        <f t="shared" si="135"/>
        <v>0</v>
      </c>
      <c r="C482" s="1">
        <f t="shared" si="136"/>
        <v>0</v>
      </c>
      <c r="D482" s="1">
        <f t="shared" si="137"/>
        <v>0</v>
      </c>
      <c r="E482" s="1">
        <f t="shared" si="138"/>
        <v>0</v>
      </c>
      <c r="F482" s="1">
        <f t="shared" si="139"/>
        <v>0</v>
      </c>
      <c r="G482" s="1" t="str">
        <f t="shared" si="140"/>
        <v>25022112</v>
      </c>
      <c r="H482" s="2">
        <v>45709</v>
      </c>
      <c r="I482" s="113">
        <v>12</v>
      </c>
      <c r="J482" s="1">
        <f t="shared" si="127"/>
        <v>12</v>
      </c>
      <c r="K482" s="3">
        <f t="shared" si="128"/>
        <v>25</v>
      </c>
      <c r="L482" s="3">
        <f t="shared" si="129"/>
        <v>2</v>
      </c>
      <c r="M482" s="3">
        <f t="shared" si="130"/>
        <v>21</v>
      </c>
      <c r="N482" s="3" t="str">
        <f t="shared" si="131"/>
        <v>02</v>
      </c>
      <c r="O482" s="14">
        <f t="shared" si="132"/>
        <v>21</v>
      </c>
      <c r="P482" s="4">
        <v>334338.75</v>
      </c>
      <c r="T482" s="5" t="s">
        <v>1815</v>
      </c>
      <c r="U482" s="3" t="s">
        <v>1545</v>
      </c>
      <c r="V482" s="3" t="s">
        <v>5</v>
      </c>
      <c r="W482" s="3" t="s">
        <v>1306</v>
      </c>
      <c r="Y482" s="157" t="s">
        <v>1814</v>
      </c>
    </row>
    <row r="483" spans="1:25">
      <c r="A483" s="143">
        <v>486</v>
      </c>
      <c r="B483" s="1">
        <f t="shared" si="135"/>
        <v>0</v>
      </c>
      <c r="C483" s="1">
        <f t="shared" si="136"/>
        <v>0</v>
      </c>
      <c r="D483" s="1">
        <f t="shared" si="137"/>
        <v>0</v>
      </c>
      <c r="E483" s="1">
        <f t="shared" si="138"/>
        <v>1</v>
      </c>
      <c r="F483" s="1">
        <f t="shared" si="139"/>
        <v>0</v>
      </c>
      <c r="G483" s="1" t="str">
        <f t="shared" si="140"/>
        <v>25022113</v>
      </c>
      <c r="H483" s="2">
        <v>45709</v>
      </c>
      <c r="I483" s="113">
        <v>13</v>
      </c>
      <c r="J483" s="1">
        <f t="shared" si="127"/>
        <v>13</v>
      </c>
      <c r="K483" s="3">
        <f t="shared" si="128"/>
        <v>25</v>
      </c>
      <c r="L483" s="3">
        <f t="shared" si="129"/>
        <v>2</v>
      </c>
      <c r="M483" s="3">
        <f t="shared" si="130"/>
        <v>21</v>
      </c>
      <c r="N483" s="3" t="str">
        <f t="shared" si="131"/>
        <v>02</v>
      </c>
      <c r="O483" s="14">
        <f t="shared" si="132"/>
        <v>21</v>
      </c>
      <c r="Q483" s="5">
        <v>531.1</v>
      </c>
      <c r="T483" s="5" t="s">
        <v>1813</v>
      </c>
      <c r="V483" s="3" t="s">
        <v>5</v>
      </c>
      <c r="W483" s="3" t="s">
        <v>1303</v>
      </c>
      <c r="X483" s="1" t="s">
        <v>1305</v>
      </c>
      <c r="Y483" s="141" t="s">
        <v>1812</v>
      </c>
    </row>
    <row r="484" spans="1:25" hidden="1">
      <c r="A484" s="143"/>
      <c r="J484" s="1" t="str">
        <f t="shared" si="127"/>
        <v>0</v>
      </c>
      <c r="K484" s="3">
        <f t="shared" si="128"/>
        <v>-100</v>
      </c>
      <c r="L484" s="3">
        <f t="shared" si="129"/>
        <v>1</v>
      </c>
      <c r="M484" s="3">
        <f t="shared" si="130"/>
        <v>0</v>
      </c>
      <c r="N484" s="3" t="str">
        <f t="shared" si="131"/>
        <v>01</v>
      </c>
      <c r="O484" s="14" t="str">
        <f t="shared" si="132"/>
        <v>00</v>
      </c>
    </row>
    <row r="485" spans="1:25" hidden="1">
      <c r="A485" s="143"/>
      <c r="J485" s="1" t="str">
        <f t="shared" si="127"/>
        <v>0</v>
      </c>
      <c r="K485" s="3">
        <f t="shared" si="128"/>
        <v>-100</v>
      </c>
      <c r="L485" s="3">
        <f t="shared" si="129"/>
        <v>1</v>
      </c>
      <c r="M485" s="3">
        <f t="shared" si="130"/>
        <v>0</v>
      </c>
      <c r="N485" s="3" t="str">
        <f t="shared" si="131"/>
        <v>01</v>
      </c>
      <c r="O485" s="14" t="str">
        <f t="shared" si="132"/>
        <v>00</v>
      </c>
    </row>
    <row r="486" spans="1:25" hidden="1">
      <c r="A486" s="143">
        <v>432</v>
      </c>
      <c r="B486" s="1">
        <f>IF(G486="-",0,IF(G485=G486,1,0))</f>
        <v>0</v>
      </c>
      <c r="C486" s="1">
        <f>+IF(G486="-",0,IF(I486=I485+1,0,(IF(I486=1,0,1))))</f>
        <v>1</v>
      </c>
      <c r="D486" s="1">
        <f>+IF(AND(P486="",Q486=""),1,0)</f>
        <v>0</v>
      </c>
      <c r="E486" s="1">
        <f>IF(U486="",1,0)</f>
        <v>0</v>
      </c>
      <c r="F486" s="1">
        <f>IF(V486="",1,0)</f>
        <v>0</v>
      </c>
      <c r="G486" s="1" t="str">
        <f>IF(H486=0,"-",_xlfn.CONCAT(K486,N486,O486,J486))</f>
        <v>25022202</v>
      </c>
      <c r="H486" s="2">
        <v>45710</v>
      </c>
      <c r="I486" s="113">
        <v>2</v>
      </c>
      <c r="J486" s="1" t="str">
        <f t="shared" si="127"/>
        <v>02</v>
      </c>
      <c r="K486" s="3">
        <f t="shared" si="128"/>
        <v>25</v>
      </c>
      <c r="L486" s="3">
        <f t="shared" si="129"/>
        <v>2</v>
      </c>
      <c r="M486" s="3">
        <f t="shared" si="130"/>
        <v>22</v>
      </c>
      <c r="N486" s="3" t="str">
        <f t="shared" si="131"/>
        <v>02</v>
      </c>
      <c r="O486" s="14">
        <f t="shared" si="132"/>
        <v>22</v>
      </c>
      <c r="P486" s="4">
        <v>22868.6</v>
      </c>
      <c r="T486" s="5" t="s">
        <v>1698</v>
      </c>
      <c r="U486" s="3" t="s">
        <v>726</v>
      </c>
      <c r="V486" s="3" t="s">
        <v>1316</v>
      </c>
      <c r="W486" s="3" t="s">
        <v>1309</v>
      </c>
      <c r="X486" s="1" t="s">
        <v>1305</v>
      </c>
    </row>
    <row r="487" spans="1:25" hidden="1">
      <c r="A487" s="143"/>
      <c r="J487" s="1" t="str">
        <f t="shared" si="127"/>
        <v>0</v>
      </c>
      <c r="K487" s="3">
        <f t="shared" si="128"/>
        <v>-100</v>
      </c>
      <c r="L487" s="3">
        <f t="shared" si="129"/>
        <v>1</v>
      </c>
      <c r="M487" s="3">
        <f t="shared" si="130"/>
        <v>0</v>
      </c>
      <c r="N487" s="3" t="str">
        <f t="shared" si="131"/>
        <v>01</v>
      </c>
      <c r="O487" s="14" t="str">
        <f t="shared" si="132"/>
        <v>00</v>
      </c>
    </row>
    <row r="488" spans="1:25">
      <c r="A488" s="143">
        <v>549</v>
      </c>
      <c r="B488" s="1">
        <f t="shared" ref="B488:B502" si="141">IF(G488="-",0,IF(G487=G488,1,0))</f>
        <v>0</v>
      </c>
      <c r="C488" s="1">
        <f t="shared" ref="C488:C502" si="142">+IF(G488="-",0,IF(I488=I487+1,0,(IF(I488=1,0,1))))</f>
        <v>1</v>
      </c>
      <c r="D488" s="1">
        <f t="shared" ref="D488:D502" si="143">+IF(AND(P488="",Q488=""),1,0)</f>
        <v>0</v>
      </c>
      <c r="E488" s="1">
        <f t="shared" ref="E488:E502" si="144">IF(U488="",1,0)</f>
        <v>1</v>
      </c>
      <c r="F488" s="1">
        <f t="shared" ref="F488:F502" si="145">IF(V488="",1,0)</f>
        <v>0</v>
      </c>
      <c r="G488" s="1" t="str">
        <f t="shared" ref="G488:G502" si="146">IF(H488=0,"-",_xlfn.CONCAT(K488,N488,O488,J488))</f>
        <v>25022204</v>
      </c>
      <c r="H488" s="2">
        <v>45710</v>
      </c>
      <c r="I488" s="113">
        <v>4</v>
      </c>
      <c r="J488" s="1" t="str">
        <f t="shared" si="127"/>
        <v>04</v>
      </c>
      <c r="K488" s="3">
        <f t="shared" si="128"/>
        <v>25</v>
      </c>
      <c r="L488" s="3">
        <f t="shared" si="129"/>
        <v>2</v>
      </c>
      <c r="M488" s="3">
        <f t="shared" si="130"/>
        <v>22</v>
      </c>
      <c r="N488" s="3" t="str">
        <f t="shared" si="131"/>
        <v>02</v>
      </c>
      <c r="O488" s="14">
        <f t="shared" si="132"/>
        <v>22</v>
      </c>
      <c r="P488" s="4">
        <v>159000</v>
      </c>
      <c r="T488" s="28" t="s">
        <v>1811</v>
      </c>
      <c r="V488" s="3" t="s">
        <v>5</v>
      </c>
      <c r="W488" s="3" t="s">
        <v>1306</v>
      </c>
      <c r="Y488" t="s">
        <v>1626</v>
      </c>
    </row>
    <row r="489" spans="1:25">
      <c r="A489" s="143">
        <v>550</v>
      </c>
      <c r="B489" s="1">
        <f t="shared" si="141"/>
        <v>0</v>
      </c>
      <c r="C489" s="1">
        <f t="shared" si="142"/>
        <v>0</v>
      </c>
      <c r="D489" s="1">
        <f t="shared" si="143"/>
        <v>0</v>
      </c>
      <c r="E489" s="1">
        <f t="shared" si="144"/>
        <v>1</v>
      </c>
      <c r="F489" s="1">
        <f t="shared" si="145"/>
        <v>0</v>
      </c>
      <c r="G489" s="1" t="str">
        <f t="shared" si="146"/>
        <v>25022205</v>
      </c>
      <c r="H489" s="2">
        <v>45710</v>
      </c>
      <c r="I489" s="113">
        <v>5</v>
      </c>
      <c r="J489" s="1" t="str">
        <f t="shared" si="127"/>
        <v>05</v>
      </c>
      <c r="K489" s="3">
        <f t="shared" si="128"/>
        <v>25</v>
      </c>
      <c r="L489" s="3">
        <f t="shared" si="129"/>
        <v>2</v>
      </c>
      <c r="M489" s="3">
        <f t="shared" si="130"/>
        <v>22</v>
      </c>
      <c r="N489" s="3" t="str">
        <f t="shared" si="131"/>
        <v>02</v>
      </c>
      <c r="O489" s="14">
        <f t="shared" si="132"/>
        <v>22</v>
      </c>
      <c r="P489" s="4">
        <v>138000</v>
      </c>
      <c r="T489" s="28" t="s">
        <v>1810</v>
      </c>
      <c r="V489" s="3" t="s">
        <v>5</v>
      </c>
      <c r="W489" s="3" t="s">
        <v>1306</v>
      </c>
      <c r="Y489" t="s">
        <v>1242</v>
      </c>
    </row>
    <row r="490" spans="1:25">
      <c r="A490" s="143">
        <v>551</v>
      </c>
      <c r="B490" s="1">
        <f t="shared" si="141"/>
        <v>0</v>
      </c>
      <c r="C490" s="1">
        <f t="shared" si="142"/>
        <v>0</v>
      </c>
      <c r="D490" s="1">
        <f t="shared" si="143"/>
        <v>0</v>
      </c>
      <c r="E490" s="1">
        <f t="shared" si="144"/>
        <v>1</v>
      </c>
      <c r="F490" s="1">
        <f t="shared" si="145"/>
        <v>0</v>
      </c>
      <c r="G490" s="1" t="str">
        <f t="shared" si="146"/>
        <v>25022206</v>
      </c>
      <c r="H490" s="2">
        <v>45710</v>
      </c>
      <c r="I490" s="113">
        <v>6</v>
      </c>
      <c r="J490" s="1" t="str">
        <f t="shared" si="127"/>
        <v>06</v>
      </c>
      <c r="K490" s="3">
        <f t="shared" si="128"/>
        <v>25</v>
      </c>
      <c r="L490" s="3">
        <f t="shared" si="129"/>
        <v>2</v>
      </c>
      <c r="M490" s="3">
        <f t="shared" si="130"/>
        <v>22</v>
      </c>
      <c r="N490" s="3" t="str">
        <f t="shared" si="131"/>
        <v>02</v>
      </c>
      <c r="O490" s="14">
        <f t="shared" si="132"/>
        <v>22</v>
      </c>
      <c r="P490" s="4">
        <v>132000</v>
      </c>
      <c r="T490" s="28" t="s">
        <v>1809</v>
      </c>
      <c r="V490" s="3" t="s">
        <v>5</v>
      </c>
      <c r="W490" s="3" t="s">
        <v>1306</v>
      </c>
      <c r="Y490" t="s">
        <v>1244</v>
      </c>
    </row>
    <row r="491" spans="1:25">
      <c r="A491" s="143">
        <v>552</v>
      </c>
      <c r="B491" s="1">
        <f t="shared" si="141"/>
        <v>0</v>
      </c>
      <c r="C491" s="1">
        <f t="shared" si="142"/>
        <v>0</v>
      </c>
      <c r="D491" s="1">
        <f t="shared" si="143"/>
        <v>0</v>
      </c>
      <c r="E491" s="1">
        <f t="shared" si="144"/>
        <v>1</v>
      </c>
      <c r="F491" s="1">
        <f t="shared" si="145"/>
        <v>0</v>
      </c>
      <c r="G491" s="1" t="str">
        <f t="shared" si="146"/>
        <v>25022207</v>
      </c>
      <c r="H491" s="2">
        <v>45710</v>
      </c>
      <c r="I491" s="113">
        <v>7</v>
      </c>
      <c r="J491" s="1" t="str">
        <f t="shared" si="127"/>
        <v>07</v>
      </c>
      <c r="K491" s="3">
        <f t="shared" si="128"/>
        <v>25</v>
      </c>
      <c r="L491" s="3">
        <f t="shared" si="129"/>
        <v>2</v>
      </c>
      <c r="M491" s="3">
        <f t="shared" si="130"/>
        <v>22</v>
      </c>
      <c r="N491" s="3" t="str">
        <f t="shared" si="131"/>
        <v>02</v>
      </c>
      <c r="O491" s="14">
        <f t="shared" si="132"/>
        <v>22</v>
      </c>
      <c r="P491" s="4">
        <v>108000</v>
      </c>
      <c r="T491" s="28" t="s">
        <v>1808</v>
      </c>
      <c r="V491" s="3" t="s">
        <v>5</v>
      </c>
      <c r="W491" s="3" t="s">
        <v>1306</v>
      </c>
      <c r="Y491" t="s">
        <v>1246</v>
      </c>
    </row>
    <row r="492" spans="1:25">
      <c r="A492" s="143">
        <v>553</v>
      </c>
      <c r="B492" s="1">
        <f t="shared" si="141"/>
        <v>0</v>
      </c>
      <c r="C492" s="1">
        <f t="shared" si="142"/>
        <v>0</v>
      </c>
      <c r="D492" s="1">
        <f t="shared" si="143"/>
        <v>0</v>
      </c>
      <c r="E492" s="1">
        <f t="shared" si="144"/>
        <v>1</v>
      </c>
      <c r="F492" s="1">
        <f t="shared" si="145"/>
        <v>0</v>
      </c>
      <c r="G492" s="1" t="str">
        <f t="shared" si="146"/>
        <v>25022208</v>
      </c>
      <c r="H492" s="2">
        <v>45710</v>
      </c>
      <c r="I492" s="113">
        <v>8</v>
      </c>
      <c r="J492" s="1" t="str">
        <f t="shared" si="127"/>
        <v>08</v>
      </c>
      <c r="K492" s="3">
        <f t="shared" si="128"/>
        <v>25</v>
      </c>
      <c r="L492" s="3">
        <f t="shared" si="129"/>
        <v>2</v>
      </c>
      <c r="M492" s="3">
        <f t="shared" si="130"/>
        <v>22</v>
      </c>
      <c r="N492" s="3" t="str">
        <f t="shared" si="131"/>
        <v>02</v>
      </c>
      <c r="O492" s="14">
        <f t="shared" si="132"/>
        <v>22</v>
      </c>
      <c r="P492" s="4">
        <v>132000</v>
      </c>
      <c r="T492" s="28" t="s">
        <v>1807</v>
      </c>
      <c r="V492" s="3" t="s">
        <v>5</v>
      </c>
      <c r="W492" s="3" t="s">
        <v>1306</v>
      </c>
      <c r="Y492" t="s">
        <v>1249</v>
      </c>
    </row>
    <row r="493" spans="1:25">
      <c r="A493" s="143">
        <v>554</v>
      </c>
      <c r="B493" s="1">
        <f t="shared" si="141"/>
        <v>0</v>
      </c>
      <c r="C493" s="1">
        <f t="shared" si="142"/>
        <v>0</v>
      </c>
      <c r="D493" s="1">
        <f t="shared" si="143"/>
        <v>0</v>
      </c>
      <c r="E493" s="1">
        <f t="shared" si="144"/>
        <v>1</v>
      </c>
      <c r="F493" s="1">
        <f t="shared" si="145"/>
        <v>0</v>
      </c>
      <c r="G493" s="1" t="str">
        <f t="shared" si="146"/>
        <v>25022209</v>
      </c>
      <c r="H493" s="2">
        <v>45710</v>
      </c>
      <c r="I493" s="113">
        <v>9</v>
      </c>
      <c r="J493" s="1" t="str">
        <f t="shared" si="127"/>
        <v>09</v>
      </c>
      <c r="K493" s="3">
        <f t="shared" si="128"/>
        <v>25</v>
      </c>
      <c r="L493" s="3">
        <f t="shared" si="129"/>
        <v>2</v>
      </c>
      <c r="M493" s="3">
        <f t="shared" si="130"/>
        <v>22</v>
      </c>
      <c r="N493" s="3" t="str">
        <f t="shared" si="131"/>
        <v>02</v>
      </c>
      <c r="O493" s="14">
        <f t="shared" si="132"/>
        <v>22</v>
      </c>
      <c r="P493" s="4">
        <v>159000</v>
      </c>
      <c r="T493" s="28" t="s">
        <v>1806</v>
      </c>
      <c r="V493" s="3" t="s">
        <v>5</v>
      </c>
      <c r="W493" s="3" t="s">
        <v>1306</v>
      </c>
      <c r="Y493" t="s">
        <v>1250</v>
      </c>
    </row>
    <row r="494" spans="1:25">
      <c r="A494" s="143">
        <v>555</v>
      </c>
      <c r="B494" s="1">
        <f t="shared" si="141"/>
        <v>0</v>
      </c>
      <c r="C494" s="1">
        <f t="shared" si="142"/>
        <v>0</v>
      </c>
      <c r="D494" s="1">
        <f t="shared" si="143"/>
        <v>0</v>
      </c>
      <c r="E494" s="1">
        <f t="shared" si="144"/>
        <v>1</v>
      </c>
      <c r="F494" s="1">
        <f t="shared" si="145"/>
        <v>0</v>
      </c>
      <c r="G494" s="1" t="str">
        <f t="shared" si="146"/>
        <v>25022210</v>
      </c>
      <c r="H494" s="2">
        <v>45710</v>
      </c>
      <c r="I494" s="113">
        <v>10</v>
      </c>
      <c r="J494" s="1">
        <f t="shared" si="127"/>
        <v>10</v>
      </c>
      <c r="K494" s="3">
        <f t="shared" si="128"/>
        <v>25</v>
      </c>
      <c r="L494" s="3">
        <f t="shared" si="129"/>
        <v>2</v>
      </c>
      <c r="M494" s="3">
        <f t="shared" si="130"/>
        <v>22</v>
      </c>
      <c r="N494" s="3" t="str">
        <f t="shared" si="131"/>
        <v>02</v>
      </c>
      <c r="O494" s="14">
        <f t="shared" si="132"/>
        <v>22</v>
      </c>
      <c r="P494" s="4">
        <v>132000</v>
      </c>
      <c r="T494" s="28" t="s">
        <v>1805</v>
      </c>
      <c r="V494" s="3" t="s">
        <v>5</v>
      </c>
      <c r="W494" s="3" t="s">
        <v>1306</v>
      </c>
      <c r="Y494" t="s">
        <v>1252</v>
      </c>
    </row>
    <row r="495" spans="1:25">
      <c r="A495" s="143">
        <v>556</v>
      </c>
      <c r="B495" s="1">
        <f t="shared" si="141"/>
        <v>0</v>
      </c>
      <c r="C495" s="1">
        <f t="shared" si="142"/>
        <v>0</v>
      </c>
      <c r="D495" s="1">
        <f t="shared" si="143"/>
        <v>0</v>
      </c>
      <c r="E495" s="1">
        <f t="shared" si="144"/>
        <v>1</v>
      </c>
      <c r="F495" s="1">
        <f t="shared" si="145"/>
        <v>0</v>
      </c>
      <c r="G495" s="1" t="str">
        <f t="shared" si="146"/>
        <v>25022211</v>
      </c>
      <c r="H495" s="2">
        <v>45710</v>
      </c>
      <c r="I495" s="113">
        <v>11</v>
      </c>
      <c r="J495" s="1">
        <f t="shared" si="127"/>
        <v>11</v>
      </c>
      <c r="K495" s="3">
        <f t="shared" si="128"/>
        <v>25</v>
      </c>
      <c r="L495" s="3">
        <f t="shared" si="129"/>
        <v>2</v>
      </c>
      <c r="M495" s="3">
        <f t="shared" si="130"/>
        <v>22</v>
      </c>
      <c r="N495" s="3" t="str">
        <f t="shared" si="131"/>
        <v>02</v>
      </c>
      <c r="O495" s="14">
        <f t="shared" si="132"/>
        <v>22</v>
      </c>
      <c r="P495" s="4">
        <v>132000</v>
      </c>
      <c r="T495" s="29" t="s">
        <v>1804</v>
      </c>
      <c r="V495" s="3" t="s">
        <v>5</v>
      </c>
      <c r="W495" s="3" t="s">
        <v>1306</v>
      </c>
      <c r="Y495"/>
    </row>
    <row r="496" spans="1:25">
      <c r="A496" s="143">
        <v>557</v>
      </c>
      <c r="B496" s="1">
        <f t="shared" si="141"/>
        <v>0</v>
      </c>
      <c r="C496" s="1">
        <f t="shared" si="142"/>
        <v>0</v>
      </c>
      <c r="D496" s="1">
        <f t="shared" si="143"/>
        <v>0</v>
      </c>
      <c r="E496" s="1">
        <f t="shared" si="144"/>
        <v>1</v>
      </c>
      <c r="F496" s="1">
        <f t="shared" si="145"/>
        <v>0</v>
      </c>
      <c r="G496" s="1" t="str">
        <f t="shared" si="146"/>
        <v>25022212</v>
      </c>
      <c r="H496" s="2">
        <v>45710</v>
      </c>
      <c r="I496" s="113">
        <v>12</v>
      </c>
      <c r="J496" s="1">
        <f t="shared" si="127"/>
        <v>12</v>
      </c>
      <c r="K496" s="3">
        <f t="shared" si="128"/>
        <v>25</v>
      </c>
      <c r="L496" s="3">
        <f t="shared" si="129"/>
        <v>2</v>
      </c>
      <c r="M496" s="3">
        <f t="shared" si="130"/>
        <v>22</v>
      </c>
      <c r="N496" s="3" t="str">
        <f t="shared" si="131"/>
        <v>02</v>
      </c>
      <c r="O496" s="14">
        <f t="shared" si="132"/>
        <v>22</v>
      </c>
      <c r="P496" s="4">
        <v>108000</v>
      </c>
      <c r="T496" s="29" t="s">
        <v>1803</v>
      </c>
      <c r="V496" s="3" t="s">
        <v>5</v>
      </c>
      <c r="W496" s="3" t="s">
        <v>1306</v>
      </c>
      <c r="Y496"/>
    </row>
    <row r="497" spans="1:25">
      <c r="A497" s="143">
        <v>558</v>
      </c>
      <c r="B497" s="1">
        <f t="shared" si="141"/>
        <v>0</v>
      </c>
      <c r="C497" s="1">
        <f t="shared" si="142"/>
        <v>0</v>
      </c>
      <c r="D497" s="1">
        <f t="shared" si="143"/>
        <v>0</v>
      </c>
      <c r="E497" s="1">
        <f t="shared" si="144"/>
        <v>1</v>
      </c>
      <c r="F497" s="1">
        <f t="shared" si="145"/>
        <v>0</v>
      </c>
      <c r="G497" s="1" t="str">
        <f t="shared" si="146"/>
        <v>25022213</v>
      </c>
      <c r="H497" s="2">
        <v>45710</v>
      </c>
      <c r="I497" s="113">
        <v>13</v>
      </c>
      <c r="J497" s="1">
        <f t="shared" si="127"/>
        <v>13</v>
      </c>
      <c r="K497" s="3">
        <f t="shared" si="128"/>
        <v>25</v>
      </c>
      <c r="L497" s="3">
        <f t="shared" si="129"/>
        <v>2</v>
      </c>
      <c r="M497" s="3">
        <f t="shared" si="130"/>
        <v>22</v>
      </c>
      <c r="N497" s="3" t="str">
        <f t="shared" si="131"/>
        <v>02</v>
      </c>
      <c r="O497" s="14">
        <f t="shared" si="132"/>
        <v>22</v>
      </c>
      <c r="P497" s="4">
        <v>108000</v>
      </c>
      <c r="T497" s="29" t="s">
        <v>1802</v>
      </c>
      <c r="V497" s="3" t="s">
        <v>5</v>
      </c>
      <c r="W497" s="3" t="s">
        <v>1306</v>
      </c>
      <c r="Y497"/>
    </row>
    <row r="498" spans="1:25">
      <c r="A498" s="143">
        <v>559</v>
      </c>
      <c r="B498" s="1">
        <f t="shared" si="141"/>
        <v>0</v>
      </c>
      <c r="C498" s="1">
        <f t="shared" si="142"/>
        <v>0</v>
      </c>
      <c r="D498" s="1">
        <f t="shared" si="143"/>
        <v>0</v>
      </c>
      <c r="E498" s="1">
        <f t="shared" si="144"/>
        <v>1</v>
      </c>
      <c r="F498" s="1">
        <f t="shared" si="145"/>
        <v>0</v>
      </c>
      <c r="G498" s="1" t="str">
        <f t="shared" si="146"/>
        <v>25022214</v>
      </c>
      <c r="H498" s="2">
        <v>45710</v>
      </c>
      <c r="I498" s="113">
        <v>14</v>
      </c>
      <c r="J498" s="1">
        <f t="shared" si="127"/>
        <v>14</v>
      </c>
      <c r="K498" s="3">
        <f t="shared" si="128"/>
        <v>25</v>
      </c>
      <c r="L498" s="3">
        <f t="shared" si="129"/>
        <v>2</v>
      </c>
      <c r="M498" s="3">
        <f t="shared" si="130"/>
        <v>22</v>
      </c>
      <c r="N498" s="3" t="str">
        <f t="shared" si="131"/>
        <v>02</v>
      </c>
      <c r="O498" s="14">
        <f t="shared" si="132"/>
        <v>22</v>
      </c>
      <c r="P498" s="4">
        <v>132000</v>
      </c>
      <c r="T498" s="29" t="s">
        <v>1801</v>
      </c>
      <c r="V498" s="3" t="s">
        <v>5</v>
      </c>
      <c r="W498" s="3" t="s">
        <v>1306</v>
      </c>
      <c r="Y498"/>
    </row>
    <row r="499" spans="1:25">
      <c r="A499" s="143">
        <v>560</v>
      </c>
      <c r="B499" s="1">
        <f t="shared" si="141"/>
        <v>0</v>
      </c>
      <c r="C499" s="1">
        <f t="shared" si="142"/>
        <v>0</v>
      </c>
      <c r="D499" s="1">
        <f t="shared" si="143"/>
        <v>0</v>
      </c>
      <c r="E499" s="1">
        <f t="shared" si="144"/>
        <v>1</v>
      </c>
      <c r="F499" s="1">
        <f t="shared" si="145"/>
        <v>0</v>
      </c>
      <c r="G499" s="1" t="str">
        <f t="shared" si="146"/>
        <v>25022215</v>
      </c>
      <c r="H499" s="2">
        <v>45710</v>
      </c>
      <c r="I499" s="113">
        <v>15</v>
      </c>
      <c r="J499" s="1">
        <f t="shared" si="127"/>
        <v>15</v>
      </c>
      <c r="K499" s="3">
        <f t="shared" si="128"/>
        <v>25</v>
      </c>
      <c r="L499" s="3">
        <f t="shared" si="129"/>
        <v>2</v>
      </c>
      <c r="M499" s="3">
        <f t="shared" si="130"/>
        <v>22</v>
      </c>
      <c r="N499" s="3" t="str">
        <f t="shared" si="131"/>
        <v>02</v>
      </c>
      <c r="O499" s="14">
        <f t="shared" si="132"/>
        <v>22</v>
      </c>
      <c r="P499" s="4">
        <v>252000</v>
      </c>
      <c r="T499" s="29" t="s">
        <v>1800</v>
      </c>
      <c r="V499" s="3" t="s">
        <v>5</v>
      </c>
      <c r="W499" s="3" t="s">
        <v>1306</v>
      </c>
      <c r="Y499"/>
    </row>
    <row r="500" spans="1:25">
      <c r="A500" s="143">
        <v>561</v>
      </c>
      <c r="B500" s="1">
        <f t="shared" si="141"/>
        <v>0</v>
      </c>
      <c r="C500" s="1">
        <f t="shared" si="142"/>
        <v>0</v>
      </c>
      <c r="D500" s="1">
        <f t="shared" si="143"/>
        <v>0</v>
      </c>
      <c r="E500" s="1">
        <f t="shared" si="144"/>
        <v>1</v>
      </c>
      <c r="F500" s="1">
        <f t="shared" si="145"/>
        <v>0</v>
      </c>
      <c r="G500" s="1" t="str">
        <f t="shared" si="146"/>
        <v>25022216</v>
      </c>
      <c r="H500" s="2">
        <v>45710</v>
      </c>
      <c r="I500" s="113">
        <v>16</v>
      </c>
      <c r="J500" s="1">
        <f t="shared" si="127"/>
        <v>16</v>
      </c>
      <c r="K500" s="3">
        <f t="shared" si="128"/>
        <v>25</v>
      </c>
      <c r="L500" s="3">
        <f t="shared" si="129"/>
        <v>2</v>
      </c>
      <c r="M500" s="3">
        <f t="shared" si="130"/>
        <v>22</v>
      </c>
      <c r="N500" s="3" t="str">
        <f t="shared" si="131"/>
        <v>02</v>
      </c>
      <c r="O500" s="14">
        <f t="shared" si="132"/>
        <v>22</v>
      </c>
      <c r="P500" s="4">
        <v>90000</v>
      </c>
      <c r="T500" s="29" t="s">
        <v>1799</v>
      </c>
      <c r="V500" s="3" t="s">
        <v>5</v>
      </c>
      <c r="W500" s="3" t="s">
        <v>1306</v>
      </c>
      <c r="Y500"/>
    </row>
    <row r="501" spans="1:25">
      <c r="A501" s="143">
        <v>562</v>
      </c>
      <c r="B501" s="1">
        <f t="shared" si="141"/>
        <v>0</v>
      </c>
      <c r="C501" s="1">
        <f t="shared" si="142"/>
        <v>0</v>
      </c>
      <c r="D501" s="1">
        <f t="shared" si="143"/>
        <v>0</v>
      </c>
      <c r="E501" s="1">
        <f t="shared" si="144"/>
        <v>1</v>
      </c>
      <c r="F501" s="1">
        <f t="shared" si="145"/>
        <v>0</v>
      </c>
      <c r="G501" s="1" t="str">
        <f t="shared" si="146"/>
        <v>25022217</v>
      </c>
      <c r="H501" s="2">
        <v>45710</v>
      </c>
      <c r="I501" s="113">
        <v>17</v>
      </c>
      <c r="J501" s="1">
        <f t="shared" si="127"/>
        <v>17</v>
      </c>
      <c r="K501" s="3">
        <f t="shared" si="128"/>
        <v>25</v>
      </c>
      <c r="L501" s="3">
        <f t="shared" si="129"/>
        <v>2</v>
      </c>
      <c r="M501" s="3">
        <f t="shared" si="130"/>
        <v>22</v>
      </c>
      <c r="N501" s="3" t="str">
        <f t="shared" si="131"/>
        <v>02</v>
      </c>
      <c r="O501" s="14">
        <f t="shared" si="132"/>
        <v>22</v>
      </c>
      <c r="P501" s="4">
        <v>150000</v>
      </c>
      <c r="T501" s="29" t="s">
        <v>1798</v>
      </c>
      <c r="V501" s="3" t="s">
        <v>5</v>
      </c>
      <c r="W501" s="3" t="s">
        <v>1306</v>
      </c>
      <c r="Y501" t="s">
        <v>1612</v>
      </c>
    </row>
    <row r="502" spans="1:25">
      <c r="A502" s="143">
        <v>563</v>
      </c>
      <c r="B502" s="1">
        <f t="shared" si="141"/>
        <v>0</v>
      </c>
      <c r="C502" s="1">
        <f t="shared" si="142"/>
        <v>0</v>
      </c>
      <c r="D502" s="1">
        <f t="shared" si="143"/>
        <v>0</v>
      </c>
      <c r="E502" s="1">
        <f t="shared" si="144"/>
        <v>1</v>
      </c>
      <c r="F502" s="1">
        <f t="shared" si="145"/>
        <v>0</v>
      </c>
      <c r="G502" s="1" t="str">
        <f t="shared" si="146"/>
        <v>25022218</v>
      </c>
      <c r="H502" s="2">
        <v>45710</v>
      </c>
      <c r="I502" s="113">
        <v>18</v>
      </c>
      <c r="J502" s="1">
        <f t="shared" si="127"/>
        <v>18</v>
      </c>
      <c r="K502" s="3">
        <f t="shared" si="128"/>
        <v>25</v>
      </c>
      <c r="L502" s="3">
        <f t="shared" si="129"/>
        <v>2</v>
      </c>
      <c r="M502" s="3">
        <f t="shared" si="130"/>
        <v>22</v>
      </c>
      <c r="N502" s="3" t="str">
        <f t="shared" si="131"/>
        <v>02</v>
      </c>
      <c r="O502" s="14">
        <f t="shared" si="132"/>
        <v>22</v>
      </c>
      <c r="P502" s="4">
        <v>150000</v>
      </c>
      <c r="T502" s="28" t="s">
        <v>1797</v>
      </c>
      <c r="V502" s="3" t="s">
        <v>5</v>
      </c>
      <c r="W502" s="3" t="s">
        <v>1306</v>
      </c>
      <c r="Y502" t="s">
        <v>1637</v>
      </c>
    </row>
    <row r="503" spans="1:25" hidden="1">
      <c r="A503" s="143"/>
      <c r="J503" s="1" t="str">
        <f t="shared" si="127"/>
        <v>0</v>
      </c>
      <c r="K503" s="3">
        <f t="shared" si="128"/>
        <v>-100</v>
      </c>
      <c r="L503" s="3">
        <f t="shared" si="129"/>
        <v>1</v>
      </c>
      <c r="M503" s="3">
        <f t="shared" si="130"/>
        <v>0</v>
      </c>
      <c r="N503" s="3" t="str">
        <f t="shared" si="131"/>
        <v>01</v>
      </c>
      <c r="O503" s="14" t="str">
        <f t="shared" si="132"/>
        <v>00</v>
      </c>
    </row>
    <row r="504" spans="1:25" hidden="1">
      <c r="A504" s="143">
        <v>434</v>
      </c>
      <c r="B504" s="1">
        <f>IF(G504="-",0,IF(G503=G504,1,0))</f>
        <v>0</v>
      </c>
      <c r="C504" s="1">
        <f>+IF(G504="-",0,IF(I504=I503+1,0,(IF(I504=1,0,1))))</f>
        <v>0</v>
      </c>
      <c r="D504" s="1">
        <f>+IF(AND(P504="",Q504=""),1,0)</f>
        <v>0</v>
      </c>
      <c r="E504" s="1">
        <f t="shared" ref="E504:F506" si="147">IF(U504="",1,0)</f>
        <v>0</v>
      </c>
      <c r="F504" s="1">
        <f t="shared" si="147"/>
        <v>0</v>
      </c>
      <c r="G504" s="1" t="str">
        <f>IF(H504=0,"-",_xlfn.CONCAT(K504,N504,O504,J504))</f>
        <v>25022401</v>
      </c>
      <c r="H504" s="2">
        <v>45712</v>
      </c>
      <c r="I504" s="113">
        <v>1</v>
      </c>
      <c r="J504" s="1" t="str">
        <f t="shared" si="127"/>
        <v>01</v>
      </c>
      <c r="K504" s="3">
        <f t="shared" si="128"/>
        <v>25</v>
      </c>
      <c r="L504" s="3">
        <f t="shared" si="129"/>
        <v>2</v>
      </c>
      <c r="M504" s="3">
        <f t="shared" si="130"/>
        <v>24</v>
      </c>
      <c r="N504" s="3" t="str">
        <f t="shared" si="131"/>
        <v>02</v>
      </c>
      <c r="O504" s="14">
        <f t="shared" si="132"/>
        <v>24</v>
      </c>
      <c r="P504" s="4">
        <v>10000</v>
      </c>
      <c r="T504" s="5" t="s">
        <v>1332</v>
      </c>
      <c r="U504" s="3" t="s">
        <v>29</v>
      </c>
      <c r="V504" s="3" t="s">
        <v>5</v>
      </c>
      <c r="W504" s="3" t="s">
        <v>1307</v>
      </c>
      <c r="X504" s="1" t="s">
        <v>1305</v>
      </c>
    </row>
    <row r="505" spans="1:25">
      <c r="A505" s="143">
        <v>435</v>
      </c>
      <c r="B505" s="1">
        <f>IF(G505="-",0,IF(G504=G505,1,0))</f>
        <v>0</v>
      </c>
      <c r="C505" s="1">
        <f>+IF(G505="-",0,IF(I505=I504+1,0,(IF(I505=1,0,1))))</f>
        <v>0</v>
      </c>
      <c r="D505" s="1">
        <f>+IF(AND(P505="",Q505=""),1,0)</f>
        <v>0</v>
      </c>
      <c r="E505" s="1">
        <f t="shared" si="147"/>
        <v>1</v>
      </c>
      <c r="F505" s="1">
        <f t="shared" si="147"/>
        <v>0</v>
      </c>
      <c r="G505" s="1" t="str">
        <f>IF(H505=0,"-",_xlfn.CONCAT(K505,N505,O505,J505))</f>
        <v>25022402</v>
      </c>
      <c r="H505" s="2">
        <v>45712</v>
      </c>
      <c r="I505" s="113">
        <v>2</v>
      </c>
      <c r="J505" s="1" t="str">
        <f t="shared" si="127"/>
        <v>02</v>
      </c>
      <c r="K505" s="3">
        <f t="shared" si="128"/>
        <v>25</v>
      </c>
      <c r="L505" s="3">
        <f t="shared" si="129"/>
        <v>2</v>
      </c>
      <c r="M505" s="3">
        <f t="shared" si="130"/>
        <v>24</v>
      </c>
      <c r="N505" s="3" t="str">
        <f t="shared" si="131"/>
        <v>02</v>
      </c>
      <c r="O505" s="14">
        <f t="shared" si="132"/>
        <v>24</v>
      </c>
      <c r="P505" s="4">
        <v>4190040</v>
      </c>
      <c r="T505" s="5" t="s">
        <v>1796</v>
      </c>
      <c r="V505" s="3" t="s">
        <v>5</v>
      </c>
      <c r="W505" s="3" t="s">
        <v>1306</v>
      </c>
      <c r="X505" s="1" t="s">
        <v>1305</v>
      </c>
    </row>
    <row r="506" spans="1:25" hidden="1">
      <c r="A506" s="143">
        <v>436</v>
      </c>
      <c r="B506" s="1">
        <f>IF(G506="-",0,IF(G505=G506,1,0))</f>
        <v>0</v>
      </c>
      <c r="C506" s="1">
        <f>+IF(G506="-",0,IF(I506=I505+1,0,(IF(I506=1,0,1))))</f>
        <v>0</v>
      </c>
      <c r="D506" s="1">
        <f>+IF(AND(P506="",Q506=""),1,0)</f>
        <v>0</v>
      </c>
      <c r="E506" s="1">
        <f t="shared" si="147"/>
        <v>0</v>
      </c>
      <c r="F506" s="1">
        <f t="shared" si="147"/>
        <v>0</v>
      </c>
      <c r="G506" s="1" t="str">
        <f>IF(H506=0,"-",_xlfn.CONCAT(K506,N506,O506,J506))</f>
        <v>25022403</v>
      </c>
      <c r="H506" s="2">
        <v>45712</v>
      </c>
      <c r="I506" s="113">
        <v>3</v>
      </c>
      <c r="J506" s="1" t="str">
        <f t="shared" si="127"/>
        <v>03</v>
      </c>
      <c r="K506" s="3">
        <f t="shared" si="128"/>
        <v>25</v>
      </c>
      <c r="L506" s="3">
        <f t="shared" si="129"/>
        <v>2</v>
      </c>
      <c r="M506" s="3">
        <f t="shared" si="130"/>
        <v>24</v>
      </c>
      <c r="N506" s="3" t="str">
        <f t="shared" si="131"/>
        <v>02</v>
      </c>
      <c r="O506" s="14">
        <f t="shared" si="132"/>
        <v>24</v>
      </c>
      <c r="P506" s="4">
        <v>11702.11</v>
      </c>
      <c r="T506" s="5" t="s">
        <v>1795</v>
      </c>
      <c r="U506" s="3" t="s">
        <v>30</v>
      </c>
      <c r="V506" s="3" t="s">
        <v>1312</v>
      </c>
      <c r="W506" s="3" t="s">
        <v>1306</v>
      </c>
      <c r="X506" s="1" t="s">
        <v>1305</v>
      </c>
    </row>
    <row r="507" spans="1:25" hidden="1">
      <c r="A507" s="143"/>
      <c r="J507" s="1" t="str">
        <f t="shared" si="127"/>
        <v>0</v>
      </c>
      <c r="K507" s="3">
        <f t="shared" si="128"/>
        <v>-100</v>
      </c>
      <c r="L507" s="3">
        <f t="shared" si="129"/>
        <v>1</v>
      </c>
      <c r="M507" s="3">
        <f t="shared" si="130"/>
        <v>0</v>
      </c>
      <c r="N507" s="3" t="str">
        <f t="shared" si="131"/>
        <v>01</v>
      </c>
      <c r="O507" s="14" t="str">
        <f t="shared" si="132"/>
        <v>00</v>
      </c>
    </row>
    <row r="508" spans="1:25" hidden="1">
      <c r="A508" s="143"/>
      <c r="J508" s="1" t="str">
        <f t="shared" si="127"/>
        <v>0</v>
      </c>
      <c r="K508" s="3">
        <f t="shared" si="128"/>
        <v>-100</v>
      </c>
      <c r="L508" s="3">
        <f t="shared" si="129"/>
        <v>1</v>
      </c>
      <c r="M508" s="3">
        <f t="shared" si="130"/>
        <v>0</v>
      </c>
      <c r="N508" s="3" t="str">
        <f t="shared" si="131"/>
        <v>01</v>
      </c>
      <c r="O508" s="14" t="str">
        <f t="shared" si="132"/>
        <v>00</v>
      </c>
    </row>
    <row r="509" spans="1:25" hidden="1">
      <c r="A509" s="143"/>
      <c r="J509" s="1" t="str">
        <f t="shared" si="127"/>
        <v>0</v>
      </c>
      <c r="K509" s="3">
        <f t="shared" si="128"/>
        <v>-100</v>
      </c>
      <c r="L509" s="3">
        <f t="shared" si="129"/>
        <v>1</v>
      </c>
      <c r="M509" s="3">
        <f t="shared" si="130"/>
        <v>0</v>
      </c>
      <c r="N509" s="3" t="str">
        <f t="shared" si="131"/>
        <v>01</v>
      </c>
      <c r="O509" s="14" t="str">
        <f t="shared" si="132"/>
        <v>00</v>
      </c>
    </row>
    <row r="510" spans="1:25" hidden="1">
      <c r="A510" s="143"/>
      <c r="J510" s="1" t="str">
        <f t="shared" si="127"/>
        <v>0</v>
      </c>
      <c r="K510" s="3">
        <f t="shared" si="128"/>
        <v>-100</v>
      </c>
      <c r="L510" s="3">
        <f t="shared" si="129"/>
        <v>1</v>
      </c>
      <c r="M510" s="3">
        <f t="shared" si="130"/>
        <v>0</v>
      </c>
      <c r="N510" s="3" t="str">
        <f t="shared" si="131"/>
        <v>01</v>
      </c>
      <c r="O510" s="14" t="str">
        <f t="shared" si="132"/>
        <v>00</v>
      </c>
    </row>
    <row r="511" spans="1:25" hidden="1">
      <c r="A511" s="143"/>
      <c r="J511" s="1" t="str">
        <f t="shared" si="127"/>
        <v>0</v>
      </c>
      <c r="K511" s="3">
        <f t="shared" si="128"/>
        <v>-100</v>
      </c>
      <c r="L511" s="3">
        <f t="shared" si="129"/>
        <v>1</v>
      </c>
      <c r="M511" s="3">
        <f t="shared" si="130"/>
        <v>0</v>
      </c>
      <c r="N511" s="3" t="str">
        <f t="shared" si="131"/>
        <v>01</v>
      </c>
      <c r="O511" s="14" t="str">
        <f t="shared" si="132"/>
        <v>00</v>
      </c>
    </row>
    <row r="512" spans="1:25" hidden="1">
      <c r="A512" s="143"/>
      <c r="J512" s="1" t="str">
        <f t="shared" si="127"/>
        <v>0</v>
      </c>
      <c r="K512" s="3">
        <f t="shared" si="128"/>
        <v>-100</v>
      </c>
      <c r="L512" s="3">
        <f t="shared" si="129"/>
        <v>1</v>
      </c>
      <c r="M512" s="3">
        <f t="shared" si="130"/>
        <v>0</v>
      </c>
      <c r="N512" s="3" t="str">
        <f t="shared" si="131"/>
        <v>01</v>
      </c>
      <c r="O512" s="14" t="str">
        <f t="shared" si="132"/>
        <v>00</v>
      </c>
    </row>
    <row r="513" spans="1:24" hidden="1">
      <c r="A513" s="143">
        <v>426</v>
      </c>
      <c r="B513" s="1">
        <f>IF(G513="-",0,IF(G512=G513,1,0))</f>
        <v>0</v>
      </c>
      <c r="C513" s="1">
        <f>+IF(G513="-",0,IF(I513=I512+1,0,(IF(I513=1,0,1))))</f>
        <v>0</v>
      </c>
      <c r="D513" s="1">
        <f>+IF(AND(P513="",Q513=""),1,0)</f>
        <v>0</v>
      </c>
      <c r="E513" s="1">
        <f t="shared" ref="E513:F517" si="148">IF(U513="",1,0)</f>
        <v>0</v>
      </c>
      <c r="F513" s="1">
        <f t="shared" si="148"/>
        <v>0</v>
      </c>
      <c r="G513" s="1" t="str">
        <f>IF(H513=0,"-",_xlfn.CONCAT(K513,N513,O513,J513))</f>
        <v>25022501</v>
      </c>
      <c r="H513" s="2">
        <v>45713</v>
      </c>
      <c r="I513" s="113">
        <v>1</v>
      </c>
      <c r="J513" s="1" t="str">
        <f t="shared" si="127"/>
        <v>01</v>
      </c>
      <c r="K513" s="3">
        <f t="shared" si="128"/>
        <v>25</v>
      </c>
      <c r="L513" s="3">
        <f t="shared" si="129"/>
        <v>2</v>
      </c>
      <c r="M513" s="3">
        <f t="shared" si="130"/>
        <v>25</v>
      </c>
      <c r="N513" s="3" t="str">
        <f t="shared" si="131"/>
        <v>02</v>
      </c>
      <c r="O513" s="14">
        <f t="shared" si="132"/>
        <v>25</v>
      </c>
      <c r="Q513" s="5">
        <v>2478.09</v>
      </c>
      <c r="T513" s="5" t="s">
        <v>1794</v>
      </c>
      <c r="U513" s="3" t="s">
        <v>1545</v>
      </c>
      <c r="V513" s="3" t="s">
        <v>5</v>
      </c>
      <c r="W513" s="3" t="s">
        <v>1306</v>
      </c>
      <c r="X513" s="1" t="s">
        <v>1305</v>
      </c>
    </row>
    <row r="514" spans="1:24" hidden="1">
      <c r="A514" s="143">
        <v>439</v>
      </c>
      <c r="B514" s="1">
        <f>IF(G514="-",0,IF(G513=G514,1,0))</f>
        <v>0</v>
      </c>
      <c r="C514" s="1">
        <f>+IF(G514="-",0,IF(I514=I513+1,0,(IF(I514=1,0,1))))</f>
        <v>0</v>
      </c>
      <c r="D514" s="1">
        <f>+IF(AND(P514="",Q514=""),1,0)</f>
        <v>0</v>
      </c>
      <c r="E514" s="1">
        <f t="shared" si="148"/>
        <v>0</v>
      </c>
      <c r="F514" s="1">
        <f t="shared" si="148"/>
        <v>0</v>
      </c>
      <c r="G514" s="1" t="str">
        <f>IF(H514=0,"-",_xlfn.CONCAT(K514,N514,O514,J514))</f>
        <v>25022502</v>
      </c>
      <c r="H514" s="2">
        <v>45713</v>
      </c>
      <c r="I514" s="113">
        <v>2</v>
      </c>
      <c r="J514" s="1" t="str">
        <f t="shared" si="127"/>
        <v>02</v>
      </c>
      <c r="K514" s="3">
        <f t="shared" si="128"/>
        <v>25</v>
      </c>
      <c r="L514" s="3">
        <f t="shared" si="129"/>
        <v>2</v>
      </c>
      <c r="M514" s="3">
        <f t="shared" si="130"/>
        <v>25</v>
      </c>
      <c r="N514" s="3" t="str">
        <f t="shared" si="131"/>
        <v>02</v>
      </c>
      <c r="O514" s="14">
        <f t="shared" si="132"/>
        <v>25</v>
      </c>
      <c r="P514" s="4">
        <v>4400</v>
      </c>
      <c r="T514" s="5" t="s">
        <v>1440</v>
      </c>
      <c r="U514" s="3" t="s">
        <v>726</v>
      </c>
      <c r="V514" s="3" t="s">
        <v>1304</v>
      </c>
      <c r="W514" s="3" t="s">
        <v>1309</v>
      </c>
      <c r="X514" s="1" t="s">
        <v>1305</v>
      </c>
    </row>
    <row r="515" spans="1:24" hidden="1">
      <c r="A515" s="143">
        <v>440</v>
      </c>
      <c r="B515" s="1">
        <f>IF(G515="-",0,IF(G514=G515,1,0))</f>
        <v>0</v>
      </c>
      <c r="C515" s="1">
        <f>+IF(G515="-",0,IF(I515=I514+1,0,(IF(I515=1,0,1))))</f>
        <v>0</v>
      </c>
      <c r="D515" s="1">
        <f>+IF(AND(P515="",Q515=""),1,0)</f>
        <v>0</v>
      </c>
      <c r="E515" s="1">
        <f t="shared" si="148"/>
        <v>0</v>
      </c>
      <c r="F515" s="1">
        <f t="shared" si="148"/>
        <v>0</v>
      </c>
      <c r="G515" s="1" t="str">
        <f>IF(H515=0,"-",_xlfn.CONCAT(K515,N515,O515,J515))</f>
        <v>25022503</v>
      </c>
      <c r="H515" s="2">
        <v>45713</v>
      </c>
      <c r="I515" s="113">
        <v>3</v>
      </c>
      <c r="J515" s="1" t="str">
        <f t="shared" si="127"/>
        <v>03</v>
      </c>
      <c r="K515" s="3">
        <f t="shared" si="128"/>
        <v>25</v>
      </c>
      <c r="L515" s="3">
        <f t="shared" si="129"/>
        <v>2</v>
      </c>
      <c r="M515" s="3">
        <f t="shared" si="130"/>
        <v>25</v>
      </c>
      <c r="N515" s="3" t="str">
        <f t="shared" si="131"/>
        <v>02</v>
      </c>
      <c r="O515" s="14">
        <f t="shared" si="132"/>
        <v>25</v>
      </c>
      <c r="P515" s="4">
        <v>35477.449999999997</v>
      </c>
      <c r="T515" s="5" t="s">
        <v>1793</v>
      </c>
      <c r="U515" s="3" t="s">
        <v>29</v>
      </c>
      <c r="V515" s="3" t="s">
        <v>5</v>
      </c>
      <c r="W515" s="3" t="s">
        <v>1307</v>
      </c>
      <c r="X515" s="1" t="s">
        <v>1305</v>
      </c>
    </row>
    <row r="516" spans="1:24" hidden="1">
      <c r="A516" s="143">
        <v>441</v>
      </c>
      <c r="B516" s="1">
        <f>IF(G516="-",0,IF(G515=G516,1,0))</f>
        <v>0</v>
      </c>
      <c r="C516" s="1">
        <f>+IF(G516="-",0,IF(I516=I515+1,0,(IF(I516=1,0,1))))</f>
        <v>0</v>
      </c>
      <c r="D516" s="1">
        <f>+IF(AND(P516="",Q516=""),1,0)</f>
        <v>0</v>
      </c>
      <c r="E516" s="1">
        <f t="shared" si="148"/>
        <v>0</v>
      </c>
      <c r="F516" s="1">
        <f t="shared" si="148"/>
        <v>0</v>
      </c>
      <c r="G516" s="1" t="str">
        <f>IF(H516=0,"-",_xlfn.CONCAT(K516,N516,O516,J516))</f>
        <v>25022504</v>
      </c>
      <c r="H516" s="2">
        <v>45713</v>
      </c>
      <c r="I516" s="113">
        <v>4</v>
      </c>
      <c r="J516" s="1" t="str">
        <f t="shared" si="127"/>
        <v>04</v>
      </c>
      <c r="K516" s="3">
        <f t="shared" si="128"/>
        <v>25</v>
      </c>
      <c r="L516" s="3">
        <f t="shared" si="129"/>
        <v>2</v>
      </c>
      <c r="M516" s="3">
        <f t="shared" si="130"/>
        <v>25</v>
      </c>
      <c r="N516" s="3" t="str">
        <f t="shared" si="131"/>
        <v>02</v>
      </c>
      <c r="O516" s="14">
        <f t="shared" si="132"/>
        <v>25</v>
      </c>
      <c r="P516" s="4">
        <v>780</v>
      </c>
      <c r="T516" s="5" t="s">
        <v>1792</v>
      </c>
      <c r="U516" s="3" t="s">
        <v>29</v>
      </c>
      <c r="V516" s="3" t="s">
        <v>5</v>
      </c>
      <c r="W516" s="3" t="s">
        <v>1307</v>
      </c>
      <c r="X516" s="1" t="s">
        <v>1305</v>
      </c>
    </row>
    <row r="517" spans="1:24" hidden="1">
      <c r="A517" s="143">
        <v>442</v>
      </c>
      <c r="B517" s="1">
        <f>IF(G517="-",0,IF(G516=G517,1,0))</f>
        <v>0</v>
      </c>
      <c r="C517" s="1">
        <f>+IF(G517="-",0,IF(I517=I516+1,0,(IF(I517=1,0,1))))</f>
        <v>0</v>
      </c>
      <c r="D517" s="1">
        <f>+IF(AND(P517="",Q517=""),1,0)</f>
        <v>0</v>
      </c>
      <c r="E517" s="1">
        <f t="shared" si="148"/>
        <v>0</v>
      </c>
      <c r="F517" s="1">
        <f t="shared" si="148"/>
        <v>0</v>
      </c>
      <c r="G517" s="1" t="str">
        <f>IF(H517=0,"-",_xlfn.CONCAT(K517,N517,O517,J517))</f>
        <v>25022505</v>
      </c>
      <c r="H517" s="2">
        <v>45713</v>
      </c>
      <c r="I517" s="113">
        <v>5</v>
      </c>
      <c r="J517" s="1" t="str">
        <f t="shared" si="127"/>
        <v>05</v>
      </c>
      <c r="K517" s="3">
        <f t="shared" si="128"/>
        <v>25</v>
      </c>
      <c r="L517" s="3">
        <f t="shared" si="129"/>
        <v>2</v>
      </c>
      <c r="M517" s="3">
        <f t="shared" si="130"/>
        <v>25</v>
      </c>
      <c r="N517" s="3" t="str">
        <f t="shared" si="131"/>
        <v>02</v>
      </c>
      <c r="O517" s="14">
        <f t="shared" si="132"/>
        <v>25</v>
      </c>
      <c r="P517" s="4">
        <v>17000</v>
      </c>
      <c r="T517" s="5" t="s">
        <v>1332</v>
      </c>
      <c r="U517" s="3" t="s">
        <v>29</v>
      </c>
      <c r="V517" s="3" t="s">
        <v>5</v>
      </c>
      <c r="W517" s="3" t="s">
        <v>1307</v>
      </c>
      <c r="X517" s="1" t="s">
        <v>1305</v>
      </c>
    </row>
    <row r="518" spans="1:24" hidden="1">
      <c r="A518" s="143"/>
      <c r="J518" s="1" t="str">
        <f t="shared" si="127"/>
        <v>0</v>
      </c>
      <c r="K518" s="3">
        <f t="shared" si="128"/>
        <v>-100</v>
      </c>
      <c r="L518" s="3">
        <f t="shared" si="129"/>
        <v>1</v>
      </c>
      <c r="M518" s="3">
        <f t="shared" si="130"/>
        <v>0</v>
      </c>
      <c r="N518" s="3" t="str">
        <f t="shared" si="131"/>
        <v>01</v>
      </c>
      <c r="O518" s="14" t="str">
        <f t="shared" si="132"/>
        <v>00</v>
      </c>
    </row>
    <row r="519" spans="1:24" hidden="1">
      <c r="A519" s="143"/>
      <c r="J519" s="1" t="str">
        <f t="shared" si="127"/>
        <v>0</v>
      </c>
      <c r="K519" s="3">
        <f t="shared" si="128"/>
        <v>-100</v>
      </c>
      <c r="L519" s="3">
        <f t="shared" si="129"/>
        <v>1</v>
      </c>
      <c r="M519" s="3">
        <f t="shared" si="130"/>
        <v>0</v>
      </c>
      <c r="N519" s="3" t="str">
        <f t="shared" si="131"/>
        <v>01</v>
      </c>
      <c r="O519" s="14" t="str">
        <f t="shared" si="132"/>
        <v>00</v>
      </c>
    </row>
    <row r="520" spans="1:24" hidden="1">
      <c r="A520" s="143"/>
      <c r="J520" s="1" t="str">
        <f t="shared" ref="J520:J583" si="149">+IF(I520&lt;10,_xlfn.CONCAT("0",I520),I520)</f>
        <v>0</v>
      </c>
      <c r="K520" s="3">
        <f t="shared" ref="K520:K583" si="150">+YEAR(H520)-2000</f>
        <v>-100</v>
      </c>
      <c r="L520" s="3">
        <f t="shared" ref="L520:L583" si="151">+MONTH(H520)</f>
        <v>1</v>
      </c>
      <c r="M520" s="3">
        <f t="shared" ref="M520:M583" si="152">+DAY(H520)</f>
        <v>0</v>
      </c>
      <c r="N520" s="3" t="str">
        <f t="shared" ref="N520:N583" si="153">+IF(L520&lt;10,_xlfn.CONCAT("0",L520),L520)</f>
        <v>01</v>
      </c>
      <c r="O520" s="14" t="str">
        <f t="shared" ref="O520:O583" si="154">+IF(M520&lt;10,_xlfn.CONCAT("0",M520),M520)</f>
        <v>00</v>
      </c>
    </row>
    <row r="521" spans="1:24" hidden="1">
      <c r="A521" s="143"/>
      <c r="J521" s="1" t="str">
        <f t="shared" si="149"/>
        <v>0</v>
      </c>
      <c r="K521" s="3">
        <f t="shared" si="150"/>
        <v>-100</v>
      </c>
      <c r="L521" s="3">
        <f t="shared" si="151"/>
        <v>1</v>
      </c>
      <c r="M521" s="3">
        <f t="shared" si="152"/>
        <v>0</v>
      </c>
      <c r="N521" s="3" t="str">
        <f t="shared" si="153"/>
        <v>01</v>
      </c>
      <c r="O521" s="14" t="str">
        <f t="shared" si="154"/>
        <v>00</v>
      </c>
    </row>
    <row r="522" spans="1:24" hidden="1">
      <c r="A522" s="143"/>
      <c r="J522" s="1" t="str">
        <f t="shared" si="149"/>
        <v>0</v>
      </c>
      <c r="K522" s="3">
        <f t="shared" si="150"/>
        <v>-100</v>
      </c>
      <c r="L522" s="3">
        <f t="shared" si="151"/>
        <v>1</v>
      </c>
      <c r="M522" s="3">
        <f t="shared" si="152"/>
        <v>0</v>
      </c>
      <c r="N522" s="3" t="str">
        <f t="shared" si="153"/>
        <v>01</v>
      </c>
      <c r="O522" s="14" t="str">
        <f t="shared" si="154"/>
        <v>00</v>
      </c>
    </row>
    <row r="523" spans="1:24" hidden="1">
      <c r="A523" s="143"/>
      <c r="J523" s="1" t="str">
        <f t="shared" si="149"/>
        <v>0</v>
      </c>
      <c r="K523" s="3">
        <f t="shared" si="150"/>
        <v>-100</v>
      </c>
      <c r="L523" s="3">
        <f t="shared" si="151"/>
        <v>1</v>
      </c>
      <c r="M523" s="3">
        <f t="shared" si="152"/>
        <v>0</v>
      </c>
      <c r="N523" s="3" t="str">
        <f t="shared" si="153"/>
        <v>01</v>
      </c>
      <c r="O523" s="14" t="str">
        <f t="shared" si="154"/>
        <v>00</v>
      </c>
    </row>
    <row r="524" spans="1:24" hidden="1">
      <c r="A524" s="143"/>
      <c r="J524" s="1" t="str">
        <f t="shared" si="149"/>
        <v>0</v>
      </c>
      <c r="K524" s="3">
        <f t="shared" si="150"/>
        <v>-100</v>
      </c>
      <c r="L524" s="3">
        <f t="shared" si="151"/>
        <v>1</v>
      </c>
      <c r="M524" s="3">
        <f t="shared" si="152"/>
        <v>0</v>
      </c>
      <c r="N524" s="3" t="str">
        <f t="shared" si="153"/>
        <v>01</v>
      </c>
      <c r="O524" s="14" t="str">
        <f t="shared" si="154"/>
        <v>00</v>
      </c>
    </row>
    <row r="525" spans="1:24" hidden="1">
      <c r="A525" s="143">
        <v>446</v>
      </c>
      <c r="B525" s="1">
        <f>IF(G525="-",0,IF(G524=G525,1,0))</f>
        <v>0</v>
      </c>
      <c r="C525" s="1">
        <f>+IF(G525="-",0,IF(I525=I524+1,0,(IF(I525=1,0,1))))</f>
        <v>0</v>
      </c>
      <c r="D525" s="1">
        <f>+IF(AND(P525="",Q525=""),1,0)</f>
        <v>0</v>
      </c>
      <c r="E525" s="1">
        <f>IF(U525="",1,0)</f>
        <v>0</v>
      </c>
      <c r="F525" s="1">
        <f>IF(V525="",1,0)</f>
        <v>0</v>
      </c>
      <c r="G525" s="1" t="str">
        <f>IF(H525=0,"-",_xlfn.CONCAT(K525,N525,O525,J525))</f>
        <v>25022601</v>
      </c>
      <c r="H525" s="2">
        <v>45714</v>
      </c>
      <c r="I525" s="113">
        <v>1</v>
      </c>
      <c r="J525" s="1" t="str">
        <f t="shared" si="149"/>
        <v>01</v>
      </c>
      <c r="K525" s="3">
        <f t="shared" si="150"/>
        <v>25</v>
      </c>
      <c r="L525" s="3">
        <f t="shared" si="151"/>
        <v>2</v>
      </c>
      <c r="M525" s="3">
        <f t="shared" si="152"/>
        <v>26</v>
      </c>
      <c r="N525" s="3" t="str">
        <f t="shared" si="153"/>
        <v>02</v>
      </c>
      <c r="O525" s="14">
        <f t="shared" si="154"/>
        <v>26</v>
      </c>
      <c r="P525" s="4">
        <v>29493</v>
      </c>
      <c r="T525" s="5" t="s">
        <v>1790</v>
      </c>
      <c r="U525" s="3" t="s">
        <v>29</v>
      </c>
      <c r="V525" s="3" t="s">
        <v>5</v>
      </c>
      <c r="W525" s="3" t="s">
        <v>1307</v>
      </c>
      <c r="X525" s="1" t="s">
        <v>1305</v>
      </c>
    </row>
    <row r="526" spans="1:24" hidden="1">
      <c r="A526" s="143">
        <v>447</v>
      </c>
      <c r="B526" s="1">
        <f>IF(G526="-",0,IF(G525=G526,1,0))</f>
        <v>0</v>
      </c>
      <c r="C526" s="1">
        <f>+IF(G526="-",0,IF(I526=I525+1,0,(IF(I526=1,0,1))))</f>
        <v>0</v>
      </c>
      <c r="D526" s="1">
        <f>+IF(AND(P526="",Q526=""),1,0)</f>
        <v>0</v>
      </c>
      <c r="E526" s="1">
        <f>IF(U526="",1,0)</f>
        <v>0</v>
      </c>
      <c r="F526" s="1">
        <f>IF(V526="",1,0)</f>
        <v>0</v>
      </c>
      <c r="G526" s="1" t="str">
        <f>IF(H526=0,"-",_xlfn.CONCAT(K526,N526,O526,J526))</f>
        <v>25022602</v>
      </c>
      <c r="H526" s="2">
        <v>45714</v>
      </c>
      <c r="I526" s="113">
        <v>2</v>
      </c>
      <c r="J526" s="1" t="str">
        <f t="shared" si="149"/>
        <v>02</v>
      </c>
      <c r="K526" s="3">
        <f t="shared" si="150"/>
        <v>25</v>
      </c>
      <c r="L526" s="3">
        <f t="shared" si="151"/>
        <v>2</v>
      </c>
      <c r="M526" s="3">
        <f t="shared" si="152"/>
        <v>26</v>
      </c>
      <c r="N526" s="3" t="str">
        <f t="shared" si="153"/>
        <v>02</v>
      </c>
      <c r="O526" s="14">
        <f t="shared" si="154"/>
        <v>26</v>
      </c>
      <c r="P526" s="4">
        <v>35181.129999999997</v>
      </c>
      <c r="T526" s="5" t="s">
        <v>352</v>
      </c>
      <c r="U526" s="3" t="s">
        <v>30</v>
      </c>
      <c r="V526" s="3" t="s">
        <v>1312</v>
      </c>
      <c r="W526" s="3" t="s">
        <v>1307</v>
      </c>
      <c r="X526" s="1" t="s">
        <v>1305</v>
      </c>
    </row>
    <row r="527" spans="1:24" hidden="1">
      <c r="A527" s="143"/>
      <c r="J527" s="1" t="str">
        <f t="shared" si="149"/>
        <v>0</v>
      </c>
      <c r="K527" s="3">
        <f t="shared" si="150"/>
        <v>-100</v>
      </c>
      <c r="L527" s="3">
        <f t="shared" si="151"/>
        <v>1</v>
      </c>
      <c r="M527" s="3">
        <f t="shared" si="152"/>
        <v>0</v>
      </c>
      <c r="N527" s="3" t="str">
        <f t="shared" si="153"/>
        <v>01</v>
      </c>
      <c r="O527" s="14" t="str">
        <f t="shared" si="154"/>
        <v>00</v>
      </c>
    </row>
    <row r="528" spans="1:24" hidden="1">
      <c r="A528" s="143">
        <v>449</v>
      </c>
      <c r="B528" s="1">
        <f t="shared" ref="B528:B536" si="155">IF(G528="-",0,IF(G527=G528,1,0))</f>
        <v>0</v>
      </c>
      <c r="C528" s="1">
        <f t="shared" ref="C528:C536" si="156">+IF(G528="-",0,IF(I528=I527+1,0,(IF(I528=1,0,1))))</f>
        <v>1</v>
      </c>
      <c r="D528" s="1">
        <f t="shared" ref="D528:D536" si="157">+IF(AND(P528="",Q528=""),1,0)</f>
        <v>0</v>
      </c>
      <c r="E528" s="1">
        <f t="shared" ref="E528:E536" si="158">IF(U528="",1,0)</f>
        <v>0</v>
      </c>
      <c r="F528" s="1">
        <f t="shared" ref="F528:F536" si="159">IF(V528="",1,0)</f>
        <v>0</v>
      </c>
      <c r="G528" s="1" t="str">
        <f t="shared" ref="G528:G536" si="160">IF(H528=0,"-",_xlfn.CONCAT(K528,N528,O528,J528))</f>
        <v>25022604</v>
      </c>
      <c r="H528" s="2">
        <v>45714</v>
      </c>
      <c r="I528" s="113">
        <v>4</v>
      </c>
      <c r="J528" s="1" t="str">
        <f t="shared" si="149"/>
        <v>04</v>
      </c>
      <c r="K528" s="3">
        <f t="shared" si="150"/>
        <v>25</v>
      </c>
      <c r="L528" s="3">
        <f t="shared" si="151"/>
        <v>2</v>
      </c>
      <c r="M528" s="3">
        <f t="shared" si="152"/>
        <v>26</v>
      </c>
      <c r="N528" s="3" t="str">
        <f t="shared" si="153"/>
        <v>02</v>
      </c>
      <c r="O528" s="14">
        <f t="shared" si="154"/>
        <v>26</v>
      </c>
      <c r="P528" s="4">
        <v>4210</v>
      </c>
      <c r="T528" s="5" t="s">
        <v>1400</v>
      </c>
      <c r="U528" s="3" t="s">
        <v>726</v>
      </c>
      <c r="V528" s="3" t="s">
        <v>1316</v>
      </c>
      <c r="W528" s="3" t="s">
        <v>1309</v>
      </c>
      <c r="X528" s="1" t="s">
        <v>1305</v>
      </c>
    </row>
    <row r="529" spans="1:25" hidden="1">
      <c r="A529" s="143">
        <v>450</v>
      </c>
      <c r="B529" s="1">
        <f t="shared" si="155"/>
        <v>0</v>
      </c>
      <c r="C529" s="1">
        <f t="shared" si="156"/>
        <v>0</v>
      </c>
      <c r="D529" s="1">
        <f t="shared" si="157"/>
        <v>0</v>
      </c>
      <c r="E529" s="1">
        <f t="shared" si="158"/>
        <v>0</v>
      </c>
      <c r="F529" s="1">
        <f t="shared" si="159"/>
        <v>0</v>
      </c>
      <c r="G529" s="1" t="str">
        <f t="shared" si="160"/>
        <v>25022701</v>
      </c>
      <c r="H529" s="2">
        <v>45715</v>
      </c>
      <c r="I529" s="113">
        <v>1</v>
      </c>
      <c r="J529" s="1" t="str">
        <f t="shared" si="149"/>
        <v>01</v>
      </c>
      <c r="K529" s="3">
        <f t="shared" si="150"/>
        <v>25</v>
      </c>
      <c r="L529" s="3">
        <f t="shared" si="151"/>
        <v>2</v>
      </c>
      <c r="M529" s="3">
        <f t="shared" si="152"/>
        <v>27</v>
      </c>
      <c r="N529" s="3" t="str">
        <f t="shared" si="153"/>
        <v>02</v>
      </c>
      <c r="O529" s="14">
        <f t="shared" si="154"/>
        <v>27</v>
      </c>
      <c r="P529" s="4">
        <v>10047.959999999999</v>
      </c>
      <c r="T529" s="5" t="s">
        <v>1789</v>
      </c>
      <c r="U529" s="3" t="s">
        <v>29</v>
      </c>
      <c r="V529" s="3" t="s">
        <v>5</v>
      </c>
      <c r="W529" s="3" t="s">
        <v>1307</v>
      </c>
      <c r="X529" s="1" t="s">
        <v>1305</v>
      </c>
    </row>
    <row r="530" spans="1:25" hidden="1">
      <c r="A530" s="143">
        <v>451</v>
      </c>
      <c r="B530" s="1">
        <f t="shared" si="155"/>
        <v>0</v>
      </c>
      <c r="C530" s="1">
        <f t="shared" si="156"/>
        <v>0</v>
      </c>
      <c r="D530" s="1">
        <f t="shared" si="157"/>
        <v>0</v>
      </c>
      <c r="E530" s="1">
        <f t="shared" si="158"/>
        <v>0</v>
      </c>
      <c r="F530" s="1">
        <f t="shared" si="159"/>
        <v>0</v>
      </c>
      <c r="G530" s="1" t="str">
        <f t="shared" si="160"/>
        <v>25022702</v>
      </c>
      <c r="H530" s="2">
        <v>45715</v>
      </c>
      <c r="I530" s="113">
        <v>2</v>
      </c>
      <c r="J530" s="1" t="str">
        <f t="shared" si="149"/>
        <v>02</v>
      </c>
      <c r="K530" s="3">
        <f t="shared" si="150"/>
        <v>25</v>
      </c>
      <c r="L530" s="3">
        <f t="shared" si="151"/>
        <v>2</v>
      </c>
      <c r="M530" s="3">
        <f t="shared" si="152"/>
        <v>27</v>
      </c>
      <c r="N530" s="3" t="str">
        <f t="shared" si="153"/>
        <v>02</v>
      </c>
      <c r="O530" s="14">
        <f t="shared" si="154"/>
        <v>27</v>
      </c>
      <c r="P530" s="4">
        <v>8824.94</v>
      </c>
      <c r="T530" s="5" t="s">
        <v>1788</v>
      </c>
      <c r="U530" s="3" t="s">
        <v>29</v>
      </c>
      <c r="V530" s="3" t="s">
        <v>5</v>
      </c>
      <c r="W530" s="3" t="s">
        <v>1307</v>
      </c>
      <c r="X530" s="1" t="s">
        <v>1305</v>
      </c>
    </row>
    <row r="531" spans="1:25" hidden="1">
      <c r="A531" s="143">
        <v>452</v>
      </c>
      <c r="B531" s="1">
        <f t="shared" si="155"/>
        <v>0</v>
      </c>
      <c r="C531" s="1">
        <f t="shared" si="156"/>
        <v>0</v>
      </c>
      <c r="D531" s="1">
        <f t="shared" si="157"/>
        <v>0</v>
      </c>
      <c r="E531" s="1">
        <f t="shared" si="158"/>
        <v>0</v>
      </c>
      <c r="F531" s="1">
        <f t="shared" si="159"/>
        <v>0</v>
      </c>
      <c r="G531" s="1" t="str">
        <f t="shared" si="160"/>
        <v>25022703</v>
      </c>
      <c r="H531" s="2">
        <v>45715</v>
      </c>
      <c r="I531" s="113">
        <v>3</v>
      </c>
      <c r="J531" s="1" t="str">
        <f t="shared" si="149"/>
        <v>03</v>
      </c>
      <c r="K531" s="3">
        <f t="shared" si="150"/>
        <v>25</v>
      </c>
      <c r="L531" s="3">
        <f t="shared" si="151"/>
        <v>2</v>
      </c>
      <c r="M531" s="3">
        <f t="shared" si="152"/>
        <v>27</v>
      </c>
      <c r="N531" s="3" t="str">
        <f t="shared" si="153"/>
        <v>02</v>
      </c>
      <c r="O531" s="14">
        <f t="shared" si="154"/>
        <v>27</v>
      </c>
      <c r="P531" s="4">
        <v>-20485.46</v>
      </c>
      <c r="T531" s="5" t="s">
        <v>1787</v>
      </c>
      <c r="U531" s="3" t="s">
        <v>29</v>
      </c>
      <c r="V531" s="3" t="s">
        <v>5</v>
      </c>
      <c r="W531" s="3" t="s">
        <v>1307</v>
      </c>
      <c r="X531" s="1" t="s">
        <v>1305</v>
      </c>
      <c r="Y531" s="141" t="s">
        <v>1786</v>
      </c>
    </row>
    <row r="532" spans="1:25" hidden="1">
      <c r="A532" s="143">
        <v>453</v>
      </c>
      <c r="B532" s="1">
        <f t="shared" si="155"/>
        <v>0</v>
      </c>
      <c r="C532" s="1">
        <f t="shared" si="156"/>
        <v>0</v>
      </c>
      <c r="D532" s="1">
        <f t="shared" si="157"/>
        <v>0</v>
      </c>
      <c r="E532" s="1">
        <f t="shared" si="158"/>
        <v>0</v>
      </c>
      <c r="F532" s="1">
        <f t="shared" si="159"/>
        <v>0</v>
      </c>
      <c r="G532" s="1" t="str">
        <f t="shared" si="160"/>
        <v>25022704</v>
      </c>
      <c r="H532" s="2">
        <v>45715</v>
      </c>
      <c r="I532" s="113">
        <v>4</v>
      </c>
      <c r="J532" s="1" t="str">
        <f t="shared" si="149"/>
        <v>04</v>
      </c>
      <c r="K532" s="3">
        <f t="shared" si="150"/>
        <v>25</v>
      </c>
      <c r="L532" s="3">
        <f t="shared" si="151"/>
        <v>2</v>
      </c>
      <c r="M532" s="3">
        <f t="shared" si="152"/>
        <v>27</v>
      </c>
      <c r="N532" s="3" t="str">
        <f t="shared" si="153"/>
        <v>02</v>
      </c>
      <c r="O532" s="14">
        <f t="shared" si="154"/>
        <v>27</v>
      </c>
      <c r="P532" s="4">
        <v>20000</v>
      </c>
      <c r="T532" s="5" t="s">
        <v>1308</v>
      </c>
      <c r="U532" s="3" t="s">
        <v>29</v>
      </c>
      <c r="V532" s="3" t="s">
        <v>5</v>
      </c>
      <c r="W532" s="3" t="s">
        <v>1309</v>
      </c>
      <c r="X532" s="1" t="s">
        <v>1305</v>
      </c>
      <c r="Y532" s="1" t="s">
        <v>1785</v>
      </c>
    </row>
    <row r="533" spans="1:25" hidden="1">
      <c r="A533" s="143">
        <v>454</v>
      </c>
      <c r="B533" s="1">
        <f t="shared" si="155"/>
        <v>0</v>
      </c>
      <c r="C533" s="1">
        <f t="shared" si="156"/>
        <v>0</v>
      </c>
      <c r="D533" s="1">
        <f t="shared" si="157"/>
        <v>0</v>
      </c>
      <c r="E533" s="1">
        <f t="shared" si="158"/>
        <v>0</v>
      </c>
      <c r="F533" s="1">
        <f t="shared" si="159"/>
        <v>0</v>
      </c>
      <c r="G533" s="1" t="str">
        <f t="shared" si="160"/>
        <v>25022705</v>
      </c>
      <c r="H533" s="2">
        <v>45715</v>
      </c>
      <c r="I533" s="113">
        <v>5</v>
      </c>
      <c r="J533" s="1" t="str">
        <f t="shared" si="149"/>
        <v>05</v>
      </c>
      <c r="K533" s="3">
        <f t="shared" si="150"/>
        <v>25</v>
      </c>
      <c r="L533" s="3">
        <f t="shared" si="151"/>
        <v>2</v>
      </c>
      <c r="M533" s="3">
        <f t="shared" si="152"/>
        <v>27</v>
      </c>
      <c r="N533" s="3" t="str">
        <f t="shared" si="153"/>
        <v>02</v>
      </c>
      <c r="O533" s="14">
        <f t="shared" si="154"/>
        <v>27</v>
      </c>
      <c r="P533" s="4">
        <v>109047.66</v>
      </c>
      <c r="T533" s="5" t="s">
        <v>1784</v>
      </c>
      <c r="U533" s="3" t="s">
        <v>29</v>
      </c>
      <c r="V533" s="3" t="s">
        <v>5</v>
      </c>
      <c r="W533" s="3" t="s">
        <v>1309</v>
      </c>
      <c r="X533" s="1" t="s">
        <v>1305</v>
      </c>
      <c r="Y533" s="17" t="s">
        <v>1783</v>
      </c>
    </row>
    <row r="534" spans="1:25" hidden="1">
      <c r="A534" s="143">
        <v>455</v>
      </c>
      <c r="B534" s="1">
        <f t="shared" si="155"/>
        <v>0</v>
      </c>
      <c r="C534" s="1">
        <f t="shared" si="156"/>
        <v>0</v>
      </c>
      <c r="D534" s="1">
        <f t="shared" si="157"/>
        <v>0</v>
      </c>
      <c r="E534" s="1">
        <f t="shared" si="158"/>
        <v>0</v>
      </c>
      <c r="F534" s="1">
        <f t="shared" si="159"/>
        <v>0</v>
      </c>
      <c r="G534" s="1" t="str">
        <f t="shared" si="160"/>
        <v>25022706</v>
      </c>
      <c r="H534" s="2">
        <v>45715</v>
      </c>
      <c r="I534" s="113">
        <v>6</v>
      </c>
      <c r="J534" s="1" t="str">
        <f t="shared" si="149"/>
        <v>06</v>
      </c>
      <c r="K534" s="3">
        <f t="shared" si="150"/>
        <v>25</v>
      </c>
      <c r="L534" s="3">
        <f t="shared" si="151"/>
        <v>2</v>
      </c>
      <c r="M534" s="3">
        <f t="shared" si="152"/>
        <v>27</v>
      </c>
      <c r="N534" s="3" t="str">
        <f t="shared" si="153"/>
        <v>02</v>
      </c>
      <c r="O534" s="14">
        <f t="shared" si="154"/>
        <v>27</v>
      </c>
      <c r="P534" s="4">
        <v>20000</v>
      </c>
      <c r="T534" s="5" t="s">
        <v>1666</v>
      </c>
      <c r="U534" s="3" t="s">
        <v>30</v>
      </c>
      <c r="V534" s="3" t="s">
        <v>1312</v>
      </c>
      <c r="W534" s="3" t="s">
        <v>1307</v>
      </c>
      <c r="X534" s="1" t="s">
        <v>1305</v>
      </c>
    </row>
    <row r="535" spans="1:25" hidden="1">
      <c r="A535" s="143">
        <v>457</v>
      </c>
      <c r="B535" s="1">
        <f t="shared" si="155"/>
        <v>0</v>
      </c>
      <c r="C535" s="1">
        <f t="shared" si="156"/>
        <v>0</v>
      </c>
      <c r="D535" s="1">
        <f t="shared" si="157"/>
        <v>0</v>
      </c>
      <c r="E535" s="1">
        <f t="shared" si="158"/>
        <v>0</v>
      </c>
      <c r="F535" s="1">
        <f t="shared" si="159"/>
        <v>0</v>
      </c>
      <c r="G535" s="1" t="str">
        <f t="shared" si="160"/>
        <v>25022707</v>
      </c>
      <c r="H535" s="2">
        <v>45715</v>
      </c>
      <c r="I535" s="113">
        <v>7</v>
      </c>
      <c r="J535" s="1" t="str">
        <f t="shared" si="149"/>
        <v>07</v>
      </c>
      <c r="K535" s="3">
        <f t="shared" si="150"/>
        <v>25</v>
      </c>
      <c r="L535" s="3">
        <f t="shared" si="151"/>
        <v>2</v>
      </c>
      <c r="M535" s="3">
        <f t="shared" si="152"/>
        <v>27</v>
      </c>
      <c r="N535" s="3" t="str">
        <f t="shared" si="153"/>
        <v>02</v>
      </c>
      <c r="O535" s="14">
        <f t="shared" si="154"/>
        <v>27</v>
      </c>
      <c r="P535" s="4">
        <v>4000</v>
      </c>
      <c r="T535" s="5" t="s">
        <v>1782</v>
      </c>
      <c r="U535" s="3" t="s">
        <v>726</v>
      </c>
      <c r="V535" s="3" t="s">
        <v>1304</v>
      </c>
      <c r="W535" s="3" t="s">
        <v>1309</v>
      </c>
      <c r="X535" s="1" t="s">
        <v>1305</v>
      </c>
    </row>
    <row r="536" spans="1:25" hidden="1">
      <c r="A536" s="143">
        <v>488</v>
      </c>
      <c r="B536" s="1">
        <f t="shared" si="155"/>
        <v>0</v>
      </c>
      <c r="C536" s="1">
        <f t="shared" si="156"/>
        <v>0</v>
      </c>
      <c r="D536" s="1">
        <f t="shared" si="157"/>
        <v>0</v>
      </c>
      <c r="E536" s="1">
        <f t="shared" si="158"/>
        <v>0</v>
      </c>
      <c r="F536" s="1">
        <f t="shared" si="159"/>
        <v>0</v>
      </c>
      <c r="G536" s="1" t="str">
        <f t="shared" si="160"/>
        <v>25022708</v>
      </c>
      <c r="H536" s="2">
        <v>45715</v>
      </c>
      <c r="I536" s="113">
        <v>8</v>
      </c>
      <c r="J536" s="1" t="str">
        <f t="shared" si="149"/>
        <v>08</v>
      </c>
      <c r="K536" s="3">
        <f t="shared" si="150"/>
        <v>25</v>
      </c>
      <c r="L536" s="3">
        <f t="shared" si="151"/>
        <v>2</v>
      </c>
      <c r="M536" s="3">
        <f t="shared" si="152"/>
        <v>27</v>
      </c>
      <c r="N536" s="3" t="str">
        <f t="shared" si="153"/>
        <v>02</v>
      </c>
      <c r="O536" s="14">
        <f t="shared" si="154"/>
        <v>27</v>
      </c>
      <c r="P536" s="4">
        <v>47400</v>
      </c>
      <c r="T536" s="5" t="s">
        <v>1657</v>
      </c>
      <c r="U536" s="3" t="s">
        <v>29</v>
      </c>
      <c r="V536" s="3" t="s">
        <v>5</v>
      </c>
      <c r="W536" s="3" t="s">
        <v>1303</v>
      </c>
      <c r="X536" s="1" t="s">
        <v>1302</v>
      </c>
    </row>
    <row r="537" spans="1:25" hidden="1">
      <c r="A537" s="143"/>
      <c r="J537" s="1" t="str">
        <f t="shared" si="149"/>
        <v>0</v>
      </c>
      <c r="K537" s="3">
        <f t="shared" si="150"/>
        <v>-100</v>
      </c>
      <c r="L537" s="3">
        <f t="shared" si="151"/>
        <v>1</v>
      </c>
      <c r="M537" s="3">
        <f t="shared" si="152"/>
        <v>0</v>
      </c>
      <c r="N537" s="3" t="str">
        <f t="shared" si="153"/>
        <v>01</v>
      </c>
      <c r="O537" s="14" t="str">
        <f t="shared" si="154"/>
        <v>00</v>
      </c>
    </row>
    <row r="538" spans="1:25" hidden="1">
      <c r="A538" s="143"/>
      <c r="J538" s="1" t="str">
        <f t="shared" si="149"/>
        <v>0</v>
      </c>
      <c r="K538" s="3">
        <f t="shared" si="150"/>
        <v>-100</v>
      </c>
      <c r="L538" s="3">
        <f t="shared" si="151"/>
        <v>1</v>
      </c>
      <c r="M538" s="3">
        <f t="shared" si="152"/>
        <v>0</v>
      </c>
      <c r="N538" s="3" t="str">
        <f t="shared" si="153"/>
        <v>01</v>
      </c>
      <c r="O538" s="14" t="str">
        <f t="shared" si="154"/>
        <v>00</v>
      </c>
    </row>
    <row r="539" spans="1:25" hidden="1">
      <c r="A539" s="143"/>
      <c r="J539" s="1" t="str">
        <f t="shared" si="149"/>
        <v>0</v>
      </c>
      <c r="K539" s="3">
        <f t="shared" si="150"/>
        <v>-100</v>
      </c>
      <c r="L539" s="3">
        <f t="shared" si="151"/>
        <v>1</v>
      </c>
      <c r="M539" s="3">
        <f t="shared" si="152"/>
        <v>0</v>
      </c>
      <c r="N539" s="3" t="str">
        <f t="shared" si="153"/>
        <v>01</v>
      </c>
      <c r="O539" s="14" t="str">
        <f t="shared" si="154"/>
        <v>00</v>
      </c>
    </row>
    <row r="540" spans="1:25" hidden="1">
      <c r="A540" s="143"/>
      <c r="J540" s="1" t="str">
        <f t="shared" si="149"/>
        <v>0</v>
      </c>
      <c r="K540" s="3">
        <f t="shared" si="150"/>
        <v>-100</v>
      </c>
      <c r="L540" s="3">
        <f t="shared" si="151"/>
        <v>1</v>
      </c>
      <c r="M540" s="3">
        <f t="shared" si="152"/>
        <v>0</v>
      </c>
      <c r="N540" s="3" t="str">
        <f t="shared" si="153"/>
        <v>01</v>
      </c>
      <c r="O540" s="14" t="str">
        <f t="shared" si="154"/>
        <v>00</v>
      </c>
    </row>
    <row r="541" spans="1:25" hidden="1">
      <c r="A541" s="143">
        <v>458</v>
      </c>
      <c r="B541" s="1">
        <f>IF(G541="-",0,IF(G540=G541,1,0))</f>
        <v>0</v>
      </c>
      <c r="C541" s="1">
        <f>+IF(G541="-",0,IF(I541=I540+1,0,(IF(I541=1,0,1))))</f>
        <v>1</v>
      </c>
      <c r="D541" s="1">
        <f>+IF(AND(P541="",Q541=""),1,0)</f>
        <v>0</v>
      </c>
      <c r="E541" s="1">
        <f t="shared" ref="E541:F543" si="161">IF(U541="",1,0)</f>
        <v>0</v>
      </c>
      <c r="F541" s="1">
        <f t="shared" si="161"/>
        <v>0</v>
      </c>
      <c r="G541" s="1" t="str">
        <f>IF(H541=0,"-",_xlfn.CONCAT(K541,N541,O541,J541))</f>
        <v>25022802</v>
      </c>
      <c r="H541" s="2">
        <v>45716</v>
      </c>
      <c r="I541" s="113">
        <v>2</v>
      </c>
      <c r="J541" s="1" t="str">
        <f t="shared" si="149"/>
        <v>02</v>
      </c>
      <c r="K541" s="3">
        <f t="shared" si="150"/>
        <v>25</v>
      </c>
      <c r="L541" s="3">
        <f t="shared" si="151"/>
        <v>2</v>
      </c>
      <c r="M541" s="3">
        <f t="shared" si="152"/>
        <v>28</v>
      </c>
      <c r="N541" s="3" t="str">
        <f t="shared" si="153"/>
        <v>02</v>
      </c>
      <c r="O541" s="14">
        <f t="shared" si="154"/>
        <v>28</v>
      </c>
      <c r="P541" s="4">
        <v>21525.49</v>
      </c>
      <c r="T541" s="5" t="s">
        <v>1781</v>
      </c>
      <c r="U541" s="3" t="s">
        <v>29</v>
      </c>
      <c r="V541" s="3" t="s">
        <v>5</v>
      </c>
      <c r="W541" s="3" t="s">
        <v>1307</v>
      </c>
      <c r="X541" s="1" t="s">
        <v>1305</v>
      </c>
    </row>
    <row r="542" spans="1:25" hidden="1">
      <c r="A542" s="143">
        <v>459</v>
      </c>
      <c r="B542" s="1">
        <f>IF(G542="-",0,IF(G541=G542,1,0))</f>
        <v>0</v>
      </c>
      <c r="C542" s="1">
        <f>+IF(G542="-",0,IF(I542=I541+1,0,(IF(I542=1,0,1))))</f>
        <v>0</v>
      </c>
      <c r="D542" s="1">
        <f>+IF(AND(P542="",Q542=""),1,0)</f>
        <v>0</v>
      </c>
      <c r="E542" s="1">
        <f t="shared" si="161"/>
        <v>0</v>
      </c>
      <c r="F542" s="1">
        <f t="shared" si="161"/>
        <v>0</v>
      </c>
      <c r="G542" s="1" t="str">
        <f>IF(H542=0,"-",_xlfn.CONCAT(K542,N542,O542,J542))</f>
        <v>25022803</v>
      </c>
      <c r="H542" s="2">
        <v>45716</v>
      </c>
      <c r="I542" s="113">
        <v>3</v>
      </c>
      <c r="J542" s="1" t="str">
        <f t="shared" si="149"/>
        <v>03</v>
      </c>
      <c r="K542" s="3">
        <f t="shared" si="150"/>
        <v>25</v>
      </c>
      <c r="L542" s="3">
        <f t="shared" si="151"/>
        <v>2</v>
      </c>
      <c r="M542" s="3">
        <f t="shared" si="152"/>
        <v>28</v>
      </c>
      <c r="N542" s="3" t="str">
        <f t="shared" si="153"/>
        <v>02</v>
      </c>
      <c r="O542" s="14">
        <f t="shared" si="154"/>
        <v>28</v>
      </c>
      <c r="P542" s="4">
        <v>-12935.22</v>
      </c>
      <c r="T542" s="5" t="s">
        <v>1780</v>
      </c>
      <c r="U542" s="3" t="s">
        <v>29</v>
      </c>
      <c r="V542" s="3" t="s">
        <v>5</v>
      </c>
      <c r="W542" s="3" t="s">
        <v>1307</v>
      </c>
      <c r="X542" s="1" t="s">
        <v>1305</v>
      </c>
      <c r="Y542" s="141" t="s">
        <v>1779</v>
      </c>
    </row>
    <row r="543" spans="1:25" hidden="1">
      <c r="A543" s="143">
        <v>460</v>
      </c>
      <c r="B543" s="1">
        <f>IF(G543="-",0,IF(G542=G543,1,0))</f>
        <v>0</v>
      </c>
      <c r="C543" s="1">
        <f>+IF(G543="-",0,IF(I543=I542+1,0,(IF(I543=1,0,1))))</f>
        <v>0</v>
      </c>
      <c r="D543" s="1">
        <f>+IF(AND(P543="",Q543=""),1,0)</f>
        <v>0</v>
      </c>
      <c r="E543" s="1">
        <f t="shared" si="161"/>
        <v>0</v>
      </c>
      <c r="F543" s="1">
        <f t="shared" si="161"/>
        <v>0</v>
      </c>
      <c r="G543" s="1" t="str">
        <f>IF(H543=0,"-",_xlfn.CONCAT(K543,N543,O543,J543))</f>
        <v>25022804</v>
      </c>
      <c r="H543" s="2">
        <v>45716</v>
      </c>
      <c r="I543" s="113">
        <v>4</v>
      </c>
      <c r="J543" s="1" t="str">
        <f t="shared" si="149"/>
        <v>04</v>
      </c>
      <c r="K543" s="3">
        <f t="shared" si="150"/>
        <v>25</v>
      </c>
      <c r="L543" s="3">
        <f t="shared" si="151"/>
        <v>2</v>
      </c>
      <c r="M543" s="3">
        <f t="shared" si="152"/>
        <v>28</v>
      </c>
      <c r="N543" s="3" t="str">
        <f t="shared" si="153"/>
        <v>02</v>
      </c>
      <c r="O543" s="14">
        <f t="shared" si="154"/>
        <v>28</v>
      </c>
      <c r="P543" s="4">
        <v>71138.990000000005</v>
      </c>
      <c r="T543" s="5" t="s">
        <v>1778</v>
      </c>
      <c r="U543" s="3" t="s">
        <v>29</v>
      </c>
      <c r="V543" s="3" t="s">
        <v>5</v>
      </c>
      <c r="W543" s="3" t="s">
        <v>1307</v>
      </c>
      <c r="X543" s="1" t="s">
        <v>1305</v>
      </c>
    </row>
    <row r="544" spans="1:25" hidden="1">
      <c r="A544" s="143"/>
      <c r="J544" s="1" t="str">
        <f t="shared" si="149"/>
        <v>0</v>
      </c>
      <c r="K544" s="3">
        <f t="shared" si="150"/>
        <v>-100</v>
      </c>
      <c r="L544" s="3">
        <f t="shared" si="151"/>
        <v>1</v>
      </c>
      <c r="M544" s="3">
        <f t="shared" si="152"/>
        <v>0</v>
      </c>
      <c r="N544" s="3" t="str">
        <f t="shared" si="153"/>
        <v>01</v>
      </c>
      <c r="O544" s="14" t="str">
        <f t="shared" si="154"/>
        <v>00</v>
      </c>
    </row>
    <row r="545" spans="1:25" hidden="1">
      <c r="A545" s="143"/>
      <c r="J545" s="1" t="str">
        <f t="shared" si="149"/>
        <v>0</v>
      </c>
      <c r="K545" s="3">
        <f t="shared" si="150"/>
        <v>-100</v>
      </c>
      <c r="L545" s="3">
        <f t="shared" si="151"/>
        <v>1</v>
      </c>
      <c r="M545" s="3">
        <f t="shared" si="152"/>
        <v>0</v>
      </c>
      <c r="N545" s="3" t="str">
        <f t="shared" si="153"/>
        <v>01</v>
      </c>
      <c r="O545" s="14" t="str">
        <f t="shared" si="154"/>
        <v>00</v>
      </c>
    </row>
    <row r="546" spans="1:25" hidden="1">
      <c r="A546" s="143"/>
      <c r="J546" s="1" t="str">
        <f t="shared" si="149"/>
        <v>0</v>
      </c>
      <c r="K546" s="3">
        <f t="shared" si="150"/>
        <v>-100</v>
      </c>
      <c r="L546" s="3">
        <f t="shared" si="151"/>
        <v>1</v>
      </c>
      <c r="M546" s="3">
        <f t="shared" si="152"/>
        <v>0</v>
      </c>
      <c r="N546" s="3" t="str">
        <f t="shared" si="153"/>
        <v>01</v>
      </c>
      <c r="O546" s="14" t="str">
        <f t="shared" si="154"/>
        <v>00</v>
      </c>
    </row>
    <row r="547" spans="1:25" hidden="1">
      <c r="A547" s="143"/>
      <c r="J547" s="1" t="str">
        <f t="shared" si="149"/>
        <v>0</v>
      </c>
      <c r="K547" s="3">
        <f t="shared" si="150"/>
        <v>-100</v>
      </c>
      <c r="L547" s="3">
        <f t="shared" si="151"/>
        <v>1</v>
      </c>
      <c r="M547" s="3">
        <f t="shared" si="152"/>
        <v>0</v>
      </c>
      <c r="N547" s="3" t="str">
        <f t="shared" si="153"/>
        <v>01</v>
      </c>
      <c r="O547" s="14" t="str">
        <f t="shared" si="154"/>
        <v>00</v>
      </c>
    </row>
    <row r="548" spans="1:25" hidden="1">
      <c r="A548" s="143"/>
      <c r="J548" s="1" t="str">
        <f t="shared" si="149"/>
        <v>0</v>
      </c>
      <c r="K548" s="3">
        <f t="shared" si="150"/>
        <v>-100</v>
      </c>
      <c r="L548" s="3">
        <f t="shared" si="151"/>
        <v>1</v>
      </c>
      <c r="M548" s="3">
        <f t="shared" si="152"/>
        <v>0</v>
      </c>
      <c r="N548" s="3" t="str">
        <f t="shared" si="153"/>
        <v>01</v>
      </c>
      <c r="O548" s="14" t="str">
        <f t="shared" si="154"/>
        <v>00</v>
      </c>
    </row>
    <row r="549" spans="1:25" hidden="1">
      <c r="A549" s="143"/>
      <c r="J549" s="1" t="str">
        <f t="shared" si="149"/>
        <v>0</v>
      </c>
      <c r="K549" s="3">
        <f t="shared" si="150"/>
        <v>-100</v>
      </c>
      <c r="L549" s="3">
        <f t="shared" si="151"/>
        <v>1</v>
      </c>
      <c r="M549" s="3">
        <f t="shared" si="152"/>
        <v>0</v>
      </c>
      <c r="N549" s="3" t="str">
        <f t="shared" si="153"/>
        <v>01</v>
      </c>
      <c r="O549" s="14" t="str">
        <f t="shared" si="154"/>
        <v>00</v>
      </c>
    </row>
    <row r="550" spans="1:25" hidden="1">
      <c r="A550" s="143"/>
      <c r="J550" s="1" t="str">
        <f t="shared" si="149"/>
        <v>0</v>
      </c>
      <c r="K550" s="3">
        <f t="shared" si="150"/>
        <v>-100</v>
      </c>
      <c r="L550" s="3">
        <f t="shared" si="151"/>
        <v>1</v>
      </c>
      <c r="M550" s="3">
        <f t="shared" si="152"/>
        <v>0</v>
      </c>
      <c r="N550" s="3" t="str">
        <f t="shared" si="153"/>
        <v>01</v>
      </c>
      <c r="O550" s="14" t="str">
        <f t="shared" si="154"/>
        <v>00</v>
      </c>
    </row>
    <row r="551" spans="1:25" hidden="1">
      <c r="A551" s="143"/>
      <c r="J551" s="1" t="str">
        <f t="shared" si="149"/>
        <v>0</v>
      </c>
      <c r="K551" s="3">
        <f t="shared" si="150"/>
        <v>-100</v>
      </c>
      <c r="L551" s="3">
        <f t="shared" si="151"/>
        <v>1</v>
      </c>
      <c r="M551" s="3">
        <f t="shared" si="152"/>
        <v>0</v>
      </c>
      <c r="N551" s="3" t="str">
        <f t="shared" si="153"/>
        <v>01</v>
      </c>
      <c r="O551" s="14" t="str">
        <f t="shared" si="154"/>
        <v>00</v>
      </c>
    </row>
    <row r="552" spans="1:25" hidden="1">
      <c r="A552" s="143">
        <v>644</v>
      </c>
      <c r="B552" s="1">
        <f>IF(G552="-",0,IF(G551=G552,1,0))</f>
        <v>0</v>
      </c>
      <c r="C552" s="1">
        <f>+IF(G552="-",0,IF(I552=I551+1,0,(IF(I552=1,0,1))))</f>
        <v>1</v>
      </c>
      <c r="D552" s="1">
        <f>+IF(AND(P552="",Q552=""),1,0)</f>
        <v>0</v>
      </c>
      <c r="E552" s="1">
        <f t="shared" ref="E552:F555" si="162">IF(U552="",1,0)</f>
        <v>0</v>
      </c>
      <c r="F552" s="1">
        <f t="shared" si="162"/>
        <v>0</v>
      </c>
      <c r="G552" s="1" t="str">
        <f>IF(H552=0,"-",_xlfn.CONCAT(K552,N552,O552,J552))</f>
        <v>25022812</v>
      </c>
      <c r="H552" s="2">
        <v>45716</v>
      </c>
      <c r="I552" s="113">
        <v>12</v>
      </c>
      <c r="J552" s="1">
        <f t="shared" si="149"/>
        <v>12</v>
      </c>
      <c r="K552" s="3">
        <f t="shared" si="150"/>
        <v>25</v>
      </c>
      <c r="L552" s="3">
        <f t="shared" si="151"/>
        <v>2</v>
      </c>
      <c r="M552" s="3">
        <f t="shared" si="152"/>
        <v>28</v>
      </c>
      <c r="N552" s="3" t="str">
        <f t="shared" si="153"/>
        <v>02</v>
      </c>
      <c r="O552" s="14">
        <f t="shared" si="154"/>
        <v>28</v>
      </c>
      <c r="Q552" s="5">
        <v>989</v>
      </c>
      <c r="T552" s="5" t="s">
        <v>1777</v>
      </c>
      <c r="U552" s="3" t="s">
        <v>3</v>
      </c>
      <c r="V552" s="3" t="s">
        <v>1304</v>
      </c>
      <c r="W552" s="3" t="s">
        <v>1306</v>
      </c>
      <c r="X552" s="1" t="s">
        <v>1302</v>
      </c>
      <c r="Y552" s="141" t="s">
        <v>1776</v>
      </c>
    </row>
    <row r="553" spans="1:25">
      <c r="A553" s="143">
        <v>476</v>
      </c>
      <c r="B553" s="1">
        <f>IF(G553="-",0,IF(G552=G553,1,0))</f>
        <v>0</v>
      </c>
      <c r="C553" s="1">
        <f>+IF(G553="-",0,IF(I553=I552+1,0,(IF(I553=1,0,1))))</f>
        <v>0</v>
      </c>
      <c r="D553" s="1">
        <f>+IF(AND(P553="",Q553=""),1,0)</f>
        <v>0</v>
      </c>
      <c r="E553" s="1">
        <f t="shared" si="162"/>
        <v>0</v>
      </c>
      <c r="F553" s="1">
        <f t="shared" si="162"/>
        <v>0</v>
      </c>
      <c r="G553" s="1" t="str">
        <f>IF(H553=0,"-",_xlfn.CONCAT(K553,N553,O553,J553))</f>
        <v>25030101</v>
      </c>
      <c r="H553" s="2">
        <v>45717</v>
      </c>
      <c r="I553" s="113">
        <v>1</v>
      </c>
      <c r="J553" s="1" t="str">
        <f t="shared" si="149"/>
        <v>01</v>
      </c>
      <c r="K553" s="3">
        <f t="shared" si="150"/>
        <v>25</v>
      </c>
      <c r="L553" s="3">
        <f t="shared" si="151"/>
        <v>3</v>
      </c>
      <c r="M553" s="3">
        <f t="shared" si="152"/>
        <v>1</v>
      </c>
      <c r="N553" s="3" t="str">
        <f t="shared" si="153"/>
        <v>03</v>
      </c>
      <c r="O553" s="14" t="str">
        <f t="shared" si="154"/>
        <v>01</v>
      </c>
      <c r="P553" s="4">
        <v>573064.26</v>
      </c>
      <c r="T553" s="5" t="s">
        <v>1775</v>
      </c>
      <c r="U553" s="3" t="s">
        <v>1342</v>
      </c>
      <c r="V553" s="3" t="s">
        <v>5</v>
      </c>
      <c r="W553" s="3" t="s">
        <v>1306</v>
      </c>
      <c r="X553" s="1" t="s">
        <v>1305</v>
      </c>
    </row>
    <row r="554" spans="1:25" hidden="1">
      <c r="A554" s="143">
        <v>494</v>
      </c>
      <c r="B554" s="1">
        <f>IF(G554="-",0,IF(G553=G554,1,0))</f>
        <v>0</v>
      </c>
      <c r="C554" s="1">
        <f>+IF(G554="-",0,IF(I554=I553+1,0,(IF(I554=1,0,1))))</f>
        <v>0</v>
      </c>
      <c r="D554" s="1">
        <f>+IF(AND(P554="",Q554=""),1,0)</f>
        <v>0</v>
      </c>
      <c r="E554" s="1">
        <f t="shared" si="162"/>
        <v>0</v>
      </c>
      <c r="F554" s="1">
        <f t="shared" si="162"/>
        <v>0</v>
      </c>
      <c r="G554" s="1" t="str">
        <f>IF(H554=0,"-",_xlfn.CONCAT(K554,N554,O554,J554))</f>
        <v>25030102</v>
      </c>
      <c r="H554" s="2">
        <v>45717</v>
      </c>
      <c r="I554" s="113">
        <v>2</v>
      </c>
      <c r="J554" s="1" t="str">
        <f t="shared" si="149"/>
        <v>02</v>
      </c>
      <c r="K554" s="3">
        <f t="shared" si="150"/>
        <v>25</v>
      </c>
      <c r="L554" s="3">
        <f t="shared" si="151"/>
        <v>3</v>
      </c>
      <c r="M554" s="3">
        <f t="shared" si="152"/>
        <v>1</v>
      </c>
      <c r="N554" s="3" t="str">
        <f t="shared" si="153"/>
        <v>03</v>
      </c>
      <c r="O554" s="14" t="str">
        <f t="shared" si="154"/>
        <v>01</v>
      </c>
      <c r="P554" s="4">
        <v>45600</v>
      </c>
      <c r="T554" s="5" t="s">
        <v>1657</v>
      </c>
      <c r="U554" s="3" t="s">
        <v>29</v>
      </c>
      <c r="V554" s="3" t="s">
        <v>5</v>
      </c>
      <c r="W554" s="3" t="s">
        <v>1303</v>
      </c>
      <c r="X554" s="1" t="s">
        <v>1302</v>
      </c>
    </row>
    <row r="555" spans="1:25" hidden="1">
      <c r="A555" s="143">
        <v>495</v>
      </c>
      <c r="B555" s="1">
        <f>IF(G555="-",0,IF(G554=G555,1,0))</f>
        <v>1</v>
      </c>
      <c r="C555" s="1">
        <f>+IF(G555="-",0,IF(I555=I554+1,0,(IF(I555=1,0,1))))</f>
        <v>1</v>
      </c>
      <c r="D555" s="1">
        <f>+IF(AND(P555="",Q555=""),1,0)</f>
        <v>0</v>
      </c>
      <c r="E555" s="1">
        <f t="shared" si="162"/>
        <v>0</v>
      </c>
      <c r="F555" s="1">
        <f t="shared" si="162"/>
        <v>0</v>
      </c>
      <c r="G555" s="1" t="str">
        <f>IF(H555=0,"-",_xlfn.CONCAT(K555,N555,O555,J555))</f>
        <v>25030102</v>
      </c>
      <c r="H555" s="2">
        <v>45717</v>
      </c>
      <c r="I555" s="113">
        <v>2</v>
      </c>
      <c r="J555" s="1" t="str">
        <f t="shared" si="149"/>
        <v>02</v>
      </c>
      <c r="K555" s="3">
        <f t="shared" si="150"/>
        <v>25</v>
      </c>
      <c r="L555" s="3">
        <f t="shared" si="151"/>
        <v>3</v>
      </c>
      <c r="M555" s="3">
        <f t="shared" si="152"/>
        <v>1</v>
      </c>
      <c r="N555" s="3" t="str">
        <f t="shared" si="153"/>
        <v>03</v>
      </c>
      <c r="O555" s="14" t="str">
        <f t="shared" si="154"/>
        <v>01</v>
      </c>
      <c r="P555" s="4">
        <v>10000</v>
      </c>
      <c r="T555" s="5" t="s">
        <v>1332</v>
      </c>
      <c r="U555" s="3" t="s">
        <v>29</v>
      </c>
      <c r="V555" s="3" t="s">
        <v>5</v>
      </c>
      <c r="W555" s="3" t="s">
        <v>1307</v>
      </c>
      <c r="X555" s="1" t="s">
        <v>1305</v>
      </c>
    </row>
    <row r="556" spans="1:25" hidden="1">
      <c r="A556" s="143"/>
      <c r="J556" s="1" t="str">
        <f t="shared" si="149"/>
        <v>0</v>
      </c>
      <c r="K556" s="3">
        <f t="shared" si="150"/>
        <v>-100</v>
      </c>
      <c r="L556" s="3">
        <f t="shared" si="151"/>
        <v>1</v>
      </c>
      <c r="M556" s="3">
        <f t="shared" si="152"/>
        <v>0</v>
      </c>
      <c r="N556" s="3" t="str">
        <f t="shared" si="153"/>
        <v>01</v>
      </c>
      <c r="O556" s="14" t="str">
        <f t="shared" si="154"/>
        <v>00</v>
      </c>
      <c r="T556" s="28"/>
    </row>
    <row r="557" spans="1:25">
      <c r="A557" s="143">
        <v>536</v>
      </c>
      <c r="B557" s="1">
        <f t="shared" ref="B557:B579" si="163">IF(G557="-",0,IF(G556=G557,1,0))</f>
        <v>0</v>
      </c>
      <c r="C557" s="1">
        <f t="shared" ref="C557:C579" si="164">+IF(G557="-",0,IF(I557=I556+1,0,(IF(I557=1,0,1))))</f>
        <v>1</v>
      </c>
      <c r="D557" s="1">
        <f t="shared" ref="D557:D579" si="165">+IF(AND(P557="",Q557=""),1,0)</f>
        <v>0</v>
      </c>
      <c r="E557" s="1">
        <f t="shared" ref="E557:E579" si="166">IF(U557="",1,0)</f>
        <v>1</v>
      </c>
      <c r="F557" s="1">
        <f t="shared" ref="F557:F579" si="167">IF(V557="",1,0)</f>
        <v>0</v>
      </c>
      <c r="G557" s="1" t="str">
        <f t="shared" ref="G557:G579" si="168">IF(H557=0,"-",_xlfn.CONCAT(K557,N557,O557,J557))</f>
        <v>25030104</v>
      </c>
      <c r="H557" s="2">
        <v>45717</v>
      </c>
      <c r="I557" s="113">
        <v>4</v>
      </c>
      <c r="J557" s="1" t="str">
        <f t="shared" si="149"/>
        <v>04</v>
      </c>
      <c r="K557" s="3">
        <f t="shared" si="150"/>
        <v>25</v>
      </c>
      <c r="L557" s="3">
        <f t="shared" si="151"/>
        <v>3</v>
      </c>
      <c r="M557" s="3">
        <f t="shared" si="152"/>
        <v>1</v>
      </c>
      <c r="N557" s="3" t="str">
        <f t="shared" si="153"/>
        <v>03</v>
      </c>
      <c r="O557" s="14" t="str">
        <f t="shared" si="154"/>
        <v>01</v>
      </c>
      <c r="P557" s="4">
        <v>115000</v>
      </c>
      <c r="T557" s="28" t="s">
        <v>1774</v>
      </c>
      <c r="V557" s="3" t="s">
        <v>5</v>
      </c>
      <c r="W557" s="3" t="s">
        <v>1306</v>
      </c>
      <c r="X557" s="1" t="s">
        <v>1302</v>
      </c>
    </row>
    <row r="558" spans="1:25">
      <c r="A558" s="143">
        <v>537</v>
      </c>
      <c r="B558" s="1">
        <f t="shared" si="163"/>
        <v>0</v>
      </c>
      <c r="C558" s="1">
        <f t="shared" si="164"/>
        <v>0</v>
      </c>
      <c r="D558" s="1">
        <f t="shared" si="165"/>
        <v>0</v>
      </c>
      <c r="E558" s="1">
        <f t="shared" si="166"/>
        <v>1</v>
      </c>
      <c r="F558" s="1">
        <f t="shared" si="167"/>
        <v>0</v>
      </c>
      <c r="G558" s="1" t="str">
        <f t="shared" si="168"/>
        <v>25030105</v>
      </c>
      <c r="H558" s="2">
        <v>45717</v>
      </c>
      <c r="I558" s="113">
        <v>5</v>
      </c>
      <c r="J558" s="1" t="str">
        <f t="shared" si="149"/>
        <v>05</v>
      </c>
      <c r="K558" s="3">
        <f t="shared" si="150"/>
        <v>25</v>
      </c>
      <c r="L558" s="3">
        <f t="shared" si="151"/>
        <v>3</v>
      </c>
      <c r="M558" s="3">
        <f t="shared" si="152"/>
        <v>1</v>
      </c>
      <c r="N558" s="3" t="str">
        <f t="shared" si="153"/>
        <v>03</v>
      </c>
      <c r="O558" s="14" t="str">
        <f t="shared" si="154"/>
        <v>01</v>
      </c>
      <c r="P558" s="4">
        <v>132000</v>
      </c>
      <c r="T558" s="28" t="s">
        <v>1773</v>
      </c>
      <c r="V558" s="3" t="s">
        <v>5</v>
      </c>
      <c r="W558" s="3" t="s">
        <v>1306</v>
      </c>
      <c r="X558" s="1" t="s">
        <v>1302</v>
      </c>
    </row>
    <row r="559" spans="1:25">
      <c r="A559" s="143">
        <v>538</v>
      </c>
      <c r="B559" s="1">
        <f t="shared" si="163"/>
        <v>0</v>
      </c>
      <c r="C559" s="1">
        <f t="shared" si="164"/>
        <v>0</v>
      </c>
      <c r="D559" s="1">
        <f t="shared" si="165"/>
        <v>0</v>
      </c>
      <c r="E559" s="1">
        <f t="shared" si="166"/>
        <v>1</v>
      </c>
      <c r="F559" s="1">
        <f t="shared" si="167"/>
        <v>0</v>
      </c>
      <c r="G559" s="1" t="str">
        <f t="shared" si="168"/>
        <v>25030106</v>
      </c>
      <c r="H559" s="2">
        <v>45717</v>
      </c>
      <c r="I559" s="113">
        <v>6</v>
      </c>
      <c r="J559" s="1" t="str">
        <f t="shared" si="149"/>
        <v>06</v>
      </c>
      <c r="K559" s="3">
        <f t="shared" si="150"/>
        <v>25</v>
      </c>
      <c r="L559" s="3">
        <f t="shared" si="151"/>
        <v>3</v>
      </c>
      <c r="M559" s="3">
        <f t="shared" si="152"/>
        <v>1</v>
      </c>
      <c r="N559" s="3" t="str">
        <f t="shared" si="153"/>
        <v>03</v>
      </c>
      <c r="O559" s="14" t="str">
        <f t="shared" si="154"/>
        <v>01</v>
      </c>
      <c r="P559" s="4">
        <v>108000</v>
      </c>
      <c r="T559" s="28" t="s">
        <v>1772</v>
      </c>
      <c r="V559" s="3" t="s">
        <v>5</v>
      </c>
      <c r="W559" s="3" t="s">
        <v>1306</v>
      </c>
      <c r="X559" s="1" t="s">
        <v>1302</v>
      </c>
    </row>
    <row r="560" spans="1:25">
      <c r="A560" s="143">
        <v>539</v>
      </c>
      <c r="B560" s="1">
        <f t="shared" si="163"/>
        <v>0</v>
      </c>
      <c r="C560" s="1">
        <f t="shared" si="164"/>
        <v>0</v>
      </c>
      <c r="D560" s="1">
        <f t="shared" si="165"/>
        <v>0</v>
      </c>
      <c r="E560" s="1">
        <f t="shared" si="166"/>
        <v>1</v>
      </c>
      <c r="F560" s="1">
        <f t="shared" si="167"/>
        <v>0</v>
      </c>
      <c r="G560" s="1" t="str">
        <f t="shared" si="168"/>
        <v>25030107</v>
      </c>
      <c r="H560" s="2">
        <v>45717</v>
      </c>
      <c r="I560" s="113">
        <v>7</v>
      </c>
      <c r="J560" s="1" t="str">
        <f t="shared" si="149"/>
        <v>07</v>
      </c>
      <c r="K560" s="3">
        <f t="shared" si="150"/>
        <v>25</v>
      </c>
      <c r="L560" s="3">
        <f t="shared" si="151"/>
        <v>3</v>
      </c>
      <c r="M560" s="3">
        <f t="shared" si="152"/>
        <v>1</v>
      </c>
      <c r="N560" s="3" t="str">
        <f t="shared" si="153"/>
        <v>03</v>
      </c>
      <c r="O560" s="14" t="str">
        <f t="shared" si="154"/>
        <v>01</v>
      </c>
      <c r="P560" s="4">
        <v>132000</v>
      </c>
      <c r="T560" s="28" t="s">
        <v>1771</v>
      </c>
      <c r="V560" s="3" t="s">
        <v>5</v>
      </c>
      <c r="W560" s="3" t="s">
        <v>1306</v>
      </c>
      <c r="X560" s="1" t="s">
        <v>1302</v>
      </c>
    </row>
    <row r="561" spans="1:25">
      <c r="A561" s="143">
        <v>540</v>
      </c>
      <c r="B561" s="1">
        <f t="shared" si="163"/>
        <v>0</v>
      </c>
      <c r="C561" s="1">
        <f t="shared" si="164"/>
        <v>0</v>
      </c>
      <c r="D561" s="1">
        <f t="shared" si="165"/>
        <v>0</v>
      </c>
      <c r="E561" s="1">
        <f t="shared" si="166"/>
        <v>1</v>
      </c>
      <c r="F561" s="1">
        <f t="shared" si="167"/>
        <v>0</v>
      </c>
      <c r="G561" s="1" t="str">
        <f t="shared" si="168"/>
        <v>25030108</v>
      </c>
      <c r="H561" s="2">
        <v>45717</v>
      </c>
      <c r="I561" s="113">
        <v>8</v>
      </c>
      <c r="J561" s="1" t="str">
        <f t="shared" si="149"/>
        <v>08</v>
      </c>
      <c r="K561" s="3">
        <f t="shared" si="150"/>
        <v>25</v>
      </c>
      <c r="L561" s="3">
        <f t="shared" si="151"/>
        <v>3</v>
      </c>
      <c r="M561" s="3">
        <f t="shared" si="152"/>
        <v>1</v>
      </c>
      <c r="N561" s="3" t="str">
        <f t="shared" si="153"/>
        <v>03</v>
      </c>
      <c r="O561" s="14" t="str">
        <f t="shared" si="154"/>
        <v>01</v>
      </c>
      <c r="P561" s="4">
        <v>159000</v>
      </c>
      <c r="T561" s="28" t="s">
        <v>1770</v>
      </c>
      <c r="V561" s="3" t="s">
        <v>5</v>
      </c>
      <c r="W561" s="3" t="s">
        <v>1306</v>
      </c>
      <c r="X561" s="1" t="s">
        <v>1302</v>
      </c>
    </row>
    <row r="562" spans="1:25">
      <c r="A562" s="143">
        <v>541</v>
      </c>
      <c r="B562" s="1">
        <f t="shared" si="163"/>
        <v>0</v>
      </c>
      <c r="C562" s="1">
        <f t="shared" si="164"/>
        <v>0</v>
      </c>
      <c r="D562" s="1">
        <f t="shared" si="165"/>
        <v>0</v>
      </c>
      <c r="E562" s="1">
        <f t="shared" si="166"/>
        <v>1</v>
      </c>
      <c r="F562" s="1">
        <f t="shared" si="167"/>
        <v>0</v>
      </c>
      <c r="G562" s="1" t="str">
        <f t="shared" si="168"/>
        <v>25030109</v>
      </c>
      <c r="H562" s="2">
        <v>45717</v>
      </c>
      <c r="I562" s="113">
        <v>9</v>
      </c>
      <c r="J562" s="1" t="str">
        <f t="shared" si="149"/>
        <v>09</v>
      </c>
      <c r="K562" s="3">
        <f t="shared" si="150"/>
        <v>25</v>
      </c>
      <c r="L562" s="3">
        <f t="shared" si="151"/>
        <v>3</v>
      </c>
      <c r="M562" s="3">
        <f t="shared" si="152"/>
        <v>1</v>
      </c>
      <c r="N562" s="3" t="str">
        <f t="shared" si="153"/>
        <v>03</v>
      </c>
      <c r="O562" s="14" t="str">
        <f t="shared" si="154"/>
        <v>01</v>
      </c>
      <c r="P562" s="4">
        <v>132000</v>
      </c>
      <c r="T562" s="28" t="s">
        <v>1769</v>
      </c>
      <c r="V562" s="3" t="s">
        <v>5</v>
      </c>
      <c r="W562" s="3" t="s">
        <v>1306</v>
      </c>
      <c r="X562" s="1" t="s">
        <v>1302</v>
      </c>
    </row>
    <row r="563" spans="1:25">
      <c r="A563" s="143">
        <v>542</v>
      </c>
      <c r="B563" s="1">
        <f t="shared" si="163"/>
        <v>0</v>
      </c>
      <c r="C563" s="1">
        <f t="shared" si="164"/>
        <v>0</v>
      </c>
      <c r="D563" s="1">
        <f t="shared" si="165"/>
        <v>0</v>
      </c>
      <c r="E563" s="1">
        <f t="shared" si="166"/>
        <v>1</v>
      </c>
      <c r="F563" s="1">
        <f t="shared" si="167"/>
        <v>0</v>
      </c>
      <c r="G563" s="1" t="str">
        <f t="shared" si="168"/>
        <v>25030110</v>
      </c>
      <c r="H563" s="2">
        <v>45717</v>
      </c>
      <c r="I563" s="113">
        <v>10</v>
      </c>
      <c r="J563" s="1">
        <f t="shared" si="149"/>
        <v>10</v>
      </c>
      <c r="K563" s="3">
        <f t="shared" si="150"/>
        <v>25</v>
      </c>
      <c r="L563" s="3">
        <f t="shared" si="151"/>
        <v>3</v>
      </c>
      <c r="M563" s="3">
        <f t="shared" si="152"/>
        <v>1</v>
      </c>
      <c r="N563" s="3" t="str">
        <f t="shared" si="153"/>
        <v>03</v>
      </c>
      <c r="O563" s="14" t="str">
        <f t="shared" si="154"/>
        <v>01</v>
      </c>
      <c r="P563" s="4">
        <v>132000</v>
      </c>
      <c r="T563" s="29" t="s">
        <v>1768</v>
      </c>
      <c r="V563" s="3" t="s">
        <v>5</v>
      </c>
      <c r="W563" s="3" t="s">
        <v>1306</v>
      </c>
      <c r="X563" s="1" t="s">
        <v>1302</v>
      </c>
    </row>
    <row r="564" spans="1:25">
      <c r="A564" s="143">
        <v>543</v>
      </c>
      <c r="B564" s="1">
        <f t="shared" si="163"/>
        <v>0</v>
      </c>
      <c r="C564" s="1">
        <f t="shared" si="164"/>
        <v>0</v>
      </c>
      <c r="D564" s="1">
        <f t="shared" si="165"/>
        <v>0</v>
      </c>
      <c r="E564" s="1">
        <f t="shared" si="166"/>
        <v>1</v>
      </c>
      <c r="F564" s="1">
        <f t="shared" si="167"/>
        <v>0</v>
      </c>
      <c r="G564" s="1" t="str">
        <f t="shared" si="168"/>
        <v>25030111</v>
      </c>
      <c r="H564" s="2">
        <v>45717</v>
      </c>
      <c r="I564" s="113">
        <v>11</v>
      </c>
      <c r="J564" s="1">
        <f t="shared" si="149"/>
        <v>11</v>
      </c>
      <c r="K564" s="3">
        <f t="shared" si="150"/>
        <v>25</v>
      </c>
      <c r="L564" s="3">
        <f t="shared" si="151"/>
        <v>3</v>
      </c>
      <c r="M564" s="3">
        <f t="shared" si="152"/>
        <v>1</v>
      </c>
      <c r="N564" s="3" t="str">
        <f t="shared" si="153"/>
        <v>03</v>
      </c>
      <c r="O564" s="14" t="str">
        <f t="shared" si="154"/>
        <v>01</v>
      </c>
      <c r="P564" s="4">
        <v>108000</v>
      </c>
      <c r="T564" s="29" t="s">
        <v>1767</v>
      </c>
      <c r="V564" s="3" t="s">
        <v>5</v>
      </c>
      <c r="W564" s="3" t="s">
        <v>1306</v>
      </c>
      <c r="X564" s="1" t="s">
        <v>1302</v>
      </c>
    </row>
    <row r="565" spans="1:25">
      <c r="A565" s="143">
        <v>544</v>
      </c>
      <c r="B565" s="1">
        <f t="shared" si="163"/>
        <v>0</v>
      </c>
      <c r="C565" s="1">
        <f t="shared" si="164"/>
        <v>0</v>
      </c>
      <c r="D565" s="1">
        <f t="shared" si="165"/>
        <v>0</v>
      </c>
      <c r="E565" s="1">
        <f t="shared" si="166"/>
        <v>1</v>
      </c>
      <c r="F565" s="1">
        <f t="shared" si="167"/>
        <v>0</v>
      </c>
      <c r="G565" s="1" t="str">
        <f t="shared" si="168"/>
        <v>25030112</v>
      </c>
      <c r="H565" s="2">
        <v>45717</v>
      </c>
      <c r="I565" s="113">
        <v>12</v>
      </c>
      <c r="J565" s="1">
        <f t="shared" si="149"/>
        <v>12</v>
      </c>
      <c r="K565" s="3">
        <f t="shared" si="150"/>
        <v>25</v>
      </c>
      <c r="L565" s="3">
        <f t="shared" si="151"/>
        <v>3</v>
      </c>
      <c r="M565" s="3">
        <f t="shared" si="152"/>
        <v>1</v>
      </c>
      <c r="N565" s="3" t="str">
        <f t="shared" si="153"/>
        <v>03</v>
      </c>
      <c r="O565" s="14" t="str">
        <f t="shared" si="154"/>
        <v>01</v>
      </c>
      <c r="P565" s="4">
        <v>108000</v>
      </c>
      <c r="T565" s="29" t="s">
        <v>1766</v>
      </c>
      <c r="V565" s="3" t="s">
        <v>5</v>
      </c>
      <c r="W565" s="3" t="s">
        <v>1306</v>
      </c>
      <c r="X565" s="1" t="s">
        <v>1302</v>
      </c>
    </row>
    <row r="566" spans="1:25">
      <c r="A566" s="143">
        <v>545</v>
      </c>
      <c r="B566" s="1">
        <f t="shared" si="163"/>
        <v>0</v>
      </c>
      <c r="C566" s="1">
        <f t="shared" si="164"/>
        <v>0</v>
      </c>
      <c r="D566" s="1">
        <f t="shared" si="165"/>
        <v>0</v>
      </c>
      <c r="E566" s="1">
        <f t="shared" si="166"/>
        <v>1</v>
      </c>
      <c r="F566" s="1">
        <f t="shared" si="167"/>
        <v>0</v>
      </c>
      <c r="G566" s="1" t="str">
        <f t="shared" si="168"/>
        <v>25030113</v>
      </c>
      <c r="H566" s="2">
        <v>45717</v>
      </c>
      <c r="I566" s="113">
        <v>13</v>
      </c>
      <c r="J566" s="1">
        <f t="shared" si="149"/>
        <v>13</v>
      </c>
      <c r="K566" s="3">
        <f t="shared" si="150"/>
        <v>25</v>
      </c>
      <c r="L566" s="3">
        <f t="shared" si="151"/>
        <v>3</v>
      </c>
      <c r="M566" s="3">
        <f t="shared" si="152"/>
        <v>1</v>
      </c>
      <c r="N566" s="3" t="str">
        <f t="shared" si="153"/>
        <v>03</v>
      </c>
      <c r="O566" s="14" t="str">
        <f t="shared" si="154"/>
        <v>01</v>
      </c>
      <c r="P566" s="4">
        <v>132000</v>
      </c>
      <c r="T566" s="29" t="s">
        <v>1765</v>
      </c>
      <c r="V566" s="3" t="s">
        <v>5</v>
      </c>
      <c r="W566" s="3" t="s">
        <v>1306</v>
      </c>
      <c r="X566" s="1" t="s">
        <v>1302</v>
      </c>
    </row>
    <row r="567" spans="1:25">
      <c r="A567" s="143">
        <v>546</v>
      </c>
      <c r="B567" s="1">
        <f t="shared" si="163"/>
        <v>0</v>
      </c>
      <c r="C567" s="1">
        <f t="shared" si="164"/>
        <v>0</v>
      </c>
      <c r="D567" s="1">
        <f t="shared" si="165"/>
        <v>0</v>
      </c>
      <c r="E567" s="1">
        <f t="shared" si="166"/>
        <v>1</v>
      </c>
      <c r="F567" s="1">
        <f t="shared" si="167"/>
        <v>0</v>
      </c>
      <c r="G567" s="1" t="str">
        <f t="shared" si="168"/>
        <v>25030114</v>
      </c>
      <c r="H567" s="2">
        <v>45717</v>
      </c>
      <c r="I567" s="113">
        <v>14</v>
      </c>
      <c r="J567" s="1">
        <f t="shared" si="149"/>
        <v>14</v>
      </c>
      <c r="K567" s="3">
        <f t="shared" si="150"/>
        <v>25</v>
      </c>
      <c r="L567" s="3">
        <f t="shared" si="151"/>
        <v>3</v>
      </c>
      <c r="M567" s="3">
        <f t="shared" si="152"/>
        <v>1</v>
      </c>
      <c r="N567" s="3" t="str">
        <f t="shared" si="153"/>
        <v>03</v>
      </c>
      <c r="O567" s="14" t="str">
        <f t="shared" si="154"/>
        <v>01</v>
      </c>
      <c r="P567" s="4">
        <v>252000</v>
      </c>
      <c r="T567" s="29" t="s">
        <v>1764</v>
      </c>
      <c r="V567" s="3" t="s">
        <v>5</v>
      </c>
      <c r="W567" s="3" t="s">
        <v>1306</v>
      </c>
      <c r="X567" s="1" t="s">
        <v>1302</v>
      </c>
    </row>
    <row r="568" spans="1:25">
      <c r="A568" s="143">
        <v>547</v>
      </c>
      <c r="B568" s="1">
        <f t="shared" si="163"/>
        <v>0</v>
      </c>
      <c r="C568" s="1">
        <f t="shared" si="164"/>
        <v>0</v>
      </c>
      <c r="D568" s="1">
        <f t="shared" si="165"/>
        <v>0</v>
      </c>
      <c r="E568" s="1">
        <f t="shared" si="166"/>
        <v>1</v>
      </c>
      <c r="F568" s="1">
        <f t="shared" si="167"/>
        <v>0</v>
      </c>
      <c r="G568" s="1" t="str">
        <f t="shared" si="168"/>
        <v>25030115</v>
      </c>
      <c r="H568" s="2">
        <v>45717</v>
      </c>
      <c r="I568" s="113">
        <v>15</v>
      </c>
      <c r="J568" s="1">
        <f t="shared" si="149"/>
        <v>15</v>
      </c>
      <c r="K568" s="3">
        <f t="shared" si="150"/>
        <v>25</v>
      </c>
      <c r="L568" s="3">
        <f t="shared" si="151"/>
        <v>3</v>
      </c>
      <c r="M568" s="3">
        <f t="shared" si="152"/>
        <v>1</v>
      </c>
      <c r="N568" s="3" t="str">
        <f t="shared" si="153"/>
        <v>03</v>
      </c>
      <c r="O568" s="14" t="str">
        <f t="shared" si="154"/>
        <v>01</v>
      </c>
      <c r="P568" s="4">
        <v>90000</v>
      </c>
      <c r="T568" s="29" t="s">
        <v>1763</v>
      </c>
      <c r="V568" s="3" t="s">
        <v>5</v>
      </c>
      <c r="W568" s="3" t="s">
        <v>1306</v>
      </c>
      <c r="X568" s="1" t="s">
        <v>1302</v>
      </c>
    </row>
    <row r="569" spans="1:25">
      <c r="A569" s="143">
        <v>548</v>
      </c>
      <c r="B569" s="1">
        <f t="shared" si="163"/>
        <v>0</v>
      </c>
      <c r="C569" s="1">
        <f t="shared" si="164"/>
        <v>0</v>
      </c>
      <c r="D569" s="1">
        <f t="shared" si="165"/>
        <v>0</v>
      </c>
      <c r="E569" s="1">
        <f t="shared" si="166"/>
        <v>1</v>
      </c>
      <c r="F569" s="1">
        <f t="shared" si="167"/>
        <v>0</v>
      </c>
      <c r="G569" s="1" t="str">
        <f t="shared" si="168"/>
        <v>25030116</v>
      </c>
      <c r="H569" s="2">
        <v>45717</v>
      </c>
      <c r="I569" s="113">
        <v>16</v>
      </c>
      <c r="J569" s="1">
        <f t="shared" si="149"/>
        <v>16</v>
      </c>
      <c r="K569" s="3">
        <f t="shared" si="150"/>
        <v>25</v>
      </c>
      <c r="L569" s="3">
        <f t="shared" si="151"/>
        <v>3</v>
      </c>
      <c r="M569" s="3">
        <f t="shared" si="152"/>
        <v>1</v>
      </c>
      <c r="N569" s="3" t="str">
        <f t="shared" si="153"/>
        <v>03</v>
      </c>
      <c r="O569" s="14" t="str">
        <f t="shared" si="154"/>
        <v>01</v>
      </c>
      <c r="P569" s="4">
        <v>150000</v>
      </c>
      <c r="T569" s="29" t="s">
        <v>1762</v>
      </c>
      <c r="V569" s="3" t="s">
        <v>5</v>
      </c>
      <c r="W569" s="3" t="s">
        <v>1306</v>
      </c>
      <c r="X569" s="1" t="s">
        <v>1302</v>
      </c>
    </row>
    <row r="570" spans="1:25">
      <c r="A570" s="143">
        <v>564</v>
      </c>
      <c r="B570" s="1">
        <f t="shared" si="163"/>
        <v>0</v>
      </c>
      <c r="C570" s="1">
        <f t="shared" si="164"/>
        <v>0</v>
      </c>
      <c r="D570" s="1">
        <f t="shared" si="165"/>
        <v>0</v>
      </c>
      <c r="E570" s="1">
        <f t="shared" si="166"/>
        <v>0</v>
      </c>
      <c r="F570" s="1">
        <f t="shared" si="167"/>
        <v>0</v>
      </c>
      <c r="G570" s="1" t="str">
        <f t="shared" si="168"/>
        <v>25030117</v>
      </c>
      <c r="H570" s="2">
        <v>45717</v>
      </c>
      <c r="I570" s="113">
        <v>17</v>
      </c>
      <c r="J570" s="1">
        <f t="shared" si="149"/>
        <v>17</v>
      </c>
      <c r="K570" s="3">
        <f t="shared" si="150"/>
        <v>25</v>
      </c>
      <c r="L570" s="3">
        <f t="shared" si="151"/>
        <v>3</v>
      </c>
      <c r="M570" s="3">
        <f t="shared" si="152"/>
        <v>1</v>
      </c>
      <c r="N570" s="3" t="str">
        <f t="shared" si="153"/>
        <v>03</v>
      </c>
      <c r="O570" s="14" t="str">
        <f t="shared" si="154"/>
        <v>01</v>
      </c>
      <c r="P570" s="4">
        <v>60000</v>
      </c>
      <c r="T570" s="28" t="s">
        <v>1761</v>
      </c>
      <c r="U570" s="3" t="s">
        <v>1342</v>
      </c>
      <c r="V570" s="3" t="s">
        <v>5</v>
      </c>
      <c r="W570" s="3" t="s">
        <v>1306</v>
      </c>
      <c r="X570" s="1" t="s">
        <v>1302</v>
      </c>
    </row>
    <row r="571" spans="1:25" hidden="1">
      <c r="A571" s="143">
        <v>496</v>
      </c>
      <c r="B571" s="1">
        <f t="shared" si="163"/>
        <v>0</v>
      </c>
      <c r="C571" s="1">
        <f t="shared" si="164"/>
        <v>0</v>
      </c>
      <c r="D571" s="1">
        <f t="shared" si="165"/>
        <v>0</v>
      </c>
      <c r="E571" s="1">
        <f t="shared" si="166"/>
        <v>0</v>
      </c>
      <c r="F571" s="1">
        <f t="shared" si="167"/>
        <v>0</v>
      </c>
      <c r="G571" s="1" t="str">
        <f t="shared" si="168"/>
        <v>25030201</v>
      </c>
      <c r="H571" s="2">
        <v>45718</v>
      </c>
      <c r="I571" s="113">
        <v>1</v>
      </c>
      <c r="J571" s="1" t="str">
        <f t="shared" si="149"/>
        <v>01</v>
      </c>
      <c r="K571" s="3">
        <f t="shared" si="150"/>
        <v>25</v>
      </c>
      <c r="L571" s="3">
        <f t="shared" si="151"/>
        <v>3</v>
      </c>
      <c r="M571" s="3">
        <f t="shared" si="152"/>
        <v>2</v>
      </c>
      <c r="N571" s="3" t="str">
        <f t="shared" si="153"/>
        <v>03</v>
      </c>
      <c r="O571" s="14" t="str">
        <f t="shared" si="154"/>
        <v>02</v>
      </c>
      <c r="P571" s="4">
        <v>19399.7</v>
      </c>
      <c r="T571" s="5" t="s">
        <v>1698</v>
      </c>
      <c r="U571" s="3" t="s">
        <v>726</v>
      </c>
      <c r="V571" s="3" t="s">
        <v>1304</v>
      </c>
      <c r="W571" s="3" t="s">
        <v>1307</v>
      </c>
      <c r="X571" s="1" t="s">
        <v>1305</v>
      </c>
    </row>
    <row r="572" spans="1:25" hidden="1">
      <c r="A572" s="143">
        <v>497</v>
      </c>
      <c r="B572" s="1">
        <f t="shared" si="163"/>
        <v>0</v>
      </c>
      <c r="C572" s="1">
        <f t="shared" si="164"/>
        <v>0</v>
      </c>
      <c r="D572" s="1">
        <f t="shared" si="165"/>
        <v>0</v>
      </c>
      <c r="E572" s="1">
        <f t="shared" si="166"/>
        <v>0</v>
      </c>
      <c r="F572" s="1">
        <f t="shared" si="167"/>
        <v>0</v>
      </c>
      <c r="G572" s="1" t="str">
        <f t="shared" si="168"/>
        <v>25030301</v>
      </c>
      <c r="H572" s="2">
        <v>45719</v>
      </c>
      <c r="I572" s="113">
        <v>1</v>
      </c>
      <c r="J572" s="1" t="str">
        <f t="shared" si="149"/>
        <v>01</v>
      </c>
      <c r="K572" s="3">
        <f t="shared" si="150"/>
        <v>25</v>
      </c>
      <c r="L572" s="3">
        <f t="shared" si="151"/>
        <v>3</v>
      </c>
      <c r="M572" s="3">
        <f t="shared" si="152"/>
        <v>3</v>
      </c>
      <c r="N572" s="3" t="str">
        <f t="shared" si="153"/>
        <v>03</v>
      </c>
      <c r="O572" s="14" t="str">
        <f t="shared" si="154"/>
        <v>03</v>
      </c>
      <c r="P572" s="4">
        <v>6003</v>
      </c>
      <c r="T572" s="5" t="s">
        <v>1332</v>
      </c>
      <c r="U572" s="3" t="s">
        <v>29</v>
      </c>
      <c r="V572" s="3" t="s">
        <v>5</v>
      </c>
      <c r="W572" s="3" t="s">
        <v>1307</v>
      </c>
      <c r="X572" s="1" t="s">
        <v>1305</v>
      </c>
    </row>
    <row r="573" spans="1:25" hidden="1">
      <c r="A573" s="143">
        <v>498</v>
      </c>
      <c r="B573" s="1">
        <f t="shared" si="163"/>
        <v>0</v>
      </c>
      <c r="C573" s="1">
        <f t="shared" si="164"/>
        <v>0</v>
      </c>
      <c r="D573" s="1">
        <f t="shared" si="165"/>
        <v>0</v>
      </c>
      <c r="E573" s="1">
        <f t="shared" si="166"/>
        <v>0</v>
      </c>
      <c r="F573" s="1">
        <f t="shared" si="167"/>
        <v>0</v>
      </c>
      <c r="G573" s="1" t="str">
        <f t="shared" si="168"/>
        <v>25030302</v>
      </c>
      <c r="H573" s="2">
        <v>45719</v>
      </c>
      <c r="I573" s="113">
        <v>2</v>
      </c>
      <c r="J573" s="1" t="str">
        <f t="shared" si="149"/>
        <v>02</v>
      </c>
      <c r="K573" s="3">
        <f t="shared" si="150"/>
        <v>25</v>
      </c>
      <c r="L573" s="3">
        <f t="shared" si="151"/>
        <v>3</v>
      </c>
      <c r="M573" s="3">
        <f t="shared" si="152"/>
        <v>3</v>
      </c>
      <c r="N573" s="3" t="str">
        <f t="shared" si="153"/>
        <v>03</v>
      </c>
      <c r="O573" s="14" t="str">
        <f t="shared" si="154"/>
        <v>03</v>
      </c>
      <c r="P573" s="4">
        <v>6881.7</v>
      </c>
      <c r="T573" s="5" t="s">
        <v>1760</v>
      </c>
      <c r="U573" s="3" t="s">
        <v>29</v>
      </c>
      <c r="V573" s="3" t="s">
        <v>5</v>
      </c>
      <c r="W573" s="3" t="s">
        <v>1309</v>
      </c>
      <c r="X573" s="1" t="s">
        <v>1305</v>
      </c>
    </row>
    <row r="574" spans="1:25" hidden="1">
      <c r="A574" s="143">
        <v>499</v>
      </c>
      <c r="B574" s="1">
        <f t="shared" si="163"/>
        <v>0</v>
      </c>
      <c r="C574" s="1">
        <f t="shared" si="164"/>
        <v>0</v>
      </c>
      <c r="D574" s="1">
        <f t="shared" si="165"/>
        <v>0</v>
      </c>
      <c r="E574" s="1">
        <f t="shared" si="166"/>
        <v>0</v>
      </c>
      <c r="F574" s="1">
        <f t="shared" si="167"/>
        <v>0</v>
      </c>
      <c r="G574" s="1" t="str">
        <f t="shared" si="168"/>
        <v>25030303</v>
      </c>
      <c r="H574" s="2">
        <v>45719</v>
      </c>
      <c r="I574" s="113">
        <v>3</v>
      </c>
      <c r="J574" s="1" t="str">
        <f t="shared" si="149"/>
        <v>03</v>
      </c>
      <c r="K574" s="3">
        <f t="shared" si="150"/>
        <v>25</v>
      </c>
      <c r="L574" s="3">
        <f t="shared" si="151"/>
        <v>3</v>
      </c>
      <c r="M574" s="3">
        <f t="shared" si="152"/>
        <v>3</v>
      </c>
      <c r="N574" s="3" t="str">
        <f t="shared" si="153"/>
        <v>03</v>
      </c>
      <c r="O574" s="14" t="str">
        <f t="shared" si="154"/>
        <v>03</v>
      </c>
      <c r="P574" s="4">
        <v>13721.02</v>
      </c>
      <c r="T574" s="5" t="s">
        <v>1759</v>
      </c>
      <c r="U574" s="3" t="s">
        <v>29</v>
      </c>
      <c r="V574" s="3" t="s">
        <v>4</v>
      </c>
      <c r="W574" s="3" t="s">
        <v>1309</v>
      </c>
      <c r="X574" s="1" t="s">
        <v>1305</v>
      </c>
    </row>
    <row r="575" spans="1:25" hidden="1">
      <c r="A575" s="143">
        <v>500</v>
      </c>
      <c r="B575" s="1">
        <f t="shared" si="163"/>
        <v>0</v>
      </c>
      <c r="C575" s="1">
        <f t="shared" si="164"/>
        <v>0</v>
      </c>
      <c r="D575" s="1">
        <f t="shared" si="165"/>
        <v>0</v>
      </c>
      <c r="E575" s="1">
        <f t="shared" si="166"/>
        <v>0</v>
      </c>
      <c r="F575" s="1">
        <f t="shared" si="167"/>
        <v>0</v>
      </c>
      <c r="G575" s="1" t="str">
        <f t="shared" si="168"/>
        <v>25030304</v>
      </c>
      <c r="H575" s="2">
        <v>45719</v>
      </c>
      <c r="I575" s="113">
        <v>4</v>
      </c>
      <c r="J575" s="1" t="str">
        <f t="shared" si="149"/>
        <v>04</v>
      </c>
      <c r="K575" s="3">
        <f t="shared" si="150"/>
        <v>25</v>
      </c>
      <c r="L575" s="3">
        <f t="shared" si="151"/>
        <v>3</v>
      </c>
      <c r="M575" s="3">
        <f t="shared" si="152"/>
        <v>3</v>
      </c>
      <c r="N575" s="3" t="str">
        <f t="shared" si="153"/>
        <v>03</v>
      </c>
      <c r="O575" s="14" t="str">
        <f t="shared" si="154"/>
        <v>03</v>
      </c>
      <c r="P575" s="4">
        <v>6297.94</v>
      </c>
      <c r="T575" s="5" t="s">
        <v>1758</v>
      </c>
      <c r="U575" s="3" t="s">
        <v>29</v>
      </c>
      <c r="V575" s="3" t="s">
        <v>5</v>
      </c>
      <c r="W575" s="3" t="s">
        <v>1309</v>
      </c>
      <c r="X575" s="1" t="s">
        <v>1305</v>
      </c>
    </row>
    <row r="576" spans="1:25" hidden="1">
      <c r="A576" s="143">
        <v>501</v>
      </c>
      <c r="B576" s="1">
        <f t="shared" si="163"/>
        <v>0</v>
      </c>
      <c r="C576" s="1">
        <f t="shared" si="164"/>
        <v>0</v>
      </c>
      <c r="D576" s="1">
        <f t="shared" si="165"/>
        <v>0</v>
      </c>
      <c r="E576" s="1">
        <f t="shared" si="166"/>
        <v>0</v>
      </c>
      <c r="F576" s="1">
        <f t="shared" si="167"/>
        <v>0</v>
      </c>
      <c r="G576" s="122" t="str">
        <f t="shared" si="168"/>
        <v>25030305</v>
      </c>
      <c r="H576" s="8">
        <v>45719</v>
      </c>
      <c r="I576" s="122">
        <v>5</v>
      </c>
      <c r="J576" s="122" t="str">
        <f t="shared" si="149"/>
        <v>05</v>
      </c>
      <c r="K576" s="56">
        <f t="shared" si="150"/>
        <v>25</v>
      </c>
      <c r="L576" s="56">
        <f t="shared" si="151"/>
        <v>3</v>
      </c>
      <c r="M576" s="56">
        <f t="shared" si="152"/>
        <v>3</v>
      </c>
      <c r="N576" s="56" t="str">
        <f t="shared" si="153"/>
        <v>03</v>
      </c>
      <c r="O576" s="123" t="str">
        <f t="shared" si="154"/>
        <v>03</v>
      </c>
      <c r="P576" s="53">
        <v>-97102.31</v>
      </c>
      <c r="Q576" s="54"/>
      <c r="R576" s="55"/>
      <c r="S576" s="54"/>
      <c r="T576" s="54" t="s">
        <v>1757</v>
      </c>
      <c r="U576" s="56" t="s">
        <v>29</v>
      </c>
      <c r="V576" s="56" t="s">
        <v>5</v>
      </c>
      <c r="W576" s="56" t="s">
        <v>1732</v>
      </c>
      <c r="X576" s="122" t="s">
        <v>1305</v>
      </c>
      <c r="Y576" s="156" t="s">
        <v>1756</v>
      </c>
    </row>
    <row r="577" spans="1:24" hidden="1">
      <c r="A577" s="143">
        <v>502</v>
      </c>
      <c r="B577" s="1">
        <f t="shared" si="163"/>
        <v>0</v>
      </c>
      <c r="C577" s="1">
        <f t="shared" si="164"/>
        <v>0</v>
      </c>
      <c r="D577" s="1">
        <f t="shared" si="165"/>
        <v>0</v>
      </c>
      <c r="E577" s="1">
        <f t="shared" si="166"/>
        <v>0</v>
      </c>
      <c r="F577" s="1">
        <f t="shared" si="167"/>
        <v>0</v>
      </c>
      <c r="G577" s="1" t="str">
        <f t="shared" si="168"/>
        <v>25030306</v>
      </c>
      <c r="H577" s="2">
        <v>45719</v>
      </c>
      <c r="I577" s="113">
        <v>6</v>
      </c>
      <c r="J577" s="1" t="str">
        <f t="shared" si="149"/>
        <v>06</v>
      </c>
      <c r="K577" s="3">
        <f t="shared" si="150"/>
        <v>25</v>
      </c>
      <c r="L577" s="3">
        <f t="shared" si="151"/>
        <v>3</v>
      </c>
      <c r="M577" s="3">
        <f t="shared" si="152"/>
        <v>3</v>
      </c>
      <c r="N577" s="3" t="str">
        <f t="shared" si="153"/>
        <v>03</v>
      </c>
      <c r="O577" s="14" t="str">
        <f t="shared" si="154"/>
        <v>03</v>
      </c>
      <c r="P577" s="4">
        <v>27322.63</v>
      </c>
      <c r="T577" s="5" t="s">
        <v>352</v>
      </c>
      <c r="U577" s="3" t="s">
        <v>30</v>
      </c>
      <c r="V577" s="3" t="s">
        <v>1312</v>
      </c>
      <c r="W577" s="3" t="s">
        <v>1307</v>
      </c>
      <c r="X577" s="1" t="s">
        <v>1305</v>
      </c>
    </row>
    <row r="578" spans="1:24" hidden="1">
      <c r="A578" s="143">
        <v>503</v>
      </c>
      <c r="B578" s="1">
        <f t="shared" si="163"/>
        <v>0</v>
      </c>
      <c r="C578" s="1">
        <f t="shared" si="164"/>
        <v>0</v>
      </c>
      <c r="D578" s="1">
        <f t="shared" si="165"/>
        <v>0</v>
      </c>
      <c r="E578" s="1">
        <f t="shared" si="166"/>
        <v>0</v>
      </c>
      <c r="F578" s="1">
        <f t="shared" si="167"/>
        <v>0</v>
      </c>
      <c r="G578" s="1" t="str">
        <f t="shared" si="168"/>
        <v>25030307</v>
      </c>
      <c r="H578" s="2">
        <v>45719</v>
      </c>
      <c r="I578" s="113">
        <v>7</v>
      </c>
      <c r="J578" s="1" t="str">
        <f t="shared" si="149"/>
        <v>07</v>
      </c>
      <c r="K578" s="3">
        <f t="shared" si="150"/>
        <v>25</v>
      </c>
      <c r="L578" s="3">
        <f t="shared" si="151"/>
        <v>3</v>
      </c>
      <c r="M578" s="3">
        <f t="shared" si="152"/>
        <v>3</v>
      </c>
      <c r="N578" s="3" t="str">
        <f t="shared" si="153"/>
        <v>03</v>
      </c>
      <c r="O578" s="14" t="str">
        <f t="shared" si="154"/>
        <v>03</v>
      </c>
      <c r="P578" s="4">
        <v>12560</v>
      </c>
      <c r="T578" s="5" t="s">
        <v>1329</v>
      </c>
      <c r="U578" s="3" t="s">
        <v>726</v>
      </c>
      <c r="V578" s="3" t="s">
        <v>1304</v>
      </c>
      <c r="W578" s="3" t="s">
        <v>1309</v>
      </c>
      <c r="X578" s="1" t="s">
        <v>1305</v>
      </c>
    </row>
    <row r="579" spans="1:24" hidden="1">
      <c r="A579" s="143">
        <v>504</v>
      </c>
      <c r="B579" s="1">
        <f t="shared" si="163"/>
        <v>0</v>
      </c>
      <c r="C579" s="1">
        <f t="shared" si="164"/>
        <v>0</v>
      </c>
      <c r="D579" s="1">
        <f t="shared" si="165"/>
        <v>0</v>
      </c>
      <c r="E579" s="1">
        <f t="shared" si="166"/>
        <v>0</v>
      </c>
      <c r="F579" s="1">
        <f t="shared" si="167"/>
        <v>0</v>
      </c>
      <c r="G579" s="1" t="str">
        <f t="shared" si="168"/>
        <v>25030308</v>
      </c>
      <c r="H579" s="2">
        <v>45719</v>
      </c>
      <c r="I579" s="113">
        <v>8</v>
      </c>
      <c r="J579" s="1" t="str">
        <f t="shared" si="149"/>
        <v>08</v>
      </c>
      <c r="K579" s="3">
        <f t="shared" si="150"/>
        <v>25</v>
      </c>
      <c r="L579" s="3">
        <f t="shared" si="151"/>
        <v>3</v>
      </c>
      <c r="M579" s="3">
        <f t="shared" si="152"/>
        <v>3</v>
      </c>
      <c r="N579" s="3" t="str">
        <f t="shared" si="153"/>
        <v>03</v>
      </c>
      <c r="O579" s="14" t="str">
        <f t="shared" si="154"/>
        <v>03</v>
      </c>
      <c r="Q579" s="5">
        <v>41.28</v>
      </c>
      <c r="T579" s="5" t="s">
        <v>1755</v>
      </c>
      <c r="U579" s="3" t="s">
        <v>1326</v>
      </c>
      <c r="V579" s="3" t="s">
        <v>1316</v>
      </c>
      <c r="W579" s="3" t="s">
        <v>1313</v>
      </c>
      <c r="X579" s="1" t="s">
        <v>1305</v>
      </c>
    </row>
    <row r="580" spans="1:24" hidden="1">
      <c r="A580" s="143"/>
      <c r="J580" s="1" t="str">
        <f t="shared" si="149"/>
        <v>0</v>
      </c>
      <c r="K580" s="3">
        <f t="shared" si="150"/>
        <v>-100</v>
      </c>
      <c r="L580" s="3">
        <f t="shared" si="151"/>
        <v>1</v>
      </c>
      <c r="M580" s="3">
        <f t="shared" si="152"/>
        <v>0</v>
      </c>
      <c r="N580" s="3" t="str">
        <f t="shared" si="153"/>
        <v>01</v>
      </c>
      <c r="O580" s="14" t="str">
        <f t="shared" si="154"/>
        <v>00</v>
      </c>
      <c r="P580" s="151"/>
      <c r="Q580" s="149"/>
      <c r="R580" s="150"/>
      <c r="S580" s="149"/>
      <c r="T580" s="149"/>
    </row>
    <row r="581" spans="1:24" hidden="1">
      <c r="A581" s="143">
        <v>508</v>
      </c>
      <c r="B581" s="1">
        <f>IF(G581="-",0,IF(G580=G581,1,0))</f>
        <v>0</v>
      </c>
      <c r="C581" s="1">
        <f>+IF(G581="-",0,IF(I581=I580+1,0,(IF(I581=1,0,1))))</f>
        <v>1</v>
      </c>
      <c r="D581" s="1">
        <f>+IF(AND(P581="",Q581=""),1,0)</f>
        <v>0</v>
      </c>
      <c r="E581" s="1">
        <f t="shared" ref="E581:F583" si="169">IF(U581="",1,0)</f>
        <v>0</v>
      </c>
      <c r="F581" s="1">
        <f t="shared" si="169"/>
        <v>0</v>
      </c>
      <c r="G581" s="1" t="str">
        <f>IF(H581=0,"-",_xlfn.CONCAT(K581,N581,O581,J581))</f>
        <v>25030310</v>
      </c>
      <c r="H581" s="2">
        <v>45719</v>
      </c>
      <c r="I581" s="113">
        <v>10</v>
      </c>
      <c r="J581" s="1">
        <f t="shared" si="149"/>
        <v>10</v>
      </c>
      <c r="K581" s="3">
        <f t="shared" si="150"/>
        <v>25</v>
      </c>
      <c r="L581" s="3">
        <f t="shared" si="151"/>
        <v>3</v>
      </c>
      <c r="M581" s="3">
        <f t="shared" si="152"/>
        <v>3</v>
      </c>
      <c r="N581" s="3" t="str">
        <f t="shared" si="153"/>
        <v>03</v>
      </c>
      <c r="O581" s="14" t="str">
        <f t="shared" si="154"/>
        <v>03</v>
      </c>
      <c r="P581" s="4">
        <v>1084814.1299999999</v>
      </c>
      <c r="T581" s="5" t="s">
        <v>1754</v>
      </c>
      <c r="U581" s="3" t="s">
        <v>1545</v>
      </c>
      <c r="V581" s="3" t="s">
        <v>5</v>
      </c>
      <c r="W581" s="3" t="s">
        <v>1306</v>
      </c>
      <c r="X581" s="1" t="s">
        <v>1305</v>
      </c>
    </row>
    <row r="582" spans="1:24">
      <c r="A582" s="143">
        <v>517</v>
      </c>
      <c r="B582" s="1">
        <f>IF(G582="-",0,IF(G581=G582,1,0))</f>
        <v>0</v>
      </c>
      <c r="C582" s="1">
        <f>+IF(G582="-",0,IF(I582=I581+1,0,(IF(I582=1,0,1))))</f>
        <v>0</v>
      </c>
      <c r="D582" s="1">
        <f>+IF(AND(P582="",Q582=""),1,0)</f>
        <v>0</v>
      </c>
      <c r="E582" s="1">
        <f t="shared" si="169"/>
        <v>0</v>
      </c>
      <c r="F582" s="1">
        <f t="shared" si="169"/>
        <v>0</v>
      </c>
      <c r="G582" s="1" t="str">
        <f>IF(H582=0,"-",_xlfn.CONCAT(K582,N582,O582,J582))</f>
        <v>25030311</v>
      </c>
      <c r="H582" s="2">
        <v>45719</v>
      </c>
      <c r="I582" s="113">
        <v>11</v>
      </c>
      <c r="J582" s="1">
        <f t="shared" si="149"/>
        <v>11</v>
      </c>
      <c r="K582" s="3">
        <f t="shared" si="150"/>
        <v>25</v>
      </c>
      <c r="L582" s="3">
        <f t="shared" si="151"/>
        <v>3</v>
      </c>
      <c r="M582" s="3">
        <f t="shared" si="152"/>
        <v>3</v>
      </c>
      <c r="N582" s="3" t="str">
        <f t="shared" si="153"/>
        <v>03</v>
      </c>
      <c r="O582" s="14" t="str">
        <f t="shared" si="154"/>
        <v>03</v>
      </c>
      <c r="P582" s="4">
        <v>555000</v>
      </c>
      <c r="T582" s="5" t="s">
        <v>1753</v>
      </c>
      <c r="U582" s="3" t="s">
        <v>1342</v>
      </c>
      <c r="V582" s="3" t="s">
        <v>5</v>
      </c>
      <c r="W582" s="3" t="s">
        <v>1306</v>
      </c>
      <c r="X582" s="1" t="s">
        <v>1305</v>
      </c>
    </row>
    <row r="583" spans="1:24" hidden="1">
      <c r="A583" s="143">
        <v>518</v>
      </c>
      <c r="B583" s="1">
        <f>IF(G583="-",0,IF(G582=G583,1,0))</f>
        <v>0</v>
      </c>
      <c r="C583" s="1">
        <f>+IF(G583="-",0,IF(I583=I582+1,0,(IF(I583=1,0,1))))</f>
        <v>0</v>
      </c>
      <c r="D583" s="1">
        <f>+IF(AND(P583="",Q583=""),1,0)</f>
        <v>0</v>
      </c>
      <c r="E583" s="1">
        <f t="shared" si="169"/>
        <v>0</v>
      </c>
      <c r="F583" s="1">
        <f t="shared" si="169"/>
        <v>0</v>
      </c>
      <c r="G583" s="1" t="str">
        <f>IF(H583=0,"-",_xlfn.CONCAT(K583,N583,O583,J583))</f>
        <v>25030312</v>
      </c>
      <c r="H583" s="2">
        <v>45719</v>
      </c>
      <c r="I583" s="113">
        <v>12</v>
      </c>
      <c r="J583" s="1">
        <f t="shared" si="149"/>
        <v>12</v>
      </c>
      <c r="K583" s="3">
        <f t="shared" si="150"/>
        <v>25</v>
      </c>
      <c r="L583" s="3">
        <f t="shared" si="151"/>
        <v>3</v>
      </c>
      <c r="M583" s="3">
        <f t="shared" si="152"/>
        <v>3</v>
      </c>
      <c r="N583" s="3" t="str">
        <f t="shared" si="153"/>
        <v>03</v>
      </c>
      <c r="O583" s="14" t="str">
        <f t="shared" si="154"/>
        <v>03</v>
      </c>
      <c r="P583" s="4">
        <v>14068.8</v>
      </c>
      <c r="T583" s="5" t="s">
        <v>1752</v>
      </c>
      <c r="U583" s="3" t="s">
        <v>305</v>
      </c>
      <c r="V583" s="3" t="s">
        <v>1304</v>
      </c>
      <c r="W583" s="3" t="s">
        <v>1306</v>
      </c>
    </row>
    <row r="584" spans="1:24" hidden="1">
      <c r="A584" s="143"/>
      <c r="J584" s="1" t="str">
        <f t="shared" ref="J584:J647" si="170">+IF(I584&lt;10,_xlfn.CONCAT("0",I584),I584)</f>
        <v>0</v>
      </c>
      <c r="K584" s="3">
        <f t="shared" ref="K584:K647" si="171">+YEAR(H584)-2000</f>
        <v>-100</v>
      </c>
      <c r="L584" s="3">
        <f t="shared" ref="L584:L647" si="172">+MONTH(H584)</f>
        <v>1</v>
      </c>
      <c r="M584" s="3">
        <f t="shared" ref="M584:M647" si="173">+DAY(H584)</f>
        <v>0</v>
      </c>
      <c r="N584" s="3" t="str">
        <f t="shared" ref="N584:N647" si="174">+IF(L584&lt;10,_xlfn.CONCAT("0",L584),L584)</f>
        <v>01</v>
      </c>
      <c r="O584" s="14" t="str">
        <f t="shared" ref="O584:O647" si="175">+IF(M584&lt;10,_xlfn.CONCAT("0",M584),M584)</f>
        <v>00</v>
      </c>
    </row>
    <row r="585" spans="1:24" hidden="1">
      <c r="A585" s="143"/>
      <c r="J585" s="1" t="str">
        <f t="shared" si="170"/>
        <v>0</v>
      </c>
      <c r="K585" s="3">
        <f t="shared" si="171"/>
        <v>-100</v>
      </c>
      <c r="L585" s="3">
        <f t="shared" si="172"/>
        <v>1</v>
      </c>
      <c r="M585" s="3">
        <f t="shared" si="173"/>
        <v>0</v>
      </c>
      <c r="N585" s="3" t="str">
        <f t="shared" si="174"/>
        <v>01</v>
      </c>
      <c r="O585" s="14" t="str">
        <f t="shared" si="175"/>
        <v>00</v>
      </c>
    </row>
    <row r="586" spans="1:24" hidden="1">
      <c r="A586" s="143"/>
      <c r="J586" s="1" t="str">
        <f t="shared" si="170"/>
        <v>0</v>
      </c>
      <c r="K586" s="3">
        <f t="shared" si="171"/>
        <v>-100</v>
      </c>
      <c r="L586" s="3">
        <f t="shared" si="172"/>
        <v>1</v>
      </c>
      <c r="M586" s="3">
        <f t="shared" si="173"/>
        <v>0</v>
      </c>
      <c r="N586" s="3" t="str">
        <f t="shared" si="174"/>
        <v>01</v>
      </c>
      <c r="O586" s="14" t="str">
        <f t="shared" si="175"/>
        <v>00</v>
      </c>
    </row>
    <row r="587" spans="1:24" hidden="1">
      <c r="A587" s="143">
        <v>506</v>
      </c>
      <c r="B587" s="1">
        <f>IF(G587="-",0,IF(G586=G587,1,0))</f>
        <v>0</v>
      </c>
      <c r="C587" s="1">
        <f>+IF(G587="-",0,IF(I587=I586+1,0,(IF(I587=1,0,1))))</f>
        <v>1</v>
      </c>
      <c r="D587" s="1">
        <f>+IF(AND(P587="",Q587=""),1,0)</f>
        <v>0</v>
      </c>
      <c r="E587" s="1">
        <f t="shared" ref="E587:F589" si="176">IF(U587="",1,0)</f>
        <v>0</v>
      </c>
      <c r="F587" s="1">
        <f t="shared" si="176"/>
        <v>0</v>
      </c>
      <c r="G587" s="1" t="str">
        <f>IF(H587=0,"-",_xlfn.CONCAT(K587,N587,O587,J587))</f>
        <v>25030402</v>
      </c>
      <c r="H587" s="2">
        <v>45720</v>
      </c>
      <c r="I587" s="113">
        <v>2</v>
      </c>
      <c r="J587" s="1" t="str">
        <f t="shared" si="170"/>
        <v>02</v>
      </c>
      <c r="K587" s="3">
        <f t="shared" si="171"/>
        <v>25</v>
      </c>
      <c r="L587" s="3">
        <f t="shared" si="172"/>
        <v>3</v>
      </c>
      <c r="M587" s="3">
        <f t="shared" si="173"/>
        <v>4</v>
      </c>
      <c r="N587" s="3" t="str">
        <f t="shared" si="174"/>
        <v>03</v>
      </c>
      <c r="O587" s="14" t="str">
        <f t="shared" si="175"/>
        <v>04</v>
      </c>
      <c r="P587" s="4">
        <v>41672</v>
      </c>
      <c r="T587" s="5" t="s">
        <v>1751</v>
      </c>
      <c r="U587" s="3" t="s">
        <v>726</v>
      </c>
      <c r="V587" s="3" t="s">
        <v>1304</v>
      </c>
      <c r="W587" s="3" t="s">
        <v>1309</v>
      </c>
      <c r="X587" s="1" t="s">
        <v>1305</v>
      </c>
    </row>
    <row r="588" spans="1:24" hidden="1">
      <c r="A588" s="143">
        <v>507</v>
      </c>
      <c r="B588" s="1">
        <f>IF(G588="-",0,IF(G587=G588,1,0))</f>
        <v>0</v>
      </c>
      <c r="C588" s="1">
        <f>+IF(G588="-",0,IF(I588=I587+1,0,(IF(I588=1,0,1))))</f>
        <v>0</v>
      </c>
      <c r="D588" s="1">
        <f>+IF(AND(P588="",Q588=""),1,0)</f>
        <v>0</v>
      </c>
      <c r="E588" s="1">
        <f t="shared" si="176"/>
        <v>0</v>
      </c>
      <c r="F588" s="1">
        <f t="shared" si="176"/>
        <v>0</v>
      </c>
      <c r="G588" s="1" t="str">
        <f>IF(H588=0,"-",_xlfn.CONCAT(K588,N588,O588,J588))</f>
        <v>25030403</v>
      </c>
      <c r="H588" s="2">
        <v>45720</v>
      </c>
      <c r="I588" s="113">
        <v>3</v>
      </c>
      <c r="J588" s="1" t="str">
        <f t="shared" si="170"/>
        <v>03</v>
      </c>
      <c r="K588" s="3">
        <f t="shared" si="171"/>
        <v>25</v>
      </c>
      <c r="L588" s="3">
        <f t="shared" si="172"/>
        <v>3</v>
      </c>
      <c r="M588" s="3">
        <f t="shared" si="173"/>
        <v>4</v>
      </c>
      <c r="N588" s="3" t="str">
        <f t="shared" si="174"/>
        <v>03</v>
      </c>
      <c r="O588" s="14" t="str">
        <f t="shared" si="175"/>
        <v>04</v>
      </c>
      <c r="P588" s="4">
        <v>1545</v>
      </c>
      <c r="T588" s="5" t="s">
        <v>1750</v>
      </c>
      <c r="U588" s="3" t="s">
        <v>726</v>
      </c>
      <c r="V588" s="3" t="s">
        <v>1304</v>
      </c>
      <c r="W588" s="3" t="s">
        <v>1309</v>
      </c>
      <c r="X588" s="1" t="s">
        <v>1305</v>
      </c>
    </row>
    <row r="589" spans="1:24" hidden="1">
      <c r="A589" s="143">
        <v>509</v>
      </c>
      <c r="B589" s="1">
        <f>IF(G589="-",0,IF(G588=G589,1,0))</f>
        <v>0</v>
      </c>
      <c r="C589" s="1">
        <f>+IF(G589="-",0,IF(I589=I588+1,0,(IF(I589=1,0,1))))</f>
        <v>0</v>
      </c>
      <c r="D589" s="1">
        <f>+IF(AND(P589="",Q589=""),1,0)</f>
        <v>0</v>
      </c>
      <c r="E589" s="1">
        <f t="shared" si="176"/>
        <v>0</v>
      </c>
      <c r="F589" s="1">
        <f t="shared" si="176"/>
        <v>0</v>
      </c>
      <c r="G589" s="1" t="str">
        <f>IF(H589=0,"-",_xlfn.CONCAT(K589,N589,O589,J589))</f>
        <v>25030404</v>
      </c>
      <c r="H589" s="2">
        <v>45720</v>
      </c>
      <c r="I589" s="113">
        <v>4</v>
      </c>
      <c r="J589" s="1" t="str">
        <f t="shared" si="170"/>
        <v>04</v>
      </c>
      <c r="K589" s="3">
        <f t="shared" si="171"/>
        <v>25</v>
      </c>
      <c r="L589" s="3">
        <f t="shared" si="172"/>
        <v>3</v>
      </c>
      <c r="M589" s="3">
        <f t="shared" si="173"/>
        <v>4</v>
      </c>
      <c r="N589" s="3" t="str">
        <f t="shared" si="174"/>
        <v>03</v>
      </c>
      <c r="O589" s="14" t="str">
        <f t="shared" si="175"/>
        <v>04</v>
      </c>
      <c r="P589" s="4">
        <v>13925.38</v>
      </c>
      <c r="T589" s="5" t="s">
        <v>1749</v>
      </c>
      <c r="U589" s="3" t="s">
        <v>29</v>
      </c>
      <c r="V589" s="3" t="s">
        <v>4</v>
      </c>
      <c r="W589" s="3" t="s">
        <v>1307</v>
      </c>
      <c r="X589" s="1" t="s">
        <v>1305</v>
      </c>
    </row>
    <row r="590" spans="1:24" hidden="1">
      <c r="A590" s="143"/>
      <c r="J590" s="1" t="str">
        <f t="shared" si="170"/>
        <v>0</v>
      </c>
      <c r="K590" s="3">
        <f t="shared" si="171"/>
        <v>-100</v>
      </c>
      <c r="L590" s="3">
        <f t="shared" si="172"/>
        <v>1</v>
      </c>
      <c r="M590" s="3">
        <f t="shared" si="173"/>
        <v>0</v>
      </c>
      <c r="N590" s="3" t="str">
        <f t="shared" si="174"/>
        <v>01</v>
      </c>
      <c r="O590" s="14" t="str">
        <f t="shared" si="175"/>
        <v>00</v>
      </c>
    </row>
    <row r="591" spans="1:24" hidden="1">
      <c r="A591" s="143"/>
      <c r="J591" s="1" t="str">
        <f t="shared" si="170"/>
        <v>0</v>
      </c>
      <c r="K591" s="3">
        <f t="shared" si="171"/>
        <v>-100</v>
      </c>
      <c r="L591" s="3">
        <f t="shared" si="172"/>
        <v>1</v>
      </c>
      <c r="M591" s="3">
        <f t="shared" si="173"/>
        <v>0</v>
      </c>
      <c r="N591" s="3" t="str">
        <f t="shared" si="174"/>
        <v>01</v>
      </c>
      <c r="O591" s="14" t="str">
        <f t="shared" si="175"/>
        <v>00</v>
      </c>
    </row>
    <row r="592" spans="1:24" hidden="1">
      <c r="A592" s="143">
        <v>512</v>
      </c>
      <c r="B592" s="1">
        <f t="shared" ref="B592:B599" si="177">IF(G592="-",0,IF(G591=G592,1,0))</f>
        <v>0</v>
      </c>
      <c r="C592" s="1">
        <f t="shared" ref="C592:C599" si="178">+IF(G592="-",0,IF(I592=I591+1,0,(IF(I592=1,0,1))))</f>
        <v>1</v>
      </c>
      <c r="D592" s="1">
        <f t="shared" ref="D592:D599" si="179">+IF(AND(P592="",Q592=""),1,0)</f>
        <v>0</v>
      </c>
      <c r="E592" s="1">
        <f t="shared" ref="E592:F599" si="180">IF(U592="",1,0)</f>
        <v>0</v>
      </c>
      <c r="F592" s="1">
        <f t="shared" si="180"/>
        <v>0</v>
      </c>
      <c r="G592" s="1" t="str">
        <f t="shared" ref="G592:G599" si="181">IF(H592=0,"-",_xlfn.CONCAT(K592,N592,O592,J592))</f>
        <v>25030503</v>
      </c>
      <c r="H592" s="2">
        <v>45721</v>
      </c>
      <c r="I592" s="113">
        <v>3</v>
      </c>
      <c r="J592" s="1" t="str">
        <f t="shared" si="170"/>
        <v>03</v>
      </c>
      <c r="K592" s="3">
        <f t="shared" si="171"/>
        <v>25</v>
      </c>
      <c r="L592" s="3">
        <f t="shared" si="172"/>
        <v>3</v>
      </c>
      <c r="M592" s="3">
        <f t="shared" si="173"/>
        <v>5</v>
      </c>
      <c r="N592" s="3" t="str">
        <f t="shared" si="174"/>
        <v>03</v>
      </c>
      <c r="O592" s="14" t="str">
        <f t="shared" si="175"/>
        <v>05</v>
      </c>
      <c r="P592" s="4">
        <v>103707.5</v>
      </c>
      <c r="T592" s="5" t="s">
        <v>1748</v>
      </c>
      <c r="U592" s="3" t="s">
        <v>726</v>
      </c>
      <c r="V592" s="3" t="s">
        <v>1316</v>
      </c>
      <c r="W592" s="3" t="s">
        <v>1309</v>
      </c>
      <c r="X592" s="1" t="s">
        <v>1305</v>
      </c>
    </row>
    <row r="593" spans="1:24">
      <c r="A593" s="143">
        <v>520</v>
      </c>
      <c r="B593" s="1">
        <f t="shared" si="177"/>
        <v>0</v>
      </c>
      <c r="C593" s="1">
        <f t="shared" si="178"/>
        <v>0</v>
      </c>
      <c r="D593" s="1">
        <f t="shared" si="179"/>
        <v>0</v>
      </c>
      <c r="E593" s="1">
        <f t="shared" si="180"/>
        <v>0</v>
      </c>
      <c r="F593" s="1">
        <f t="shared" si="180"/>
        <v>0</v>
      </c>
      <c r="G593" s="1" t="str">
        <f t="shared" si="181"/>
        <v>25030504</v>
      </c>
      <c r="H593" s="2">
        <v>45721</v>
      </c>
      <c r="I593" s="113">
        <v>4</v>
      </c>
      <c r="J593" s="1" t="str">
        <f t="shared" si="170"/>
        <v>04</v>
      </c>
      <c r="K593" s="3">
        <f t="shared" si="171"/>
        <v>25</v>
      </c>
      <c r="L593" s="3">
        <f t="shared" si="172"/>
        <v>3</v>
      </c>
      <c r="M593" s="3">
        <f t="shared" si="173"/>
        <v>5</v>
      </c>
      <c r="N593" s="3" t="str">
        <f t="shared" si="174"/>
        <v>03</v>
      </c>
      <c r="O593" s="14" t="str">
        <f t="shared" si="175"/>
        <v>05</v>
      </c>
      <c r="P593" s="4">
        <v>200000</v>
      </c>
      <c r="T593" s="5" t="s">
        <v>1570</v>
      </c>
      <c r="U593" s="3" t="s">
        <v>1342</v>
      </c>
      <c r="V593" s="3" t="s">
        <v>5</v>
      </c>
      <c r="W593" s="3" t="s">
        <v>1306</v>
      </c>
      <c r="X593" s="1" t="s">
        <v>1302</v>
      </c>
    </row>
    <row r="594" spans="1:24" hidden="1">
      <c r="A594" s="143">
        <v>521</v>
      </c>
      <c r="B594" s="1">
        <f t="shared" si="177"/>
        <v>0</v>
      </c>
      <c r="C594" s="1">
        <f t="shared" si="178"/>
        <v>0</v>
      </c>
      <c r="D594" s="1">
        <f t="shared" si="179"/>
        <v>0</v>
      </c>
      <c r="E594" s="1">
        <f t="shared" si="180"/>
        <v>0</v>
      </c>
      <c r="F594" s="1">
        <f t="shared" si="180"/>
        <v>0</v>
      </c>
      <c r="G594" s="1" t="str">
        <f t="shared" si="181"/>
        <v>25030505</v>
      </c>
      <c r="H594" s="2">
        <v>45721</v>
      </c>
      <c r="I594" s="113">
        <v>5</v>
      </c>
      <c r="J594" s="1" t="str">
        <f t="shared" si="170"/>
        <v>05</v>
      </c>
      <c r="K594" s="3">
        <f t="shared" si="171"/>
        <v>25</v>
      </c>
      <c r="L594" s="3">
        <f t="shared" si="172"/>
        <v>3</v>
      </c>
      <c r="M594" s="3">
        <f t="shared" si="173"/>
        <v>5</v>
      </c>
      <c r="N594" s="3" t="str">
        <f t="shared" si="174"/>
        <v>03</v>
      </c>
      <c r="O594" s="14" t="str">
        <f t="shared" si="175"/>
        <v>05</v>
      </c>
      <c r="P594" s="4">
        <v>25000</v>
      </c>
      <c r="T594" s="5" t="s">
        <v>1747</v>
      </c>
      <c r="U594" s="3" t="s">
        <v>29</v>
      </c>
      <c r="V594" s="3" t="s">
        <v>5</v>
      </c>
      <c r="W594" s="3" t="s">
        <v>1306</v>
      </c>
      <c r="X594" s="1" t="s">
        <v>1302</v>
      </c>
    </row>
    <row r="595" spans="1:24" hidden="1">
      <c r="A595" s="143">
        <v>525</v>
      </c>
      <c r="B595" s="1">
        <f t="shared" si="177"/>
        <v>0</v>
      </c>
      <c r="C595" s="1">
        <f t="shared" si="178"/>
        <v>0</v>
      </c>
      <c r="D595" s="1">
        <f t="shared" si="179"/>
        <v>0</v>
      </c>
      <c r="E595" s="1">
        <f t="shared" si="180"/>
        <v>0</v>
      </c>
      <c r="F595" s="1">
        <f t="shared" si="180"/>
        <v>0</v>
      </c>
      <c r="G595" s="1" t="str">
        <f t="shared" si="181"/>
        <v>25030506</v>
      </c>
      <c r="H595" s="2">
        <v>45721</v>
      </c>
      <c r="I595" s="113">
        <v>6</v>
      </c>
      <c r="J595" s="1" t="str">
        <f t="shared" si="170"/>
        <v>06</v>
      </c>
      <c r="K595" s="3">
        <f t="shared" si="171"/>
        <v>25</v>
      </c>
      <c r="L595" s="3">
        <f t="shared" si="172"/>
        <v>3</v>
      </c>
      <c r="M595" s="3">
        <f t="shared" si="173"/>
        <v>5</v>
      </c>
      <c r="N595" s="3" t="str">
        <f t="shared" si="174"/>
        <v>03</v>
      </c>
      <c r="O595" s="14" t="str">
        <f t="shared" si="175"/>
        <v>05</v>
      </c>
      <c r="P595" s="4">
        <v>359500</v>
      </c>
      <c r="T595" s="5" t="s">
        <v>1746</v>
      </c>
      <c r="U595" s="3" t="s">
        <v>1406</v>
      </c>
      <c r="V595" s="3" t="s">
        <v>1316</v>
      </c>
      <c r="W595" s="3" t="s">
        <v>1306</v>
      </c>
      <c r="X595" s="1" t="s">
        <v>1305</v>
      </c>
    </row>
    <row r="596" spans="1:24" hidden="1">
      <c r="A596" s="143">
        <v>526</v>
      </c>
      <c r="B596" s="1">
        <f t="shared" si="177"/>
        <v>0</v>
      </c>
      <c r="C596" s="1">
        <f t="shared" si="178"/>
        <v>0</v>
      </c>
      <c r="D596" s="1">
        <f t="shared" si="179"/>
        <v>0</v>
      </c>
      <c r="E596" s="1">
        <f t="shared" si="180"/>
        <v>0</v>
      </c>
      <c r="F596" s="1">
        <f t="shared" si="180"/>
        <v>0</v>
      </c>
      <c r="G596" s="1" t="str">
        <f t="shared" si="181"/>
        <v>25030507</v>
      </c>
      <c r="H596" s="2">
        <v>45721</v>
      </c>
      <c r="I596" s="113">
        <v>7</v>
      </c>
      <c r="J596" s="1" t="str">
        <f t="shared" si="170"/>
        <v>07</v>
      </c>
      <c r="K596" s="3">
        <f t="shared" si="171"/>
        <v>25</v>
      </c>
      <c r="L596" s="3">
        <f t="shared" si="172"/>
        <v>3</v>
      </c>
      <c r="M596" s="3">
        <f t="shared" si="173"/>
        <v>5</v>
      </c>
      <c r="N596" s="3" t="str">
        <f t="shared" si="174"/>
        <v>03</v>
      </c>
      <c r="O596" s="14" t="str">
        <f t="shared" si="175"/>
        <v>05</v>
      </c>
      <c r="P596" s="4">
        <v>-19000</v>
      </c>
      <c r="T596" s="5" t="s">
        <v>1745</v>
      </c>
      <c r="U596" s="3" t="s">
        <v>1406</v>
      </c>
      <c r="V596" s="3" t="s">
        <v>1316</v>
      </c>
      <c r="W596" s="3" t="s">
        <v>1306</v>
      </c>
      <c r="X596" s="1" t="s">
        <v>1305</v>
      </c>
    </row>
    <row r="597" spans="1:24" hidden="1">
      <c r="A597" s="143">
        <v>640</v>
      </c>
      <c r="B597" s="1">
        <f t="shared" si="177"/>
        <v>0</v>
      </c>
      <c r="C597" s="1">
        <f t="shared" si="178"/>
        <v>0</v>
      </c>
      <c r="D597" s="1">
        <f t="shared" si="179"/>
        <v>0</v>
      </c>
      <c r="E597" s="1">
        <f t="shared" si="180"/>
        <v>0</v>
      </c>
      <c r="F597" s="1">
        <f t="shared" si="180"/>
        <v>0</v>
      </c>
      <c r="G597" s="1" t="str">
        <f t="shared" si="181"/>
        <v>25030508</v>
      </c>
      <c r="H597" s="2">
        <v>45721</v>
      </c>
      <c r="I597" s="113">
        <v>8</v>
      </c>
      <c r="J597" s="1" t="str">
        <f t="shared" si="170"/>
        <v>08</v>
      </c>
      <c r="K597" s="3">
        <f t="shared" si="171"/>
        <v>25</v>
      </c>
      <c r="L597" s="3">
        <f t="shared" si="172"/>
        <v>3</v>
      </c>
      <c r="M597" s="3">
        <f t="shared" si="173"/>
        <v>5</v>
      </c>
      <c r="N597" s="3" t="str">
        <f t="shared" si="174"/>
        <v>03</v>
      </c>
      <c r="O597" s="14" t="str">
        <f t="shared" si="175"/>
        <v>05</v>
      </c>
      <c r="Q597" s="5">
        <v>316.39999999999998</v>
      </c>
      <c r="T597" s="5" t="s">
        <v>1744</v>
      </c>
      <c r="U597" s="3" t="s">
        <v>3</v>
      </c>
      <c r="V597" s="3" t="s">
        <v>5</v>
      </c>
      <c r="W597" s="3" t="s">
        <v>1306</v>
      </c>
      <c r="X597" s="1" t="s">
        <v>1305</v>
      </c>
    </row>
    <row r="598" spans="1:24" hidden="1">
      <c r="A598" s="143">
        <v>513</v>
      </c>
      <c r="B598" s="1">
        <f t="shared" si="177"/>
        <v>0</v>
      </c>
      <c r="C598" s="1">
        <f t="shared" si="178"/>
        <v>0</v>
      </c>
      <c r="D598" s="1">
        <f t="shared" si="179"/>
        <v>0</v>
      </c>
      <c r="E598" s="1">
        <f t="shared" si="180"/>
        <v>0</v>
      </c>
      <c r="F598" s="1">
        <f t="shared" si="180"/>
        <v>0</v>
      </c>
      <c r="G598" s="1" t="str">
        <f t="shared" si="181"/>
        <v>25030601</v>
      </c>
      <c r="H598" s="2">
        <v>45722</v>
      </c>
      <c r="I598" s="113">
        <v>1</v>
      </c>
      <c r="J598" s="1" t="str">
        <f t="shared" si="170"/>
        <v>01</v>
      </c>
      <c r="K598" s="3">
        <f t="shared" si="171"/>
        <v>25</v>
      </c>
      <c r="L598" s="3">
        <f t="shared" si="172"/>
        <v>3</v>
      </c>
      <c r="M598" s="3">
        <f t="shared" si="173"/>
        <v>6</v>
      </c>
      <c r="N598" s="3" t="str">
        <f t="shared" si="174"/>
        <v>03</v>
      </c>
      <c r="O598" s="14" t="str">
        <f t="shared" si="175"/>
        <v>06</v>
      </c>
      <c r="P598" s="4">
        <v>27697.29</v>
      </c>
      <c r="T598" s="5" t="s">
        <v>1743</v>
      </c>
      <c r="U598" s="3" t="s">
        <v>29</v>
      </c>
      <c r="V598" s="3" t="s">
        <v>5</v>
      </c>
      <c r="W598" s="3" t="s">
        <v>1307</v>
      </c>
      <c r="X598" s="1" t="s">
        <v>1305</v>
      </c>
    </row>
    <row r="599" spans="1:24" hidden="1">
      <c r="A599" s="143">
        <v>514</v>
      </c>
      <c r="B599" s="1">
        <f t="shared" si="177"/>
        <v>0</v>
      </c>
      <c r="C599" s="1">
        <f t="shared" si="178"/>
        <v>0</v>
      </c>
      <c r="D599" s="1">
        <f t="shared" si="179"/>
        <v>0</v>
      </c>
      <c r="E599" s="1">
        <f t="shared" si="180"/>
        <v>0</v>
      </c>
      <c r="F599" s="1">
        <f t="shared" si="180"/>
        <v>0</v>
      </c>
      <c r="G599" s="1" t="str">
        <f t="shared" si="181"/>
        <v>25030602</v>
      </c>
      <c r="H599" s="2">
        <v>45722</v>
      </c>
      <c r="I599" s="113">
        <v>2</v>
      </c>
      <c r="J599" s="1" t="str">
        <f t="shared" si="170"/>
        <v>02</v>
      </c>
      <c r="K599" s="3">
        <f t="shared" si="171"/>
        <v>25</v>
      </c>
      <c r="L599" s="3">
        <f t="shared" si="172"/>
        <v>3</v>
      </c>
      <c r="M599" s="3">
        <f t="shared" si="173"/>
        <v>6</v>
      </c>
      <c r="N599" s="3" t="str">
        <f t="shared" si="174"/>
        <v>03</v>
      </c>
      <c r="O599" s="14" t="str">
        <f t="shared" si="175"/>
        <v>06</v>
      </c>
      <c r="P599" s="4">
        <v>54000</v>
      </c>
      <c r="T599" s="5" t="s">
        <v>1698</v>
      </c>
      <c r="U599" s="3" t="s">
        <v>726</v>
      </c>
      <c r="V599" s="3" t="s">
        <v>1316</v>
      </c>
      <c r="W599" s="3" t="s">
        <v>1309</v>
      </c>
      <c r="X599" s="1" t="s">
        <v>1305</v>
      </c>
    </row>
    <row r="600" spans="1:24" hidden="1">
      <c r="A600" s="143"/>
      <c r="J600" s="1" t="str">
        <f t="shared" si="170"/>
        <v>0</v>
      </c>
      <c r="K600" s="3">
        <f t="shared" si="171"/>
        <v>-100</v>
      </c>
      <c r="L600" s="3">
        <f t="shared" si="172"/>
        <v>1</v>
      </c>
      <c r="M600" s="3">
        <f t="shared" si="173"/>
        <v>0</v>
      </c>
      <c r="N600" s="3" t="str">
        <f t="shared" si="174"/>
        <v>01</v>
      </c>
      <c r="O600" s="14" t="str">
        <f t="shared" si="175"/>
        <v>00</v>
      </c>
    </row>
    <row r="601" spans="1:24" hidden="1">
      <c r="A601" s="143"/>
      <c r="J601" s="1" t="str">
        <f t="shared" si="170"/>
        <v>0</v>
      </c>
      <c r="K601" s="3">
        <f t="shared" si="171"/>
        <v>-100</v>
      </c>
      <c r="L601" s="3">
        <f t="shared" si="172"/>
        <v>1</v>
      </c>
      <c r="M601" s="3">
        <f t="shared" si="173"/>
        <v>0</v>
      </c>
      <c r="N601" s="3" t="str">
        <f t="shared" si="174"/>
        <v>01</v>
      </c>
      <c r="O601" s="14" t="str">
        <f t="shared" si="175"/>
        <v>00</v>
      </c>
    </row>
    <row r="602" spans="1:24" hidden="1">
      <c r="A602" s="143">
        <v>527</v>
      </c>
      <c r="B602" s="1">
        <f>IF(G602="-",0,IF(G601=G602,1,0))</f>
        <v>0</v>
      </c>
      <c r="C602" s="1">
        <f>+IF(G602="-",0,IF(I602=I601+1,0,(IF(I602=1,0,1))))</f>
        <v>1</v>
      </c>
      <c r="D602" s="1">
        <f>+IF(AND(P602="",Q602=""),1,0)</f>
        <v>0</v>
      </c>
      <c r="E602" s="1">
        <f>IF(U602="",1,0)</f>
        <v>0</v>
      </c>
      <c r="F602" s="1">
        <f>IF(V602="",1,0)</f>
        <v>0</v>
      </c>
      <c r="G602" s="1" t="str">
        <f>IF(H602=0,"-",_xlfn.CONCAT(K602,N602,O602,J602))</f>
        <v>25030605</v>
      </c>
      <c r="H602" s="2">
        <v>45722</v>
      </c>
      <c r="I602" s="113">
        <v>5</v>
      </c>
      <c r="J602" s="1" t="str">
        <f t="shared" si="170"/>
        <v>05</v>
      </c>
      <c r="K602" s="3">
        <f t="shared" si="171"/>
        <v>25</v>
      </c>
      <c r="L602" s="3">
        <f t="shared" si="172"/>
        <v>3</v>
      </c>
      <c r="M602" s="3">
        <f t="shared" si="173"/>
        <v>6</v>
      </c>
      <c r="N602" s="3" t="str">
        <f t="shared" si="174"/>
        <v>03</v>
      </c>
      <c r="O602" s="14" t="str">
        <f t="shared" si="175"/>
        <v>06</v>
      </c>
      <c r="P602" s="4">
        <v>43680.15</v>
      </c>
      <c r="T602" s="5" t="s">
        <v>1742</v>
      </c>
      <c r="U602" s="3" t="s">
        <v>1406</v>
      </c>
      <c r="V602" s="3" t="s">
        <v>1304</v>
      </c>
      <c r="W602" s="3" t="s">
        <v>1306</v>
      </c>
      <c r="X602" s="1" t="s">
        <v>1305</v>
      </c>
    </row>
    <row r="603" spans="1:24" hidden="1">
      <c r="A603" s="143">
        <v>630</v>
      </c>
      <c r="B603" s="1">
        <f>IF(G603="-",0,IF(G602=G603,1,0))</f>
        <v>0</v>
      </c>
      <c r="C603" s="1">
        <f>+IF(G603="-",0,IF(I603=I602+1,0,(IF(I603=1,0,1))))</f>
        <v>0</v>
      </c>
      <c r="D603" s="1">
        <f>+IF(AND(P603="",Q603=""),1,0)</f>
        <v>0</v>
      </c>
      <c r="E603" s="1">
        <f>IF(U603="",1,0)</f>
        <v>0</v>
      </c>
      <c r="F603" s="1">
        <f>IF(V603="",1,0)</f>
        <v>0</v>
      </c>
      <c r="G603" s="1" t="str">
        <f>IF(H603=0,"-",_xlfn.CONCAT(K603,N603,O603,J603))</f>
        <v>25030606</v>
      </c>
      <c r="H603" s="2">
        <v>45722</v>
      </c>
      <c r="I603" s="113">
        <v>6</v>
      </c>
      <c r="J603" s="1" t="str">
        <f t="shared" si="170"/>
        <v>06</v>
      </c>
      <c r="K603" s="3">
        <f t="shared" si="171"/>
        <v>25</v>
      </c>
      <c r="L603" s="3">
        <f t="shared" si="172"/>
        <v>3</v>
      </c>
      <c r="M603" s="3">
        <f t="shared" si="173"/>
        <v>6</v>
      </c>
      <c r="N603" s="3" t="str">
        <f t="shared" si="174"/>
        <v>03</v>
      </c>
      <c r="O603" s="14" t="str">
        <f t="shared" si="175"/>
        <v>06</v>
      </c>
      <c r="P603" s="4">
        <v>140000</v>
      </c>
      <c r="T603" s="5" t="s">
        <v>1633</v>
      </c>
      <c r="U603" s="3" t="s">
        <v>305</v>
      </c>
      <c r="V603" s="3" t="s">
        <v>5</v>
      </c>
      <c r="W603" s="3" t="s">
        <v>1306</v>
      </c>
    </row>
    <row r="604" spans="1:24" hidden="1">
      <c r="A604" s="143"/>
      <c r="J604" s="1" t="str">
        <f t="shared" si="170"/>
        <v>0</v>
      </c>
      <c r="K604" s="3">
        <f t="shared" si="171"/>
        <v>-100</v>
      </c>
      <c r="L604" s="3">
        <f t="shared" si="172"/>
        <v>1</v>
      </c>
      <c r="M604" s="3">
        <f t="shared" si="173"/>
        <v>0</v>
      </c>
      <c r="N604" s="3" t="str">
        <f t="shared" si="174"/>
        <v>01</v>
      </c>
      <c r="O604" s="14" t="str">
        <f t="shared" si="175"/>
        <v>00</v>
      </c>
    </row>
    <row r="605" spans="1:24" hidden="1">
      <c r="A605" s="143"/>
      <c r="J605" s="1" t="str">
        <f t="shared" si="170"/>
        <v>0</v>
      </c>
      <c r="K605" s="3">
        <f t="shared" si="171"/>
        <v>-100</v>
      </c>
      <c r="L605" s="3">
        <f t="shared" si="172"/>
        <v>1</v>
      </c>
      <c r="M605" s="3">
        <f t="shared" si="173"/>
        <v>0</v>
      </c>
      <c r="N605" s="3" t="str">
        <f t="shared" si="174"/>
        <v>01</v>
      </c>
      <c r="O605" s="14" t="str">
        <f t="shared" si="175"/>
        <v>00</v>
      </c>
    </row>
    <row r="606" spans="1:24">
      <c r="A606" s="143">
        <v>515</v>
      </c>
      <c r="B606" s="1">
        <f t="shared" ref="B606:B613" si="182">IF(G606="-",0,IF(G605=G606,1,0))</f>
        <v>0</v>
      </c>
      <c r="C606" s="1">
        <f t="shared" ref="C606:C613" si="183">+IF(G606="-",0,IF(I606=I605+1,0,(IF(I606=1,0,1))))</f>
        <v>0</v>
      </c>
      <c r="D606" s="1">
        <f t="shared" ref="D606:D613" si="184">+IF(AND(P606="",Q606=""),1,0)</f>
        <v>0</v>
      </c>
      <c r="E606" s="1">
        <f t="shared" ref="E606:F613" si="185">IF(U606="",1,0)</f>
        <v>0</v>
      </c>
      <c r="F606" s="1">
        <f t="shared" si="185"/>
        <v>0</v>
      </c>
      <c r="G606" s="1" t="str">
        <f t="shared" ref="G606:G613" si="186">IF(H606=0,"-",_xlfn.CONCAT(K606,N606,O606,J606))</f>
        <v>25030701</v>
      </c>
      <c r="H606" s="2">
        <v>45723</v>
      </c>
      <c r="I606" s="113">
        <v>1</v>
      </c>
      <c r="J606" s="1" t="str">
        <f t="shared" si="170"/>
        <v>01</v>
      </c>
      <c r="K606" s="3">
        <f t="shared" si="171"/>
        <v>25</v>
      </c>
      <c r="L606" s="3">
        <f t="shared" si="172"/>
        <v>3</v>
      </c>
      <c r="M606" s="3">
        <f t="shared" si="173"/>
        <v>7</v>
      </c>
      <c r="N606" s="3" t="str">
        <f t="shared" si="174"/>
        <v>03</v>
      </c>
      <c r="O606" s="14" t="str">
        <f t="shared" si="175"/>
        <v>07</v>
      </c>
      <c r="P606" s="4">
        <v>638356.91</v>
      </c>
      <c r="T606" s="5" t="s">
        <v>1741</v>
      </c>
      <c r="U606" s="3" t="s">
        <v>1397</v>
      </c>
      <c r="V606" s="3" t="s">
        <v>5</v>
      </c>
      <c r="W606" s="3" t="s">
        <v>1306</v>
      </c>
      <c r="X606" s="1" t="s">
        <v>1305</v>
      </c>
    </row>
    <row r="607" spans="1:24">
      <c r="A607" s="143">
        <v>516</v>
      </c>
      <c r="B607" s="1">
        <f t="shared" si="182"/>
        <v>0</v>
      </c>
      <c r="C607" s="1">
        <f t="shared" si="183"/>
        <v>0</v>
      </c>
      <c r="D607" s="1">
        <f t="shared" si="184"/>
        <v>0</v>
      </c>
      <c r="E607" s="1">
        <f t="shared" si="185"/>
        <v>1</v>
      </c>
      <c r="F607" s="1">
        <f t="shared" si="185"/>
        <v>0</v>
      </c>
      <c r="G607" s="1" t="str">
        <f t="shared" si="186"/>
        <v>25030702</v>
      </c>
      <c r="H607" s="2">
        <v>45723</v>
      </c>
      <c r="I607" s="113">
        <v>2</v>
      </c>
      <c r="J607" s="1" t="str">
        <f t="shared" si="170"/>
        <v>02</v>
      </c>
      <c r="K607" s="3">
        <f t="shared" si="171"/>
        <v>25</v>
      </c>
      <c r="L607" s="3">
        <f t="shared" si="172"/>
        <v>3</v>
      </c>
      <c r="M607" s="3">
        <f t="shared" si="173"/>
        <v>7</v>
      </c>
      <c r="N607" s="3" t="str">
        <f t="shared" si="174"/>
        <v>03</v>
      </c>
      <c r="O607" s="14" t="str">
        <f t="shared" si="175"/>
        <v>07</v>
      </c>
      <c r="P607" s="4">
        <v>850.95</v>
      </c>
      <c r="T607" s="5" t="s">
        <v>1450</v>
      </c>
      <c r="V607" s="3" t="s">
        <v>5</v>
      </c>
      <c r="W607" s="3" t="s">
        <v>1306</v>
      </c>
      <c r="X607" s="1" t="s">
        <v>1305</v>
      </c>
    </row>
    <row r="608" spans="1:24" hidden="1">
      <c r="A608" s="143">
        <v>528</v>
      </c>
      <c r="B608" s="1">
        <f t="shared" si="182"/>
        <v>0</v>
      </c>
      <c r="C608" s="1">
        <f t="shared" si="183"/>
        <v>0</v>
      </c>
      <c r="D608" s="1">
        <f t="shared" si="184"/>
        <v>0</v>
      </c>
      <c r="E608" s="1">
        <f t="shared" si="185"/>
        <v>0</v>
      </c>
      <c r="F608" s="1">
        <f t="shared" si="185"/>
        <v>0</v>
      </c>
      <c r="G608" s="1" t="str">
        <f t="shared" si="186"/>
        <v>25030703</v>
      </c>
      <c r="H608" s="2">
        <v>45723</v>
      </c>
      <c r="I608" s="113">
        <v>3</v>
      </c>
      <c r="J608" s="1" t="str">
        <f t="shared" si="170"/>
        <v>03</v>
      </c>
      <c r="K608" s="3">
        <f t="shared" si="171"/>
        <v>25</v>
      </c>
      <c r="L608" s="3">
        <f t="shared" si="172"/>
        <v>3</v>
      </c>
      <c r="M608" s="3">
        <f t="shared" si="173"/>
        <v>7</v>
      </c>
      <c r="N608" s="3" t="str">
        <f t="shared" si="174"/>
        <v>03</v>
      </c>
      <c r="O608" s="14" t="str">
        <f t="shared" si="175"/>
        <v>07</v>
      </c>
      <c r="P608" s="4">
        <v>6636.94</v>
      </c>
      <c r="T608" s="5" t="s">
        <v>1740</v>
      </c>
      <c r="U608" s="3" t="s">
        <v>29</v>
      </c>
      <c r="V608" s="3" t="s">
        <v>5</v>
      </c>
      <c r="W608" s="3" t="s">
        <v>1307</v>
      </c>
      <c r="X608" s="1" t="s">
        <v>1305</v>
      </c>
    </row>
    <row r="609" spans="1:25" hidden="1">
      <c r="A609" s="143">
        <v>529</v>
      </c>
      <c r="B609" s="1">
        <f t="shared" si="182"/>
        <v>0</v>
      </c>
      <c r="C609" s="1">
        <f t="shared" si="183"/>
        <v>0</v>
      </c>
      <c r="D609" s="1">
        <f t="shared" si="184"/>
        <v>0</v>
      </c>
      <c r="E609" s="1">
        <f t="shared" si="185"/>
        <v>0</v>
      </c>
      <c r="F609" s="1">
        <f t="shared" si="185"/>
        <v>0</v>
      </c>
      <c r="G609" s="1" t="str">
        <f t="shared" si="186"/>
        <v>25030704</v>
      </c>
      <c r="H609" s="2">
        <v>45723</v>
      </c>
      <c r="I609" s="113">
        <v>4</v>
      </c>
      <c r="J609" s="1" t="str">
        <f t="shared" si="170"/>
        <v>04</v>
      </c>
      <c r="K609" s="3">
        <f t="shared" si="171"/>
        <v>25</v>
      </c>
      <c r="L609" s="3">
        <f t="shared" si="172"/>
        <v>3</v>
      </c>
      <c r="M609" s="3">
        <f t="shared" si="173"/>
        <v>7</v>
      </c>
      <c r="N609" s="3" t="str">
        <f t="shared" si="174"/>
        <v>03</v>
      </c>
      <c r="O609" s="14" t="str">
        <f t="shared" si="175"/>
        <v>07</v>
      </c>
      <c r="P609" s="4">
        <v>-5024.68</v>
      </c>
      <c r="T609" s="5" t="s">
        <v>1739</v>
      </c>
      <c r="U609" s="3" t="s">
        <v>29</v>
      </c>
      <c r="V609" s="3" t="s">
        <v>5</v>
      </c>
      <c r="W609" s="3" t="s">
        <v>1307</v>
      </c>
      <c r="X609" s="1" t="s">
        <v>1305</v>
      </c>
    </row>
    <row r="610" spans="1:25" hidden="1">
      <c r="A610" s="143">
        <v>530</v>
      </c>
      <c r="B610" s="1">
        <f t="shared" si="182"/>
        <v>0</v>
      </c>
      <c r="C610" s="1">
        <f t="shared" si="183"/>
        <v>0</v>
      </c>
      <c r="D610" s="1">
        <f t="shared" si="184"/>
        <v>0</v>
      </c>
      <c r="E610" s="1">
        <f t="shared" si="185"/>
        <v>0</v>
      </c>
      <c r="F610" s="1">
        <f t="shared" si="185"/>
        <v>0</v>
      </c>
      <c r="G610" s="1" t="str">
        <f t="shared" si="186"/>
        <v>25030705</v>
      </c>
      <c r="H610" s="2">
        <v>45723</v>
      </c>
      <c r="I610" s="113">
        <v>5</v>
      </c>
      <c r="J610" s="1" t="str">
        <f t="shared" si="170"/>
        <v>05</v>
      </c>
      <c r="K610" s="3">
        <f t="shared" si="171"/>
        <v>25</v>
      </c>
      <c r="L610" s="3">
        <f t="shared" si="172"/>
        <v>3</v>
      </c>
      <c r="M610" s="3">
        <f t="shared" si="173"/>
        <v>7</v>
      </c>
      <c r="N610" s="3" t="str">
        <f t="shared" si="174"/>
        <v>03</v>
      </c>
      <c r="O610" s="14" t="str">
        <f t="shared" si="175"/>
        <v>07</v>
      </c>
      <c r="P610" s="4">
        <v>30948.55</v>
      </c>
      <c r="T610" s="5" t="s">
        <v>1738</v>
      </c>
      <c r="U610" s="3" t="s">
        <v>29</v>
      </c>
      <c r="V610" s="3" t="s">
        <v>5</v>
      </c>
      <c r="W610" s="3" t="s">
        <v>1307</v>
      </c>
      <c r="X610" s="1" t="s">
        <v>1305</v>
      </c>
    </row>
    <row r="611" spans="1:25" hidden="1">
      <c r="A611" s="143">
        <v>531</v>
      </c>
      <c r="B611" s="1">
        <f t="shared" si="182"/>
        <v>0</v>
      </c>
      <c r="C611" s="1">
        <f t="shared" si="183"/>
        <v>0</v>
      </c>
      <c r="D611" s="1">
        <f t="shared" si="184"/>
        <v>0</v>
      </c>
      <c r="E611" s="1">
        <f t="shared" si="185"/>
        <v>0</v>
      </c>
      <c r="F611" s="1">
        <f t="shared" si="185"/>
        <v>0</v>
      </c>
      <c r="G611" s="1" t="str">
        <f t="shared" si="186"/>
        <v>25030706</v>
      </c>
      <c r="H611" s="2">
        <v>45723</v>
      </c>
      <c r="I611" s="113">
        <v>6</v>
      </c>
      <c r="J611" s="1" t="str">
        <f t="shared" si="170"/>
        <v>06</v>
      </c>
      <c r="K611" s="3">
        <f t="shared" si="171"/>
        <v>25</v>
      </c>
      <c r="L611" s="3">
        <f t="shared" si="172"/>
        <v>3</v>
      </c>
      <c r="M611" s="3">
        <f t="shared" si="173"/>
        <v>7</v>
      </c>
      <c r="N611" s="3" t="str">
        <f t="shared" si="174"/>
        <v>03</v>
      </c>
      <c r="O611" s="14" t="str">
        <f t="shared" si="175"/>
        <v>07</v>
      </c>
      <c r="P611" s="4">
        <v>16878.2</v>
      </c>
      <c r="T611" s="5" t="s">
        <v>1737</v>
      </c>
      <c r="U611" s="3" t="s">
        <v>29</v>
      </c>
      <c r="V611" s="3" t="s">
        <v>5</v>
      </c>
      <c r="W611" s="3" t="s">
        <v>1307</v>
      </c>
      <c r="X611" s="1" t="s">
        <v>1305</v>
      </c>
    </row>
    <row r="612" spans="1:25">
      <c r="A612" s="143">
        <v>532</v>
      </c>
      <c r="B612" s="1">
        <f t="shared" si="182"/>
        <v>0</v>
      </c>
      <c r="C612" s="1">
        <f t="shared" si="183"/>
        <v>0</v>
      </c>
      <c r="D612" s="1">
        <f t="shared" si="184"/>
        <v>0</v>
      </c>
      <c r="E612" s="1">
        <f t="shared" si="185"/>
        <v>1</v>
      </c>
      <c r="F612" s="1">
        <f t="shared" si="185"/>
        <v>0</v>
      </c>
      <c r="G612" s="1" t="str">
        <f t="shared" si="186"/>
        <v>25030707</v>
      </c>
      <c r="H612" s="2">
        <v>45723</v>
      </c>
      <c r="I612" s="113">
        <v>7</v>
      </c>
      <c r="J612" s="1" t="str">
        <f t="shared" si="170"/>
        <v>07</v>
      </c>
      <c r="K612" s="3">
        <f t="shared" si="171"/>
        <v>25</v>
      </c>
      <c r="L612" s="3">
        <f t="shared" si="172"/>
        <v>3</v>
      </c>
      <c r="M612" s="3">
        <f t="shared" si="173"/>
        <v>7</v>
      </c>
      <c r="N612" s="3" t="str">
        <f t="shared" si="174"/>
        <v>03</v>
      </c>
      <c r="O612" s="14" t="str">
        <f t="shared" si="175"/>
        <v>07</v>
      </c>
      <c r="P612" s="4">
        <v>131780.6</v>
      </c>
      <c r="T612" s="5" t="s">
        <v>1736</v>
      </c>
      <c r="V612" s="3" t="s">
        <v>5</v>
      </c>
      <c r="W612" s="3" t="s">
        <v>1306</v>
      </c>
      <c r="X612" s="1" t="s">
        <v>1305</v>
      </c>
      <c r="Y612" s="141" t="s">
        <v>1735</v>
      </c>
    </row>
    <row r="613" spans="1:25" hidden="1">
      <c r="A613" s="143">
        <v>533</v>
      </c>
      <c r="B613" s="1">
        <f t="shared" si="182"/>
        <v>0</v>
      </c>
      <c r="C613" s="1">
        <f t="shared" si="183"/>
        <v>0</v>
      </c>
      <c r="D613" s="1">
        <f t="shared" si="184"/>
        <v>0</v>
      </c>
      <c r="E613" s="1">
        <f t="shared" si="185"/>
        <v>0</v>
      </c>
      <c r="F613" s="1">
        <f t="shared" si="185"/>
        <v>0</v>
      </c>
      <c r="G613" s="1" t="str">
        <f t="shared" si="186"/>
        <v>25030708</v>
      </c>
      <c r="H613" s="2">
        <v>45723</v>
      </c>
      <c r="I613" s="113">
        <v>8</v>
      </c>
      <c r="J613" s="1" t="str">
        <f t="shared" si="170"/>
        <v>08</v>
      </c>
      <c r="K613" s="3">
        <f t="shared" si="171"/>
        <v>25</v>
      </c>
      <c r="L613" s="3">
        <f t="shared" si="172"/>
        <v>3</v>
      </c>
      <c r="M613" s="3">
        <f t="shared" si="173"/>
        <v>7</v>
      </c>
      <c r="N613" s="3" t="str">
        <f t="shared" si="174"/>
        <v>03</v>
      </c>
      <c r="O613" s="14" t="str">
        <f t="shared" si="175"/>
        <v>07</v>
      </c>
      <c r="P613" s="4">
        <v>36351.58</v>
      </c>
      <c r="T613" s="5" t="s">
        <v>1734</v>
      </c>
      <c r="U613" s="3" t="s">
        <v>30</v>
      </c>
      <c r="V613" s="3" t="s">
        <v>1312</v>
      </c>
      <c r="W613" s="3" t="s">
        <v>1307</v>
      </c>
      <c r="X613" s="1" t="s">
        <v>1305</v>
      </c>
    </row>
    <row r="614" spans="1:25" hidden="1">
      <c r="A614" s="143"/>
      <c r="J614" s="1" t="str">
        <f t="shared" si="170"/>
        <v>0</v>
      </c>
      <c r="K614" s="3">
        <f t="shared" si="171"/>
        <v>-100</v>
      </c>
      <c r="L614" s="3">
        <f t="shared" si="172"/>
        <v>1</v>
      </c>
      <c r="M614" s="3">
        <f t="shared" si="173"/>
        <v>0</v>
      </c>
      <c r="N614" s="3" t="str">
        <f t="shared" si="174"/>
        <v>01</v>
      </c>
      <c r="O614" s="14" t="str">
        <f t="shared" si="175"/>
        <v>00</v>
      </c>
    </row>
    <row r="615" spans="1:25" hidden="1">
      <c r="A615" s="143"/>
      <c r="J615" s="1" t="str">
        <f t="shared" si="170"/>
        <v>0</v>
      </c>
      <c r="K615" s="3">
        <f t="shared" si="171"/>
        <v>-100</v>
      </c>
      <c r="L615" s="3">
        <f t="shared" si="172"/>
        <v>1</v>
      </c>
      <c r="M615" s="3">
        <f t="shared" si="173"/>
        <v>0</v>
      </c>
      <c r="N615" s="3" t="str">
        <f t="shared" si="174"/>
        <v>01</v>
      </c>
      <c r="O615" s="14" t="str">
        <f t="shared" si="175"/>
        <v>00</v>
      </c>
    </row>
    <row r="616" spans="1:25" hidden="1">
      <c r="A616" s="143">
        <v>596</v>
      </c>
      <c r="B616" s="1">
        <f>IF(G616="-",0,IF(G615=G616,1,0))</f>
        <v>0</v>
      </c>
      <c r="C616" s="1">
        <f>+IF(G616="-",0,IF(I616=I615+1,0,(IF(I616=1,0,1))))</f>
        <v>1</v>
      </c>
      <c r="D616" s="1">
        <f>+IF(AND(P616="",Q616=""),1,0)</f>
        <v>0</v>
      </c>
      <c r="E616" s="1">
        <f>IF(U616="",1,0)</f>
        <v>0</v>
      </c>
      <c r="F616" s="1">
        <f>IF(V616="",1,0)</f>
        <v>0</v>
      </c>
      <c r="G616" s="1" t="str">
        <f>IF(H616=0,"-",_xlfn.CONCAT(K616,N616,O616,J616))</f>
        <v>25030711</v>
      </c>
      <c r="H616" s="2">
        <v>45723</v>
      </c>
      <c r="I616" s="113">
        <v>11</v>
      </c>
      <c r="J616" s="1">
        <f t="shared" si="170"/>
        <v>11</v>
      </c>
      <c r="K616" s="3">
        <f t="shared" si="171"/>
        <v>25</v>
      </c>
      <c r="L616" s="3">
        <f t="shared" si="172"/>
        <v>3</v>
      </c>
      <c r="M616" s="3">
        <f t="shared" si="173"/>
        <v>7</v>
      </c>
      <c r="N616" s="3" t="str">
        <f t="shared" si="174"/>
        <v>03</v>
      </c>
      <c r="O616" s="14" t="str">
        <f t="shared" si="175"/>
        <v>07</v>
      </c>
      <c r="P616" s="4">
        <v>-32367.439999999999</v>
      </c>
      <c r="T616" s="5" t="s">
        <v>1733</v>
      </c>
      <c r="U616" s="3" t="s">
        <v>29</v>
      </c>
      <c r="V616" s="3" t="s">
        <v>5</v>
      </c>
      <c r="W616" s="3" t="s">
        <v>1732</v>
      </c>
      <c r="X616" s="1" t="s">
        <v>1305</v>
      </c>
      <c r="Y616" s="1" t="s">
        <v>1731</v>
      </c>
    </row>
    <row r="617" spans="1:25" hidden="1">
      <c r="A617" s="143"/>
      <c r="J617" s="1" t="str">
        <f t="shared" si="170"/>
        <v>0</v>
      </c>
      <c r="K617" s="3">
        <f t="shared" si="171"/>
        <v>-100</v>
      </c>
      <c r="L617" s="3">
        <f t="shared" si="172"/>
        <v>1</v>
      </c>
      <c r="M617" s="3">
        <f t="shared" si="173"/>
        <v>0</v>
      </c>
      <c r="N617" s="3" t="str">
        <f t="shared" si="174"/>
        <v>01</v>
      </c>
      <c r="O617" s="14" t="str">
        <f t="shared" si="175"/>
        <v>00</v>
      </c>
    </row>
    <row r="618" spans="1:25" hidden="1">
      <c r="A618" s="143"/>
      <c r="J618" s="1" t="str">
        <f t="shared" si="170"/>
        <v>0</v>
      </c>
      <c r="K618" s="3">
        <f t="shared" si="171"/>
        <v>-100</v>
      </c>
      <c r="L618" s="3">
        <f t="shared" si="172"/>
        <v>1</v>
      </c>
      <c r="M618" s="3">
        <f t="shared" si="173"/>
        <v>0</v>
      </c>
      <c r="N618" s="3" t="str">
        <f t="shared" si="174"/>
        <v>01</v>
      </c>
      <c r="O618" s="14" t="str">
        <f t="shared" si="175"/>
        <v>00</v>
      </c>
    </row>
    <row r="619" spans="1:25">
      <c r="A619" s="143">
        <v>565</v>
      </c>
      <c r="B619" s="1">
        <f t="shared" ref="B619:B633" si="187">IF(G619="-",0,IF(G618=G619,1,0))</f>
        <v>0</v>
      </c>
      <c r="C619" s="1">
        <f t="shared" ref="C619:C633" si="188">+IF(G619="-",0,IF(I619=I618+1,0,(IF(I619=1,0,1))))</f>
        <v>0</v>
      </c>
      <c r="D619" s="1">
        <f t="shared" ref="D619:D633" si="189">+IF(AND(P619="",Q619=""),1,0)</f>
        <v>0</v>
      </c>
      <c r="E619" s="1">
        <f t="shared" ref="E619:E633" si="190">IF(U619="",1,0)</f>
        <v>1</v>
      </c>
      <c r="F619" s="1">
        <f t="shared" ref="F619:F633" si="191">IF(V619="",1,0)</f>
        <v>0</v>
      </c>
      <c r="G619" s="1" t="str">
        <f t="shared" ref="G619:G633" si="192">IF(H619=0,"-",_xlfn.CONCAT(K619,N619,O619,J619))</f>
        <v>25030801</v>
      </c>
      <c r="H619" s="2">
        <v>45724</v>
      </c>
      <c r="I619" s="113">
        <v>1</v>
      </c>
      <c r="J619" s="1" t="str">
        <f t="shared" si="170"/>
        <v>01</v>
      </c>
      <c r="K619" s="3">
        <f t="shared" si="171"/>
        <v>25</v>
      </c>
      <c r="L619" s="3">
        <f t="shared" si="172"/>
        <v>3</v>
      </c>
      <c r="M619" s="3">
        <f t="shared" si="173"/>
        <v>8</v>
      </c>
      <c r="N619" s="3" t="str">
        <f t="shared" si="174"/>
        <v>03</v>
      </c>
      <c r="O619" s="14" t="str">
        <f t="shared" si="175"/>
        <v>08</v>
      </c>
      <c r="P619" s="4">
        <v>159000</v>
      </c>
      <c r="T619" s="28" t="s">
        <v>1730</v>
      </c>
      <c r="V619" s="3" t="s">
        <v>5</v>
      </c>
      <c r="W619" s="3" t="s">
        <v>1306</v>
      </c>
      <c r="X619" s="1" t="s">
        <v>1302</v>
      </c>
    </row>
    <row r="620" spans="1:25">
      <c r="A620" s="143">
        <v>566</v>
      </c>
      <c r="B620" s="1">
        <f t="shared" si="187"/>
        <v>0</v>
      </c>
      <c r="C620" s="1">
        <f t="shared" si="188"/>
        <v>0</v>
      </c>
      <c r="D620" s="1">
        <f t="shared" si="189"/>
        <v>0</v>
      </c>
      <c r="E620" s="1">
        <f t="shared" si="190"/>
        <v>1</v>
      </c>
      <c r="F620" s="1">
        <f t="shared" si="191"/>
        <v>0</v>
      </c>
      <c r="G620" s="1" t="str">
        <f t="shared" si="192"/>
        <v>25030802</v>
      </c>
      <c r="H620" s="2">
        <v>45724</v>
      </c>
      <c r="I620" s="113">
        <v>2</v>
      </c>
      <c r="J620" s="1" t="str">
        <f t="shared" si="170"/>
        <v>02</v>
      </c>
      <c r="K620" s="3">
        <f t="shared" si="171"/>
        <v>25</v>
      </c>
      <c r="L620" s="3">
        <f t="shared" si="172"/>
        <v>3</v>
      </c>
      <c r="M620" s="3">
        <f t="shared" si="173"/>
        <v>8</v>
      </c>
      <c r="N620" s="3" t="str">
        <f t="shared" si="174"/>
        <v>03</v>
      </c>
      <c r="O620" s="14" t="str">
        <f t="shared" si="175"/>
        <v>08</v>
      </c>
      <c r="P620" s="4">
        <v>138000</v>
      </c>
      <c r="T620" s="28" t="s">
        <v>1729</v>
      </c>
      <c r="V620" s="3" t="s">
        <v>5</v>
      </c>
      <c r="W620" s="3" t="s">
        <v>1306</v>
      </c>
      <c r="X620" s="1" t="s">
        <v>1302</v>
      </c>
    </row>
    <row r="621" spans="1:25">
      <c r="A621" s="143">
        <v>567</v>
      </c>
      <c r="B621" s="1">
        <f t="shared" si="187"/>
        <v>0</v>
      </c>
      <c r="C621" s="1">
        <f t="shared" si="188"/>
        <v>0</v>
      </c>
      <c r="D621" s="1">
        <f t="shared" si="189"/>
        <v>0</v>
      </c>
      <c r="E621" s="1">
        <f t="shared" si="190"/>
        <v>1</v>
      </c>
      <c r="F621" s="1">
        <f t="shared" si="191"/>
        <v>0</v>
      </c>
      <c r="G621" s="1" t="str">
        <f t="shared" si="192"/>
        <v>25030803</v>
      </c>
      <c r="H621" s="2">
        <v>45724</v>
      </c>
      <c r="I621" s="113">
        <v>3</v>
      </c>
      <c r="J621" s="1" t="str">
        <f t="shared" si="170"/>
        <v>03</v>
      </c>
      <c r="K621" s="3">
        <f t="shared" si="171"/>
        <v>25</v>
      </c>
      <c r="L621" s="3">
        <f t="shared" si="172"/>
        <v>3</v>
      </c>
      <c r="M621" s="3">
        <f t="shared" si="173"/>
        <v>8</v>
      </c>
      <c r="N621" s="3" t="str">
        <f t="shared" si="174"/>
        <v>03</v>
      </c>
      <c r="O621" s="14" t="str">
        <f t="shared" si="175"/>
        <v>08</v>
      </c>
      <c r="P621" s="4">
        <v>132000</v>
      </c>
      <c r="T621" s="28" t="s">
        <v>1728</v>
      </c>
      <c r="V621" s="3" t="s">
        <v>5</v>
      </c>
      <c r="W621" s="3" t="s">
        <v>1306</v>
      </c>
      <c r="X621" s="1" t="s">
        <v>1302</v>
      </c>
    </row>
    <row r="622" spans="1:25">
      <c r="A622" s="143">
        <v>568</v>
      </c>
      <c r="B622" s="1">
        <f t="shared" si="187"/>
        <v>0</v>
      </c>
      <c r="C622" s="1">
        <f t="shared" si="188"/>
        <v>0</v>
      </c>
      <c r="D622" s="1">
        <f t="shared" si="189"/>
        <v>0</v>
      </c>
      <c r="E622" s="1">
        <f t="shared" si="190"/>
        <v>1</v>
      </c>
      <c r="F622" s="1">
        <f t="shared" si="191"/>
        <v>0</v>
      </c>
      <c r="G622" s="1" t="str">
        <f t="shared" si="192"/>
        <v>25030804</v>
      </c>
      <c r="H622" s="2">
        <v>45724</v>
      </c>
      <c r="I622" s="113">
        <v>4</v>
      </c>
      <c r="J622" s="1" t="str">
        <f t="shared" si="170"/>
        <v>04</v>
      </c>
      <c r="K622" s="3">
        <f t="shared" si="171"/>
        <v>25</v>
      </c>
      <c r="L622" s="3">
        <f t="shared" si="172"/>
        <v>3</v>
      </c>
      <c r="M622" s="3">
        <f t="shared" si="173"/>
        <v>8</v>
      </c>
      <c r="N622" s="3" t="str">
        <f t="shared" si="174"/>
        <v>03</v>
      </c>
      <c r="O622" s="14" t="str">
        <f t="shared" si="175"/>
        <v>08</v>
      </c>
      <c r="P622" s="4">
        <v>108000</v>
      </c>
      <c r="T622" s="28" t="s">
        <v>1727</v>
      </c>
      <c r="V622" s="3" t="s">
        <v>5</v>
      </c>
      <c r="W622" s="3" t="s">
        <v>1306</v>
      </c>
      <c r="X622" s="1" t="s">
        <v>1302</v>
      </c>
    </row>
    <row r="623" spans="1:25">
      <c r="A623" s="143">
        <v>569</v>
      </c>
      <c r="B623" s="1">
        <f t="shared" si="187"/>
        <v>0</v>
      </c>
      <c r="C623" s="1">
        <f t="shared" si="188"/>
        <v>0</v>
      </c>
      <c r="D623" s="1">
        <f t="shared" si="189"/>
        <v>0</v>
      </c>
      <c r="E623" s="1">
        <f t="shared" si="190"/>
        <v>1</v>
      </c>
      <c r="F623" s="1">
        <f t="shared" si="191"/>
        <v>0</v>
      </c>
      <c r="G623" s="1" t="str">
        <f t="shared" si="192"/>
        <v>25030805</v>
      </c>
      <c r="H623" s="2">
        <v>45724</v>
      </c>
      <c r="I623" s="113">
        <v>5</v>
      </c>
      <c r="J623" s="1" t="str">
        <f t="shared" si="170"/>
        <v>05</v>
      </c>
      <c r="K623" s="3">
        <f t="shared" si="171"/>
        <v>25</v>
      </c>
      <c r="L623" s="3">
        <f t="shared" si="172"/>
        <v>3</v>
      </c>
      <c r="M623" s="3">
        <f t="shared" si="173"/>
        <v>8</v>
      </c>
      <c r="N623" s="3" t="str">
        <f t="shared" si="174"/>
        <v>03</v>
      </c>
      <c r="O623" s="14" t="str">
        <f t="shared" si="175"/>
        <v>08</v>
      </c>
      <c r="P623" s="4">
        <v>132000</v>
      </c>
      <c r="T623" s="28" t="s">
        <v>1726</v>
      </c>
      <c r="V623" s="3" t="s">
        <v>5</v>
      </c>
      <c r="W623" s="3" t="s">
        <v>1306</v>
      </c>
      <c r="X623" s="1" t="s">
        <v>1302</v>
      </c>
    </row>
    <row r="624" spans="1:25">
      <c r="A624" s="143">
        <v>570</v>
      </c>
      <c r="B624" s="1">
        <f t="shared" si="187"/>
        <v>0</v>
      </c>
      <c r="C624" s="1">
        <f t="shared" si="188"/>
        <v>0</v>
      </c>
      <c r="D624" s="1">
        <f t="shared" si="189"/>
        <v>0</v>
      </c>
      <c r="E624" s="1">
        <f t="shared" si="190"/>
        <v>1</v>
      </c>
      <c r="F624" s="1">
        <f t="shared" si="191"/>
        <v>0</v>
      </c>
      <c r="G624" s="1" t="str">
        <f t="shared" si="192"/>
        <v>25030806</v>
      </c>
      <c r="H624" s="2">
        <v>45724</v>
      </c>
      <c r="I624" s="113">
        <v>6</v>
      </c>
      <c r="J624" s="1" t="str">
        <f t="shared" si="170"/>
        <v>06</v>
      </c>
      <c r="K624" s="3">
        <f t="shared" si="171"/>
        <v>25</v>
      </c>
      <c r="L624" s="3">
        <f t="shared" si="172"/>
        <v>3</v>
      </c>
      <c r="M624" s="3">
        <f t="shared" si="173"/>
        <v>8</v>
      </c>
      <c r="N624" s="3" t="str">
        <f t="shared" si="174"/>
        <v>03</v>
      </c>
      <c r="O624" s="14" t="str">
        <f t="shared" si="175"/>
        <v>08</v>
      </c>
      <c r="P624" s="4">
        <v>159000</v>
      </c>
      <c r="T624" s="28" t="s">
        <v>1725</v>
      </c>
      <c r="V624" s="3" t="s">
        <v>5</v>
      </c>
      <c r="W624" s="3" t="s">
        <v>1306</v>
      </c>
      <c r="X624" s="1" t="s">
        <v>1302</v>
      </c>
    </row>
    <row r="625" spans="1:24">
      <c r="A625" s="143">
        <v>571</v>
      </c>
      <c r="B625" s="1">
        <f t="shared" si="187"/>
        <v>0</v>
      </c>
      <c r="C625" s="1">
        <f t="shared" si="188"/>
        <v>0</v>
      </c>
      <c r="D625" s="1">
        <f t="shared" si="189"/>
        <v>0</v>
      </c>
      <c r="E625" s="1">
        <f t="shared" si="190"/>
        <v>1</v>
      </c>
      <c r="F625" s="1">
        <f t="shared" si="191"/>
        <v>0</v>
      </c>
      <c r="G625" s="1" t="str">
        <f t="shared" si="192"/>
        <v>25030807</v>
      </c>
      <c r="H625" s="2">
        <v>45724</v>
      </c>
      <c r="I625" s="113">
        <v>7</v>
      </c>
      <c r="J625" s="1" t="str">
        <f t="shared" si="170"/>
        <v>07</v>
      </c>
      <c r="K625" s="3">
        <f t="shared" si="171"/>
        <v>25</v>
      </c>
      <c r="L625" s="3">
        <f t="shared" si="172"/>
        <v>3</v>
      </c>
      <c r="M625" s="3">
        <f t="shared" si="173"/>
        <v>8</v>
      </c>
      <c r="N625" s="3" t="str">
        <f t="shared" si="174"/>
        <v>03</v>
      </c>
      <c r="O625" s="14" t="str">
        <f t="shared" si="175"/>
        <v>08</v>
      </c>
      <c r="P625" s="4">
        <v>132000</v>
      </c>
      <c r="T625" s="28" t="s">
        <v>1724</v>
      </c>
      <c r="V625" s="3" t="s">
        <v>5</v>
      </c>
      <c r="W625" s="3" t="s">
        <v>1306</v>
      </c>
      <c r="X625" s="1" t="s">
        <v>1302</v>
      </c>
    </row>
    <row r="626" spans="1:24">
      <c r="A626" s="143">
        <v>572</v>
      </c>
      <c r="B626" s="1">
        <f t="shared" si="187"/>
        <v>0</v>
      </c>
      <c r="C626" s="1">
        <f t="shared" si="188"/>
        <v>0</v>
      </c>
      <c r="D626" s="1">
        <f t="shared" si="189"/>
        <v>0</v>
      </c>
      <c r="E626" s="1">
        <f t="shared" si="190"/>
        <v>1</v>
      </c>
      <c r="F626" s="1">
        <f t="shared" si="191"/>
        <v>0</v>
      </c>
      <c r="G626" s="1" t="str">
        <f t="shared" si="192"/>
        <v>25030808</v>
      </c>
      <c r="H626" s="2">
        <v>45724</v>
      </c>
      <c r="I626" s="113">
        <v>8</v>
      </c>
      <c r="J626" s="1" t="str">
        <f t="shared" si="170"/>
        <v>08</v>
      </c>
      <c r="K626" s="3">
        <f t="shared" si="171"/>
        <v>25</v>
      </c>
      <c r="L626" s="3">
        <f t="shared" si="172"/>
        <v>3</v>
      </c>
      <c r="M626" s="3">
        <f t="shared" si="173"/>
        <v>8</v>
      </c>
      <c r="N626" s="3" t="str">
        <f t="shared" si="174"/>
        <v>03</v>
      </c>
      <c r="O626" s="14" t="str">
        <f t="shared" si="175"/>
        <v>08</v>
      </c>
      <c r="P626" s="4">
        <v>132000</v>
      </c>
      <c r="T626" s="29" t="s">
        <v>1723</v>
      </c>
      <c r="V626" s="3" t="s">
        <v>5</v>
      </c>
      <c r="W626" s="3" t="s">
        <v>1306</v>
      </c>
      <c r="X626" s="1" t="s">
        <v>1302</v>
      </c>
    </row>
    <row r="627" spans="1:24">
      <c r="A627" s="143">
        <v>573</v>
      </c>
      <c r="B627" s="1">
        <f t="shared" si="187"/>
        <v>0</v>
      </c>
      <c r="C627" s="1">
        <f t="shared" si="188"/>
        <v>0</v>
      </c>
      <c r="D627" s="1">
        <f t="shared" si="189"/>
        <v>0</v>
      </c>
      <c r="E627" s="1">
        <f t="shared" si="190"/>
        <v>1</v>
      </c>
      <c r="F627" s="1">
        <f t="shared" si="191"/>
        <v>0</v>
      </c>
      <c r="G627" s="1" t="str">
        <f t="shared" si="192"/>
        <v>25030809</v>
      </c>
      <c r="H627" s="2">
        <v>45724</v>
      </c>
      <c r="I627" s="113">
        <v>9</v>
      </c>
      <c r="J627" s="1" t="str">
        <f t="shared" si="170"/>
        <v>09</v>
      </c>
      <c r="K627" s="3">
        <f t="shared" si="171"/>
        <v>25</v>
      </c>
      <c r="L627" s="3">
        <f t="shared" si="172"/>
        <v>3</v>
      </c>
      <c r="M627" s="3">
        <f t="shared" si="173"/>
        <v>8</v>
      </c>
      <c r="N627" s="3" t="str">
        <f t="shared" si="174"/>
        <v>03</v>
      </c>
      <c r="O627" s="14" t="str">
        <f t="shared" si="175"/>
        <v>08</v>
      </c>
      <c r="P627" s="4">
        <v>108000</v>
      </c>
      <c r="T627" s="29" t="s">
        <v>1722</v>
      </c>
      <c r="V627" s="3" t="s">
        <v>5</v>
      </c>
      <c r="W627" s="3" t="s">
        <v>1306</v>
      </c>
      <c r="X627" s="1" t="s">
        <v>1302</v>
      </c>
    </row>
    <row r="628" spans="1:24">
      <c r="A628" s="143">
        <v>574</v>
      </c>
      <c r="B628" s="1">
        <f t="shared" si="187"/>
        <v>0</v>
      </c>
      <c r="C628" s="1">
        <f t="shared" si="188"/>
        <v>0</v>
      </c>
      <c r="D628" s="1">
        <f t="shared" si="189"/>
        <v>0</v>
      </c>
      <c r="E628" s="1">
        <f t="shared" si="190"/>
        <v>1</v>
      </c>
      <c r="F628" s="1">
        <f t="shared" si="191"/>
        <v>0</v>
      </c>
      <c r="G628" s="1" t="str">
        <f t="shared" si="192"/>
        <v>25030810</v>
      </c>
      <c r="H628" s="2">
        <v>45724</v>
      </c>
      <c r="I628" s="113">
        <v>10</v>
      </c>
      <c r="J628" s="1">
        <f t="shared" si="170"/>
        <v>10</v>
      </c>
      <c r="K628" s="3">
        <f t="shared" si="171"/>
        <v>25</v>
      </c>
      <c r="L628" s="3">
        <f t="shared" si="172"/>
        <v>3</v>
      </c>
      <c r="M628" s="3">
        <f t="shared" si="173"/>
        <v>8</v>
      </c>
      <c r="N628" s="3" t="str">
        <f t="shared" si="174"/>
        <v>03</v>
      </c>
      <c r="O628" s="14" t="str">
        <f t="shared" si="175"/>
        <v>08</v>
      </c>
      <c r="P628" s="4">
        <v>108000</v>
      </c>
      <c r="T628" s="29" t="s">
        <v>1721</v>
      </c>
      <c r="V628" s="3" t="s">
        <v>5</v>
      </c>
      <c r="W628" s="3" t="s">
        <v>1306</v>
      </c>
      <c r="X628" s="1" t="s">
        <v>1302</v>
      </c>
    </row>
    <row r="629" spans="1:24">
      <c r="A629" s="143">
        <v>575</v>
      </c>
      <c r="B629" s="1">
        <f t="shared" si="187"/>
        <v>0</v>
      </c>
      <c r="C629" s="1">
        <f t="shared" si="188"/>
        <v>0</v>
      </c>
      <c r="D629" s="1">
        <f t="shared" si="189"/>
        <v>0</v>
      </c>
      <c r="E629" s="1">
        <f t="shared" si="190"/>
        <v>1</v>
      </c>
      <c r="F629" s="1">
        <f t="shared" si="191"/>
        <v>0</v>
      </c>
      <c r="G629" s="1" t="str">
        <f t="shared" si="192"/>
        <v>25030811</v>
      </c>
      <c r="H629" s="2">
        <v>45724</v>
      </c>
      <c r="I629" s="113">
        <v>11</v>
      </c>
      <c r="J629" s="1">
        <f t="shared" si="170"/>
        <v>11</v>
      </c>
      <c r="K629" s="3">
        <f t="shared" si="171"/>
        <v>25</v>
      </c>
      <c r="L629" s="3">
        <f t="shared" si="172"/>
        <v>3</v>
      </c>
      <c r="M629" s="3">
        <f t="shared" si="173"/>
        <v>8</v>
      </c>
      <c r="N629" s="3" t="str">
        <f t="shared" si="174"/>
        <v>03</v>
      </c>
      <c r="O629" s="14" t="str">
        <f t="shared" si="175"/>
        <v>08</v>
      </c>
      <c r="P629" s="4">
        <v>132000</v>
      </c>
      <c r="T629" s="29" t="s">
        <v>1720</v>
      </c>
      <c r="V629" s="3" t="s">
        <v>5</v>
      </c>
      <c r="W629" s="3" t="s">
        <v>1306</v>
      </c>
      <c r="X629" s="1" t="s">
        <v>1302</v>
      </c>
    </row>
    <row r="630" spans="1:24">
      <c r="A630" s="143">
        <v>576</v>
      </c>
      <c r="B630" s="1">
        <f t="shared" si="187"/>
        <v>0</v>
      </c>
      <c r="C630" s="1">
        <f t="shared" si="188"/>
        <v>0</v>
      </c>
      <c r="D630" s="1">
        <f t="shared" si="189"/>
        <v>0</v>
      </c>
      <c r="E630" s="1">
        <f t="shared" si="190"/>
        <v>1</v>
      </c>
      <c r="F630" s="1">
        <f t="shared" si="191"/>
        <v>0</v>
      </c>
      <c r="G630" s="1" t="str">
        <f t="shared" si="192"/>
        <v>25030812</v>
      </c>
      <c r="H630" s="2">
        <v>45724</v>
      </c>
      <c r="I630" s="113">
        <v>12</v>
      </c>
      <c r="J630" s="1">
        <f t="shared" si="170"/>
        <v>12</v>
      </c>
      <c r="K630" s="3">
        <f t="shared" si="171"/>
        <v>25</v>
      </c>
      <c r="L630" s="3">
        <f t="shared" si="172"/>
        <v>3</v>
      </c>
      <c r="M630" s="3">
        <f t="shared" si="173"/>
        <v>8</v>
      </c>
      <c r="N630" s="3" t="str">
        <f t="shared" si="174"/>
        <v>03</v>
      </c>
      <c r="O630" s="14" t="str">
        <f t="shared" si="175"/>
        <v>08</v>
      </c>
      <c r="P630" s="4">
        <v>252000</v>
      </c>
      <c r="T630" s="29" t="s">
        <v>1719</v>
      </c>
      <c r="V630" s="3" t="s">
        <v>5</v>
      </c>
      <c r="W630" s="3" t="s">
        <v>1306</v>
      </c>
      <c r="X630" s="1" t="s">
        <v>1302</v>
      </c>
    </row>
    <row r="631" spans="1:24">
      <c r="A631" s="143">
        <v>577</v>
      </c>
      <c r="B631" s="1">
        <f t="shared" si="187"/>
        <v>0</v>
      </c>
      <c r="C631" s="1">
        <f t="shared" si="188"/>
        <v>0</v>
      </c>
      <c r="D631" s="1">
        <f t="shared" si="189"/>
        <v>0</v>
      </c>
      <c r="E631" s="1">
        <f t="shared" si="190"/>
        <v>1</v>
      </c>
      <c r="F631" s="1">
        <f t="shared" si="191"/>
        <v>0</v>
      </c>
      <c r="G631" s="1" t="str">
        <f t="shared" si="192"/>
        <v>25030813</v>
      </c>
      <c r="H631" s="2">
        <v>45724</v>
      </c>
      <c r="I631" s="113">
        <v>13</v>
      </c>
      <c r="J631" s="1">
        <f t="shared" si="170"/>
        <v>13</v>
      </c>
      <c r="K631" s="3">
        <f t="shared" si="171"/>
        <v>25</v>
      </c>
      <c r="L631" s="3">
        <f t="shared" si="172"/>
        <v>3</v>
      </c>
      <c r="M631" s="3">
        <f t="shared" si="173"/>
        <v>8</v>
      </c>
      <c r="N631" s="3" t="str">
        <f t="shared" si="174"/>
        <v>03</v>
      </c>
      <c r="O631" s="14" t="str">
        <f t="shared" si="175"/>
        <v>08</v>
      </c>
      <c r="P631" s="4">
        <v>90000</v>
      </c>
      <c r="T631" s="29" t="s">
        <v>1718</v>
      </c>
      <c r="V631" s="3" t="s">
        <v>5</v>
      </c>
      <c r="W631" s="3" t="s">
        <v>1306</v>
      </c>
      <c r="X631" s="1" t="s">
        <v>1302</v>
      </c>
    </row>
    <row r="632" spans="1:24">
      <c r="A632" s="143">
        <v>578</v>
      </c>
      <c r="B632" s="1">
        <f t="shared" si="187"/>
        <v>0</v>
      </c>
      <c r="C632" s="1">
        <f t="shared" si="188"/>
        <v>0</v>
      </c>
      <c r="D632" s="1">
        <f t="shared" si="189"/>
        <v>0</v>
      </c>
      <c r="E632" s="1">
        <f t="shared" si="190"/>
        <v>1</v>
      </c>
      <c r="F632" s="1">
        <f t="shared" si="191"/>
        <v>0</v>
      </c>
      <c r="G632" s="1" t="str">
        <f t="shared" si="192"/>
        <v>25030814</v>
      </c>
      <c r="H632" s="2">
        <v>45724</v>
      </c>
      <c r="I632" s="113">
        <v>14</v>
      </c>
      <c r="J632" s="1">
        <f t="shared" si="170"/>
        <v>14</v>
      </c>
      <c r="K632" s="3">
        <f t="shared" si="171"/>
        <v>25</v>
      </c>
      <c r="L632" s="3">
        <f t="shared" si="172"/>
        <v>3</v>
      </c>
      <c r="M632" s="3">
        <f t="shared" si="173"/>
        <v>8</v>
      </c>
      <c r="N632" s="3" t="str">
        <f t="shared" si="174"/>
        <v>03</v>
      </c>
      <c r="O632" s="14" t="str">
        <f t="shared" si="175"/>
        <v>08</v>
      </c>
      <c r="P632" s="4">
        <v>150000</v>
      </c>
      <c r="T632" s="29" t="s">
        <v>1717</v>
      </c>
      <c r="V632" s="3" t="s">
        <v>5</v>
      </c>
      <c r="W632" s="3" t="s">
        <v>1306</v>
      </c>
      <c r="X632" s="1" t="s">
        <v>1302</v>
      </c>
    </row>
    <row r="633" spans="1:24">
      <c r="A633" s="143">
        <v>579</v>
      </c>
      <c r="B633" s="1">
        <f t="shared" si="187"/>
        <v>0</v>
      </c>
      <c r="C633" s="1">
        <f t="shared" si="188"/>
        <v>0</v>
      </c>
      <c r="D633" s="1">
        <f t="shared" si="189"/>
        <v>0</v>
      </c>
      <c r="E633" s="1">
        <f t="shared" si="190"/>
        <v>0</v>
      </c>
      <c r="F633" s="1">
        <f t="shared" si="191"/>
        <v>0</v>
      </c>
      <c r="G633" s="1" t="str">
        <f t="shared" si="192"/>
        <v>25030815</v>
      </c>
      <c r="H633" s="2">
        <v>45724</v>
      </c>
      <c r="I633" s="113">
        <v>15</v>
      </c>
      <c r="J633" s="1">
        <f t="shared" si="170"/>
        <v>15</v>
      </c>
      <c r="K633" s="3">
        <f t="shared" si="171"/>
        <v>25</v>
      </c>
      <c r="L633" s="3">
        <f t="shared" si="172"/>
        <v>3</v>
      </c>
      <c r="M633" s="3">
        <f t="shared" si="173"/>
        <v>8</v>
      </c>
      <c r="N633" s="3" t="str">
        <f t="shared" si="174"/>
        <v>03</v>
      </c>
      <c r="O633" s="14" t="str">
        <f t="shared" si="175"/>
        <v>08</v>
      </c>
      <c r="P633" s="4">
        <v>90000</v>
      </c>
      <c r="T633" s="28" t="s">
        <v>1716</v>
      </c>
      <c r="U633" s="3" t="s">
        <v>1342</v>
      </c>
      <c r="V633" s="3" t="s">
        <v>5</v>
      </c>
      <c r="W633" s="3" t="s">
        <v>1303</v>
      </c>
      <c r="X633" s="1" t="s">
        <v>1302</v>
      </c>
    </row>
    <row r="634" spans="1:24" hidden="1">
      <c r="A634" s="143"/>
      <c r="J634" s="1" t="str">
        <f t="shared" si="170"/>
        <v>0</v>
      </c>
      <c r="K634" s="3">
        <f t="shared" si="171"/>
        <v>-100</v>
      </c>
      <c r="L634" s="3">
        <f t="shared" si="172"/>
        <v>1</v>
      </c>
      <c r="M634" s="3">
        <f t="shared" si="173"/>
        <v>0</v>
      </c>
      <c r="N634" s="3" t="str">
        <f t="shared" si="174"/>
        <v>01</v>
      </c>
      <c r="O634" s="14" t="str">
        <f t="shared" si="175"/>
        <v>00</v>
      </c>
    </row>
    <row r="635" spans="1:24" hidden="1">
      <c r="A635" s="143">
        <v>598</v>
      </c>
      <c r="B635" s="1">
        <f t="shared" ref="B635:B658" si="193">IF(G635="-",0,IF(G634=G635,1,0))</f>
        <v>0</v>
      </c>
      <c r="C635" s="1">
        <f t="shared" ref="C635:C658" si="194">+IF(G635="-",0,IF(I635=I634+1,0,(IF(I635=1,0,1))))</f>
        <v>0</v>
      </c>
      <c r="D635" s="1">
        <f t="shared" ref="D635:D658" si="195">+IF(AND(P635="",Q635=""),1,0)</f>
        <v>0</v>
      </c>
      <c r="E635" s="1">
        <f t="shared" ref="E635:E658" si="196">IF(U635="",1,0)</f>
        <v>0</v>
      </c>
      <c r="F635" s="1">
        <f t="shared" ref="F635:F658" si="197">IF(V635="",1,0)</f>
        <v>0</v>
      </c>
      <c r="G635" s="1" t="str">
        <f t="shared" ref="G635:G658" si="198">IF(H635=0,"-",_xlfn.CONCAT(K635,N635,O635,J635))</f>
        <v>25030901</v>
      </c>
      <c r="H635" s="2">
        <v>45725</v>
      </c>
      <c r="I635" s="113">
        <v>1</v>
      </c>
      <c r="J635" s="1" t="str">
        <f t="shared" si="170"/>
        <v>01</v>
      </c>
      <c r="K635" s="3">
        <f t="shared" si="171"/>
        <v>25</v>
      </c>
      <c r="L635" s="3">
        <f t="shared" si="172"/>
        <v>3</v>
      </c>
      <c r="M635" s="3">
        <f t="shared" si="173"/>
        <v>9</v>
      </c>
      <c r="N635" s="3" t="str">
        <f t="shared" si="174"/>
        <v>03</v>
      </c>
      <c r="O635" s="14" t="str">
        <f t="shared" si="175"/>
        <v>09</v>
      </c>
      <c r="P635" s="4">
        <v>680580</v>
      </c>
      <c r="T635" s="5" t="s">
        <v>1329</v>
      </c>
      <c r="U635" s="3" t="s">
        <v>1310</v>
      </c>
      <c r="V635" s="3" t="s">
        <v>1316</v>
      </c>
      <c r="W635" s="3" t="s">
        <v>1309</v>
      </c>
      <c r="X635" s="1" t="s">
        <v>1305</v>
      </c>
    </row>
    <row r="636" spans="1:24" hidden="1">
      <c r="A636" s="143">
        <v>634</v>
      </c>
      <c r="B636" s="1">
        <f t="shared" si="193"/>
        <v>0</v>
      </c>
      <c r="C636" s="1">
        <f t="shared" si="194"/>
        <v>0</v>
      </c>
      <c r="D636" s="1">
        <f t="shared" si="195"/>
        <v>0</v>
      </c>
      <c r="E636" s="1">
        <f t="shared" si="196"/>
        <v>0</v>
      </c>
      <c r="F636" s="1">
        <f t="shared" si="197"/>
        <v>0</v>
      </c>
      <c r="G636" s="1" t="str">
        <f t="shared" si="198"/>
        <v>25030902</v>
      </c>
      <c r="H636" s="2">
        <v>45725</v>
      </c>
      <c r="I636" s="113">
        <v>2</v>
      </c>
      <c r="J636" s="1" t="str">
        <f t="shared" si="170"/>
        <v>02</v>
      </c>
      <c r="K636" s="3">
        <f t="shared" si="171"/>
        <v>25</v>
      </c>
      <c r="L636" s="3">
        <f t="shared" si="172"/>
        <v>3</v>
      </c>
      <c r="M636" s="3">
        <f t="shared" si="173"/>
        <v>9</v>
      </c>
      <c r="N636" s="3" t="str">
        <f t="shared" si="174"/>
        <v>03</v>
      </c>
      <c r="O636" s="14" t="str">
        <f t="shared" si="175"/>
        <v>09</v>
      </c>
      <c r="P636" s="4">
        <v>5528</v>
      </c>
      <c r="T636" s="5" t="s">
        <v>1715</v>
      </c>
      <c r="U636" s="3" t="s">
        <v>305</v>
      </c>
      <c r="V636" s="3" t="s">
        <v>1304</v>
      </c>
      <c r="W636" s="3" t="s">
        <v>1306</v>
      </c>
    </row>
    <row r="637" spans="1:24" hidden="1">
      <c r="A637" s="143">
        <v>635</v>
      </c>
      <c r="B637" s="1">
        <f t="shared" si="193"/>
        <v>0</v>
      </c>
      <c r="C637" s="1">
        <f t="shared" si="194"/>
        <v>0</v>
      </c>
      <c r="D637" s="1">
        <f t="shared" si="195"/>
        <v>0</v>
      </c>
      <c r="E637" s="1">
        <f t="shared" si="196"/>
        <v>0</v>
      </c>
      <c r="F637" s="1">
        <f t="shared" si="197"/>
        <v>0</v>
      </c>
      <c r="G637" s="1" t="str">
        <f t="shared" si="198"/>
        <v>25030903</v>
      </c>
      <c r="H637" s="2">
        <v>45725</v>
      </c>
      <c r="I637" s="113">
        <v>3</v>
      </c>
      <c r="J637" s="1" t="str">
        <f t="shared" si="170"/>
        <v>03</v>
      </c>
      <c r="K637" s="3">
        <f t="shared" si="171"/>
        <v>25</v>
      </c>
      <c r="L637" s="3">
        <f t="shared" si="172"/>
        <v>3</v>
      </c>
      <c r="M637" s="3">
        <f t="shared" si="173"/>
        <v>9</v>
      </c>
      <c r="N637" s="3" t="str">
        <f t="shared" si="174"/>
        <v>03</v>
      </c>
      <c r="O637" s="14" t="str">
        <f t="shared" si="175"/>
        <v>09</v>
      </c>
      <c r="P637" s="4">
        <v>30383.599999999999</v>
      </c>
      <c r="T637" s="5" t="s">
        <v>1714</v>
      </c>
      <c r="U637" s="3" t="s">
        <v>305</v>
      </c>
      <c r="V637" s="3" t="s">
        <v>5</v>
      </c>
      <c r="W637" s="3" t="s">
        <v>1306</v>
      </c>
    </row>
    <row r="638" spans="1:24" hidden="1">
      <c r="A638" s="143">
        <v>636</v>
      </c>
      <c r="B638" s="1">
        <f t="shared" si="193"/>
        <v>0</v>
      </c>
      <c r="C638" s="1">
        <f t="shared" si="194"/>
        <v>0</v>
      </c>
      <c r="D638" s="1">
        <f t="shared" si="195"/>
        <v>0</v>
      </c>
      <c r="E638" s="1">
        <f t="shared" si="196"/>
        <v>0</v>
      </c>
      <c r="F638" s="1">
        <f t="shared" si="197"/>
        <v>0</v>
      </c>
      <c r="G638" s="1" t="str">
        <f t="shared" si="198"/>
        <v>25030904</v>
      </c>
      <c r="H638" s="2">
        <v>45725</v>
      </c>
      <c r="I638" s="113">
        <v>4</v>
      </c>
      <c r="J638" s="1" t="str">
        <f t="shared" si="170"/>
        <v>04</v>
      </c>
      <c r="K638" s="3">
        <f t="shared" si="171"/>
        <v>25</v>
      </c>
      <c r="L638" s="3">
        <f t="shared" si="172"/>
        <v>3</v>
      </c>
      <c r="M638" s="3">
        <f t="shared" si="173"/>
        <v>9</v>
      </c>
      <c r="N638" s="3" t="str">
        <f t="shared" si="174"/>
        <v>03</v>
      </c>
      <c r="O638" s="14" t="str">
        <f t="shared" si="175"/>
        <v>09</v>
      </c>
      <c r="P638" s="4">
        <v>29762.41</v>
      </c>
      <c r="T638" s="5" t="s">
        <v>1713</v>
      </c>
      <c r="U638" s="3" t="s">
        <v>305</v>
      </c>
      <c r="V638" s="3" t="s">
        <v>5</v>
      </c>
      <c r="W638" s="3" t="s">
        <v>1306</v>
      </c>
      <c r="X638" s="1" t="s">
        <v>1305</v>
      </c>
    </row>
    <row r="639" spans="1:24" hidden="1">
      <c r="A639" s="143">
        <v>637</v>
      </c>
      <c r="B639" s="1">
        <f t="shared" si="193"/>
        <v>0</v>
      </c>
      <c r="C639" s="1">
        <f t="shared" si="194"/>
        <v>0</v>
      </c>
      <c r="D639" s="1">
        <f t="shared" si="195"/>
        <v>0</v>
      </c>
      <c r="E639" s="1">
        <f t="shared" si="196"/>
        <v>0</v>
      </c>
      <c r="F639" s="1">
        <f t="shared" si="197"/>
        <v>0</v>
      </c>
      <c r="G639" s="1" t="str">
        <f t="shared" si="198"/>
        <v>25030905</v>
      </c>
      <c r="H639" s="2">
        <v>45725</v>
      </c>
      <c r="I639" s="113">
        <v>5</v>
      </c>
      <c r="J639" s="1" t="str">
        <f t="shared" si="170"/>
        <v>05</v>
      </c>
      <c r="K639" s="3">
        <f t="shared" si="171"/>
        <v>25</v>
      </c>
      <c r="L639" s="3">
        <f t="shared" si="172"/>
        <v>3</v>
      </c>
      <c r="M639" s="3">
        <f t="shared" si="173"/>
        <v>9</v>
      </c>
      <c r="N639" s="3" t="str">
        <f t="shared" si="174"/>
        <v>03</v>
      </c>
      <c r="O639" s="14" t="str">
        <f t="shared" si="175"/>
        <v>09</v>
      </c>
      <c r="P639" s="4">
        <v>50897.99</v>
      </c>
      <c r="T639" s="5" t="s">
        <v>1712</v>
      </c>
      <c r="U639" s="3" t="s">
        <v>305</v>
      </c>
      <c r="V639" s="3" t="s">
        <v>1304</v>
      </c>
      <c r="W639" s="3" t="s">
        <v>1306</v>
      </c>
    </row>
    <row r="640" spans="1:24" hidden="1">
      <c r="A640" s="143">
        <v>638</v>
      </c>
      <c r="B640" s="1">
        <f t="shared" si="193"/>
        <v>0</v>
      </c>
      <c r="C640" s="1">
        <f t="shared" si="194"/>
        <v>0</v>
      </c>
      <c r="D640" s="1">
        <f t="shared" si="195"/>
        <v>0</v>
      </c>
      <c r="E640" s="1">
        <f t="shared" si="196"/>
        <v>0</v>
      </c>
      <c r="F640" s="1">
        <f t="shared" si="197"/>
        <v>0</v>
      </c>
      <c r="G640" s="1" t="str">
        <f t="shared" si="198"/>
        <v>25030906</v>
      </c>
      <c r="H640" s="2">
        <v>45725</v>
      </c>
      <c r="I640" s="113">
        <v>6</v>
      </c>
      <c r="J640" s="1" t="str">
        <f t="shared" si="170"/>
        <v>06</v>
      </c>
      <c r="K640" s="3">
        <f t="shared" si="171"/>
        <v>25</v>
      </c>
      <c r="L640" s="3">
        <f t="shared" si="172"/>
        <v>3</v>
      </c>
      <c r="M640" s="3">
        <f t="shared" si="173"/>
        <v>9</v>
      </c>
      <c r="N640" s="3" t="str">
        <f t="shared" si="174"/>
        <v>03</v>
      </c>
      <c r="O640" s="14" t="str">
        <f t="shared" si="175"/>
        <v>09</v>
      </c>
      <c r="P640" s="4">
        <v>28406.41</v>
      </c>
      <c r="T640" s="5" t="s">
        <v>1711</v>
      </c>
      <c r="U640" s="3" t="s">
        <v>305</v>
      </c>
      <c r="V640" s="3" t="s">
        <v>1304</v>
      </c>
      <c r="W640" s="3" t="s">
        <v>1306</v>
      </c>
    </row>
    <row r="641" spans="1:25" hidden="1">
      <c r="A641" s="143">
        <v>599</v>
      </c>
      <c r="B641" s="1">
        <f t="shared" si="193"/>
        <v>0</v>
      </c>
      <c r="C641" s="1">
        <f t="shared" si="194"/>
        <v>0</v>
      </c>
      <c r="D641" s="1">
        <f t="shared" si="195"/>
        <v>0</v>
      </c>
      <c r="E641" s="1">
        <f t="shared" si="196"/>
        <v>0</v>
      </c>
      <c r="F641" s="1">
        <f t="shared" si="197"/>
        <v>0</v>
      </c>
      <c r="G641" s="1" t="str">
        <f t="shared" si="198"/>
        <v>25031001</v>
      </c>
      <c r="H641" s="2">
        <v>45726</v>
      </c>
      <c r="I641" s="113">
        <v>1</v>
      </c>
      <c r="J641" s="1" t="str">
        <f t="shared" si="170"/>
        <v>01</v>
      </c>
      <c r="K641" s="3">
        <f t="shared" si="171"/>
        <v>25</v>
      </c>
      <c r="L641" s="3">
        <f t="shared" si="172"/>
        <v>3</v>
      </c>
      <c r="M641" s="3">
        <f t="shared" si="173"/>
        <v>10</v>
      </c>
      <c r="N641" s="3" t="str">
        <f t="shared" si="174"/>
        <v>03</v>
      </c>
      <c r="O641" s="14">
        <f t="shared" si="175"/>
        <v>10</v>
      </c>
      <c r="P641" s="4">
        <v>47586.57</v>
      </c>
      <c r="T641" s="5" t="s">
        <v>1710</v>
      </c>
      <c r="U641" s="3" t="s">
        <v>29</v>
      </c>
      <c r="V641" s="3" t="s">
        <v>5</v>
      </c>
      <c r="W641" s="3" t="s">
        <v>1307</v>
      </c>
      <c r="X641" s="1" t="s">
        <v>1305</v>
      </c>
    </row>
    <row r="642" spans="1:25" hidden="1">
      <c r="A642" s="143">
        <v>600</v>
      </c>
      <c r="B642" s="1">
        <f t="shared" si="193"/>
        <v>0</v>
      </c>
      <c r="C642" s="1">
        <f t="shared" si="194"/>
        <v>0</v>
      </c>
      <c r="D642" s="1">
        <f t="shared" si="195"/>
        <v>0</v>
      </c>
      <c r="E642" s="1">
        <f t="shared" si="196"/>
        <v>0</v>
      </c>
      <c r="F642" s="1">
        <f t="shared" si="197"/>
        <v>0</v>
      </c>
      <c r="G642" s="1" t="str">
        <f t="shared" si="198"/>
        <v>25031002</v>
      </c>
      <c r="H642" s="2">
        <v>45726</v>
      </c>
      <c r="I642" s="113">
        <v>2</v>
      </c>
      <c r="J642" s="1" t="str">
        <f t="shared" si="170"/>
        <v>02</v>
      </c>
      <c r="K642" s="3">
        <f t="shared" si="171"/>
        <v>25</v>
      </c>
      <c r="L642" s="3">
        <f t="shared" si="172"/>
        <v>3</v>
      </c>
      <c r="M642" s="3">
        <f t="shared" si="173"/>
        <v>10</v>
      </c>
      <c r="N642" s="3" t="str">
        <f t="shared" si="174"/>
        <v>03</v>
      </c>
      <c r="O642" s="14">
        <f t="shared" si="175"/>
        <v>10</v>
      </c>
      <c r="P642" s="4">
        <v>4003.03</v>
      </c>
      <c r="T642" s="5" t="s">
        <v>1709</v>
      </c>
      <c r="U642" s="3" t="s">
        <v>29</v>
      </c>
      <c r="V642" s="3" t="s">
        <v>5</v>
      </c>
      <c r="W642" s="3" t="s">
        <v>1307</v>
      </c>
      <c r="X642" s="1" t="s">
        <v>1305</v>
      </c>
    </row>
    <row r="643" spans="1:25" hidden="1">
      <c r="A643" s="143">
        <v>601</v>
      </c>
      <c r="B643" s="1">
        <f t="shared" si="193"/>
        <v>0</v>
      </c>
      <c r="C643" s="1">
        <f t="shared" si="194"/>
        <v>0</v>
      </c>
      <c r="D643" s="1">
        <f t="shared" si="195"/>
        <v>0</v>
      </c>
      <c r="E643" s="1">
        <f t="shared" si="196"/>
        <v>0</v>
      </c>
      <c r="F643" s="1">
        <f t="shared" si="197"/>
        <v>0</v>
      </c>
      <c r="G643" s="1" t="str">
        <f t="shared" si="198"/>
        <v>25031003</v>
      </c>
      <c r="H643" s="2">
        <v>45726</v>
      </c>
      <c r="I643" s="113">
        <v>3</v>
      </c>
      <c r="J643" s="1" t="str">
        <f t="shared" si="170"/>
        <v>03</v>
      </c>
      <c r="K643" s="3">
        <f t="shared" si="171"/>
        <v>25</v>
      </c>
      <c r="L643" s="3">
        <f t="shared" si="172"/>
        <v>3</v>
      </c>
      <c r="M643" s="3">
        <f t="shared" si="173"/>
        <v>10</v>
      </c>
      <c r="N643" s="3" t="str">
        <f t="shared" si="174"/>
        <v>03</v>
      </c>
      <c r="O643" s="14">
        <f t="shared" si="175"/>
        <v>10</v>
      </c>
      <c r="P643" s="4">
        <v>-8766.86</v>
      </c>
      <c r="T643" s="5" t="s">
        <v>1708</v>
      </c>
      <c r="U643" s="3" t="s">
        <v>29</v>
      </c>
      <c r="V643" s="3" t="s">
        <v>5</v>
      </c>
      <c r="W643" s="3" t="s">
        <v>1307</v>
      </c>
      <c r="X643" s="1" t="s">
        <v>1305</v>
      </c>
      <c r="Y643" s="141" t="s">
        <v>1707</v>
      </c>
    </row>
    <row r="644" spans="1:25" hidden="1">
      <c r="A644" s="143">
        <v>602</v>
      </c>
      <c r="B644" s="1">
        <f t="shared" si="193"/>
        <v>0</v>
      </c>
      <c r="C644" s="1">
        <f t="shared" si="194"/>
        <v>0</v>
      </c>
      <c r="D644" s="1">
        <f t="shared" si="195"/>
        <v>0</v>
      </c>
      <c r="E644" s="1">
        <f t="shared" si="196"/>
        <v>0</v>
      </c>
      <c r="F644" s="1">
        <f t="shared" si="197"/>
        <v>0</v>
      </c>
      <c r="G644" s="1" t="str">
        <f t="shared" si="198"/>
        <v>25031004</v>
      </c>
      <c r="H644" s="2">
        <v>45726</v>
      </c>
      <c r="I644" s="113">
        <v>4</v>
      </c>
      <c r="J644" s="1" t="str">
        <f t="shared" si="170"/>
        <v>04</v>
      </c>
      <c r="K644" s="3">
        <f t="shared" si="171"/>
        <v>25</v>
      </c>
      <c r="L644" s="3">
        <f t="shared" si="172"/>
        <v>3</v>
      </c>
      <c r="M644" s="3">
        <f t="shared" si="173"/>
        <v>10</v>
      </c>
      <c r="N644" s="3" t="str">
        <f t="shared" si="174"/>
        <v>03</v>
      </c>
      <c r="O644" s="14">
        <f t="shared" si="175"/>
        <v>10</v>
      </c>
      <c r="P644" s="4">
        <v>20000</v>
      </c>
      <c r="T644" s="5" t="s">
        <v>1706</v>
      </c>
      <c r="U644" s="3" t="s">
        <v>29</v>
      </c>
      <c r="V644" s="3" t="s">
        <v>5</v>
      </c>
      <c r="W644" s="3" t="s">
        <v>1307</v>
      </c>
      <c r="X644" s="1" t="s">
        <v>1305</v>
      </c>
    </row>
    <row r="645" spans="1:25" hidden="1">
      <c r="A645" s="143">
        <v>603</v>
      </c>
      <c r="B645" s="1">
        <f t="shared" si="193"/>
        <v>0</v>
      </c>
      <c r="C645" s="1">
        <f t="shared" si="194"/>
        <v>0</v>
      </c>
      <c r="D645" s="1">
        <f t="shared" si="195"/>
        <v>0</v>
      </c>
      <c r="E645" s="1">
        <f t="shared" si="196"/>
        <v>0</v>
      </c>
      <c r="F645" s="1">
        <f t="shared" si="197"/>
        <v>0</v>
      </c>
      <c r="G645" s="1" t="str">
        <f t="shared" si="198"/>
        <v>25031005</v>
      </c>
      <c r="H645" s="2">
        <v>45726</v>
      </c>
      <c r="I645" s="113">
        <v>5</v>
      </c>
      <c r="J645" s="1" t="str">
        <f t="shared" si="170"/>
        <v>05</v>
      </c>
      <c r="K645" s="3">
        <f t="shared" si="171"/>
        <v>25</v>
      </c>
      <c r="L645" s="3">
        <f t="shared" si="172"/>
        <v>3</v>
      </c>
      <c r="M645" s="3">
        <f t="shared" si="173"/>
        <v>10</v>
      </c>
      <c r="N645" s="3" t="str">
        <f t="shared" si="174"/>
        <v>03</v>
      </c>
      <c r="O645" s="14">
        <f t="shared" si="175"/>
        <v>10</v>
      </c>
      <c r="P645" s="4">
        <v>67632.5</v>
      </c>
      <c r="T645" s="5" t="s">
        <v>352</v>
      </c>
      <c r="U645" s="3" t="s">
        <v>30</v>
      </c>
      <c r="V645" s="3" t="s">
        <v>1312</v>
      </c>
      <c r="W645" s="3" t="s">
        <v>1307</v>
      </c>
      <c r="X645" s="1" t="s">
        <v>1305</v>
      </c>
    </row>
    <row r="646" spans="1:25" hidden="1">
      <c r="A646" s="143">
        <v>604</v>
      </c>
      <c r="B646" s="1">
        <f t="shared" si="193"/>
        <v>0</v>
      </c>
      <c r="C646" s="1">
        <f t="shared" si="194"/>
        <v>0</v>
      </c>
      <c r="D646" s="1">
        <f t="shared" si="195"/>
        <v>0</v>
      </c>
      <c r="E646" s="1">
        <f t="shared" si="196"/>
        <v>0</v>
      </c>
      <c r="F646" s="1">
        <f t="shared" si="197"/>
        <v>0</v>
      </c>
      <c r="G646" s="1" t="str">
        <f t="shared" si="198"/>
        <v>25031006</v>
      </c>
      <c r="H646" s="2">
        <v>45726</v>
      </c>
      <c r="I646" s="113">
        <v>6</v>
      </c>
      <c r="J646" s="1" t="str">
        <f t="shared" si="170"/>
        <v>06</v>
      </c>
      <c r="K646" s="3">
        <f t="shared" si="171"/>
        <v>25</v>
      </c>
      <c r="L646" s="3">
        <f t="shared" si="172"/>
        <v>3</v>
      </c>
      <c r="M646" s="3">
        <f t="shared" si="173"/>
        <v>10</v>
      </c>
      <c r="N646" s="3" t="str">
        <f t="shared" si="174"/>
        <v>03</v>
      </c>
      <c r="O646" s="14">
        <f t="shared" si="175"/>
        <v>10</v>
      </c>
      <c r="P646" s="4">
        <v>14417</v>
      </c>
      <c r="T646" s="5" t="s">
        <v>1329</v>
      </c>
      <c r="U646" s="3" t="s">
        <v>1310</v>
      </c>
      <c r="V646" s="3" t="s">
        <v>1304</v>
      </c>
      <c r="W646" s="3" t="s">
        <v>1309</v>
      </c>
      <c r="X646" s="1" t="s">
        <v>1305</v>
      </c>
    </row>
    <row r="647" spans="1:25" hidden="1">
      <c r="A647" s="143">
        <v>605</v>
      </c>
      <c r="B647" s="1">
        <f t="shared" si="193"/>
        <v>0</v>
      </c>
      <c r="C647" s="1">
        <f t="shared" si="194"/>
        <v>0</v>
      </c>
      <c r="D647" s="1">
        <f t="shared" si="195"/>
        <v>0</v>
      </c>
      <c r="E647" s="1">
        <f t="shared" si="196"/>
        <v>0</v>
      </c>
      <c r="F647" s="1">
        <f t="shared" si="197"/>
        <v>0</v>
      </c>
      <c r="G647" s="1" t="str">
        <f t="shared" si="198"/>
        <v>25031007</v>
      </c>
      <c r="H647" s="2">
        <v>45726</v>
      </c>
      <c r="I647" s="113">
        <v>7</v>
      </c>
      <c r="J647" s="1" t="str">
        <f t="shared" si="170"/>
        <v>07</v>
      </c>
      <c r="K647" s="3">
        <f t="shared" si="171"/>
        <v>25</v>
      </c>
      <c r="L647" s="3">
        <f t="shared" si="172"/>
        <v>3</v>
      </c>
      <c r="M647" s="3">
        <f t="shared" si="173"/>
        <v>10</v>
      </c>
      <c r="N647" s="3" t="str">
        <f t="shared" si="174"/>
        <v>03</v>
      </c>
      <c r="O647" s="14">
        <f t="shared" si="175"/>
        <v>10</v>
      </c>
      <c r="P647" s="4">
        <v>5300</v>
      </c>
      <c r="T647" s="5" t="s">
        <v>1703</v>
      </c>
      <c r="U647" s="3" t="s">
        <v>1310</v>
      </c>
      <c r="V647" s="3" t="s">
        <v>1304</v>
      </c>
      <c r="W647" s="3" t="s">
        <v>1309</v>
      </c>
      <c r="X647" s="1" t="s">
        <v>1305</v>
      </c>
    </row>
    <row r="648" spans="1:25" hidden="1">
      <c r="A648" s="143">
        <v>641</v>
      </c>
      <c r="B648" s="1">
        <f t="shared" si="193"/>
        <v>0</v>
      </c>
      <c r="C648" s="1">
        <f t="shared" si="194"/>
        <v>0</v>
      </c>
      <c r="D648" s="1">
        <f t="shared" si="195"/>
        <v>0</v>
      </c>
      <c r="E648" s="1">
        <f t="shared" si="196"/>
        <v>0</v>
      </c>
      <c r="F648" s="1">
        <f t="shared" si="197"/>
        <v>0</v>
      </c>
      <c r="G648" s="1" t="str">
        <f t="shared" si="198"/>
        <v>25031008</v>
      </c>
      <c r="H648" s="2">
        <v>45726</v>
      </c>
      <c r="I648" s="113">
        <v>8</v>
      </c>
      <c r="J648" s="1" t="str">
        <f t="shared" ref="J648:J711" si="199">+IF(I648&lt;10,_xlfn.CONCAT("0",I648),I648)</f>
        <v>08</v>
      </c>
      <c r="K648" s="3">
        <f t="shared" ref="K648:K711" si="200">+YEAR(H648)-2000</f>
        <v>25</v>
      </c>
      <c r="L648" s="3">
        <f t="shared" ref="L648:L711" si="201">+MONTH(H648)</f>
        <v>3</v>
      </c>
      <c r="M648" s="3">
        <f t="shared" ref="M648:M711" si="202">+DAY(H648)</f>
        <v>10</v>
      </c>
      <c r="N648" s="3" t="str">
        <f t="shared" ref="N648:N711" si="203">+IF(L648&lt;10,_xlfn.CONCAT("0",L648),L648)</f>
        <v>03</v>
      </c>
      <c r="O648" s="14">
        <f t="shared" ref="O648:O711" si="204">+IF(M648&lt;10,_xlfn.CONCAT("0",M648),M648)</f>
        <v>10</v>
      </c>
      <c r="P648" s="4">
        <v>2580</v>
      </c>
      <c r="T648" s="5" t="s">
        <v>1705</v>
      </c>
      <c r="U648" s="3" t="s">
        <v>29</v>
      </c>
      <c r="V648" s="3" t="s">
        <v>5</v>
      </c>
      <c r="W648" s="3" t="s">
        <v>1303</v>
      </c>
      <c r="X648" s="1" t="s">
        <v>1302</v>
      </c>
    </row>
    <row r="649" spans="1:25" hidden="1">
      <c r="A649" s="143">
        <v>606</v>
      </c>
      <c r="B649" s="1">
        <f t="shared" si="193"/>
        <v>0</v>
      </c>
      <c r="C649" s="1">
        <f t="shared" si="194"/>
        <v>0</v>
      </c>
      <c r="D649" s="1">
        <f t="shared" si="195"/>
        <v>0</v>
      </c>
      <c r="E649" s="1">
        <f t="shared" si="196"/>
        <v>0</v>
      </c>
      <c r="F649" s="1">
        <f t="shared" si="197"/>
        <v>0</v>
      </c>
      <c r="G649" s="1" t="str">
        <f t="shared" si="198"/>
        <v>25031101</v>
      </c>
      <c r="H649" s="2">
        <v>45727</v>
      </c>
      <c r="I649" s="113">
        <v>1</v>
      </c>
      <c r="J649" s="1" t="str">
        <f t="shared" si="199"/>
        <v>01</v>
      </c>
      <c r="K649" s="3">
        <f t="shared" si="200"/>
        <v>25</v>
      </c>
      <c r="L649" s="3">
        <f t="shared" si="201"/>
        <v>3</v>
      </c>
      <c r="M649" s="3">
        <f t="shared" si="202"/>
        <v>11</v>
      </c>
      <c r="N649" s="3" t="str">
        <f t="shared" si="203"/>
        <v>03</v>
      </c>
      <c r="O649" s="14">
        <f t="shared" si="204"/>
        <v>11</v>
      </c>
      <c r="P649" s="4">
        <v>10000</v>
      </c>
      <c r="T649" s="5" t="s">
        <v>1666</v>
      </c>
      <c r="U649" s="3" t="s">
        <v>30</v>
      </c>
      <c r="V649" s="3" t="s">
        <v>1312</v>
      </c>
      <c r="W649" s="3" t="s">
        <v>1307</v>
      </c>
      <c r="X649" s="1" t="s">
        <v>1305</v>
      </c>
    </row>
    <row r="650" spans="1:25" hidden="1">
      <c r="A650" s="143">
        <v>607</v>
      </c>
      <c r="B650" s="1">
        <f t="shared" si="193"/>
        <v>0</v>
      </c>
      <c r="C650" s="1">
        <f t="shared" si="194"/>
        <v>0</v>
      </c>
      <c r="D650" s="1">
        <f t="shared" si="195"/>
        <v>0</v>
      </c>
      <c r="E650" s="1">
        <f t="shared" si="196"/>
        <v>0</v>
      </c>
      <c r="F650" s="1">
        <f t="shared" si="197"/>
        <v>0</v>
      </c>
      <c r="G650" s="1" t="str">
        <f t="shared" si="198"/>
        <v>25031102</v>
      </c>
      <c r="H650" s="2">
        <v>45727</v>
      </c>
      <c r="I650" s="113">
        <v>2</v>
      </c>
      <c r="J650" s="1" t="str">
        <f t="shared" si="199"/>
        <v>02</v>
      </c>
      <c r="K650" s="3">
        <f t="shared" si="200"/>
        <v>25</v>
      </c>
      <c r="L650" s="3">
        <f t="shared" si="201"/>
        <v>3</v>
      </c>
      <c r="M650" s="3">
        <f t="shared" si="202"/>
        <v>11</v>
      </c>
      <c r="N650" s="3" t="str">
        <f t="shared" si="203"/>
        <v>03</v>
      </c>
      <c r="O650" s="14">
        <f t="shared" si="204"/>
        <v>11</v>
      </c>
      <c r="P650" s="4">
        <v>12000</v>
      </c>
      <c r="T650" s="5" t="s">
        <v>1329</v>
      </c>
      <c r="U650" s="3" t="s">
        <v>1310</v>
      </c>
      <c r="V650" s="3" t="s">
        <v>1304</v>
      </c>
      <c r="W650" s="3" t="s">
        <v>1309</v>
      </c>
      <c r="X650" s="1" t="s">
        <v>1305</v>
      </c>
    </row>
    <row r="651" spans="1:25" hidden="1">
      <c r="A651" s="143">
        <v>608</v>
      </c>
      <c r="B651" s="1">
        <f t="shared" si="193"/>
        <v>0</v>
      </c>
      <c r="C651" s="1">
        <f t="shared" si="194"/>
        <v>0</v>
      </c>
      <c r="D651" s="1">
        <f t="shared" si="195"/>
        <v>0</v>
      </c>
      <c r="E651" s="1">
        <f t="shared" si="196"/>
        <v>0</v>
      </c>
      <c r="F651" s="1">
        <f t="shared" si="197"/>
        <v>0</v>
      </c>
      <c r="G651" s="1" t="str">
        <f t="shared" si="198"/>
        <v>25031103</v>
      </c>
      <c r="H651" s="2">
        <v>45727</v>
      </c>
      <c r="I651" s="113">
        <v>3</v>
      </c>
      <c r="J651" s="1" t="str">
        <f t="shared" si="199"/>
        <v>03</v>
      </c>
      <c r="K651" s="3">
        <f t="shared" si="200"/>
        <v>25</v>
      </c>
      <c r="L651" s="3">
        <f t="shared" si="201"/>
        <v>3</v>
      </c>
      <c r="M651" s="3">
        <f t="shared" si="202"/>
        <v>11</v>
      </c>
      <c r="N651" s="3" t="str">
        <f t="shared" si="203"/>
        <v>03</v>
      </c>
      <c r="O651" s="14">
        <f t="shared" si="204"/>
        <v>11</v>
      </c>
      <c r="P651" s="4">
        <v>3600</v>
      </c>
      <c r="T651" s="5" t="s">
        <v>1704</v>
      </c>
      <c r="U651" s="3" t="s">
        <v>1310</v>
      </c>
      <c r="V651" s="3" t="s">
        <v>1304</v>
      </c>
      <c r="W651" s="3" t="s">
        <v>1309</v>
      </c>
      <c r="X651" s="1" t="s">
        <v>1305</v>
      </c>
    </row>
    <row r="652" spans="1:25" hidden="1">
      <c r="A652" s="143">
        <v>609</v>
      </c>
      <c r="B652" s="1">
        <f t="shared" si="193"/>
        <v>0</v>
      </c>
      <c r="C652" s="1">
        <f t="shared" si="194"/>
        <v>0</v>
      </c>
      <c r="D652" s="1">
        <f t="shared" si="195"/>
        <v>0</v>
      </c>
      <c r="E652" s="1">
        <f t="shared" si="196"/>
        <v>0</v>
      </c>
      <c r="F652" s="1">
        <f t="shared" si="197"/>
        <v>0</v>
      </c>
      <c r="G652" s="1" t="str">
        <f t="shared" si="198"/>
        <v>25031104</v>
      </c>
      <c r="H652" s="2">
        <v>45727</v>
      </c>
      <c r="I652" s="113">
        <v>4</v>
      </c>
      <c r="J652" s="1" t="str">
        <f t="shared" si="199"/>
        <v>04</v>
      </c>
      <c r="K652" s="3">
        <f t="shared" si="200"/>
        <v>25</v>
      </c>
      <c r="L652" s="3">
        <f t="shared" si="201"/>
        <v>3</v>
      </c>
      <c r="M652" s="3">
        <f t="shared" si="202"/>
        <v>11</v>
      </c>
      <c r="N652" s="3" t="str">
        <f t="shared" si="203"/>
        <v>03</v>
      </c>
      <c r="O652" s="14">
        <f t="shared" si="204"/>
        <v>11</v>
      </c>
      <c r="P652" s="4">
        <v>5300</v>
      </c>
      <c r="T652" s="5" t="s">
        <v>1703</v>
      </c>
      <c r="U652" s="3" t="s">
        <v>1310</v>
      </c>
      <c r="V652" s="3" t="s">
        <v>1304</v>
      </c>
      <c r="W652" s="3" t="s">
        <v>1309</v>
      </c>
      <c r="X652" s="1" t="s">
        <v>1305</v>
      </c>
    </row>
    <row r="653" spans="1:25" hidden="1">
      <c r="A653" s="143">
        <v>610</v>
      </c>
      <c r="B653" s="1">
        <f t="shared" si="193"/>
        <v>0</v>
      </c>
      <c r="C653" s="1">
        <f t="shared" si="194"/>
        <v>0</v>
      </c>
      <c r="D653" s="1">
        <f t="shared" si="195"/>
        <v>0</v>
      </c>
      <c r="E653" s="1">
        <f t="shared" si="196"/>
        <v>0</v>
      </c>
      <c r="F653" s="1">
        <f t="shared" si="197"/>
        <v>0</v>
      </c>
      <c r="G653" s="1" t="str">
        <f t="shared" si="198"/>
        <v>25031105</v>
      </c>
      <c r="H653" s="2">
        <v>45727</v>
      </c>
      <c r="I653" s="113">
        <v>5</v>
      </c>
      <c r="J653" s="1" t="str">
        <f t="shared" si="199"/>
        <v>05</v>
      </c>
      <c r="K653" s="3">
        <f t="shared" si="200"/>
        <v>25</v>
      </c>
      <c r="L653" s="3">
        <f t="shared" si="201"/>
        <v>3</v>
      </c>
      <c r="M653" s="3">
        <f t="shared" si="202"/>
        <v>11</v>
      </c>
      <c r="N653" s="3" t="str">
        <f t="shared" si="203"/>
        <v>03</v>
      </c>
      <c r="O653" s="14">
        <f t="shared" si="204"/>
        <v>11</v>
      </c>
      <c r="P653" s="4">
        <v>2370</v>
      </c>
      <c r="T653" s="5" t="s">
        <v>1702</v>
      </c>
      <c r="U653" s="3" t="s">
        <v>1310</v>
      </c>
      <c r="V653" s="3" t="s">
        <v>1304</v>
      </c>
      <c r="W653" s="3" t="s">
        <v>1309</v>
      </c>
      <c r="X653" s="1" t="s">
        <v>1305</v>
      </c>
    </row>
    <row r="654" spans="1:25">
      <c r="A654" s="143">
        <v>639</v>
      </c>
      <c r="B654" s="1">
        <f t="shared" si="193"/>
        <v>0</v>
      </c>
      <c r="C654" s="1">
        <f t="shared" si="194"/>
        <v>0</v>
      </c>
      <c r="D654" s="1">
        <f t="shared" si="195"/>
        <v>0</v>
      </c>
      <c r="E654" s="1">
        <f t="shared" si="196"/>
        <v>0</v>
      </c>
      <c r="F654" s="1">
        <f t="shared" si="197"/>
        <v>0</v>
      </c>
      <c r="G654" s="1" t="str">
        <f t="shared" si="198"/>
        <v>25031106</v>
      </c>
      <c r="H654" s="2">
        <v>45727</v>
      </c>
      <c r="I654" s="113">
        <v>6</v>
      </c>
      <c r="J654" s="1" t="str">
        <f t="shared" si="199"/>
        <v>06</v>
      </c>
      <c r="K654" s="3">
        <f t="shared" si="200"/>
        <v>25</v>
      </c>
      <c r="L654" s="3">
        <f t="shared" si="201"/>
        <v>3</v>
      </c>
      <c r="M654" s="3">
        <f t="shared" si="202"/>
        <v>11</v>
      </c>
      <c r="N654" s="3" t="str">
        <f t="shared" si="203"/>
        <v>03</v>
      </c>
      <c r="O654" s="14">
        <f t="shared" si="204"/>
        <v>11</v>
      </c>
      <c r="P654" s="4">
        <v>200000</v>
      </c>
      <c r="T654" s="5" t="s">
        <v>1570</v>
      </c>
      <c r="U654" s="3" t="s">
        <v>1342</v>
      </c>
      <c r="V654" s="3" t="s">
        <v>5</v>
      </c>
      <c r="W654" s="3" t="s">
        <v>1306</v>
      </c>
    </row>
    <row r="655" spans="1:25" hidden="1">
      <c r="A655" s="143">
        <v>480</v>
      </c>
      <c r="B655" s="1">
        <f t="shared" si="193"/>
        <v>0</v>
      </c>
      <c r="C655" s="1">
        <f t="shared" si="194"/>
        <v>0</v>
      </c>
      <c r="D655" s="1">
        <f t="shared" si="195"/>
        <v>0</v>
      </c>
      <c r="E655" s="1">
        <f t="shared" si="196"/>
        <v>0</v>
      </c>
      <c r="F655" s="1">
        <f t="shared" si="197"/>
        <v>0</v>
      </c>
      <c r="G655" s="1" t="str">
        <f t="shared" si="198"/>
        <v>25031201</v>
      </c>
      <c r="H655" s="2">
        <v>45728</v>
      </c>
      <c r="I655" s="113">
        <v>1</v>
      </c>
      <c r="J655" s="1" t="str">
        <f t="shared" si="199"/>
        <v>01</v>
      </c>
      <c r="K655" s="3">
        <f t="shared" si="200"/>
        <v>25</v>
      </c>
      <c r="L655" s="3">
        <f t="shared" si="201"/>
        <v>3</v>
      </c>
      <c r="M655" s="3">
        <f t="shared" si="202"/>
        <v>12</v>
      </c>
      <c r="N655" s="3" t="str">
        <f t="shared" si="203"/>
        <v>03</v>
      </c>
      <c r="O655" s="14">
        <f t="shared" si="204"/>
        <v>12</v>
      </c>
      <c r="Q655" s="5">
        <v>171.37</v>
      </c>
      <c r="T655" s="5" t="s">
        <v>1701</v>
      </c>
      <c r="U655" s="3" t="s">
        <v>1310</v>
      </c>
      <c r="V655" s="3" t="s">
        <v>1304</v>
      </c>
      <c r="W655" s="3" t="s">
        <v>1306</v>
      </c>
      <c r="X655" s="1" t="s">
        <v>1302</v>
      </c>
    </row>
    <row r="656" spans="1:25" hidden="1">
      <c r="A656" s="143">
        <v>611</v>
      </c>
      <c r="B656" s="1">
        <f t="shared" si="193"/>
        <v>0</v>
      </c>
      <c r="C656" s="1">
        <f t="shared" si="194"/>
        <v>0</v>
      </c>
      <c r="D656" s="1">
        <f t="shared" si="195"/>
        <v>0</v>
      </c>
      <c r="E656" s="1">
        <f t="shared" si="196"/>
        <v>0</v>
      </c>
      <c r="F656" s="1">
        <f t="shared" si="197"/>
        <v>0</v>
      </c>
      <c r="G656" s="1" t="str">
        <f t="shared" si="198"/>
        <v>25031202</v>
      </c>
      <c r="H656" s="2">
        <v>45728</v>
      </c>
      <c r="I656" s="113">
        <v>2</v>
      </c>
      <c r="J656" s="1" t="str">
        <f t="shared" si="199"/>
        <v>02</v>
      </c>
      <c r="K656" s="3">
        <f t="shared" si="200"/>
        <v>25</v>
      </c>
      <c r="L656" s="3">
        <f t="shared" si="201"/>
        <v>3</v>
      </c>
      <c r="M656" s="3">
        <f t="shared" si="202"/>
        <v>12</v>
      </c>
      <c r="N656" s="3" t="str">
        <f t="shared" si="203"/>
        <v>03</v>
      </c>
      <c r="O656" s="14">
        <f t="shared" si="204"/>
        <v>12</v>
      </c>
      <c r="P656" s="4">
        <v>13000</v>
      </c>
      <c r="T656" s="5" t="s">
        <v>1700</v>
      </c>
      <c r="U656" s="3" t="s">
        <v>29</v>
      </c>
      <c r="V656" s="3" t="s">
        <v>5</v>
      </c>
      <c r="W656" s="3" t="s">
        <v>1307</v>
      </c>
      <c r="X656" s="1" t="s">
        <v>1305</v>
      </c>
    </row>
    <row r="657" spans="1:24" hidden="1">
      <c r="A657" s="143">
        <v>612</v>
      </c>
      <c r="B657" s="1">
        <f t="shared" si="193"/>
        <v>0</v>
      </c>
      <c r="C657" s="1">
        <f t="shared" si="194"/>
        <v>0</v>
      </c>
      <c r="D657" s="1">
        <f t="shared" si="195"/>
        <v>0</v>
      </c>
      <c r="E657" s="1">
        <f t="shared" si="196"/>
        <v>0</v>
      </c>
      <c r="F657" s="1">
        <f t="shared" si="197"/>
        <v>0</v>
      </c>
      <c r="G657" s="1" t="str">
        <f t="shared" si="198"/>
        <v>25031203</v>
      </c>
      <c r="H657" s="2">
        <v>45728</v>
      </c>
      <c r="I657" s="113">
        <v>3</v>
      </c>
      <c r="J657" s="1" t="str">
        <f t="shared" si="199"/>
        <v>03</v>
      </c>
      <c r="K657" s="3">
        <f t="shared" si="200"/>
        <v>25</v>
      </c>
      <c r="L657" s="3">
        <f t="shared" si="201"/>
        <v>3</v>
      </c>
      <c r="M657" s="3">
        <f t="shared" si="202"/>
        <v>12</v>
      </c>
      <c r="N657" s="3" t="str">
        <f t="shared" si="203"/>
        <v>03</v>
      </c>
      <c r="O657" s="14">
        <f t="shared" si="204"/>
        <v>12</v>
      </c>
      <c r="Q657" s="5">
        <v>34.950000000000003</v>
      </c>
      <c r="T657" s="5" t="s">
        <v>1699</v>
      </c>
      <c r="U657" s="3" t="s">
        <v>1310</v>
      </c>
      <c r="V657" s="3" t="s">
        <v>1316</v>
      </c>
      <c r="W657" s="3" t="s">
        <v>1309</v>
      </c>
      <c r="X657" s="1" t="s">
        <v>1305</v>
      </c>
    </row>
    <row r="658" spans="1:24" hidden="1">
      <c r="A658" s="143">
        <v>617</v>
      </c>
      <c r="B658" s="1">
        <f t="shared" si="193"/>
        <v>0</v>
      </c>
      <c r="C658" s="1">
        <f t="shared" si="194"/>
        <v>0</v>
      </c>
      <c r="D658" s="1">
        <f t="shared" si="195"/>
        <v>0</v>
      </c>
      <c r="E658" s="1">
        <f t="shared" si="196"/>
        <v>0</v>
      </c>
      <c r="F658" s="1">
        <f t="shared" si="197"/>
        <v>0</v>
      </c>
      <c r="G658" s="1" t="str">
        <f t="shared" si="198"/>
        <v>25031204</v>
      </c>
      <c r="H658" s="2">
        <v>45728</v>
      </c>
      <c r="I658" s="113">
        <v>4</v>
      </c>
      <c r="J658" s="1" t="str">
        <f t="shared" si="199"/>
        <v>04</v>
      </c>
      <c r="K658" s="3">
        <f t="shared" si="200"/>
        <v>25</v>
      </c>
      <c r="L658" s="3">
        <f t="shared" si="201"/>
        <v>3</v>
      </c>
      <c r="M658" s="3">
        <f t="shared" si="202"/>
        <v>12</v>
      </c>
      <c r="N658" s="3" t="str">
        <f t="shared" si="203"/>
        <v>03</v>
      </c>
      <c r="O658" s="14">
        <f t="shared" si="204"/>
        <v>12</v>
      </c>
      <c r="P658" s="4">
        <v>28035.3</v>
      </c>
      <c r="T658" s="5" t="s">
        <v>1698</v>
      </c>
      <c r="U658" s="3" t="s">
        <v>1310</v>
      </c>
      <c r="V658" s="3" t="s">
        <v>1316</v>
      </c>
      <c r="W658" s="3" t="s">
        <v>1307</v>
      </c>
      <c r="X658" s="1" t="s">
        <v>1305</v>
      </c>
    </row>
    <row r="659" spans="1:24" hidden="1">
      <c r="A659" s="143"/>
      <c r="J659" s="1" t="str">
        <f t="shared" si="199"/>
        <v>0</v>
      </c>
      <c r="K659" s="3">
        <f t="shared" si="200"/>
        <v>-100</v>
      </c>
      <c r="L659" s="3">
        <f t="shared" si="201"/>
        <v>1</v>
      </c>
      <c r="M659" s="3">
        <f t="shared" si="202"/>
        <v>0</v>
      </c>
      <c r="N659" s="3" t="str">
        <f t="shared" si="203"/>
        <v>01</v>
      </c>
      <c r="O659" s="14" t="str">
        <f t="shared" si="204"/>
        <v>00</v>
      </c>
    </row>
    <row r="660" spans="1:24">
      <c r="A660" s="143">
        <v>613</v>
      </c>
      <c r="B660" s="1">
        <f>IF(G660="-",0,IF(G659=G660,1,0))</f>
        <v>0</v>
      </c>
      <c r="C660" s="1">
        <f>+IF(G660="-",0,IF(I660=I659+1,0,(IF(I660=1,0,1))))</f>
        <v>1</v>
      </c>
      <c r="D660" s="1">
        <f>+IF(AND(P660="",Q660=""),1,0)</f>
        <v>0</v>
      </c>
      <c r="E660" s="1">
        <f>IF(U660="",1,0)</f>
        <v>0</v>
      </c>
      <c r="F660" s="1">
        <f>IF(V660="",1,0)</f>
        <v>0</v>
      </c>
      <c r="G660" s="1" t="str">
        <f>IF(H660=0,"-",_xlfn.CONCAT(K660,N660,O660,J660))</f>
        <v>25031304</v>
      </c>
      <c r="H660" s="2">
        <v>45729</v>
      </c>
      <c r="I660" s="113">
        <v>4</v>
      </c>
      <c r="J660" s="1" t="str">
        <f t="shared" si="199"/>
        <v>04</v>
      </c>
      <c r="K660" s="3">
        <f t="shared" si="200"/>
        <v>25</v>
      </c>
      <c r="L660" s="3">
        <f t="shared" si="201"/>
        <v>3</v>
      </c>
      <c r="M660" s="3">
        <f t="shared" si="202"/>
        <v>13</v>
      </c>
      <c r="N660" s="3" t="str">
        <f t="shared" si="203"/>
        <v>03</v>
      </c>
      <c r="O660" s="14">
        <f t="shared" si="204"/>
        <v>13</v>
      </c>
      <c r="P660" s="4">
        <v>652177.84</v>
      </c>
      <c r="T660" s="5" t="s">
        <v>1697</v>
      </c>
      <c r="U660" s="3" t="s">
        <v>1342</v>
      </c>
      <c r="V660" s="3" t="s">
        <v>5</v>
      </c>
      <c r="W660" s="3" t="s">
        <v>1306</v>
      </c>
      <c r="X660" s="1" t="s">
        <v>1305</v>
      </c>
    </row>
    <row r="661" spans="1:24" hidden="1">
      <c r="A661" s="143">
        <v>614</v>
      </c>
      <c r="B661" s="1">
        <f>IF(G661="-",0,IF(G660=G661,1,0))</f>
        <v>0</v>
      </c>
      <c r="C661" s="1">
        <f>+IF(G661="-",0,IF(I661=I660+1,0,(IF(I661=1,0,1))))</f>
        <v>0</v>
      </c>
      <c r="D661" s="1">
        <f>+IF(AND(P661="",Q661=""),1,0)</f>
        <v>0</v>
      </c>
      <c r="E661" s="1">
        <f>IF(U661="",1,0)</f>
        <v>0</v>
      </c>
      <c r="F661" s="1">
        <f>IF(V661="",1,0)</f>
        <v>0</v>
      </c>
      <c r="G661" s="1" t="str">
        <f>IF(H661=0,"-",_xlfn.CONCAT(K661,N661,O661,J661))</f>
        <v>25031305</v>
      </c>
      <c r="H661" s="2">
        <v>45729</v>
      </c>
      <c r="I661" s="113">
        <v>5</v>
      </c>
      <c r="J661" s="1" t="str">
        <f t="shared" si="199"/>
        <v>05</v>
      </c>
      <c r="K661" s="3">
        <f t="shared" si="200"/>
        <v>25</v>
      </c>
      <c r="L661" s="3">
        <f t="shared" si="201"/>
        <v>3</v>
      </c>
      <c r="M661" s="3">
        <f t="shared" si="202"/>
        <v>13</v>
      </c>
      <c r="N661" s="3" t="str">
        <f t="shared" si="203"/>
        <v>03</v>
      </c>
      <c r="O661" s="14">
        <f t="shared" si="204"/>
        <v>13</v>
      </c>
      <c r="P661" s="4">
        <v>5310.88</v>
      </c>
      <c r="T661" s="5" t="s">
        <v>1696</v>
      </c>
      <c r="U661" s="3" t="s">
        <v>29</v>
      </c>
      <c r="V661" s="3" t="s">
        <v>5</v>
      </c>
      <c r="W661" s="3" t="s">
        <v>1309</v>
      </c>
      <c r="X661" s="1" t="s">
        <v>1305</v>
      </c>
    </row>
    <row r="662" spans="1:24" hidden="1">
      <c r="A662" s="143"/>
      <c r="J662" s="1" t="str">
        <f t="shared" si="199"/>
        <v>0</v>
      </c>
      <c r="K662" s="3">
        <f t="shared" si="200"/>
        <v>-100</v>
      </c>
      <c r="L662" s="3">
        <f t="shared" si="201"/>
        <v>1</v>
      </c>
      <c r="M662" s="3">
        <f t="shared" si="202"/>
        <v>0</v>
      </c>
      <c r="N662" s="3" t="str">
        <f t="shared" si="203"/>
        <v>01</v>
      </c>
      <c r="O662" s="14" t="str">
        <f t="shared" si="204"/>
        <v>00</v>
      </c>
    </row>
    <row r="663" spans="1:24" hidden="1">
      <c r="A663" s="143"/>
      <c r="J663" s="1" t="str">
        <f t="shared" si="199"/>
        <v>0</v>
      </c>
      <c r="K663" s="3">
        <f t="shared" si="200"/>
        <v>-100</v>
      </c>
      <c r="L663" s="3">
        <f t="shared" si="201"/>
        <v>1</v>
      </c>
      <c r="M663" s="3">
        <f t="shared" si="202"/>
        <v>0</v>
      </c>
      <c r="N663" s="3" t="str">
        <f t="shared" si="203"/>
        <v>01</v>
      </c>
      <c r="O663" s="14" t="str">
        <f t="shared" si="204"/>
        <v>00</v>
      </c>
    </row>
    <row r="664" spans="1:24" hidden="1">
      <c r="A664" s="143">
        <v>618</v>
      </c>
      <c r="B664" s="1">
        <f>IF(G664="-",0,IF(G663=G664,1,0))</f>
        <v>0</v>
      </c>
      <c r="C664" s="1">
        <f>+IF(G664="-",0,IF(I664=I663+1,0,(IF(I664=1,0,1))))</f>
        <v>1</v>
      </c>
      <c r="D664" s="1">
        <f>+IF(AND(P664="",Q664=""),1,0)</f>
        <v>0</v>
      </c>
      <c r="E664" s="1">
        <f t="shared" ref="E664:F666" si="205">IF(U664="",1,0)</f>
        <v>0</v>
      </c>
      <c r="F664" s="1">
        <f t="shared" si="205"/>
        <v>0</v>
      </c>
      <c r="G664" s="1" t="str">
        <f>IF(H664=0,"-",_xlfn.CONCAT(K664,N664,O664,J664))</f>
        <v>25031308</v>
      </c>
      <c r="H664" s="2">
        <v>45729</v>
      </c>
      <c r="I664" s="113">
        <v>8</v>
      </c>
      <c r="J664" s="1" t="str">
        <f t="shared" si="199"/>
        <v>08</v>
      </c>
      <c r="K664" s="3">
        <f t="shared" si="200"/>
        <v>25</v>
      </c>
      <c r="L664" s="3">
        <f t="shared" si="201"/>
        <v>3</v>
      </c>
      <c r="M664" s="3">
        <f t="shared" si="202"/>
        <v>13</v>
      </c>
      <c r="N664" s="3" t="str">
        <f t="shared" si="203"/>
        <v>03</v>
      </c>
      <c r="O664" s="14">
        <f t="shared" si="204"/>
        <v>13</v>
      </c>
      <c r="P664" s="4">
        <v>131600</v>
      </c>
      <c r="T664" s="5" t="s">
        <v>1695</v>
      </c>
      <c r="U664" s="3" t="s">
        <v>29</v>
      </c>
      <c r="V664" s="3" t="s">
        <v>1313</v>
      </c>
      <c r="W664" s="3" t="s">
        <v>1307</v>
      </c>
      <c r="X664" s="1" t="s">
        <v>1305</v>
      </c>
    </row>
    <row r="665" spans="1:24" hidden="1">
      <c r="A665" s="143">
        <v>619</v>
      </c>
      <c r="B665" s="1">
        <f>IF(G665="-",0,IF(G664=G665,1,0))</f>
        <v>0</v>
      </c>
      <c r="C665" s="1">
        <f>+IF(G665="-",0,IF(I665=I664+1,0,(IF(I665=1,0,1))))</f>
        <v>0</v>
      </c>
      <c r="D665" s="1">
        <f>+IF(AND(P665="",Q665=""),1,0)</f>
        <v>0</v>
      </c>
      <c r="E665" s="1">
        <f t="shared" si="205"/>
        <v>0</v>
      </c>
      <c r="F665" s="1">
        <f t="shared" si="205"/>
        <v>0</v>
      </c>
      <c r="G665" s="1" t="str">
        <f>IF(H665=0,"-",_xlfn.CONCAT(K665,N665,O665,J665))</f>
        <v>25031309</v>
      </c>
      <c r="H665" s="2">
        <v>45729</v>
      </c>
      <c r="I665" s="113">
        <v>9</v>
      </c>
      <c r="J665" s="1" t="str">
        <f t="shared" si="199"/>
        <v>09</v>
      </c>
      <c r="K665" s="3">
        <f t="shared" si="200"/>
        <v>25</v>
      </c>
      <c r="L665" s="3">
        <f t="shared" si="201"/>
        <v>3</v>
      </c>
      <c r="M665" s="3">
        <f t="shared" si="202"/>
        <v>13</v>
      </c>
      <c r="N665" s="3" t="str">
        <f t="shared" si="203"/>
        <v>03</v>
      </c>
      <c r="O665" s="14">
        <f t="shared" si="204"/>
        <v>13</v>
      </c>
      <c r="P665" s="4">
        <v>22615.41</v>
      </c>
      <c r="T665" s="5" t="s">
        <v>1694</v>
      </c>
      <c r="U665" s="3" t="s">
        <v>1310</v>
      </c>
      <c r="V665" s="3" t="s">
        <v>1316</v>
      </c>
      <c r="W665" s="3" t="s">
        <v>1307</v>
      </c>
      <c r="X665" s="1" t="s">
        <v>1305</v>
      </c>
    </row>
    <row r="666" spans="1:24" hidden="1">
      <c r="A666" s="143">
        <v>642</v>
      </c>
      <c r="B666" s="1">
        <f>IF(G666="-",0,IF(G665=G666,1,0))</f>
        <v>0</v>
      </c>
      <c r="C666" s="1">
        <f>+IF(G666="-",0,IF(I666=I665+1,0,(IF(I666=1,0,1))))</f>
        <v>0</v>
      </c>
      <c r="D666" s="1">
        <f>+IF(AND(P666="",Q666=""),1,0)</f>
        <v>0</v>
      </c>
      <c r="E666" s="1">
        <f t="shared" si="205"/>
        <v>0</v>
      </c>
      <c r="F666" s="1">
        <f t="shared" si="205"/>
        <v>0</v>
      </c>
      <c r="G666" s="1" t="str">
        <f>IF(H666=0,"-",_xlfn.CONCAT(K666,N666,O666,J666))</f>
        <v>25031310</v>
      </c>
      <c r="H666" s="2">
        <v>45729</v>
      </c>
      <c r="I666" s="113">
        <v>10</v>
      </c>
      <c r="J666" s="1">
        <f t="shared" si="199"/>
        <v>10</v>
      </c>
      <c r="K666" s="3">
        <f t="shared" si="200"/>
        <v>25</v>
      </c>
      <c r="L666" s="3">
        <f t="shared" si="201"/>
        <v>3</v>
      </c>
      <c r="M666" s="3">
        <f t="shared" si="202"/>
        <v>13</v>
      </c>
      <c r="N666" s="3" t="str">
        <f t="shared" si="203"/>
        <v>03</v>
      </c>
      <c r="O666" s="14">
        <f t="shared" si="204"/>
        <v>13</v>
      </c>
      <c r="P666" s="4">
        <v>52140</v>
      </c>
      <c r="T666" s="5" t="s">
        <v>1657</v>
      </c>
      <c r="U666" s="3" t="s">
        <v>29</v>
      </c>
      <c r="V666" s="3" t="s">
        <v>5</v>
      </c>
      <c r="W666" s="3" t="s">
        <v>1303</v>
      </c>
      <c r="X666" s="1" t="s">
        <v>1302</v>
      </c>
    </row>
    <row r="667" spans="1:24" hidden="1">
      <c r="A667" s="143"/>
      <c r="J667" s="1" t="str">
        <f t="shared" si="199"/>
        <v>0</v>
      </c>
      <c r="K667" s="3">
        <f t="shared" si="200"/>
        <v>-100</v>
      </c>
      <c r="L667" s="3">
        <f t="shared" si="201"/>
        <v>1</v>
      </c>
      <c r="M667" s="3">
        <f t="shared" si="202"/>
        <v>0</v>
      </c>
      <c r="N667" s="3" t="str">
        <f t="shared" si="203"/>
        <v>01</v>
      </c>
      <c r="O667" s="14" t="str">
        <f t="shared" si="204"/>
        <v>00</v>
      </c>
    </row>
    <row r="668" spans="1:24" hidden="1">
      <c r="A668" s="143"/>
      <c r="J668" s="1" t="str">
        <f t="shared" si="199"/>
        <v>0</v>
      </c>
      <c r="K668" s="3">
        <f t="shared" si="200"/>
        <v>-100</v>
      </c>
      <c r="L668" s="3">
        <f t="shared" si="201"/>
        <v>1</v>
      </c>
      <c r="M668" s="3">
        <f t="shared" si="202"/>
        <v>0</v>
      </c>
      <c r="N668" s="3" t="str">
        <f t="shared" si="203"/>
        <v>01</v>
      </c>
      <c r="O668" s="14" t="str">
        <f t="shared" si="204"/>
        <v>00</v>
      </c>
    </row>
    <row r="669" spans="1:24" hidden="1">
      <c r="A669" s="143"/>
      <c r="J669" s="1" t="str">
        <f t="shared" si="199"/>
        <v>0</v>
      </c>
      <c r="K669" s="3">
        <f t="shared" si="200"/>
        <v>-100</v>
      </c>
      <c r="L669" s="3">
        <f t="shared" si="201"/>
        <v>1</v>
      </c>
      <c r="M669" s="3">
        <f t="shared" si="202"/>
        <v>0</v>
      </c>
      <c r="N669" s="3" t="str">
        <f t="shared" si="203"/>
        <v>01</v>
      </c>
      <c r="O669" s="14" t="str">
        <f t="shared" si="204"/>
        <v>00</v>
      </c>
    </row>
    <row r="670" spans="1:24" hidden="1">
      <c r="A670" s="143"/>
      <c r="J670" s="1" t="str">
        <f t="shared" si="199"/>
        <v>0</v>
      </c>
      <c r="K670" s="3">
        <f t="shared" si="200"/>
        <v>-100</v>
      </c>
      <c r="L670" s="3">
        <f t="shared" si="201"/>
        <v>1</v>
      </c>
      <c r="M670" s="3">
        <f t="shared" si="202"/>
        <v>0</v>
      </c>
      <c r="N670" s="3" t="str">
        <f t="shared" si="203"/>
        <v>01</v>
      </c>
      <c r="O670" s="14" t="str">
        <f t="shared" si="204"/>
        <v>00</v>
      </c>
    </row>
    <row r="671" spans="1:24" hidden="1">
      <c r="A671" s="143"/>
      <c r="J671" s="1" t="str">
        <f t="shared" si="199"/>
        <v>0</v>
      </c>
      <c r="K671" s="3">
        <f t="shared" si="200"/>
        <v>-100</v>
      </c>
      <c r="L671" s="3">
        <f t="shared" si="201"/>
        <v>1</v>
      </c>
      <c r="M671" s="3">
        <f t="shared" si="202"/>
        <v>0</v>
      </c>
      <c r="N671" s="3" t="str">
        <f t="shared" si="203"/>
        <v>01</v>
      </c>
      <c r="O671" s="14" t="str">
        <f t="shared" si="204"/>
        <v>00</v>
      </c>
    </row>
    <row r="672" spans="1:24" hidden="1">
      <c r="A672" s="143">
        <v>620</v>
      </c>
      <c r="B672" s="1">
        <f>IF(G672="-",0,IF(G671=G672,1,0))</f>
        <v>0</v>
      </c>
      <c r="C672" s="1">
        <f>+IF(G672="-",0,IF(I672=I671+1,0,(IF(I672=1,0,1))))</f>
        <v>0</v>
      </c>
      <c r="D672" s="1">
        <f>+IF(AND(P672="",Q672=""),1,0)</f>
        <v>0</v>
      </c>
      <c r="E672" s="1">
        <f>IF(U672="",1,0)</f>
        <v>0</v>
      </c>
      <c r="F672" s="1">
        <f>IF(V672="",1,0)</f>
        <v>0</v>
      </c>
      <c r="G672" s="1" t="str">
        <f>IF(H672=0,"-",_xlfn.CONCAT(K672,N672,O672,J672))</f>
        <v>25031401</v>
      </c>
      <c r="H672" s="2">
        <v>45730</v>
      </c>
      <c r="I672" s="113">
        <v>1</v>
      </c>
      <c r="J672" s="1" t="str">
        <f t="shared" si="199"/>
        <v>01</v>
      </c>
      <c r="K672" s="3">
        <f t="shared" si="200"/>
        <v>25</v>
      </c>
      <c r="L672" s="3">
        <f t="shared" si="201"/>
        <v>3</v>
      </c>
      <c r="M672" s="3">
        <f t="shared" si="202"/>
        <v>14</v>
      </c>
      <c r="N672" s="3" t="str">
        <f t="shared" si="203"/>
        <v>03</v>
      </c>
      <c r="O672" s="14">
        <f t="shared" si="204"/>
        <v>14</v>
      </c>
      <c r="P672" s="4">
        <v>10000</v>
      </c>
      <c r="T672" s="5" t="s">
        <v>1666</v>
      </c>
      <c r="U672" s="3" t="s">
        <v>30</v>
      </c>
      <c r="V672" s="3" t="s">
        <v>1312</v>
      </c>
      <c r="W672" s="3" t="s">
        <v>1307</v>
      </c>
      <c r="X672" s="1" t="s">
        <v>1305</v>
      </c>
    </row>
    <row r="673" spans="1:25" hidden="1">
      <c r="A673" s="143">
        <v>621</v>
      </c>
      <c r="B673" s="1">
        <f>IF(G673="-",0,IF(G672=G673,1,0))</f>
        <v>0</v>
      </c>
      <c r="C673" s="1">
        <f>+IF(G673="-",0,IF(I673=I672+1,0,(IF(I673=1,0,1))))</f>
        <v>0</v>
      </c>
      <c r="D673" s="1">
        <f>+IF(AND(P673="",Q673=""),1,0)</f>
        <v>0</v>
      </c>
      <c r="E673" s="1">
        <f>IF(U673="",1,0)</f>
        <v>0</v>
      </c>
      <c r="F673" s="1">
        <f>IF(V673="",1,0)</f>
        <v>0</v>
      </c>
      <c r="G673" s="1" t="str">
        <f>IF(H673=0,"-",_xlfn.CONCAT(K673,N673,O673,J673))</f>
        <v>25031402</v>
      </c>
      <c r="H673" s="2">
        <v>45730</v>
      </c>
      <c r="I673" s="113">
        <v>2</v>
      </c>
      <c r="J673" s="1" t="str">
        <f t="shared" si="199"/>
        <v>02</v>
      </c>
      <c r="K673" s="3">
        <f t="shared" si="200"/>
        <v>25</v>
      </c>
      <c r="L673" s="3">
        <f t="shared" si="201"/>
        <v>3</v>
      </c>
      <c r="M673" s="3">
        <f t="shared" si="202"/>
        <v>14</v>
      </c>
      <c r="N673" s="3" t="str">
        <f t="shared" si="203"/>
        <v>03</v>
      </c>
      <c r="O673" s="14">
        <f t="shared" si="204"/>
        <v>14</v>
      </c>
      <c r="P673" s="4">
        <v>295200</v>
      </c>
      <c r="T673" s="5" t="s">
        <v>1693</v>
      </c>
      <c r="U673" s="3" t="s">
        <v>1310</v>
      </c>
      <c r="V673" s="3" t="s">
        <v>1304</v>
      </c>
      <c r="W673" s="3" t="s">
        <v>1309</v>
      </c>
      <c r="X673" s="1" t="s">
        <v>1305</v>
      </c>
    </row>
    <row r="674" spans="1:25" hidden="1">
      <c r="A674" s="143"/>
      <c r="J674" s="1" t="str">
        <f t="shared" si="199"/>
        <v>0</v>
      </c>
      <c r="K674" s="3">
        <f t="shared" si="200"/>
        <v>-100</v>
      </c>
      <c r="L674" s="3">
        <f t="shared" si="201"/>
        <v>1</v>
      </c>
      <c r="M674" s="3">
        <f t="shared" si="202"/>
        <v>0</v>
      </c>
      <c r="N674" s="3" t="str">
        <f t="shared" si="203"/>
        <v>01</v>
      </c>
      <c r="O674" s="14" t="str">
        <f t="shared" si="204"/>
        <v>00</v>
      </c>
    </row>
    <row r="675" spans="1:25" hidden="1">
      <c r="A675" s="143"/>
      <c r="J675" s="1" t="str">
        <f t="shared" si="199"/>
        <v>0</v>
      </c>
      <c r="K675" s="3">
        <f t="shared" si="200"/>
        <v>-100</v>
      </c>
      <c r="L675" s="3">
        <f t="shared" si="201"/>
        <v>1</v>
      </c>
      <c r="M675" s="3">
        <f t="shared" si="202"/>
        <v>0</v>
      </c>
      <c r="N675" s="3" t="str">
        <f t="shared" si="203"/>
        <v>01</v>
      </c>
      <c r="O675" s="14" t="str">
        <f t="shared" si="204"/>
        <v>00</v>
      </c>
    </row>
    <row r="676" spans="1:25" hidden="1">
      <c r="A676" s="143"/>
      <c r="J676" s="1" t="str">
        <f t="shared" si="199"/>
        <v>0</v>
      </c>
      <c r="K676" s="3">
        <f t="shared" si="200"/>
        <v>-100</v>
      </c>
      <c r="L676" s="3">
        <f t="shared" si="201"/>
        <v>1</v>
      </c>
      <c r="M676" s="3">
        <f t="shared" si="202"/>
        <v>0</v>
      </c>
      <c r="N676" s="3" t="str">
        <f t="shared" si="203"/>
        <v>01</v>
      </c>
      <c r="O676" s="14" t="str">
        <f t="shared" si="204"/>
        <v>00</v>
      </c>
    </row>
    <row r="677" spans="1:25" hidden="1">
      <c r="A677" s="143">
        <v>625</v>
      </c>
      <c r="B677" s="1">
        <f>IF(G677="-",0,IF(G676=G677,1,0))</f>
        <v>0</v>
      </c>
      <c r="C677" s="1">
        <f>+IF(G677="-",0,IF(I677=I676+1,0,(IF(I677=1,0,1))))</f>
        <v>1</v>
      </c>
      <c r="D677" s="1">
        <f>+IF(AND(P677="",Q677=""),1,0)</f>
        <v>0</v>
      </c>
      <c r="E677" s="1">
        <f>IF(U677="",1,0)</f>
        <v>0</v>
      </c>
      <c r="F677" s="1">
        <f>IF(V677="",1,0)</f>
        <v>0</v>
      </c>
      <c r="G677" s="1" t="str">
        <f>IF(H677=0,"-",_xlfn.CONCAT(K677,N677,O677,J677))</f>
        <v>25031406</v>
      </c>
      <c r="H677" s="2">
        <v>45730</v>
      </c>
      <c r="I677" s="113">
        <v>6</v>
      </c>
      <c r="J677" s="1" t="str">
        <f t="shared" si="199"/>
        <v>06</v>
      </c>
      <c r="K677" s="3">
        <f t="shared" si="200"/>
        <v>25</v>
      </c>
      <c r="L677" s="3">
        <f t="shared" si="201"/>
        <v>3</v>
      </c>
      <c r="M677" s="3">
        <f t="shared" si="202"/>
        <v>14</v>
      </c>
      <c r="N677" s="3" t="str">
        <f t="shared" si="203"/>
        <v>03</v>
      </c>
      <c r="O677" s="14">
        <f t="shared" si="204"/>
        <v>14</v>
      </c>
      <c r="P677" s="4">
        <v>41249.99</v>
      </c>
      <c r="T677" s="5" t="s">
        <v>1692</v>
      </c>
      <c r="U677" s="3" t="s">
        <v>1408</v>
      </c>
      <c r="V677" s="3" t="s">
        <v>1316</v>
      </c>
      <c r="W677" s="3" t="s">
        <v>1306</v>
      </c>
      <c r="X677" s="1" t="s">
        <v>1305</v>
      </c>
    </row>
    <row r="678" spans="1:25" hidden="1">
      <c r="A678" s="143"/>
      <c r="J678" s="1" t="str">
        <f t="shared" si="199"/>
        <v>0</v>
      </c>
      <c r="K678" s="3">
        <f t="shared" si="200"/>
        <v>-100</v>
      </c>
      <c r="L678" s="3">
        <f t="shared" si="201"/>
        <v>1</v>
      </c>
      <c r="M678" s="3">
        <f t="shared" si="202"/>
        <v>0</v>
      </c>
      <c r="N678" s="3" t="str">
        <f t="shared" si="203"/>
        <v>01</v>
      </c>
      <c r="O678" s="14" t="str">
        <f t="shared" si="204"/>
        <v>00</v>
      </c>
    </row>
    <row r="679" spans="1:25" hidden="1">
      <c r="A679" s="143"/>
      <c r="J679" s="1" t="str">
        <f t="shared" si="199"/>
        <v>0</v>
      </c>
      <c r="K679" s="3">
        <f t="shared" si="200"/>
        <v>-100</v>
      </c>
      <c r="L679" s="3">
        <f t="shared" si="201"/>
        <v>1</v>
      </c>
      <c r="M679" s="3">
        <f t="shared" si="202"/>
        <v>0</v>
      </c>
      <c r="N679" s="3" t="str">
        <f t="shared" si="203"/>
        <v>01</v>
      </c>
      <c r="O679" s="14" t="str">
        <f t="shared" si="204"/>
        <v>00</v>
      </c>
    </row>
    <row r="680" spans="1:25" hidden="1">
      <c r="A680" s="143"/>
      <c r="J680" s="1" t="str">
        <f t="shared" si="199"/>
        <v>0</v>
      </c>
      <c r="K680" s="3">
        <f t="shared" si="200"/>
        <v>-100</v>
      </c>
      <c r="L680" s="3">
        <f t="shared" si="201"/>
        <v>1</v>
      </c>
      <c r="M680" s="3">
        <f t="shared" si="202"/>
        <v>0</v>
      </c>
      <c r="N680" s="3" t="str">
        <f t="shared" si="203"/>
        <v>01</v>
      </c>
      <c r="O680" s="14" t="str">
        <f t="shared" si="204"/>
        <v>00</v>
      </c>
    </row>
    <row r="681" spans="1:25" hidden="1">
      <c r="A681" s="143">
        <v>843</v>
      </c>
      <c r="B681" s="1">
        <f t="shared" ref="B681:B696" si="206">IF(G681="-",0,IF(G680=G681,1,0))</f>
        <v>0</v>
      </c>
      <c r="C681" s="1">
        <f t="shared" ref="C681:C696" si="207">+IF(G681="-",0,IF(I681=I680+1,0,(IF(I681=1,0,1))))</f>
        <v>1</v>
      </c>
      <c r="D681" s="1">
        <f t="shared" ref="D681:D696" si="208">+IF(AND(P681="",Q681=""),1,0)</f>
        <v>0</v>
      </c>
      <c r="E681" s="1">
        <f t="shared" ref="E681:E696" si="209">IF(U681="",1,0)</f>
        <v>0</v>
      </c>
      <c r="F681" s="1">
        <f t="shared" ref="F681:F696" si="210">IF(V681="",1,0)</f>
        <v>0</v>
      </c>
      <c r="G681" s="1" t="str">
        <f t="shared" ref="G681:G696" si="211">IF(H681=0,"-",_xlfn.CONCAT(K681,N681,O681,J681))</f>
        <v>25031410</v>
      </c>
      <c r="H681" s="2">
        <v>45730</v>
      </c>
      <c r="I681" s="113">
        <v>10</v>
      </c>
      <c r="J681" s="1">
        <f t="shared" si="199"/>
        <v>10</v>
      </c>
      <c r="K681" s="3">
        <f t="shared" si="200"/>
        <v>25</v>
      </c>
      <c r="L681" s="3">
        <f t="shared" si="201"/>
        <v>3</v>
      </c>
      <c r="M681" s="3">
        <f t="shared" si="202"/>
        <v>14</v>
      </c>
      <c r="N681" s="3" t="str">
        <f t="shared" si="203"/>
        <v>03</v>
      </c>
      <c r="O681" s="14">
        <f t="shared" si="204"/>
        <v>14</v>
      </c>
      <c r="P681" s="4">
        <v>199955</v>
      </c>
      <c r="T681" s="5" t="s">
        <v>1691</v>
      </c>
      <c r="U681" s="3" t="s">
        <v>305</v>
      </c>
      <c r="V681" s="3" t="s">
        <v>1304</v>
      </c>
      <c r="W681" s="3" t="s">
        <v>1306</v>
      </c>
      <c r="X681" s="1" t="s">
        <v>1302</v>
      </c>
    </row>
    <row r="682" spans="1:25">
      <c r="A682" s="143">
        <v>580</v>
      </c>
      <c r="B682" s="1">
        <f t="shared" si="206"/>
        <v>0</v>
      </c>
      <c r="C682" s="1">
        <f t="shared" si="207"/>
        <v>0</v>
      </c>
      <c r="D682" s="1">
        <f t="shared" si="208"/>
        <v>0</v>
      </c>
      <c r="E682" s="1">
        <f t="shared" si="209"/>
        <v>0</v>
      </c>
      <c r="F682" s="1">
        <f t="shared" si="210"/>
        <v>0</v>
      </c>
      <c r="G682" s="1" t="str">
        <f t="shared" si="211"/>
        <v>25031501</v>
      </c>
      <c r="H682" s="2">
        <v>45731</v>
      </c>
      <c r="I682" s="113">
        <v>1</v>
      </c>
      <c r="J682" s="1" t="str">
        <f t="shared" si="199"/>
        <v>01</v>
      </c>
      <c r="K682" s="3">
        <f t="shared" si="200"/>
        <v>25</v>
      </c>
      <c r="L682" s="3">
        <f t="shared" si="201"/>
        <v>3</v>
      </c>
      <c r="M682" s="3">
        <f t="shared" si="202"/>
        <v>15</v>
      </c>
      <c r="N682" s="3" t="str">
        <f t="shared" si="203"/>
        <v>03</v>
      </c>
      <c r="O682" s="14">
        <f t="shared" si="204"/>
        <v>15</v>
      </c>
      <c r="P682" s="4">
        <v>159000</v>
      </c>
      <c r="T682" s="5" t="s">
        <v>1690</v>
      </c>
      <c r="U682" s="3" t="s">
        <v>1342</v>
      </c>
      <c r="V682" s="3" t="s">
        <v>5</v>
      </c>
      <c r="W682" s="3" t="s">
        <v>1306</v>
      </c>
      <c r="X682" s="1" t="s">
        <v>1302</v>
      </c>
      <c r="Y682" t="s">
        <v>1626</v>
      </c>
    </row>
    <row r="683" spans="1:25">
      <c r="A683" s="143">
        <v>581</v>
      </c>
      <c r="B683" s="1">
        <f t="shared" si="206"/>
        <v>0</v>
      </c>
      <c r="C683" s="1">
        <f t="shared" si="207"/>
        <v>0</v>
      </c>
      <c r="D683" s="1">
        <f t="shared" si="208"/>
        <v>0</v>
      </c>
      <c r="E683" s="1">
        <f t="shared" si="209"/>
        <v>0</v>
      </c>
      <c r="F683" s="1">
        <f t="shared" si="210"/>
        <v>0</v>
      </c>
      <c r="G683" s="1" t="str">
        <f t="shared" si="211"/>
        <v>25031502</v>
      </c>
      <c r="H683" s="2">
        <v>45731</v>
      </c>
      <c r="I683" s="113">
        <v>2</v>
      </c>
      <c r="J683" s="1" t="str">
        <f t="shared" si="199"/>
        <v>02</v>
      </c>
      <c r="K683" s="3">
        <f t="shared" si="200"/>
        <v>25</v>
      </c>
      <c r="L683" s="3">
        <f t="shared" si="201"/>
        <v>3</v>
      </c>
      <c r="M683" s="3">
        <f t="shared" si="202"/>
        <v>15</v>
      </c>
      <c r="N683" s="3" t="str">
        <f t="shared" si="203"/>
        <v>03</v>
      </c>
      <c r="O683" s="14">
        <f t="shared" si="204"/>
        <v>15</v>
      </c>
      <c r="P683" s="4">
        <v>115000</v>
      </c>
      <c r="T683" s="5" t="s">
        <v>1689</v>
      </c>
      <c r="U683" s="3" t="s">
        <v>1342</v>
      </c>
      <c r="V683" s="3" t="s">
        <v>5</v>
      </c>
      <c r="W683" s="3" t="s">
        <v>1306</v>
      </c>
      <c r="X683" s="1" t="s">
        <v>1302</v>
      </c>
      <c r="Y683" t="s">
        <v>1242</v>
      </c>
    </row>
    <row r="684" spans="1:25">
      <c r="A684" s="143">
        <v>582</v>
      </c>
      <c r="B684" s="1">
        <f t="shared" si="206"/>
        <v>0</v>
      </c>
      <c r="C684" s="1">
        <f t="shared" si="207"/>
        <v>0</v>
      </c>
      <c r="D684" s="1">
        <f t="shared" si="208"/>
        <v>0</v>
      </c>
      <c r="E684" s="1">
        <f t="shared" si="209"/>
        <v>0</v>
      </c>
      <c r="F684" s="1">
        <f t="shared" si="210"/>
        <v>0</v>
      </c>
      <c r="G684" s="1" t="str">
        <f t="shared" si="211"/>
        <v>25031503</v>
      </c>
      <c r="H684" s="2">
        <v>45731</v>
      </c>
      <c r="I684" s="113">
        <v>3</v>
      </c>
      <c r="J684" s="1" t="str">
        <f t="shared" si="199"/>
        <v>03</v>
      </c>
      <c r="K684" s="3">
        <f t="shared" si="200"/>
        <v>25</v>
      </c>
      <c r="L684" s="3">
        <f t="shared" si="201"/>
        <v>3</v>
      </c>
      <c r="M684" s="3">
        <f t="shared" si="202"/>
        <v>15</v>
      </c>
      <c r="N684" s="3" t="str">
        <f t="shared" si="203"/>
        <v>03</v>
      </c>
      <c r="O684" s="14">
        <f t="shared" si="204"/>
        <v>15</v>
      </c>
      <c r="P684" s="4">
        <v>132000</v>
      </c>
      <c r="T684" s="5" t="s">
        <v>1688</v>
      </c>
      <c r="U684" s="3" t="s">
        <v>1342</v>
      </c>
      <c r="V684" s="3" t="s">
        <v>5</v>
      </c>
      <c r="W684" s="3" t="s">
        <v>1306</v>
      </c>
      <c r="X684" s="1" t="s">
        <v>1302</v>
      </c>
      <c r="Y684" t="s">
        <v>1244</v>
      </c>
    </row>
    <row r="685" spans="1:25">
      <c r="A685" s="143">
        <v>583</v>
      </c>
      <c r="B685" s="1">
        <f t="shared" si="206"/>
        <v>0</v>
      </c>
      <c r="C685" s="1">
        <f t="shared" si="207"/>
        <v>0</v>
      </c>
      <c r="D685" s="1">
        <f t="shared" si="208"/>
        <v>0</v>
      </c>
      <c r="E685" s="1">
        <f t="shared" si="209"/>
        <v>0</v>
      </c>
      <c r="F685" s="1">
        <f t="shared" si="210"/>
        <v>0</v>
      </c>
      <c r="G685" s="1" t="str">
        <f t="shared" si="211"/>
        <v>25031504</v>
      </c>
      <c r="H685" s="2">
        <v>45731</v>
      </c>
      <c r="I685" s="113">
        <v>4</v>
      </c>
      <c r="J685" s="1" t="str">
        <f t="shared" si="199"/>
        <v>04</v>
      </c>
      <c r="K685" s="3">
        <f t="shared" si="200"/>
        <v>25</v>
      </c>
      <c r="L685" s="3">
        <f t="shared" si="201"/>
        <v>3</v>
      </c>
      <c r="M685" s="3">
        <f t="shared" si="202"/>
        <v>15</v>
      </c>
      <c r="N685" s="3" t="str">
        <f t="shared" si="203"/>
        <v>03</v>
      </c>
      <c r="O685" s="14">
        <f t="shared" si="204"/>
        <v>15</v>
      </c>
      <c r="P685" s="4">
        <v>108000</v>
      </c>
      <c r="T685" s="5" t="s">
        <v>1687</v>
      </c>
      <c r="U685" s="3" t="s">
        <v>1342</v>
      </c>
      <c r="V685" s="3" t="s">
        <v>5</v>
      </c>
      <c r="W685" s="3" t="s">
        <v>1306</v>
      </c>
      <c r="X685" s="1" t="s">
        <v>1302</v>
      </c>
      <c r="Y685" t="s">
        <v>1246</v>
      </c>
    </row>
    <row r="686" spans="1:25">
      <c r="A686" s="143">
        <v>584</v>
      </c>
      <c r="B686" s="1">
        <f t="shared" si="206"/>
        <v>0</v>
      </c>
      <c r="C686" s="1">
        <f t="shared" si="207"/>
        <v>0</v>
      </c>
      <c r="D686" s="1">
        <f t="shared" si="208"/>
        <v>0</v>
      </c>
      <c r="E686" s="1">
        <f t="shared" si="209"/>
        <v>0</v>
      </c>
      <c r="F686" s="1">
        <f t="shared" si="210"/>
        <v>0</v>
      </c>
      <c r="G686" s="1" t="str">
        <f t="shared" si="211"/>
        <v>25031505</v>
      </c>
      <c r="H686" s="2">
        <v>45731</v>
      </c>
      <c r="I686" s="113">
        <v>5</v>
      </c>
      <c r="J686" s="1" t="str">
        <f t="shared" si="199"/>
        <v>05</v>
      </c>
      <c r="K686" s="3">
        <f t="shared" si="200"/>
        <v>25</v>
      </c>
      <c r="L686" s="3">
        <f t="shared" si="201"/>
        <v>3</v>
      </c>
      <c r="M686" s="3">
        <f t="shared" si="202"/>
        <v>15</v>
      </c>
      <c r="N686" s="3" t="str">
        <f t="shared" si="203"/>
        <v>03</v>
      </c>
      <c r="O686" s="14">
        <f t="shared" si="204"/>
        <v>15</v>
      </c>
      <c r="P686" s="4">
        <v>132000</v>
      </c>
      <c r="T686" s="5" t="s">
        <v>1686</v>
      </c>
      <c r="U686" s="3" t="s">
        <v>1342</v>
      </c>
      <c r="V686" s="3" t="s">
        <v>5</v>
      </c>
      <c r="W686" s="3" t="s">
        <v>1306</v>
      </c>
      <c r="X686" s="1" t="s">
        <v>1302</v>
      </c>
      <c r="Y686" t="s">
        <v>1249</v>
      </c>
    </row>
    <row r="687" spans="1:25">
      <c r="A687" s="143">
        <v>585</v>
      </c>
      <c r="B687" s="1">
        <f t="shared" si="206"/>
        <v>0</v>
      </c>
      <c r="C687" s="1">
        <f t="shared" si="207"/>
        <v>0</v>
      </c>
      <c r="D687" s="1">
        <f t="shared" si="208"/>
        <v>0</v>
      </c>
      <c r="E687" s="1">
        <f t="shared" si="209"/>
        <v>0</v>
      </c>
      <c r="F687" s="1">
        <f t="shared" si="210"/>
        <v>0</v>
      </c>
      <c r="G687" s="1" t="str">
        <f t="shared" si="211"/>
        <v>25031506</v>
      </c>
      <c r="H687" s="2">
        <v>45731</v>
      </c>
      <c r="I687" s="113">
        <v>6</v>
      </c>
      <c r="J687" s="1" t="str">
        <f t="shared" si="199"/>
        <v>06</v>
      </c>
      <c r="K687" s="3">
        <f t="shared" si="200"/>
        <v>25</v>
      </c>
      <c r="L687" s="3">
        <f t="shared" si="201"/>
        <v>3</v>
      </c>
      <c r="M687" s="3">
        <f t="shared" si="202"/>
        <v>15</v>
      </c>
      <c r="N687" s="3" t="str">
        <f t="shared" si="203"/>
        <v>03</v>
      </c>
      <c r="O687" s="14">
        <f t="shared" si="204"/>
        <v>15</v>
      </c>
      <c r="P687" s="4">
        <v>159000</v>
      </c>
      <c r="T687" s="5" t="s">
        <v>1685</v>
      </c>
      <c r="U687" s="3" t="s">
        <v>1342</v>
      </c>
      <c r="V687" s="3" t="s">
        <v>5</v>
      </c>
      <c r="W687" s="3" t="s">
        <v>1306</v>
      </c>
      <c r="X687" s="1" t="s">
        <v>1302</v>
      </c>
      <c r="Y687" t="s">
        <v>1250</v>
      </c>
    </row>
    <row r="688" spans="1:25">
      <c r="A688" s="143">
        <v>586</v>
      </c>
      <c r="B688" s="1">
        <f t="shared" si="206"/>
        <v>0</v>
      </c>
      <c r="C688" s="1">
        <f t="shared" si="207"/>
        <v>0</v>
      </c>
      <c r="D688" s="1">
        <f t="shared" si="208"/>
        <v>0</v>
      </c>
      <c r="E688" s="1">
        <f t="shared" si="209"/>
        <v>0</v>
      </c>
      <c r="F688" s="1">
        <f t="shared" si="210"/>
        <v>0</v>
      </c>
      <c r="G688" s="1" t="str">
        <f t="shared" si="211"/>
        <v>25031507</v>
      </c>
      <c r="H688" s="2">
        <v>45731</v>
      </c>
      <c r="I688" s="113">
        <v>7</v>
      </c>
      <c r="J688" s="1" t="str">
        <f t="shared" si="199"/>
        <v>07</v>
      </c>
      <c r="K688" s="3">
        <f t="shared" si="200"/>
        <v>25</v>
      </c>
      <c r="L688" s="3">
        <f t="shared" si="201"/>
        <v>3</v>
      </c>
      <c r="M688" s="3">
        <f t="shared" si="202"/>
        <v>15</v>
      </c>
      <c r="N688" s="3" t="str">
        <f t="shared" si="203"/>
        <v>03</v>
      </c>
      <c r="O688" s="14">
        <f t="shared" si="204"/>
        <v>15</v>
      </c>
      <c r="P688" s="4">
        <v>132000</v>
      </c>
      <c r="T688" s="5" t="s">
        <v>1684</v>
      </c>
      <c r="U688" s="3" t="s">
        <v>1342</v>
      </c>
      <c r="V688" s="3" t="s">
        <v>5</v>
      </c>
      <c r="W688" s="3" t="s">
        <v>1306</v>
      </c>
      <c r="X688" s="1" t="s">
        <v>1302</v>
      </c>
      <c r="Y688" t="s">
        <v>1252</v>
      </c>
    </row>
    <row r="689" spans="1:25">
      <c r="A689" s="143">
        <v>587</v>
      </c>
      <c r="B689" s="1">
        <f t="shared" si="206"/>
        <v>0</v>
      </c>
      <c r="C689" s="1">
        <f t="shared" si="207"/>
        <v>0</v>
      </c>
      <c r="D689" s="1">
        <f t="shared" si="208"/>
        <v>0</v>
      </c>
      <c r="E689" s="1">
        <f t="shared" si="209"/>
        <v>0</v>
      </c>
      <c r="F689" s="1">
        <f t="shared" si="210"/>
        <v>0</v>
      </c>
      <c r="G689" s="1" t="str">
        <f t="shared" si="211"/>
        <v>25031508</v>
      </c>
      <c r="H689" s="2">
        <v>45731</v>
      </c>
      <c r="I689" s="113">
        <v>8</v>
      </c>
      <c r="J689" s="1" t="str">
        <f t="shared" si="199"/>
        <v>08</v>
      </c>
      <c r="K689" s="3">
        <f t="shared" si="200"/>
        <v>25</v>
      </c>
      <c r="L689" s="3">
        <f t="shared" si="201"/>
        <v>3</v>
      </c>
      <c r="M689" s="3">
        <f t="shared" si="202"/>
        <v>15</v>
      </c>
      <c r="N689" s="3" t="str">
        <f t="shared" si="203"/>
        <v>03</v>
      </c>
      <c r="O689" s="14">
        <f t="shared" si="204"/>
        <v>15</v>
      </c>
      <c r="P689" s="4">
        <v>132000</v>
      </c>
      <c r="T689" s="115" t="s">
        <v>1683</v>
      </c>
      <c r="U689" s="3" t="s">
        <v>1342</v>
      </c>
      <c r="V689" s="3" t="s">
        <v>5</v>
      </c>
      <c r="W689" s="3" t="s">
        <v>1306</v>
      </c>
      <c r="X689" s="1" t="s">
        <v>1302</v>
      </c>
      <c r="Y689"/>
    </row>
    <row r="690" spans="1:25">
      <c r="A690" s="143">
        <v>588</v>
      </c>
      <c r="B690" s="1">
        <f t="shared" si="206"/>
        <v>0</v>
      </c>
      <c r="C690" s="1">
        <f t="shared" si="207"/>
        <v>0</v>
      </c>
      <c r="D690" s="1">
        <f t="shared" si="208"/>
        <v>0</v>
      </c>
      <c r="E690" s="1">
        <f t="shared" si="209"/>
        <v>0</v>
      </c>
      <c r="F690" s="1">
        <f t="shared" si="210"/>
        <v>0</v>
      </c>
      <c r="G690" s="1" t="str">
        <f t="shared" si="211"/>
        <v>25031509</v>
      </c>
      <c r="H690" s="2">
        <v>45731</v>
      </c>
      <c r="I690" s="113">
        <v>9</v>
      </c>
      <c r="J690" s="1" t="str">
        <f t="shared" si="199"/>
        <v>09</v>
      </c>
      <c r="K690" s="3">
        <f t="shared" si="200"/>
        <v>25</v>
      </c>
      <c r="L690" s="3">
        <f t="shared" si="201"/>
        <v>3</v>
      </c>
      <c r="M690" s="3">
        <f t="shared" si="202"/>
        <v>15</v>
      </c>
      <c r="N690" s="3" t="str">
        <f t="shared" si="203"/>
        <v>03</v>
      </c>
      <c r="O690" s="14">
        <f t="shared" si="204"/>
        <v>15</v>
      </c>
      <c r="P690" s="4">
        <v>108000</v>
      </c>
      <c r="T690" s="115" t="s">
        <v>1682</v>
      </c>
      <c r="U690" s="3" t="s">
        <v>1342</v>
      </c>
      <c r="V690" s="3" t="s">
        <v>5</v>
      </c>
      <c r="W690" s="3" t="s">
        <v>1306</v>
      </c>
      <c r="X690" s="1" t="s">
        <v>1302</v>
      </c>
      <c r="Y690"/>
    </row>
    <row r="691" spans="1:25">
      <c r="A691" s="143">
        <v>589</v>
      </c>
      <c r="B691" s="1">
        <f t="shared" si="206"/>
        <v>0</v>
      </c>
      <c r="C691" s="1">
        <f t="shared" si="207"/>
        <v>0</v>
      </c>
      <c r="D691" s="1">
        <f t="shared" si="208"/>
        <v>0</v>
      </c>
      <c r="E691" s="1">
        <f t="shared" si="209"/>
        <v>0</v>
      </c>
      <c r="F691" s="1">
        <f t="shared" si="210"/>
        <v>0</v>
      </c>
      <c r="G691" s="1" t="str">
        <f t="shared" si="211"/>
        <v>25031510</v>
      </c>
      <c r="H691" s="2">
        <v>45731</v>
      </c>
      <c r="I691" s="113">
        <v>10</v>
      </c>
      <c r="J691" s="1">
        <f t="shared" si="199"/>
        <v>10</v>
      </c>
      <c r="K691" s="3">
        <f t="shared" si="200"/>
        <v>25</v>
      </c>
      <c r="L691" s="3">
        <f t="shared" si="201"/>
        <v>3</v>
      </c>
      <c r="M691" s="3">
        <f t="shared" si="202"/>
        <v>15</v>
      </c>
      <c r="N691" s="3" t="str">
        <f t="shared" si="203"/>
        <v>03</v>
      </c>
      <c r="O691" s="14">
        <f t="shared" si="204"/>
        <v>15</v>
      </c>
      <c r="P691" s="4">
        <v>108000</v>
      </c>
      <c r="T691" s="115" t="s">
        <v>1681</v>
      </c>
      <c r="U691" s="3" t="s">
        <v>1342</v>
      </c>
      <c r="V691" s="3" t="s">
        <v>5</v>
      </c>
      <c r="W691" s="3" t="s">
        <v>1306</v>
      </c>
      <c r="X691" s="1" t="s">
        <v>1302</v>
      </c>
      <c r="Y691"/>
    </row>
    <row r="692" spans="1:25">
      <c r="A692" s="143">
        <v>590</v>
      </c>
      <c r="B692" s="1">
        <f t="shared" si="206"/>
        <v>0</v>
      </c>
      <c r="C692" s="1">
        <f t="shared" si="207"/>
        <v>0</v>
      </c>
      <c r="D692" s="1">
        <f t="shared" si="208"/>
        <v>0</v>
      </c>
      <c r="E692" s="1">
        <f t="shared" si="209"/>
        <v>0</v>
      </c>
      <c r="F692" s="1">
        <f t="shared" si="210"/>
        <v>0</v>
      </c>
      <c r="G692" s="1" t="str">
        <f t="shared" si="211"/>
        <v>25031511</v>
      </c>
      <c r="H692" s="2">
        <v>45731</v>
      </c>
      <c r="I692" s="113">
        <v>11</v>
      </c>
      <c r="J692" s="1">
        <f t="shared" si="199"/>
        <v>11</v>
      </c>
      <c r="K692" s="3">
        <f t="shared" si="200"/>
        <v>25</v>
      </c>
      <c r="L692" s="3">
        <f t="shared" si="201"/>
        <v>3</v>
      </c>
      <c r="M692" s="3">
        <f t="shared" si="202"/>
        <v>15</v>
      </c>
      <c r="N692" s="3" t="str">
        <f t="shared" si="203"/>
        <v>03</v>
      </c>
      <c r="O692" s="14">
        <f t="shared" si="204"/>
        <v>15</v>
      </c>
      <c r="P692" s="4">
        <v>132000</v>
      </c>
      <c r="T692" s="115" t="s">
        <v>1680</v>
      </c>
      <c r="U692" s="3" t="s">
        <v>1342</v>
      </c>
      <c r="V692" s="3" t="s">
        <v>5</v>
      </c>
      <c r="W692" s="3" t="s">
        <v>1306</v>
      </c>
      <c r="X692" s="1" t="s">
        <v>1302</v>
      </c>
      <c r="Y692"/>
    </row>
    <row r="693" spans="1:25">
      <c r="A693" s="143">
        <v>591</v>
      </c>
      <c r="B693" s="1">
        <f t="shared" si="206"/>
        <v>0</v>
      </c>
      <c r="C693" s="1">
        <f t="shared" si="207"/>
        <v>0</v>
      </c>
      <c r="D693" s="1">
        <f t="shared" si="208"/>
        <v>0</v>
      </c>
      <c r="E693" s="1">
        <f t="shared" si="209"/>
        <v>0</v>
      </c>
      <c r="F693" s="1">
        <f t="shared" si="210"/>
        <v>0</v>
      </c>
      <c r="G693" s="1" t="str">
        <f t="shared" si="211"/>
        <v>25031512</v>
      </c>
      <c r="H693" s="2">
        <v>45731</v>
      </c>
      <c r="I693" s="113">
        <v>12</v>
      </c>
      <c r="J693" s="1">
        <f t="shared" si="199"/>
        <v>12</v>
      </c>
      <c r="K693" s="3">
        <f t="shared" si="200"/>
        <v>25</v>
      </c>
      <c r="L693" s="3">
        <f t="shared" si="201"/>
        <v>3</v>
      </c>
      <c r="M693" s="3">
        <f t="shared" si="202"/>
        <v>15</v>
      </c>
      <c r="N693" s="3" t="str">
        <f t="shared" si="203"/>
        <v>03</v>
      </c>
      <c r="O693" s="14">
        <f t="shared" si="204"/>
        <v>15</v>
      </c>
      <c r="P693" s="4">
        <v>252000</v>
      </c>
      <c r="T693" s="115" t="s">
        <v>1679</v>
      </c>
      <c r="U693" s="3" t="s">
        <v>1342</v>
      </c>
      <c r="V693" s="3" t="s">
        <v>5</v>
      </c>
      <c r="W693" s="3" t="s">
        <v>1306</v>
      </c>
      <c r="X693" s="1" t="s">
        <v>1302</v>
      </c>
      <c r="Y693"/>
    </row>
    <row r="694" spans="1:25">
      <c r="A694" s="143">
        <v>592</v>
      </c>
      <c r="B694" s="1">
        <f t="shared" si="206"/>
        <v>0</v>
      </c>
      <c r="C694" s="1">
        <f t="shared" si="207"/>
        <v>0</v>
      </c>
      <c r="D694" s="1">
        <f t="shared" si="208"/>
        <v>0</v>
      </c>
      <c r="E694" s="1">
        <f t="shared" si="209"/>
        <v>0</v>
      </c>
      <c r="F694" s="1">
        <f t="shared" si="210"/>
        <v>0</v>
      </c>
      <c r="G694" s="1" t="str">
        <f t="shared" si="211"/>
        <v>25031513</v>
      </c>
      <c r="H694" s="2">
        <v>45731</v>
      </c>
      <c r="I694" s="113">
        <v>13</v>
      </c>
      <c r="J694" s="1">
        <f t="shared" si="199"/>
        <v>13</v>
      </c>
      <c r="K694" s="3">
        <f t="shared" si="200"/>
        <v>25</v>
      </c>
      <c r="L694" s="3">
        <f t="shared" si="201"/>
        <v>3</v>
      </c>
      <c r="M694" s="3">
        <f t="shared" si="202"/>
        <v>15</v>
      </c>
      <c r="N694" s="3" t="str">
        <f t="shared" si="203"/>
        <v>03</v>
      </c>
      <c r="O694" s="14">
        <f t="shared" si="204"/>
        <v>15</v>
      </c>
      <c r="P694" s="4">
        <v>90000</v>
      </c>
      <c r="T694" s="115" t="s">
        <v>1678</v>
      </c>
      <c r="U694" s="3" t="s">
        <v>1342</v>
      </c>
      <c r="V694" s="3" t="s">
        <v>5</v>
      </c>
      <c r="W694" s="3" t="s">
        <v>1306</v>
      </c>
      <c r="X694" s="1" t="s">
        <v>1302</v>
      </c>
      <c r="Y694"/>
    </row>
    <row r="695" spans="1:25">
      <c r="A695" s="143">
        <v>593</v>
      </c>
      <c r="B695" s="1">
        <f t="shared" si="206"/>
        <v>0</v>
      </c>
      <c r="C695" s="1">
        <f t="shared" si="207"/>
        <v>0</v>
      </c>
      <c r="D695" s="1">
        <f t="shared" si="208"/>
        <v>0</v>
      </c>
      <c r="E695" s="1">
        <f t="shared" si="209"/>
        <v>0</v>
      </c>
      <c r="F695" s="1">
        <f t="shared" si="210"/>
        <v>0</v>
      </c>
      <c r="G695" s="1" t="str">
        <f t="shared" si="211"/>
        <v>25031514</v>
      </c>
      <c r="H695" s="2">
        <v>45731</v>
      </c>
      <c r="I695" s="113">
        <v>14</v>
      </c>
      <c r="J695" s="1">
        <f t="shared" si="199"/>
        <v>14</v>
      </c>
      <c r="K695" s="3">
        <f t="shared" si="200"/>
        <v>25</v>
      </c>
      <c r="L695" s="3">
        <f t="shared" si="201"/>
        <v>3</v>
      </c>
      <c r="M695" s="3">
        <f t="shared" si="202"/>
        <v>15</v>
      </c>
      <c r="N695" s="3" t="str">
        <f t="shared" si="203"/>
        <v>03</v>
      </c>
      <c r="O695" s="14">
        <f t="shared" si="204"/>
        <v>15</v>
      </c>
      <c r="P695" s="4">
        <v>150000</v>
      </c>
      <c r="T695" s="115" t="s">
        <v>1677</v>
      </c>
      <c r="U695" s="3" t="s">
        <v>1342</v>
      </c>
      <c r="V695" s="3" t="s">
        <v>5</v>
      </c>
      <c r="W695" s="3" t="s">
        <v>1306</v>
      </c>
      <c r="X695" s="1" t="s">
        <v>1302</v>
      </c>
      <c r="Y695" t="s">
        <v>1612</v>
      </c>
    </row>
    <row r="696" spans="1:25">
      <c r="A696" s="143">
        <v>594</v>
      </c>
      <c r="B696" s="1">
        <f t="shared" si="206"/>
        <v>0</v>
      </c>
      <c r="C696" s="1">
        <f t="shared" si="207"/>
        <v>0</v>
      </c>
      <c r="D696" s="1">
        <f t="shared" si="208"/>
        <v>0</v>
      </c>
      <c r="E696" s="1">
        <f t="shared" si="209"/>
        <v>0</v>
      </c>
      <c r="F696" s="1">
        <f t="shared" si="210"/>
        <v>0</v>
      </c>
      <c r="G696" s="1" t="str">
        <f t="shared" si="211"/>
        <v>25031515</v>
      </c>
      <c r="H696" s="2">
        <v>45731</v>
      </c>
      <c r="I696" s="113">
        <v>15</v>
      </c>
      <c r="J696" s="1">
        <f t="shared" si="199"/>
        <v>15</v>
      </c>
      <c r="K696" s="3">
        <f t="shared" si="200"/>
        <v>25</v>
      </c>
      <c r="L696" s="3">
        <f t="shared" si="201"/>
        <v>3</v>
      </c>
      <c r="M696" s="3">
        <f t="shared" si="202"/>
        <v>15</v>
      </c>
      <c r="N696" s="3" t="str">
        <f t="shared" si="203"/>
        <v>03</v>
      </c>
      <c r="O696" s="14">
        <f t="shared" si="204"/>
        <v>15</v>
      </c>
      <c r="P696" s="4">
        <v>60000</v>
      </c>
      <c r="T696" s="5" t="s">
        <v>1676</v>
      </c>
      <c r="U696" s="3" t="s">
        <v>1342</v>
      </c>
      <c r="V696" s="3" t="s">
        <v>5</v>
      </c>
      <c r="W696" s="3" t="s">
        <v>1306</v>
      </c>
      <c r="X696" s="1" t="s">
        <v>1302</v>
      </c>
      <c r="Y696" t="s">
        <v>1637</v>
      </c>
    </row>
    <row r="697" spans="1:25" hidden="1">
      <c r="A697" s="143"/>
      <c r="J697" s="1" t="str">
        <f t="shared" si="199"/>
        <v>0</v>
      </c>
      <c r="K697" s="3">
        <f t="shared" si="200"/>
        <v>-100</v>
      </c>
      <c r="L697" s="3">
        <f t="shared" si="201"/>
        <v>1</v>
      </c>
      <c r="M697" s="3">
        <f t="shared" si="202"/>
        <v>0</v>
      </c>
      <c r="N697" s="3" t="str">
        <f t="shared" si="203"/>
        <v>01</v>
      </c>
      <c r="O697" s="14" t="str">
        <f t="shared" si="204"/>
        <v>00</v>
      </c>
    </row>
    <row r="698" spans="1:25" hidden="1">
      <c r="A698" s="143"/>
      <c r="J698" s="1" t="str">
        <f t="shared" si="199"/>
        <v>0</v>
      </c>
      <c r="K698" s="3">
        <f t="shared" si="200"/>
        <v>-100</v>
      </c>
      <c r="L698" s="3">
        <f t="shared" si="201"/>
        <v>1</v>
      </c>
      <c r="M698" s="3">
        <f t="shared" si="202"/>
        <v>0</v>
      </c>
      <c r="N698" s="3" t="str">
        <f t="shared" si="203"/>
        <v>01</v>
      </c>
      <c r="O698" s="14" t="str">
        <f t="shared" si="204"/>
        <v>00</v>
      </c>
    </row>
    <row r="699" spans="1:25" hidden="1">
      <c r="A699" s="143"/>
      <c r="J699" s="1" t="str">
        <f t="shared" si="199"/>
        <v>0</v>
      </c>
      <c r="K699" s="3">
        <f t="shared" si="200"/>
        <v>-100</v>
      </c>
      <c r="L699" s="3">
        <f t="shared" si="201"/>
        <v>1</v>
      </c>
      <c r="M699" s="3">
        <f t="shared" si="202"/>
        <v>0</v>
      </c>
      <c r="N699" s="3" t="str">
        <f t="shared" si="203"/>
        <v>01</v>
      </c>
      <c r="O699" s="14" t="str">
        <f t="shared" si="204"/>
        <v>00</v>
      </c>
    </row>
    <row r="700" spans="1:25" hidden="1">
      <c r="A700" s="143"/>
      <c r="J700" s="1" t="str">
        <f t="shared" si="199"/>
        <v>0</v>
      </c>
      <c r="K700" s="3">
        <f t="shared" si="200"/>
        <v>-100</v>
      </c>
      <c r="L700" s="3">
        <f t="shared" si="201"/>
        <v>1</v>
      </c>
      <c r="M700" s="3">
        <f t="shared" si="202"/>
        <v>0</v>
      </c>
      <c r="N700" s="3" t="str">
        <f t="shared" si="203"/>
        <v>01</v>
      </c>
      <c r="O700" s="14" t="str">
        <f t="shared" si="204"/>
        <v>00</v>
      </c>
    </row>
    <row r="701" spans="1:25" hidden="1">
      <c r="A701" s="143"/>
      <c r="J701" s="1" t="str">
        <f t="shared" si="199"/>
        <v>0</v>
      </c>
      <c r="K701" s="3">
        <f t="shared" si="200"/>
        <v>-100</v>
      </c>
      <c r="L701" s="3">
        <f t="shared" si="201"/>
        <v>1</v>
      </c>
      <c r="M701" s="3">
        <f t="shared" si="202"/>
        <v>0</v>
      </c>
      <c r="N701" s="3" t="str">
        <f t="shared" si="203"/>
        <v>01</v>
      </c>
      <c r="O701" s="14" t="str">
        <f t="shared" si="204"/>
        <v>00</v>
      </c>
    </row>
    <row r="702" spans="1:25" hidden="1">
      <c r="A702" s="143">
        <v>709</v>
      </c>
      <c r="B702" s="1">
        <f>IF(G702="-",0,IF(G701=G702,1,0))</f>
        <v>0</v>
      </c>
      <c r="C702" s="1">
        <f>+IF(G702="-",0,IF(I702=I701+1,0,(IF(I702=1,0,1))))</f>
        <v>1</v>
      </c>
      <c r="D702" s="1">
        <f>+IF(AND(P702="",Q702=""),1,0)</f>
        <v>0</v>
      </c>
      <c r="E702" s="1">
        <f>IF(U702="",1,0)</f>
        <v>0</v>
      </c>
      <c r="F702" s="1">
        <f>IF(V702="",1,0)</f>
        <v>0</v>
      </c>
      <c r="G702" s="1" t="str">
        <f>IF(H702=0,"-",_xlfn.CONCAT(K702,N702,O702,J702))</f>
        <v>25031521</v>
      </c>
      <c r="H702" s="2">
        <v>45731</v>
      </c>
      <c r="I702" s="113">
        <v>21</v>
      </c>
      <c r="J702" s="1">
        <f t="shared" si="199"/>
        <v>21</v>
      </c>
      <c r="K702" s="3">
        <f t="shared" si="200"/>
        <v>25</v>
      </c>
      <c r="L702" s="3">
        <f t="shared" si="201"/>
        <v>3</v>
      </c>
      <c r="M702" s="3">
        <f t="shared" si="202"/>
        <v>15</v>
      </c>
      <c r="N702" s="3" t="str">
        <f t="shared" si="203"/>
        <v>03</v>
      </c>
      <c r="O702" s="14">
        <f t="shared" si="204"/>
        <v>15</v>
      </c>
      <c r="P702" s="4">
        <v>19778</v>
      </c>
      <c r="T702" s="5" t="s">
        <v>1675</v>
      </c>
      <c r="U702" s="3" t="s">
        <v>29</v>
      </c>
      <c r="V702" s="3" t="s">
        <v>5</v>
      </c>
      <c r="W702" s="3" t="s">
        <v>1306</v>
      </c>
      <c r="X702" s="1" t="s">
        <v>1305</v>
      </c>
    </row>
    <row r="703" spans="1:25" hidden="1">
      <c r="A703" s="143">
        <v>710</v>
      </c>
      <c r="B703" s="1">
        <f>IF(G703="-",0,IF(G702=G703,1,0))</f>
        <v>0</v>
      </c>
      <c r="C703" s="1">
        <f>+IF(G703="-",0,IF(I703=I702+1,0,(IF(I703=1,0,1))))</f>
        <v>0</v>
      </c>
      <c r="D703" s="1">
        <f>+IF(AND(P703="",Q703=""),1,0)</f>
        <v>0</v>
      </c>
      <c r="E703" s="1">
        <f>IF(U703="",1,0)</f>
        <v>0</v>
      </c>
      <c r="F703" s="1">
        <f>IF(V703="",1,0)</f>
        <v>0</v>
      </c>
      <c r="G703" s="1" t="str">
        <f>IF(H703=0,"-",_xlfn.CONCAT(K703,N703,O703,J703))</f>
        <v>25031522</v>
      </c>
      <c r="H703" s="2">
        <v>45731</v>
      </c>
      <c r="I703" s="113">
        <v>22</v>
      </c>
      <c r="J703" s="1">
        <f t="shared" si="199"/>
        <v>22</v>
      </c>
      <c r="K703" s="3">
        <f t="shared" si="200"/>
        <v>25</v>
      </c>
      <c r="L703" s="3">
        <f t="shared" si="201"/>
        <v>3</v>
      </c>
      <c r="M703" s="3">
        <f t="shared" si="202"/>
        <v>15</v>
      </c>
      <c r="N703" s="3" t="str">
        <f t="shared" si="203"/>
        <v>03</v>
      </c>
      <c r="O703" s="14">
        <f t="shared" si="204"/>
        <v>15</v>
      </c>
      <c r="P703" s="4">
        <v>50155</v>
      </c>
      <c r="T703" s="5" t="s">
        <v>1674</v>
      </c>
      <c r="U703" s="3" t="s">
        <v>29</v>
      </c>
      <c r="V703" s="3" t="s">
        <v>5</v>
      </c>
      <c r="W703" s="3" t="s">
        <v>1306</v>
      </c>
      <c r="X703" s="1" t="s">
        <v>1305</v>
      </c>
    </row>
    <row r="704" spans="1:25" hidden="1">
      <c r="A704" s="143"/>
      <c r="J704" s="1" t="str">
        <f t="shared" si="199"/>
        <v>0</v>
      </c>
      <c r="K704" s="3">
        <f t="shared" si="200"/>
        <v>-100</v>
      </c>
      <c r="L704" s="3">
        <f t="shared" si="201"/>
        <v>1</v>
      </c>
      <c r="M704" s="3">
        <f t="shared" si="202"/>
        <v>0</v>
      </c>
      <c r="N704" s="3" t="str">
        <f t="shared" si="203"/>
        <v>01</v>
      </c>
      <c r="O704" s="14" t="str">
        <f t="shared" si="204"/>
        <v>00</v>
      </c>
    </row>
    <row r="705" spans="1:25" hidden="1">
      <c r="A705" s="143"/>
      <c r="J705" s="1" t="str">
        <f t="shared" si="199"/>
        <v>0</v>
      </c>
      <c r="K705" s="3">
        <f t="shared" si="200"/>
        <v>-100</v>
      </c>
      <c r="L705" s="3">
        <f t="shared" si="201"/>
        <v>1</v>
      </c>
      <c r="M705" s="3">
        <f t="shared" si="202"/>
        <v>0</v>
      </c>
      <c r="N705" s="3" t="str">
        <f t="shared" si="203"/>
        <v>01</v>
      </c>
      <c r="O705" s="14" t="str">
        <f t="shared" si="204"/>
        <v>00</v>
      </c>
    </row>
    <row r="706" spans="1:25" hidden="1">
      <c r="A706" s="143"/>
      <c r="J706" s="1" t="str">
        <f t="shared" si="199"/>
        <v>0</v>
      </c>
      <c r="K706" s="3">
        <f t="shared" si="200"/>
        <v>-100</v>
      </c>
      <c r="L706" s="3">
        <f t="shared" si="201"/>
        <v>1</v>
      </c>
      <c r="M706" s="3">
        <f t="shared" si="202"/>
        <v>0</v>
      </c>
      <c r="N706" s="3" t="str">
        <f t="shared" si="203"/>
        <v>01</v>
      </c>
      <c r="O706" s="14" t="str">
        <f t="shared" si="204"/>
        <v>00</v>
      </c>
    </row>
    <row r="707" spans="1:25" hidden="1">
      <c r="A707" s="143"/>
      <c r="J707" s="1" t="str">
        <f t="shared" si="199"/>
        <v>0</v>
      </c>
      <c r="K707" s="3">
        <f t="shared" si="200"/>
        <v>-100</v>
      </c>
      <c r="L707" s="3">
        <f t="shared" si="201"/>
        <v>1</v>
      </c>
      <c r="M707" s="3">
        <f t="shared" si="202"/>
        <v>0</v>
      </c>
      <c r="N707" s="3" t="str">
        <f t="shared" si="203"/>
        <v>01</v>
      </c>
      <c r="O707" s="14" t="str">
        <f t="shared" si="204"/>
        <v>00</v>
      </c>
    </row>
    <row r="708" spans="1:25">
      <c r="A708" s="143">
        <v>717</v>
      </c>
      <c r="B708" s="1">
        <f>IF(G708="-",0,IF(G707=G708,1,0))</f>
        <v>0</v>
      </c>
      <c r="C708" s="1">
        <f>+IF(G708="-",0,IF(I708=I707+1,0,(IF(I708=1,0,1))))</f>
        <v>1</v>
      </c>
      <c r="D708" s="1">
        <f>+IF(AND(P708="",Q708=""),1,0)</f>
        <v>0</v>
      </c>
      <c r="E708" s="1">
        <f>IF(U708="",1,0)</f>
        <v>1</v>
      </c>
      <c r="F708" s="1">
        <f>IF(V708="",1,0)</f>
        <v>0</v>
      </c>
      <c r="G708" s="1" t="str">
        <f>IF(H708=0,"-",_xlfn.CONCAT(K708,N708,O708,J708))</f>
        <v>25031527</v>
      </c>
      <c r="H708" s="2">
        <v>45731</v>
      </c>
      <c r="I708" s="113">
        <v>27</v>
      </c>
      <c r="J708" s="1">
        <f t="shared" si="199"/>
        <v>27</v>
      </c>
      <c r="K708" s="3">
        <f t="shared" si="200"/>
        <v>25</v>
      </c>
      <c r="L708" s="3">
        <f t="shared" si="201"/>
        <v>3</v>
      </c>
      <c r="M708" s="3">
        <f t="shared" si="202"/>
        <v>15</v>
      </c>
      <c r="N708" s="3" t="str">
        <f t="shared" si="203"/>
        <v>03</v>
      </c>
      <c r="O708" s="14">
        <f t="shared" si="204"/>
        <v>15</v>
      </c>
      <c r="Q708" s="5">
        <v>463.3</v>
      </c>
      <c r="T708" s="5" t="s">
        <v>1673</v>
      </c>
      <c r="V708" s="3" t="s">
        <v>5</v>
      </c>
      <c r="W708" s="3" t="s">
        <v>1306</v>
      </c>
      <c r="X708" s="1" t="s">
        <v>1305</v>
      </c>
    </row>
    <row r="709" spans="1:25" hidden="1">
      <c r="A709" s="143">
        <v>675</v>
      </c>
      <c r="B709" s="1">
        <f>IF(G709="-",0,IF(G708=G709,1,0))</f>
        <v>0</v>
      </c>
      <c r="C709" s="1">
        <f>+IF(G709="-",0,IF(I709=I708+1,0,(IF(I709=1,0,1))))</f>
        <v>0</v>
      </c>
      <c r="D709" s="1">
        <f>+IF(AND(P709="",Q709=""),1,0)</f>
        <v>0</v>
      </c>
      <c r="E709" s="1">
        <f>IF(U709="",1,0)</f>
        <v>0</v>
      </c>
      <c r="F709" s="1">
        <f>IF(V709="",1,0)</f>
        <v>0</v>
      </c>
      <c r="G709" s="1" t="str">
        <f>IF(H709=0,"-",_xlfn.CONCAT(K709,N709,O709,J709))</f>
        <v>25031601</v>
      </c>
      <c r="H709" s="2">
        <v>45732</v>
      </c>
      <c r="I709" s="113">
        <v>1</v>
      </c>
      <c r="J709" s="1" t="str">
        <f t="shared" si="199"/>
        <v>01</v>
      </c>
      <c r="K709" s="3">
        <f t="shared" si="200"/>
        <v>25</v>
      </c>
      <c r="L709" s="3">
        <f t="shared" si="201"/>
        <v>3</v>
      </c>
      <c r="M709" s="3">
        <f t="shared" si="202"/>
        <v>16</v>
      </c>
      <c r="N709" s="3" t="str">
        <f t="shared" si="203"/>
        <v>03</v>
      </c>
      <c r="O709" s="14">
        <f t="shared" si="204"/>
        <v>16</v>
      </c>
      <c r="P709" s="4">
        <v>350000</v>
      </c>
      <c r="T709" s="5" t="s">
        <v>1672</v>
      </c>
      <c r="U709" s="3" t="s">
        <v>305</v>
      </c>
      <c r="V709" s="3" t="s">
        <v>5</v>
      </c>
      <c r="W709" s="3" t="s">
        <v>1306</v>
      </c>
      <c r="X709" s="1" t="s">
        <v>1305</v>
      </c>
      <c r="Y709" s="141" t="s">
        <v>1671</v>
      </c>
    </row>
    <row r="710" spans="1:25" hidden="1">
      <c r="A710" s="143"/>
      <c r="J710" s="1" t="str">
        <f t="shared" si="199"/>
        <v>0</v>
      </c>
      <c r="K710" s="3">
        <f t="shared" si="200"/>
        <v>-100</v>
      </c>
      <c r="L710" s="3">
        <f t="shared" si="201"/>
        <v>1</v>
      </c>
      <c r="M710" s="3">
        <f t="shared" si="202"/>
        <v>0</v>
      </c>
      <c r="N710" s="3" t="str">
        <f t="shared" si="203"/>
        <v>01</v>
      </c>
      <c r="O710" s="14" t="str">
        <f t="shared" si="204"/>
        <v>00</v>
      </c>
      <c r="P710" s="151"/>
      <c r="Q710" s="149"/>
      <c r="R710" s="150"/>
      <c r="S710" s="149"/>
      <c r="T710" s="149"/>
    </row>
    <row r="711" spans="1:25" hidden="1">
      <c r="A711" s="143"/>
      <c r="J711" s="1" t="str">
        <f t="shared" si="199"/>
        <v>0</v>
      </c>
      <c r="K711" s="3">
        <f t="shared" si="200"/>
        <v>-100</v>
      </c>
      <c r="L711" s="3">
        <f t="shared" si="201"/>
        <v>1</v>
      </c>
      <c r="M711" s="3">
        <f t="shared" si="202"/>
        <v>0</v>
      </c>
      <c r="N711" s="3" t="str">
        <f t="shared" si="203"/>
        <v>01</v>
      </c>
      <c r="O711" s="14" t="str">
        <f t="shared" si="204"/>
        <v>00</v>
      </c>
    </row>
    <row r="712" spans="1:25" hidden="1">
      <c r="A712" s="143"/>
      <c r="J712" s="1" t="str">
        <f t="shared" ref="J712:J775" si="212">+IF(I712&lt;10,_xlfn.CONCAT("0",I712),I712)</f>
        <v>0</v>
      </c>
      <c r="K712" s="3">
        <f t="shared" ref="K712:K775" si="213">+YEAR(H712)-2000</f>
        <v>-100</v>
      </c>
      <c r="L712" s="3">
        <f t="shared" ref="L712:L775" si="214">+MONTH(H712)</f>
        <v>1</v>
      </c>
      <c r="M712" s="3">
        <f t="shared" ref="M712:M775" si="215">+DAY(H712)</f>
        <v>0</v>
      </c>
      <c r="N712" s="3" t="str">
        <f t="shared" ref="N712:N775" si="216">+IF(L712&lt;10,_xlfn.CONCAT("0",L712),L712)</f>
        <v>01</v>
      </c>
      <c r="O712" s="14" t="str">
        <f t="shared" ref="O712:O775" si="217">+IF(M712&lt;10,_xlfn.CONCAT("0",M712),M712)</f>
        <v>00</v>
      </c>
    </row>
    <row r="713" spans="1:25" hidden="1">
      <c r="A713" s="143"/>
      <c r="J713" s="1" t="str">
        <f t="shared" si="212"/>
        <v>0</v>
      </c>
      <c r="K713" s="3">
        <f t="shared" si="213"/>
        <v>-100</v>
      </c>
      <c r="L713" s="3">
        <f t="shared" si="214"/>
        <v>1</v>
      </c>
      <c r="M713" s="3">
        <f t="shared" si="215"/>
        <v>0</v>
      </c>
      <c r="N713" s="3" t="str">
        <f t="shared" si="216"/>
        <v>01</v>
      </c>
      <c r="O713" s="14" t="str">
        <f t="shared" si="217"/>
        <v>00</v>
      </c>
    </row>
    <row r="714" spans="1:25" hidden="1">
      <c r="A714" s="143">
        <v>715</v>
      </c>
      <c r="B714" s="1">
        <f>IF(G714="-",0,IF(G713=G714,1,0))</f>
        <v>0</v>
      </c>
      <c r="C714" s="1">
        <f>+IF(G714="-",0,IF(I714=I713+1,0,(IF(I714=1,0,1))))</f>
        <v>1</v>
      </c>
      <c r="D714" s="1">
        <f>+IF(AND(P714="",Q714=""),1,0)</f>
        <v>0</v>
      </c>
      <c r="E714" s="1">
        <f t="shared" ref="E714:F718" si="218">IF(U714="",1,0)</f>
        <v>0</v>
      </c>
      <c r="F714" s="1">
        <f t="shared" si="218"/>
        <v>0</v>
      </c>
      <c r="G714" s="1" t="str">
        <f>IF(H714=0,"-",_xlfn.CONCAT(K714,N714,O714,J714))</f>
        <v>25031704</v>
      </c>
      <c r="H714" s="2">
        <v>45733</v>
      </c>
      <c r="I714" s="113">
        <v>4</v>
      </c>
      <c r="J714" s="1" t="str">
        <f t="shared" si="212"/>
        <v>04</v>
      </c>
      <c r="K714" s="3">
        <f t="shared" si="213"/>
        <v>25</v>
      </c>
      <c r="L714" s="3">
        <f t="shared" si="214"/>
        <v>3</v>
      </c>
      <c r="M714" s="3">
        <f t="shared" si="215"/>
        <v>17</v>
      </c>
      <c r="N714" s="3" t="str">
        <f t="shared" si="216"/>
        <v>03</v>
      </c>
      <c r="O714" s="14">
        <f t="shared" si="217"/>
        <v>17</v>
      </c>
      <c r="P714" s="4">
        <v>7000</v>
      </c>
      <c r="T714" s="5" t="s">
        <v>1670</v>
      </c>
      <c r="U714" s="3" t="s">
        <v>29</v>
      </c>
      <c r="V714" s="3" t="s">
        <v>5</v>
      </c>
      <c r="W714" s="3" t="s">
        <v>1307</v>
      </c>
      <c r="X714" s="1" t="s">
        <v>1305</v>
      </c>
    </row>
    <row r="715" spans="1:25" hidden="1">
      <c r="A715" s="143">
        <v>716</v>
      </c>
      <c r="B715" s="1">
        <f>IF(G715="-",0,IF(G714=G715,1,0))</f>
        <v>0</v>
      </c>
      <c r="C715" s="1">
        <f>+IF(G715="-",0,IF(I715=I714+1,0,(IF(I715=1,0,1))))</f>
        <v>0</v>
      </c>
      <c r="D715" s="1">
        <f>+IF(AND(P715="",Q715=""),1,0)</f>
        <v>0</v>
      </c>
      <c r="E715" s="1">
        <f t="shared" si="218"/>
        <v>0</v>
      </c>
      <c r="F715" s="1">
        <f t="shared" si="218"/>
        <v>0</v>
      </c>
      <c r="G715" s="1" t="str">
        <f>IF(H715=0,"-",_xlfn.CONCAT(K715,N715,O715,J715))</f>
        <v>25031705</v>
      </c>
      <c r="H715" s="2">
        <v>45733</v>
      </c>
      <c r="I715" s="113">
        <v>5</v>
      </c>
      <c r="J715" s="1" t="str">
        <f t="shared" si="212"/>
        <v>05</v>
      </c>
      <c r="K715" s="3">
        <f t="shared" si="213"/>
        <v>25</v>
      </c>
      <c r="L715" s="3">
        <f t="shared" si="214"/>
        <v>3</v>
      </c>
      <c r="M715" s="3">
        <f t="shared" si="215"/>
        <v>17</v>
      </c>
      <c r="N715" s="3" t="str">
        <f t="shared" si="216"/>
        <v>03</v>
      </c>
      <c r="O715" s="14">
        <f t="shared" si="217"/>
        <v>17</v>
      </c>
      <c r="P715" s="4">
        <v>4192.0600000000004</v>
      </c>
      <c r="T715" s="5" t="s">
        <v>1669</v>
      </c>
      <c r="U715" s="3" t="s">
        <v>29</v>
      </c>
      <c r="V715" s="3" t="s">
        <v>5</v>
      </c>
      <c r="W715" s="3" t="s">
        <v>1307</v>
      </c>
      <c r="X715" s="1" t="s">
        <v>1305</v>
      </c>
    </row>
    <row r="716" spans="1:25" hidden="1">
      <c r="A716" s="143">
        <v>718</v>
      </c>
      <c r="B716" s="1">
        <f>IF(G716="-",0,IF(G715=G716,1,0))</f>
        <v>0</v>
      </c>
      <c r="C716" s="1">
        <f>+IF(G716="-",0,IF(I716=I715+1,0,(IF(I716=1,0,1))))</f>
        <v>0</v>
      </c>
      <c r="D716" s="1">
        <f>+IF(AND(P716="",Q716=""),1,0)</f>
        <v>0</v>
      </c>
      <c r="E716" s="1">
        <f t="shared" si="218"/>
        <v>0</v>
      </c>
      <c r="F716" s="1">
        <f t="shared" si="218"/>
        <v>0</v>
      </c>
      <c r="G716" s="1" t="str">
        <f>IF(H716=0,"-",_xlfn.CONCAT(K716,N716,O716,J716))</f>
        <v>25031706</v>
      </c>
      <c r="H716" s="2">
        <v>45733</v>
      </c>
      <c r="I716" s="113">
        <v>6</v>
      </c>
      <c r="J716" s="1" t="str">
        <f t="shared" si="212"/>
        <v>06</v>
      </c>
      <c r="K716" s="3">
        <f t="shared" si="213"/>
        <v>25</v>
      </c>
      <c r="L716" s="3">
        <f t="shared" si="214"/>
        <v>3</v>
      </c>
      <c r="M716" s="3">
        <f t="shared" si="215"/>
        <v>17</v>
      </c>
      <c r="N716" s="3" t="str">
        <f t="shared" si="216"/>
        <v>03</v>
      </c>
      <c r="O716" s="14">
        <f t="shared" si="217"/>
        <v>17</v>
      </c>
      <c r="P716" s="4">
        <v>10970.79</v>
      </c>
      <c r="T716" s="5" t="s">
        <v>1668</v>
      </c>
      <c r="U716" s="3" t="s">
        <v>29</v>
      </c>
      <c r="V716" s="3" t="s">
        <v>5</v>
      </c>
      <c r="W716" s="3" t="s">
        <v>1307</v>
      </c>
      <c r="X716" s="1" t="s">
        <v>1305</v>
      </c>
    </row>
    <row r="717" spans="1:25" hidden="1">
      <c r="A717" s="143">
        <v>719</v>
      </c>
      <c r="B717" s="1">
        <f>IF(G717="-",0,IF(G716=G717,1,0))</f>
        <v>0</v>
      </c>
      <c r="C717" s="1">
        <f>+IF(G717="-",0,IF(I717=I716+1,0,(IF(I717=1,0,1))))</f>
        <v>0</v>
      </c>
      <c r="D717" s="1">
        <f>+IF(AND(P717="",Q717=""),1,0)</f>
        <v>0</v>
      </c>
      <c r="E717" s="1">
        <f t="shared" si="218"/>
        <v>0</v>
      </c>
      <c r="F717" s="1">
        <f t="shared" si="218"/>
        <v>0</v>
      </c>
      <c r="G717" s="1" t="str">
        <f>IF(H717=0,"-",_xlfn.CONCAT(K717,N717,O717,J717))</f>
        <v>25031707</v>
      </c>
      <c r="H717" s="2">
        <v>45733</v>
      </c>
      <c r="I717" s="113">
        <v>7</v>
      </c>
      <c r="J717" s="1" t="str">
        <f t="shared" si="212"/>
        <v>07</v>
      </c>
      <c r="K717" s="3">
        <f t="shared" si="213"/>
        <v>25</v>
      </c>
      <c r="L717" s="3">
        <f t="shared" si="214"/>
        <v>3</v>
      </c>
      <c r="M717" s="3">
        <f t="shared" si="215"/>
        <v>17</v>
      </c>
      <c r="N717" s="3" t="str">
        <f t="shared" si="216"/>
        <v>03</v>
      </c>
      <c r="O717" s="14">
        <f t="shared" si="217"/>
        <v>17</v>
      </c>
      <c r="P717" s="4">
        <v>20000</v>
      </c>
      <c r="T717" s="5" t="s">
        <v>1667</v>
      </c>
      <c r="U717" s="3" t="s">
        <v>29</v>
      </c>
      <c r="V717" s="3" t="s">
        <v>5</v>
      </c>
      <c r="W717" s="3" t="s">
        <v>1307</v>
      </c>
      <c r="X717" s="1" t="s">
        <v>1305</v>
      </c>
    </row>
    <row r="718" spans="1:25" hidden="1">
      <c r="A718" s="143">
        <v>720</v>
      </c>
      <c r="B718" s="1">
        <f>IF(G718="-",0,IF(G717=G718,1,0))</f>
        <v>0</v>
      </c>
      <c r="C718" s="1">
        <f>+IF(G718="-",0,IF(I718=I717+1,0,(IF(I718=1,0,1))))</f>
        <v>0</v>
      </c>
      <c r="D718" s="1">
        <f>+IF(AND(P718="",Q718=""),1,0)</f>
        <v>0</v>
      </c>
      <c r="E718" s="1">
        <f t="shared" si="218"/>
        <v>0</v>
      </c>
      <c r="F718" s="1">
        <f t="shared" si="218"/>
        <v>0</v>
      </c>
      <c r="G718" s="1" t="str">
        <f>IF(H718=0,"-",_xlfn.CONCAT(K718,N718,O718,J718))</f>
        <v>25031708</v>
      </c>
      <c r="H718" s="2">
        <v>45733</v>
      </c>
      <c r="I718" s="113">
        <v>8</v>
      </c>
      <c r="J718" s="1" t="str">
        <f t="shared" si="212"/>
        <v>08</v>
      </c>
      <c r="K718" s="3">
        <f t="shared" si="213"/>
        <v>25</v>
      </c>
      <c r="L718" s="3">
        <f t="shared" si="214"/>
        <v>3</v>
      </c>
      <c r="M718" s="3">
        <f t="shared" si="215"/>
        <v>17</v>
      </c>
      <c r="N718" s="3" t="str">
        <f t="shared" si="216"/>
        <v>03</v>
      </c>
      <c r="O718" s="14">
        <f t="shared" si="217"/>
        <v>17</v>
      </c>
      <c r="P718" s="4">
        <v>22200</v>
      </c>
      <c r="T718" s="5" t="s">
        <v>1666</v>
      </c>
      <c r="U718" s="3" t="s">
        <v>29</v>
      </c>
      <c r="V718" s="3" t="s">
        <v>5</v>
      </c>
      <c r="W718" s="3" t="s">
        <v>1307</v>
      </c>
      <c r="X718" s="1" t="s">
        <v>1305</v>
      </c>
    </row>
    <row r="719" spans="1:25" hidden="1">
      <c r="A719" s="143"/>
      <c r="J719" s="1" t="str">
        <f t="shared" si="212"/>
        <v>0</v>
      </c>
      <c r="K719" s="3">
        <f t="shared" si="213"/>
        <v>-100</v>
      </c>
      <c r="L719" s="3">
        <f t="shared" si="214"/>
        <v>1</v>
      </c>
      <c r="M719" s="3">
        <f t="shared" si="215"/>
        <v>0</v>
      </c>
      <c r="N719" s="3" t="str">
        <f t="shared" si="216"/>
        <v>01</v>
      </c>
      <c r="O719" s="14" t="str">
        <f t="shared" si="217"/>
        <v>00</v>
      </c>
    </row>
    <row r="720" spans="1:25" hidden="1">
      <c r="A720" s="143"/>
      <c r="J720" s="1" t="str">
        <f t="shared" si="212"/>
        <v>0</v>
      </c>
      <c r="K720" s="3">
        <f t="shared" si="213"/>
        <v>-100</v>
      </c>
      <c r="L720" s="3">
        <f t="shared" si="214"/>
        <v>1</v>
      </c>
      <c r="M720" s="3">
        <f t="shared" si="215"/>
        <v>0</v>
      </c>
      <c r="N720" s="3" t="str">
        <f t="shared" si="216"/>
        <v>01</v>
      </c>
      <c r="O720" s="14" t="str">
        <f t="shared" si="217"/>
        <v>00</v>
      </c>
    </row>
    <row r="721" spans="1:24" hidden="1">
      <c r="A721" s="143">
        <v>722</v>
      </c>
      <c r="B721" s="1">
        <f>IF(G721="-",0,IF(G720=G721,1,0))</f>
        <v>0</v>
      </c>
      <c r="C721" s="1">
        <f>+IF(G721="-",0,IF(I721=I720+1,0,(IF(I721=1,0,1))))</f>
        <v>1</v>
      </c>
      <c r="D721" s="1">
        <f>+IF(AND(P721="",Q721=""),1,0)</f>
        <v>0</v>
      </c>
      <c r="E721" s="1">
        <f>IF(U721="",1,0)</f>
        <v>0</v>
      </c>
      <c r="F721" s="1">
        <f>IF(V721="",1,0)</f>
        <v>0</v>
      </c>
      <c r="G721" s="1" t="str">
        <f>IF(H721=0,"-",_xlfn.CONCAT(K721,N721,O721,J721))</f>
        <v>25031803</v>
      </c>
      <c r="H721" s="2">
        <v>45734</v>
      </c>
      <c r="I721" s="113">
        <v>3</v>
      </c>
      <c r="J721" s="1" t="str">
        <f t="shared" si="212"/>
        <v>03</v>
      </c>
      <c r="K721" s="3">
        <f t="shared" si="213"/>
        <v>25</v>
      </c>
      <c r="L721" s="3">
        <f t="shared" si="214"/>
        <v>3</v>
      </c>
      <c r="M721" s="3">
        <f t="shared" si="215"/>
        <v>18</v>
      </c>
      <c r="N721" s="3" t="str">
        <f t="shared" si="216"/>
        <v>03</v>
      </c>
      <c r="O721" s="14">
        <f t="shared" si="217"/>
        <v>18</v>
      </c>
      <c r="P721" s="4">
        <v>14750.03</v>
      </c>
      <c r="T721" s="5" t="s">
        <v>1665</v>
      </c>
      <c r="U721" s="3" t="s">
        <v>30</v>
      </c>
      <c r="V721" s="3" t="s">
        <v>1312</v>
      </c>
      <c r="W721" s="3" t="s">
        <v>1307</v>
      </c>
      <c r="X721" s="1" t="s">
        <v>1305</v>
      </c>
    </row>
    <row r="722" spans="1:24" hidden="1">
      <c r="A722" s="143">
        <v>723</v>
      </c>
      <c r="B722" s="1">
        <f>IF(G722="-",0,IF(G721=G722,1,0))</f>
        <v>0</v>
      </c>
      <c r="C722" s="1">
        <f>+IF(G722="-",0,IF(I722=I721+1,0,(IF(I722=1,0,1))))</f>
        <v>0</v>
      </c>
      <c r="D722" s="1">
        <f>+IF(AND(P722="",Q722=""),1,0)</f>
        <v>0</v>
      </c>
      <c r="E722" s="1">
        <f>IF(U722="",1,0)</f>
        <v>0</v>
      </c>
      <c r="F722" s="1">
        <f>IF(V722="",1,0)</f>
        <v>0</v>
      </c>
      <c r="G722" s="1" t="str">
        <f>IF(H722=0,"-",_xlfn.CONCAT(K722,N722,O722,J722))</f>
        <v>25031804</v>
      </c>
      <c r="H722" s="2">
        <v>45734</v>
      </c>
      <c r="I722" s="113">
        <v>4</v>
      </c>
      <c r="J722" s="1" t="str">
        <f t="shared" si="212"/>
        <v>04</v>
      </c>
      <c r="K722" s="3">
        <f t="shared" si="213"/>
        <v>25</v>
      </c>
      <c r="L722" s="3">
        <f t="shared" si="214"/>
        <v>3</v>
      </c>
      <c r="M722" s="3">
        <f t="shared" si="215"/>
        <v>18</v>
      </c>
      <c r="N722" s="3" t="str">
        <f t="shared" si="216"/>
        <v>03</v>
      </c>
      <c r="O722" s="14">
        <f t="shared" si="217"/>
        <v>18</v>
      </c>
      <c r="P722" s="4">
        <v>107786.25</v>
      </c>
      <c r="T722" s="5" t="s">
        <v>352</v>
      </c>
      <c r="U722" s="3" t="s">
        <v>30</v>
      </c>
      <c r="V722" s="3" t="s">
        <v>1312</v>
      </c>
      <c r="W722" s="3" t="s">
        <v>1307</v>
      </c>
      <c r="X722" s="1" t="s">
        <v>1305</v>
      </c>
    </row>
    <row r="723" spans="1:24" hidden="1">
      <c r="A723" s="143"/>
      <c r="J723" s="1" t="str">
        <f t="shared" si="212"/>
        <v>0</v>
      </c>
      <c r="K723" s="3">
        <f t="shared" si="213"/>
        <v>-100</v>
      </c>
      <c r="L723" s="3">
        <f t="shared" si="214"/>
        <v>1</v>
      </c>
      <c r="M723" s="3">
        <f t="shared" si="215"/>
        <v>0</v>
      </c>
      <c r="N723" s="3" t="str">
        <f t="shared" si="216"/>
        <v>01</v>
      </c>
      <c r="O723" s="14" t="str">
        <f t="shared" si="217"/>
        <v>00</v>
      </c>
    </row>
    <row r="724" spans="1:24" hidden="1">
      <c r="A724" s="143"/>
      <c r="J724" s="1" t="str">
        <f t="shared" si="212"/>
        <v>0</v>
      </c>
      <c r="K724" s="3">
        <f t="shared" si="213"/>
        <v>-100</v>
      </c>
      <c r="L724" s="3">
        <f t="shared" si="214"/>
        <v>1</v>
      </c>
      <c r="M724" s="3">
        <f t="shared" si="215"/>
        <v>0</v>
      </c>
      <c r="N724" s="3" t="str">
        <f t="shared" si="216"/>
        <v>01</v>
      </c>
      <c r="O724" s="14" t="str">
        <f t="shared" si="217"/>
        <v>00</v>
      </c>
    </row>
    <row r="725" spans="1:24" hidden="1">
      <c r="A725" s="143"/>
      <c r="J725" s="1" t="str">
        <f t="shared" si="212"/>
        <v>0</v>
      </c>
      <c r="K725" s="3">
        <f t="shared" si="213"/>
        <v>-100</v>
      </c>
      <c r="L725" s="3">
        <f t="shared" si="214"/>
        <v>1</v>
      </c>
      <c r="M725" s="3">
        <f t="shared" si="215"/>
        <v>0</v>
      </c>
      <c r="N725" s="3" t="str">
        <f t="shared" si="216"/>
        <v>01</v>
      </c>
      <c r="O725" s="14" t="str">
        <f t="shared" si="217"/>
        <v>00</v>
      </c>
    </row>
    <row r="726" spans="1:24" hidden="1">
      <c r="A726" s="143">
        <v>680</v>
      </c>
      <c r="B726" s="1">
        <f>IF(G726="-",0,IF(G725=G726,1,0))</f>
        <v>0</v>
      </c>
      <c r="C726" s="1">
        <f>+IF(G726="-",0,IF(I726=I725+1,0,(IF(I726=1,0,1))))</f>
        <v>0</v>
      </c>
      <c r="D726" s="1">
        <f>+IF(AND(P726="",Q726=""),1,0)</f>
        <v>0</v>
      </c>
      <c r="E726" s="1">
        <f>IF(U726="",1,0)</f>
        <v>0</v>
      </c>
      <c r="F726" s="1">
        <f>IF(V726="",1,0)</f>
        <v>0</v>
      </c>
      <c r="G726" s="1" t="str">
        <f>IF(H726=0,"-",_xlfn.CONCAT(K726,N726,O726,J726))</f>
        <v>25031901</v>
      </c>
      <c r="H726" s="2">
        <v>45735</v>
      </c>
      <c r="I726" s="113">
        <v>1</v>
      </c>
      <c r="J726" s="1" t="str">
        <f t="shared" si="212"/>
        <v>01</v>
      </c>
      <c r="K726" s="3">
        <f t="shared" si="213"/>
        <v>25</v>
      </c>
      <c r="L726" s="3">
        <f t="shared" si="214"/>
        <v>3</v>
      </c>
      <c r="M726" s="3">
        <f t="shared" si="215"/>
        <v>19</v>
      </c>
      <c r="N726" s="3" t="str">
        <f t="shared" si="216"/>
        <v>03</v>
      </c>
      <c r="O726" s="14">
        <f t="shared" si="217"/>
        <v>19</v>
      </c>
      <c r="P726" s="4">
        <v>200000</v>
      </c>
      <c r="T726" s="5" t="s">
        <v>1570</v>
      </c>
      <c r="U726" s="3" t="s">
        <v>3</v>
      </c>
      <c r="V726" s="3" t="s">
        <v>5</v>
      </c>
      <c r="W726" s="3" t="s">
        <v>1306</v>
      </c>
      <c r="X726" s="1" t="s">
        <v>1302</v>
      </c>
    </row>
    <row r="727" spans="1:24" hidden="1">
      <c r="A727" s="143"/>
      <c r="J727" s="1" t="str">
        <f t="shared" si="212"/>
        <v>0</v>
      </c>
      <c r="K727" s="3">
        <f t="shared" si="213"/>
        <v>-100</v>
      </c>
      <c r="L727" s="3">
        <f t="shared" si="214"/>
        <v>1</v>
      </c>
      <c r="M727" s="3">
        <f t="shared" si="215"/>
        <v>0</v>
      </c>
      <c r="N727" s="3" t="str">
        <f t="shared" si="216"/>
        <v>01</v>
      </c>
      <c r="O727" s="14" t="str">
        <f t="shared" si="217"/>
        <v>00</v>
      </c>
    </row>
    <row r="728" spans="1:24" hidden="1">
      <c r="A728" s="143"/>
      <c r="J728" s="1" t="str">
        <f t="shared" si="212"/>
        <v>0</v>
      </c>
      <c r="K728" s="3">
        <f t="shared" si="213"/>
        <v>-100</v>
      </c>
      <c r="L728" s="3">
        <f t="shared" si="214"/>
        <v>1</v>
      </c>
      <c r="M728" s="3">
        <f t="shared" si="215"/>
        <v>0</v>
      </c>
      <c r="N728" s="3" t="str">
        <f t="shared" si="216"/>
        <v>01</v>
      </c>
      <c r="O728" s="14" t="str">
        <f t="shared" si="217"/>
        <v>00</v>
      </c>
    </row>
    <row r="729" spans="1:24" hidden="1">
      <c r="A729" s="143">
        <v>726</v>
      </c>
      <c r="B729" s="1">
        <f>IF(G729="-",0,IF(G728=G729,1,0))</f>
        <v>0</v>
      </c>
      <c r="C729" s="1">
        <f>+IF(G729="-",0,IF(I729=I728+1,0,(IF(I729=1,0,1))))</f>
        <v>1</v>
      </c>
      <c r="D729" s="1">
        <f>+IF(AND(P729="",Q729=""),1,0)</f>
        <v>0</v>
      </c>
      <c r="E729" s="1">
        <f>IF(U729="",1,0)</f>
        <v>0</v>
      </c>
      <c r="F729" s="1">
        <f>IF(V729="",1,0)</f>
        <v>0</v>
      </c>
      <c r="G729" s="1" t="str">
        <f>IF(H729=0,"-",_xlfn.CONCAT(K729,N729,O729,J729))</f>
        <v>25031904</v>
      </c>
      <c r="H729" s="2">
        <v>45735</v>
      </c>
      <c r="I729" s="113">
        <v>4</v>
      </c>
      <c r="J729" s="1" t="str">
        <f t="shared" si="212"/>
        <v>04</v>
      </c>
      <c r="K729" s="3">
        <f t="shared" si="213"/>
        <v>25</v>
      </c>
      <c r="L729" s="3">
        <f t="shared" si="214"/>
        <v>3</v>
      </c>
      <c r="M729" s="3">
        <f t="shared" si="215"/>
        <v>19</v>
      </c>
      <c r="N729" s="3" t="str">
        <f t="shared" si="216"/>
        <v>03</v>
      </c>
      <c r="O729" s="14">
        <f t="shared" si="217"/>
        <v>19</v>
      </c>
      <c r="P729" s="4">
        <v>20590.919999999998</v>
      </c>
      <c r="T729" s="5" t="s">
        <v>1664</v>
      </c>
      <c r="U729" s="3" t="s">
        <v>29</v>
      </c>
      <c r="V729" s="3" t="s">
        <v>5</v>
      </c>
      <c r="W729" s="3" t="s">
        <v>1309</v>
      </c>
      <c r="X729" s="1" t="s">
        <v>1305</v>
      </c>
    </row>
    <row r="730" spans="1:24" hidden="1">
      <c r="A730" s="143"/>
      <c r="J730" s="1" t="str">
        <f t="shared" si="212"/>
        <v>0</v>
      </c>
      <c r="K730" s="3">
        <f t="shared" si="213"/>
        <v>-100</v>
      </c>
      <c r="L730" s="3">
        <f t="shared" si="214"/>
        <v>1</v>
      </c>
      <c r="M730" s="3">
        <f t="shared" si="215"/>
        <v>0</v>
      </c>
      <c r="N730" s="3" t="str">
        <f t="shared" si="216"/>
        <v>01</v>
      </c>
      <c r="O730" s="14" t="str">
        <f t="shared" si="217"/>
        <v>00</v>
      </c>
    </row>
    <row r="731" spans="1:24" hidden="1">
      <c r="A731" s="143">
        <v>729</v>
      </c>
      <c r="B731" s="1">
        <f>IF(G731="-",0,IF(G730=G731,1,0))</f>
        <v>0</v>
      </c>
      <c r="C731" s="1">
        <f>+IF(G731="-",0,IF(I731=I730+1,0,(IF(I731=1,0,1))))</f>
        <v>0</v>
      </c>
      <c r="D731" s="1">
        <f>+IF(AND(P731="",Q731=""),1,0)</f>
        <v>0</v>
      </c>
      <c r="E731" s="1">
        <f>IF(U731="",1,0)</f>
        <v>0</v>
      </c>
      <c r="F731" s="1">
        <f>IF(V731="",1,0)</f>
        <v>0</v>
      </c>
      <c r="G731" s="1" t="str">
        <f>IF(H731=0,"-",_xlfn.CONCAT(K731,N731,O731,J731))</f>
        <v>25032001</v>
      </c>
      <c r="H731" s="2">
        <v>45736</v>
      </c>
      <c r="I731" s="113">
        <v>1</v>
      </c>
      <c r="J731" s="1" t="str">
        <f t="shared" si="212"/>
        <v>01</v>
      </c>
      <c r="K731" s="3">
        <f t="shared" si="213"/>
        <v>25</v>
      </c>
      <c r="L731" s="3">
        <f t="shared" si="214"/>
        <v>3</v>
      </c>
      <c r="M731" s="3">
        <f t="shared" si="215"/>
        <v>20</v>
      </c>
      <c r="N731" s="3" t="str">
        <f t="shared" si="216"/>
        <v>03</v>
      </c>
      <c r="O731" s="14">
        <f t="shared" si="217"/>
        <v>20</v>
      </c>
      <c r="P731" s="4">
        <v>31983.64</v>
      </c>
      <c r="T731" s="5" t="s">
        <v>1663</v>
      </c>
      <c r="U731" s="3" t="s">
        <v>29</v>
      </c>
      <c r="V731" s="3" t="s">
        <v>5</v>
      </c>
      <c r="W731" s="3" t="s">
        <v>1307</v>
      </c>
      <c r="X731" s="1" t="s">
        <v>1305</v>
      </c>
    </row>
    <row r="732" spans="1:24" hidden="1">
      <c r="A732" s="143">
        <v>730</v>
      </c>
      <c r="B732" s="1">
        <f>IF(G732="-",0,IF(G731=G732,1,0))</f>
        <v>0</v>
      </c>
      <c r="C732" s="1">
        <f>+IF(G732="-",0,IF(I732=I731+1,0,(IF(I732=1,0,1))))</f>
        <v>0</v>
      </c>
      <c r="D732" s="1">
        <f>+IF(AND(P732="",Q732=""),1,0)</f>
        <v>0</v>
      </c>
      <c r="E732" s="1">
        <f>IF(U732="",1,0)</f>
        <v>0</v>
      </c>
      <c r="F732" s="1">
        <f>IF(V732="",1,0)</f>
        <v>0</v>
      </c>
      <c r="G732" s="1" t="str">
        <f>IF(H732=0,"-",_xlfn.CONCAT(K732,N732,O732,J732))</f>
        <v>25032002</v>
      </c>
      <c r="H732" s="2">
        <v>45736</v>
      </c>
      <c r="I732" s="113">
        <v>2</v>
      </c>
      <c r="J732" s="1" t="str">
        <f t="shared" si="212"/>
        <v>02</v>
      </c>
      <c r="K732" s="3">
        <f t="shared" si="213"/>
        <v>25</v>
      </c>
      <c r="L732" s="3">
        <f t="shared" si="214"/>
        <v>3</v>
      </c>
      <c r="M732" s="3">
        <f t="shared" si="215"/>
        <v>20</v>
      </c>
      <c r="N732" s="3" t="str">
        <f t="shared" si="216"/>
        <v>03</v>
      </c>
      <c r="O732" s="14">
        <f t="shared" si="217"/>
        <v>20</v>
      </c>
      <c r="P732" s="4">
        <v>20000</v>
      </c>
      <c r="T732" s="5" t="s">
        <v>1662</v>
      </c>
      <c r="U732" s="3" t="s">
        <v>30</v>
      </c>
      <c r="V732" s="3" t="s">
        <v>1312</v>
      </c>
      <c r="W732" s="3" t="s">
        <v>1307</v>
      </c>
      <c r="X732" s="1" t="s">
        <v>1305</v>
      </c>
    </row>
    <row r="733" spans="1:24" hidden="1">
      <c r="A733" s="143"/>
      <c r="J733" s="1" t="str">
        <f t="shared" si="212"/>
        <v>0</v>
      </c>
      <c r="K733" s="3">
        <f t="shared" si="213"/>
        <v>-100</v>
      </c>
      <c r="L733" s="3">
        <f t="shared" si="214"/>
        <v>1</v>
      </c>
      <c r="M733" s="3">
        <f t="shared" si="215"/>
        <v>0</v>
      </c>
      <c r="N733" s="3" t="str">
        <f t="shared" si="216"/>
        <v>01</v>
      </c>
      <c r="O733" s="14" t="str">
        <f t="shared" si="217"/>
        <v>00</v>
      </c>
    </row>
    <row r="734" spans="1:24" hidden="1">
      <c r="A734" s="143">
        <v>732</v>
      </c>
      <c r="B734" s="1">
        <f>IF(G734="-",0,IF(G733=G734,1,0))</f>
        <v>0</v>
      </c>
      <c r="C734" s="1">
        <f>+IF(G734="-",0,IF(I734=I733+1,0,(IF(I734=1,0,1))))</f>
        <v>1</v>
      </c>
      <c r="D734" s="1">
        <f>+IF(AND(P734="",Q734=""),1,0)</f>
        <v>0</v>
      </c>
      <c r="E734" s="1">
        <f>IF(U734="",1,0)</f>
        <v>0</v>
      </c>
      <c r="F734" s="1">
        <f>IF(V734="",1,0)</f>
        <v>0</v>
      </c>
      <c r="G734" s="1" t="str">
        <f>IF(H734=0,"-",_xlfn.CONCAT(K734,N734,O734,J734))</f>
        <v>25032004</v>
      </c>
      <c r="H734" s="2">
        <v>45736</v>
      </c>
      <c r="I734" s="113">
        <v>4</v>
      </c>
      <c r="J734" s="1" t="str">
        <f t="shared" si="212"/>
        <v>04</v>
      </c>
      <c r="K734" s="3">
        <f t="shared" si="213"/>
        <v>25</v>
      </c>
      <c r="L734" s="3">
        <f t="shared" si="214"/>
        <v>3</v>
      </c>
      <c r="M734" s="3">
        <f t="shared" si="215"/>
        <v>20</v>
      </c>
      <c r="N734" s="3" t="str">
        <f t="shared" si="216"/>
        <v>03</v>
      </c>
      <c r="O734" s="14">
        <f t="shared" si="217"/>
        <v>20</v>
      </c>
      <c r="P734" s="4">
        <v>5120</v>
      </c>
      <c r="T734" s="5" t="s">
        <v>1400</v>
      </c>
      <c r="U734" s="3" t="s">
        <v>1310</v>
      </c>
      <c r="V734" s="3" t="s">
        <v>1304</v>
      </c>
      <c r="W734" s="3" t="s">
        <v>1309</v>
      </c>
      <c r="X734" s="1" t="s">
        <v>1305</v>
      </c>
    </row>
    <row r="735" spans="1:24" hidden="1">
      <c r="A735" s="143"/>
      <c r="J735" s="1" t="str">
        <f t="shared" si="212"/>
        <v>0</v>
      </c>
      <c r="K735" s="3">
        <f t="shared" si="213"/>
        <v>-100</v>
      </c>
      <c r="L735" s="3">
        <f t="shared" si="214"/>
        <v>1</v>
      </c>
      <c r="M735" s="3">
        <f t="shared" si="215"/>
        <v>0</v>
      </c>
      <c r="N735" s="3" t="str">
        <f t="shared" si="216"/>
        <v>01</v>
      </c>
      <c r="O735" s="14" t="str">
        <f t="shared" si="217"/>
        <v>00</v>
      </c>
      <c r="P735" s="11"/>
      <c r="Q735" s="12"/>
      <c r="R735" s="13"/>
      <c r="S735" s="12"/>
      <c r="T735" s="12"/>
    </row>
    <row r="736" spans="1:24" hidden="1">
      <c r="A736" s="143"/>
      <c r="J736" s="1" t="str">
        <f t="shared" si="212"/>
        <v>0</v>
      </c>
      <c r="K736" s="3">
        <f t="shared" si="213"/>
        <v>-100</v>
      </c>
      <c r="L736" s="3">
        <f t="shared" si="214"/>
        <v>1</v>
      </c>
      <c r="M736" s="3">
        <f t="shared" si="215"/>
        <v>0</v>
      </c>
      <c r="N736" s="3" t="str">
        <f t="shared" si="216"/>
        <v>01</v>
      </c>
      <c r="O736" s="14" t="str">
        <f t="shared" si="217"/>
        <v>00</v>
      </c>
    </row>
    <row r="737" spans="1:25" hidden="1">
      <c r="A737" s="143"/>
      <c r="J737" s="1" t="str">
        <f t="shared" si="212"/>
        <v>0</v>
      </c>
      <c r="K737" s="3">
        <f t="shared" si="213"/>
        <v>-100</v>
      </c>
      <c r="L737" s="3">
        <f t="shared" si="214"/>
        <v>1</v>
      </c>
      <c r="M737" s="3">
        <f t="shared" si="215"/>
        <v>0</v>
      </c>
      <c r="N737" s="3" t="str">
        <f t="shared" si="216"/>
        <v>01</v>
      </c>
      <c r="O737" s="14" t="str">
        <f t="shared" si="217"/>
        <v>00</v>
      </c>
      <c r="P737" s="11"/>
      <c r="Q737" s="12"/>
      <c r="R737" s="13"/>
      <c r="S737" s="12"/>
      <c r="T737" s="12"/>
    </row>
    <row r="738" spans="1:25" hidden="1">
      <c r="A738" s="143"/>
      <c r="J738" s="1" t="str">
        <f t="shared" si="212"/>
        <v>0</v>
      </c>
      <c r="K738" s="3">
        <f t="shared" si="213"/>
        <v>-100</v>
      </c>
      <c r="L738" s="3">
        <f t="shared" si="214"/>
        <v>1</v>
      </c>
      <c r="M738" s="3">
        <f t="shared" si="215"/>
        <v>0</v>
      </c>
      <c r="N738" s="3" t="str">
        <f t="shared" si="216"/>
        <v>01</v>
      </c>
      <c r="O738" s="14" t="str">
        <f t="shared" si="217"/>
        <v>00</v>
      </c>
    </row>
    <row r="739" spans="1:25" hidden="1">
      <c r="A739" s="143">
        <v>684</v>
      </c>
      <c r="B739" s="1">
        <f>IF(G739="-",0,IF(G738=G739,1,0))</f>
        <v>0</v>
      </c>
      <c r="C739" s="1">
        <f>+IF(G739="-",0,IF(I739=I738+1,0,(IF(I739=1,0,1))))</f>
        <v>1</v>
      </c>
      <c r="D739" s="1">
        <f>+IF(AND(P739="",Q739=""),1,0)</f>
        <v>0</v>
      </c>
      <c r="E739" s="1">
        <f t="shared" ref="E739:F741" si="219">IF(U739="",1,0)</f>
        <v>0</v>
      </c>
      <c r="F739" s="1">
        <f t="shared" si="219"/>
        <v>0</v>
      </c>
      <c r="G739" s="1" t="str">
        <f>IF(H739=0,"-",_xlfn.CONCAT(K739,N739,O739,J739))</f>
        <v>25032102</v>
      </c>
      <c r="H739" s="2">
        <v>45737</v>
      </c>
      <c r="I739" s="113">
        <v>2</v>
      </c>
      <c r="J739" s="1" t="str">
        <f t="shared" si="212"/>
        <v>02</v>
      </c>
      <c r="K739" s="3">
        <f t="shared" si="213"/>
        <v>25</v>
      </c>
      <c r="L739" s="3">
        <f t="shared" si="214"/>
        <v>3</v>
      </c>
      <c r="M739" s="3">
        <f t="shared" si="215"/>
        <v>21</v>
      </c>
      <c r="N739" s="3" t="str">
        <f t="shared" si="216"/>
        <v>03</v>
      </c>
      <c r="O739" s="14">
        <f t="shared" si="217"/>
        <v>21</v>
      </c>
      <c r="Q739" s="5">
        <v>600</v>
      </c>
      <c r="T739" s="5" t="s">
        <v>1661</v>
      </c>
      <c r="U739" s="3" t="s">
        <v>3</v>
      </c>
      <c r="V739" s="3" t="s">
        <v>1316</v>
      </c>
      <c r="W739" s="3" t="s">
        <v>1306</v>
      </c>
    </row>
    <row r="740" spans="1:25" hidden="1">
      <c r="A740" s="143">
        <v>733</v>
      </c>
      <c r="B740" s="1">
        <f>IF(G740="-",0,IF(G739=G740,1,0))</f>
        <v>0</v>
      </c>
      <c r="C740" s="1">
        <f>+IF(G740="-",0,IF(I740=I739+1,0,(IF(I740=1,0,1))))</f>
        <v>0</v>
      </c>
      <c r="D740" s="1">
        <f>+IF(AND(P740="",Q740=""),1,0)</f>
        <v>0</v>
      </c>
      <c r="E740" s="1">
        <f t="shared" si="219"/>
        <v>0</v>
      </c>
      <c r="F740" s="1">
        <f t="shared" si="219"/>
        <v>0</v>
      </c>
      <c r="G740" s="1" t="str">
        <f>IF(H740=0,"-",_xlfn.CONCAT(K740,N740,O740,J740))</f>
        <v>25032103</v>
      </c>
      <c r="H740" s="2">
        <v>45737</v>
      </c>
      <c r="I740" s="113">
        <v>3</v>
      </c>
      <c r="J740" s="1" t="str">
        <f t="shared" si="212"/>
        <v>03</v>
      </c>
      <c r="K740" s="3">
        <f t="shared" si="213"/>
        <v>25</v>
      </c>
      <c r="L740" s="3">
        <f t="shared" si="214"/>
        <v>3</v>
      </c>
      <c r="M740" s="3">
        <f t="shared" si="215"/>
        <v>21</v>
      </c>
      <c r="N740" s="3" t="str">
        <f t="shared" si="216"/>
        <v>03</v>
      </c>
      <c r="O740" s="14">
        <f t="shared" si="217"/>
        <v>21</v>
      </c>
      <c r="P740" s="4">
        <v>5250</v>
      </c>
      <c r="T740" s="5" t="s">
        <v>1660</v>
      </c>
      <c r="U740" s="3" t="s">
        <v>30</v>
      </c>
      <c r="V740" s="3" t="s">
        <v>1312</v>
      </c>
      <c r="W740" s="3" t="s">
        <v>1307</v>
      </c>
      <c r="X740" s="1" t="s">
        <v>1305</v>
      </c>
    </row>
    <row r="741" spans="1:25" hidden="1">
      <c r="A741" s="143">
        <v>734</v>
      </c>
      <c r="B741" s="1">
        <f>IF(G741="-",0,IF(G740=G741,1,0))</f>
        <v>0</v>
      </c>
      <c r="C741" s="1">
        <f>+IF(G741="-",0,IF(I741=I740+1,0,(IF(I741=1,0,1))))</f>
        <v>0</v>
      </c>
      <c r="D741" s="1">
        <f>+IF(AND(P741="",Q741=""),1,0)</f>
        <v>0</v>
      </c>
      <c r="E741" s="1">
        <f t="shared" si="219"/>
        <v>0</v>
      </c>
      <c r="F741" s="1">
        <f t="shared" si="219"/>
        <v>0</v>
      </c>
      <c r="G741" s="1" t="str">
        <f>IF(H741=0,"-",_xlfn.CONCAT(K741,N741,O741,J741))</f>
        <v>25032104</v>
      </c>
      <c r="H741" s="2">
        <v>45737</v>
      </c>
      <c r="I741" s="113">
        <v>4</v>
      </c>
      <c r="J741" s="1" t="str">
        <f t="shared" si="212"/>
        <v>04</v>
      </c>
      <c r="K741" s="3">
        <f t="shared" si="213"/>
        <v>25</v>
      </c>
      <c r="L741" s="3">
        <f t="shared" si="214"/>
        <v>3</v>
      </c>
      <c r="M741" s="3">
        <f t="shared" si="215"/>
        <v>21</v>
      </c>
      <c r="N741" s="3" t="str">
        <f t="shared" si="216"/>
        <v>03</v>
      </c>
      <c r="O741" s="14">
        <f t="shared" si="217"/>
        <v>21</v>
      </c>
      <c r="P741" s="4">
        <v>19340</v>
      </c>
      <c r="T741" s="5" t="s">
        <v>1311</v>
      </c>
      <c r="U741" s="3" t="s">
        <v>1310</v>
      </c>
      <c r="V741" s="3" t="s">
        <v>1304</v>
      </c>
      <c r="W741" s="3" t="s">
        <v>1309</v>
      </c>
      <c r="X741" s="1" t="s">
        <v>1305</v>
      </c>
    </row>
    <row r="742" spans="1:25" hidden="1">
      <c r="A742" s="143"/>
      <c r="J742" s="1" t="str">
        <f t="shared" si="212"/>
        <v>0</v>
      </c>
      <c r="K742" s="3">
        <f t="shared" si="213"/>
        <v>-100</v>
      </c>
      <c r="L742" s="3">
        <f t="shared" si="214"/>
        <v>1</v>
      </c>
      <c r="M742" s="3">
        <f t="shared" si="215"/>
        <v>0</v>
      </c>
      <c r="N742" s="3" t="str">
        <f t="shared" si="216"/>
        <v>01</v>
      </c>
      <c r="O742" s="14" t="str">
        <f t="shared" si="217"/>
        <v>00</v>
      </c>
    </row>
    <row r="743" spans="1:25" hidden="1">
      <c r="A743" s="143">
        <v>685</v>
      </c>
      <c r="B743" s="1">
        <f t="shared" ref="B743:B748" si="220">IF(G743="-",0,IF(G742=G743,1,0))</f>
        <v>0</v>
      </c>
      <c r="C743" s="1">
        <f t="shared" ref="C743:C748" si="221">+IF(G743="-",0,IF(I743=I742+1,0,(IF(I743=1,0,1))))</f>
        <v>0</v>
      </c>
      <c r="D743" s="1">
        <f t="shared" ref="D743:D748" si="222">+IF(AND(P743="",Q743=""),1,0)</f>
        <v>0</v>
      </c>
      <c r="E743" s="1">
        <f t="shared" ref="E743:F748" si="223">IF(U743="",1,0)</f>
        <v>0</v>
      </c>
      <c r="F743" s="1">
        <f t="shared" si="223"/>
        <v>0</v>
      </c>
      <c r="G743" s="1" t="str">
        <f t="shared" ref="G743:G748" si="224">IF(H743=0,"-",_xlfn.CONCAT(K743,N743,O743,J743))</f>
        <v>25032201</v>
      </c>
      <c r="H743" s="8">
        <v>45738</v>
      </c>
      <c r="I743" s="122">
        <v>1</v>
      </c>
      <c r="J743" s="122" t="str">
        <f t="shared" si="212"/>
        <v>01</v>
      </c>
      <c r="K743" s="56">
        <f t="shared" si="213"/>
        <v>25</v>
      </c>
      <c r="L743" s="56">
        <f t="shared" si="214"/>
        <v>3</v>
      </c>
      <c r="M743" s="56">
        <f t="shared" si="215"/>
        <v>22</v>
      </c>
      <c r="N743" s="56" t="str">
        <f t="shared" si="216"/>
        <v>03</v>
      </c>
      <c r="O743" s="123">
        <f t="shared" si="217"/>
        <v>22</v>
      </c>
      <c r="P743" s="53">
        <v>182618.74</v>
      </c>
      <c r="Q743" s="54"/>
      <c r="R743" s="55"/>
      <c r="S743" s="54"/>
      <c r="T743" s="54" t="s">
        <v>1659</v>
      </c>
      <c r="U743" s="3" t="s">
        <v>1445</v>
      </c>
      <c r="V743" s="3" t="s">
        <v>5</v>
      </c>
      <c r="W743" s="3" t="s">
        <v>1306</v>
      </c>
      <c r="X743" s="1" t="s">
        <v>1305</v>
      </c>
      <c r="Y743" s="141" t="s">
        <v>1658</v>
      </c>
    </row>
    <row r="744" spans="1:25" hidden="1">
      <c r="A744" s="143">
        <v>686</v>
      </c>
      <c r="B744" s="1">
        <f t="shared" si="220"/>
        <v>0</v>
      </c>
      <c r="C744" s="1">
        <f t="shared" si="221"/>
        <v>0</v>
      </c>
      <c r="D744" s="1">
        <f t="shared" si="222"/>
        <v>0</v>
      </c>
      <c r="E744" s="1">
        <f t="shared" si="223"/>
        <v>0</v>
      </c>
      <c r="F744" s="1">
        <f t="shared" si="223"/>
        <v>0</v>
      </c>
      <c r="G744" s="1" t="str">
        <f t="shared" si="224"/>
        <v>25032202</v>
      </c>
      <c r="H744" s="2">
        <v>45738</v>
      </c>
      <c r="I744" s="113">
        <v>2</v>
      </c>
      <c r="J744" s="1" t="str">
        <f t="shared" si="212"/>
        <v>02</v>
      </c>
      <c r="K744" s="3">
        <f t="shared" si="213"/>
        <v>25</v>
      </c>
      <c r="L744" s="3">
        <f t="shared" si="214"/>
        <v>3</v>
      </c>
      <c r="M744" s="3">
        <f t="shared" si="215"/>
        <v>22</v>
      </c>
      <c r="N744" s="3" t="str">
        <f t="shared" si="216"/>
        <v>03</v>
      </c>
      <c r="O744" s="14">
        <f t="shared" si="217"/>
        <v>22</v>
      </c>
      <c r="P744" s="4">
        <v>50160</v>
      </c>
      <c r="T744" s="5" t="s">
        <v>1657</v>
      </c>
      <c r="U744" s="3" t="s">
        <v>29</v>
      </c>
      <c r="V744" s="3" t="s">
        <v>5</v>
      </c>
      <c r="W744" s="3" t="s">
        <v>1303</v>
      </c>
      <c r="X744" s="1" t="s">
        <v>1302</v>
      </c>
    </row>
    <row r="745" spans="1:25">
      <c r="A745" s="143">
        <v>687</v>
      </c>
      <c r="B745" s="1">
        <f t="shared" si="220"/>
        <v>0</v>
      </c>
      <c r="C745" s="1">
        <f t="shared" si="221"/>
        <v>0</v>
      </c>
      <c r="D745" s="1">
        <f t="shared" si="222"/>
        <v>0</v>
      </c>
      <c r="E745" s="1">
        <f t="shared" si="223"/>
        <v>1</v>
      </c>
      <c r="F745" s="1">
        <f t="shared" si="223"/>
        <v>0</v>
      </c>
      <c r="G745" s="1" t="str">
        <f t="shared" si="224"/>
        <v>25032203</v>
      </c>
      <c r="H745" s="2">
        <v>45738</v>
      </c>
      <c r="I745" s="113">
        <v>3</v>
      </c>
      <c r="J745" s="1" t="str">
        <f t="shared" si="212"/>
        <v>03</v>
      </c>
      <c r="K745" s="3">
        <f t="shared" si="213"/>
        <v>25</v>
      </c>
      <c r="L745" s="3">
        <f t="shared" si="214"/>
        <v>3</v>
      </c>
      <c r="M745" s="3">
        <f t="shared" si="215"/>
        <v>22</v>
      </c>
      <c r="N745" s="3" t="str">
        <f t="shared" si="216"/>
        <v>03</v>
      </c>
      <c r="O745" s="14">
        <f t="shared" si="217"/>
        <v>22</v>
      </c>
      <c r="P745" s="4">
        <v>34806.199999999997</v>
      </c>
      <c r="T745" s="5" t="s">
        <v>1656</v>
      </c>
      <c r="V745" s="3" t="s">
        <v>5</v>
      </c>
      <c r="W745" s="3" t="s">
        <v>1306</v>
      </c>
      <c r="X745" s="1" t="s">
        <v>1305</v>
      </c>
    </row>
    <row r="746" spans="1:25">
      <c r="A746" s="143">
        <v>688</v>
      </c>
      <c r="B746" s="1">
        <f t="shared" si="220"/>
        <v>0</v>
      </c>
      <c r="C746" s="1">
        <f t="shared" si="221"/>
        <v>0</v>
      </c>
      <c r="D746" s="1">
        <f t="shared" si="222"/>
        <v>0</v>
      </c>
      <c r="E746" s="1">
        <f t="shared" si="223"/>
        <v>1</v>
      </c>
      <c r="F746" s="1">
        <f t="shared" si="223"/>
        <v>0</v>
      </c>
      <c r="G746" s="1" t="str">
        <f t="shared" si="224"/>
        <v>25032204</v>
      </c>
      <c r="H746" s="2">
        <v>45738</v>
      </c>
      <c r="I746" s="113">
        <v>4</v>
      </c>
      <c r="J746" s="1" t="str">
        <f t="shared" si="212"/>
        <v>04</v>
      </c>
      <c r="K746" s="3">
        <f t="shared" si="213"/>
        <v>25</v>
      </c>
      <c r="L746" s="3">
        <f t="shared" si="214"/>
        <v>3</v>
      </c>
      <c r="M746" s="3">
        <f t="shared" si="215"/>
        <v>22</v>
      </c>
      <c r="N746" s="3" t="str">
        <f t="shared" si="216"/>
        <v>03</v>
      </c>
      <c r="O746" s="14">
        <f t="shared" si="217"/>
        <v>22</v>
      </c>
      <c r="P746" s="4">
        <v>926600</v>
      </c>
      <c r="T746" s="5" t="s">
        <v>1655</v>
      </c>
      <c r="V746" s="3" t="s">
        <v>5</v>
      </c>
      <c r="W746" s="3" t="s">
        <v>1306</v>
      </c>
      <c r="X746" s="1" t="s">
        <v>1305</v>
      </c>
      <c r="Y746" s="141" t="s">
        <v>1654</v>
      </c>
    </row>
    <row r="747" spans="1:25" hidden="1">
      <c r="A747" s="143">
        <v>736</v>
      </c>
      <c r="B747" s="1">
        <f t="shared" si="220"/>
        <v>0</v>
      </c>
      <c r="C747" s="1">
        <f t="shared" si="221"/>
        <v>0</v>
      </c>
      <c r="D747" s="1">
        <f t="shared" si="222"/>
        <v>0</v>
      </c>
      <c r="E747" s="1">
        <f t="shared" si="223"/>
        <v>0</v>
      </c>
      <c r="F747" s="1">
        <f t="shared" si="223"/>
        <v>0</v>
      </c>
      <c r="G747" s="1" t="str">
        <f t="shared" si="224"/>
        <v>25032205</v>
      </c>
      <c r="H747" s="2">
        <v>45738</v>
      </c>
      <c r="I747" s="113">
        <v>5</v>
      </c>
      <c r="J747" s="1" t="str">
        <f t="shared" si="212"/>
        <v>05</v>
      </c>
      <c r="K747" s="3">
        <f t="shared" si="213"/>
        <v>25</v>
      </c>
      <c r="L747" s="3">
        <f t="shared" si="214"/>
        <v>3</v>
      </c>
      <c r="M747" s="3">
        <f t="shared" si="215"/>
        <v>22</v>
      </c>
      <c r="N747" s="3" t="str">
        <f t="shared" si="216"/>
        <v>03</v>
      </c>
      <c r="O747" s="14">
        <f t="shared" si="217"/>
        <v>22</v>
      </c>
      <c r="P747" s="4">
        <v>408100.1</v>
      </c>
      <c r="T747" s="5" t="s">
        <v>1653</v>
      </c>
      <c r="U747" s="3" t="s">
        <v>305</v>
      </c>
      <c r="V747" s="3" t="s">
        <v>5</v>
      </c>
      <c r="W747" s="3" t="s">
        <v>1306</v>
      </c>
      <c r="X747" s="1" t="s">
        <v>1305</v>
      </c>
    </row>
    <row r="748" spans="1:25" hidden="1">
      <c r="A748" s="143">
        <v>737</v>
      </c>
      <c r="B748" s="1">
        <f t="shared" si="220"/>
        <v>0</v>
      </c>
      <c r="C748" s="1">
        <f t="shared" si="221"/>
        <v>0</v>
      </c>
      <c r="D748" s="1">
        <f t="shared" si="222"/>
        <v>0</v>
      </c>
      <c r="E748" s="1">
        <f t="shared" si="223"/>
        <v>0</v>
      </c>
      <c r="F748" s="1">
        <f t="shared" si="223"/>
        <v>0</v>
      </c>
      <c r="G748" s="1" t="str">
        <f t="shared" si="224"/>
        <v>25032206</v>
      </c>
      <c r="H748" s="2">
        <v>45738</v>
      </c>
      <c r="I748" s="113">
        <v>6</v>
      </c>
      <c r="J748" s="1" t="str">
        <f t="shared" si="212"/>
        <v>06</v>
      </c>
      <c r="K748" s="3">
        <f t="shared" si="213"/>
        <v>25</v>
      </c>
      <c r="L748" s="3">
        <f t="shared" si="214"/>
        <v>3</v>
      </c>
      <c r="M748" s="3">
        <f t="shared" si="215"/>
        <v>22</v>
      </c>
      <c r="N748" s="3" t="str">
        <f t="shared" si="216"/>
        <v>03</v>
      </c>
      <c r="O748" s="14">
        <f t="shared" si="217"/>
        <v>22</v>
      </c>
      <c r="P748" s="4">
        <v>4475</v>
      </c>
      <c r="T748" s="5" t="s">
        <v>352</v>
      </c>
      <c r="U748" s="3" t="s">
        <v>30</v>
      </c>
      <c r="V748" s="3" t="s">
        <v>1312</v>
      </c>
      <c r="W748" s="3" t="s">
        <v>1307</v>
      </c>
      <c r="X748" s="1" t="s">
        <v>1305</v>
      </c>
    </row>
    <row r="749" spans="1:25" hidden="1">
      <c r="A749" s="143"/>
      <c r="J749" s="1" t="str">
        <f t="shared" si="212"/>
        <v>0</v>
      </c>
      <c r="K749" s="3">
        <f t="shared" si="213"/>
        <v>-100</v>
      </c>
      <c r="L749" s="3">
        <f t="shared" si="214"/>
        <v>1</v>
      </c>
      <c r="M749" s="3">
        <f t="shared" si="215"/>
        <v>0</v>
      </c>
      <c r="N749" s="3" t="str">
        <f t="shared" si="216"/>
        <v>01</v>
      </c>
      <c r="O749" s="14" t="str">
        <f t="shared" si="217"/>
        <v>00</v>
      </c>
    </row>
    <row r="750" spans="1:25">
      <c r="A750" s="143">
        <v>783</v>
      </c>
      <c r="B750" s="1">
        <f t="shared" ref="B750:B764" si="225">IF(G750="-",0,IF(G749=G750,1,0))</f>
        <v>0</v>
      </c>
      <c r="C750" s="1">
        <f t="shared" ref="C750:C764" si="226">+IF(G750="-",0,IF(I750=I749+1,0,(IF(I750=1,0,1))))</f>
        <v>1</v>
      </c>
      <c r="D750" s="1">
        <f t="shared" ref="D750:D764" si="227">+IF(AND(P750="",Q750=""),1,0)</f>
        <v>0</v>
      </c>
      <c r="E750" s="1">
        <f t="shared" ref="E750:E764" si="228">IF(U750="",1,0)</f>
        <v>1</v>
      </c>
      <c r="F750" s="1">
        <f t="shared" ref="F750:F764" si="229">IF(V750="",1,0)</f>
        <v>0</v>
      </c>
      <c r="G750" s="1" t="str">
        <f t="shared" ref="G750:G764" si="230">IF(H750=0,"-",_xlfn.CONCAT(K750,N750,O750,J750))</f>
        <v>25032208</v>
      </c>
      <c r="H750" s="2">
        <v>45738</v>
      </c>
      <c r="I750" s="113">
        <v>8</v>
      </c>
      <c r="J750" s="1" t="str">
        <f t="shared" si="212"/>
        <v>08</v>
      </c>
      <c r="K750" s="3">
        <f t="shared" si="213"/>
        <v>25</v>
      </c>
      <c r="L750" s="3">
        <f t="shared" si="214"/>
        <v>3</v>
      </c>
      <c r="M750" s="3">
        <f t="shared" si="215"/>
        <v>22</v>
      </c>
      <c r="N750" s="3" t="str">
        <f t="shared" si="216"/>
        <v>03</v>
      </c>
      <c r="O750" s="14">
        <f t="shared" si="217"/>
        <v>22</v>
      </c>
      <c r="P750" s="4">
        <v>159000</v>
      </c>
      <c r="T750" s="28" t="s">
        <v>1652</v>
      </c>
      <c r="V750" s="3" t="s">
        <v>5</v>
      </c>
      <c r="W750" s="3" t="s">
        <v>1306</v>
      </c>
      <c r="X750" s="1" t="s">
        <v>1302</v>
      </c>
      <c r="Y750" t="s">
        <v>1626</v>
      </c>
    </row>
    <row r="751" spans="1:25">
      <c r="A751" s="143">
        <v>784</v>
      </c>
      <c r="B751" s="1">
        <f t="shared" si="225"/>
        <v>0</v>
      </c>
      <c r="C751" s="1">
        <f t="shared" si="226"/>
        <v>0</v>
      </c>
      <c r="D751" s="1">
        <f t="shared" si="227"/>
        <v>0</v>
      </c>
      <c r="E751" s="1">
        <f t="shared" si="228"/>
        <v>0</v>
      </c>
      <c r="F751" s="1">
        <f t="shared" si="229"/>
        <v>0</v>
      </c>
      <c r="G751" s="1" t="str">
        <f t="shared" si="230"/>
        <v>25032209</v>
      </c>
      <c r="H751" s="2">
        <v>45738</v>
      </c>
      <c r="I751" s="113">
        <v>9</v>
      </c>
      <c r="J751" s="1" t="str">
        <f t="shared" si="212"/>
        <v>09</v>
      </c>
      <c r="K751" s="3">
        <f t="shared" si="213"/>
        <v>25</v>
      </c>
      <c r="L751" s="3">
        <f t="shared" si="214"/>
        <v>3</v>
      </c>
      <c r="M751" s="3">
        <f t="shared" si="215"/>
        <v>22</v>
      </c>
      <c r="N751" s="3" t="str">
        <f t="shared" si="216"/>
        <v>03</v>
      </c>
      <c r="O751" s="14">
        <f t="shared" si="217"/>
        <v>22</v>
      </c>
      <c r="P751" s="4">
        <v>138000</v>
      </c>
      <c r="T751" s="28" t="s">
        <v>1651</v>
      </c>
      <c r="U751" s="3" t="s">
        <v>1342</v>
      </c>
      <c r="V751" s="3" t="s">
        <v>5</v>
      </c>
      <c r="W751" s="3" t="s">
        <v>1306</v>
      </c>
      <c r="X751" s="1" t="s">
        <v>1302</v>
      </c>
      <c r="Y751" t="s">
        <v>1242</v>
      </c>
    </row>
    <row r="752" spans="1:25">
      <c r="A752" s="143">
        <v>785</v>
      </c>
      <c r="B752" s="1">
        <f t="shared" si="225"/>
        <v>0</v>
      </c>
      <c r="C752" s="1">
        <f t="shared" si="226"/>
        <v>0</v>
      </c>
      <c r="D752" s="1">
        <f t="shared" si="227"/>
        <v>0</v>
      </c>
      <c r="E752" s="1">
        <f t="shared" si="228"/>
        <v>0</v>
      </c>
      <c r="F752" s="1">
        <f t="shared" si="229"/>
        <v>0</v>
      </c>
      <c r="G752" s="1" t="str">
        <f t="shared" si="230"/>
        <v>25032210</v>
      </c>
      <c r="H752" s="2">
        <v>45738</v>
      </c>
      <c r="I752" s="113">
        <v>10</v>
      </c>
      <c r="J752" s="1">
        <f t="shared" si="212"/>
        <v>10</v>
      </c>
      <c r="K752" s="3">
        <f t="shared" si="213"/>
        <v>25</v>
      </c>
      <c r="L752" s="3">
        <f t="shared" si="214"/>
        <v>3</v>
      </c>
      <c r="M752" s="3">
        <f t="shared" si="215"/>
        <v>22</v>
      </c>
      <c r="N752" s="3" t="str">
        <f t="shared" si="216"/>
        <v>03</v>
      </c>
      <c r="O752" s="14">
        <f t="shared" si="217"/>
        <v>22</v>
      </c>
      <c r="P752" s="4">
        <v>132000</v>
      </c>
      <c r="T752" s="28" t="s">
        <v>1650</v>
      </c>
      <c r="U752" s="3" t="s">
        <v>1342</v>
      </c>
      <c r="V752" s="3" t="s">
        <v>5</v>
      </c>
      <c r="W752" s="3" t="s">
        <v>1306</v>
      </c>
      <c r="X752" s="1" t="s">
        <v>1302</v>
      </c>
      <c r="Y752" t="s">
        <v>1244</v>
      </c>
    </row>
    <row r="753" spans="1:25">
      <c r="A753" s="143">
        <v>786</v>
      </c>
      <c r="B753" s="1">
        <f t="shared" si="225"/>
        <v>0</v>
      </c>
      <c r="C753" s="1">
        <f t="shared" si="226"/>
        <v>0</v>
      </c>
      <c r="D753" s="1">
        <f t="shared" si="227"/>
        <v>0</v>
      </c>
      <c r="E753" s="1">
        <f t="shared" si="228"/>
        <v>0</v>
      </c>
      <c r="F753" s="1">
        <f t="shared" si="229"/>
        <v>0</v>
      </c>
      <c r="G753" s="1" t="str">
        <f t="shared" si="230"/>
        <v>25032211</v>
      </c>
      <c r="H753" s="2">
        <v>45738</v>
      </c>
      <c r="I753" s="113">
        <v>11</v>
      </c>
      <c r="J753" s="1">
        <f t="shared" si="212"/>
        <v>11</v>
      </c>
      <c r="K753" s="3">
        <f t="shared" si="213"/>
        <v>25</v>
      </c>
      <c r="L753" s="3">
        <f t="shared" si="214"/>
        <v>3</v>
      </c>
      <c r="M753" s="3">
        <f t="shared" si="215"/>
        <v>22</v>
      </c>
      <c r="N753" s="3" t="str">
        <f t="shared" si="216"/>
        <v>03</v>
      </c>
      <c r="O753" s="14">
        <f t="shared" si="217"/>
        <v>22</v>
      </c>
      <c r="P753" s="4">
        <v>108000</v>
      </c>
      <c r="T753" s="28" t="s">
        <v>1649</v>
      </c>
      <c r="U753" s="3" t="s">
        <v>1342</v>
      </c>
      <c r="V753" s="3" t="s">
        <v>5</v>
      </c>
      <c r="W753" s="3" t="s">
        <v>1306</v>
      </c>
      <c r="X753" s="1" t="s">
        <v>1302</v>
      </c>
      <c r="Y753" t="s">
        <v>1246</v>
      </c>
    </row>
    <row r="754" spans="1:25">
      <c r="A754" s="143">
        <v>787</v>
      </c>
      <c r="B754" s="1">
        <f t="shared" si="225"/>
        <v>0</v>
      </c>
      <c r="C754" s="1">
        <f t="shared" si="226"/>
        <v>0</v>
      </c>
      <c r="D754" s="1">
        <f t="shared" si="227"/>
        <v>0</v>
      </c>
      <c r="E754" s="1">
        <f t="shared" si="228"/>
        <v>0</v>
      </c>
      <c r="F754" s="1">
        <f t="shared" si="229"/>
        <v>0</v>
      </c>
      <c r="G754" s="1" t="str">
        <f t="shared" si="230"/>
        <v>25032212</v>
      </c>
      <c r="H754" s="2">
        <v>45738</v>
      </c>
      <c r="I754" s="113">
        <v>12</v>
      </c>
      <c r="J754" s="1">
        <f t="shared" si="212"/>
        <v>12</v>
      </c>
      <c r="K754" s="3">
        <f t="shared" si="213"/>
        <v>25</v>
      </c>
      <c r="L754" s="3">
        <f t="shared" si="214"/>
        <v>3</v>
      </c>
      <c r="M754" s="3">
        <f t="shared" si="215"/>
        <v>22</v>
      </c>
      <c r="N754" s="3" t="str">
        <f t="shared" si="216"/>
        <v>03</v>
      </c>
      <c r="O754" s="14">
        <f t="shared" si="217"/>
        <v>22</v>
      </c>
      <c r="P754" s="4">
        <v>132000</v>
      </c>
      <c r="T754" s="28" t="s">
        <v>1648</v>
      </c>
      <c r="U754" s="3" t="s">
        <v>1342</v>
      </c>
      <c r="V754" s="3" t="s">
        <v>5</v>
      </c>
      <c r="W754" s="3" t="s">
        <v>1306</v>
      </c>
      <c r="X754" s="1" t="s">
        <v>1302</v>
      </c>
      <c r="Y754" t="s">
        <v>1249</v>
      </c>
    </row>
    <row r="755" spans="1:25">
      <c r="A755" s="143">
        <v>788</v>
      </c>
      <c r="B755" s="1">
        <f t="shared" si="225"/>
        <v>0</v>
      </c>
      <c r="C755" s="1">
        <f t="shared" si="226"/>
        <v>0</v>
      </c>
      <c r="D755" s="1">
        <f t="shared" si="227"/>
        <v>0</v>
      </c>
      <c r="E755" s="1">
        <f t="shared" si="228"/>
        <v>0</v>
      </c>
      <c r="F755" s="1">
        <f t="shared" si="229"/>
        <v>0</v>
      </c>
      <c r="G755" s="1" t="str">
        <f t="shared" si="230"/>
        <v>25032213</v>
      </c>
      <c r="H755" s="2">
        <v>45738</v>
      </c>
      <c r="I755" s="113">
        <v>13</v>
      </c>
      <c r="J755" s="1">
        <f t="shared" si="212"/>
        <v>13</v>
      </c>
      <c r="K755" s="3">
        <f t="shared" si="213"/>
        <v>25</v>
      </c>
      <c r="L755" s="3">
        <f t="shared" si="214"/>
        <v>3</v>
      </c>
      <c r="M755" s="3">
        <f t="shared" si="215"/>
        <v>22</v>
      </c>
      <c r="N755" s="3" t="str">
        <f t="shared" si="216"/>
        <v>03</v>
      </c>
      <c r="O755" s="14">
        <f t="shared" si="217"/>
        <v>22</v>
      </c>
      <c r="P755" s="4">
        <v>159000</v>
      </c>
      <c r="T755" s="28" t="s">
        <v>1647</v>
      </c>
      <c r="U755" s="3" t="s">
        <v>1342</v>
      </c>
      <c r="V755" s="3" t="s">
        <v>5</v>
      </c>
      <c r="W755" s="3" t="s">
        <v>1306</v>
      </c>
      <c r="X755" s="1" t="s">
        <v>1302</v>
      </c>
      <c r="Y755" t="s">
        <v>1250</v>
      </c>
    </row>
    <row r="756" spans="1:25">
      <c r="A756" s="143">
        <v>789</v>
      </c>
      <c r="B756" s="1">
        <f t="shared" si="225"/>
        <v>0</v>
      </c>
      <c r="C756" s="1">
        <f t="shared" si="226"/>
        <v>0</v>
      </c>
      <c r="D756" s="1">
        <f t="shared" si="227"/>
        <v>0</v>
      </c>
      <c r="E756" s="1">
        <f t="shared" si="228"/>
        <v>0</v>
      </c>
      <c r="F756" s="1">
        <f t="shared" si="229"/>
        <v>0</v>
      </c>
      <c r="G756" s="1" t="str">
        <f t="shared" si="230"/>
        <v>25032214</v>
      </c>
      <c r="H756" s="2">
        <v>45738</v>
      </c>
      <c r="I756" s="113">
        <v>14</v>
      </c>
      <c r="J756" s="1">
        <f t="shared" si="212"/>
        <v>14</v>
      </c>
      <c r="K756" s="3">
        <f t="shared" si="213"/>
        <v>25</v>
      </c>
      <c r="L756" s="3">
        <f t="shared" si="214"/>
        <v>3</v>
      </c>
      <c r="M756" s="3">
        <f t="shared" si="215"/>
        <v>22</v>
      </c>
      <c r="N756" s="3" t="str">
        <f t="shared" si="216"/>
        <v>03</v>
      </c>
      <c r="O756" s="14">
        <f t="shared" si="217"/>
        <v>22</v>
      </c>
      <c r="P756" s="4">
        <v>132000</v>
      </c>
      <c r="T756" s="28" t="s">
        <v>1646</v>
      </c>
      <c r="U756" s="3" t="s">
        <v>1342</v>
      </c>
      <c r="V756" s="3" t="s">
        <v>5</v>
      </c>
      <c r="W756" s="3" t="s">
        <v>1306</v>
      </c>
      <c r="X756" s="1" t="s">
        <v>1302</v>
      </c>
      <c r="Y756" t="s">
        <v>1252</v>
      </c>
    </row>
    <row r="757" spans="1:25">
      <c r="A757" s="143">
        <v>790</v>
      </c>
      <c r="B757" s="1">
        <f t="shared" si="225"/>
        <v>0</v>
      </c>
      <c r="C757" s="1">
        <f t="shared" si="226"/>
        <v>0</v>
      </c>
      <c r="D757" s="1">
        <f t="shared" si="227"/>
        <v>0</v>
      </c>
      <c r="E757" s="1">
        <f t="shared" si="228"/>
        <v>0</v>
      </c>
      <c r="F757" s="1">
        <f t="shared" si="229"/>
        <v>0</v>
      </c>
      <c r="G757" s="1" t="str">
        <f t="shared" si="230"/>
        <v>25032215</v>
      </c>
      <c r="H757" s="2">
        <v>45738</v>
      </c>
      <c r="I757" s="113">
        <v>15</v>
      </c>
      <c r="J757" s="1">
        <f t="shared" si="212"/>
        <v>15</v>
      </c>
      <c r="K757" s="3">
        <f t="shared" si="213"/>
        <v>25</v>
      </c>
      <c r="L757" s="3">
        <f t="shared" si="214"/>
        <v>3</v>
      </c>
      <c r="M757" s="3">
        <f t="shared" si="215"/>
        <v>22</v>
      </c>
      <c r="N757" s="3" t="str">
        <f t="shared" si="216"/>
        <v>03</v>
      </c>
      <c r="O757" s="14">
        <f t="shared" si="217"/>
        <v>22</v>
      </c>
      <c r="P757" s="4">
        <v>132000</v>
      </c>
      <c r="T757" s="23" t="s">
        <v>1645</v>
      </c>
      <c r="U757" s="3" t="s">
        <v>1342</v>
      </c>
      <c r="V757" s="3" t="s">
        <v>5</v>
      </c>
      <c r="W757" s="3" t="s">
        <v>1306</v>
      </c>
      <c r="X757" s="1" t="s">
        <v>1302</v>
      </c>
      <c r="Y757"/>
    </row>
    <row r="758" spans="1:25">
      <c r="A758" s="143">
        <v>791</v>
      </c>
      <c r="B758" s="1">
        <f t="shared" si="225"/>
        <v>0</v>
      </c>
      <c r="C758" s="1">
        <f t="shared" si="226"/>
        <v>0</v>
      </c>
      <c r="D758" s="1">
        <f t="shared" si="227"/>
        <v>0</v>
      </c>
      <c r="E758" s="1">
        <f t="shared" si="228"/>
        <v>0</v>
      </c>
      <c r="F758" s="1">
        <f t="shared" si="229"/>
        <v>0</v>
      </c>
      <c r="G758" s="1" t="str">
        <f t="shared" si="230"/>
        <v>25032216</v>
      </c>
      <c r="H758" s="2">
        <v>45738</v>
      </c>
      <c r="I758" s="113">
        <v>16</v>
      </c>
      <c r="J758" s="1">
        <f t="shared" si="212"/>
        <v>16</v>
      </c>
      <c r="K758" s="3">
        <f t="shared" si="213"/>
        <v>25</v>
      </c>
      <c r="L758" s="3">
        <f t="shared" si="214"/>
        <v>3</v>
      </c>
      <c r="M758" s="3">
        <f t="shared" si="215"/>
        <v>22</v>
      </c>
      <c r="N758" s="3" t="str">
        <f t="shared" si="216"/>
        <v>03</v>
      </c>
      <c r="O758" s="14">
        <f t="shared" si="217"/>
        <v>22</v>
      </c>
      <c r="P758" s="4">
        <v>108000</v>
      </c>
      <c r="T758" s="23" t="s">
        <v>1644</v>
      </c>
      <c r="U758" s="3" t="s">
        <v>1342</v>
      </c>
      <c r="V758" s="3" t="s">
        <v>5</v>
      </c>
      <c r="W758" s="3" t="s">
        <v>1306</v>
      </c>
      <c r="X758" s="1" t="s">
        <v>1302</v>
      </c>
      <c r="Y758"/>
    </row>
    <row r="759" spans="1:25">
      <c r="A759" s="143">
        <v>792</v>
      </c>
      <c r="B759" s="1">
        <f t="shared" si="225"/>
        <v>0</v>
      </c>
      <c r="C759" s="1">
        <f t="shared" si="226"/>
        <v>0</v>
      </c>
      <c r="D759" s="1">
        <f t="shared" si="227"/>
        <v>0</v>
      </c>
      <c r="E759" s="1">
        <f t="shared" si="228"/>
        <v>0</v>
      </c>
      <c r="F759" s="1">
        <f t="shared" si="229"/>
        <v>0</v>
      </c>
      <c r="G759" s="1" t="str">
        <f t="shared" si="230"/>
        <v>25032217</v>
      </c>
      <c r="H759" s="2">
        <v>45738</v>
      </c>
      <c r="I759" s="113">
        <v>17</v>
      </c>
      <c r="J759" s="1">
        <f t="shared" si="212"/>
        <v>17</v>
      </c>
      <c r="K759" s="3">
        <f t="shared" si="213"/>
        <v>25</v>
      </c>
      <c r="L759" s="3">
        <f t="shared" si="214"/>
        <v>3</v>
      </c>
      <c r="M759" s="3">
        <f t="shared" si="215"/>
        <v>22</v>
      </c>
      <c r="N759" s="3" t="str">
        <f t="shared" si="216"/>
        <v>03</v>
      </c>
      <c r="O759" s="14">
        <f t="shared" si="217"/>
        <v>22</v>
      </c>
      <c r="P759" s="4">
        <v>108000</v>
      </c>
      <c r="T759" s="23" t="s">
        <v>1643</v>
      </c>
      <c r="U759" s="3" t="s">
        <v>1342</v>
      </c>
      <c r="V759" s="3" t="s">
        <v>5</v>
      </c>
      <c r="W759" s="3" t="s">
        <v>1306</v>
      </c>
      <c r="X759" s="1" t="s">
        <v>1302</v>
      </c>
      <c r="Y759"/>
    </row>
    <row r="760" spans="1:25">
      <c r="A760" s="143">
        <v>793</v>
      </c>
      <c r="B760" s="1">
        <f t="shared" si="225"/>
        <v>0</v>
      </c>
      <c r="C760" s="1">
        <f t="shared" si="226"/>
        <v>0</v>
      </c>
      <c r="D760" s="1">
        <f t="shared" si="227"/>
        <v>0</v>
      </c>
      <c r="E760" s="1">
        <f t="shared" si="228"/>
        <v>0</v>
      </c>
      <c r="F760" s="1">
        <f t="shared" si="229"/>
        <v>0</v>
      </c>
      <c r="G760" s="1" t="str">
        <f t="shared" si="230"/>
        <v>25032218</v>
      </c>
      <c r="H760" s="2">
        <v>45738</v>
      </c>
      <c r="I760" s="113">
        <v>18</v>
      </c>
      <c r="J760" s="1">
        <f t="shared" si="212"/>
        <v>18</v>
      </c>
      <c r="K760" s="3">
        <f t="shared" si="213"/>
        <v>25</v>
      </c>
      <c r="L760" s="3">
        <f t="shared" si="214"/>
        <v>3</v>
      </c>
      <c r="M760" s="3">
        <f t="shared" si="215"/>
        <v>22</v>
      </c>
      <c r="N760" s="3" t="str">
        <f t="shared" si="216"/>
        <v>03</v>
      </c>
      <c r="O760" s="14">
        <f t="shared" si="217"/>
        <v>22</v>
      </c>
      <c r="P760" s="4">
        <v>132000</v>
      </c>
      <c r="T760" s="23" t="s">
        <v>1642</v>
      </c>
      <c r="U760" s="3" t="s">
        <v>1342</v>
      </c>
      <c r="V760" s="3" t="s">
        <v>5</v>
      </c>
      <c r="W760" s="3" t="s">
        <v>1306</v>
      </c>
      <c r="X760" s="1" t="s">
        <v>1302</v>
      </c>
      <c r="Y760"/>
    </row>
    <row r="761" spans="1:25">
      <c r="A761" s="143">
        <v>794</v>
      </c>
      <c r="B761" s="1">
        <f t="shared" si="225"/>
        <v>0</v>
      </c>
      <c r="C761" s="1">
        <f t="shared" si="226"/>
        <v>0</v>
      </c>
      <c r="D761" s="1">
        <f t="shared" si="227"/>
        <v>0</v>
      </c>
      <c r="E761" s="1">
        <f t="shared" si="228"/>
        <v>0</v>
      </c>
      <c r="F761" s="1">
        <f t="shared" si="229"/>
        <v>0</v>
      </c>
      <c r="G761" s="1" t="str">
        <f t="shared" si="230"/>
        <v>25032219</v>
      </c>
      <c r="H761" s="2">
        <v>45738</v>
      </c>
      <c r="I761" s="113">
        <v>19</v>
      </c>
      <c r="J761" s="1">
        <f t="shared" si="212"/>
        <v>19</v>
      </c>
      <c r="K761" s="3">
        <f t="shared" si="213"/>
        <v>25</v>
      </c>
      <c r="L761" s="3">
        <f t="shared" si="214"/>
        <v>3</v>
      </c>
      <c r="M761" s="3">
        <f t="shared" si="215"/>
        <v>22</v>
      </c>
      <c r="N761" s="3" t="str">
        <f t="shared" si="216"/>
        <v>03</v>
      </c>
      <c r="O761" s="14">
        <f t="shared" si="217"/>
        <v>22</v>
      </c>
      <c r="P761" s="4">
        <v>252000</v>
      </c>
      <c r="T761" s="23" t="s">
        <v>1641</v>
      </c>
      <c r="U761" s="3" t="s">
        <v>1342</v>
      </c>
      <c r="V761" s="3" t="s">
        <v>5</v>
      </c>
      <c r="W761" s="3" t="s">
        <v>1306</v>
      </c>
      <c r="X761" s="1" t="s">
        <v>1302</v>
      </c>
      <c r="Y761"/>
    </row>
    <row r="762" spans="1:25">
      <c r="A762" s="143">
        <v>795</v>
      </c>
      <c r="B762" s="1">
        <f t="shared" si="225"/>
        <v>0</v>
      </c>
      <c r="C762" s="1">
        <f t="shared" si="226"/>
        <v>0</v>
      </c>
      <c r="D762" s="1">
        <f t="shared" si="227"/>
        <v>0</v>
      </c>
      <c r="E762" s="1">
        <f t="shared" si="228"/>
        <v>0</v>
      </c>
      <c r="F762" s="1">
        <f t="shared" si="229"/>
        <v>0</v>
      </c>
      <c r="G762" s="1" t="str">
        <f t="shared" si="230"/>
        <v>25032220</v>
      </c>
      <c r="H762" s="2">
        <v>45738</v>
      </c>
      <c r="I762" s="113">
        <v>20</v>
      </c>
      <c r="J762" s="1">
        <f t="shared" si="212"/>
        <v>20</v>
      </c>
      <c r="K762" s="3">
        <f t="shared" si="213"/>
        <v>25</v>
      </c>
      <c r="L762" s="3">
        <f t="shared" si="214"/>
        <v>3</v>
      </c>
      <c r="M762" s="3">
        <f t="shared" si="215"/>
        <v>22</v>
      </c>
      <c r="N762" s="3" t="str">
        <f t="shared" si="216"/>
        <v>03</v>
      </c>
      <c r="O762" s="14">
        <f t="shared" si="217"/>
        <v>22</v>
      </c>
      <c r="P762" s="4">
        <v>90000</v>
      </c>
      <c r="T762" s="23" t="s">
        <v>1640</v>
      </c>
      <c r="U762" s="3" t="s">
        <v>1342</v>
      </c>
      <c r="V762" s="3" t="s">
        <v>5</v>
      </c>
      <c r="W762" s="3" t="s">
        <v>1306</v>
      </c>
      <c r="X762" s="1" t="s">
        <v>1302</v>
      </c>
      <c r="Y762"/>
    </row>
    <row r="763" spans="1:25">
      <c r="A763" s="143">
        <v>796</v>
      </c>
      <c r="B763" s="1">
        <f t="shared" si="225"/>
        <v>0</v>
      </c>
      <c r="C763" s="1">
        <f t="shared" si="226"/>
        <v>0</v>
      </c>
      <c r="D763" s="1">
        <f t="shared" si="227"/>
        <v>0</v>
      </c>
      <c r="E763" s="1">
        <f t="shared" si="228"/>
        <v>0</v>
      </c>
      <c r="F763" s="1">
        <f t="shared" si="229"/>
        <v>0</v>
      </c>
      <c r="G763" s="1" t="str">
        <f t="shared" si="230"/>
        <v>25032221</v>
      </c>
      <c r="H763" s="2">
        <v>45738</v>
      </c>
      <c r="I763" s="113">
        <v>21</v>
      </c>
      <c r="J763" s="1">
        <f t="shared" si="212"/>
        <v>21</v>
      </c>
      <c r="K763" s="3">
        <f t="shared" si="213"/>
        <v>25</v>
      </c>
      <c r="L763" s="3">
        <f t="shared" si="214"/>
        <v>3</v>
      </c>
      <c r="M763" s="3">
        <f t="shared" si="215"/>
        <v>22</v>
      </c>
      <c r="N763" s="3" t="str">
        <f t="shared" si="216"/>
        <v>03</v>
      </c>
      <c r="O763" s="14">
        <f t="shared" si="217"/>
        <v>22</v>
      </c>
      <c r="P763" s="4">
        <v>150000</v>
      </c>
      <c r="T763" s="23" t="s">
        <v>1639</v>
      </c>
      <c r="U763" s="3" t="s">
        <v>1342</v>
      </c>
      <c r="V763" s="3" t="s">
        <v>5</v>
      </c>
      <c r="W763" s="3" t="s">
        <v>1306</v>
      </c>
      <c r="X763" s="1" t="s">
        <v>1302</v>
      </c>
      <c r="Y763" t="s">
        <v>1612</v>
      </c>
    </row>
    <row r="764" spans="1:25">
      <c r="A764" s="143">
        <v>797</v>
      </c>
      <c r="B764" s="1">
        <f t="shared" si="225"/>
        <v>0</v>
      </c>
      <c r="C764" s="1">
        <f t="shared" si="226"/>
        <v>0</v>
      </c>
      <c r="D764" s="1">
        <f t="shared" si="227"/>
        <v>0</v>
      </c>
      <c r="E764" s="1">
        <f t="shared" si="228"/>
        <v>0</v>
      </c>
      <c r="F764" s="1">
        <f t="shared" si="229"/>
        <v>0</v>
      </c>
      <c r="G764" s="1" t="str">
        <f t="shared" si="230"/>
        <v>25032222</v>
      </c>
      <c r="H764" s="2">
        <v>45738</v>
      </c>
      <c r="I764" s="113">
        <v>22</v>
      </c>
      <c r="J764" s="1">
        <f t="shared" si="212"/>
        <v>22</v>
      </c>
      <c r="K764" s="3">
        <f t="shared" si="213"/>
        <v>25</v>
      </c>
      <c r="L764" s="3">
        <f t="shared" si="214"/>
        <v>3</v>
      </c>
      <c r="M764" s="3">
        <f t="shared" si="215"/>
        <v>22</v>
      </c>
      <c r="N764" s="3" t="str">
        <f t="shared" si="216"/>
        <v>03</v>
      </c>
      <c r="O764" s="14">
        <f t="shared" si="217"/>
        <v>22</v>
      </c>
      <c r="P764" s="4">
        <v>90000</v>
      </c>
      <c r="T764" s="28" t="s">
        <v>1638</v>
      </c>
      <c r="U764" s="3" t="s">
        <v>1342</v>
      </c>
      <c r="V764" s="3" t="s">
        <v>5</v>
      </c>
      <c r="W764" s="3" t="s">
        <v>1306</v>
      </c>
      <c r="X764" s="1" t="s">
        <v>1302</v>
      </c>
      <c r="Y764" t="s">
        <v>1637</v>
      </c>
    </row>
    <row r="765" spans="1:25" hidden="1">
      <c r="A765" s="143"/>
      <c r="J765" s="1" t="str">
        <f t="shared" si="212"/>
        <v>0</v>
      </c>
      <c r="K765" s="3">
        <f t="shared" si="213"/>
        <v>-100</v>
      </c>
      <c r="L765" s="3">
        <f t="shared" si="214"/>
        <v>1</v>
      </c>
      <c r="M765" s="3">
        <f t="shared" si="215"/>
        <v>0</v>
      </c>
      <c r="N765" s="3" t="str">
        <f t="shared" si="216"/>
        <v>01</v>
      </c>
      <c r="O765" s="14" t="str">
        <f t="shared" si="217"/>
        <v>00</v>
      </c>
    </row>
    <row r="766" spans="1:25" hidden="1">
      <c r="A766" s="143"/>
      <c r="J766" s="1" t="str">
        <f t="shared" si="212"/>
        <v>0</v>
      </c>
      <c r="K766" s="3">
        <f t="shared" si="213"/>
        <v>-100</v>
      </c>
      <c r="L766" s="3">
        <f t="shared" si="214"/>
        <v>1</v>
      </c>
      <c r="M766" s="3">
        <f t="shared" si="215"/>
        <v>0</v>
      </c>
      <c r="N766" s="3" t="str">
        <f t="shared" si="216"/>
        <v>01</v>
      </c>
      <c r="O766" s="14" t="str">
        <f t="shared" si="217"/>
        <v>00</v>
      </c>
    </row>
    <row r="767" spans="1:25" hidden="1">
      <c r="A767" s="143"/>
      <c r="J767" s="1" t="str">
        <f t="shared" si="212"/>
        <v>0</v>
      </c>
      <c r="K767" s="3">
        <f t="shared" si="213"/>
        <v>-100</v>
      </c>
      <c r="L767" s="3">
        <f t="shared" si="214"/>
        <v>1</v>
      </c>
      <c r="M767" s="3">
        <f t="shared" si="215"/>
        <v>0</v>
      </c>
      <c r="N767" s="3" t="str">
        <f t="shared" si="216"/>
        <v>01</v>
      </c>
      <c r="O767" s="14" t="str">
        <f t="shared" si="217"/>
        <v>00</v>
      </c>
    </row>
    <row r="768" spans="1:25" hidden="1">
      <c r="A768" s="143"/>
      <c r="J768" s="1" t="str">
        <f t="shared" si="212"/>
        <v>0</v>
      </c>
      <c r="K768" s="3">
        <f t="shared" si="213"/>
        <v>-100</v>
      </c>
      <c r="L768" s="3">
        <f t="shared" si="214"/>
        <v>1</v>
      </c>
      <c r="M768" s="3">
        <f t="shared" si="215"/>
        <v>0</v>
      </c>
      <c r="N768" s="3" t="str">
        <f t="shared" si="216"/>
        <v>01</v>
      </c>
      <c r="O768" s="14" t="str">
        <f t="shared" si="217"/>
        <v>00</v>
      </c>
    </row>
    <row r="769" spans="1:25" hidden="1">
      <c r="A769" s="143"/>
      <c r="J769" s="1" t="str">
        <f t="shared" si="212"/>
        <v>0</v>
      </c>
      <c r="K769" s="3">
        <f t="shared" si="213"/>
        <v>-100</v>
      </c>
      <c r="L769" s="3">
        <f t="shared" si="214"/>
        <v>1</v>
      </c>
      <c r="M769" s="3">
        <f t="shared" si="215"/>
        <v>0</v>
      </c>
      <c r="N769" s="3" t="str">
        <f t="shared" si="216"/>
        <v>01</v>
      </c>
      <c r="O769" s="14" t="str">
        <f t="shared" si="217"/>
        <v>00</v>
      </c>
    </row>
    <row r="770" spans="1:25" hidden="1">
      <c r="A770" s="143"/>
      <c r="J770" s="1" t="str">
        <f t="shared" si="212"/>
        <v>0</v>
      </c>
      <c r="K770" s="3">
        <f t="shared" si="213"/>
        <v>-100</v>
      </c>
      <c r="L770" s="3">
        <f t="shared" si="214"/>
        <v>1</v>
      </c>
      <c r="M770" s="3">
        <f t="shared" si="215"/>
        <v>0</v>
      </c>
      <c r="N770" s="3" t="str">
        <f t="shared" si="216"/>
        <v>01</v>
      </c>
      <c r="O770" s="14" t="str">
        <f t="shared" si="217"/>
        <v>00</v>
      </c>
    </row>
    <row r="771" spans="1:25" hidden="1">
      <c r="A771" s="143"/>
      <c r="J771" s="1" t="str">
        <f t="shared" si="212"/>
        <v>0</v>
      </c>
      <c r="K771" s="3">
        <f t="shared" si="213"/>
        <v>-100</v>
      </c>
      <c r="L771" s="3">
        <f t="shared" si="214"/>
        <v>1</v>
      </c>
      <c r="M771" s="3">
        <f t="shared" si="215"/>
        <v>0</v>
      </c>
      <c r="N771" s="3" t="str">
        <f t="shared" si="216"/>
        <v>01</v>
      </c>
      <c r="O771" s="14" t="str">
        <f t="shared" si="217"/>
        <v>00</v>
      </c>
    </row>
    <row r="772" spans="1:25" hidden="1">
      <c r="A772" s="143"/>
      <c r="J772" s="1" t="str">
        <f t="shared" si="212"/>
        <v>0</v>
      </c>
      <c r="K772" s="3">
        <f t="shared" si="213"/>
        <v>-100</v>
      </c>
      <c r="L772" s="3">
        <f t="shared" si="214"/>
        <v>1</v>
      </c>
      <c r="M772" s="3">
        <f t="shared" si="215"/>
        <v>0</v>
      </c>
      <c r="N772" s="3" t="str">
        <f t="shared" si="216"/>
        <v>01</v>
      </c>
      <c r="O772" s="14" t="str">
        <f t="shared" si="217"/>
        <v>00</v>
      </c>
    </row>
    <row r="773" spans="1:25" hidden="1">
      <c r="A773" s="143"/>
      <c r="J773" s="1" t="str">
        <f t="shared" si="212"/>
        <v>0</v>
      </c>
      <c r="K773" s="3">
        <f t="shared" si="213"/>
        <v>-100</v>
      </c>
      <c r="L773" s="3">
        <f t="shared" si="214"/>
        <v>1</v>
      </c>
      <c r="M773" s="3">
        <f t="shared" si="215"/>
        <v>0</v>
      </c>
      <c r="N773" s="3" t="str">
        <f t="shared" si="216"/>
        <v>01</v>
      </c>
      <c r="O773" s="14" t="str">
        <f t="shared" si="217"/>
        <v>00</v>
      </c>
    </row>
    <row r="774" spans="1:25" hidden="1">
      <c r="A774" s="143"/>
      <c r="J774" s="1" t="str">
        <f t="shared" si="212"/>
        <v>0</v>
      </c>
      <c r="K774" s="3">
        <f t="shared" si="213"/>
        <v>-100</v>
      </c>
      <c r="L774" s="3">
        <f t="shared" si="214"/>
        <v>1</v>
      </c>
      <c r="M774" s="3">
        <f t="shared" si="215"/>
        <v>0</v>
      </c>
      <c r="N774" s="3" t="str">
        <f t="shared" si="216"/>
        <v>01</v>
      </c>
      <c r="O774" s="14" t="str">
        <f t="shared" si="217"/>
        <v>00</v>
      </c>
    </row>
    <row r="775" spans="1:25" hidden="1">
      <c r="A775" s="143"/>
      <c r="J775" s="1" t="str">
        <f t="shared" si="212"/>
        <v>0</v>
      </c>
      <c r="K775" s="3">
        <f t="shared" si="213"/>
        <v>-100</v>
      </c>
      <c r="L775" s="3">
        <f t="shared" si="214"/>
        <v>1</v>
      </c>
      <c r="M775" s="3">
        <f t="shared" si="215"/>
        <v>0</v>
      </c>
      <c r="N775" s="3" t="str">
        <f t="shared" si="216"/>
        <v>01</v>
      </c>
      <c r="O775" s="14" t="str">
        <f t="shared" si="217"/>
        <v>00</v>
      </c>
    </row>
    <row r="776" spans="1:25" hidden="1">
      <c r="A776" s="143"/>
      <c r="J776" s="1" t="str">
        <f t="shared" ref="J776:J839" si="231">+IF(I776&lt;10,_xlfn.CONCAT("0",I776),I776)</f>
        <v>0</v>
      </c>
      <c r="K776" s="3">
        <f t="shared" ref="K776:K839" si="232">+YEAR(H776)-2000</f>
        <v>-100</v>
      </c>
      <c r="L776" s="3">
        <f t="shared" ref="L776:L839" si="233">+MONTH(H776)</f>
        <v>1</v>
      </c>
      <c r="M776" s="3">
        <f t="shared" ref="M776:M839" si="234">+DAY(H776)</f>
        <v>0</v>
      </c>
      <c r="N776" s="3" t="str">
        <f t="shared" ref="N776:N839" si="235">+IF(L776&lt;10,_xlfn.CONCAT("0",L776),L776)</f>
        <v>01</v>
      </c>
      <c r="O776" s="14" t="str">
        <f t="shared" ref="O776:O839" si="236">+IF(M776&lt;10,_xlfn.CONCAT("0",M776),M776)</f>
        <v>00</v>
      </c>
    </row>
    <row r="777" spans="1:25" hidden="1">
      <c r="A777" s="143"/>
      <c r="J777" s="1" t="str">
        <f t="shared" si="231"/>
        <v>0</v>
      </c>
      <c r="K777" s="3">
        <f t="shared" si="232"/>
        <v>-100</v>
      </c>
      <c r="L777" s="3">
        <f t="shared" si="233"/>
        <v>1</v>
      </c>
      <c r="M777" s="3">
        <f t="shared" si="234"/>
        <v>0</v>
      </c>
      <c r="N777" s="3" t="str">
        <f t="shared" si="235"/>
        <v>01</v>
      </c>
      <c r="O777" s="14" t="str">
        <f t="shared" si="236"/>
        <v>00</v>
      </c>
      <c r="U777" s="155"/>
      <c r="V777" s="155"/>
    </row>
    <row r="778" spans="1:25" hidden="1">
      <c r="A778" s="143">
        <v>740</v>
      </c>
      <c r="B778" s="1">
        <f>IF(G778="-",0,IF(G777=G778,1,0))</f>
        <v>0</v>
      </c>
      <c r="C778" s="1">
        <f>+IF(G778="-",0,IF(I778=I777+1,0,(IF(I778=1,0,1))))</f>
        <v>1</v>
      </c>
      <c r="D778" s="1">
        <f>+IF(AND(P778="",Q778=""),1,0)</f>
        <v>0</v>
      </c>
      <c r="E778" s="1">
        <f>IF(U778="",1,0)</f>
        <v>0</v>
      </c>
      <c r="F778" s="1">
        <f>IF(V778="",1,0)</f>
        <v>0</v>
      </c>
      <c r="G778" s="1" t="str">
        <f>IF(H778=0,"-",_xlfn.CONCAT(K778,N778,O778,J778))</f>
        <v>25032403</v>
      </c>
      <c r="H778" s="2">
        <v>45740</v>
      </c>
      <c r="I778" s="113">
        <v>3</v>
      </c>
      <c r="J778" s="1" t="str">
        <f t="shared" si="231"/>
        <v>03</v>
      </c>
      <c r="K778" s="3">
        <f t="shared" si="232"/>
        <v>25</v>
      </c>
      <c r="L778" s="3">
        <f t="shared" si="233"/>
        <v>3</v>
      </c>
      <c r="M778" s="3">
        <f t="shared" si="234"/>
        <v>24</v>
      </c>
      <c r="N778" s="3" t="str">
        <f t="shared" si="235"/>
        <v>03</v>
      </c>
      <c r="O778" s="14">
        <f t="shared" si="236"/>
        <v>24</v>
      </c>
      <c r="P778" s="4">
        <v>10000</v>
      </c>
      <c r="T778" s="5" t="s">
        <v>1512</v>
      </c>
      <c r="U778" s="3" t="s">
        <v>29</v>
      </c>
      <c r="V778" s="3" t="s">
        <v>5</v>
      </c>
      <c r="W778" s="3" t="s">
        <v>1307</v>
      </c>
      <c r="X778" s="1" t="s">
        <v>1305</v>
      </c>
    </row>
    <row r="779" spans="1:25" hidden="1">
      <c r="A779" s="143">
        <v>741</v>
      </c>
      <c r="B779" s="1">
        <f>IF(G779="-",0,IF(G778=G779,1,0))</f>
        <v>0</v>
      </c>
      <c r="C779" s="1">
        <f>+IF(G779="-",0,IF(I779=I778+1,0,(IF(I779=1,0,1))))</f>
        <v>0</v>
      </c>
      <c r="D779" s="1">
        <f>+IF(AND(P779="",Q779=""),1,0)</f>
        <v>0</v>
      </c>
      <c r="E779" s="1">
        <f>IF(U779="",1,0)</f>
        <v>0</v>
      </c>
      <c r="F779" s="1">
        <f>IF(V779="",1,0)</f>
        <v>0</v>
      </c>
      <c r="G779" s="1" t="str">
        <f>IF(H779=0,"-",_xlfn.CONCAT(K779,N779,O779,J779))</f>
        <v>25032404</v>
      </c>
      <c r="H779" s="2">
        <v>45740</v>
      </c>
      <c r="I779" s="113">
        <v>4</v>
      </c>
      <c r="J779" s="1" t="str">
        <f t="shared" si="231"/>
        <v>04</v>
      </c>
      <c r="K779" s="3">
        <f t="shared" si="232"/>
        <v>25</v>
      </c>
      <c r="L779" s="3">
        <f t="shared" si="233"/>
        <v>3</v>
      </c>
      <c r="M779" s="3">
        <f t="shared" si="234"/>
        <v>24</v>
      </c>
      <c r="N779" s="3" t="str">
        <f t="shared" si="235"/>
        <v>03</v>
      </c>
      <c r="O779" s="14">
        <f t="shared" si="236"/>
        <v>24</v>
      </c>
      <c r="P779" s="4">
        <v>69831.289999999994</v>
      </c>
      <c r="T779" s="5" t="s">
        <v>1636</v>
      </c>
      <c r="U779" s="3" t="s">
        <v>29</v>
      </c>
      <c r="V779" s="3" t="s">
        <v>5</v>
      </c>
      <c r="W779" s="3" t="s">
        <v>1307</v>
      </c>
      <c r="X779" s="1" t="s">
        <v>1305</v>
      </c>
    </row>
    <row r="780" spans="1:25" hidden="1">
      <c r="A780" s="143"/>
      <c r="J780" s="1" t="str">
        <f t="shared" si="231"/>
        <v>0</v>
      </c>
      <c r="K780" s="3">
        <f t="shared" si="232"/>
        <v>-100</v>
      </c>
      <c r="L780" s="3">
        <f t="shared" si="233"/>
        <v>1</v>
      </c>
      <c r="M780" s="3">
        <f t="shared" si="234"/>
        <v>0</v>
      </c>
      <c r="N780" s="3" t="str">
        <f t="shared" si="235"/>
        <v>01</v>
      </c>
      <c r="O780" s="14" t="str">
        <f t="shared" si="236"/>
        <v>00</v>
      </c>
    </row>
    <row r="781" spans="1:25" hidden="1">
      <c r="A781" s="143">
        <v>690</v>
      </c>
      <c r="B781" s="1">
        <f>IF(G781="-",0,IF(G780=G781,1,0))</f>
        <v>0</v>
      </c>
      <c r="C781" s="1">
        <f>+IF(G781="-",0,IF(I781=I780+1,0,(IF(I781=1,0,1))))</f>
        <v>0</v>
      </c>
      <c r="D781" s="1">
        <f>+IF(AND(P781="",Q781=""),1,0)</f>
        <v>0</v>
      </c>
      <c r="E781" s="1">
        <f t="shared" ref="E781:F784" si="237">IF(U781="",1,0)</f>
        <v>0</v>
      </c>
      <c r="F781" s="1">
        <f t="shared" si="237"/>
        <v>0</v>
      </c>
      <c r="G781" s="1" t="str">
        <f>IF(H781=0,"-",_xlfn.CONCAT(K781,N781,O781,J781))</f>
        <v>25032501</v>
      </c>
      <c r="H781" s="2">
        <v>45741</v>
      </c>
      <c r="I781" s="113">
        <v>1</v>
      </c>
      <c r="J781" s="1" t="str">
        <f t="shared" si="231"/>
        <v>01</v>
      </c>
      <c r="K781" s="3">
        <f t="shared" si="232"/>
        <v>25</v>
      </c>
      <c r="L781" s="3">
        <f t="shared" si="233"/>
        <v>3</v>
      </c>
      <c r="M781" s="3">
        <f t="shared" si="234"/>
        <v>25</v>
      </c>
      <c r="N781" s="3" t="str">
        <f t="shared" si="235"/>
        <v>03</v>
      </c>
      <c r="O781" s="14">
        <f t="shared" si="236"/>
        <v>25</v>
      </c>
      <c r="P781" s="4">
        <v>88618.14</v>
      </c>
      <c r="T781" s="5" t="s">
        <v>1635</v>
      </c>
      <c r="U781" s="3" t="s">
        <v>29</v>
      </c>
      <c r="V781" s="3" t="s">
        <v>5</v>
      </c>
      <c r="W781" s="3" t="s">
        <v>1303</v>
      </c>
      <c r="Y781" s="141" t="s">
        <v>1634</v>
      </c>
    </row>
    <row r="782" spans="1:25" hidden="1">
      <c r="A782" s="143">
        <v>691</v>
      </c>
      <c r="B782" s="1">
        <f>IF(G782="-",0,IF(G781=G782,1,0))</f>
        <v>0</v>
      </c>
      <c r="C782" s="1">
        <f>+IF(G782="-",0,IF(I782=I781+1,0,(IF(I782=1,0,1))))</f>
        <v>0</v>
      </c>
      <c r="D782" s="1">
        <f>+IF(AND(P782="",Q782=""),1,0)</f>
        <v>0</v>
      </c>
      <c r="E782" s="1">
        <f t="shared" si="237"/>
        <v>0</v>
      </c>
      <c r="F782" s="1">
        <f t="shared" si="237"/>
        <v>0</v>
      </c>
      <c r="G782" s="1" t="str">
        <f>IF(H782=0,"-",_xlfn.CONCAT(K782,N782,O782,J782))</f>
        <v>25032502</v>
      </c>
      <c r="H782" s="2">
        <v>45741</v>
      </c>
      <c r="I782" s="113">
        <v>2</v>
      </c>
      <c r="J782" s="1" t="str">
        <f t="shared" si="231"/>
        <v>02</v>
      </c>
      <c r="K782" s="3">
        <f t="shared" si="232"/>
        <v>25</v>
      </c>
      <c r="L782" s="3">
        <f t="shared" si="233"/>
        <v>3</v>
      </c>
      <c r="M782" s="3">
        <f t="shared" si="234"/>
        <v>25</v>
      </c>
      <c r="N782" s="3" t="str">
        <f t="shared" si="235"/>
        <v>03</v>
      </c>
      <c r="O782" s="14">
        <f t="shared" si="236"/>
        <v>25</v>
      </c>
      <c r="P782" s="4">
        <v>358800</v>
      </c>
      <c r="T782" s="5" t="s">
        <v>1633</v>
      </c>
      <c r="U782" s="3" t="s">
        <v>305</v>
      </c>
      <c r="V782" s="3" t="s">
        <v>5</v>
      </c>
      <c r="W782" s="3" t="s">
        <v>1306</v>
      </c>
    </row>
    <row r="783" spans="1:25">
      <c r="A783" s="143">
        <v>743</v>
      </c>
      <c r="B783" s="1">
        <f>IF(G783="-",0,IF(G782=G783,1,0))</f>
        <v>0</v>
      </c>
      <c r="C783" s="1">
        <f>+IF(G783="-",0,IF(I783=I782+1,0,(IF(I783=1,0,1))))</f>
        <v>0</v>
      </c>
      <c r="D783" s="1">
        <f>+IF(AND(P783="",Q783=""),1,0)</f>
        <v>0</v>
      </c>
      <c r="E783" s="1">
        <f t="shared" si="237"/>
        <v>1</v>
      </c>
      <c r="F783" s="1">
        <f t="shared" si="237"/>
        <v>0</v>
      </c>
      <c r="G783" s="1" t="str">
        <f>IF(H783=0,"-",_xlfn.CONCAT(K783,N783,O783,J783))</f>
        <v>25032503</v>
      </c>
      <c r="H783" s="2">
        <v>45741</v>
      </c>
      <c r="I783" s="113">
        <v>3</v>
      </c>
      <c r="J783" s="1" t="str">
        <f t="shared" si="231"/>
        <v>03</v>
      </c>
      <c r="K783" s="3">
        <f t="shared" si="232"/>
        <v>25</v>
      </c>
      <c r="L783" s="3">
        <f t="shared" si="233"/>
        <v>3</v>
      </c>
      <c r="M783" s="3">
        <f t="shared" si="234"/>
        <v>25</v>
      </c>
      <c r="N783" s="3" t="str">
        <f t="shared" si="235"/>
        <v>03</v>
      </c>
      <c r="O783" s="14">
        <f t="shared" si="236"/>
        <v>25</v>
      </c>
      <c r="Q783" s="5">
        <v>-463.3</v>
      </c>
      <c r="T783" s="5" t="s">
        <v>1632</v>
      </c>
      <c r="V783" s="3" t="s">
        <v>5</v>
      </c>
      <c r="W783" s="3" t="s">
        <v>1309</v>
      </c>
      <c r="X783" s="1" t="s">
        <v>1305</v>
      </c>
    </row>
    <row r="784" spans="1:25" hidden="1">
      <c r="A784" s="143">
        <v>744</v>
      </c>
      <c r="B784" s="1">
        <f>IF(G784="-",0,IF(G783=G784,1,0))</f>
        <v>0</v>
      </c>
      <c r="C784" s="1">
        <f>+IF(G784="-",0,IF(I784=I783+1,0,(IF(I784=1,0,1))))</f>
        <v>0</v>
      </c>
      <c r="D784" s="1">
        <f>+IF(AND(P784="",Q784=""),1,0)</f>
        <v>0</v>
      </c>
      <c r="E784" s="1">
        <f t="shared" si="237"/>
        <v>0</v>
      </c>
      <c r="F784" s="1">
        <f t="shared" si="237"/>
        <v>0</v>
      </c>
      <c r="G784" s="1" t="str">
        <f>IF(H784=0,"-",_xlfn.CONCAT(K784,N784,O784,J784))</f>
        <v>25032504</v>
      </c>
      <c r="H784" s="2">
        <v>45741</v>
      </c>
      <c r="I784" s="113">
        <v>4</v>
      </c>
      <c r="J784" s="1" t="str">
        <f t="shared" si="231"/>
        <v>04</v>
      </c>
      <c r="K784" s="3">
        <f t="shared" si="232"/>
        <v>25</v>
      </c>
      <c r="L784" s="3">
        <f t="shared" si="233"/>
        <v>3</v>
      </c>
      <c r="M784" s="3">
        <f t="shared" si="234"/>
        <v>25</v>
      </c>
      <c r="N784" s="3" t="str">
        <f t="shared" si="235"/>
        <v>03</v>
      </c>
      <c r="O784" s="14">
        <f t="shared" si="236"/>
        <v>25</v>
      </c>
      <c r="P784" s="4">
        <v>38908</v>
      </c>
      <c r="T784" s="5" t="s">
        <v>352</v>
      </c>
      <c r="U784" s="3" t="s">
        <v>30</v>
      </c>
      <c r="V784" s="3" t="s">
        <v>1312</v>
      </c>
      <c r="W784" s="3" t="s">
        <v>1307</v>
      </c>
      <c r="X784" s="1" t="s">
        <v>1305</v>
      </c>
    </row>
    <row r="785" spans="1:24" hidden="1">
      <c r="A785" s="143"/>
      <c r="J785" s="1" t="str">
        <f t="shared" si="231"/>
        <v>0</v>
      </c>
      <c r="K785" s="3">
        <f t="shared" si="232"/>
        <v>-100</v>
      </c>
      <c r="L785" s="3">
        <f t="shared" si="233"/>
        <v>1</v>
      </c>
      <c r="M785" s="3">
        <f t="shared" si="234"/>
        <v>0</v>
      </c>
      <c r="N785" s="3" t="str">
        <f t="shared" si="235"/>
        <v>01</v>
      </c>
      <c r="O785" s="14" t="str">
        <f t="shared" si="236"/>
        <v>00</v>
      </c>
    </row>
    <row r="786" spans="1:24" hidden="1">
      <c r="A786" s="143"/>
      <c r="J786" s="1" t="str">
        <f t="shared" si="231"/>
        <v>0</v>
      </c>
      <c r="K786" s="3">
        <f t="shared" si="232"/>
        <v>-100</v>
      </c>
      <c r="L786" s="3">
        <f t="shared" si="233"/>
        <v>1</v>
      </c>
      <c r="M786" s="3">
        <f t="shared" si="234"/>
        <v>0</v>
      </c>
      <c r="N786" s="3" t="str">
        <f t="shared" si="235"/>
        <v>01</v>
      </c>
      <c r="O786" s="14" t="str">
        <f t="shared" si="236"/>
        <v>00</v>
      </c>
    </row>
    <row r="787" spans="1:24" hidden="1">
      <c r="A787" s="143">
        <v>747</v>
      </c>
      <c r="B787" s="1">
        <f>IF(G787="-",0,IF(G786=G787,1,0))</f>
        <v>0</v>
      </c>
      <c r="C787" s="1">
        <f>+IF(G787="-",0,IF(I787=I786+1,0,(IF(I787=1,0,1))))</f>
        <v>1</v>
      </c>
      <c r="D787" s="1">
        <f>+IF(AND(P787="",Q787=""),1,0)</f>
        <v>0</v>
      </c>
      <c r="E787" s="1">
        <f>IF(U787="",1,0)</f>
        <v>0</v>
      </c>
      <c r="F787" s="1">
        <f>IF(V787="",1,0)</f>
        <v>0</v>
      </c>
      <c r="G787" s="1" t="str">
        <f>IF(H787=0,"-",_xlfn.CONCAT(K787,N787,O787,J787))</f>
        <v>25032507</v>
      </c>
      <c r="H787" s="2">
        <v>45741</v>
      </c>
      <c r="I787" s="113">
        <v>7</v>
      </c>
      <c r="J787" s="1" t="str">
        <f t="shared" si="231"/>
        <v>07</v>
      </c>
      <c r="K787" s="3">
        <f t="shared" si="232"/>
        <v>25</v>
      </c>
      <c r="L787" s="3">
        <f t="shared" si="233"/>
        <v>3</v>
      </c>
      <c r="M787" s="3">
        <f t="shared" si="234"/>
        <v>25</v>
      </c>
      <c r="N787" s="3" t="str">
        <f t="shared" si="235"/>
        <v>03</v>
      </c>
      <c r="O787" s="14">
        <f t="shared" si="236"/>
        <v>25</v>
      </c>
      <c r="P787" s="4">
        <v>15000</v>
      </c>
      <c r="T787" s="5" t="s">
        <v>1308</v>
      </c>
      <c r="U787" s="3" t="s">
        <v>29</v>
      </c>
      <c r="V787" s="3" t="s">
        <v>5</v>
      </c>
      <c r="W787" s="3" t="s">
        <v>1307</v>
      </c>
      <c r="X787" s="1" t="s">
        <v>1305</v>
      </c>
    </row>
    <row r="788" spans="1:24" hidden="1">
      <c r="A788" s="143"/>
      <c r="J788" s="1" t="str">
        <f t="shared" si="231"/>
        <v>0</v>
      </c>
      <c r="K788" s="3">
        <f t="shared" si="232"/>
        <v>-100</v>
      </c>
      <c r="L788" s="3">
        <f t="shared" si="233"/>
        <v>1</v>
      </c>
      <c r="M788" s="3">
        <f t="shared" si="234"/>
        <v>0</v>
      </c>
      <c r="N788" s="3" t="str">
        <f t="shared" si="235"/>
        <v>01</v>
      </c>
      <c r="O788" s="14" t="str">
        <f t="shared" si="236"/>
        <v>00</v>
      </c>
    </row>
    <row r="789" spans="1:24" hidden="1">
      <c r="A789" s="143"/>
      <c r="J789" s="1" t="str">
        <f t="shared" si="231"/>
        <v>0</v>
      </c>
      <c r="K789" s="3">
        <f t="shared" si="232"/>
        <v>-100</v>
      </c>
      <c r="L789" s="3">
        <f t="shared" si="233"/>
        <v>1</v>
      </c>
      <c r="M789" s="3">
        <f t="shared" si="234"/>
        <v>0</v>
      </c>
      <c r="N789" s="3" t="str">
        <f t="shared" si="235"/>
        <v>01</v>
      </c>
      <c r="O789" s="14" t="str">
        <f t="shared" si="236"/>
        <v>00</v>
      </c>
    </row>
    <row r="790" spans="1:24" hidden="1">
      <c r="A790" s="143"/>
      <c r="J790" s="1" t="str">
        <f t="shared" si="231"/>
        <v>0</v>
      </c>
      <c r="K790" s="3">
        <f t="shared" si="232"/>
        <v>-100</v>
      </c>
      <c r="L790" s="3">
        <f t="shared" si="233"/>
        <v>1</v>
      </c>
      <c r="M790" s="3">
        <f t="shared" si="234"/>
        <v>0</v>
      </c>
      <c r="N790" s="3" t="str">
        <f t="shared" si="235"/>
        <v>01</v>
      </c>
      <c r="O790" s="14" t="str">
        <f t="shared" si="236"/>
        <v>00</v>
      </c>
    </row>
    <row r="791" spans="1:24" hidden="1">
      <c r="A791" s="143"/>
      <c r="J791" s="1" t="str">
        <f t="shared" si="231"/>
        <v>0</v>
      </c>
      <c r="K791" s="3">
        <f t="shared" si="232"/>
        <v>-100</v>
      </c>
      <c r="L791" s="3">
        <f t="shared" si="233"/>
        <v>1</v>
      </c>
      <c r="M791" s="3">
        <f t="shared" si="234"/>
        <v>0</v>
      </c>
      <c r="N791" s="3" t="str">
        <f t="shared" si="235"/>
        <v>01</v>
      </c>
      <c r="O791" s="14" t="str">
        <f t="shared" si="236"/>
        <v>00</v>
      </c>
    </row>
    <row r="792" spans="1:24" hidden="1">
      <c r="A792" s="143"/>
      <c r="J792" s="1" t="str">
        <f t="shared" si="231"/>
        <v>0</v>
      </c>
      <c r="K792" s="3">
        <f t="shared" si="232"/>
        <v>-100</v>
      </c>
      <c r="L792" s="3">
        <f t="shared" si="233"/>
        <v>1</v>
      </c>
      <c r="M792" s="3">
        <f t="shared" si="234"/>
        <v>0</v>
      </c>
      <c r="N792" s="3" t="str">
        <f t="shared" si="235"/>
        <v>01</v>
      </c>
      <c r="O792" s="14" t="str">
        <f t="shared" si="236"/>
        <v>00</v>
      </c>
    </row>
    <row r="793" spans="1:24" hidden="1">
      <c r="A793" s="143"/>
      <c r="J793" s="1" t="str">
        <f t="shared" si="231"/>
        <v>0</v>
      </c>
      <c r="K793" s="3">
        <f t="shared" si="232"/>
        <v>-100</v>
      </c>
      <c r="L793" s="3">
        <f t="shared" si="233"/>
        <v>1</v>
      </c>
      <c r="M793" s="3">
        <f t="shared" si="234"/>
        <v>0</v>
      </c>
      <c r="N793" s="3" t="str">
        <f t="shared" si="235"/>
        <v>01</v>
      </c>
      <c r="O793" s="14" t="str">
        <f t="shared" si="236"/>
        <v>00</v>
      </c>
    </row>
    <row r="794" spans="1:24" hidden="1">
      <c r="A794" s="143"/>
      <c r="J794" s="1" t="str">
        <f t="shared" si="231"/>
        <v>0</v>
      </c>
      <c r="K794" s="3">
        <f t="shared" si="232"/>
        <v>-100</v>
      </c>
      <c r="L794" s="3">
        <f t="shared" si="233"/>
        <v>1</v>
      </c>
      <c r="M794" s="3">
        <f t="shared" si="234"/>
        <v>0</v>
      </c>
      <c r="N794" s="3" t="str">
        <f t="shared" si="235"/>
        <v>01</v>
      </c>
      <c r="O794" s="14" t="str">
        <f t="shared" si="236"/>
        <v>00</v>
      </c>
    </row>
    <row r="795" spans="1:24" hidden="1">
      <c r="A795" s="143"/>
      <c r="J795" s="1" t="str">
        <f t="shared" si="231"/>
        <v>0</v>
      </c>
      <c r="K795" s="3">
        <f t="shared" si="232"/>
        <v>-100</v>
      </c>
      <c r="L795" s="3">
        <f t="shared" si="233"/>
        <v>1</v>
      </c>
      <c r="M795" s="3">
        <f t="shared" si="234"/>
        <v>0</v>
      </c>
      <c r="N795" s="3" t="str">
        <f t="shared" si="235"/>
        <v>01</v>
      </c>
      <c r="O795" s="14" t="str">
        <f t="shared" si="236"/>
        <v>00</v>
      </c>
    </row>
    <row r="796" spans="1:24" hidden="1">
      <c r="A796" s="143"/>
      <c r="J796" s="1" t="str">
        <f t="shared" si="231"/>
        <v>0</v>
      </c>
      <c r="K796" s="3">
        <f t="shared" si="232"/>
        <v>-100</v>
      </c>
      <c r="L796" s="3">
        <f t="shared" si="233"/>
        <v>1</v>
      </c>
      <c r="M796" s="3">
        <f t="shared" si="234"/>
        <v>0</v>
      </c>
      <c r="N796" s="3" t="str">
        <f t="shared" si="235"/>
        <v>01</v>
      </c>
      <c r="O796" s="14" t="str">
        <f t="shared" si="236"/>
        <v>00</v>
      </c>
    </row>
    <row r="797" spans="1:24" hidden="1">
      <c r="A797" s="143"/>
      <c r="J797" s="1" t="str">
        <f t="shared" si="231"/>
        <v>0</v>
      </c>
      <c r="K797" s="3">
        <f t="shared" si="232"/>
        <v>-100</v>
      </c>
      <c r="L797" s="3">
        <f t="shared" si="233"/>
        <v>1</v>
      </c>
      <c r="M797" s="3">
        <f t="shared" si="234"/>
        <v>0</v>
      </c>
      <c r="N797" s="3" t="str">
        <f t="shared" si="235"/>
        <v>01</v>
      </c>
      <c r="O797" s="14" t="str">
        <f t="shared" si="236"/>
        <v>00</v>
      </c>
    </row>
    <row r="798" spans="1:24" hidden="1">
      <c r="A798" s="143">
        <v>700</v>
      </c>
      <c r="B798" s="1">
        <f>IF(G798="-",0,IF(G797=G798,1,0))</f>
        <v>0</v>
      </c>
      <c r="C798" s="1">
        <f>+IF(G798="-",0,IF(I798=I797+1,0,(IF(I798=1,0,1))))</f>
        <v>0</v>
      </c>
      <c r="D798" s="1">
        <f>+IF(AND(P798="",Q798=""),1,0)</f>
        <v>0</v>
      </c>
      <c r="E798" s="1">
        <f>IF(U798="",1,0)</f>
        <v>0</v>
      </c>
      <c r="F798" s="1">
        <f>IF(V798="",1,0)</f>
        <v>0</v>
      </c>
      <c r="G798" s="1" t="str">
        <f>IF(H798=0,"-",_xlfn.CONCAT(K798,N798,O798,J798))</f>
        <v>25032701</v>
      </c>
      <c r="H798" s="2">
        <v>45743</v>
      </c>
      <c r="I798" s="113">
        <v>1</v>
      </c>
      <c r="J798" s="1" t="str">
        <f t="shared" si="231"/>
        <v>01</v>
      </c>
      <c r="K798" s="3">
        <f t="shared" si="232"/>
        <v>25</v>
      </c>
      <c r="L798" s="3">
        <f t="shared" si="233"/>
        <v>3</v>
      </c>
      <c r="M798" s="3">
        <f t="shared" si="234"/>
        <v>27</v>
      </c>
      <c r="N798" s="3" t="str">
        <f t="shared" si="235"/>
        <v>03</v>
      </c>
      <c r="O798" s="14">
        <f t="shared" si="236"/>
        <v>27</v>
      </c>
      <c r="P798" s="4">
        <v>2600</v>
      </c>
      <c r="T798" s="5" t="s">
        <v>1631</v>
      </c>
      <c r="U798" s="3" t="s">
        <v>1326</v>
      </c>
      <c r="V798" s="3" t="s">
        <v>1304</v>
      </c>
      <c r="W798" s="3" t="s">
        <v>1326</v>
      </c>
      <c r="X798" s="1" t="s">
        <v>1302</v>
      </c>
    </row>
    <row r="799" spans="1:24" hidden="1">
      <c r="A799" s="143">
        <v>750</v>
      </c>
      <c r="B799" s="1">
        <f>IF(G799="-",0,IF(G798=G799,1,0))</f>
        <v>0</v>
      </c>
      <c r="C799" s="1">
        <f>+IF(G799="-",0,IF(I799=I798+1,0,(IF(I799=1,0,1))))</f>
        <v>0</v>
      </c>
      <c r="D799" s="1">
        <f>+IF(AND(P799="",Q799=""),1,0)</f>
        <v>0</v>
      </c>
      <c r="E799" s="1">
        <f>IF(U799="",1,0)</f>
        <v>0</v>
      </c>
      <c r="F799" s="1">
        <f>IF(V799="",1,0)</f>
        <v>0</v>
      </c>
      <c r="G799" s="1" t="str">
        <f>IF(H799=0,"-",_xlfn.CONCAT(K799,N799,O799,J799))</f>
        <v>25032702</v>
      </c>
      <c r="H799" s="2">
        <v>45743</v>
      </c>
      <c r="I799" s="113">
        <v>2</v>
      </c>
      <c r="J799" s="1" t="str">
        <f t="shared" si="231"/>
        <v>02</v>
      </c>
      <c r="K799" s="3">
        <f t="shared" si="232"/>
        <v>25</v>
      </c>
      <c r="L799" s="3">
        <f t="shared" si="233"/>
        <v>3</v>
      </c>
      <c r="M799" s="3">
        <f t="shared" si="234"/>
        <v>27</v>
      </c>
      <c r="N799" s="3" t="str">
        <f t="shared" si="235"/>
        <v>03</v>
      </c>
      <c r="O799" s="14">
        <f t="shared" si="236"/>
        <v>27</v>
      </c>
      <c r="P799" s="4">
        <v>56886.75</v>
      </c>
      <c r="T799" s="5" t="s">
        <v>352</v>
      </c>
      <c r="U799" s="3" t="s">
        <v>30</v>
      </c>
      <c r="V799" s="3" t="s">
        <v>1312</v>
      </c>
      <c r="W799" s="3" t="s">
        <v>1307</v>
      </c>
      <c r="X799" s="1" t="s">
        <v>1305</v>
      </c>
    </row>
    <row r="800" spans="1:24" hidden="1">
      <c r="A800" s="143"/>
      <c r="J800" s="1" t="str">
        <f t="shared" si="231"/>
        <v>0</v>
      </c>
      <c r="K800" s="3">
        <f t="shared" si="232"/>
        <v>-100</v>
      </c>
      <c r="L800" s="3">
        <f t="shared" si="233"/>
        <v>1</v>
      </c>
      <c r="M800" s="3">
        <f t="shared" si="234"/>
        <v>0</v>
      </c>
      <c r="N800" s="3" t="str">
        <f t="shared" si="235"/>
        <v>01</v>
      </c>
      <c r="O800" s="14" t="str">
        <f t="shared" si="236"/>
        <v>00</v>
      </c>
    </row>
    <row r="801" spans="1:24" hidden="1">
      <c r="A801" s="143"/>
      <c r="J801" s="1" t="str">
        <f t="shared" si="231"/>
        <v>0</v>
      </c>
      <c r="K801" s="3">
        <f t="shared" si="232"/>
        <v>-100</v>
      </c>
      <c r="L801" s="3">
        <f t="shared" si="233"/>
        <v>1</v>
      </c>
      <c r="M801" s="3">
        <f t="shared" si="234"/>
        <v>0</v>
      </c>
      <c r="N801" s="3" t="str">
        <f t="shared" si="235"/>
        <v>01</v>
      </c>
      <c r="O801" s="14" t="str">
        <f t="shared" si="236"/>
        <v>00</v>
      </c>
    </row>
    <row r="802" spans="1:24" hidden="1">
      <c r="A802" s="143">
        <v>753</v>
      </c>
      <c r="B802" s="1">
        <f>IF(G802="-",0,IF(G801=G802,1,0))</f>
        <v>0</v>
      </c>
      <c r="C802" s="1">
        <f>+IF(G802="-",0,IF(I802=I801+1,0,(IF(I802=1,0,1))))</f>
        <v>1</v>
      </c>
      <c r="D802" s="1">
        <f>+IF(AND(P802="",Q802=""),1,0)</f>
        <v>0</v>
      </c>
      <c r="E802" s="1">
        <f>IF(U802="",1,0)</f>
        <v>0</v>
      </c>
      <c r="F802" s="1">
        <f>IF(V802="",1,0)</f>
        <v>0</v>
      </c>
      <c r="G802" s="1" t="str">
        <f>IF(H802=0,"-",_xlfn.CONCAT(K802,N802,O802,J802))</f>
        <v>25032705</v>
      </c>
      <c r="H802" s="2">
        <v>45743</v>
      </c>
      <c r="I802" s="113">
        <v>5</v>
      </c>
      <c r="J802" s="1" t="str">
        <f t="shared" si="231"/>
        <v>05</v>
      </c>
      <c r="K802" s="3">
        <f t="shared" si="232"/>
        <v>25</v>
      </c>
      <c r="L802" s="3">
        <f t="shared" si="233"/>
        <v>3</v>
      </c>
      <c r="M802" s="3">
        <f t="shared" si="234"/>
        <v>27</v>
      </c>
      <c r="N802" s="3" t="str">
        <f t="shared" si="235"/>
        <v>03</v>
      </c>
      <c r="O802" s="14">
        <f t="shared" si="236"/>
        <v>27</v>
      </c>
      <c r="P802" s="4">
        <v>43150</v>
      </c>
      <c r="T802" s="5" t="s">
        <v>1630</v>
      </c>
      <c r="U802" s="3" t="s">
        <v>1310</v>
      </c>
      <c r="V802" s="3" t="s">
        <v>1304</v>
      </c>
      <c r="W802" s="3" t="s">
        <v>1309</v>
      </c>
      <c r="X802" s="1" t="s">
        <v>1305</v>
      </c>
    </row>
    <row r="803" spans="1:24" hidden="1">
      <c r="A803" s="143"/>
      <c r="J803" s="1" t="str">
        <f t="shared" si="231"/>
        <v>0</v>
      </c>
      <c r="K803" s="3">
        <f t="shared" si="232"/>
        <v>-100</v>
      </c>
      <c r="L803" s="3">
        <f t="shared" si="233"/>
        <v>1</v>
      </c>
      <c r="M803" s="3">
        <f t="shared" si="234"/>
        <v>0</v>
      </c>
      <c r="N803" s="3" t="str">
        <f t="shared" si="235"/>
        <v>01</v>
      </c>
      <c r="O803" s="14" t="str">
        <f t="shared" si="236"/>
        <v>00</v>
      </c>
    </row>
    <row r="804" spans="1:24" hidden="1">
      <c r="A804" s="143"/>
      <c r="J804" s="1" t="str">
        <f t="shared" si="231"/>
        <v>0</v>
      </c>
      <c r="K804" s="3">
        <f t="shared" si="232"/>
        <v>-100</v>
      </c>
      <c r="L804" s="3">
        <f t="shared" si="233"/>
        <v>1</v>
      </c>
      <c r="M804" s="3">
        <f t="shared" si="234"/>
        <v>0</v>
      </c>
      <c r="N804" s="3" t="str">
        <f t="shared" si="235"/>
        <v>01</v>
      </c>
      <c r="O804" s="14" t="str">
        <f t="shared" si="236"/>
        <v>00</v>
      </c>
    </row>
    <row r="805" spans="1:24" hidden="1">
      <c r="A805" s="143">
        <v>701</v>
      </c>
      <c r="B805" s="1">
        <f>IF(G805="-",0,IF(G804=G805,1,0))</f>
        <v>0</v>
      </c>
      <c r="C805" s="1">
        <f>+IF(G805="-",0,IF(I805=I804+1,0,(IF(I805=1,0,1))))</f>
        <v>0</v>
      </c>
      <c r="D805" s="1">
        <f>+IF(AND(P805="",Q805=""),1,0)</f>
        <v>0</v>
      </c>
      <c r="E805" s="1">
        <f>IF(U805="",1,0)</f>
        <v>0</v>
      </c>
      <c r="F805" s="1">
        <f>IF(V805="",1,0)</f>
        <v>0</v>
      </c>
      <c r="G805" s="1" t="str">
        <f>IF(H805=0,"-",_xlfn.CONCAT(K805,N805,O805,J805))</f>
        <v>25032801</v>
      </c>
      <c r="H805" s="2">
        <v>45744</v>
      </c>
      <c r="I805" s="113">
        <v>1</v>
      </c>
      <c r="J805" s="1" t="str">
        <f t="shared" si="231"/>
        <v>01</v>
      </c>
      <c r="K805" s="3">
        <f t="shared" si="232"/>
        <v>25</v>
      </c>
      <c r="L805" s="3">
        <f t="shared" si="233"/>
        <v>3</v>
      </c>
      <c r="M805" s="3">
        <f t="shared" si="234"/>
        <v>28</v>
      </c>
      <c r="N805" s="3" t="str">
        <f t="shared" si="235"/>
        <v>03</v>
      </c>
      <c r="O805" s="14">
        <f t="shared" si="236"/>
        <v>28</v>
      </c>
      <c r="P805" s="4">
        <v>288226.32</v>
      </c>
      <c r="T805" s="5" t="s">
        <v>1629</v>
      </c>
      <c r="U805" s="3" t="s">
        <v>1545</v>
      </c>
      <c r="V805" s="3" t="s">
        <v>5</v>
      </c>
      <c r="W805" s="3" t="s">
        <v>1306</v>
      </c>
      <c r="X805" s="1" t="s">
        <v>1302</v>
      </c>
    </row>
    <row r="806" spans="1:24" hidden="1">
      <c r="A806" s="143">
        <v>754</v>
      </c>
      <c r="B806" s="1">
        <f>IF(G806="-",0,IF(G805=G806,1,0))</f>
        <v>0</v>
      </c>
      <c r="C806" s="1">
        <f>+IF(G806="-",0,IF(I806=I805+1,0,(IF(I806=1,0,1))))</f>
        <v>0</v>
      </c>
      <c r="D806" s="1">
        <f>+IF(AND(P806="",Q806=""),1,0)</f>
        <v>0</v>
      </c>
      <c r="E806" s="1">
        <f>IF(U806="",1,0)</f>
        <v>0</v>
      </c>
      <c r="F806" s="1">
        <f>IF(V806="",1,0)</f>
        <v>0</v>
      </c>
      <c r="G806" s="1" t="str">
        <f>IF(H806=0,"-",_xlfn.CONCAT(K806,N806,O806,J806))</f>
        <v>25032802</v>
      </c>
      <c r="H806" s="2">
        <v>45744</v>
      </c>
      <c r="I806" s="113">
        <v>2</v>
      </c>
      <c r="J806" s="1" t="str">
        <f t="shared" si="231"/>
        <v>02</v>
      </c>
      <c r="K806" s="3">
        <f t="shared" si="232"/>
        <v>25</v>
      </c>
      <c r="L806" s="3">
        <f t="shared" si="233"/>
        <v>3</v>
      </c>
      <c r="M806" s="3">
        <f t="shared" si="234"/>
        <v>28</v>
      </c>
      <c r="N806" s="3" t="str">
        <f t="shared" si="235"/>
        <v>03</v>
      </c>
      <c r="O806" s="14">
        <f t="shared" si="236"/>
        <v>28</v>
      </c>
      <c r="P806" s="4">
        <v>39289.08</v>
      </c>
      <c r="T806" s="5" t="s">
        <v>1628</v>
      </c>
      <c r="U806" s="3" t="s">
        <v>29</v>
      </c>
      <c r="V806" s="3" t="s">
        <v>5</v>
      </c>
      <c r="W806" s="3" t="s">
        <v>1306</v>
      </c>
      <c r="X806" s="1" t="s">
        <v>1305</v>
      </c>
    </row>
    <row r="807" spans="1:24" hidden="1">
      <c r="A807" s="143"/>
      <c r="J807" s="1" t="str">
        <f t="shared" si="231"/>
        <v>0</v>
      </c>
      <c r="K807" s="3">
        <f t="shared" si="232"/>
        <v>-100</v>
      </c>
      <c r="L807" s="3">
        <f t="shared" si="233"/>
        <v>1</v>
      </c>
      <c r="M807" s="3">
        <f t="shared" si="234"/>
        <v>0</v>
      </c>
      <c r="N807" s="3" t="str">
        <f t="shared" si="235"/>
        <v>01</v>
      </c>
      <c r="O807" s="14" t="str">
        <f t="shared" si="236"/>
        <v>00</v>
      </c>
    </row>
    <row r="808" spans="1:24" hidden="1">
      <c r="A808" s="143"/>
      <c r="J808" s="1" t="str">
        <f t="shared" si="231"/>
        <v>0</v>
      </c>
      <c r="K808" s="3">
        <f t="shared" si="232"/>
        <v>-100</v>
      </c>
      <c r="L808" s="3">
        <f t="shared" si="233"/>
        <v>1</v>
      </c>
      <c r="M808" s="3">
        <f t="shared" si="234"/>
        <v>0</v>
      </c>
      <c r="N808" s="3" t="str">
        <f t="shared" si="235"/>
        <v>01</v>
      </c>
      <c r="O808" s="14" t="str">
        <f t="shared" si="236"/>
        <v>00</v>
      </c>
    </row>
    <row r="809" spans="1:24" hidden="1">
      <c r="A809" s="143"/>
      <c r="J809" s="1" t="str">
        <f t="shared" si="231"/>
        <v>0</v>
      </c>
      <c r="K809" s="3">
        <f t="shared" si="232"/>
        <v>-100</v>
      </c>
      <c r="L809" s="3">
        <f t="shared" si="233"/>
        <v>1</v>
      </c>
      <c r="M809" s="3">
        <f t="shared" si="234"/>
        <v>0</v>
      </c>
      <c r="N809" s="3" t="str">
        <f t="shared" si="235"/>
        <v>01</v>
      </c>
      <c r="O809" s="14" t="str">
        <f t="shared" si="236"/>
        <v>00</v>
      </c>
    </row>
    <row r="810" spans="1:24" hidden="1">
      <c r="A810" s="143"/>
      <c r="J810" s="1" t="str">
        <f t="shared" si="231"/>
        <v>0</v>
      </c>
      <c r="K810" s="3">
        <f t="shared" si="232"/>
        <v>-100</v>
      </c>
      <c r="L810" s="3">
        <f t="shared" si="233"/>
        <v>1</v>
      </c>
      <c r="M810" s="3">
        <f t="shared" si="234"/>
        <v>0</v>
      </c>
      <c r="N810" s="3" t="str">
        <f t="shared" si="235"/>
        <v>01</v>
      </c>
      <c r="O810" s="14" t="str">
        <f t="shared" si="236"/>
        <v>00</v>
      </c>
    </row>
    <row r="811" spans="1:24" hidden="1">
      <c r="A811" s="143">
        <v>759</v>
      </c>
      <c r="B811" s="1">
        <f>IF(G811="-",0,IF(G810=G811,1,0))</f>
        <v>0</v>
      </c>
      <c r="C811" s="1">
        <f>+IF(G811="-",0,IF(I811=I810+1,0,(IF(I811=1,0,1))))</f>
        <v>1</v>
      </c>
      <c r="D811" s="1">
        <f>+IF(AND(P811="",Q811=""),1,0)</f>
        <v>0</v>
      </c>
      <c r="E811" s="1">
        <f>IF(U811="",1,0)</f>
        <v>0</v>
      </c>
      <c r="F811" s="1">
        <f>IF(V811="",1,0)</f>
        <v>0</v>
      </c>
      <c r="G811" s="1" t="str">
        <f>IF(H811=0,"-",_xlfn.CONCAT(K811,N811,O811,J811))</f>
        <v>25032807</v>
      </c>
      <c r="H811" s="2">
        <v>45744</v>
      </c>
      <c r="I811" s="113">
        <v>7</v>
      </c>
      <c r="J811" s="1" t="str">
        <f t="shared" si="231"/>
        <v>07</v>
      </c>
      <c r="K811" s="3">
        <f t="shared" si="232"/>
        <v>25</v>
      </c>
      <c r="L811" s="3">
        <f t="shared" si="233"/>
        <v>3</v>
      </c>
      <c r="M811" s="3">
        <f t="shared" si="234"/>
        <v>28</v>
      </c>
      <c r="N811" s="3" t="str">
        <f t="shared" si="235"/>
        <v>03</v>
      </c>
      <c r="O811" s="14">
        <f t="shared" si="236"/>
        <v>28</v>
      </c>
      <c r="P811" s="4">
        <v>33635</v>
      </c>
      <c r="T811" s="5" t="s">
        <v>1329</v>
      </c>
      <c r="U811" s="3" t="s">
        <v>1310</v>
      </c>
      <c r="V811" s="3" t="s">
        <v>1304</v>
      </c>
      <c r="W811" s="3" t="s">
        <v>1309</v>
      </c>
      <c r="X811" s="1" t="s">
        <v>1305</v>
      </c>
    </row>
    <row r="812" spans="1:24" hidden="1">
      <c r="A812" s="143"/>
      <c r="J812" s="1" t="str">
        <f t="shared" si="231"/>
        <v>0</v>
      </c>
      <c r="K812" s="3">
        <f t="shared" si="232"/>
        <v>-100</v>
      </c>
      <c r="L812" s="3">
        <f t="shared" si="233"/>
        <v>1</v>
      </c>
      <c r="M812" s="3">
        <f t="shared" si="234"/>
        <v>0</v>
      </c>
      <c r="N812" s="3" t="str">
        <f t="shared" si="235"/>
        <v>01</v>
      </c>
      <c r="O812" s="14" t="str">
        <f t="shared" si="236"/>
        <v>00</v>
      </c>
    </row>
    <row r="813" spans="1:24" hidden="1">
      <c r="A813" s="143"/>
      <c r="J813" s="1" t="str">
        <f t="shared" si="231"/>
        <v>0</v>
      </c>
      <c r="K813" s="3">
        <f t="shared" si="232"/>
        <v>-100</v>
      </c>
      <c r="L813" s="3">
        <f t="shared" si="233"/>
        <v>1</v>
      </c>
      <c r="M813" s="3">
        <f t="shared" si="234"/>
        <v>0</v>
      </c>
      <c r="N813" s="3" t="str">
        <f t="shared" si="235"/>
        <v>01</v>
      </c>
      <c r="O813" s="14" t="str">
        <f t="shared" si="236"/>
        <v>00</v>
      </c>
    </row>
    <row r="814" spans="1:24" hidden="1">
      <c r="A814" s="143"/>
      <c r="J814" s="1" t="str">
        <f t="shared" si="231"/>
        <v>0</v>
      </c>
      <c r="K814" s="3">
        <f t="shared" si="232"/>
        <v>-100</v>
      </c>
      <c r="L814" s="3">
        <f t="shared" si="233"/>
        <v>1</v>
      </c>
      <c r="M814" s="3">
        <f t="shared" si="234"/>
        <v>0</v>
      </c>
      <c r="N814" s="3" t="str">
        <f t="shared" si="235"/>
        <v>01</v>
      </c>
      <c r="O814" s="14" t="str">
        <f t="shared" si="236"/>
        <v>00</v>
      </c>
    </row>
    <row r="815" spans="1:24" hidden="1">
      <c r="A815" s="143"/>
      <c r="J815" s="1" t="str">
        <f t="shared" si="231"/>
        <v>0</v>
      </c>
      <c r="K815" s="3">
        <f t="shared" si="232"/>
        <v>-100</v>
      </c>
      <c r="L815" s="3">
        <f t="shared" si="233"/>
        <v>1</v>
      </c>
      <c r="M815" s="3">
        <f t="shared" si="234"/>
        <v>0</v>
      </c>
      <c r="N815" s="3" t="str">
        <f t="shared" si="235"/>
        <v>01</v>
      </c>
      <c r="O815" s="14" t="str">
        <f t="shared" si="236"/>
        <v>00</v>
      </c>
    </row>
    <row r="816" spans="1:24" hidden="1">
      <c r="A816" s="143"/>
      <c r="J816" s="1" t="str">
        <f t="shared" si="231"/>
        <v>0</v>
      </c>
      <c r="K816" s="3">
        <f t="shared" si="232"/>
        <v>-100</v>
      </c>
      <c r="L816" s="3">
        <f t="shared" si="233"/>
        <v>1</v>
      </c>
      <c r="M816" s="3">
        <f t="shared" si="234"/>
        <v>0</v>
      </c>
      <c r="N816" s="3" t="str">
        <f t="shared" si="235"/>
        <v>01</v>
      </c>
      <c r="O816" s="14" t="str">
        <f t="shared" si="236"/>
        <v>00</v>
      </c>
    </row>
    <row r="817" spans="1:25">
      <c r="A817" s="143">
        <v>798</v>
      </c>
      <c r="B817" s="1">
        <f t="shared" ref="B817:B830" si="238">IF(G817="-",0,IF(G816=G817,1,0))</f>
        <v>0</v>
      </c>
      <c r="C817" s="1">
        <f t="shared" ref="C817:C830" si="239">+IF(G817="-",0,IF(I817=I816+1,0,(IF(I817=1,0,1))))</f>
        <v>1</v>
      </c>
      <c r="D817" s="1">
        <f t="shared" ref="D817:D830" si="240">+IF(AND(P817="",Q817=""),1,0)</f>
        <v>0</v>
      </c>
      <c r="E817" s="1">
        <f t="shared" ref="E817:E830" si="241">IF(U817="",1,0)</f>
        <v>0</v>
      </c>
      <c r="F817" s="1">
        <f t="shared" ref="F817:F830" si="242">IF(V817="",1,0)</f>
        <v>0</v>
      </c>
      <c r="G817" s="1" t="str">
        <f t="shared" ref="G817:G830" si="243">IF(H817=0,"-",_xlfn.CONCAT(K817,N817,O817,J817))</f>
        <v>25032906</v>
      </c>
      <c r="H817" s="2">
        <v>45745</v>
      </c>
      <c r="I817" s="113">
        <v>6</v>
      </c>
      <c r="J817" s="1" t="str">
        <f t="shared" si="231"/>
        <v>06</v>
      </c>
      <c r="K817" s="3">
        <f t="shared" si="232"/>
        <v>25</v>
      </c>
      <c r="L817" s="3">
        <f t="shared" si="233"/>
        <v>3</v>
      </c>
      <c r="M817" s="3">
        <f t="shared" si="234"/>
        <v>29</v>
      </c>
      <c r="N817" s="3" t="str">
        <f t="shared" si="235"/>
        <v>03</v>
      </c>
      <c r="O817" s="14">
        <f t="shared" si="236"/>
        <v>29</v>
      </c>
      <c r="P817" s="4">
        <v>159000</v>
      </c>
      <c r="T817" s="28" t="s">
        <v>1627</v>
      </c>
      <c r="U817" s="3" t="s">
        <v>1342</v>
      </c>
      <c r="V817" s="3" t="s">
        <v>5</v>
      </c>
      <c r="W817" s="3" t="s">
        <v>1306</v>
      </c>
      <c r="X817" s="1" t="s">
        <v>1302</v>
      </c>
      <c r="Y817" t="s">
        <v>1626</v>
      </c>
    </row>
    <row r="818" spans="1:25">
      <c r="A818" s="143">
        <v>799</v>
      </c>
      <c r="B818" s="1">
        <f t="shared" si="238"/>
        <v>0</v>
      </c>
      <c r="C818" s="1">
        <f t="shared" si="239"/>
        <v>0</v>
      </c>
      <c r="D818" s="1">
        <f t="shared" si="240"/>
        <v>0</v>
      </c>
      <c r="E818" s="1">
        <f t="shared" si="241"/>
        <v>0</v>
      </c>
      <c r="F818" s="1">
        <f t="shared" si="242"/>
        <v>0</v>
      </c>
      <c r="G818" s="1" t="str">
        <f t="shared" si="243"/>
        <v>25032907</v>
      </c>
      <c r="H818" s="2">
        <v>45745</v>
      </c>
      <c r="I818" s="113">
        <v>7</v>
      </c>
      <c r="J818" s="1" t="str">
        <f t="shared" si="231"/>
        <v>07</v>
      </c>
      <c r="K818" s="3">
        <f t="shared" si="232"/>
        <v>25</v>
      </c>
      <c r="L818" s="3">
        <f t="shared" si="233"/>
        <v>3</v>
      </c>
      <c r="M818" s="3">
        <f t="shared" si="234"/>
        <v>29</v>
      </c>
      <c r="N818" s="3" t="str">
        <f t="shared" si="235"/>
        <v>03</v>
      </c>
      <c r="O818" s="14">
        <f t="shared" si="236"/>
        <v>29</v>
      </c>
      <c r="P818" s="4">
        <v>138000</v>
      </c>
      <c r="T818" s="28" t="s">
        <v>1625</v>
      </c>
      <c r="U818" s="3" t="s">
        <v>1342</v>
      </c>
      <c r="V818" s="3" t="s">
        <v>5</v>
      </c>
      <c r="W818" s="3" t="s">
        <v>1306</v>
      </c>
      <c r="X818" s="1" t="s">
        <v>1302</v>
      </c>
      <c r="Y818" t="s">
        <v>1242</v>
      </c>
    </row>
    <row r="819" spans="1:25">
      <c r="A819" s="143">
        <v>800</v>
      </c>
      <c r="B819" s="1">
        <f t="shared" si="238"/>
        <v>0</v>
      </c>
      <c r="C819" s="1">
        <f t="shared" si="239"/>
        <v>0</v>
      </c>
      <c r="D819" s="1">
        <f t="shared" si="240"/>
        <v>0</v>
      </c>
      <c r="E819" s="1">
        <f t="shared" si="241"/>
        <v>0</v>
      </c>
      <c r="F819" s="1">
        <f t="shared" si="242"/>
        <v>0</v>
      </c>
      <c r="G819" s="1" t="str">
        <f t="shared" si="243"/>
        <v>25032908</v>
      </c>
      <c r="H819" s="2">
        <v>45745</v>
      </c>
      <c r="I819" s="113">
        <v>8</v>
      </c>
      <c r="J819" s="1" t="str">
        <f t="shared" si="231"/>
        <v>08</v>
      </c>
      <c r="K819" s="3">
        <f t="shared" si="232"/>
        <v>25</v>
      </c>
      <c r="L819" s="3">
        <f t="shared" si="233"/>
        <v>3</v>
      </c>
      <c r="M819" s="3">
        <f t="shared" si="234"/>
        <v>29</v>
      </c>
      <c r="N819" s="3" t="str">
        <f t="shared" si="235"/>
        <v>03</v>
      </c>
      <c r="O819" s="14">
        <f t="shared" si="236"/>
        <v>29</v>
      </c>
      <c r="P819" s="4">
        <v>132000</v>
      </c>
      <c r="T819" s="28" t="s">
        <v>1624</v>
      </c>
      <c r="U819" s="3" t="s">
        <v>1342</v>
      </c>
      <c r="V819" s="3" t="s">
        <v>5</v>
      </c>
      <c r="W819" s="3" t="s">
        <v>1306</v>
      </c>
      <c r="X819" s="1" t="s">
        <v>1302</v>
      </c>
      <c r="Y819" t="s">
        <v>1244</v>
      </c>
    </row>
    <row r="820" spans="1:25">
      <c r="A820" s="143">
        <v>801</v>
      </c>
      <c r="B820" s="1">
        <f t="shared" si="238"/>
        <v>0</v>
      </c>
      <c r="C820" s="1">
        <f t="shared" si="239"/>
        <v>0</v>
      </c>
      <c r="D820" s="1">
        <f t="shared" si="240"/>
        <v>0</v>
      </c>
      <c r="E820" s="1">
        <f t="shared" si="241"/>
        <v>0</v>
      </c>
      <c r="F820" s="1">
        <f t="shared" si="242"/>
        <v>0</v>
      </c>
      <c r="G820" s="1" t="str">
        <f t="shared" si="243"/>
        <v>25032909</v>
      </c>
      <c r="H820" s="2">
        <v>45745</v>
      </c>
      <c r="I820" s="113">
        <v>9</v>
      </c>
      <c r="J820" s="1" t="str">
        <f t="shared" si="231"/>
        <v>09</v>
      </c>
      <c r="K820" s="3">
        <f t="shared" si="232"/>
        <v>25</v>
      </c>
      <c r="L820" s="3">
        <f t="shared" si="233"/>
        <v>3</v>
      </c>
      <c r="M820" s="3">
        <f t="shared" si="234"/>
        <v>29</v>
      </c>
      <c r="N820" s="3" t="str">
        <f t="shared" si="235"/>
        <v>03</v>
      </c>
      <c r="O820" s="14">
        <f t="shared" si="236"/>
        <v>29</v>
      </c>
      <c r="P820" s="4">
        <v>108000</v>
      </c>
      <c r="T820" s="28" t="s">
        <v>1623</v>
      </c>
      <c r="U820" s="3" t="s">
        <v>1342</v>
      </c>
      <c r="V820" s="3" t="s">
        <v>5</v>
      </c>
      <c r="W820" s="3" t="s">
        <v>1306</v>
      </c>
      <c r="X820" s="1" t="s">
        <v>1302</v>
      </c>
      <c r="Y820" t="s">
        <v>1246</v>
      </c>
    </row>
    <row r="821" spans="1:25">
      <c r="A821" s="143">
        <v>802</v>
      </c>
      <c r="B821" s="1">
        <f t="shared" si="238"/>
        <v>0</v>
      </c>
      <c r="C821" s="1">
        <f t="shared" si="239"/>
        <v>0</v>
      </c>
      <c r="D821" s="1">
        <f t="shared" si="240"/>
        <v>0</v>
      </c>
      <c r="E821" s="1">
        <f t="shared" si="241"/>
        <v>0</v>
      </c>
      <c r="F821" s="1">
        <f t="shared" si="242"/>
        <v>0</v>
      </c>
      <c r="G821" s="1" t="str">
        <f t="shared" si="243"/>
        <v>25032910</v>
      </c>
      <c r="H821" s="2">
        <v>45745</v>
      </c>
      <c r="I821" s="113">
        <v>10</v>
      </c>
      <c r="J821" s="1">
        <f t="shared" si="231"/>
        <v>10</v>
      </c>
      <c r="K821" s="3">
        <f t="shared" si="232"/>
        <v>25</v>
      </c>
      <c r="L821" s="3">
        <f t="shared" si="233"/>
        <v>3</v>
      </c>
      <c r="M821" s="3">
        <f t="shared" si="234"/>
        <v>29</v>
      </c>
      <c r="N821" s="3" t="str">
        <f t="shared" si="235"/>
        <v>03</v>
      </c>
      <c r="O821" s="14">
        <f t="shared" si="236"/>
        <v>29</v>
      </c>
      <c r="P821" s="4">
        <v>132000</v>
      </c>
      <c r="T821" s="28" t="s">
        <v>1622</v>
      </c>
      <c r="U821" s="3" t="s">
        <v>1342</v>
      </c>
      <c r="V821" s="3" t="s">
        <v>5</v>
      </c>
      <c r="W821" s="3" t="s">
        <v>1306</v>
      </c>
      <c r="X821" s="1" t="s">
        <v>1302</v>
      </c>
      <c r="Y821" t="s">
        <v>1249</v>
      </c>
    </row>
    <row r="822" spans="1:25">
      <c r="A822" s="143">
        <v>803</v>
      </c>
      <c r="B822" s="1">
        <f t="shared" si="238"/>
        <v>0</v>
      </c>
      <c r="C822" s="1">
        <f t="shared" si="239"/>
        <v>0</v>
      </c>
      <c r="D822" s="1">
        <f t="shared" si="240"/>
        <v>0</v>
      </c>
      <c r="E822" s="1">
        <f t="shared" si="241"/>
        <v>0</v>
      </c>
      <c r="F822" s="1">
        <f t="shared" si="242"/>
        <v>0</v>
      </c>
      <c r="G822" s="1" t="str">
        <f t="shared" si="243"/>
        <v>25032911</v>
      </c>
      <c r="H822" s="2">
        <v>45745</v>
      </c>
      <c r="I822" s="113">
        <v>11</v>
      </c>
      <c r="J822" s="1">
        <f t="shared" si="231"/>
        <v>11</v>
      </c>
      <c r="K822" s="3">
        <f t="shared" si="232"/>
        <v>25</v>
      </c>
      <c r="L822" s="3">
        <f t="shared" si="233"/>
        <v>3</v>
      </c>
      <c r="M822" s="3">
        <f t="shared" si="234"/>
        <v>29</v>
      </c>
      <c r="N822" s="3" t="str">
        <f t="shared" si="235"/>
        <v>03</v>
      </c>
      <c r="O822" s="14">
        <f t="shared" si="236"/>
        <v>29</v>
      </c>
      <c r="P822" s="4">
        <v>159000</v>
      </c>
      <c r="T822" s="28" t="s">
        <v>1621</v>
      </c>
      <c r="U822" s="3" t="s">
        <v>1342</v>
      </c>
      <c r="V822" s="3" t="s">
        <v>5</v>
      </c>
      <c r="W822" s="3" t="s">
        <v>1306</v>
      </c>
      <c r="X822" s="1" t="s">
        <v>1302</v>
      </c>
      <c r="Y822" t="s">
        <v>1250</v>
      </c>
    </row>
    <row r="823" spans="1:25">
      <c r="A823" s="143">
        <v>804</v>
      </c>
      <c r="B823" s="1">
        <f t="shared" si="238"/>
        <v>0</v>
      </c>
      <c r="C823" s="1">
        <f t="shared" si="239"/>
        <v>0</v>
      </c>
      <c r="D823" s="1">
        <f t="shared" si="240"/>
        <v>0</v>
      </c>
      <c r="E823" s="1">
        <f t="shared" si="241"/>
        <v>0</v>
      </c>
      <c r="F823" s="1">
        <f t="shared" si="242"/>
        <v>0</v>
      </c>
      <c r="G823" s="1" t="str">
        <f t="shared" si="243"/>
        <v>25032912</v>
      </c>
      <c r="H823" s="2">
        <v>45745</v>
      </c>
      <c r="I823" s="113">
        <v>12</v>
      </c>
      <c r="J823" s="1">
        <f t="shared" si="231"/>
        <v>12</v>
      </c>
      <c r="K823" s="3">
        <f t="shared" si="232"/>
        <v>25</v>
      </c>
      <c r="L823" s="3">
        <f t="shared" si="233"/>
        <v>3</v>
      </c>
      <c r="M823" s="3">
        <f t="shared" si="234"/>
        <v>29</v>
      </c>
      <c r="N823" s="3" t="str">
        <f t="shared" si="235"/>
        <v>03</v>
      </c>
      <c r="O823" s="14">
        <f t="shared" si="236"/>
        <v>29</v>
      </c>
      <c r="P823" s="4">
        <v>132000</v>
      </c>
      <c r="T823" s="28" t="s">
        <v>1620</v>
      </c>
      <c r="U823" s="3" t="s">
        <v>1342</v>
      </c>
      <c r="V823" s="3" t="s">
        <v>5</v>
      </c>
      <c r="W823" s="3" t="s">
        <v>1306</v>
      </c>
      <c r="X823" s="1" t="s">
        <v>1302</v>
      </c>
      <c r="Y823" t="s">
        <v>1252</v>
      </c>
    </row>
    <row r="824" spans="1:25">
      <c r="A824" s="143">
        <v>805</v>
      </c>
      <c r="B824" s="1">
        <f t="shared" si="238"/>
        <v>0</v>
      </c>
      <c r="C824" s="1">
        <f t="shared" si="239"/>
        <v>0</v>
      </c>
      <c r="D824" s="1">
        <f t="shared" si="240"/>
        <v>0</v>
      </c>
      <c r="E824" s="1">
        <f t="shared" si="241"/>
        <v>0</v>
      </c>
      <c r="F824" s="1">
        <f t="shared" si="242"/>
        <v>0</v>
      </c>
      <c r="G824" s="1" t="str">
        <f t="shared" si="243"/>
        <v>25032913</v>
      </c>
      <c r="H824" s="2">
        <v>45745</v>
      </c>
      <c r="I824" s="113">
        <v>13</v>
      </c>
      <c r="J824" s="1">
        <f t="shared" si="231"/>
        <v>13</v>
      </c>
      <c r="K824" s="3">
        <f t="shared" si="232"/>
        <v>25</v>
      </c>
      <c r="L824" s="3">
        <f t="shared" si="233"/>
        <v>3</v>
      </c>
      <c r="M824" s="3">
        <f t="shared" si="234"/>
        <v>29</v>
      </c>
      <c r="N824" s="3" t="str">
        <f t="shared" si="235"/>
        <v>03</v>
      </c>
      <c r="O824" s="14">
        <f t="shared" si="236"/>
        <v>29</v>
      </c>
      <c r="P824" s="4">
        <v>132000</v>
      </c>
      <c r="T824" s="23" t="s">
        <v>1619</v>
      </c>
      <c r="U824" s="3" t="s">
        <v>1342</v>
      </c>
      <c r="V824" s="3" t="s">
        <v>5</v>
      </c>
      <c r="W824" s="3" t="s">
        <v>1306</v>
      </c>
      <c r="X824" s="1" t="s">
        <v>1302</v>
      </c>
      <c r="Y824"/>
    </row>
    <row r="825" spans="1:25">
      <c r="A825" s="143">
        <v>806</v>
      </c>
      <c r="B825" s="1">
        <f t="shared" si="238"/>
        <v>0</v>
      </c>
      <c r="C825" s="1">
        <f t="shared" si="239"/>
        <v>0</v>
      </c>
      <c r="D825" s="1">
        <f t="shared" si="240"/>
        <v>0</v>
      </c>
      <c r="E825" s="1">
        <f t="shared" si="241"/>
        <v>0</v>
      </c>
      <c r="F825" s="1">
        <f t="shared" si="242"/>
        <v>0</v>
      </c>
      <c r="G825" s="1" t="str">
        <f t="shared" si="243"/>
        <v>25032914</v>
      </c>
      <c r="H825" s="2">
        <v>45745</v>
      </c>
      <c r="I825" s="113">
        <v>14</v>
      </c>
      <c r="J825" s="1">
        <f t="shared" si="231"/>
        <v>14</v>
      </c>
      <c r="K825" s="3">
        <f t="shared" si="232"/>
        <v>25</v>
      </c>
      <c r="L825" s="3">
        <f t="shared" si="233"/>
        <v>3</v>
      </c>
      <c r="M825" s="3">
        <f t="shared" si="234"/>
        <v>29</v>
      </c>
      <c r="N825" s="3" t="str">
        <f t="shared" si="235"/>
        <v>03</v>
      </c>
      <c r="O825" s="14">
        <f t="shared" si="236"/>
        <v>29</v>
      </c>
      <c r="P825" s="4">
        <v>108000</v>
      </c>
      <c r="T825" s="23" t="s">
        <v>1618</v>
      </c>
      <c r="U825" s="3" t="s">
        <v>1342</v>
      </c>
      <c r="V825" s="3" t="s">
        <v>5</v>
      </c>
      <c r="W825" s="3" t="s">
        <v>1306</v>
      </c>
      <c r="X825" s="1" t="s">
        <v>1302</v>
      </c>
      <c r="Y825"/>
    </row>
    <row r="826" spans="1:25">
      <c r="A826" s="143">
        <v>807</v>
      </c>
      <c r="B826" s="1">
        <f t="shared" si="238"/>
        <v>0</v>
      </c>
      <c r="C826" s="1">
        <f t="shared" si="239"/>
        <v>0</v>
      </c>
      <c r="D826" s="1">
        <f t="shared" si="240"/>
        <v>0</v>
      </c>
      <c r="E826" s="1">
        <f t="shared" si="241"/>
        <v>0</v>
      </c>
      <c r="F826" s="1">
        <f t="shared" si="242"/>
        <v>0</v>
      </c>
      <c r="G826" s="1" t="str">
        <f t="shared" si="243"/>
        <v>25032915</v>
      </c>
      <c r="H826" s="2">
        <v>45745</v>
      </c>
      <c r="I826" s="113">
        <v>15</v>
      </c>
      <c r="J826" s="1">
        <f t="shared" si="231"/>
        <v>15</v>
      </c>
      <c r="K826" s="3">
        <f t="shared" si="232"/>
        <v>25</v>
      </c>
      <c r="L826" s="3">
        <f t="shared" si="233"/>
        <v>3</v>
      </c>
      <c r="M826" s="3">
        <f t="shared" si="234"/>
        <v>29</v>
      </c>
      <c r="N826" s="3" t="str">
        <f t="shared" si="235"/>
        <v>03</v>
      </c>
      <c r="O826" s="14">
        <f t="shared" si="236"/>
        <v>29</v>
      </c>
      <c r="P826" s="4">
        <v>108000</v>
      </c>
      <c r="T826" s="23" t="s">
        <v>1617</v>
      </c>
      <c r="U826" s="3" t="s">
        <v>1342</v>
      </c>
      <c r="V826" s="3" t="s">
        <v>5</v>
      </c>
      <c r="W826" s="3" t="s">
        <v>1306</v>
      </c>
      <c r="X826" s="1" t="s">
        <v>1302</v>
      </c>
      <c r="Y826"/>
    </row>
    <row r="827" spans="1:25">
      <c r="A827" s="143">
        <v>808</v>
      </c>
      <c r="B827" s="1">
        <f t="shared" si="238"/>
        <v>0</v>
      </c>
      <c r="C827" s="1">
        <f t="shared" si="239"/>
        <v>0</v>
      </c>
      <c r="D827" s="1">
        <f t="shared" si="240"/>
        <v>0</v>
      </c>
      <c r="E827" s="1">
        <f t="shared" si="241"/>
        <v>0</v>
      </c>
      <c r="F827" s="1">
        <f t="shared" si="242"/>
        <v>0</v>
      </c>
      <c r="G827" s="1" t="str">
        <f t="shared" si="243"/>
        <v>25032916</v>
      </c>
      <c r="H827" s="2">
        <v>45745</v>
      </c>
      <c r="I827" s="113">
        <v>16</v>
      </c>
      <c r="J827" s="1">
        <f t="shared" si="231"/>
        <v>16</v>
      </c>
      <c r="K827" s="3">
        <f t="shared" si="232"/>
        <v>25</v>
      </c>
      <c r="L827" s="3">
        <f t="shared" si="233"/>
        <v>3</v>
      </c>
      <c r="M827" s="3">
        <f t="shared" si="234"/>
        <v>29</v>
      </c>
      <c r="N827" s="3" t="str">
        <f t="shared" si="235"/>
        <v>03</v>
      </c>
      <c r="O827" s="14">
        <f t="shared" si="236"/>
        <v>29</v>
      </c>
      <c r="P827" s="4">
        <v>132000</v>
      </c>
      <c r="T827" s="23" t="s">
        <v>1616</v>
      </c>
      <c r="U827" s="3" t="s">
        <v>1342</v>
      </c>
      <c r="V827" s="3" t="s">
        <v>5</v>
      </c>
      <c r="W827" s="3" t="s">
        <v>1306</v>
      </c>
      <c r="X827" s="1" t="s">
        <v>1302</v>
      </c>
      <c r="Y827"/>
    </row>
    <row r="828" spans="1:25">
      <c r="A828" s="143">
        <v>809</v>
      </c>
      <c r="B828" s="1">
        <f t="shared" si="238"/>
        <v>0</v>
      </c>
      <c r="C828" s="1">
        <f t="shared" si="239"/>
        <v>0</v>
      </c>
      <c r="D828" s="1">
        <f t="shared" si="240"/>
        <v>0</v>
      </c>
      <c r="E828" s="1">
        <f t="shared" si="241"/>
        <v>0</v>
      </c>
      <c r="F828" s="1">
        <f t="shared" si="242"/>
        <v>0</v>
      </c>
      <c r="G828" s="1" t="str">
        <f t="shared" si="243"/>
        <v>25032917</v>
      </c>
      <c r="H828" s="2">
        <v>45745</v>
      </c>
      <c r="I828" s="113">
        <v>17</v>
      </c>
      <c r="J828" s="1">
        <f t="shared" si="231"/>
        <v>17</v>
      </c>
      <c r="K828" s="3">
        <f t="shared" si="232"/>
        <v>25</v>
      </c>
      <c r="L828" s="3">
        <f t="shared" si="233"/>
        <v>3</v>
      </c>
      <c r="M828" s="3">
        <f t="shared" si="234"/>
        <v>29</v>
      </c>
      <c r="N828" s="3" t="str">
        <f t="shared" si="235"/>
        <v>03</v>
      </c>
      <c r="O828" s="14">
        <f t="shared" si="236"/>
        <v>29</v>
      </c>
      <c r="P828" s="4">
        <v>252000</v>
      </c>
      <c r="T828" s="23" t="s">
        <v>1615</v>
      </c>
      <c r="U828" s="3" t="s">
        <v>1342</v>
      </c>
      <c r="V828" s="3" t="s">
        <v>5</v>
      </c>
      <c r="W828" s="3" t="s">
        <v>1306</v>
      </c>
      <c r="X828" s="1" t="s">
        <v>1302</v>
      </c>
      <c r="Y828"/>
    </row>
    <row r="829" spans="1:25">
      <c r="A829" s="143">
        <v>810</v>
      </c>
      <c r="B829" s="1">
        <f t="shared" si="238"/>
        <v>0</v>
      </c>
      <c r="C829" s="1">
        <f t="shared" si="239"/>
        <v>0</v>
      </c>
      <c r="D829" s="1">
        <f t="shared" si="240"/>
        <v>0</v>
      </c>
      <c r="E829" s="1">
        <f t="shared" si="241"/>
        <v>0</v>
      </c>
      <c r="F829" s="1">
        <f t="shared" si="242"/>
        <v>0</v>
      </c>
      <c r="G829" s="1" t="str">
        <f t="shared" si="243"/>
        <v>25032918</v>
      </c>
      <c r="H829" s="2">
        <v>45745</v>
      </c>
      <c r="I829" s="113">
        <v>18</v>
      </c>
      <c r="J829" s="1">
        <f t="shared" si="231"/>
        <v>18</v>
      </c>
      <c r="K829" s="3">
        <f t="shared" si="232"/>
        <v>25</v>
      </c>
      <c r="L829" s="3">
        <f t="shared" si="233"/>
        <v>3</v>
      </c>
      <c r="M829" s="3">
        <f t="shared" si="234"/>
        <v>29</v>
      </c>
      <c r="N829" s="3" t="str">
        <f t="shared" si="235"/>
        <v>03</v>
      </c>
      <c r="O829" s="14">
        <f t="shared" si="236"/>
        <v>29</v>
      </c>
      <c r="P829" s="4">
        <v>90000</v>
      </c>
      <c r="T829" s="23" t="s">
        <v>1614</v>
      </c>
      <c r="U829" s="3" t="s">
        <v>1342</v>
      </c>
      <c r="V829" s="3" t="s">
        <v>5</v>
      </c>
      <c r="W829" s="3" t="s">
        <v>1306</v>
      </c>
      <c r="X829" s="1" t="s">
        <v>1302</v>
      </c>
      <c r="Y829"/>
    </row>
    <row r="830" spans="1:25">
      <c r="A830" s="143">
        <v>811</v>
      </c>
      <c r="B830" s="1">
        <f t="shared" si="238"/>
        <v>0</v>
      </c>
      <c r="C830" s="1">
        <f t="shared" si="239"/>
        <v>0</v>
      </c>
      <c r="D830" s="1">
        <f t="shared" si="240"/>
        <v>0</v>
      </c>
      <c r="E830" s="1">
        <f t="shared" si="241"/>
        <v>0</v>
      </c>
      <c r="F830" s="1">
        <f t="shared" si="242"/>
        <v>0</v>
      </c>
      <c r="G830" s="1" t="str">
        <f t="shared" si="243"/>
        <v>25032919</v>
      </c>
      <c r="H830" s="2">
        <v>45745</v>
      </c>
      <c r="I830" s="113">
        <v>19</v>
      </c>
      <c r="J830" s="1">
        <f t="shared" si="231"/>
        <v>19</v>
      </c>
      <c r="K830" s="3">
        <f t="shared" si="232"/>
        <v>25</v>
      </c>
      <c r="L830" s="3">
        <f t="shared" si="233"/>
        <v>3</v>
      </c>
      <c r="M830" s="3">
        <f t="shared" si="234"/>
        <v>29</v>
      </c>
      <c r="N830" s="3" t="str">
        <f t="shared" si="235"/>
        <v>03</v>
      </c>
      <c r="O830" s="14">
        <f t="shared" si="236"/>
        <v>29</v>
      </c>
      <c r="P830" s="4">
        <v>150000</v>
      </c>
      <c r="T830" s="23" t="s">
        <v>1613</v>
      </c>
      <c r="U830" s="3" t="s">
        <v>1342</v>
      </c>
      <c r="V830" s="3" t="s">
        <v>5</v>
      </c>
      <c r="W830" s="3" t="s">
        <v>1306</v>
      </c>
      <c r="X830" s="1" t="s">
        <v>1302</v>
      </c>
      <c r="Y830" t="s">
        <v>1612</v>
      </c>
    </row>
    <row r="831" spans="1:25" hidden="1">
      <c r="A831" s="143"/>
      <c r="J831" s="1" t="str">
        <f t="shared" si="231"/>
        <v>0</v>
      </c>
      <c r="K831" s="3">
        <f t="shared" si="232"/>
        <v>-100</v>
      </c>
      <c r="L831" s="3">
        <f t="shared" si="233"/>
        <v>1</v>
      </c>
      <c r="M831" s="3">
        <f t="shared" si="234"/>
        <v>0</v>
      </c>
      <c r="N831" s="3" t="str">
        <f t="shared" si="235"/>
        <v>01</v>
      </c>
      <c r="O831" s="14" t="str">
        <f t="shared" si="236"/>
        <v>00</v>
      </c>
    </row>
    <row r="832" spans="1:25">
      <c r="A832" s="143">
        <v>760</v>
      </c>
      <c r="B832" s="1">
        <f>IF(G832="-",0,IF(G831=G832,1,0))</f>
        <v>0</v>
      </c>
      <c r="C832" s="1">
        <f>+IF(G832="-",0,IF(I832=I831+1,0,(IF(I832=1,0,1))))</f>
        <v>1</v>
      </c>
      <c r="D832" s="1">
        <f>+IF(AND(P832="",Q832=""),1,0)</f>
        <v>0</v>
      </c>
      <c r="E832" s="1">
        <f>IF(U832="",1,0)</f>
        <v>1</v>
      </c>
      <c r="F832" s="1">
        <f>IF(V832="",1,0)</f>
        <v>0</v>
      </c>
      <c r="G832" s="1" t="str">
        <f>IF(H832=0,"-",_xlfn.CONCAT(K832,N832,O832,J832))</f>
        <v>25033102</v>
      </c>
      <c r="H832" s="8">
        <v>45747</v>
      </c>
      <c r="I832" s="122">
        <v>2</v>
      </c>
      <c r="J832" s="122" t="str">
        <f t="shared" si="231"/>
        <v>02</v>
      </c>
      <c r="K832" s="56">
        <f t="shared" si="232"/>
        <v>25</v>
      </c>
      <c r="L832" s="56">
        <f t="shared" si="233"/>
        <v>3</v>
      </c>
      <c r="M832" s="56">
        <f t="shared" si="234"/>
        <v>31</v>
      </c>
      <c r="N832" s="56" t="str">
        <f t="shared" si="235"/>
        <v>03</v>
      </c>
      <c r="O832" s="123">
        <f t="shared" si="236"/>
        <v>31</v>
      </c>
      <c r="P832" s="53">
        <v>182618.74</v>
      </c>
      <c r="Q832" s="54"/>
      <c r="R832" s="55"/>
      <c r="S832" s="54"/>
      <c r="T832" s="54" t="s">
        <v>1611</v>
      </c>
      <c r="V832" s="3" t="s">
        <v>5</v>
      </c>
      <c r="W832" s="3" t="s">
        <v>1306</v>
      </c>
      <c r="X832" s="1" t="s">
        <v>1305</v>
      </c>
    </row>
    <row r="833" spans="1:25" hidden="1">
      <c r="A833" s="143">
        <v>761</v>
      </c>
      <c r="B833" s="1">
        <f>IF(G833="-",0,IF(G832=G833,1,0))</f>
        <v>0</v>
      </c>
      <c r="C833" s="1">
        <f>+IF(G833="-",0,IF(I833=I832+1,0,(IF(I833=1,0,1))))</f>
        <v>0</v>
      </c>
      <c r="D833" s="1">
        <f>+IF(AND(P833="",Q833=""),1,0)</f>
        <v>0</v>
      </c>
      <c r="E833" s="1">
        <f>IF(U833="",1,0)</f>
        <v>0</v>
      </c>
      <c r="F833" s="1">
        <f>IF(V833="",1,0)</f>
        <v>0</v>
      </c>
      <c r="G833" s="1" t="str">
        <f>IF(H833=0,"-",_xlfn.CONCAT(K833,N833,O833,J833))</f>
        <v>25033103</v>
      </c>
      <c r="H833" s="2">
        <v>45747</v>
      </c>
      <c r="I833" s="113">
        <v>3</v>
      </c>
      <c r="J833" s="1" t="str">
        <f t="shared" si="231"/>
        <v>03</v>
      </c>
      <c r="K833" s="3">
        <f t="shared" si="232"/>
        <v>25</v>
      </c>
      <c r="L833" s="3">
        <f t="shared" si="233"/>
        <v>3</v>
      </c>
      <c r="M833" s="3">
        <f t="shared" si="234"/>
        <v>31</v>
      </c>
      <c r="N833" s="3" t="str">
        <f t="shared" si="235"/>
        <v>03</v>
      </c>
      <c r="O833" s="14">
        <f t="shared" si="236"/>
        <v>31</v>
      </c>
      <c r="P833" s="4">
        <v>81194.5</v>
      </c>
      <c r="T833" s="5" t="s">
        <v>352</v>
      </c>
      <c r="U833" s="3" t="s">
        <v>30</v>
      </c>
      <c r="V833" s="3" t="s">
        <v>1312</v>
      </c>
      <c r="W833" s="3" t="s">
        <v>1307</v>
      </c>
      <c r="X833" s="1" t="s">
        <v>1305</v>
      </c>
    </row>
    <row r="834" spans="1:25" hidden="1">
      <c r="A834" s="143"/>
      <c r="J834" s="1" t="str">
        <f t="shared" si="231"/>
        <v>0</v>
      </c>
      <c r="K834" s="3">
        <f t="shared" si="232"/>
        <v>-100</v>
      </c>
      <c r="L834" s="3">
        <f t="shared" si="233"/>
        <v>1</v>
      </c>
      <c r="M834" s="3">
        <f t="shared" si="234"/>
        <v>0</v>
      </c>
      <c r="N834" s="3" t="str">
        <f t="shared" si="235"/>
        <v>01</v>
      </c>
      <c r="O834" s="14" t="str">
        <f t="shared" si="236"/>
        <v>00</v>
      </c>
    </row>
    <row r="835" spans="1:25" hidden="1">
      <c r="A835" s="143">
        <v>763</v>
      </c>
      <c r="B835" s="1">
        <f>IF(G835="-",0,IF(G834=G835,1,0))</f>
        <v>0</v>
      </c>
      <c r="C835" s="1">
        <f>+IF(G835="-",0,IF(I835=I834+1,0,(IF(I835=1,0,1))))</f>
        <v>1</v>
      </c>
      <c r="D835" s="1">
        <f>+IF(AND(P835="",Q835=""),1,0)</f>
        <v>0</v>
      </c>
      <c r="E835" s="1">
        <f t="shared" ref="E835:F838" si="244">IF(U835="",1,0)</f>
        <v>0</v>
      </c>
      <c r="F835" s="1">
        <f t="shared" si="244"/>
        <v>0</v>
      </c>
      <c r="G835" s="1" t="str">
        <f>IF(H835=0,"-",_xlfn.CONCAT(K835,N835,O835,J835))</f>
        <v>25033105</v>
      </c>
      <c r="H835" s="2">
        <v>45747</v>
      </c>
      <c r="I835" s="113">
        <v>5</v>
      </c>
      <c r="J835" s="1" t="str">
        <f t="shared" si="231"/>
        <v>05</v>
      </c>
      <c r="K835" s="3">
        <f t="shared" si="232"/>
        <v>25</v>
      </c>
      <c r="L835" s="3">
        <f t="shared" si="233"/>
        <v>3</v>
      </c>
      <c r="M835" s="3">
        <f t="shared" si="234"/>
        <v>31</v>
      </c>
      <c r="N835" s="3" t="str">
        <f t="shared" si="235"/>
        <v>03</v>
      </c>
      <c r="O835" s="14">
        <f t="shared" si="236"/>
        <v>31</v>
      </c>
      <c r="P835" s="4">
        <v>11103</v>
      </c>
      <c r="T835" s="5" t="s">
        <v>1400</v>
      </c>
      <c r="U835" s="3" t="s">
        <v>1310</v>
      </c>
      <c r="V835" s="3" t="s">
        <v>1304</v>
      </c>
      <c r="W835" s="3" t="s">
        <v>1309</v>
      </c>
      <c r="X835" s="1" t="s">
        <v>1305</v>
      </c>
    </row>
    <row r="836" spans="1:25" hidden="1">
      <c r="A836" s="143">
        <v>764</v>
      </c>
      <c r="B836" s="1">
        <f>IF(G836="-",0,IF(G835=G836,1,0))</f>
        <v>0</v>
      </c>
      <c r="C836" s="1">
        <f>+IF(G836="-",0,IF(I836=I835+1,0,(IF(I836=1,0,1))))</f>
        <v>0</v>
      </c>
      <c r="D836" s="1">
        <f>+IF(AND(P836="",Q836=""),1,0)</f>
        <v>0</v>
      </c>
      <c r="E836" s="1">
        <f t="shared" si="244"/>
        <v>0</v>
      </c>
      <c r="F836" s="1">
        <f t="shared" si="244"/>
        <v>0</v>
      </c>
      <c r="G836" s="1" t="str">
        <f>IF(H836=0,"-",_xlfn.CONCAT(K836,N836,O836,J836))</f>
        <v>25040101</v>
      </c>
      <c r="H836" s="2">
        <v>45748</v>
      </c>
      <c r="I836" s="113">
        <v>1</v>
      </c>
      <c r="J836" s="1" t="str">
        <f t="shared" si="231"/>
        <v>01</v>
      </c>
      <c r="K836" s="3">
        <f t="shared" si="232"/>
        <v>25</v>
      </c>
      <c r="L836" s="3">
        <f t="shared" si="233"/>
        <v>4</v>
      </c>
      <c r="M836" s="3">
        <f t="shared" si="234"/>
        <v>1</v>
      </c>
      <c r="N836" s="3" t="str">
        <f t="shared" si="235"/>
        <v>04</v>
      </c>
      <c r="O836" s="14" t="str">
        <f t="shared" si="236"/>
        <v>01</v>
      </c>
      <c r="Q836" s="5">
        <v>988.93</v>
      </c>
      <c r="T836" s="5" t="s">
        <v>1487</v>
      </c>
      <c r="U836" s="3" t="s">
        <v>1445</v>
      </c>
      <c r="V836" s="3" t="s">
        <v>1304</v>
      </c>
      <c r="W836" s="3" t="s">
        <v>1306</v>
      </c>
      <c r="X836" s="1" t="s">
        <v>1305</v>
      </c>
    </row>
    <row r="837" spans="1:25" hidden="1">
      <c r="A837" s="143">
        <v>765</v>
      </c>
      <c r="B837" s="1">
        <f>IF(G837="-",0,IF(G836=G837,1,0))</f>
        <v>0</v>
      </c>
      <c r="C837" s="1">
        <f>+IF(G837="-",0,IF(I837=I836+1,0,(IF(I837=1,0,1))))</f>
        <v>0</v>
      </c>
      <c r="D837" s="1">
        <f>+IF(AND(P837="",Q837=""),1,0)</f>
        <v>0</v>
      </c>
      <c r="E837" s="1">
        <f t="shared" si="244"/>
        <v>0</v>
      </c>
      <c r="F837" s="1">
        <f t="shared" si="244"/>
        <v>0</v>
      </c>
      <c r="G837" s="1" t="str">
        <f>IF(H837=0,"-",_xlfn.CONCAT(K837,N837,O837,J837))</f>
        <v>25040102</v>
      </c>
      <c r="H837" s="2">
        <v>45748</v>
      </c>
      <c r="I837" s="113">
        <v>2</v>
      </c>
      <c r="J837" s="1" t="str">
        <f t="shared" si="231"/>
        <v>02</v>
      </c>
      <c r="K837" s="3">
        <f t="shared" si="232"/>
        <v>25</v>
      </c>
      <c r="L837" s="3">
        <f t="shared" si="233"/>
        <v>4</v>
      </c>
      <c r="M837" s="3">
        <f t="shared" si="234"/>
        <v>1</v>
      </c>
      <c r="N837" s="3" t="str">
        <f t="shared" si="235"/>
        <v>04</v>
      </c>
      <c r="O837" s="14" t="str">
        <f t="shared" si="236"/>
        <v>01</v>
      </c>
      <c r="Q837" s="5">
        <v>717.65</v>
      </c>
      <c r="T837" s="5" t="s">
        <v>1488</v>
      </c>
      <c r="U837" s="3" t="s">
        <v>1445</v>
      </c>
      <c r="V837" s="3" t="s">
        <v>1304</v>
      </c>
      <c r="W837" s="3" t="s">
        <v>1306</v>
      </c>
      <c r="X837" s="1" t="s">
        <v>1305</v>
      </c>
    </row>
    <row r="838" spans="1:25" hidden="1">
      <c r="A838" s="143">
        <v>774</v>
      </c>
      <c r="B838" s="1">
        <f>IF(G838="-",0,IF(G837=G838,1,0))</f>
        <v>0</v>
      </c>
      <c r="C838" s="1">
        <f>+IF(G838="-",0,IF(I838=I837+1,0,(IF(I838=1,0,1))))</f>
        <v>0</v>
      </c>
      <c r="D838" s="1">
        <f>+IF(AND(P838="",Q838=""),1,0)</f>
        <v>0</v>
      </c>
      <c r="E838" s="1">
        <f t="shared" si="244"/>
        <v>0</v>
      </c>
      <c r="F838" s="1">
        <f t="shared" si="244"/>
        <v>0</v>
      </c>
      <c r="G838" s="1" t="str">
        <f>IF(H838=0,"-",_xlfn.CONCAT(K838,N838,O838,J838))</f>
        <v>25040103</v>
      </c>
      <c r="H838" s="2">
        <v>45748</v>
      </c>
      <c r="I838" s="113">
        <v>3</v>
      </c>
      <c r="J838" s="1" t="str">
        <f t="shared" si="231"/>
        <v>03</v>
      </c>
      <c r="K838" s="3">
        <f t="shared" si="232"/>
        <v>25</v>
      </c>
      <c r="L838" s="3">
        <f t="shared" si="233"/>
        <v>4</v>
      </c>
      <c r="M838" s="3">
        <f t="shared" si="234"/>
        <v>1</v>
      </c>
      <c r="N838" s="3" t="str">
        <f t="shared" si="235"/>
        <v>04</v>
      </c>
      <c r="O838" s="14" t="str">
        <f t="shared" si="236"/>
        <v>01</v>
      </c>
      <c r="P838" s="4">
        <v>20000</v>
      </c>
      <c r="T838" s="5" t="s">
        <v>1332</v>
      </c>
      <c r="U838" s="3" t="s">
        <v>29</v>
      </c>
      <c r="V838" s="3" t="s">
        <v>5</v>
      </c>
      <c r="W838" s="3" t="s">
        <v>1309</v>
      </c>
      <c r="X838" s="1" t="s">
        <v>1305</v>
      </c>
    </row>
    <row r="839" spans="1:25" hidden="1">
      <c r="A839" s="143"/>
      <c r="J839" s="1" t="str">
        <f t="shared" si="231"/>
        <v>0</v>
      </c>
      <c r="K839" s="3">
        <f t="shared" si="232"/>
        <v>-100</v>
      </c>
      <c r="L839" s="3">
        <f t="shared" si="233"/>
        <v>1</v>
      </c>
      <c r="M839" s="3">
        <f t="shared" si="234"/>
        <v>0</v>
      </c>
      <c r="N839" s="3" t="str">
        <f t="shared" si="235"/>
        <v>01</v>
      </c>
      <c r="O839" s="14" t="str">
        <f t="shared" si="236"/>
        <v>00</v>
      </c>
    </row>
    <row r="840" spans="1:25" hidden="1">
      <c r="A840" s="143">
        <v>776</v>
      </c>
      <c r="B840" s="1">
        <f t="shared" ref="B840:B846" si="245">IF(G840="-",0,IF(G839=G840,1,0))</f>
        <v>0</v>
      </c>
      <c r="C840" s="1">
        <f t="shared" ref="C840:C846" si="246">+IF(G840="-",0,IF(I840=I839+1,0,(IF(I840=1,0,1))))</f>
        <v>1</v>
      </c>
      <c r="D840" s="1">
        <f t="shared" ref="D840:D846" si="247">+IF(AND(P840="",Q840=""),1,0)</f>
        <v>0</v>
      </c>
      <c r="E840" s="1">
        <f t="shared" ref="E840:F846" si="248">IF(U840="",1,0)</f>
        <v>0</v>
      </c>
      <c r="F840" s="1">
        <f t="shared" si="248"/>
        <v>0</v>
      </c>
      <c r="G840" s="1" t="str">
        <f t="shared" ref="G840:G846" si="249">IF(H840=0,"-",_xlfn.CONCAT(K840,N840,O840,J840))</f>
        <v>25040105</v>
      </c>
      <c r="H840" s="2">
        <v>45748</v>
      </c>
      <c r="I840" s="113">
        <v>5</v>
      </c>
      <c r="J840" s="1" t="str">
        <f t="shared" ref="J840:J903" si="250">+IF(I840&lt;10,_xlfn.CONCAT("0",I840),I840)</f>
        <v>05</v>
      </c>
      <c r="K840" s="3">
        <f t="shared" ref="K840:K903" si="251">+YEAR(H840)-2000</f>
        <v>25</v>
      </c>
      <c r="L840" s="3">
        <f t="shared" ref="L840:L903" si="252">+MONTH(H840)</f>
        <v>4</v>
      </c>
      <c r="M840" s="3">
        <f t="shared" ref="M840:M903" si="253">+DAY(H840)</f>
        <v>1</v>
      </c>
      <c r="N840" s="3" t="str">
        <f t="shared" ref="N840:N903" si="254">+IF(L840&lt;10,_xlfn.CONCAT("0",L840),L840)</f>
        <v>04</v>
      </c>
      <c r="O840" s="14" t="str">
        <f t="shared" ref="O840:O903" si="255">+IF(M840&lt;10,_xlfn.CONCAT("0",M840),M840)</f>
        <v>01</v>
      </c>
      <c r="P840" s="4">
        <v>3000</v>
      </c>
      <c r="T840" s="5" t="s">
        <v>1610</v>
      </c>
      <c r="U840" s="3" t="s">
        <v>1310</v>
      </c>
      <c r="V840" s="3" t="s">
        <v>1304</v>
      </c>
      <c r="W840" s="3" t="s">
        <v>1309</v>
      </c>
      <c r="X840" s="1" t="s">
        <v>1305</v>
      </c>
    </row>
    <row r="841" spans="1:25" hidden="1">
      <c r="A841" s="143">
        <v>777</v>
      </c>
      <c r="B841" s="1">
        <f t="shared" si="245"/>
        <v>0</v>
      </c>
      <c r="C841" s="1">
        <f t="shared" si="246"/>
        <v>0</v>
      </c>
      <c r="D841" s="1">
        <f t="shared" si="247"/>
        <v>0</v>
      </c>
      <c r="E841" s="1">
        <f t="shared" si="248"/>
        <v>0</v>
      </c>
      <c r="F841" s="1">
        <f t="shared" si="248"/>
        <v>0</v>
      </c>
      <c r="G841" s="1" t="str">
        <f t="shared" si="249"/>
        <v>25040106</v>
      </c>
      <c r="H841" s="2">
        <v>45748</v>
      </c>
      <c r="I841" s="113">
        <v>6</v>
      </c>
      <c r="J841" s="1" t="str">
        <f t="shared" si="250"/>
        <v>06</v>
      </c>
      <c r="K841" s="3">
        <f t="shared" si="251"/>
        <v>25</v>
      </c>
      <c r="L841" s="3">
        <f t="shared" si="252"/>
        <v>4</v>
      </c>
      <c r="M841" s="3">
        <f t="shared" si="253"/>
        <v>1</v>
      </c>
      <c r="N841" s="3" t="str">
        <f t="shared" si="254"/>
        <v>04</v>
      </c>
      <c r="O841" s="14" t="str">
        <f t="shared" si="255"/>
        <v>01</v>
      </c>
      <c r="P841" s="4">
        <v>2020</v>
      </c>
      <c r="T841" s="5" t="s">
        <v>1609</v>
      </c>
      <c r="U841" s="3" t="s">
        <v>1310</v>
      </c>
      <c r="V841" s="3" t="s">
        <v>1304</v>
      </c>
      <c r="W841" s="3" t="s">
        <v>1309</v>
      </c>
      <c r="X841" s="1" t="s">
        <v>1305</v>
      </c>
    </row>
    <row r="842" spans="1:25" hidden="1">
      <c r="A842" s="143">
        <v>847</v>
      </c>
      <c r="B842" s="1">
        <f t="shared" si="245"/>
        <v>0</v>
      </c>
      <c r="C842" s="1">
        <f t="shared" si="246"/>
        <v>0</v>
      </c>
      <c r="D842" s="1">
        <f t="shared" si="247"/>
        <v>0</v>
      </c>
      <c r="E842" s="1">
        <f t="shared" si="248"/>
        <v>0</v>
      </c>
      <c r="F842" s="1">
        <f t="shared" si="248"/>
        <v>0</v>
      </c>
      <c r="G842" s="1" t="str">
        <f t="shared" si="249"/>
        <v>25040107</v>
      </c>
      <c r="H842" s="2">
        <v>45748</v>
      </c>
      <c r="I842" s="113">
        <v>7</v>
      </c>
      <c r="J842" s="1" t="str">
        <f t="shared" si="250"/>
        <v>07</v>
      </c>
      <c r="K842" s="3">
        <f t="shared" si="251"/>
        <v>25</v>
      </c>
      <c r="L842" s="3">
        <f t="shared" si="252"/>
        <v>4</v>
      </c>
      <c r="M842" s="3">
        <f t="shared" si="253"/>
        <v>1</v>
      </c>
      <c r="N842" s="3" t="str">
        <f t="shared" si="254"/>
        <v>04</v>
      </c>
      <c r="O842" s="14" t="str">
        <f t="shared" si="255"/>
        <v>01</v>
      </c>
      <c r="P842" s="4">
        <v>40925</v>
      </c>
      <c r="T842" s="5" t="s">
        <v>1608</v>
      </c>
      <c r="U842" s="3" t="s">
        <v>305</v>
      </c>
      <c r="V842" s="3" t="s">
        <v>1304</v>
      </c>
      <c r="W842" s="3" t="s">
        <v>1306</v>
      </c>
      <c r="X842" s="1" t="s">
        <v>1305</v>
      </c>
    </row>
    <row r="843" spans="1:25">
      <c r="A843" s="143">
        <v>766</v>
      </c>
      <c r="B843" s="1">
        <f t="shared" si="245"/>
        <v>0</v>
      </c>
      <c r="C843" s="1">
        <f t="shared" si="246"/>
        <v>0</v>
      </c>
      <c r="D843" s="1">
        <f t="shared" si="247"/>
        <v>0</v>
      </c>
      <c r="E843" s="1">
        <f t="shared" si="248"/>
        <v>1</v>
      </c>
      <c r="F843" s="1">
        <f t="shared" si="248"/>
        <v>0</v>
      </c>
      <c r="G843" s="1" t="str">
        <f t="shared" si="249"/>
        <v>25040201</v>
      </c>
      <c r="H843" s="2">
        <v>45749</v>
      </c>
      <c r="I843" s="113">
        <v>1</v>
      </c>
      <c r="J843" s="1" t="str">
        <f t="shared" si="250"/>
        <v>01</v>
      </c>
      <c r="K843" s="3">
        <f t="shared" si="251"/>
        <v>25</v>
      </c>
      <c r="L843" s="3">
        <f t="shared" si="252"/>
        <v>4</v>
      </c>
      <c r="M843" s="3">
        <f t="shared" si="253"/>
        <v>2</v>
      </c>
      <c r="N843" s="3" t="str">
        <f t="shared" si="254"/>
        <v>04</v>
      </c>
      <c r="O843" s="14" t="str">
        <f t="shared" si="255"/>
        <v>02</v>
      </c>
      <c r="P843" s="4">
        <v>191214.76</v>
      </c>
      <c r="T843" s="5" t="s">
        <v>1607</v>
      </c>
      <c r="V843" s="3" t="s">
        <v>5</v>
      </c>
      <c r="W843" s="3" t="s">
        <v>1306</v>
      </c>
      <c r="X843" s="1" t="s">
        <v>1305</v>
      </c>
    </row>
    <row r="844" spans="1:25">
      <c r="A844" s="143">
        <v>767</v>
      </c>
      <c r="B844" s="1">
        <f t="shared" si="245"/>
        <v>0</v>
      </c>
      <c r="C844" s="1">
        <f t="shared" si="246"/>
        <v>0</v>
      </c>
      <c r="D844" s="1">
        <f t="shared" si="247"/>
        <v>0</v>
      </c>
      <c r="E844" s="1">
        <f t="shared" si="248"/>
        <v>0</v>
      </c>
      <c r="F844" s="1">
        <f t="shared" si="248"/>
        <v>0</v>
      </c>
      <c r="G844" s="1" t="str">
        <f t="shared" si="249"/>
        <v>25040202</v>
      </c>
      <c r="H844" s="2">
        <v>45749</v>
      </c>
      <c r="I844" s="113">
        <v>2</v>
      </c>
      <c r="J844" s="1" t="str">
        <f t="shared" si="250"/>
        <v>02</v>
      </c>
      <c r="K844" s="3">
        <f t="shared" si="251"/>
        <v>25</v>
      </c>
      <c r="L844" s="3">
        <f t="shared" si="252"/>
        <v>4</v>
      </c>
      <c r="M844" s="3">
        <f t="shared" si="253"/>
        <v>2</v>
      </c>
      <c r="N844" s="3" t="str">
        <f t="shared" si="254"/>
        <v>04</v>
      </c>
      <c r="O844" s="14" t="str">
        <f t="shared" si="255"/>
        <v>02</v>
      </c>
      <c r="P844" s="4">
        <v>200000</v>
      </c>
      <c r="T844" s="5" t="s">
        <v>1570</v>
      </c>
      <c r="U844" s="3" t="s">
        <v>1342</v>
      </c>
      <c r="V844" s="3" t="s">
        <v>5</v>
      </c>
      <c r="W844" s="3" t="s">
        <v>1306</v>
      </c>
      <c r="X844" s="1" t="s">
        <v>1305</v>
      </c>
    </row>
    <row r="845" spans="1:25">
      <c r="A845" s="143">
        <v>768</v>
      </c>
      <c r="B845" s="1">
        <f t="shared" si="245"/>
        <v>0</v>
      </c>
      <c r="C845" s="1">
        <f t="shared" si="246"/>
        <v>0</v>
      </c>
      <c r="D845" s="1">
        <f t="shared" si="247"/>
        <v>0</v>
      </c>
      <c r="E845" s="1">
        <f t="shared" si="248"/>
        <v>0</v>
      </c>
      <c r="F845" s="1">
        <f t="shared" si="248"/>
        <v>0</v>
      </c>
      <c r="G845" s="148" t="str">
        <f t="shared" si="249"/>
        <v>25040203</v>
      </c>
      <c r="H845" s="154">
        <v>45749</v>
      </c>
      <c r="I845" s="153">
        <v>3</v>
      </c>
      <c r="J845" s="148" t="str">
        <f t="shared" si="250"/>
        <v>03</v>
      </c>
      <c r="K845" s="144">
        <f t="shared" si="251"/>
        <v>25</v>
      </c>
      <c r="L845" s="144">
        <f t="shared" si="252"/>
        <v>4</v>
      </c>
      <c r="M845" s="144">
        <f t="shared" si="253"/>
        <v>2</v>
      </c>
      <c r="N845" s="144" t="str">
        <f t="shared" si="254"/>
        <v>04</v>
      </c>
      <c r="O845" s="152" t="str">
        <f t="shared" si="255"/>
        <v>02</v>
      </c>
      <c r="P845" s="151">
        <v>683096.5</v>
      </c>
      <c r="Q845" s="149"/>
      <c r="R845" s="150"/>
      <c r="S845" s="149"/>
      <c r="T845" s="149" t="s">
        <v>1606</v>
      </c>
      <c r="U845" s="144" t="s">
        <v>1342</v>
      </c>
      <c r="V845" s="144" t="s">
        <v>5</v>
      </c>
      <c r="W845" s="144" t="s">
        <v>1306</v>
      </c>
      <c r="X845" s="148" t="s">
        <v>1305</v>
      </c>
      <c r="Y845" s="147" t="s">
        <v>1605</v>
      </c>
    </row>
    <row r="846" spans="1:25" hidden="1">
      <c r="A846" s="143">
        <v>769</v>
      </c>
      <c r="B846" s="1">
        <f t="shared" si="245"/>
        <v>0</v>
      </c>
      <c r="C846" s="1">
        <f t="shared" si="246"/>
        <v>0</v>
      </c>
      <c r="D846" s="1">
        <f t="shared" si="247"/>
        <v>0</v>
      </c>
      <c r="E846" s="1">
        <f t="shared" si="248"/>
        <v>0</v>
      </c>
      <c r="F846" s="1">
        <f t="shared" si="248"/>
        <v>0</v>
      </c>
      <c r="G846" s="1" t="str">
        <f t="shared" si="249"/>
        <v>25040204</v>
      </c>
      <c r="H846" s="2">
        <v>45749</v>
      </c>
      <c r="I846" s="113">
        <v>4</v>
      </c>
      <c r="J846" s="1" t="str">
        <f t="shared" si="250"/>
        <v>04</v>
      </c>
      <c r="K846" s="3">
        <f t="shared" si="251"/>
        <v>25</v>
      </c>
      <c r="L846" s="3">
        <f t="shared" si="252"/>
        <v>4</v>
      </c>
      <c r="M846" s="3">
        <f t="shared" si="253"/>
        <v>2</v>
      </c>
      <c r="N846" s="3" t="str">
        <f t="shared" si="254"/>
        <v>04</v>
      </c>
      <c r="O846" s="14" t="str">
        <f t="shared" si="255"/>
        <v>02</v>
      </c>
      <c r="P846" s="4">
        <v>30000</v>
      </c>
      <c r="T846" s="5" t="s">
        <v>1604</v>
      </c>
      <c r="U846" s="3" t="s">
        <v>29</v>
      </c>
      <c r="V846" s="3" t="s">
        <v>4</v>
      </c>
      <c r="W846" s="3" t="s">
        <v>1303</v>
      </c>
    </row>
    <row r="847" spans="1:25" hidden="1">
      <c r="A847" s="143"/>
      <c r="J847" s="1" t="str">
        <f t="shared" si="250"/>
        <v>0</v>
      </c>
      <c r="K847" s="3">
        <f t="shared" si="251"/>
        <v>-100</v>
      </c>
      <c r="L847" s="3">
        <f t="shared" si="252"/>
        <v>1</v>
      </c>
      <c r="M847" s="3">
        <f t="shared" si="253"/>
        <v>0</v>
      </c>
      <c r="N847" s="3" t="str">
        <f t="shared" si="254"/>
        <v>01</v>
      </c>
      <c r="O847" s="14" t="str">
        <f t="shared" si="255"/>
        <v>00</v>
      </c>
    </row>
    <row r="848" spans="1:25">
      <c r="A848" s="143">
        <v>778</v>
      </c>
      <c r="B848" s="1">
        <f>IF(G848="-",0,IF(G847=G848,1,0))</f>
        <v>0</v>
      </c>
      <c r="C848" s="1">
        <f>+IF(G848="-",0,IF(I848=I847+1,0,(IF(I848=1,0,1))))</f>
        <v>1</v>
      </c>
      <c r="D848" s="1">
        <f>+IF(AND(P848="",Q848=""),1,0)</f>
        <v>0</v>
      </c>
      <c r="E848" s="1">
        <f>IF(U848="",1,0)</f>
        <v>1</v>
      </c>
      <c r="F848" s="1">
        <f>IF(V848="",1,0)</f>
        <v>0</v>
      </c>
      <c r="G848" s="1" t="str">
        <f>IF(H848=0,"-",_xlfn.CONCAT(K848,N848,O848,J848))</f>
        <v>25040206</v>
      </c>
      <c r="H848" s="2">
        <v>45749</v>
      </c>
      <c r="I848" s="113">
        <v>6</v>
      </c>
      <c r="J848" s="1" t="str">
        <f t="shared" si="250"/>
        <v>06</v>
      </c>
      <c r="K848" s="3">
        <f t="shared" si="251"/>
        <v>25</v>
      </c>
      <c r="L848" s="3">
        <f t="shared" si="252"/>
        <v>4</v>
      </c>
      <c r="M848" s="3">
        <f t="shared" si="253"/>
        <v>2</v>
      </c>
      <c r="N848" s="3" t="str">
        <f t="shared" si="254"/>
        <v>04</v>
      </c>
      <c r="O848" s="14" t="str">
        <f t="shared" si="255"/>
        <v>02</v>
      </c>
      <c r="P848" s="4">
        <v>469153.73</v>
      </c>
      <c r="T848" s="5" t="s">
        <v>1603</v>
      </c>
      <c r="V848" s="3" t="s">
        <v>5</v>
      </c>
      <c r="W848" s="3" t="s">
        <v>1306</v>
      </c>
      <c r="X848" s="1" t="s">
        <v>1305</v>
      </c>
    </row>
    <row r="849" spans="1:24">
      <c r="A849" s="143">
        <v>779</v>
      </c>
      <c r="B849" s="1">
        <f>IF(G849="-",0,IF(G848=G849,1,0))</f>
        <v>0</v>
      </c>
      <c r="C849" s="1">
        <f>+IF(G849="-",0,IF(I849=I848+1,0,(IF(I849=1,0,1))))</f>
        <v>0</v>
      </c>
      <c r="D849" s="1">
        <f>+IF(AND(P849="",Q849=""),1,0)</f>
        <v>0</v>
      </c>
      <c r="E849" s="1">
        <f>IF(U849="",1,0)</f>
        <v>1</v>
      </c>
      <c r="F849" s="1">
        <f>IF(V849="",1,0)</f>
        <v>0</v>
      </c>
      <c r="G849" s="1" t="str">
        <f>IF(H849=0,"-",_xlfn.CONCAT(K849,N849,O849,J849))</f>
        <v>25040207</v>
      </c>
      <c r="H849" s="2">
        <v>45749</v>
      </c>
      <c r="I849" s="113">
        <v>7</v>
      </c>
      <c r="J849" s="1" t="str">
        <f t="shared" si="250"/>
        <v>07</v>
      </c>
      <c r="K849" s="3">
        <f t="shared" si="251"/>
        <v>25</v>
      </c>
      <c r="L849" s="3">
        <f t="shared" si="252"/>
        <v>4</v>
      </c>
      <c r="M849" s="3">
        <f t="shared" si="253"/>
        <v>2</v>
      </c>
      <c r="N849" s="3" t="str">
        <f t="shared" si="254"/>
        <v>04</v>
      </c>
      <c r="O849" s="14" t="str">
        <f t="shared" si="255"/>
        <v>02</v>
      </c>
      <c r="P849" s="4">
        <v>85691.66</v>
      </c>
      <c r="T849" s="5" t="s">
        <v>1602</v>
      </c>
      <c r="V849" s="3" t="s">
        <v>5</v>
      </c>
      <c r="W849" s="3" t="s">
        <v>1306</v>
      </c>
      <c r="X849" s="1" t="s">
        <v>1305</v>
      </c>
    </row>
    <row r="850" spans="1:24" hidden="1">
      <c r="A850" s="143"/>
      <c r="J850" s="1" t="str">
        <f t="shared" si="250"/>
        <v>0</v>
      </c>
      <c r="K850" s="3">
        <f t="shared" si="251"/>
        <v>-100</v>
      </c>
      <c r="L850" s="3">
        <f t="shared" si="252"/>
        <v>1</v>
      </c>
      <c r="M850" s="3">
        <f t="shared" si="253"/>
        <v>0</v>
      </c>
      <c r="N850" s="3" t="str">
        <f t="shared" si="254"/>
        <v>01</v>
      </c>
      <c r="O850" s="14" t="str">
        <f t="shared" si="255"/>
        <v>00</v>
      </c>
    </row>
    <row r="851" spans="1:24" hidden="1">
      <c r="A851" s="143"/>
      <c r="J851" s="1" t="str">
        <f t="shared" si="250"/>
        <v>0</v>
      </c>
      <c r="K851" s="3">
        <f t="shared" si="251"/>
        <v>-100</v>
      </c>
      <c r="L851" s="3">
        <f t="shared" si="252"/>
        <v>1</v>
      </c>
      <c r="M851" s="3">
        <f t="shared" si="253"/>
        <v>0</v>
      </c>
      <c r="N851" s="3" t="str">
        <f t="shared" si="254"/>
        <v>01</v>
      </c>
      <c r="O851" s="14" t="str">
        <f t="shared" si="255"/>
        <v>00</v>
      </c>
    </row>
    <row r="852" spans="1:24" hidden="1">
      <c r="A852" s="143"/>
      <c r="J852" s="1" t="str">
        <f t="shared" si="250"/>
        <v>0</v>
      </c>
      <c r="K852" s="3">
        <f t="shared" si="251"/>
        <v>-100</v>
      </c>
      <c r="L852" s="3">
        <f t="shared" si="252"/>
        <v>1</v>
      </c>
      <c r="M852" s="3">
        <f t="shared" si="253"/>
        <v>0</v>
      </c>
      <c r="N852" s="3" t="str">
        <f t="shared" si="254"/>
        <v>01</v>
      </c>
      <c r="O852" s="14" t="str">
        <f t="shared" si="255"/>
        <v>00</v>
      </c>
    </row>
    <row r="853" spans="1:24" hidden="1">
      <c r="A853" s="143">
        <v>864</v>
      </c>
      <c r="B853" s="1">
        <f>IF(G853="-",0,IF(G852=G853,1,0))</f>
        <v>0</v>
      </c>
      <c r="C853" s="1">
        <f>+IF(G853="-",0,IF(I853=I852+1,0,(IF(I853=1,0,1))))</f>
        <v>1</v>
      </c>
      <c r="D853" s="1">
        <f>+IF(AND(P853="",Q853=""),1,0)</f>
        <v>0</v>
      </c>
      <c r="E853" s="1">
        <f>IF(U853="",1,0)</f>
        <v>0</v>
      </c>
      <c r="F853" s="1">
        <f>IF(V853="",1,0)</f>
        <v>0</v>
      </c>
      <c r="G853" s="1" t="str">
        <f>IF(H853=0,"-",_xlfn.CONCAT(K853,N853,O853,J853))</f>
        <v>25040302</v>
      </c>
      <c r="H853" s="2">
        <v>45750</v>
      </c>
      <c r="I853" s="113">
        <v>2</v>
      </c>
      <c r="J853" s="1" t="str">
        <f t="shared" si="250"/>
        <v>02</v>
      </c>
      <c r="K853" s="3">
        <f t="shared" si="251"/>
        <v>25</v>
      </c>
      <c r="L853" s="3">
        <f t="shared" si="252"/>
        <v>4</v>
      </c>
      <c r="M853" s="3">
        <f t="shared" si="253"/>
        <v>3</v>
      </c>
      <c r="N853" s="3" t="str">
        <f t="shared" si="254"/>
        <v>04</v>
      </c>
      <c r="O853" s="14" t="str">
        <f t="shared" si="255"/>
        <v>03</v>
      </c>
      <c r="P853" s="4">
        <v>43080.46</v>
      </c>
      <c r="T853" s="5" t="s">
        <v>1601</v>
      </c>
      <c r="U853" s="3" t="s">
        <v>29</v>
      </c>
      <c r="V853" s="3" t="s">
        <v>5</v>
      </c>
      <c r="W853" s="3" t="s">
        <v>1307</v>
      </c>
      <c r="X853" s="1" t="s">
        <v>1305</v>
      </c>
    </row>
    <row r="854" spans="1:24" hidden="1">
      <c r="A854" s="143">
        <v>865</v>
      </c>
      <c r="B854" s="1">
        <f>IF(G854="-",0,IF(G853=G854,1,0))</f>
        <v>0</v>
      </c>
      <c r="C854" s="1">
        <f>+IF(G854="-",0,IF(I854=I853+1,0,(IF(I854=1,0,1))))</f>
        <v>0</v>
      </c>
      <c r="D854" s="1">
        <f>+IF(AND(P854="",Q854=""),1,0)</f>
        <v>0</v>
      </c>
      <c r="E854" s="1">
        <f>IF(U854="",1,0)</f>
        <v>0</v>
      </c>
      <c r="F854" s="1">
        <f>IF(V854="",1,0)</f>
        <v>0</v>
      </c>
      <c r="G854" s="1" t="str">
        <f>IF(H854=0,"-",_xlfn.CONCAT(K854,N854,O854,J854))</f>
        <v>25040303</v>
      </c>
      <c r="H854" s="2">
        <v>45750</v>
      </c>
      <c r="I854" s="113">
        <v>3</v>
      </c>
      <c r="J854" s="1" t="str">
        <f t="shared" si="250"/>
        <v>03</v>
      </c>
      <c r="K854" s="3">
        <f t="shared" si="251"/>
        <v>25</v>
      </c>
      <c r="L854" s="3">
        <f t="shared" si="252"/>
        <v>4</v>
      </c>
      <c r="M854" s="3">
        <f t="shared" si="253"/>
        <v>3</v>
      </c>
      <c r="N854" s="3" t="str">
        <f t="shared" si="254"/>
        <v>04</v>
      </c>
      <c r="O854" s="14" t="str">
        <f t="shared" si="255"/>
        <v>03</v>
      </c>
      <c r="P854" s="4">
        <v>59089.88</v>
      </c>
      <c r="T854" s="5" t="s">
        <v>1600</v>
      </c>
      <c r="U854" s="3" t="s">
        <v>29</v>
      </c>
      <c r="V854" s="3" t="s">
        <v>5</v>
      </c>
      <c r="W854" s="3" t="s">
        <v>1307</v>
      </c>
      <c r="X854" s="1" t="s">
        <v>1305</v>
      </c>
    </row>
    <row r="855" spans="1:24" hidden="1">
      <c r="A855" s="143"/>
      <c r="J855" s="1" t="str">
        <f t="shared" si="250"/>
        <v>0</v>
      </c>
      <c r="K855" s="3">
        <f t="shared" si="251"/>
        <v>-100</v>
      </c>
      <c r="L855" s="3">
        <f t="shared" si="252"/>
        <v>1</v>
      </c>
      <c r="M855" s="3">
        <f t="shared" si="253"/>
        <v>0</v>
      </c>
      <c r="N855" s="3" t="str">
        <f t="shared" si="254"/>
        <v>01</v>
      </c>
      <c r="O855" s="14" t="str">
        <f t="shared" si="255"/>
        <v>00</v>
      </c>
    </row>
    <row r="856" spans="1:24" hidden="1">
      <c r="A856" s="143">
        <v>867</v>
      </c>
      <c r="B856" s="1">
        <f>IF(G856="-",0,IF(G855=G856,1,0))</f>
        <v>0</v>
      </c>
      <c r="C856" s="1">
        <f>+IF(G856="-",0,IF(I856=I855+1,0,(IF(I856=1,0,1))))</f>
        <v>1</v>
      </c>
      <c r="D856" s="1">
        <f>+IF(AND(P856="",Q856=""),1,0)</f>
        <v>0</v>
      </c>
      <c r="E856" s="1">
        <f>IF(U856="",1,0)</f>
        <v>0</v>
      </c>
      <c r="F856" s="1">
        <f>IF(V856="",1,0)</f>
        <v>0</v>
      </c>
      <c r="G856" s="1" t="str">
        <f>IF(H856=0,"-",_xlfn.CONCAT(K856,N856,O856,J856))</f>
        <v>25040305</v>
      </c>
      <c r="H856" s="2">
        <v>45750</v>
      </c>
      <c r="I856" s="113">
        <v>5</v>
      </c>
      <c r="J856" s="1" t="str">
        <f t="shared" si="250"/>
        <v>05</v>
      </c>
      <c r="K856" s="3">
        <f t="shared" si="251"/>
        <v>25</v>
      </c>
      <c r="L856" s="3">
        <f t="shared" si="252"/>
        <v>4</v>
      </c>
      <c r="M856" s="3">
        <f t="shared" si="253"/>
        <v>3</v>
      </c>
      <c r="N856" s="3" t="str">
        <f t="shared" si="254"/>
        <v>04</v>
      </c>
      <c r="O856" s="14" t="str">
        <f t="shared" si="255"/>
        <v>03</v>
      </c>
      <c r="P856" s="4">
        <v>128855.75</v>
      </c>
      <c r="T856" s="5" t="s">
        <v>1448</v>
      </c>
      <c r="U856" s="3" t="s">
        <v>1310</v>
      </c>
      <c r="V856" s="3" t="s">
        <v>1304</v>
      </c>
      <c r="W856" s="3" t="s">
        <v>1309</v>
      </c>
      <c r="X856" s="1" t="s">
        <v>1305</v>
      </c>
    </row>
    <row r="857" spans="1:24" hidden="1">
      <c r="A857" s="143"/>
      <c r="J857" s="1" t="str">
        <f t="shared" si="250"/>
        <v>0</v>
      </c>
      <c r="K857" s="3">
        <f t="shared" si="251"/>
        <v>-100</v>
      </c>
      <c r="L857" s="3">
        <f t="shared" si="252"/>
        <v>1</v>
      </c>
      <c r="M857" s="3">
        <f t="shared" si="253"/>
        <v>0</v>
      </c>
      <c r="N857" s="3" t="str">
        <f t="shared" si="254"/>
        <v>01</v>
      </c>
      <c r="O857" s="14" t="str">
        <f t="shared" si="255"/>
        <v>00</v>
      </c>
    </row>
    <row r="858" spans="1:24" hidden="1">
      <c r="A858" s="143"/>
      <c r="J858" s="1" t="str">
        <f t="shared" si="250"/>
        <v>0</v>
      </c>
      <c r="K858" s="3">
        <f t="shared" si="251"/>
        <v>-100</v>
      </c>
      <c r="L858" s="3">
        <f t="shared" si="252"/>
        <v>1</v>
      </c>
      <c r="M858" s="3">
        <f t="shared" si="253"/>
        <v>0</v>
      </c>
      <c r="N858" s="3" t="str">
        <f t="shared" si="254"/>
        <v>01</v>
      </c>
      <c r="O858" s="14" t="str">
        <f t="shared" si="255"/>
        <v>00</v>
      </c>
    </row>
    <row r="859" spans="1:24" hidden="1">
      <c r="A859" s="143">
        <v>869</v>
      </c>
      <c r="B859" s="1">
        <f>IF(G859="-",0,IF(G858=G859,1,0))</f>
        <v>0</v>
      </c>
      <c r="C859" s="1">
        <f>+IF(G859="-",0,IF(I859=I858+1,0,(IF(I859=1,0,1))))</f>
        <v>1</v>
      </c>
      <c r="D859" s="1">
        <f>+IF(AND(P859="",Q859=""),1,0)</f>
        <v>0</v>
      </c>
      <c r="E859" s="1">
        <f>IF(U859="",1,0)</f>
        <v>0</v>
      </c>
      <c r="F859" s="1">
        <f>IF(V859="",1,0)</f>
        <v>0</v>
      </c>
      <c r="G859" s="1" t="str">
        <f>IF(H859=0,"-",_xlfn.CONCAT(K859,N859,O859,J859))</f>
        <v>25040403</v>
      </c>
      <c r="H859" s="2">
        <v>45751</v>
      </c>
      <c r="I859" s="113">
        <v>3</v>
      </c>
      <c r="J859" s="1" t="str">
        <f t="shared" si="250"/>
        <v>03</v>
      </c>
      <c r="K859" s="3">
        <f t="shared" si="251"/>
        <v>25</v>
      </c>
      <c r="L859" s="3">
        <f t="shared" si="252"/>
        <v>4</v>
      </c>
      <c r="M859" s="3">
        <f t="shared" si="253"/>
        <v>4</v>
      </c>
      <c r="N859" s="3" t="str">
        <f t="shared" si="254"/>
        <v>04</v>
      </c>
      <c r="O859" s="14" t="str">
        <f t="shared" si="255"/>
        <v>04</v>
      </c>
      <c r="P859" s="4">
        <v>12963.5</v>
      </c>
      <c r="T859" s="5" t="s">
        <v>1599</v>
      </c>
      <c r="U859" s="3" t="s">
        <v>30</v>
      </c>
      <c r="V859" s="3" t="s">
        <v>1312</v>
      </c>
      <c r="W859" s="3" t="s">
        <v>1307</v>
      </c>
      <c r="X859" s="1" t="s">
        <v>1305</v>
      </c>
    </row>
    <row r="860" spans="1:24" hidden="1">
      <c r="A860" s="143"/>
      <c r="J860" s="1" t="str">
        <f t="shared" si="250"/>
        <v>0</v>
      </c>
      <c r="K860" s="3">
        <f t="shared" si="251"/>
        <v>-100</v>
      </c>
      <c r="L860" s="3">
        <f t="shared" si="252"/>
        <v>1</v>
      </c>
      <c r="M860" s="3">
        <f t="shared" si="253"/>
        <v>0</v>
      </c>
      <c r="N860" s="3" t="str">
        <f t="shared" si="254"/>
        <v>01</v>
      </c>
      <c r="O860" s="14" t="str">
        <f t="shared" si="255"/>
        <v>00</v>
      </c>
    </row>
    <row r="861" spans="1:24" hidden="1">
      <c r="A861" s="143"/>
      <c r="J861" s="1" t="str">
        <f t="shared" si="250"/>
        <v>0</v>
      </c>
      <c r="K861" s="3">
        <f t="shared" si="251"/>
        <v>-100</v>
      </c>
      <c r="L861" s="3">
        <f t="shared" si="252"/>
        <v>1</v>
      </c>
      <c r="M861" s="3">
        <f t="shared" si="253"/>
        <v>0</v>
      </c>
      <c r="N861" s="3" t="str">
        <f t="shared" si="254"/>
        <v>01</v>
      </c>
      <c r="O861" s="14" t="str">
        <f t="shared" si="255"/>
        <v>00</v>
      </c>
    </row>
    <row r="862" spans="1:24" hidden="1">
      <c r="A862" s="143"/>
      <c r="J862" s="1" t="str">
        <f t="shared" si="250"/>
        <v>0</v>
      </c>
      <c r="K862" s="3">
        <f t="shared" si="251"/>
        <v>-100</v>
      </c>
      <c r="L862" s="3">
        <f t="shared" si="252"/>
        <v>1</v>
      </c>
      <c r="M862" s="3">
        <f t="shared" si="253"/>
        <v>0</v>
      </c>
      <c r="N862" s="3" t="str">
        <f t="shared" si="254"/>
        <v>01</v>
      </c>
      <c r="O862" s="14" t="str">
        <f t="shared" si="255"/>
        <v>00</v>
      </c>
    </row>
    <row r="863" spans="1:24">
      <c r="A863" s="143">
        <v>812</v>
      </c>
      <c r="B863" s="1">
        <f t="shared" ref="B863:B883" si="256">IF(G863="-",0,IF(G862=G863,1,0))</f>
        <v>0</v>
      </c>
      <c r="C863" s="1">
        <f t="shared" ref="C863:C883" si="257">+IF(G863="-",0,IF(I863=I862+1,0,(IF(I863=1,0,1))))</f>
        <v>0</v>
      </c>
      <c r="D863" s="1">
        <f t="shared" ref="D863:D883" si="258">+IF(AND(P863="",Q863=""),1,0)</f>
        <v>0</v>
      </c>
      <c r="E863" s="1">
        <f t="shared" ref="E863:E883" si="259">IF(U863="",1,0)</f>
        <v>0</v>
      </c>
      <c r="F863" s="1">
        <f t="shared" ref="F863:F883" si="260">IF(V863="",1,0)</f>
        <v>0</v>
      </c>
      <c r="G863" s="1" t="str">
        <f t="shared" ref="G863:G883" si="261">IF(H863=0,"-",_xlfn.CONCAT(K863,N863,O863,J863))</f>
        <v>25040501</v>
      </c>
      <c r="H863" s="2">
        <v>45752</v>
      </c>
      <c r="I863" s="113">
        <v>1</v>
      </c>
      <c r="J863" s="1" t="str">
        <f t="shared" si="250"/>
        <v>01</v>
      </c>
      <c r="K863" s="3">
        <f t="shared" si="251"/>
        <v>25</v>
      </c>
      <c r="L863" s="3">
        <f t="shared" si="252"/>
        <v>4</v>
      </c>
      <c r="M863" s="3">
        <f t="shared" si="253"/>
        <v>5</v>
      </c>
      <c r="N863" s="3" t="str">
        <f t="shared" si="254"/>
        <v>04</v>
      </c>
      <c r="O863" s="14" t="str">
        <f t="shared" si="255"/>
        <v>05</v>
      </c>
      <c r="P863" s="4">
        <v>159000</v>
      </c>
      <c r="T863" s="28" t="s">
        <v>1598</v>
      </c>
      <c r="U863" s="3" t="s">
        <v>1342</v>
      </c>
      <c r="V863" s="3" t="s">
        <v>5</v>
      </c>
      <c r="W863" s="3" t="s">
        <v>1306</v>
      </c>
      <c r="X863" s="1" t="s">
        <v>1302</v>
      </c>
    </row>
    <row r="864" spans="1:24">
      <c r="A864" s="143">
        <v>813</v>
      </c>
      <c r="B864" s="1">
        <f t="shared" si="256"/>
        <v>0</v>
      </c>
      <c r="C864" s="1">
        <f t="shared" si="257"/>
        <v>0</v>
      </c>
      <c r="D864" s="1">
        <f t="shared" si="258"/>
        <v>0</v>
      </c>
      <c r="E864" s="1">
        <f t="shared" si="259"/>
        <v>0</v>
      </c>
      <c r="F864" s="1">
        <f t="shared" si="260"/>
        <v>0</v>
      </c>
      <c r="G864" s="1" t="str">
        <f t="shared" si="261"/>
        <v>25040502</v>
      </c>
      <c r="H864" s="2">
        <v>45752</v>
      </c>
      <c r="I864" s="113">
        <v>2</v>
      </c>
      <c r="J864" s="1" t="str">
        <f t="shared" si="250"/>
        <v>02</v>
      </c>
      <c r="K864" s="3">
        <f t="shared" si="251"/>
        <v>25</v>
      </c>
      <c r="L864" s="3">
        <f t="shared" si="252"/>
        <v>4</v>
      </c>
      <c r="M864" s="3">
        <f t="shared" si="253"/>
        <v>5</v>
      </c>
      <c r="N864" s="3" t="str">
        <f t="shared" si="254"/>
        <v>04</v>
      </c>
      <c r="O864" s="14" t="str">
        <f t="shared" si="255"/>
        <v>05</v>
      </c>
      <c r="P864" s="4">
        <v>115000</v>
      </c>
      <c r="T864" s="28" t="s">
        <v>1597</v>
      </c>
      <c r="U864" s="3" t="s">
        <v>1342</v>
      </c>
      <c r="V864" s="3" t="s">
        <v>5</v>
      </c>
      <c r="W864" s="3" t="s">
        <v>1306</v>
      </c>
      <c r="X864" s="1" t="s">
        <v>1302</v>
      </c>
    </row>
    <row r="865" spans="1:24">
      <c r="A865" s="143">
        <v>814</v>
      </c>
      <c r="B865" s="1">
        <f t="shared" si="256"/>
        <v>0</v>
      </c>
      <c r="C865" s="1">
        <f t="shared" si="257"/>
        <v>0</v>
      </c>
      <c r="D865" s="1">
        <f t="shared" si="258"/>
        <v>0</v>
      </c>
      <c r="E865" s="1">
        <f t="shared" si="259"/>
        <v>0</v>
      </c>
      <c r="F865" s="1">
        <f t="shared" si="260"/>
        <v>0</v>
      </c>
      <c r="G865" s="1" t="str">
        <f t="shared" si="261"/>
        <v>25040503</v>
      </c>
      <c r="H865" s="2">
        <v>45752</v>
      </c>
      <c r="I865" s="113">
        <v>3</v>
      </c>
      <c r="J865" s="1" t="str">
        <f t="shared" si="250"/>
        <v>03</v>
      </c>
      <c r="K865" s="3">
        <f t="shared" si="251"/>
        <v>25</v>
      </c>
      <c r="L865" s="3">
        <f t="shared" si="252"/>
        <v>4</v>
      </c>
      <c r="M865" s="3">
        <f t="shared" si="253"/>
        <v>5</v>
      </c>
      <c r="N865" s="3" t="str">
        <f t="shared" si="254"/>
        <v>04</v>
      </c>
      <c r="O865" s="14" t="str">
        <f t="shared" si="255"/>
        <v>05</v>
      </c>
      <c r="P865" s="4">
        <v>132000</v>
      </c>
      <c r="T865" s="28" t="s">
        <v>1596</v>
      </c>
      <c r="U865" s="3" t="s">
        <v>1342</v>
      </c>
      <c r="V865" s="3" t="s">
        <v>5</v>
      </c>
      <c r="W865" s="3" t="s">
        <v>1306</v>
      </c>
      <c r="X865" s="1" t="s">
        <v>1302</v>
      </c>
    </row>
    <row r="866" spans="1:24">
      <c r="A866" s="143">
        <v>815</v>
      </c>
      <c r="B866" s="1">
        <f t="shared" si="256"/>
        <v>0</v>
      </c>
      <c r="C866" s="1">
        <f t="shared" si="257"/>
        <v>0</v>
      </c>
      <c r="D866" s="1">
        <f t="shared" si="258"/>
        <v>0</v>
      </c>
      <c r="E866" s="1">
        <f t="shared" si="259"/>
        <v>0</v>
      </c>
      <c r="F866" s="1">
        <f t="shared" si="260"/>
        <v>0</v>
      </c>
      <c r="G866" s="1" t="str">
        <f t="shared" si="261"/>
        <v>25040504</v>
      </c>
      <c r="H866" s="2">
        <v>45752</v>
      </c>
      <c r="I866" s="113">
        <v>4</v>
      </c>
      <c r="J866" s="1" t="str">
        <f t="shared" si="250"/>
        <v>04</v>
      </c>
      <c r="K866" s="3">
        <f t="shared" si="251"/>
        <v>25</v>
      </c>
      <c r="L866" s="3">
        <f t="shared" si="252"/>
        <v>4</v>
      </c>
      <c r="M866" s="3">
        <f t="shared" si="253"/>
        <v>5</v>
      </c>
      <c r="N866" s="3" t="str">
        <f t="shared" si="254"/>
        <v>04</v>
      </c>
      <c r="O866" s="14" t="str">
        <f t="shared" si="255"/>
        <v>05</v>
      </c>
      <c r="P866" s="4">
        <v>108000</v>
      </c>
      <c r="T866" s="28" t="s">
        <v>1595</v>
      </c>
      <c r="U866" s="3" t="s">
        <v>1342</v>
      </c>
      <c r="V866" s="3" t="s">
        <v>5</v>
      </c>
      <c r="W866" s="3" t="s">
        <v>1306</v>
      </c>
      <c r="X866" s="1" t="s">
        <v>1302</v>
      </c>
    </row>
    <row r="867" spans="1:24">
      <c r="A867" s="143">
        <v>816</v>
      </c>
      <c r="B867" s="1">
        <f t="shared" si="256"/>
        <v>0</v>
      </c>
      <c r="C867" s="1">
        <f t="shared" si="257"/>
        <v>0</v>
      </c>
      <c r="D867" s="1">
        <f t="shared" si="258"/>
        <v>0</v>
      </c>
      <c r="E867" s="1">
        <f t="shared" si="259"/>
        <v>0</v>
      </c>
      <c r="F867" s="1">
        <f t="shared" si="260"/>
        <v>0</v>
      </c>
      <c r="G867" s="1" t="str">
        <f t="shared" si="261"/>
        <v>25040505</v>
      </c>
      <c r="H867" s="2">
        <v>45752</v>
      </c>
      <c r="I867" s="113">
        <v>5</v>
      </c>
      <c r="J867" s="1" t="str">
        <f t="shared" si="250"/>
        <v>05</v>
      </c>
      <c r="K867" s="3">
        <f t="shared" si="251"/>
        <v>25</v>
      </c>
      <c r="L867" s="3">
        <f t="shared" si="252"/>
        <v>4</v>
      </c>
      <c r="M867" s="3">
        <f t="shared" si="253"/>
        <v>5</v>
      </c>
      <c r="N867" s="3" t="str">
        <f t="shared" si="254"/>
        <v>04</v>
      </c>
      <c r="O867" s="14" t="str">
        <f t="shared" si="255"/>
        <v>05</v>
      </c>
      <c r="P867" s="4">
        <v>132000</v>
      </c>
      <c r="T867" s="28" t="s">
        <v>1594</v>
      </c>
      <c r="U867" s="3" t="s">
        <v>1342</v>
      </c>
      <c r="V867" s="3" t="s">
        <v>5</v>
      </c>
      <c r="W867" s="3" t="s">
        <v>1306</v>
      </c>
      <c r="X867" s="1" t="s">
        <v>1302</v>
      </c>
    </row>
    <row r="868" spans="1:24">
      <c r="A868" s="143">
        <v>817</v>
      </c>
      <c r="B868" s="1">
        <f t="shared" si="256"/>
        <v>0</v>
      </c>
      <c r="C868" s="1">
        <f t="shared" si="257"/>
        <v>0</v>
      </c>
      <c r="D868" s="1">
        <f t="shared" si="258"/>
        <v>0</v>
      </c>
      <c r="E868" s="1">
        <f t="shared" si="259"/>
        <v>0</v>
      </c>
      <c r="F868" s="1">
        <f t="shared" si="260"/>
        <v>0</v>
      </c>
      <c r="G868" s="1" t="str">
        <f t="shared" si="261"/>
        <v>25040506</v>
      </c>
      <c r="H868" s="2">
        <v>45752</v>
      </c>
      <c r="I868" s="113">
        <v>6</v>
      </c>
      <c r="J868" s="1" t="str">
        <f t="shared" si="250"/>
        <v>06</v>
      </c>
      <c r="K868" s="3">
        <f t="shared" si="251"/>
        <v>25</v>
      </c>
      <c r="L868" s="3">
        <f t="shared" si="252"/>
        <v>4</v>
      </c>
      <c r="M868" s="3">
        <f t="shared" si="253"/>
        <v>5</v>
      </c>
      <c r="N868" s="3" t="str">
        <f t="shared" si="254"/>
        <v>04</v>
      </c>
      <c r="O868" s="14" t="str">
        <f t="shared" si="255"/>
        <v>05</v>
      </c>
      <c r="P868" s="4">
        <v>159000</v>
      </c>
      <c r="T868" s="28" t="s">
        <v>1593</v>
      </c>
      <c r="U868" s="3" t="s">
        <v>1342</v>
      </c>
      <c r="V868" s="3" t="s">
        <v>5</v>
      </c>
      <c r="W868" s="3" t="s">
        <v>1306</v>
      </c>
      <c r="X868" s="1" t="s">
        <v>1302</v>
      </c>
    </row>
    <row r="869" spans="1:24">
      <c r="A869" s="143">
        <v>818</v>
      </c>
      <c r="B869" s="1">
        <f t="shared" si="256"/>
        <v>0</v>
      </c>
      <c r="C869" s="1">
        <f t="shared" si="257"/>
        <v>0</v>
      </c>
      <c r="D869" s="1">
        <f t="shared" si="258"/>
        <v>0</v>
      </c>
      <c r="E869" s="1">
        <f t="shared" si="259"/>
        <v>0</v>
      </c>
      <c r="F869" s="1">
        <f t="shared" si="260"/>
        <v>0</v>
      </c>
      <c r="G869" s="1" t="str">
        <f t="shared" si="261"/>
        <v>25040507</v>
      </c>
      <c r="H869" s="2">
        <v>45752</v>
      </c>
      <c r="I869" s="113">
        <v>7</v>
      </c>
      <c r="J869" s="1" t="str">
        <f t="shared" si="250"/>
        <v>07</v>
      </c>
      <c r="K869" s="3">
        <f t="shared" si="251"/>
        <v>25</v>
      </c>
      <c r="L869" s="3">
        <f t="shared" si="252"/>
        <v>4</v>
      </c>
      <c r="M869" s="3">
        <f t="shared" si="253"/>
        <v>5</v>
      </c>
      <c r="N869" s="3" t="str">
        <f t="shared" si="254"/>
        <v>04</v>
      </c>
      <c r="O869" s="14" t="str">
        <f t="shared" si="255"/>
        <v>05</v>
      </c>
      <c r="P869" s="4">
        <v>132000</v>
      </c>
      <c r="T869" s="28" t="s">
        <v>1592</v>
      </c>
      <c r="U869" s="3" t="s">
        <v>1342</v>
      </c>
      <c r="V869" s="3" t="s">
        <v>5</v>
      </c>
      <c r="W869" s="3" t="s">
        <v>1306</v>
      </c>
      <c r="X869" s="1" t="s">
        <v>1302</v>
      </c>
    </row>
    <row r="870" spans="1:24">
      <c r="A870" s="143">
        <v>819</v>
      </c>
      <c r="B870" s="1">
        <f t="shared" si="256"/>
        <v>0</v>
      </c>
      <c r="C870" s="1">
        <f t="shared" si="257"/>
        <v>0</v>
      </c>
      <c r="D870" s="1">
        <f t="shared" si="258"/>
        <v>0</v>
      </c>
      <c r="E870" s="1">
        <f t="shared" si="259"/>
        <v>0</v>
      </c>
      <c r="F870" s="1">
        <f t="shared" si="260"/>
        <v>0</v>
      </c>
      <c r="G870" s="1" t="str">
        <f t="shared" si="261"/>
        <v>25040508</v>
      </c>
      <c r="H870" s="2">
        <v>45752</v>
      </c>
      <c r="I870" s="113">
        <v>8</v>
      </c>
      <c r="J870" s="1" t="str">
        <f t="shared" si="250"/>
        <v>08</v>
      </c>
      <c r="K870" s="3">
        <f t="shared" si="251"/>
        <v>25</v>
      </c>
      <c r="L870" s="3">
        <f t="shared" si="252"/>
        <v>4</v>
      </c>
      <c r="M870" s="3">
        <f t="shared" si="253"/>
        <v>5</v>
      </c>
      <c r="N870" s="3" t="str">
        <f t="shared" si="254"/>
        <v>04</v>
      </c>
      <c r="O870" s="14" t="str">
        <f t="shared" si="255"/>
        <v>05</v>
      </c>
      <c r="P870" s="4">
        <v>132000</v>
      </c>
      <c r="T870" s="23" t="s">
        <v>1591</v>
      </c>
      <c r="U870" s="3" t="s">
        <v>1342</v>
      </c>
      <c r="V870" s="3" t="s">
        <v>5</v>
      </c>
      <c r="W870" s="3" t="s">
        <v>1306</v>
      </c>
      <c r="X870" s="1" t="s">
        <v>1302</v>
      </c>
    </row>
    <row r="871" spans="1:24">
      <c r="A871" s="143">
        <v>820</v>
      </c>
      <c r="B871" s="1">
        <f t="shared" si="256"/>
        <v>0</v>
      </c>
      <c r="C871" s="1">
        <f t="shared" si="257"/>
        <v>0</v>
      </c>
      <c r="D871" s="1">
        <f t="shared" si="258"/>
        <v>0</v>
      </c>
      <c r="E871" s="1">
        <f t="shared" si="259"/>
        <v>0</v>
      </c>
      <c r="F871" s="1">
        <f t="shared" si="260"/>
        <v>0</v>
      </c>
      <c r="G871" s="1" t="str">
        <f t="shared" si="261"/>
        <v>25040509</v>
      </c>
      <c r="H871" s="2">
        <v>45752</v>
      </c>
      <c r="I871" s="113">
        <v>9</v>
      </c>
      <c r="J871" s="1" t="str">
        <f t="shared" si="250"/>
        <v>09</v>
      </c>
      <c r="K871" s="3">
        <f t="shared" si="251"/>
        <v>25</v>
      </c>
      <c r="L871" s="3">
        <f t="shared" si="252"/>
        <v>4</v>
      </c>
      <c r="M871" s="3">
        <f t="shared" si="253"/>
        <v>5</v>
      </c>
      <c r="N871" s="3" t="str">
        <f t="shared" si="254"/>
        <v>04</v>
      </c>
      <c r="O871" s="14" t="str">
        <f t="shared" si="255"/>
        <v>05</v>
      </c>
      <c r="P871" s="4">
        <v>108000</v>
      </c>
      <c r="T871" s="23" t="s">
        <v>1590</v>
      </c>
      <c r="U871" s="3" t="s">
        <v>1342</v>
      </c>
      <c r="V871" s="3" t="s">
        <v>5</v>
      </c>
      <c r="W871" s="3" t="s">
        <v>1306</v>
      </c>
      <c r="X871" s="1" t="s">
        <v>1302</v>
      </c>
    </row>
    <row r="872" spans="1:24">
      <c r="A872" s="143">
        <v>821</v>
      </c>
      <c r="B872" s="1">
        <f t="shared" si="256"/>
        <v>0</v>
      </c>
      <c r="C872" s="1">
        <f t="shared" si="257"/>
        <v>0</v>
      </c>
      <c r="D872" s="1">
        <f t="shared" si="258"/>
        <v>0</v>
      </c>
      <c r="E872" s="1">
        <f t="shared" si="259"/>
        <v>0</v>
      </c>
      <c r="F872" s="1">
        <f t="shared" si="260"/>
        <v>0</v>
      </c>
      <c r="G872" s="1" t="str">
        <f t="shared" si="261"/>
        <v>25040510</v>
      </c>
      <c r="H872" s="2">
        <v>45752</v>
      </c>
      <c r="I872" s="113">
        <v>10</v>
      </c>
      <c r="J872" s="1">
        <f t="shared" si="250"/>
        <v>10</v>
      </c>
      <c r="K872" s="3">
        <f t="shared" si="251"/>
        <v>25</v>
      </c>
      <c r="L872" s="3">
        <f t="shared" si="252"/>
        <v>4</v>
      </c>
      <c r="M872" s="3">
        <f t="shared" si="253"/>
        <v>5</v>
      </c>
      <c r="N872" s="3" t="str">
        <f t="shared" si="254"/>
        <v>04</v>
      </c>
      <c r="O872" s="14" t="str">
        <f t="shared" si="255"/>
        <v>05</v>
      </c>
      <c r="P872" s="4">
        <v>108000</v>
      </c>
      <c r="T872" s="23" t="s">
        <v>1589</v>
      </c>
      <c r="U872" s="3" t="s">
        <v>1342</v>
      </c>
      <c r="V872" s="3" t="s">
        <v>5</v>
      </c>
      <c r="W872" s="3" t="s">
        <v>1306</v>
      </c>
      <c r="X872" s="1" t="s">
        <v>1302</v>
      </c>
    </row>
    <row r="873" spans="1:24">
      <c r="A873" s="143">
        <v>822</v>
      </c>
      <c r="B873" s="1">
        <f t="shared" si="256"/>
        <v>0</v>
      </c>
      <c r="C873" s="1">
        <f t="shared" si="257"/>
        <v>0</v>
      </c>
      <c r="D873" s="1">
        <f t="shared" si="258"/>
        <v>0</v>
      </c>
      <c r="E873" s="1">
        <f t="shared" si="259"/>
        <v>0</v>
      </c>
      <c r="F873" s="1">
        <f t="shared" si="260"/>
        <v>0</v>
      </c>
      <c r="G873" s="1" t="str">
        <f t="shared" si="261"/>
        <v>25040511</v>
      </c>
      <c r="H873" s="2">
        <v>45752</v>
      </c>
      <c r="I873" s="113">
        <v>11</v>
      </c>
      <c r="J873" s="1">
        <f t="shared" si="250"/>
        <v>11</v>
      </c>
      <c r="K873" s="3">
        <f t="shared" si="251"/>
        <v>25</v>
      </c>
      <c r="L873" s="3">
        <f t="shared" si="252"/>
        <v>4</v>
      </c>
      <c r="M873" s="3">
        <f t="shared" si="253"/>
        <v>5</v>
      </c>
      <c r="N873" s="3" t="str">
        <f t="shared" si="254"/>
        <v>04</v>
      </c>
      <c r="O873" s="14" t="str">
        <f t="shared" si="255"/>
        <v>05</v>
      </c>
      <c r="P873" s="4">
        <v>132000</v>
      </c>
      <c r="T873" s="23" t="s">
        <v>1588</v>
      </c>
      <c r="U873" s="3" t="s">
        <v>1342</v>
      </c>
      <c r="V873" s="3" t="s">
        <v>5</v>
      </c>
      <c r="W873" s="3" t="s">
        <v>1306</v>
      </c>
      <c r="X873" s="1" t="s">
        <v>1302</v>
      </c>
    </row>
    <row r="874" spans="1:24">
      <c r="A874" s="143">
        <v>823</v>
      </c>
      <c r="B874" s="1">
        <f t="shared" si="256"/>
        <v>0</v>
      </c>
      <c r="C874" s="1">
        <f t="shared" si="257"/>
        <v>0</v>
      </c>
      <c r="D874" s="1">
        <f t="shared" si="258"/>
        <v>0</v>
      </c>
      <c r="E874" s="1">
        <f t="shared" si="259"/>
        <v>0</v>
      </c>
      <c r="F874" s="1">
        <f t="shared" si="260"/>
        <v>0</v>
      </c>
      <c r="G874" s="1" t="str">
        <f t="shared" si="261"/>
        <v>25040512</v>
      </c>
      <c r="H874" s="2">
        <v>45752</v>
      </c>
      <c r="I874" s="113">
        <v>12</v>
      </c>
      <c r="J874" s="1">
        <f t="shared" si="250"/>
        <v>12</v>
      </c>
      <c r="K874" s="3">
        <f t="shared" si="251"/>
        <v>25</v>
      </c>
      <c r="L874" s="3">
        <f t="shared" si="252"/>
        <v>4</v>
      </c>
      <c r="M874" s="3">
        <f t="shared" si="253"/>
        <v>5</v>
      </c>
      <c r="N874" s="3" t="str">
        <f t="shared" si="254"/>
        <v>04</v>
      </c>
      <c r="O874" s="14" t="str">
        <f t="shared" si="255"/>
        <v>05</v>
      </c>
      <c r="P874" s="4">
        <v>112948.73</v>
      </c>
      <c r="T874" s="23" t="s">
        <v>1587</v>
      </c>
      <c r="U874" s="3" t="s">
        <v>1342</v>
      </c>
      <c r="V874" s="3" t="s">
        <v>5</v>
      </c>
      <c r="W874" s="3" t="s">
        <v>1306</v>
      </c>
      <c r="X874" s="1" t="s">
        <v>1302</v>
      </c>
    </row>
    <row r="875" spans="1:24">
      <c r="A875" s="143">
        <v>824</v>
      </c>
      <c r="B875" s="1">
        <f t="shared" si="256"/>
        <v>0</v>
      </c>
      <c r="C875" s="1">
        <f t="shared" si="257"/>
        <v>0</v>
      </c>
      <c r="D875" s="1">
        <f t="shared" si="258"/>
        <v>0</v>
      </c>
      <c r="E875" s="1">
        <f t="shared" si="259"/>
        <v>0</v>
      </c>
      <c r="F875" s="1">
        <f t="shared" si="260"/>
        <v>0</v>
      </c>
      <c r="G875" s="1" t="str">
        <f t="shared" si="261"/>
        <v>25040513</v>
      </c>
      <c r="H875" s="2">
        <v>45752</v>
      </c>
      <c r="I875" s="113">
        <v>13</v>
      </c>
      <c r="J875" s="1">
        <f t="shared" si="250"/>
        <v>13</v>
      </c>
      <c r="K875" s="3">
        <f t="shared" si="251"/>
        <v>25</v>
      </c>
      <c r="L875" s="3">
        <f t="shared" si="252"/>
        <v>4</v>
      </c>
      <c r="M875" s="3">
        <f t="shared" si="253"/>
        <v>5</v>
      </c>
      <c r="N875" s="3" t="str">
        <f t="shared" si="254"/>
        <v>04</v>
      </c>
      <c r="O875" s="14" t="str">
        <f t="shared" si="255"/>
        <v>05</v>
      </c>
      <c r="P875" s="4">
        <v>65030.76</v>
      </c>
      <c r="T875" s="23" t="s">
        <v>1586</v>
      </c>
      <c r="U875" s="3" t="s">
        <v>1342</v>
      </c>
      <c r="V875" s="3" t="s">
        <v>5</v>
      </c>
      <c r="W875" s="3" t="s">
        <v>1306</v>
      </c>
      <c r="X875" s="1" t="s">
        <v>1302</v>
      </c>
    </row>
    <row r="876" spans="1:24">
      <c r="A876" s="143">
        <v>825</v>
      </c>
      <c r="B876" s="1">
        <f t="shared" si="256"/>
        <v>0</v>
      </c>
      <c r="C876" s="1">
        <f t="shared" si="257"/>
        <v>0</v>
      </c>
      <c r="D876" s="1">
        <f t="shared" si="258"/>
        <v>0</v>
      </c>
      <c r="E876" s="1">
        <f t="shared" si="259"/>
        <v>0</v>
      </c>
      <c r="F876" s="1">
        <f t="shared" si="260"/>
        <v>0</v>
      </c>
      <c r="G876" s="1" t="str">
        <f t="shared" si="261"/>
        <v>25040514</v>
      </c>
      <c r="H876" s="2">
        <v>45752</v>
      </c>
      <c r="I876" s="113">
        <v>14</v>
      </c>
      <c r="J876" s="1">
        <f t="shared" si="250"/>
        <v>14</v>
      </c>
      <c r="K876" s="3">
        <f t="shared" si="251"/>
        <v>25</v>
      </c>
      <c r="L876" s="3">
        <f t="shared" si="252"/>
        <v>4</v>
      </c>
      <c r="M876" s="3">
        <f t="shared" si="253"/>
        <v>5</v>
      </c>
      <c r="N876" s="3" t="str">
        <f t="shared" si="254"/>
        <v>04</v>
      </c>
      <c r="O876" s="14" t="str">
        <f t="shared" si="255"/>
        <v>05</v>
      </c>
      <c r="P876" s="4">
        <v>232772.31</v>
      </c>
      <c r="T876" s="23" t="s">
        <v>1585</v>
      </c>
      <c r="U876" s="3" t="s">
        <v>1342</v>
      </c>
      <c r="V876" s="3" t="s">
        <v>5</v>
      </c>
      <c r="W876" s="3" t="s">
        <v>1306</v>
      </c>
      <c r="X876" s="1" t="s">
        <v>1302</v>
      </c>
    </row>
    <row r="877" spans="1:24">
      <c r="A877" s="143">
        <v>826</v>
      </c>
      <c r="B877" s="1">
        <f t="shared" si="256"/>
        <v>0</v>
      </c>
      <c r="C877" s="1">
        <f t="shared" si="257"/>
        <v>0</v>
      </c>
      <c r="D877" s="1">
        <f t="shared" si="258"/>
        <v>0</v>
      </c>
      <c r="E877" s="1">
        <f t="shared" si="259"/>
        <v>0</v>
      </c>
      <c r="F877" s="1">
        <f t="shared" si="260"/>
        <v>0</v>
      </c>
      <c r="G877" s="1" t="str">
        <f t="shared" si="261"/>
        <v>25040515</v>
      </c>
      <c r="H877" s="2">
        <v>45752</v>
      </c>
      <c r="I877" s="113">
        <v>15</v>
      </c>
      <c r="J877" s="1">
        <f t="shared" si="250"/>
        <v>15</v>
      </c>
      <c r="K877" s="3">
        <f t="shared" si="251"/>
        <v>25</v>
      </c>
      <c r="L877" s="3">
        <f t="shared" si="252"/>
        <v>4</v>
      </c>
      <c r="M877" s="3">
        <f t="shared" si="253"/>
        <v>5</v>
      </c>
      <c r="N877" s="3" t="str">
        <f t="shared" si="254"/>
        <v>04</v>
      </c>
      <c r="O877" s="14" t="str">
        <f t="shared" si="255"/>
        <v>05</v>
      </c>
      <c r="P877" s="4">
        <v>252000</v>
      </c>
      <c r="T877" s="23" t="s">
        <v>1584</v>
      </c>
      <c r="U877" s="3" t="s">
        <v>1342</v>
      </c>
      <c r="V877" s="3" t="s">
        <v>5</v>
      </c>
      <c r="W877" s="3" t="s">
        <v>1306</v>
      </c>
      <c r="X877" s="1" t="s">
        <v>1302</v>
      </c>
    </row>
    <row r="878" spans="1:24">
      <c r="A878" s="143">
        <v>827</v>
      </c>
      <c r="B878" s="1">
        <f t="shared" si="256"/>
        <v>0</v>
      </c>
      <c r="C878" s="1">
        <f t="shared" si="257"/>
        <v>0</v>
      </c>
      <c r="D878" s="1">
        <f t="shared" si="258"/>
        <v>0</v>
      </c>
      <c r="E878" s="1">
        <f t="shared" si="259"/>
        <v>0</v>
      </c>
      <c r="F878" s="1">
        <f t="shared" si="260"/>
        <v>0</v>
      </c>
      <c r="G878" s="1" t="str">
        <f t="shared" si="261"/>
        <v>25040516</v>
      </c>
      <c r="H878" s="2">
        <v>45752</v>
      </c>
      <c r="I878" s="113">
        <v>16</v>
      </c>
      <c r="J878" s="1">
        <f t="shared" si="250"/>
        <v>16</v>
      </c>
      <c r="K878" s="3">
        <f t="shared" si="251"/>
        <v>25</v>
      </c>
      <c r="L878" s="3">
        <f t="shared" si="252"/>
        <v>4</v>
      </c>
      <c r="M878" s="3">
        <f t="shared" si="253"/>
        <v>5</v>
      </c>
      <c r="N878" s="3" t="str">
        <f t="shared" si="254"/>
        <v>04</v>
      </c>
      <c r="O878" s="14" t="str">
        <f t="shared" si="255"/>
        <v>05</v>
      </c>
      <c r="P878" s="4">
        <v>90000</v>
      </c>
      <c r="T878" s="23" t="s">
        <v>1583</v>
      </c>
      <c r="U878" s="3" t="s">
        <v>1342</v>
      </c>
      <c r="V878" s="3" t="s">
        <v>5</v>
      </c>
      <c r="W878" s="3" t="s">
        <v>1306</v>
      </c>
      <c r="X878" s="1" t="s">
        <v>1302</v>
      </c>
    </row>
    <row r="879" spans="1:24">
      <c r="A879" s="143">
        <v>828</v>
      </c>
      <c r="B879" s="1">
        <f t="shared" si="256"/>
        <v>0</v>
      </c>
      <c r="C879" s="1">
        <f t="shared" si="257"/>
        <v>0</v>
      </c>
      <c r="D879" s="1">
        <f t="shared" si="258"/>
        <v>0</v>
      </c>
      <c r="E879" s="1">
        <f t="shared" si="259"/>
        <v>0</v>
      </c>
      <c r="F879" s="1">
        <f t="shared" si="260"/>
        <v>0</v>
      </c>
      <c r="G879" s="1" t="str">
        <f t="shared" si="261"/>
        <v>25040517</v>
      </c>
      <c r="H879" s="2">
        <v>45752</v>
      </c>
      <c r="I879" s="113">
        <v>17</v>
      </c>
      <c r="J879" s="1">
        <f t="shared" si="250"/>
        <v>17</v>
      </c>
      <c r="K879" s="3">
        <f t="shared" si="251"/>
        <v>25</v>
      </c>
      <c r="L879" s="3">
        <f t="shared" si="252"/>
        <v>4</v>
      </c>
      <c r="M879" s="3">
        <f t="shared" si="253"/>
        <v>5</v>
      </c>
      <c r="N879" s="3" t="str">
        <f t="shared" si="254"/>
        <v>04</v>
      </c>
      <c r="O879" s="14" t="str">
        <f t="shared" si="255"/>
        <v>05</v>
      </c>
      <c r="P879" s="4">
        <v>150000</v>
      </c>
      <c r="T879" s="23" t="s">
        <v>1582</v>
      </c>
      <c r="U879" s="3" t="s">
        <v>1342</v>
      </c>
      <c r="V879" s="3" t="s">
        <v>5</v>
      </c>
      <c r="W879" s="3" t="s">
        <v>1306</v>
      </c>
      <c r="X879" s="1" t="s">
        <v>1302</v>
      </c>
    </row>
    <row r="880" spans="1:24" hidden="1">
      <c r="A880" s="143">
        <v>873</v>
      </c>
      <c r="B880" s="1">
        <f t="shared" si="256"/>
        <v>0</v>
      </c>
      <c r="C880" s="1">
        <f t="shared" si="257"/>
        <v>0</v>
      </c>
      <c r="D880" s="1">
        <f t="shared" si="258"/>
        <v>0</v>
      </c>
      <c r="E880" s="1">
        <f t="shared" si="259"/>
        <v>0</v>
      </c>
      <c r="F880" s="1">
        <f t="shared" si="260"/>
        <v>0</v>
      </c>
      <c r="G880" s="1" t="str">
        <f t="shared" si="261"/>
        <v>25040518</v>
      </c>
      <c r="H880" s="2">
        <v>45752</v>
      </c>
      <c r="I880" s="113">
        <v>18</v>
      </c>
      <c r="J880" s="1">
        <f t="shared" si="250"/>
        <v>18</v>
      </c>
      <c r="K880" s="3">
        <f t="shared" si="251"/>
        <v>25</v>
      </c>
      <c r="L880" s="3">
        <f t="shared" si="252"/>
        <v>4</v>
      </c>
      <c r="M880" s="3">
        <f t="shared" si="253"/>
        <v>5</v>
      </c>
      <c r="N880" s="3" t="str">
        <f t="shared" si="254"/>
        <v>04</v>
      </c>
      <c r="O880" s="14" t="str">
        <f t="shared" si="255"/>
        <v>05</v>
      </c>
      <c r="P880" s="4">
        <v>9290</v>
      </c>
      <c r="T880" s="5" t="s">
        <v>1581</v>
      </c>
      <c r="U880" s="3" t="s">
        <v>29</v>
      </c>
      <c r="V880" s="3" t="s">
        <v>5</v>
      </c>
      <c r="W880" s="3" t="s">
        <v>1307</v>
      </c>
      <c r="X880" s="1" t="s">
        <v>1305</v>
      </c>
    </row>
    <row r="881" spans="1:24" hidden="1">
      <c r="A881" s="143">
        <v>879</v>
      </c>
      <c r="B881" s="1">
        <f t="shared" si="256"/>
        <v>0</v>
      </c>
      <c r="C881" s="1">
        <f t="shared" si="257"/>
        <v>0</v>
      </c>
      <c r="D881" s="1">
        <f t="shared" si="258"/>
        <v>0</v>
      </c>
      <c r="E881" s="1">
        <f t="shared" si="259"/>
        <v>0</v>
      </c>
      <c r="F881" s="1">
        <f t="shared" si="260"/>
        <v>0</v>
      </c>
      <c r="G881" s="1" t="str">
        <f t="shared" si="261"/>
        <v>25040519</v>
      </c>
      <c r="H881" s="2">
        <v>45752</v>
      </c>
      <c r="I881" s="113">
        <v>19</v>
      </c>
      <c r="J881" s="1">
        <f t="shared" si="250"/>
        <v>19</v>
      </c>
      <c r="K881" s="3">
        <f t="shared" si="251"/>
        <v>25</v>
      </c>
      <c r="L881" s="3">
        <f t="shared" si="252"/>
        <v>4</v>
      </c>
      <c r="M881" s="3">
        <f t="shared" si="253"/>
        <v>5</v>
      </c>
      <c r="N881" s="3" t="str">
        <f t="shared" si="254"/>
        <v>04</v>
      </c>
      <c r="O881" s="14" t="str">
        <f t="shared" si="255"/>
        <v>05</v>
      </c>
      <c r="P881" s="4">
        <v>52624.27</v>
      </c>
      <c r="T881" s="5" t="s">
        <v>1580</v>
      </c>
      <c r="U881" s="3" t="s">
        <v>29</v>
      </c>
      <c r="V881" s="3" t="s">
        <v>5</v>
      </c>
      <c r="W881" s="3" t="s">
        <v>1309</v>
      </c>
      <c r="X881" s="1" t="s">
        <v>1305</v>
      </c>
    </row>
    <row r="882" spans="1:24" hidden="1">
      <c r="A882" s="143">
        <v>978</v>
      </c>
      <c r="B882" s="1">
        <f t="shared" si="256"/>
        <v>0</v>
      </c>
      <c r="C882" s="1">
        <f t="shared" si="257"/>
        <v>0</v>
      </c>
      <c r="D882" s="1">
        <f t="shared" si="258"/>
        <v>0</v>
      </c>
      <c r="E882" s="1">
        <f t="shared" si="259"/>
        <v>0</v>
      </c>
      <c r="F882" s="1">
        <f t="shared" si="260"/>
        <v>0</v>
      </c>
      <c r="G882" s="1" t="str">
        <f t="shared" si="261"/>
        <v>25040520</v>
      </c>
      <c r="H882" s="2">
        <v>45752</v>
      </c>
      <c r="I882" s="113">
        <v>20</v>
      </c>
      <c r="J882" s="1">
        <f t="shared" si="250"/>
        <v>20</v>
      </c>
      <c r="K882" s="3">
        <f t="shared" si="251"/>
        <v>25</v>
      </c>
      <c r="L882" s="3">
        <f t="shared" si="252"/>
        <v>4</v>
      </c>
      <c r="M882" s="3">
        <f t="shared" si="253"/>
        <v>5</v>
      </c>
      <c r="N882" s="3" t="str">
        <f t="shared" si="254"/>
        <v>04</v>
      </c>
      <c r="O882" s="14" t="str">
        <f t="shared" si="255"/>
        <v>05</v>
      </c>
      <c r="P882" s="4">
        <v>15237.58</v>
      </c>
      <c r="T882" s="5" t="s">
        <v>1400</v>
      </c>
      <c r="U882" s="3" t="s">
        <v>1310</v>
      </c>
      <c r="V882" s="3" t="s">
        <v>1304</v>
      </c>
      <c r="W882" s="3" t="s">
        <v>1309</v>
      </c>
      <c r="X882" s="1" t="s">
        <v>1305</v>
      </c>
    </row>
    <row r="883" spans="1:24" hidden="1">
      <c r="A883" s="143">
        <v>772</v>
      </c>
      <c r="B883" s="1">
        <f t="shared" si="256"/>
        <v>0</v>
      </c>
      <c r="C883" s="1">
        <f t="shared" si="257"/>
        <v>0</v>
      </c>
      <c r="D883" s="1">
        <f t="shared" si="258"/>
        <v>0</v>
      </c>
      <c r="E883" s="1">
        <f t="shared" si="259"/>
        <v>0</v>
      </c>
      <c r="F883" s="1">
        <f t="shared" si="260"/>
        <v>0</v>
      </c>
      <c r="G883" s="1" t="str">
        <f t="shared" si="261"/>
        <v>25040601</v>
      </c>
      <c r="H883" s="2">
        <v>45753</v>
      </c>
      <c r="I883" s="113">
        <v>1</v>
      </c>
      <c r="J883" s="1" t="str">
        <f t="shared" si="250"/>
        <v>01</v>
      </c>
      <c r="K883" s="3">
        <f t="shared" si="251"/>
        <v>25</v>
      </c>
      <c r="L883" s="3">
        <f t="shared" si="252"/>
        <v>4</v>
      </c>
      <c r="M883" s="3">
        <f t="shared" si="253"/>
        <v>6</v>
      </c>
      <c r="N883" s="3" t="str">
        <f t="shared" si="254"/>
        <v>04</v>
      </c>
      <c r="O883" s="14" t="str">
        <f t="shared" si="255"/>
        <v>06</v>
      </c>
      <c r="P883" s="4">
        <v>28406.41</v>
      </c>
      <c r="T883" s="5" t="s">
        <v>1579</v>
      </c>
      <c r="U883" s="3" t="s">
        <v>3</v>
      </c>
      <c r="V883" s="3" t="s">
        <v>5</v>
      </c>
      <c r="W883" s="3" t="s">
        <v>1306</v>
      </c>
      <c r="X883" s="1" t="s">
        <v>1305</v>
      </c>
    </row>
    <row r="884" spans="1:24" hidden="1">
      <c r="A884" s="143"/>
      <c r="J884" s="1" t="str">
        <f t="shared" si="250"/>
        <v>0</v>
      </c>
      <c r="K884" s="3">
        <f t="shared" si="251"/>
        <v>-100</v>
      </c>
      <c r="L884" s="3">
        <f t="shared" si="252"/>
        <v>1</v>
      </c>
      <c r="M884" s="3">
        <f t="shared" si="253"/>
        <v>0</v>
      </c>
      <c r="N884" s="3" t="str">
        <f t="shared" si="254"/>
        <v>01</v>
      </c>
      <c r="O884" s="14" t="str">
        <f t="shared" si="255"/>
        <v>00</v>
      </c>
    </row>
    <row r="885" spans="1:24" hidden="1">
      <c r="A885" s="143">
        <v>848</v>
      </c>
      <c r="B885" s="1">
        <f>IF(G885="-",0,IF(G884=G885,1,0))</f>
        <v>0</v>
      </c>
      <c r="C885" s="1">
        <f>+IF(G885="-",0,IF(I885=I884+1,0,(IF(I885=1,0,1))))</f>
        <v>1</v>
      </c>
      <c r="D885" s="1">
        <f>+IF(AND(P885="",Q885=""),1,0)</f>
        <v>0</v>
      </c>
      <c r="E885" s="1">
        <f t="shared" ref="E885:F889" si="262">IF(U885="",1,0)</f>
        <v>0</v>
      </c>
      <c r="F885" s="1">
        <f t="shared" si="262"/>
        <v>0</v>
      </c>
      <c r="G885" s="1" t="str">
        <f>IF(H885=0,"-",_xlfn.CONCAT(K885,N885,O885,J885))</f>
        <v>25040603</v>
      </c>
      <c r="H885" s="2">
        <v>45753</v>
      </c>
      <c r="I885" s="113">
        <v>3</v>
      </c>
      <c r="J885" s="1" t="str">
        <f t="shared" si="250"/>
        <v>03</v>
      </c>
      <c r="K885" s="3">
        <f t="shared" si="251"/>
        <v>25</v>
      </c>
      <c r="L885" s="3">
        <f t="shared" si="252"/>
        <v>4</v>
      </c>
      <c r="M885" s="3">
        <f t="shared" si="253"/>
        <v>6</v>
      </c>
      <c r="N885" s="3" t="str">
        <f t="shared" si="254"/>
        <v>04</v>
      </c>
      <c r="O885" s="14" t="str">
        <f t="shared" si="255"/>
        <v>06</v>
      </c>
      <c r="P885" s="4">
        <v>7828.05</v>
      </c>
      <c r="T885" s="5" t="s">
        <v>1578</v>
      </c>
      <c r="U885" s="3" t="s">
        <v>305</v>
      </c>
      <c r="V885" s="3" t="s">
        <v>1304</v>
      </c>
      <c r="W885" s="3" t="s">
        <v>1306</v>
      </c>
      <c r="X885" s="1" t="s">
        <v>1302</v>
      </c>
    </row>
    <row r="886" spans="1:24" hidden="1">
      <c r="A886" s="143">
        <v>849</v>
      </c>
      <c r="B886" s="1">
        <f>IF(G886="-",0,IF(G885=G886,1,0))</f>
        <v>0</v>
      </c>
      <c r="C886" s="1">
        <f>+IF(G886="-",0,IF(I886=I885+1,0,(IF(I886=1,0,1))))</f>
        <v>0</v>
      </c>
      <c r="D886" s="1">
        <f>+IF(AND(P886="",Q886=""),1,0)</f>
        <v>0</v>
      </c>
      <c r="E886" s="1">
        <f t="shared" si="262"/>
        <v>0</v>
      </c>
      <c r="F886" s="1">
        <f t="shared" si="262"/>
        <v>0</v>
      </c>
      <c r="G886" s="1" t="str">
        <f>IF(H886=0,"-",_xlfn.CONCAT(K886,N886,O886,J886))</f>
        <v>25040604</v>
      </c>
      <c r="H886" s="2">
        <v>45753</v>
      </c>
      <c r="I886" s="113">
        <v>4</v>
      </c>
      <c r="J886" s="1" t="str">
        <f t="shared" si="250"/>
        <v>04</v>
      </c>
      <c r="K886" s="3">
        <f t="shared" si="251"/>
        <v>25</v>
      </c>
      <c r="L886" s="3">
        <f t="shared" si="252"/>
        <v>4</v>
      </c>
      <c r="M886" s="3">
        <f t="shared" si="253"/>
        <v>6</v>
      </c>
      <c r="N886" s="3" t="str">
        <f t="shared" si="254"/>
        <v>04</v>
      </c>
      <c r="O886" s="14" t="str">
        <f t="shared" si="255"/>
        <v>06</v>
      </c>
      <c r="P886" s="4">
        <v>7989.45</v>
      </c>
      <c r="T886" s="5" t="s">
        <v>1577</v>
      </c>
      <c r="U886" s="3" t="s">
        <v>305</v>
      </c>
      <c r="V886" s="3" t="s">
        <v>1304</v>
      </c>
      <c r="W886" s="3" t="s">
        <v>1306</v>
      </c>
      <c r="X886" s="1" t="s">
        <v>1302</v>
      </c>
    </row>
    <row r="887" spans="1:24" hidden="1">
      <c r="A887" s="143">
        <v>850</v>
      </c>
      <c r="B887" s="1">
        <f>IF(G887="-",0,IF(G886=G887,1,0))</f>
        <v>0</v>
      </c>
      <c r="C887" s="1">
        <f>+IF(G887="-",0,IF(I887=I886+1,0,(IF(I887=1,0,1))))</f>
        <v>0</v>
      </c>
      <c r="D887" s="1">
        <f>+IF(AND(P887="",Q887=""),1,0)</f>
        <v>0</v>
      </c>
      <c r="E887" s="1">
        <f t="shared" si="262"/>
        <v>0</v>
      </c>
      <c r="F887" s="1">
        <f t="shared" si="262"/>
        <v>0</v>
      </c>
      <c r="G887" s="1" t="str">
        <f>IF(H887=0,"-",_xlfn.CONCAT(K887,N887,O887,J887))</f>
        <v>25040605</v>
      </c>
      <c r="H887" s="2">
        <v>45753</v>
      </c>
      <c r="I887" s="113">
        <v>5</v>
      </c>
      <c r="J887" s="1" t="str">
        <f t="shared" si="250"/>
        <v>05</v>
      </c>
      <c r="K887" s="3">
        <f t="shared" si="251"/>
        <v>25</v>
      </c>
      <c r="L887" s="3">
        <f t="shared" si="252"/>
        <v>4</v>
      </c>
      <c r="M887" s="3">
        <f t="shared" si="253"/>
        <v>6</v>
      </c>
      <c r="N887" s="3" t="str">
        <f t="shared" si="254"/>
        <v>04</v>
      </c>
      <c r="O887" s="14" t="str">
        <f t="shared" si="255"/>
        <v>06</v>
      </c>
      <c r="P887" s="4">
        <v>41580.449999999997</v>
      </c>
      <c r="T887" s="5" t="s">
        <v>1576</v>
      </c>
      <c r="U887" s="3" t="s">
        <v>305</v>
      </c>
      <c r="V887" s="3" t="s">
        <v>1304</v>
      </c>
      <c r="W887" s="3" t="s">
        <v>1306</v>
      </c>
      <c r="X887" s="1" t="s">
        <v>1302</v>
      </c>
    </row>
    <row r="888" spans="1:24" hidden="1">
      <c r="A888" s="143">
        <v>874</v>
      </c>
      <c r="B888" s="1">
        <f>IF(G888="-",0,IF(G887=G888,1,0))</f>
        <v>0</v>
      </c>
      <c r="C888" s="1">
        <f>+IF(G888="-",0,IF(I888=I887+1,0,(IF(I888=1,0,1))))</f>
        <v>0</v>
      </c>
      <c r="D888" s="1">
        <f>+IF(AND(P888="",Q888=""),1,0)</f>
        <v>0</v>
      </c>
      <c r="E888" s="1">
        <f t="shared" si="262"/>
        <v>0</v>
      </c>
      <c r="F888" s="1">
        <f t="shared" si="262"/>
        <v>0</v>
      </c>
      <c r="G888" s="1" t="str">
        <f>IF(H888=0,"-",_xlfn.CONCAT(K888,N888,O888,J888))</f>
        <v>25040606</v>
      </c>
      <c r="H888" s="2">
        <v>45753</v>
      </c>
      <c r="I888" s="113">
        <v>6</v>
      </c>
      <c r="J888" s="1" t="str">
        <f t="shared" si="250"/>
        <v>06</v>
      </c>
      <c r="K888" s="3">
        <f t="shared" si="251"/>
        <v>25</v>
      </c>
      <c r="L888" s="3">
        <f t="shared" si="252"/>
        <v>4</v>
      </c>
      <c r="M888" s="3">
        <f t="shared" si="253"/>
        <v>6</v>
      </c>
      <c r="N888" s="3" t="str">
        <f t="shared" si="254"/>
        <v>04</v>
      </c>
      <c r="O888" s="14" t="str">
        <f t="shared" si="255"/>
        <v>06</v>
      </c>
      <c r="P888" s="4">
        <v>41924.5</v>
      </c>
      <c r="T888" s="5" t="s">
        <v>352</v>
      </c>
      <c r="U888" s="3" t="s">
        <v>30</v>
      </c>
      <c r="V888" s="3" t="s">
        <v>1312</v>
      </c>
      <c r="W888" s="3" t="s">
        <v>1307</v>
      </c>
      <c r="X888" s="1" t="s">
        <v>1305</v>
      </c>
    </row>
    <row r="889" spans="1:24" hidden="1">
      <c r="A889" s="143">
        <v>875</v>
      </c>
      <c r="B889" s="1">
        <f>IF(G889="-",0,IF(G888=G889,1,0))</f>
        <v>0</v>
      </c>
      <c r="C889" s="1">
        <f>+IF(G889="-",0,IF(I889=I888+1,0,(IF(I889=1,0,1))))</f>
        <v>0</v>
      </c>
      <c r="D889" s="1">
        <f>+IF(AND(P889="",Q889=""),1,0)</f>
        <v>0</v>
      </c>
      <c r="E889" s="1">
        <f t="shared" si="262"/>
        <v>0</v>
      </c>
      <c r="F889" s="1">
        <f t="shared" si="262"/>
        <v>0</v>
      </c>
      <c r="G889" s="1" t="str">
        <f>IF(H889=0,"-",_xlfn.CONCAT(K889,N889,O889,J889))</f>
        <v>25040607</v>
      </c>
      <c r="H889" s="2">
        <v>45753</v>
      </c>
      <c r="I889" s="113">
        <v>7</v>
      </c>
      <c r="J889" s="1" t="str">
        <f t="shared" si="250"/>
        <v>07</v>
      </c>
      <c r="K889" s="3">
        <f t="shared" si="251"/>
        <v>25</v>
      </c>
      <c r="L889" s="3">
        <f t="shared" si="252"/>
        <v>4</v>
      </c>
      <c r="M889" s="3">
        <f t="shared" si="253"/>
        <v>6</v>
      </c>
      <c r="N889" s="3" t="str">
        <f t="shared" si="254"/>
        <v>04</v>
      </c>
      <c r="O889" s="14" t="str">
        <f t="shared" si="255"/>
        <v>06</v>
      </c>
      <c r="P889" s="4">
        <v>8900</v>
      </c>
      <c r="T889" s="5" t="s">
        <v>352</v>
      </c>
      <c r="U889" s="3" t="s">
        <v>30</v>
      </c>
      <c r="V889" s="3" t="s">
        <v>1312</v>
      </c>
      <c r="W889" s="3" t="s">
        <v>1307</v>
      </c>
      <c r="X889" s="1" t="s">
        <v>1305</v>
      </c>
    </row>
    <row r="890" spans="1:24" hidden="1">
      <c r="A890" s="143"/>
      <c r="J890" s="1" t="str">
        <f t="shared" si="250"/>
        <v>0</v>
      </c>
      <c r="K890" s="3">
        <f t="shared" si="251"/>
        <v>-100</v>
      </c>
      <c r="L890" s="3">
        <f t="shared" si="252"/>
        <v>1</v>
      </c>
      <c r="M890" s="3">
        <f t="shared" si="253"/>
        <v>0</v>
      </c>
      <c r="N890" s="3" t="str">
        <f t="shared" si="254"/>
        <v>01</v>
      </c>
      <c r="O890" s="14" t="str">
        <f t="shared" si="255"/>
        <v>00</v>
      </c>
    </row>
    <row r="891" spans="1:24" hidden="1">
      <c r="A891" s="143">
        <v>877</v>
      </c>
      <c r="B891" s="1">
        <f>IF(G891="-",0,IF(G890=G891,1,0))</f>
        <v>0</v>
      </c>
      <c r="C891" s="1">
        <f>+IF(G891="-",0,IF(I891=I890+1,0,(IF(I891=1,0,1))))</f>
        <v>1</v>
      </c>
      <c r="D891" s="1">
        <f>+IF(AND(P891="",Q891=""),1,0)</f>
        <v>0</v>
      </c>
      <c r="E891" s="1">
        <f t="shared" ref="E891:F893" si="263">IF(U891="",1,0)</f>
        <v>0</v>
      </c>
      <c r="F891" s="1">
        <f t="shared" si="263"/>
        <v>0</v>
      </c>
      <c r="G891" s="1" t="str">
        <f>IF(H891=0,"-",_xlfn.CONCAT(K891,N891,O891,J891))</f>
        <v>25040609</v>
      </c>
      <c r="H891" s="2">
        <v>45753</v>
      </c>
      <c r="I891" s="113">
        <v>9</v>
      </c>
      <c r="J891" s="1" t="str">
        <f t="shared" si="250"/>
        <v>09</v>
      </c>
      <c r="K891" s="3">
        <f t="shared" si="251"/>
        <v>25</v>
      </c>
      <c r="L891" s="3">
        <f t="shared" si="252"/>
        <v>4</v>
      </c>
      <c r="M891" s="3">
        <f t="shared" si="253"/>
        <v>6</v>
      </c>
      <c r="N891" s="3" t="str">
        <f t="shared" si="254"/>
        <v>04</v>
      </c>
      <c r="O891" s="14" t="str">
        <f t="shared" si="255"/>
        <v>06</v>
      </c>
      <c r="P891" s="4">
        <v>23549.72</v>
      </c>
      <c r="T891" s="5" t="s">
        <v>1575</v>
      </c>
      <c r="U891" s="3" t="s">
        <v>1310</v>
      </c>
      <c r="V891" s="3" t="s">
        <v>1304</v>
      </c>
      <c r="W891" s="3" t="s">
        <v>1309</v>
      </c>
      <c r="X891" s="1" t="s">
        <v>1305</v>
      </c>
    </row>
    <row r="892" spans="1:24" hidden="1">
      <c r="A892" s="143">
        <v>878</v>
      </c>
      <c r="B892" s="1">
        <f>IF(G892="-",0,IF(G891=G892,1,0))</f>
        <v>0</v>
      </c>
      <c r="C892" s="1">
        <f>+IF(G892="-",0,IF(I892=I891+1,0,(IF(I892=1,0,1))))</f>
        <v>0</v>
      </c>
      <c r="D892" s="1">
        <f>+IF(AND(P892="",Q892=""),1,0)</f>
        <v>0</v>
      </c>
      <c r="E892" s="1">
        <f t="shared" si="263"/>
        <v>0</v>
      </c>
      <c r="F892" s="1">
        <f t="shared" si="263"/>
        <v>0</v>
      </c>
      <c r="G892" s="1" t="str">
        <f>IF(H892=0,"-",_xlfn.CONCAT(K892,N892,O892,J892))</f>
        <v>25040610</v>
      </c>
      <c r="H892" s="2">
        <v>45753</v>
      </c>
      <c r="I892" s="113">
        <v>10</v>
      </c>
      <c r="J892" s="1">
        <f t="shared" si="250"/>
        <v>10</v>
      </c>
      <c r="K892" s="3">
        <f t="shared" si="251"/>
        <v>25</v>
      </c>
      <c r="L892" s="3">
        <f t="shared" si="252"/>
        <v>4</v>
      </c>
      <c r="M892" s="3">
        <f t="shared" si="253"/>
        <v>6</v>
      </c>
      <c r="N892" s="3" t="str">
        <f t="shared" si="254"/>
        <v>04</v>
      </c>
      <c r="O892" s="14" t="str">
        <f t="shared" si="255"/>
        <v>06</v>
      </c>
      <c r="P892" s="4">
        <v>28406.41</v>
      </c>
      <c r="T892" s="5" t="s">
        <v>1574</v>
      </c>
      <c r="U892" s="3" t="s">
        <v>305</v>
      </c>
      <c r="V892" s="3" t="s">
        <v>1304</v>
      </c>
      <c r="W892" s="3" t="s">
        <v>1306</v>
      </c>
      <c r="X892" s="1" t="s">
        <v>1305</v>
      </c>
    </row>
    <row r="893" spans="1:24" hidden="1">
      <c r="A893" s="143">
        <v>880</v>
      </c>
      <c r="B893" s="1">
        <f>IF(G893="-",0,IF(G892=G893,1,0))</f>
        <v>0</v>
      </c>
      <c r="C893" s="1">
        <f>+IF(G893="-",0,IF(I893=I892+1,0,(IF(I893=1,0,1))))</f>
        <v>0</v>
      </c>
      <c r="D893" s="1">
        <f>+IF(AND(P893="",Q893=""),1,0)</f>
        <v>0</v>
      </c>
      <c r="E893" s="1">
        <f t="shared" si="263"/>
        <v>0</v>
      </c>
      <c r="F893" s="1">
        <f t="shared" si="263"/>
        <v>0</v>
      </c>
      <c r="G893" s="1" t="str">
        <f>IF(H893=0,"-",_xlfn.CONCAT(K893,N893,O893,J893))</f>
        <v>25040611</v>
      </c>
      <c r="H893" s="2">
        <v>45753</v>
      </c>
      <c r="I893" s="113">
        <v>11</v>
      </c>
      <c r="J893" s="1">
        <f t="shared" si="250"/>
        <v>11</v>
      </c>
      <c r="K893" s="3">
        <f t="shared" si="251"/>
        <v>25</v>
      </c>
      <c r="L893" s="3">
        <f t="shared" si="252"/>
        <v>4</v>
      </c>
      <c r="M893" s="3">
        <f t="shared" si="253"/>
        <v>6</v>
      </c>
      <c r="N893" s="3" t="str">
        <f t="shared" si="254"/>
        <v>04</v>
      </c>
      <c r="O893" s="14" t="str">
        <f t="shared" si="255"/>
        <v>06</v>
      </c>
      <c r="P893" s="4">
        <v>10015</v>
      </c>
      <c r="T893" s="5" t="s">
        <v>1573</v>
      </c>
      <c r="U893" s="3" t="s">
        <v>1310</v>
      </c>
      <c r="V893" s="3" t="s">
        <v>1304</v>
      </c>
      <c r="W893" s="3" t="s">
        <v>1309</v>
      </c>
      <c r="X893" s="1" t="s">
        <v>1305</v>
      </c>
    </row>
    <row r="894" spans="1:24" hidden="1">
      <c r="A894" s="143"/>
      <c r="J894" s="1" t="str">
        <f t="shared" si="250"/>
        <v>0</v>
      </c>
      <c r="K894" s="3">
        <f t="shared" si="251"/>
        <v>-100</v>
      </c>
      <c r="L894" s="3">
        <f t="shared" si="252"/>
        <v>1</v>
      </c>
      <c r="M894" s="3">
        <f t="shared" si="253"/>
        <v>0</v>
      </c>
      <c r="N894" s="3" t="str">
        <f t="shared" si="254"/>
        <v>01</v>
      </c>
      <c r="O894" s="14" t="str">
        <f t="shared" si="255"/>
        <v>00</v>
      </c>
    </row>
    <row r="895" spans="1:24" hidden="1">
      <c r="A895" s="143">
        <v>881</v>
      </c>
      <c r="B895" s="1">
        <f>IF(G895="-",0,IF(G894=G895,1,0))</f>
        <v>0</v>
      </c>
      <c r="C895" s="1">
        <f>+IF(G895="-",0,IF(I895=I894+1,0,(IF(I895=1,0,1))))</f>
        <v>0</v>
      </c>
      <c r="D895" s="1">
        <f>+IF(AND(P895="",Q895=""),1,0)</f>
        <v>0</v>
      </c>
      <c r="E895" s="1">
        <f>IF(U895="",1,0)</f>
        <v>0</v>
      </c>
      <c r="F895" s="1">
        <f>IF(V895="",1,0)</f>
        <v>0</v>
      </c>
      <c r="G895" s="1" t="str">
        <f>IF(H895=0,"-",_xlfn.CONCAT(K895,N895,O895,J895))</f>
        <v>25040701</v>
      </c>
      <c r="H895" s="2">
        <v>45754</v>
      </c>
      <c r="I895" s="113">
        <v>1</v>
      </c>
      <c r="J895" s="1" t="str">
        <f t="shared" si="250"/>
        <v>01</v>
      </c>
      <c r="K895" s="3">
        <f t="shared" si="251"/>
        <v>25</v>
      </c>
      <c r="L895" s="3">
        <f t="shared" si="252"/>
        <v>4</v>
      </c>
      <c r="M895" s="3">
        <f t="shared" si="253"/>
        <v>7</v>
      </c>
      <c r="N895" s="3" t="str">
        <f t="shared" si="254"/>
        <v>04</v>
      </c>
      <c r="O895" s="14" t="str">
        <f t="shared" si="255"/>
        <v>07</v>
      </c>
      <c r="P895" s="4">
        <v>10937.03</v>
      </c>
      <c r="T895" s="5" t="s">
        <v>1572</v>
      </c>
      <c r="U895" s="3" t="s">
        <v>29</v>
      </c>
      <c r="V895" s="3" t="s">
        <v>5</v>
      </c>
      <c r="W895" s="3" t="s">
        <v>1307</v>
      </c>
      <c r="X895" s="1" t="s">
        <v>1305</v>
      </c>
    </row>
    <row r="896" spans="1:24" hidden="1">
      <c r="A896" s="143"/>
      <c r="J896" s="1" t="str">
        <f t="shared" si="250"/>
        <v>0</v>
      </c>
      <c r="K896" s="3">
        <f t="shared" si="251"/>
        <v>-100</v>
      </c>
      <c r="L896" s="3">
        <f t="shared" si="252"/>
        <v>1</v>
      </c>
      <c r="M896" s="3">
        <f t="shared" si="253"/>
        <v>0</v>
      </c>
      <c r="N896" s="3" t="str">
        <f t="shared" si="254"/>
        <v>01</v>
      </c>
      <c r="O896" s="14" t="str">
        <f t="shared" si="255"/>
        <v>00</v>
      </c>
      <c r="T896" s="146"/>
    </row>
    <row r="897" spans="1:24" hidden="1">
      <c r="A897" s="143">
        <v>883</v>
      </c>
      <c r="B897" s="1">
        <f>IF(G897="-",0,IF(G896=G897,1,0))</f>
        <v>0</v>
      </c>
      <c r="C897" s="1">
        <f>+IF(G897="-",0,IF(I897=I896+1,0,(IF(I897=1,0,1))))</f>
        <v>1</v>
      </c>
      <c r="D897" s="1">
        <f>+IF(AND(P897="",Q897=""),1,0)</f>
        <v>0</v>
      </c>
      <c r="E897" s="1">
        <f>IF(U897="",1,0)</f>
        <v>0</v>
      </c>
      <c r="F897" s="1">
        <f>IF(V897="",1,0)</f>
        <v>0</v>
      </c>
      <c r="G897" s="1" t="str">
        <f>IF(H897=0,"-",_xlfn.CONCAT(K897,N897,O897,J897))</f>
        <v>25040703</v>
      </c>
      <c r="H897" s="2">
        <v>45754</v>
      </c>
      <c r="I897" s="113">
        <v>3</v>
      </c>
      <c r="J897" s="1" t="str">
        <f t="shared" si="250"/>
        <v>03</v>
      </c>
      <c r="K897" s="3">
        <f t="shared" si="251"/>
        <v>25</v>
      </c>
      <c r="L897" s="3">
        <f t="shared" si="252"/>
        <v>4</v>
      </c>
      <c r="M897" s="3">
        <f t="shared" si="253"/>
        <v>7</v>
      </c>
      <c r="N897" s="3" t="str">
        <f t="shared" si="254"/>
        <v>04</v>
      </c>
      <c r="O897" s="14" t="str">
        <f t="shared" si="255"/>
        <v>07</v>
      </c>
      <c r="P897" s="4">
        <v>41707.75</v>
      </c>
      <c r="T897" s="5" t="s">
        <v>1571</v>
      </c>
      <c r="U897" s="3" t="s">
        <v>1310</v>
      </c>
      <c r="V897" s="3" t="s">
        <v>1304</v>
      </c>
      <c r="W897" s="3" t="s">
        <v>1309</v>
      </c>
      <c r="X897" s="1" t="s">
        <v>1305</v>
      </c>
    </row>
    <row r="898" spans="1:24" hidden="1">
      <c r="A898" s="143">
        <v>884</v>
      </c>
      <c r="B898" s="1">
        <f>IF(G898="-",0,IF(G897=G898,1,0))</f>
        <v>0</v>
      </c>
      <c r="C898" s="1">
        <f>+IF(G898="-",0,IF(I898=I897+1,0,(IF(I898=1,0,1))))</f>
        <v>0</v>
      </c>
      <c r="D898" s="1">
        <f>+IF(AND(P898="",Q898=""),1,0)</f>
        <v>0</v>
      </c>
      <c r="E898" s="1">
        <f>IF(U898="",1,0)</f>
        <v>0</v>
      </c>
      <c r="F898" s="1">
        <f>IF(V898="",1,0)</f>
        <v>0</v>
      </c>
      <c r="G898" s="1" t="str">
        <f>IF(H898=0,"-",_xlfn.CONCAT(K898,N898,O898,J898))</f>
        <v>25040704</v>
      </c>
      <c r="H898" s="2">
        <v>45754</v>
      </c>
      <c r="I898" s="113">
        <v>4</v>
      </c>
      <c r="J898" s="1" t="str">
        <f t="shared" si="250"/>
        <v>04</v>
      </c>
      <c r="K898" s="3">
        <f t="shared" si="251"/>
        <v>25</v>
      </c>
      <c r="L898" s="3">
        <f t="shared" si="252"/>
        <v>4</v>
      </c>
      <c r="M898" s="3">
        <f t="shared" si="253"/>
        <v>7</v>
      </c>
      <c r="N898" s="3" t="str">
        <f t="shared" si="254"/>
        <v>04</v>
      </c>
      <c r="O898" s="14" t="str">
        <f t="shared" si="255"/>
        <v>07</v>
      </c>
      <c r="P898" s="4">
        <v>11790</v>
      </c>
      <c r="T898" s="5" t="s">
        <v>1571</v>
      </c>
      <c r="U898" s="3" t="s">
        <v>1310</v>
      </c>
      <c r="V898" s="3" t="s">
        <v>1304</v>
      </c>
      <c r="W898" s="3" t="s">
        <v>1309</v>
      </c>
      <c r="X898" s="1" t="s">
        <v>1305</v>
      </c>
    </row>
    <row r="899" spans="1:24" hidden="1">
      <c r="A899" s="143"/>
      <c r="J899" s="1" t="str">
        <f t="shared" si="250"/>
        <v>0</v>
      </c>
      <c r="K899" s="3">
        <f t="shared" si="251"/>
        <v>-100</v>
      </c>
      <c r="L899" s="3">
        <f t="shared" si="252"/>
        <v>1</v>
      </c>
      <c r="M899" s="3">
        <f t="shared" si="253"/>
        <v>0</v>
      </c>
      <c r="N899" s="3" t="str">
        <f t="shared" si="254"/>
        <v>01</v>
      </c>
      <c r="O899" s="14" t="str">
        <f t="shared" si="255"/>
        <v>00</v>
      </c>
    </row>
    <row r="900" spans="1:24" hidden="1">
      <c r="A900" s="143">
        <v>885</v>
      </c>
      <c r="B900" s="1">
        <f t="shared" ref="B900:B906" si="264">IF(G900="-",0,IF(G899=G900,1,0))</f>
        <v>0</v>
      </c>
      <c r="C900" s="1">
        <f t="shared" ref="C900:C906" si="265">+IF(G900="-",0,IF(I900=I899+1,0,(IF(I900=1,0,1))))</f>
        <v>0</v>
      </c>
      <c r="D900" s="1">
        <f t="shared" ref="D900:D906" si="266">+IF(AND(P900="",Q900=""),1,0)</f>
        <v>0</v>
      </c>
      <c r="E900" s="1">
        <f t="shared" ref="E900:F906" si="267">IF(U900="",1,0)</f>
        <v>0</v>
      </c>
      <c r="F900" s="1">
        <f t="shared" si="267"/>
        <v>0</v>
      </c>
      <c r="G900" s="1" t="str">
        <f t="shared" ref="G900:G906" si="268">IF(H900=0,"-",_xlfn.CONCAT(K900,N900,O900,J900))</f>
        <v>25040801</v>
      </c>
      <c r="H900" s="2">
        <v>45755</v>
      </c>
      <c r="I900" s="113">
        <v>1</v>
      </c>
      <c r="J900" s="1" t="str">
        <f t="shared" si="250"/>
        <v>01</v>
      </c>
      <c r="K900" s="3">
        <f t="shared" si="251"/>
        <v>25</v>
      </c>
      <c r="L900" s="3">
        <f t="shared" si="252"/>
        <v>4</v>
      </c>
      <c r="M900" s="3">
        <f t="shared" si="253"/>
        <v>8</v>
      </c>
      <c r="N900" s="3" t="str">
        <f t="shared" si="254"/>
        <v>04</v>
      </c>
      <c r="O900" s="14" t="str">
        <f t="shared" si="255"/>
        <v>08</v>
      </c>
      <c r="P900" s="4">
        <v>10050</v>
      </c>
      <c r="T900" s="5" t="s">
        <v>352</v>
      </c>
      <c r="U900" s="3" t="s">
        <v>30</v>
      </c>
      <c r="V900" s="3" t="s">
        <v>1312</v>
      </c>
      <c r="W900" s="3" t="s">
        <v>1307</v>
      </c>
      <c r="X900" s="1" t="s">
        <v>1305</v>
      </c>
    </row>
    <row r="901" spans="1:24" hidden="1">
      <c r="A901" s="143">
        <v>886</v>
      </c>
      <c r="B901" s="1">
        <f t="shared" si="264"/>
        <v>0</v>
      </c>
      <c r="C901" s="1">
        <f t="shared" si="265"/>
        <v>0</v>
      </c>
      <c r="D901" s="1">
        <f t="shared" si="266"/>
        <v>0</v>
      </c>
      <c r="E901" s="1">
        <f t="shared" si="267"/>
        <v>0</v>
      </c>
      <c r="F901" s="1">
        <f t="shared" si="267"/>
        <v>0</v>
      </c>
      <c r="G901" s="1" t="str">
        <f t="shared" si="268"/>
        <v>25040802</v>
      </c>
      <c r="H901" s="2">
        <v>45755</v>
      </c>
      <c r="I901" s="113">
        <v>2</v>
      </c>
      <c r="J901" s="1" t="str">
        <f t="shared" si="250"/>
        <v>02</v>
      </c>
      <c r="K901" s="3">
        <f t="shared" si="251"/>
        <v>25</v>
      </c>
      <c r="L901" s="3">
        <f t="shared" si="252"/>
        <v>4</v>
      </c>
      <c r="M901" s="3">
        <f t="shared" si="253"/>
        <v>8</v>
      </c>
      <c r="N901" s="3" t="str">
        <f t="shared" si="254"/>
        <v>04</v>
      </c>
      <c r="O901" s="14" t="str">
        <f t="shared" si="255"/>
        <v>08</v>
      </c>
      <c r="P901" s="4">
        <v>5300</v>
      </c>
      <c r="T901" s="5" t="s">
        <v>1511</v>
      </c>
      <c r="U901" s="3" t="s">
        <v>1310</v>
      </c>
      <c r="V901" s="3" t="s">
        <v>1304</v>
      </c>
      <c r="W901" s="3" t="s">
        <v>1309</v>
      </c>
      <c r="X901" s="1" t="s">
        <v>1305</v>
      </c>
    </row>
    <row r="902" spans="1:24" hidden="1">
      <c r="A902" s="143">
        <v>887</v>
      </c>
      <c r="B902" s="1">
        <f t="shared" si="264"/>
        <v>0</v>
      </c>
      <c r="C902" s="1">
        <f t="shared" si="265"/>
        <v>0</v>
      </c>
      <c r="D902" s="1">
        <f t="shared" si="266"/>
        <v>0</v>
      </c>
      <c r="E902" s="1">
        <f t="shared" si="267"/>
        <v>0</v>
      </c>
      <c r="F902" s="1">
        <f t="shared" si="267"/>
        <v>0</v>
      </c>
      <c r="G902" s="1" t="str">
        <f t="shared" si="268"/>
        <v>25040803</v>
      </c>
      <c r="H902" s="2">
        <v>45755</v>
      </c>
      <c r="I902" s="113">
        <v>3</v>
      </c>
      <c r="J902" s="1" t="str">
        <f t="shared" si="250"/>
        <v>03</v>
      </c>
      <c r="K902" s="3">
        <f t="shared" si="251"/>
        <v>25</v>
      </c>
      <c r="L902" s="3">
        <f t="shared" si="252"/>
        <v>4</v>
      </c>
      <c r="M902" s="3">
        <f t="shared" si="253"/>
        <v>8</v>
      </c>
      <c r="N902" s="3" t="str">
        <f t="shared" si="254"/>
        <v>04</v>
      </c>
      <c r="O902" s="14" t="str">
        <f t="shared" si="255"/>
        <v>08</v>
      </c>
      <c r="P902" s="4">
        <v>4775</v>
      </c>
      <c r="T902" s="5" t="s">
        <v>1486</v>
      </c>
      <c r="U902" s="3" t="s">
        <v>1310</v>
      </c>
      <c r="V902" s="3" t="s">
        <v>1304</v>
      </c>
      <c r="W902" s="3" t="s">
        <v>1309</v>
      </c>
      <c r="X902" s="1" t="s">
        <v>1305</v>
      </c>
    </row>
    <row r="903" spans="1:24">
      <c r="A903" s="143">
        <v>853</v>
      </c>
      <c r="B903" s="1">
        <f t="shared" si="264"/>
        <v>0</v>
      </c>
      <c r="C903" s="1">
        <f t="shared" si="265"/>
        <v>0</v>
      </c>
      <c r="D903" s="1">
        <f t="shared" si="266"/>
        <v>0</v>
      </c>
      <c r="E903" s="1">
        <f t="shared" si="267"/>
        <v>0</v>
      </c>
      <c r="F903" s="1">
        <f t="shared" si="267"/>
        <v>0</v>
      </c>
      <c r="G903" s="1" t="str">
        <f t="shared" si="268"/>
        <v>25040901</v>
      </c>
      <c r="H903" s="2">
        <v>45756</v>
      </c>
      <c r="I903" s="113">
        <v>1</v>
      </c>
      <c r="J903" s="1" t="str">
        <f t="shared" si="250"/>
        <v>01</v>
      </c>
      <c r="K903" s="3">
        <f t="shared" si="251"/>
        <v>25</v>
      </c>
      <c r="L903" s="3">
        <f t="shared" si="252"/>
        <v>4</v>
      </c>
      <c r="M903" s="3">
        <f t="shared" si="253"/>
        <v>9</v>
      </c>
      <c r="N903" s="3" t="str">
        <f t="shared" si="254"/>
        <v>04</v>
      </c>
      <c r="O903" s="14" t="str">
        <f t="shared" si="255"/>
        <v>09</v>
      </c>
      <c r="P903" s="4">
        <v>200000</v>
      </c>
      <c r="T903" s="5" t="s">
        <v>1570</v>
      </c>
      <c r="U903" s="3" t="s">
        <v>1342</v>
      </c>
      <c r="V903" s="3" t="s">
        <v>5</v>
      </c>
      <c r="W903" s="3" t="s">
        <v>1306</v>
      </c>
      <c r="X903" s="1" t="s">
        <v>1302</v>
      </c>
    </row>
    <row r="904" spans="1:24">
      <c r="A904" s="143">
        <v>851</v>
      </c>
      <c r="B904" s="1">
        <f t="shared" si="264"/>
        <v>0</v>
      </c>
      <c r="C904" s="1">
        <f t="shared" si="265"/>
        <v>0</v>
      </c>
      <c r="D904" s="1">
        <f t="shared" si="266"/>
        <v>0</v>
      </c>
      <c r="E904" s="1">
        <f t="shared" si="267"/>
        <v>0</v>
      </c>
      <c r="F904" s="1">
        <f t="shared" si="267"/>
        <v>0</v>
      </c>
      <c r="G904" s="1" t="str">
        <f t="shared" si="268"/>
        <v>25040902</v>
      </c>
      <c r="H904" s="2">
        <v>45756</v>
      </c>
      <c r="I904" s="113">
        <v>2</v>
      </c>
      <c r="J904" s="1" t="str">
        <f t="shared" ref="J904:J967" si="269">+IF(I904&lt;10,_xlfn.CONCAT("0",I904),I904)</f>
        <v>02</v>
      </c>
      <c r="K904" s="3">
        <f t="shared" ref="K904:K967" si="270">+YEAR(H904)-2000</f>
        <v>25</v>
      </c>
      <c r="L904" s="3">
        <f t="shared" ref="L904:L967" si="271">+MONTH(H904)</f>
        <v>4</v>
      </c>
      <c r="M904" s="3">
        <f t="shared" ref="M904:M967" si="272">+DAY(H904)</f>
        <v>9</v>
      </c>
      <c r="N904" s="3" t="str">
        <f t="shared" ref="N904:N967" si="273">+IF(L904&lt;10,_xlfn.CONCAT("0",L904),L904)</f>
        <v>04</v>
      </c>
      <c r="O904" s="14" t="str">
        <f t="shared" ref="O904:O967" si="274">+IF(M904&lt;10,_xlfn.CONCAT("0",M904),M904)</f>
        <v>09</v>
      </c>
      <c r="P904" s="4">
        <v>431191.68</v>
      </c>
      <c r="T904" s="5" t="s">
        <v>1569</v>
      </c>
      <c r="U904" s="3" t="s">
        <v>1342</v>
      </c>
      <c r="V904" s="3" t="s">
        <v>5</v>
      </c>
      <c r="W904" s="3" t="s">
        <v>1306</v>
      </c>
      <c r="X904" s="1" t="s">
        <v>1305</v>
      </c>
    </row>
    <row r="905" spans="1:24" ht="15.75" hidden="1" thickBot="1">
      <c r="A905" s="143">
        <v>888</v>
      </c>
      <c r="B905" s="1">
        <f t="shared" si="264"/>
        <v>0</v>
      </c>
      <c r="C905" s="1">
        <f t="shared" si="265"/>
        <v>0</v>
      </c>
      <c r="D905" s="1">
        <f t="shared" si="266"/>
        <v>0</v>
      </c>
      <c r="E905" s="1">
        <f t="shared" si="267"/>
        <v>0</v>
      </c>
      <c r="F905" s="1">
        <f t="shared" si="267"/>
        <v>0</v>
      </c>
      <c r="G905" s="1" t="str">
        <f t="shared" si="268"/>
        <v>25040903</v>
      </c>
      <c r="H905" s="2">
        <v>45756</v>
      </c>
      <c r="I905" s="113">
        <v>3</v>
      </c>
      <c r="J905" s="1" t="str">
        <f t="shared" si="269"/>
        <v>03</v>
      </c>
      <c r="K905" s="3">
        <f t="shared" si="270"/>
        <v>25</v>
      </c>
      <c r="L905" s="3">
        <f t="shared" si="271"/>
        <v>4</v>
      </c>
      <c r="M905" s="3">
        <f t="shared" si="272"/>
        <v>9</v>
      </c>
      <c r="N905" s="3" t="str">
        <f t="shared" si="273"/>
        <v>04</v>
      </c>
      <c r="O905" s="14" t="str">
        <f t="shared" si="274"/>
        <v>09</v>
      </c>
      <c r="P905" s="4">
        <v>40040</v>
      </c>
      <c r="T905" s="145" t="s">
        <v>1568</v>
      </c>
      <c r="U905" s="3" t="s">
        <v>29</v>
      </c>
      <c r="V905" s="3" t="s">
        <v>5</v>
      </c>
      <c r="W905" s="3" t="s">
        <v>1309</v>
      </c>
      <c r="X905" s="1" t="s">
        <v>1305</v>
      </c>
    </row>
    <row r="906" spans="1:24" hidden="1">
      <c r="A906" s="143">
        <v>889</v>
      </c>
      <c r="B906" s="1">
        <f t="shared" si="264"/>
        <v>0</v>
      </c>
      <c r="C906" s="1">
        <f t="shared" si="265"/>
        <v>0</v>
      </c>
      <c r="D906" s="1">
        <f t="shared" si="266"/>
        <v>0</v>
      </c>
      <c r="E906" s="1">
        <f t="shared" si="267"/>
        <v>0</v>
      </c>
      <c r="F906" s="1">
        <f t="shared" si="267"/>
        <v>0</v>
      </c>
      <c r="G906" s="1" t="str">
        <f t="shared" si="268"/>
        <v>25040904</v>
      </c>
      <c r="H906" s="2">
        <v>45756</v>
      </c>
      <c r="I906" s="113">
        <v>4</v>
      </c>
      <c r="J906" s="1" t="str">
        <f t="shared" si="269"/>
        <v>04</v>
      </c>
      <c r="K906" s="3">
        <f t="shared" si="270"/>
        <v>25</v>
      </c>
      <c r="L906" s="3">
        <f t="shared" si="271"/>
        <v>4</v>
      </c>
      <c r="M906" s="3">
        <f t="shared" si="272"/>
        <v>9</v>
      </c>
      <c r="N906" s="3" t="str">
        <f t="shared" si="273"/>
        <v>04</v>
      </c>
      <c r="O906" s="14" t="str">
        <f t="shared" si="274"/>
        <v>09</v>
      </c>
      <c r="P906" s="4">
        <v>15000</v>
      </c>
      <c r="T906" s="5" t="s">
        <v>1439</v>
      </c>
      <c r="U906" s="3" t="s">
        <v>29</v>
      </c>
      <c r="V906" s="3" t="s">
        <v>5</v>
      </c>
      <c r="W906" s="3" t="s">
        <v>1309</v>
      </c>
      <c r="X906" s="1" t="s">
        <v>1305</v>
      </c>
    </row>
    <row r="907" spans="1:24" hidden="1">
      <c r="A907" s="143"/>
      <c r="J907" s="1" t="str">
        <f t="shared" si="269"/>
        <v>0</v>
      </c>
      <c r="K907" s="3">
        <f t="shared" si="270"/>
        <v>-100</v>
      </c>
      <c r="L907" s="3">
        <f t="shared" si="271"/>
        <v>1</v>
      </c>
      <c r="M907" s="3">
        <f t="shared" si="272"/>
        <v>0</v>
      </c>
      <c r="N907" s="3" t="str">
        <f t="shared" si="273"/>
        <v>01</v>
      </c>
      <c r="O907" s="14" t="str">
        <f t="shared" si="274"/>
        <v>00</v>
      </c>
    </row>
    <row r="908" spans="1:24" hidden="1">
      <c r="A908" s="143"/>
      <c r="J908" s="1" t="str">
        <f t="shared" si="269"/>
        <v>0</v>
      </c>
      <c r="K908" s="3">
        <f t="shared" si="270"/>
        <v>-100</v>
      </c>
      <c r="L908" s="3">
        <f t="shared" si="271"/>
        <v>1</v>
      </c>
      <c r="M908" s="3">
        <f t="shared" si="272"/>
        <v>0</v>
      </c>
      <c r="N908" s="3" t="str">
        <f t="shared" si="273"/>
        <v>01</v>
      </c>
      <c r="O908" s="14" t="str">
        <f t="shared" si="274"/>
        <v>00</v>
      </c>
    </row>
    <row r="909" spans="1:24" hidden="1">
      <c r="A909" s="143"/>
      <c r="J909" s="1" t="str">
        <f t="shared" si="269"/>
        <v>0</v>
      </c>
      <c r="K909" s="3">
        <f t="shared" si="270"/>
        <v>-100</v>
      </c>
      <c r="L909" s="3">
        <f t="shared" si="271"/>
        <v>1</v>
      </c>
      <c r="M909" s="3">
        <f t="shared" si="272"/>
        <v>0</v>
      </c>
      <c r="N909" s="3" t="str">
        <f t="shared" si="273"/>
        <v>01</v>
      </c>
      <c r="O909" s="14" t="str">
        <f t="shared" si="274"/>
        <v>00</v>
      </c>
    </row>
    <row r="910" spans="1:24" hidden="1">
      <c r="A910" s="143">
        <v>892</v>
      </c>
      <c r="B910" s="1">
        <f>IF(G910="-",0,IF(G909=G910,1,0))</f>
        <v>0</v>
      </c>
      <c r="C910" s="1">
        <f>+IF(G910="-",0,IF(I910=I909+1,0,(IF(I910=1,0,1))))</f>
        <v>0</v>
      </c>
      <c r="D910" s="1">
        <f>+IF(AND(P910="",Q910=""),1,0)</f>
        <v>0</v>
      </c>
      <c r="E910" s="1">
        <f>IF(U910="",1,0)</f>
        <v>0</v>
      </c>
      <c r="F910" s="1">
        <f>IF(V910="",1,0)</f>
        <v>0</v>
      </c>
      <c r="G910" s="1" t="str">
        <f>IF(H910=0,"-",_xlfn.CONCAT(K910,N910,O910,J910))</f>
        <v>25041001</v>
      </c>
      <c r="H910" s="2">
        <v>45757</v>
      </c>
      <c r="I910" s="113">
        <v>1</v>
      </c>
      <c r="J910" s="1" t="str">
        <f t="shared" si="269"/>
        <v>01</v>
      </c>
      <c r="K910" s="3">
        <f t="shared" si="270"/>
        <v>25</v>
      </c>
      <c r="L910" s="3">
        <f t="shared" si="271"/>
        <v>4</v>
      </c>
      <c r="M910" s="3">
        <f t="shared" si="272"/>
        <v>10</v>
      </c>
      <c r="N910" s="3" t="str">
        <f t="shared" si="273"/>
        <v>04</v>
      </c>
      <c r="O910" s="14">
        <f t="shared" si="274"/>
        <v>10</v>
      </c>
      <c r="P910" s="4">
        <v>20000</v>
      </c>
      <c r="T910" s="5" t="s">
        <v>1512</v>
      </c>
      <c r="U910" s="3" t="s">
        <v>29</v>
      </c>
      <c r="V910" s="3" t="s">
        <v>5</v>
      </c>
      <c r="W910" s="3" t="s">
        <v>1307</v>
      </c>
      <c r="X910" s="1" t="s">
        <v>1305</v>
      </c>
    </row>
    <row r="911" spans="1:24">
      <c r="A911" s="143">
        <v>917</v>
      </c>
      <c r="B911" s="1">
        <f>IF(G911="-",0,IF(G910=G911,1,0))</f>
        <v>0</v>
      </c>
      <c r="C911" s="1">
        <f>+IF(G911="-",0,IF(I911=I910+1,0,(IF(I911=1,0,1))))</f>
        <v>0</v>
      </c>
      <c r="D911" s="1">
        <f>+IF(AND(P911="",Q911=""),1,0)</f>
        <v>0</v>
      </c>
      <c r="E911" s="1">
        <f>IF(U911="",1,0)</f>
        <v>0</v>
      </c>
      <c r="F911" s="1">
        <f>IF(V911="",1,0)</f>
        <v>0</v>
      </c>
      <c r="G911" s="1" t="str">
        <f>IF(H911=0,"-",_xlfn.CONCAT(K911,N911,O911,J911))</f>
        <v>25041002</v>
      </c>
      <c r="H911" s="2">
        <v>45757</v>
      </c>
      <c r="I911" s="113">
        <v>2</v>
      </c>
      <c r="J911" s="1" t="str">
        <f t="shared" si="269"/>
        <v>02</v>
      </c>
      <c r="K911" s="3">
        <f t="shared" si="270"/>
        <v>25</v>
      </c>
      <c r="L911" s="3">
        <f t="shared" si="271"/>
        <v>4</v>
      </c>
      <c r="M911" s="3">
        <f t="shared" si="272"/>
        <v>10</v>
      </c>
      <c r="N911" s="3" t="str">
        <f t="shared" si="273"/>
        <v>04</v>
      </c>
      <c r="O911" s="14">
        <f t="shared" si="274"/>
        <v>10</v>
      </c>
      <c r="P911" s="4">
        <v>1638500</v>
      </c>
      <c r="T911" s="5" t="s">
        <v>1567</v>
      </c>
      <c r="U911" s="3" t="s">
        <v>1342</v>
      </c>
      <c r="V911" s="3" t="s">
        <v>5</v>
      </c>
      <c r="W911" s="3" t="s">
        <v>1306</v>
      </c>
      <c r="X911" s="1" t="s">
        <v>1305</v>
      </c>
    </row>
    <row r="912" spans="1:24" hidden="1">
      <c r="A912" s="143"/>
      <c r="J912" s="1" t="str">
        <f t="shared" si="269"/>
        <v>0</v>
      </c>
      <c r="K912" s="3">
        <f t="shared" si="270"/>
        <v>-100</v>
      </c>
      <c r="L912" s="3">
        <f t="shared" si="271"/>
        <v>1</v>
      </c>
      <c r="M912" s="3">
        <f t="shared" si="272"/>
        <v>0</v>
      </c>
      <c r="N912" s="3" t="str">
        <f t="shared" si="273"/>
        <v>01</v>
      </c>
      <c r="O912" s="14" t="str">
        <f t="shared" si="274"/>
        <v>00</v>
      </c>
    </row>
    <row r="913" spans="1:24" hidden="1">
      <c r="A913" s="143"/>
      <c r="J913" s="1" t="str">
        <f t="shared" si="269"/>
        <v>0</v>
      </c>
      <c r="K913" s="3">
        <f t="shared" si="270"/>
        <v>-100</v>
      </c>
      <c r="L913" s="3">
        <f t="shared" si="271"/>
        <v>1</v>
      </c>
      <c r="M913" s="3">
        <f t="shared" si="272"/>
        <v>0</v>
      </c>
      <c r="N913" s="3" t="str">
        <f t="shared" si="273"/>
        <v>01</v>
      </c>
      <c r="O913" s="14" t="str">
        <f t="shared" si="274"/>
        <v>00</v>
      </c>
    </row>
    <row r="914" spans="1:24" hidden="1">
      <c r="A914" s="143"/>
      <c r="J914" s="1" t="str">
        <f t="shared" si="269"/>
        <v>0</v>
      </c>
      <c r="K914" s="3">
        <f t="shared" si="270"/>
        <v>-100</v>
      </c>
      <c r="L914" s="3">
        <f t="shared" si="271"/>
        <v>1</v>
      </c>
      <c r="M914" s="3">
        <f t="shared" si="272"/>
        <v>0</v>
      </c>
      <c r="N914" s="3" t="str">
        <f t="shared" si="273"/>
        <v>01</v>
      </c>
      <c r="O914" s="14" t="str">
        <f t="shared" si="274"/>
        <v>00</v>
      </c>
    </row>
    <row r="915" spans="1:24" hidden="1">
      <c r="A915" s="143"/>
      <c r="J915" s="1" t="str">
        <f t="shared" si="269"/>
        <v>0</v>
      </c>
      <c r="K915" s="3">
        <f t="shared" si="270"/>
        <v>-100</v>
      </c>
      <c r="L915" s="3">
        <f t="shared" si="271"/>
        <v>1</v>
      </c>
      <c r="M915" s="3">
        <f t="shared" si="272"/>
        <v>0</v>
      </c>
      <c r="N915" s="3" t="str">
        <f t="shared" si="273"/>
        <v>01</v>
      </c>
      <c r="O915" s="14" t="str">
        <f t="shared" si="274"/>
        <v>00</v>
      </c>
    </row>
    <row r="916" spans="1:24" hidden="1">
      <c r="A916" s="143"/>
      <c r="J916" s="1" t="str">
        <f t="shared" si="269"/>
        <v>0</v>
      </c>
      <c r="K916" s="3">
        <f t="shared" si="270"/>
        <v>-100</v>
      </c>
      <c r="L916" s="3">
        <f t="shared" si="271"/>
        <v>1</v>
      </c>
      <c r="M916" s="3">
        <f t="shared" si="272"/>
        <v>0</v>
      </c>
      <c r="N916" s="3" t="str">
        <f t="shared" si="273"/>
        <v>01</v>
      </c>
      <c r="O916" s="14" t="str">
        <f t="shared" si="274"/>
        <v>00</v>
      </c>
    </row>
    <row r="917" spans="1:24" hidden="1">
      <c r="A917" s="143"/>
      <c r="J917" s="1" t="str">
        <f t="shared" si="269"/>
        <v>0</v>
      </c>
      <c r="K917" s="3">
        <f t="shared" si="270"/>
        <v>-100</v>
      </c>
      <c r="L917" s="3">
        <f t="shared" si="271"/>
        <v>1</v>
      </c>
      <c r="M917" s="3">
        <f t="shared" si="272"/>
        <v>0</v>
      </c>
      <c r="N917" s="3" t="str">
        <f t="shared" si="273"/>
        <v>01</v>
      </c>
      <c r="O917" s="14" t="str">
        <f t="shared" si="274"/>
        <v>00</v>
      </c>
    </row>
    <row r="918" spans="1:24" hidden="1">
      <c r="A918" s="143"/>
      <c r="J918" s="1" t="str">
        <f t="shared" si="269"/>
        <v>0</v>
      </c>
      <c r="K918" s="3">
        <f t="shared" si="270"/>
        <v>-100</v>
      </c>
      <c r="L918" s="3">
        <f t="shared" si="271"/>
        <v>1</v>
      </c>
      <c r="M918" s="3">
        <f t="shared" si="272"/>
        <v>0</v>
      </c>
      <c r="N918" s="3" t="str">
        <f t="shared" si="273"/>
        <v>01</v>
      </c>
      <c r="O918" s="14" t="str">
        <f t="shared" si="274"/>
        <v>00</v>
      </c>
    </row>
    <row r="919" spans="1:24" hidden="1">
      <c r="A919" s="143"/>
      <c r="J919" s="1" t="str">
        <f t="shared" si="269"/>
        <v>0</v>
      </c>
      <c r="K919" s="3">
        <f t="shared" si="270"/>
        <v>-100</v>
      </c>
      <c r="L919" s="3">
        <f t="shared" si="271"/>
        <v>1</v>
      </c>
      <c r="M919" s="3">
        <f t="shared" si="272"/>
        <v>0</v>
      </c>
      <c r="N919" s="3" t="str">
        <f t="shared" si="273"/>
        <v>01</v>
      </c>
      <c r="O919" s="14" t="str">
        <f t="shared" si="274"/>
        <v>00</v>
      </c>
    </row>
    <row r="920" spans="1:24" hidden="1">
      <c r="A920" s="143">
        <v>967</v>
      </c>
      <c r="B920" s="1">
        <f>IF(G920="-",0,IF(G919=G920,1,0))</f>
        <v>0</v>
      </c>
      <c r="C920" s="1">
        <f>+IF(G920="-",0,IF(I920=I919+1,0,(IF(I920=1,0,1))))</f>
        <v>1</v>
      </c>
      <c r="D920" s="1">
        <f>+IF(AND(P920="",Q920=""),1,0)</f>
        <v>0</v>
      </c>
      <c r="E920" s="1">
        <f>IF(U920="",1,0)</f>
        <v>0</v>
      </c>
      <c r="F920" s="1">
        <f>IF(V920="",1,0)</f>
        <v>0</v>
      </c>
      <c r="G920" s="1" t="str">
        <f>IF(H920=0,"-",_xlfn.CONCAT(K920,N920,O920,J920))</f>
        <v>25041011</v>
      </c>
      <c r="H920" s="2">
        <v>45757</v>
      </c>
      <c r="I920" s="113">
        <v>11</v>
      </c>
      <c r="J920" s="1">
        <f t="shared" si="269"/>
        <v>11</v>
      </c>
      <c r="K920" s="3">
        <f t="shared" si="270"/>
        <v>25</v>
      </c>
      <c r="L920" s="3">
        <f t="shared" si="271"/>
        <v>4</v>
      </c>
      <c r="M920" s="3">
        <f t="shared" si="272"/>
        <v>10</v>
      </c>
      <c r="N920" s="3" t="str">
        <f t="shared" si="273"/>
        <v>04</v>
      </c>
      <c r="O920" s="14">
        <f t="shared" si="274"/>
        <v>10</v>
      </c>
      <c r="P920" s="4">
        <v>31877.75</v>
      </c>
      <c r="T920" s="5" t="s">
        <v>352</v>
      </c>
      <c r="U920" s="3" t="s">
        <v>30</v>
      </c>
      <c r="V920" s="3" t="s">
        <v>1312</v>
      </c>
      <c r="W920" s="3" t="s">
        <v>1307</v>
      </c>
      <c r="X920" s="1" t="s">
        <v>1305</v>
      </c>
    </row>
    <row r="921" spans="1:24" hidden="1">
      <c r="A921" s="143"/>
      <c r="J921" s="1" t="str">
        <f t="shared" si="269"/>
        <v>0</v>
      </c>
      <c r="K921" s="3">
        <f t="shared" si="270"/>
        <v>-100</v>
      </c>
      <c r="L921" s="3">
        <f t="shared" si="271"/>
        <v>1</v>
      </c>
      <c r="M921" s="3">
        <f t="shared" si="272"/>
        <v>0</v>
      </c>
      <c r="N921" s="3" t="str">
        <f t="shared" si="273"/>
        <v>01</v>
      </c>
      <c r="O921" s="14" t="str">
        <f t="shared" si="274"/>
        <v>00</v>
      </c>
    </row>
    <row r="922" spans="1:24" hidden="1">
      <c r="A922" s="143"/>
      <c r="J922" s="1" t="str">
        <f t="shared" si="269"/>
        <v>0</v>
      </c>
      <c r="K922" s="3">
        <f t="shared" si="270"/>
        <v>-100</v>
      </c>
      <c r="L922" s="3">
        <f t="shared" si="271"/>
        <v>1</v>
      </c>
      <c r="M922" s="3">
        <f t="shared" si="272"/>
        <v>0</v>
      </c>
      <c r="N922" s="3" t="str">
        <f t="shared" si="273"/>
        <v>01</v>
      </c>
      <c r="O922" s="14" t="str">
        <f t="shared" si="274"/>
        <v>00</v>
      </c>
    </row>
    <row r="923" spans="1:24" hidden="1">
      <c r="A923" s="143">
        <v>987</v>
      </c>
      <c r="B923" s="1">
        <f>IF(G923="-",0,IF(G922=G923,1,0))</f>
        <v>0</v>
      </c>
      <c r="C923" s="1">
        <f>+IF(G923="-",0,IF(I923=I922+1,0,(IF(I923=1,0,1))))</f>
        <v>1</v>
      </c>
      <c r="D923" s="1">
        <f>+IF(AND(P923="",Q923=""),1,0)</f>
        <v>0</v>
      </c>
      <c r="E923" s="1">
        <f>IF(U923="",1,0)</f>
        <v>0</v>
      </c>
      <c r="F923" s="1">
        <f>IF(V923="",1,0)</f>
        <v>0</v>
      </c>
      <c r="G923" s="1" t="str">
        <f>IF(H923=0,"-",_xlfn.CONCAT(K923,N923,O923,J923))</f>
        <v>25041014</v>
      </c>
      <c r="H923" s="2">
        <v>45757</v>
      </c>
      <c r="I923" s="113">
        <v>14</v>
      </c>
      <c r="J923" s="1">
        <f t="shared" si="269"/>
        <v>14</v>
      </c>
      <c r="K923" s="3">
        <f t="shared" si="270"/>
        <v>25</v>
      </c>
      <c r="L923" s="3">
        <f t="shared" si="271"/>
        <v>4</v>
      </c>
      <c r="M923" s="3">
        <f t="shared" si="272"/>
        <v>10</v>
      </c>
      <c r="N923" s="3" t="str">
        <f t="shared" si="273"/>
        <v>04</v>
      </c>
      <c r="O923" s="14">
        <f t="shared" si="274"/>
        <v>10</v>
      </c>
      <c r="P923" s="4">
        <v>50926.47</v>
      </c>
      <c r="T923" s="5" t="s">
        <v>1566</v>
      </c>
      <c r="U923" s="3" t="s">
        <v>305</v>
      </c>
      <c r="V923" s="3" t="s">
        <v>1304</v>
      </c>
      <c r="W923" s="3" t="s">
        <v>1306</v>
      </c>
      <c r="X923" s="1" t="s">
        <v>1305</v>
      </c>
    </row>
    <row r="924" spans="1:24" hidden="1">
      <c r="A924" s="143"/>
      <c r="J924" s="1" t="str">
        <f t="shared" si="269"/>
        <v>0</v>
      </c>
      <c r="K924" s="3">
        <f t="shared" si="270"/>
        <v>-100</v>
      </c>
      <c r="L924" s="3">
        <f t="shared" si="271"/>
        <v>1</v>
      </c>
      <c r="M924" s="3">
        <f t="shared" si="272"/>
        <v>0</v>
      </c>
      <c r="N924" s="3" t="str">
        <f t="shared" si="273"/>
        <v>01</v>
      </c>
      <c r="O924" s="14" t="str">
        <f t="shared" si="274"/>
        <v>00</v>
      </c>
    </row>
    <row r="925" spans="1:24" hidden="1">
      <c r="A925" s="143">
        <v>991</v>
      </c>
      <c r="B925" s="1">
        <f>IF(G925="-",0,IF(G924=G925,1,0))</f>
        <v>0</v>
      </c>
      <c r="C925" s="1">
        <f>+IF(G925="-",0,IF(I925=I924+1,0,(IF(I925=1,0,1))))</f>
        <v>1</v>
      </c>
      <c r="D925" s="1">
        <f>+IF(AND(P925="",Q925=""),1,0)</f>
        <v>0</v>
      </c>
      <c r="E925" s="1">
        <f>IF(U925="",1,0)</f>
        <v>0</v>
      </c>
      <c r="F925" s="1">
        <f>IF(V925="",1,0)</f>
        <v>0</v>
      </c>
      <c r="G925" s="1" t="str">
        <f>IF(H925=0,"-",_xlfn.CONCAT(K925,N925,O925,J925))</f>
        <v>25041016</v>
      </c>
      <c r="H925" s="2">
        <v>45757</v>
      </c>
      <c r="I925" s="113">
        <v>16</v>
      </c>
      <c r="J925" s="1">
        <f t="shared" si="269"/>
        <v>16</v>
      </c>
      <c r="K925" s="3">
        <f t="shared" si="270"/>
        <v>25</v>
      </c>
      <c r="L925" s="3">
        <f t="shared" si="271"/>
        <v>4</v>
      </c>
      <c r="M925" s="3">
        <f t="shared" si="272"/>
        <v>10</v>
      </c>
      <c r="N925" s="3" t="str">
        <f t="shared" si="273"/>
        <v>04</v>
      </c>
      <c r="O925" s="14">
        <f t="shared" si="274"/>
        <v>10</v>
      </c>
      <c r="P925" s="4">
        <v>341525</v>
      </c>
      <c r="T925" s="5" t="s">
        <v>1565</v>
      </c>
      <c r="U925" s="3" t="s">
        <v>1406</v>
      </c>
      <c r="V925" s="3" t="s">
        <v>1316</v>
      </c>
      <c r="W925" s="3" t="s">
        <v>1303</v>
      </c>
      <c r="X925" s="1" t="s">
        <v>1305</v>
      </c>
    </row>
    <row r="926" spans="1:24" hidden="1">
      <c r="A926" s="143">
        <v>893</v>
      </c>
      <c r="B926" s="1">
        <f>IF(G926="-",0,IF(G925=G926,1,0))</f>
        <v>0</v>
      </c>
      <c r="C926" s="1">
        <f>+IF(G926="-",0,IF(I926=I925+1,0,(IF(I926=1,0,1))))</f>
        <v>0</v>
      </c>
      <c r="D926" s="1">
        <f>+IF(AND(P926="",Q926=""),1,0)</f>
        <v>0</v>
      </c>
      <c r="E926" s="1">
        <f>IF(U926="",1,0)</f>
        <v>0</v>
      </c>
      <c r="F926" s="1">
        <f>IF(V926="",1,0)</f>
        <v>0</v>
      </c>
      <c r="G926" s="1" t="str">
        <f>IF(H926=0,"-",_xlfn.CONCAT(K926,N926,O926,J926))</f>
        <v>25041101</v>
      </c>
      <c r="H926" s="2">
        <v>45758</v>
      </c>
      <c r="I926" s="113">
        <v>1</v>
      </c>
      <c r="J926" s="1" t="str">
        <f t="shared" si="269"/>
        <v>01</v>
      </c>
      <c r="K926" s="3">
        <f t="shared" si="270"/>
        <v>25</v>
      </c>
      <c r="L926" s="3">
        <f t="shared" si="271"/>
        <v>4</v>
      </c>
      <c r="M926" s="3">
        <f t="shared" si="272"/>
        <v>11</v>
      </c>
      <c r="N926" s="3" t="str">
        <f t="shared" si="273"/>
        <v>04</v>
      </c>
      <c r="O926" s="14">
        <f t="shared" si="274"/>
        <v>11</v>
      </c>
      <c r="P926" s="4">
        <v>6960.52</v>
      </c>
      <c r="T926" s="5" t="s">
        <v>1564</v>
      </c>
      <c r="U926" s="3" t="s">
        <v>29</v>
      </c>
      <c r="V926" s="3" t="s">
        <v>5</v>
      </c>
      <c r="W926" s="3" t="s">
        <v>1307</v>
      </c>
      <c r="X926" s="1" t="s">
        <v>1305</v>
      </c>
    </row>
    <row r="927" spans="1:24" hidden="1">
      <c r="A927" s="143"/>
      <c r="J927" s="1" t="str">
        <f t="shared" si="269"/>
        <v>0</v>
      </c>
      <c r="K927" s="3">
        <f t="shared" si="270"/>
        <v>-100</v>
      </c>
      <c r="L927" s="3">
        <f t="shared" si="271"/>
        <v>1</v>
      </c>
      <c r="M927" s="3">
        <f t="shared" si="272"/>
        <v>0</v>
      </c>
      <c r="N927" s="3" t="str">
        <f t="shared" si="273"/>
        <v>01</v>
      </c>
      <c r="O927" s="14" t="str">
        <f t="shared" si="274"/>
        <v>00</v>
      </c>
    </row>
    <row r="928" spans="1:24" hidden="1">
      <c r="A928" s="143"/>
      <c r="J928" s="1" t="str">
        <f t="shared" si="269"/>
        <v>0</v>
      </c>
      <c r="K928" s="3">
        <f t="shared" si="270"/>
        <v>-100</v>
      </c>
      <c r="L928" s="3">
        <f t="shared" si="271"/>
        <v>1</v>
      </c>
      <c r="M928" s="3">
        <f t="shared" si="272"/>
        <v>0</v>
      </c>
      <c r="N928" s="3" t="str">
        <f t="shared" si="273"/>
        <v>01</v>
      </c>
      <c r="O928" s="14" t="str">
        <f t="shared" si="274"/>
        <v>00</v>
      </c>
    </row>
    <row r="929" spans="1:24" hidden="1">
      <c r="A929" s="143"/>
      <c r="J929" s="1" t="str">
        <f t="shared" si="269"/>
        <v>0</v>
      </c>
      <c r="K929" s="3">
        <f t="shared" si="270"/>
        <v>-100</v>
      </c>
      <c r="L929" s="3">
        <f t="shared" si="271"/>
        <v>1</v>
      </c>
      <c r="M929" s="3">
        <f t="shared" si="272"/>
        <v>0</v>
      </c>
      <c r="N929" s="3" t="str">
        <f t="shared" si="273"/>
        <v>01</v>
      </c>
      <c r="O929" s="14" t="str">
        <f t="shared" si="274"/>
        <v>00</v>
      </c>
    </row>
    <row r="930" spans="1:24" hidden="1">
      <c r="A930" s="143">
        <v>985</v>
      </c>
      <c r="B930" s="1">
        <f t="shared" ref="B930:B948" si="275">IF(G930="-",0,IF(G929=G930,1,0))</f>
        <v>0</v>
      </c>
      <c r="C930" s="1">
        <f t="shared" ref="C930:C948" si="276">+IF(G930="-",0,IF(I930=I929+1,0,(IF(I930=1,0,1))))</f>
        <v>1</v>
      </c>
      <c r="D930" s="1">
        <f t="shared" ref="D930:D948" si="277">+IF(AND(P930="",Q930=""),1,0)</f>
        <v>0</v>
      </c>
      <c r="E930" s="1">
        <f t="shared" ref="E930:E948" si="278">IF(U930="",1,0)</f>
        <v>0</v>
      </c>
      <c r="F930" s="1">
        <f t="shared" ref="F930:F948" si="279">IF(V930="",1,0)</f>
        <v>0</v>
      </c>
      <c r="G930" s="1" t="str">
        <f t="shared" ref="G930:G948" si="280">IF(H930=0,"-",_xlfn.CONCAT(K930,N930,O930,J930))</f>
        <v>25041105</v>
      </c>
      <c r="H930" s="2">
        <v>45758</v>
      </c>
      <c r="I930" s="113">
        <v>5</v>
      </c>
      <c r="J930" s="1" t="str">
        <f t="shared" si="269"/>
        <v>05</v>
      </c>
      <c r="K930" s="3">
        <f t="shared" si="270"/>
        <v>25</v>
      </c>
      <c r="L930" s="3">
        <f t="shared" si="271"/>
        <v>4</v>
      </c>
      <c r="M930" s="3">
        <f t="shared" si="272"/>
        <v>11</v>
      </c>
      <c r="N930" s="3" t="str">
        <f t="shared" si="273"/>
        <v>04</v>
      </c>
      <c r="O930" s="14">
        <f t="shared" si="274"/>
        <v>11</v>
      </c>
      <c r="P930" s="4">
        <v>51750</v>
      </c>
      <c r="T930" s="5" t="s">
        <v>1329</v>
      </c>
      <c r="U930" s="3" t="s">
        <v>1310</v>
      </c>
      <c r="V930" s="3" t="s">
        <v>1316</v>
      </c>
      <c r="W930" s="3" t="s">
        <v>1309</v>
      </c>
      <c r="X930" s="1" t="s">
        <v>1305</v>
      </c>
    </row>
    <row r="931" spans="1:24" hidden="1">
      <c r="A931" s="143">
        <v>986</v>
      </c>
      <c r="B931" s="1">
        <f t="shared" si="275"/>
        <v>0</v>
      </c>
      <c r="C931" s="1">
        <f t="shared" si="276"/>
        <v>0</v>
      </c>
      <c r="D931" s="1">
        <f t="shared" si="277"/>
        <v>0</v>
      </c>
      <c r="E931" s="1">
        <f t="shared" si="278"/>
        <v>0</v>
      </c>
      <c r="F931" s="1">
        <f t="shared" si="279"/>
        <v>0</v>
      </c>
      <c r="G931" s="1" t="str">
        <f t="shared" si="280"/>
        <v>25041106</v>
      </c>
      <c r="H931" s="2">
        <v>45758</v>
      </c>
      <c r="I931" s="113">
        <v>6</v>
      </c>
      <c r="J931" s="1" t="str">
        <f t="shared" si="269"/>
        <v>06</v>
      </c>
      <c r="K931" s="3">
        <f t="shared" si="270"/>
        <v>25</v>
      </c>
      <c r="L931" s="3">
        <f t="shared" si="271"/>
        <v>4</v>
      </c>
      <c r="M931" s="3">
        <f t="shared" si="272"/>
        <v>11</v>
      </c>
      <c r="N931" s="3" t="str">
        <f t="shared" si="273"/>
        <v>04</v>
      </c>
      <c r="O931" s="14">
        <f t="shared" si="274"/>
        <v>11</v>
      </c>
      <c r="P931" s="4">
        <v>136475</v>
      </c>
      <c r="T931" s="5" t="s">
        <v>1563</v>
      </c>
      <c r="U931" s="3" t="s">
        <v>1310</v>
      </c>
      <c r="V931" s="3" t="s">
        <v>1316</v>
      </c>
      <c r="W931" s="3" t="s">
        <v>1309</v>
      </c>
      <c r="X931" s="1" t="s">
        <v>1305</v>
      </c>
    </row>
    <row r="932" spans="1:24" hidden="1">
      <c r="A932" s="143">
        <v>1007</v>
      </c>
      <c r="B932" s="1">
        <f t="shared" si="275"/>
        <v>0</v>
      </c>
      <c r="C932" s="1">
        <f t="shared" si="276"/>
        <v>0</v>
      </c>
      <c r="D932" s="1">
        <f t="shared" si="277"/>
        <v>0</v>
      </c>
      <c r="E932" s="1">
        <f t="shared" si="278"/>
        <v>0</v>
      </c>
      <c r="F932" s="1">
        <f t="shared" si="279"/>
        <v>0</v>
      </c>
      <c r="G932" s="1" t="str">
        <f t="shared" si="280"/>
        <v>25041107</v>
      </c>
      <c r="H932" s="2">
        <v>45758</v>
      </c>
      <c r="I932" s="113">
        <v>7</v>
      </c>
      <c r="J932" s="1" t="str">
        <f t="shared" si="269"/>
        <v>07</v>
      </c>
      <c r="K932" s="3">
        <f t="shared" si="270"/>
        <v>25</v>
      </c>
      <c r="L932" s="3">
        <f t="shared" si="271"/>
        <v>4</v>
      </c>
      <c r="M932" s="3">
        <f t="shared" si="272"/>
        <v>11</v>
      </c>
      <c r="N932" s="3" t="str">
        <f t="shared" si="273"/>
        <v>04</v>
      </c>
      <c r="O932" s="14">
        <f t="shared" si="274"/>
        <v>11</v>
      </c>
      <c r="P932" s="4">
        <v>20625</v>
      </c>
      <c r="T932" s="5" t="s">
        <v>1562</v>
      </c>
      <c r="U932" s="3" t="s">
        <v>1406</v>
      </c>
      <c r="V932" s="3" t="s">
        <v>1316</v>
      </c>
      <c r="W932" s="3" t="s">
        <v>1306</v>
      </c>
      <c r="X932" s="1" t="s">
        <v>1305</v>
      </c>
    </row>
    <row r="933" spans="1:24">
      <c r="A933" s="143">
        <v>829</v>
      </c>
      <c r="B933" s="1">
        <f t="shared" si="275"/>
        <v>0</v>
      </c>
      <c r="C933" s="1">
        <f t="shared" si="276"/>
        <v>0</v>
      </c>
      <c r="D933" s="1">
        <f t="shared" si="277"/>
        <v>0</v>
      </c>
      <c r="E933" s="1">
        <f t="shared" si="278"/>
        <v>0</v>
      </c>
      <c r="F933" s="1">
        <f t="shared" si="279"/>
        <v>0</v>
      </c>
      <c r="G933" s="1" t="str">
        <f t="shared" si="280"/>
        <v>25041201</v>
      </c>
      <c r="H933" s="2">
        <v>45759</v>
      </c>
      <c r="I933" s="113">
        <v>1</v>
      </c>
      <c r="J933" s="1" t="str">
        <f t="shared" si="269"/>
        <v>01</v>
      </c>
      <c r="K933" s="3">
        <f t="shared" si="270"/>
        <v>25</v>
      </c>
      <c r="L933" s="3">
        <f t="shared" si="271"/>
        <v>4</v>
      </c>
      <c r="M933" s="3">
        <f t="shared" si="272"/>
        <v>12</v>
      </c>
      <c r="N933" s="3" t="str">
        <f t="shared" si="273"/>
        <v>04</v>
      </c>
      <c r="O933" s="14">
        <f t="shared" si="274"/>
        <v>12</v>
      </c>
      <c r="P933" s="4">
        <v>185500</v>
      </c>
      <c r="T933" s="28" t="s">
        <v>1561</v>
      </c>
      <c r="U933" s="3" t="s">
        <v>1342</v>
      </c>
      <c r="V933" s="3" t="s">
        <v>5</v>
      </c>
      <c r="W933" s="3" t="s">
        <v>1306</v>
      </c>
      <c r="X933" s="1" t="s">
        <v>1302</v>
      </c>
    </row>
    <row r="934" spans="1:24">
      <c r="A934" s="143">
        <v>830</v>
      </c>
      <c r="B934" s="1">
        <f t="shared" si="275"/>
        <v>0</v>
      </c>
      <c r="C934" s="1">
        <f t="shared" si="276"/>
        <v>0</v>
      </c>
      <c r="D934" s="1">
        <f t="shared" si="277"/>
        <v>0</v>
      </c>
      <c r="E934" s="1">
        <f t="shared" si="278"/>
        <v>0</v>
      </c>
      <c r="F934" s="1">
        <f t="shared" si="279"/>
        <v>0</v>
      </c>
      <c r="G934" s="1" t="str">
        <f t="shared" si="280"/>
        <v>25041202</v>
      </c>
      <c r="H934" s="2">
        <v>45759</v>
      </c>
      <c r="I934" s="113">
        <v>2</v>
      </c>
      <c r="J934" s="1" t="str">
        <f t="shared" si="269"/>
        <v>02</v>
      </c>
      <c r="K934" s="3">
        <f t="shared" si="270"/>
        <v>25</v>
      </c>
      <c r="L934" s="3">
        <f t="shared" si="271"/>
        <v>4</v>
      </c>
      <c r="M934" s="3">
        <f t="shared" si="272"/>
        <v>12</v>
      </c>
      <c r="N934" s="3" t="str">
        <f t="shared" si="273"/>
        <v>04</v>
      </c>
      <c r="O934" s="14">
        <f t="shared" si="274"/>
        <v>12</v>
      </c>
      <c r="P934" s="4">
        <v>161000</v>
      </c>
      <c r="T934" s="28" t="s">
        <v>1560</v>
      </c>
      <c r="U934" s="3" t="s">
        <v>1342</v>
      </c>
      <c r="V934" s="3" t="s">
        <v>5</v>
      </c>
      <c r="W934" s="3" t="s">
        <v>1306</v>
      </c>
      <c r="X934" s="1" t="s">
        <v>1302</v>
      </c>
    </row>
    <row r="935" spans="1:24">
      <c r="A935" s="143">
        <v>831</v>
      </c>
      <c r="B935" s="1">
        <f t="shared" si="275"/>
        <v>0</v>
      </c>
      <c r="C935" s="1">
        <f t="shared" si="276"/>
        <v>0</v>
      </c>
      <c r="D935" s="1">
        <f t="shared" si="277"/>
        <v>0</v>
      </c>
      <c r="E935" s="1">
        <f t="shared" si="278"/>
        <v>0</v>
      </c>
      <c r="F935" s="1">
        <f t="shared" si="279"/>
        <v>0</v>
      </c>
      <c r="G935" s="1" t="str">
        <f t="shared" si="280"/>
        <v>25041203</v>
      </c>
      <c r="H935" s="2">
        <v>45759</v>
      </c>
      <c r="I935" s="113">
        <v>3</v>
      </c>
      <c r="J935" s="1" t="str">
        <f t="shared" si="269"/>
        <v>03</v>
      </c>
      <c r="K935" s="3">
        <f t="shared" si="270"/>
        <v>25</v>
      </c>
      <c r="L935" s="3">
        <f t="shared" si="271"/>
        <v>4</v>
      </c>
      <c r="M935" s="3">
        <f t="shared" si="272"/>
        <v>12</v>
      </c>
      <c r="N935" s="3" t="str">
        <f t="shared" si="273"/>
        <v>04</v>
      </c>
      <c r="O935" s="14">
        <f t="shared" si="274"/>
        <v>12</v>
      </c>
      <c r="P935" s="4">
        <v>154000</v>
      </c>
      <c r="T935" s="28" t="s">
        <v>1559</v>
      </c>
      <c r="U935" s="3" t="s">
        <v>1342</v>
      </c>
      <c r="V935" s="3" t="s">
        <v>5</v>
      </c>
      <c r="W935" s="3" t="s">
        <v>1306</v>
      </c>
      <c r="X935" s="1" t="s">
        <v>1302</v>
      </c>
    </row>
    <row r="936" spans="1:24">
      <c r="A936" s="143">
        <v>832</v>
      </c>
      <c r="B936" s="1">
        <f t="shared" si="275"/>
        <v>0</v>
      </c>
      <c r="C936" s="1">
        <f t="shared" si="276"/>
        <v>0</v>
      </c>
      <c r="D936" s="1">
        <f t="shared" si="277"/>
        <v>0</v>
      </c>
      <c r="E936" s="1">
        <f t="shared" si="278"/>
        <v>0</v>
      </c>
      <c r="F936" s="1">
        <f t="shared" si="279"/>
        <v>0</v>
      </c>
      <c r="G936" s="1" t="str">
        <f t="shared" si="280"/>
        <v>25041204</v>
      </c>
      <c r="H936" s="2">
        <v>45759</v>
      </c>
      <c r="I936" s="113">
        <v>4</v>
      </c>
      <c r="J936" s="1" t="str">
        <f t="shared" si="269"/>
        <v>04</v>
      </c>
      <c r="K936" s="3">
        <f t="shared" si="270"/>
        <v>25</v>
      </c>
      <c r="L936" s="3">
        <f t="shared" si="271"/>
        <v>4</v>
      </c>
      <c r="M936" s="3">
        <f t="shared" si="272"/>
        <v>12</v>
      </c>
      <c r="N936" s="3" t="str">
        <f t="shared" si="273"/>
        <v>04</v>
      </c>
      <c r="O936" s="14">
        <f t="shared" si="274"/>
        <v>12</v>
      </c>
      <c r="P936" s="4">
        <v>126000</v>
      </c>
      <c r="T936" s="28" t="s">
        <v>1558</v>
      </c>
      <c r="U936" s="3" t="s">
        <v>1342</v>
      </c>
      <c r="V936" s="3" t="s">
        <v>5</v>
      </c>
      <c r="W936" s="3" t="s">
        <v>1306</v>
      </c>
      <c r="X936" s="1" t="s">
        <v>1302</v>
      </c>
    </row>
    <row r="937" spans="1:24">
      <c r="A937" s="143">
        <v>833</v>
      </c>
      <c r="B937" s="1">
        <f t="shared" si="275"/>
        <v>0</v>
      </c>
      <c r="C937" s="1">
        <f t="shared" si="276"/>
        <v>0</v>
      </c>
      <c r="D937" s="1">
        <f t="shared" si="277"/>
        <v>0</v>
      </c>
      <c r="E937" s="1">
        <f t="shared" si="278"/>
        <v>0</v>
      </c>
      <c r="F937" s="1">
        <f t="shared" si="279"/>
        <v>0</v>
      </c>
      <c r="G937" s="1" t="str">
        <f t="shared" si="280"/>
        <v>25041205</v>
      </c>
      <c r="H937" s="2">
        <v>45759</v>
      </c>
      <c r="I937" s="113">
        <v>5</v>
      </c>
      <c r="J937" s="1" t="str">
        <f t="shared" si="269"/>
        <v>05</v>
      </c>
      <c r="K937" s="3">
        <f t="shared" si="270"/>
        <v>25</v>
      </c>
      <c r="L937" s="3">
        <f t="shared" si="271"/>
        <v>4</v>
      </c>
      <c r="M937" s="3">
        <f t="shared" si="272"/>
        <v>12</v>
      </c>
      <c r="N937" s="3" t="str">
        <f t="shared" si="273"/>
        <v>04</v>
      </c>
      <c r="O937" s="14">
        <f t="shared" si="274"/>
        <v>12</v>
      </c>
      <c r="P937" s="4">
        <v>154000</v>
      </c>
      <c r="T937" s="28" t="s">
        <v>1557</v>
      </c>
      <c r="U937" s="3" t="s">
        <v>1342</v>
      </c>
      <c r="V937" s="3" t="s">
        <v>5</v>
      </c>
      <c r="W937" s="3" t="s">
        <v>1306</v>
      </c>
      <c r="X937" s="1" t="s">
        <v>1302</v>
      </c>
    </row>
    <row r="938" spans="1:24">
      <c r="A938" s="143">
        <v>834</v>
      </c>
      <c r="B938" s="1">
        <f t="shared" si="275"/>
        <v>0</v>
      </c>
      <c r="C938" s="1">
        <f t="shared" si="276"/>
        <v>0</v>
      </c>
      <c r="D938" s="1">
        <f t="shared" si="277"/>
        <v>0</v>
      </c>
      <c r="E938" s="1">
        <f t="shared" si="278"/>
        <v>0</v>
      </c>
      <c r="F938" s="1">
        <f t="shared" si="279"/>
        <v>0</v>
      </c>
      <c r="G938" s="1" t="str">
        <f t="shared" si="280"/>
        <v>25041206</v>
      </c>
      <c r="H938" s="2">
        <v>45759</v>
      </c>
      <c r="I938" s="113">
        <v>6</v>
      </c>
      <c r="J938" s="1" t="str">
        <f t="shared" si="269"/>
        <v>06</v>
      </c>
      <c r="K938" s="3">
        <f t="shared" si="270"/>
        <v>25</v>
      </c>
      <c r="L938" s="3">
        <f t="shared" si="271"/>
        <v>4</v>
      </c>
      <c r="M938" s="3">
        <f t="shared" si="272"/>
        <v>12</v>
      </c>
      <c r="N938" s="3" t="str">
        <f t="shared" si="273"/>
        <v>04</v>
      </c>
      <c r="O938" s="14">
        <f t="shared" si="274"/>
        <v>12</v>
      </c>
      <c r="P938" s="4">
        <v>185500</v>
      </c>
      <c r="T938" s="28" t="s">
        <v>1556</v>
      </c>
      <c r="U938" s="3" t="s">
        <v>1342</v>
      </c>
      <c r="V938" s="3" t="s">
        <v>5</v>
      </c>
      <c r="W938" s="3" t="s">
        <v>1306</v>
      </c>
      <c r="X938" s="1" t="s">
        <v>1302</v>
      </c>
    </row>
    <row r="939" spans="1:24">
      <c r="A939" s="143">
        <v>835</v>
      </c>
      <c r="B939" s="1">
        <f t="shared" si="275"/>
        <v>0</v>
      </c>
      <c r="C939" s="1">
        <f t="shared" si="276"/>
        <v>0</v>
      </c>
      <c r="D939" s="1">
        <f t="shared" si="277"/>
        <v>0</v>
      </c>
      <c r="E939" s="1">
        <f t="shared" si="278"/>
        <v>0</v>
      </c>
      <c r="F939" s="1">
        <f t="shared" si="279"/>
        <v>0</v>
      </c>
      <c r="G939" s="1" t="str">
        <f t="shared" si="280"/>
        <v>25041207</v>
      </c>
      <c r="H939" s="2">
        <v>45759</v>
      </c>
      <c r="I939" s="113">
        <v>7</v>
      </c>
      <c r="J939" s="1" t="str">
        <f t="shared" si="269"/>
        <v>07</v>
      </c>
      <c r="K939" s="3">
        <f t="shared" si="270"/>
        <v>25</v>
      </c>
      <c r="L939" s="3">
        <f t="shared" si="271"/>
        <v>4</v>
      </c>
      <c r="M939" s="3">
        <f t="shared" si="272"/>
        <v>12</v>
      </c>
      <c r="N939" s="3" t="str">
        <f t="shared" si="273"/>
        <v>04</v>
      </c>
      <c r="O939" s="14">
        <f t="shared" si="274"/>
        <v>12</v>
      </c>
      <c r="P939" s="4">
        <v>154000</v>
      </c>
      <c r="T939" s="28" t="s">
        <v>1555</v>
      </c>
      <c r="U939" s="3" t="s">
        <v>1342</v>
      </c>
      <c r="V939" s="3" t="s">
        <v>5</v>
      </c>
      <c r="W939" s="3" t="s">
        <v>1306</v>
      </c>
      <c r="X939" s="1" t="s">
        <v>1302</v>
      </c>
    </row>
    <row r="940" spans="1:24">
      <c r="A940" s="143">
        <v>836</v>
      </c>
      <c r="B940" s="1">
        <f t="shared" si="275"/>
        <v>0</v>
      </c>
      <c r="C940" s="1">
        <f t="shared" si="276"/>
        <v>0</v>
      </c>
      <c r="D940" s="1">
        <f t="shared" si="277"/>
        <v>0</v>
      </c>
      <c r="E940" s="1">
        <f t="shared" si="278"/>
        <v>0</v>
      </c>
      <c r="F940" s="1">
        <f t="shared" si="279"/>
        <v>0</v>
      </c>
      <c r="G940" s="1" t="str">
        <f t="shared" si="280"/>
        <v>25041208</v>
      </c>
      <c r="H940" s="2">
        <v>45759</v>
      </c>
      <c r="I940" s="113">
        <v>8</v>
      </c>
      <c r="J940" s="1" t="str">
        <f t="shared" si="269"/>
        <v>08</v>
      </c>
      <c r="K940" s="3">
        <f t="shared" si="270"/>
        <v>25</v>
      </c>
      <c r="L940" s="3">
        <f t="shared" si="271"/>
        <v>4</v>
      </c>
      <c r="M940" s="3">
        <f t="shared" si="272"/>
        <v>12</v>
      </c>
      <c r="N940" s="3" t="str">
        <f t="shared" si="273"/>
        <v>04</v>
      </c>
      <c r="O940" s="14">
        <f t="shared" si="274"/>
        <v>12</v>
      </c>
      <c r="P940" s="4">
        <v>154000</v>
      </c>
      <c r="T940" s="23" t="s">
        <v>1554</v>
      </c>
      <c r="U940" s="3" t="s">
        <v>1342</v>
      </c>
      <c r="V940" s="3" t="s">
        <v>5</v>
      </c>
      <c r="W940" s="3" t="s">
        <v>1306</v>
      </c>
      <c r="X940" s="1" t="s">
        <v>1302</v>
      </c>
    </row>
    <row r="941" spans="1:24">
      <c r="A941" s="143">
        <v>837</v>
      </c>
      <c r="B941" s="1">
        <f t="shared" si="275"/>
        <v>0</v>
      </c>
      <c r="C941" s="1">
        <f t="shared" si="276"/>
        <v>0</v>
      </c>
      <c r="D941" s="1">
        <f t="shared" si="277"/>
        <v>0</v>
      </c>
      <c r="E941" s="1">
        <f t="shared" si="278"/>
        <v>0</v>
      </c>
      <c r="F941" s="1">
        <f t="shared" si="279"/>
        <v>0</v>
      </c>
      <c r="G941" s="1" t="str">
        <f t="shared" si="280"/>
        <v>25041209</v>
      </c>
      <c r="H941" s="2">
        <v>45759</v>
      </c>
      <c r="I941" s="113">
        <v>9</v>
      </c>
      <c r="J941" s="1" t="str">
        <f t="shared" si="269"/>
        <v>09</v>
      </c>
      <c r="K941" s="3">
        <f t="shared" si="270"/>
        <v>25</v>
      </c>
      <c r="L941" s="3">
        <f t="shared" si="271"/>
        <v>4</v>
      </c>
      <c r="M941" s="3">
        <f t="shared" si="272"/>
        <v>12</v>
      </c>
      <c r="N941" s="3" t="str">
        <f t="shared" si="273"/>
        <v>04</v>
      </c>
      <c r="O941" s="14">
        <f t="shared" si="274"/>
        <v>12</v>
      </c>
      <c r="P941" s="4">
        <v>126000</v>
      </c>
      <c r="T941" s="23" t="s">
        <v>1553</v>
      </c>
      <c r="U941" s="3" t="s">
        <v>1342</v>
      </c>
      <c r="V941" s="3" t="s">
        <v>5</v>
      </c>
      <c r="W941" s="3" t="s">
        <v>1306</v>
      </c>
      <c r="X941" s="1" t="s">
        <v>1302</v>
      </c>
    </row>
    <row r="942" spans="1:24">
      <c r="A942" s="143">
        <v>838</v>
      </c>
      <c r="B942" s="1">
        <f t="shared" si="275"/>
        <v>0</v>
      </c>
      <c r="C942" s="1">
        <f t="shared" si="276"/>
        <v>0</v>
      </c>
      <c r="D942" s="1">
        <f t="shared" si="277"/>
        <v>0</v>
      </c>
      <c r="E942" s="1">
        <f t="shared" si="278"/>
        <v>0</v>
      </c>
      <c r="F942" s="1">
        <f t="shared" si="279"/>
        <v>0</v>
      </c>
      <c r="G942" s="1" t="str">
        <f t="shared" si="280"/>
        <v>25041210</v>
      </c>
      <c r="H942" s="2">
        <v>45759</v>
      </c>
      <c r="I942" s="113">
        <v>10</v>
      </c>
      <c r="J942" s="1">
        <f t="shared" si="269"/>
        <v>10</v>
      </c>
      <c r="K942" s="3">
        <f t="shared" si="270"/>
        <v>25</v>
      </c>
      <c r="L942" s="3">
        <f t="shared" si="271"/>
        <v>4</v>
      </c>
      <c r="M942" s="3">
        <f t="shared" si="272"/>
        <v>12</v>
      </c>
      <c r="N942" s="3" t="str">
        <f t="shared" si="273"/>
        <v>04</v>
      </c>
      <c r="O942" s="14">
        <f t="shared" si="274"/>
        <v>12</v>
      </c>
      <c r="P942" s="4">
        <v>126000</v>
      </c>
      <c r="T942" s="23" t="s">
        <v>1552</v>
      </c>
      <c r="U942" s="3" t="s">
        <v>1342</v>
      </c>
      <c r="V942" s="3" t="s">
        <v>5</v>
      </c>
      <c r="W942" s="3" t="s">
        <v>1306</v>
      </c>
      <c r="X942" s="1" t="s">
        <v>1302</v>
      </c>
    </row>
    <row r="943" spans="1:24">
      <c r="A943" s="143">
        <v>839</v>
      </c>
      <c r="B943" s="1">
        <f t="shared" si="275"/>
        <v>0</v>
      </c>
      <c r="C943" s="1">
        <f t="shared" si="276"/>
        <v>0</v>
      </c>
      <c r="D943" s="1">
        <f t="shared" si="277"/>
        <v>0</v>
      </c>
      <c r="E943" s="1">
        <f t="shared" si="278"/>
        <v>0</v>
      </c>
      <c r="F943" s="1">
        <f t="shared" si="279"/>
        <v>0</v>
      </c>
      <c r="G943" s="1" t="str">
        <f t="shared" si="280"/>
        <v>25041211</v>
      </c>
      <c r="H943" s="2">
        <v>45759</v>
      </c>
      <c r="I943" s="113">
        <v>11</v>
      </c>
      <c r="J943" s="1">
        <f t="shared" si="269"/>
        <v>11</v>
      </c>
      <c r="K943" s="3">
        <f t="shared" si="270"/>
        <v>25</v>
      </c>
      <c r="L943" s="3">
        <f t="shared" si="271"/>
        <v>4</v>
      </c>
      <c r="M943" s="3">
        <f t="shared" si="272"/>
        <v>12</v>
      </c>
      <c r="N943" s="3" t="str">
        <f t="shared" si="273"/>
        <v>04</v>
      </c>
      <c r="O943" s="14">
        <f t="shared" si="274"/>
        <v>12</v>
      </c>
      <c r="P943" s="4">
        <v>154000</v>
      </c>
      <c r="T943" s="23" t="s">
        <v>1551</v>
      </c>
      <c r="U943" s="3" t="s">
        <v>1342</v>
      </c>
      <c r="V943" s="3" t="s">
        <v>5</v>
      </c>
      <c r="W943" s="3" t="s">
        <v>1306</v>
      </c>
      <c r="X943" s="1" t="s">
        <v>1302</v>
      </c>
    </row>
    <row r="944" spans="1:24">
      <c r="A944" s="143">
        <v>840</v>
      </c>
      <c r="B944" s="1">
        <f t="shared" si="275"/>
        <v>0</v>
      </c>
      <c r="C944" s="1">
        <f t="shared" si="276"/>
        <v>0</v>
      </c>
      <c r="D944" s="1">
        <f t="shared" si="277"/>
        <v>0</v>
      </c>
      <c r="E944" s="1">
        <f t="shared" si="278"/>
        <v>0</v>
      </c>
      <c r="F944" s="1">
        <f t="shared" si="279"/>
        <v>0</v>
      </c>
      <c r="G944" s="1" t="str">
        <f t="shared" si="280"/>
        <v>25041212</v>
      </c>
      <c r="H944" s="2">
        <v>45759</v>
      </c>
      <c r="I944" s="113">
        <v>12</v>
      </c>
      <c r="J944" s="1">
        <f t="shared" si="269"/>
        <v>12</v>
      </c>
      <c r="K944" s="3">
        <f t="shared" si="270"/>
        <v>25</v>
      </c>
      <c r="L944" s="3">
        <f t="shared" si="271"/>
        <v>4</v>
      </c>
      <c r="M944" s="3">
        <f t="shared" si="272"/>
        <v>12</v>
      </c>
      <c r="N944" s="3" t="str">
        <f t="shared" si="273"/>
        <v>04</v>
      </c>
      <c r="O944" s="14">
        <f t="shared" si="274"/>
        <v>12</v>
      </c>
      <c r="P944" s="4">
        <v>252000</v>
      </c>
      <c r="T944" s="23" t="s">
        <v>1550</v>
      </c>
      <c r="U944" s="3" t="s">
        <v>1342</v>
      </c>
      <c r="V944" s="3" t="s">
        <v>5</v>
      </c>
      <c r="W944" s="3" t="s">
        <v>1306</v>
      </c>
      <c r="X944" s="1" t="s">
        <v>1302</v>
      </c>
    </row>
    <row r="945" spans="1:25">
      <c r="A945" s="143">
        <v>841</v>
      </c>
      <c r="B945" s="1">
        <f t="shared" si="275"/>
        <v>0</v>
      </c>
      <c r="C945" s="1">
        <f t="shared" si="276"/>
        <v>0</v>
      </c>
      <c r="D945" s="1">
        <f t="shared" si="277"/>
        <v>0</v>
      </c>
      <c r="E945" s="1">
        <f t="shared" si="278"/>
        <v>0</v>
      </c>
      <c r="F945" s="1">
        <f t="shared" si="279"/>
        <v>0</v>
      </c>
      <c r="G945" s="1" t="str">
        <f t="shared" si="280"/>
        <v>25041213</v>
      </c>
      <c r="H945" s="2">
        <v>45759</v>
      </c>
      <c r="I945" s="113">
        <v>13</v>
      </c>
      <c r="J945" s="1">
        <f t="shared" si="269"/>
        <v>13</v>
      </c>
      <c r="K945" s="3">
        <f t="shared" si="270"/>
        <v>25</v>
      </c>
      <c r="L945" s="3">
        <f t="shared" si="271"/>
        <v>4</v>
      </c>
      <c r="M945" s="3">
        <f t="shared" si="272"/>
        <v>12</v>
      </c>
      <c r="N945" s="3" t="str">
        <f t="shared" si="273"/>
        <v>04</v>
      </c>
      <c r="O945" s="14">
        <f t="shared" si="274"/>
        <v>12</v>
      </c>
      <c r="P945" s="4">
        <v>90000</v>
      </c>
      <c r="T945" s="23" t="s">
        <v>1549</v>
      </c>
      <c r="U945" s="3" t="s">
        <v>1342</v>
      </c>
      <c r="V945" s="3" t="s">
        <v>5</v>
      </c>
      <c r="W945" s="3" t="s">
        <v>1306</v>
      </c>
      <c r="X945" s="1" t="s">
        <v>1302</v>
      </c>
    </row>
    <row r="946" spans="1:25">
      <c r="A946" s="143">
        <v>842</v>
      </c>
      <c r="B946" s="1">
        <f t="shared" si="275"/>
        <v>0</v>
      </c>
      <c r="C946" s="1">
        <f t="shared" si="276"/>
        <v>0</v>
      </c>
      <c r="D946" s="1">
        <f t="shared" si="277"/>
        <v>0</v>
      </c>
      <c r="E946" s="1">
        <f t="shared" si="278"/>
        <v>0</v>
      </c>
      <c r="F946" s="1">
        <f t="shared" si="279"/>
        <v>0</v>
      </c>
      <c r="G946" s="1" t="str">
        <f t="shared" si="280"/>
        <v>25041214</v>
      </c>
      <c r="H946" s="2">
        <v>45759</v>
      </c>
      <c r="I946" s="113">
        <v>14</v>
      </c>
      <c r="J946" s="1">
        <f t="shared" si="269"/>
        <v>14</v>
      </c>
      <c r="K946" s="3">
        <f t="shared" si="270"/>
        <v>25</v>
      </c>
      <c r="L946" s="3">
        <f t="shared" si="271"/>
        <v>4</v>
      </c>
      <c r="M946" s="3">
        <f t="shared" si="272"/>
        <v>12</v>
      </c>
      <c r="N946" s="3" t="str">
        <f t="shared" si="273"/>
        <v>04</v>
      </c>
      <c r="O946" s="14">
        <f t="shared" si="274"/>
        <v>12</v>
      </c>
      <c r="P946" s="4">
        <v>150000</v>
      </c>
      <c r="T946" s="23" t="s">
        <v>1527</v>
      </c>
      <c r="U946" s="3" t="s">
        <v>1342</v>
      </c>
      <c r="V946" s="3" t="s">
        <v>5</v>
      </c>
      <c r="W946" s="3" t="s">
        <v>1306</v>
      </c>
      <c r="X946" s="1" t="s">
        <v>1302</v>
      </c>
    </row>
    <row r="947" spans="1:25">
      <c r="A947" s="143">
        <v>894</v>
      </c>
      <c r="B947" s="1">
        <f t="shared" si="275"/>
        <v>0</v>
      </c>
      <c r="C947" s="1">
        <f t="shared" si="276"/>
        <v>0</v>
      </c>
      <c r="D947" s="1">
        <f t="shared" si="277"/>
        <v>0</v>
      </c>
      <c r="E947" s="1">
        <f t="shared" si="278"/>
        <v>0</v>
      </c>
      <c r="F947" s="1">
        <f t="shared" si="279"/>
        <v>0</v>
      </c>
      <c r="G947" s="1" t="str">
        <f t="shared" si="280"/>
        <v>25041215</v>
      </c>
      <c r="H947" s="2">
        <v>45759</v>
      </c>
      <c r="I947" s="113">
        <v>15</v>
      </c>
      <c r="J947" s="1">
        <f t="shared" si="269"/>
        <v>15</v>
      </c>
      <c r="K947" s="3">
        <f t="shared" si="270"/>
        <v>25</v>
      </c>
      <c r="L947" s="3">
        <f t="shared" si="271"/>
        <v>4</v>
      </c>
      <c r="M947" s="3">
        <f t="shared" si="272"/>
        <v>12</v>
      </c>
      <c r="N947" s="3" t="str">
        <f t="shared" si="273"/>
        <v>04</v>
      </c>
      <c r="O947" s="14">
        <f t="shared" si="274"/>
        <v>12</v>
      </c>
      <c r="P947" s="4">
        <v>266105.17</v>
      </c>
      <c r="T947" s="5" t="s">
        <v>1548</v>
      </c>
      <c r="U947" s="3" t="s">
        <v>1342</v>
      </c>
      <c r="V947" s="3" t="s">
        <v>5</v>
      </c>
      <c r="W947" s="3" t="s">
        <v>1306</v>
      </c>
      <c r="X947" s="1" t="s">
        <v>1305</v>
      </c>
    </row>
    <row r="948" spans="1:25" hidden="1">
      <c r="A948" s="143">
        <v>918</v>
      </c>
      <c r="B948" s="1">
        <f t="shared" si="275"/>
        <v>0</v>
      </c>
      <c r="C948" s="1">
        <f t="shared" si="276"/>
        <v>0</v>
      </c>
      <c r="D948" s="1">
        <f t="shared" si="277"/>
        <v>0</v>
      </c>
      <c r="E948" s="1">
        <f t="shared" si="278"/>
        <v>0</v>
      </c>
      <c r="F948" s="1">
        <f t="shared" si="279"/>
        <v>0</v>
      </c>
      <c r="G948" s="1" t="str">
        <f t="shared" si="280"/>
        <v>25041216</v>
      </c>
      <c r="H948" s="2">
        <v>45759</v>
      </c>
      <c r="I948" s="113">
        <v>16</v>
      </c>
      <c r="J948" s="1">
        <f t="shared" si="269"/>
        <v>16</v>
      </c>
      <c r="K948" s="3">
        <f t="shared" si="270"/>
        <v>25</v>
      </c>
      <c r="L948" s="3">
        <f t="shared" si="271"/>
        <v>4</v>
      </c>
      <c r="M948" s="3">
        <f t="shared" si="272"/>
        <v>12</v>
      </c>
      <c r="N948" s="3" t="str">
        <f t="shared" si="273"/>
        <v>04</v>
      </c>
      <c r="O948" s="14">
        <f t="shared" si="274"/>
        <v>12</v>
      </c>
      <c r="P948" s="4">
        <v>30000</v>
      </c>
      <c r="T948" s="5" t="s">
        <v>1547</v>
      </c>
      <c r="U948" s="3" t="s">
        <v>29</v>
      </c>
      <c r="V948" s="3" t="s">
        <v>4</v>
      </c>
      <c r="W948" s="3" t="s">
        <v>1303</v>
      </c>
      <c r="X948" s="1" t="s">
        <v>1302</v>
      </c>
    </row>
    <row r="949" spans="1:25" hidden="1">
      <c r="A949" s="143"/>
      <c r="J949" s="1" t="str">
        <f t="shared" si="269"/>
        <v>0</v>
      </c>
      <c r="K949" s="3">
        <f t="shared" si="270"/>
        <v>-100</v>
      </c>
      <c r="L949" s="3">
        <f t="shared" si="271"/>
        <v>1</v>
      </c>
      <c r="M949" s="3">
        <f t="shared" si="272"/>
        <v>0</v>
      </c>
      <c r="N949" s="3" t="str">
        <f t="shared" si="273"/>
        <v>01</v>
      </c>
      <c r="O949" s="14" t="str">
        <f t="shared" si="274"/>
        <v>00</v>
      </c>
    </row>
    <row r="950" spans="1:25" hidden="1">
      <c r="A950" s="143"/>
      <c r="J950" s="1" t="str">
        <f t="shared" si="269"/>
        <v>0</v>
      </c>
      <c r="K950" s="3">
        <f t="shared" si="270"/>
        <v>-100</v>
      </c>
      <c r="L950" s="3">
        <f t="shared" si="271"/>
        <v>1</v>
      </c>
      <c r="M950" s="3">
        <f t="shared" si="272"/>
        <v>0</v>
      </c>
      <c r="N950" s="3" t="str">
        <f t="shared" si="273"/>
        <v>01</v>
      </c>
      <c r="O950" s="14" t="str">
        <f t="shared" si="274"/>
        <v>00</v>
      </c>
    </row>
    <row r="951" spans="1:25" hidden="1">
      <c r="A951" s="143"/>
      <c r="J951" s="1" t="str">
        <f t="shared" si="269"/>
        <v>0</v>
      </c>
      <c r="K951" s="3">
        <f t="shared" si="270"/>
        <v>-100</v>
      </c>
      <c r="L951" s="3">
        <f t="shared" si="271"/>
        <v>1</v>
      </c>
      <c r="M951" s="3">
        <f t="shared" si="272"/>
        <v>0</v>
      </c>
      <c r="N951" s="3" t="str">
        <f t="shared" si="273"/>
        <v>01</v>
      </c>
      <c r="O951" s="14" t="str">
        <f t="shared" si="274"/>
        <v>00</v>
      </c>
    </row>
    <row r="952" spans="1:25" hidden="1">
      <c r="A952" s="143">
        <v>895</v>
      </c>
      <c r="B952" s="1">
        <f>IF(G952="-",0,IF(G951=G952,1,0))</f>
        <v>0</v>
      </c>
      <c r="C952" s="1">
        <f>+IF(G952="-",0,IF(I952=I951+1,0,(IF(I952=1,0,1))))</f>
        <v>0</v>
      </c>
      <c r="D952" s="1">
        <f>+IF(AND(P952="",Q952=""),1,0)</f>
        <v>0</v>
      </c>
      <c r="E952" s="1">
        <f>IF(U952="",1,0)</f>
        <v>0</v>
      </c>
      <c r="F952" s="1">
        <f>IF(V952="",1,0)</f>
        <v>0</v>
      </c>
      <c r="G952" s="1" t="str">
        <f>IF(H952=0,"-",_xlfn.CONCAT(K952,N952,O952,J952))</f>
        <v>25041401</v>
      </c>
      <c r="H952" s="2">
        <v>45761</v>
      </c>
      <c r="I952" s="113">
        <v>1</v>
      </c>
      <c r="J952" s="1" t="str">
        <f t="shared" si="269"/>
        <v>01</v>
      </c>
      <c r="K952" s="3">
        <f t="shared" si="270"/>
        <v>25</v>
      </c>
      <c r="L952" s="3">
        <f t="shared" si="271"/>
        <v>4</v>
      </c>
      <c r="M952" s="3">
        <f t="shared" si="272"/>
        <v>14</v>
      </c>
      <c r="N952" s="3" t="str">
        <f t="shared" si="273"/>
        <v>04</v>
      </c>
      <c r="O952" s="14">
        <f t="shared" si="274"/>
        <v>14</v>
      </c>
      <c r="Q952" s="5">
        <v>463.2</v>
      </c>
      <c r="T952" s="5" t="s">
        <v>1546</v>
      </c>
      <c r="U952" s="3" t="s">
        <v>1545</v>
      </c>
      <c r="V952" s="3" t="s">
        <v>5</v>
      </c>
      <c r="W952" s="3" t="s">
        <v>1306</v>
      </c>
      <c r="X952" s="1" t="s">
        <v>1305</v>
      </c>
      <c r="Y952" s="141" t="s">
        <v>1544</v>
      </c>
    </row>
    <row r="953" spans="1:25" hidden="1">
      <c r="A953" s="143"/>
      <c r="J953" s="1" t="str">
        <f t="shared" si="269"/>
        <v>0</v>
      </c>
      <c r="K953" s="3">
        <f t="shared" si="270"/>
        <v>-100</v>
      </c>
      <c r="L953" s="3">
        <f t="shared" si="271"/>
        <v>1</v>
      </c>
      <c r="M953" s="3">
        <f t="shared" si="272"/>
        <v>0</v>
      </c>
      <c r="N953" s="3" t="str">
        <f t="shared" si="273"/>
        <v>01</v>
      </c>
      <c r="O953" s="14" t="str">
        <f t="shared" si="274"/>
        <v>00</v>
      </c>
    </row>
    <row r="954" spans="1:25" hidden="1">
      <c r="A954" s="143"/>
      <c r="J954" s="1" t="str">
        <f t="shared" si="269"/>
        <v>0</v>
      </c>
      <c r="K954" s="3">
        <f t="shared" si="270"/>
        <v>-100</v>
      </c>
      <c r="L954" s="3">
        <f t="shared" si="271"/>
        <v>1</v>
      </c>
      <c r="M954" s="3">
        <f t="shared" si="272"/>
        <v>0</v>
      </c>
      <c r="N954" s="3" t="str">
        <f t="shared" si="273"/>
        <v>01</v>
      </c>
      <c r="O954" s="14" t="str">
        <f t="shared" si="274"/>
        <v>00</v>
      </c>
    </row>
    <row r="955" spans="1:25" hidden="1">
      <c r="A955" s="143"/>
      <c r="J955" s="1" t="str">
        <f t="shared" si="269"/>
        <v>0</v>
      </c>
      <c r="K955" s="3">
        <f t="shared" si="270"/>
        <v>-100</v>
      </c>
      <c r="L955" s="3">
        <f t="shared" si="271"/>
        <v>1</v>
      </c>
      <c r="M955" s="3">
        <f t="shared" si="272"/>
        <v>0</v>
      </c>
      <c r="N955" s="3" t="str">
        <f t="shared" si="273"/>
        <v>01</v>
      </c>
      <c r="O955" s="14" t="str">
        <f t="shared" si="274"/>
        <v>00</v>
      </c>
    </row>
    <row r="956" spans="1:25" hidden="1">
      <c r="A956" s="143"/>
      <c r="J956" s="1" t="str">
        <f t="shared" si="269"/>
        <v>0</v>
      </c>
      <c r="K956" s="3">
        <f t="shared" si="270"/>
        <v>-100</v>
      </c>
      <c r="L956" s="3">
        <f t="shared" si="271"/>
        <v>1</v>
      </c>
      <c r="M956" s="3">
        <f t="shared" si="272"/>
        <v>0</v>
      </c>
      <c r="N956" s="3" t="str">
        <f t="shared" si="273"/>
        <v>01</v>
      </c>
      <c r="O956" s="14" t="str">
        <f t="shared" si="274"/>
        <v>00</v>
      </c>
    </row>
    <row r="957" spans="1:25" hidden="1">
      <c r="A957" s="143"/>
      <c r="J957" s="1" t="str">
        <f t="shared" si="269"/>
        <v>0</v>
      </c>
      <c r="K957" s="3">
        <f t="shared" si="270"/>
        <v>-100</v>
      </c>
      <c r="L957" s="3">
        <f t="shared" si="271"/>
        <v>1</v>
      </c>
      <c r="M957" s="3">
        <f t="shared" si="272"/>
        <v>0</v>
      </c>
      <c r="N957" s="3" t="str">
        <f t="shared" si="273"/>
        <v>01</v>
      </c>
      <c r="O957" s="14" t="str">
        <f t="shared" si="274"/>
        <v>00</v>
      </c>
    </row>
    <row r="958" spans="1:25" hidden="1">
      <c r="A958" s="143"/>
      <c r="J958" s="1" t="str">
        <f t="shared" si="269"/>
        <v>0</v>
      </c>
      <c r="K958" s="3">
        <f t="shared" si="270"/>
        <v>-100</v>
      </c>
      <c r="L958" s="3">
        <f t="shared" si="271"/>
        <v>1</v>
      </c>
      <c r="M958" s="3">
        <f t="shared" si="272"/>
        <v>0</v>
      </c>
      <c r="N958" s="3" t="str">
        <f t="shared" si="273"/>
        <v>01</v>
      </c>
      <c r="O958" s="14" t="str">
        <f t="shared" si="274"/>
        <v>00</v>
      </c>
    </row>
    <row r="959" spans="1:25" hidden="1">
      <c r="A959" s="143"/>
      <c r="J959" s="1" t="str">
        <f t="shared" si="269"/>
        <v>0</v>
      </c>
      <c r="K959" s="3">
        <f t="shared" si="270"/>
        <v>-100</v>
      </c>
      <c r="L959" s="3">
        <f t="shared" si="271"/>
        <v>1</v>
      </c>
      <c r="M959" s="3">
        <f t="shared" si="272"/>
        <v>0</v>
      </c>
      <c r="N959" s="3" t="str">
        <f t="shared" si="273"/>
        <v>01</v>
      </c>
      <c r="O959" s="14" t="str">
        <f t="shared" si="274"/>
        <v>00</v>
      </c>
    </row>
    <row r="960" spans="1:25" hidden="1">
      <c r="A960" s="143"/>
      <c r="J960" s="1" t="str">
        <f t="shared" si="269"/>
        <v>0</v>
      </c>
      <c r="K960" s="3">
        <f t="shared" si="270"/>
        <v>-100</v>
      </c>
      <c r="L960" s="3">
        <f t="shared" si="271"/>
        <v>1</v>
      </c>
      <c r="M960" s="3">
        <f t="shared" si="272"/>
        <v>0</v>
      </c>
      <c r="N960" s="3" t="str">
        <f t="shared" si="273"/>
        <v>01</v>
      </c>
      <c r="O960" s="14" t="str">
        <f t="shared" si="274"/>
        <v>00</v>
      </c>
    </row>
    <row r="961" spans="1:24">
      <c r="A961" s="143">
        <v>896</v>
      </c>
      <c r="B961" s="1">
        <f>IF(G961="-",0,IF(G960=G961,1,0))</f>
        <v>0</v>
      </c>
      <c r="C961" s="1">
        <f>+IF(G961="-",0,IF(I961=I960+1,0,(IF(I961=1,0,1))))</f>
        <v>0</v>
      </c>
      <c r="D961" s="1">
        <f>+IF(AND(P961="",Q961=""),1,0)</f>
        <v>0</v>
      </c>
      <c r="E961" s="1">
        <f>IF(U961="",1,0)</f>
        <v>0</v>
      </c>
      <c r="F961" s="1">
        <f>IF(V961="",1,0)</f>
        <v>0</v>
      </c>
      <c r="G961" s="1" t="str">
        <f>IF(H961=0,"-",_xlfn.CONCAT(K961,N961,O961,J961))</f>
        <v>25041501</v>
      </c>
      <c r="H961" s="2">
        <v>45762</v>
      </c>
      <c r="I961" s="113">
        <v>1</v>
      </c>
      <c r="J961" s="1" t="str">
        <f t="shared" si="269"/>
        <v>01</v>
      </c>
      <c r="K961" s="3">
        <f t="shared" si="270"/>
        <v>25</v>
      </c>
      <c r="L961" s="3">
        <f t="shared" si="271"/>
        <v>4</v>
      </c>
      <c r="M961" s="3">
        <f t="shared" si="272"/>
        <v>15</v>
      </c>
      <c r="N961" s="3" t="str">
        <f t="shared" si="273"/>
        <v>04</v>
      </c>
      <c r="O961" s="14">
        <f t="shared" si="274"/>
        <v>15</v>
      </c>
      <c r="P961" s="4">
        <v>192000</v>
      </c>
      <c r="T961" s="5" t="s">
        <v>1543</v>
      </c>
      <c r="U961" s="3" t="s">
        <v>1342</v>
      </c>
      <c r="V961" s="3" t="s">
        <v>5</v>
      </c>
      <c r="W961" s="3" t="s">
        <v>1306</v>
      </c>
      <c r="X961" s="1" t="s">
        <v>1305</v>
      </c>
    </row>
    <row r="962" spans="1:24" hidden="1">
      <c r="A962" s="143"/>
      <c r="J962" s="1" t="str">
        <f t="shared" si="269"/>
        <v>0</v>
      </c>
      <c r="K962" s="3">
        <f t="shared" si="270"/>
        <v>-100</v>
      </c>
      <c r="L962" s="3">
        <f t="shared" si="271"/>
        <v>1</v>
      </c>
      <c r="M962" s="3">
        <f t="shared" si="272"/>
        <v>0</v>
      </c>
      <c r="N962" s="3" t="str">
        <f t="shared" si="273"/>
        <v>01</v>
      </c>
      <c r="O962" s="14" t="str">
        <f t="shared" si="274"/>
        <v>00</v>
      </c>
    </row>
    <row r="963" spans="1:24" hidden="1">
      <c r="A963" s="143"/>
      <c r="J963" s="1" t="str">
        <f t="shared" si="269"/>
        <v>0</v>
      </c>
      <c r="K963" s="3">
        <f t="shared" si="270"/>
        <v>-100</v>
      </c>
      <c r="L963" s="3">
        <f t="shared" si="271"/>
        <v>1</v>
      </c>
      <c r="M963" s="3">
        <f t="shared" si="272"/>
        <v>0</v>
      </c>
      <c r="N963" s="3" t="str">
        <f t="shared" si="273"/>
        <v>01</v>
      </c>
      <c r="O963" s="14" t="str">
        <f t="shared" si="274"/>
        <v>00</v>
      </c>
    </row>
    <row r="964" spans="1:24" hidden="1">
      <c r="A964" s="143">
        <v>897</v>
      </c>
      <c r="B964" s="1">
        <f>IF(G964="-",0,IF(G963=G964,1,0))</f>
        <v>0</v>
      </c>
      <c r="C964" s="1">
        <f>+IF(G964="-",0,IF(I964=I963+1,0,(IF(I964=1,0,1))))</f>
        <v>0</v>
      </c>
      <c r="D964" s="1">
        <f>+IF(AND(P964="",Q964=""),1,0)</f>
        <v>0</v>
      </c>
      <c r="E964" s="1">
        <f>IF(U964="",1,0)</f>
        <v>0</v>
      </c>
      <c r="F964" s="1">
        <f>IF(V964="",1,0)</f>
        <v>0</v>
      </c>
      <c r="G964" s="1" t="str">
        <f>IF(H964=0,"-",_xlfn.CONCAT(K964,N964,O964,J964))</f>
        <v>25041601</v>
      </c>
      <c r="H964" s="2">
        <v>45763</v>
      </c>
      <c r="I964" s="113">
        <v>1</v>
      </c>
      <c r="J964" s="1" t="str">
        <f t="shared" si="269"/>
        <v>01</v>
      </c>
      <c r="K964" s="3">
        <f t="shared" si="270"/>
        <v>25</v>
      </c>
      <c r="L964" s="3">
        <f t="shared" si="271"/>
        <v>4</v>
      </c>
      <c r="M964" s="3">
        <f t="shared" si="272"/>
        <v>16</v>
      </c>
      <c r="N964" s="3" t="str">
        <f t="shared" si="273"/>
        <v>04</v>
      </c>
      <c r="O964" s="14">
        <f t="shared" si="274"/>
        <v>16</v>
      </c>
      <c r="P964" s="4">
        <v>20000</v>
      </c>
      <c r="T964" s="5" t="s">
        <v>1512</v>
      </c>
      <c r="U964" s="3" t="s">
        <v>29</v>
      </c>
      <c r="V964" s="3" t="s">
        <v>5</v>
      </c>
      <c r="W964" s="3" t="s">
        <v>1307</v>
      </c>
      <c r="X964" s="1" t="s">
        <v>1305</v>
      </c>
    </row>
    <row r="965" spans="1:24" hidden="1">
      <c r="A965" s="143"/>
      <c r="J965" s="1" t="str">
        <f t="shared" si="269"/>
        <v>0</v>
      </c>
      <c r="K965" s="3">
        <f t="shared" si="270"/>
        <v>-100</v>
      </c>
      <c r="L965" s="3">
        <f t="shared" si="271"/>
        <v>1</v>
      </c>
      <c r="M965" s="3">
        <f t="shared" si="272"/>
        <v>0</v>
      </c>
      <c r="N965" s="3" t="str">
        <f t="shared" si="273"/>
        <v>01</v>
      </c>
      <c r="O965" s="14" t="str">
        <f t="shared" si="274"/>
        <v>00</v>
      </c>
    </row>
    <row r="966" spans="1:24" hidden="1">
      <c r="A966" s="143"/>
      <c r="J966" s="1" t="str">
        <f t="shared" si="269"/>
        <v>0</v>
      </c>
      <c r="K966" s="3">
        <f t="shared" si="270"/>
        <v>-100</v>
      </c>
      <c r="L966" s="3">
        <f t="shared" si="271"/>
        <v>1</v>
      </c>
      <c r="M966" s="3">
        <f t="shared" si="272"/>
        <v>0</v>
      </c>
      <c r="N966" s="3" t="str">
        <f t="shared" si="273"/>
        <v>01</v>
      </c>
      <c r="O966" s="14" t="str">
        <f t="shared" si="274"/>
        <v>00</v>
      </c>
    </row>
    <row r="967" spans="1:24" hidden="1">
      <c r="A967" s="143"/>
      <c r="J967" s="1" t="str">
        <f t="shared" si="269"/>
        <v>0</v>
      </c>
      <c r="K967" s="3">
        <f t="shared" si="270"/>
        <v>-100</v>
      </c>
      <c r="L967" s="3">
        <f t="shared" si="271"/>
        <v>1</v>
      </c>
      <c r="M967" s="3">
        <f t="shared" si="272"/>
        <v>0</v>
      </c>
      <c r="N967" s="3" t="str">
        <f t="shared" si="273"/>
        <v>01</v>
      </c>
      <c r="O967" s="14" t="str">
        <f t="shared" si="274"/>
        <v>00</v>
      </c>
    </row>
    <row r="968" spans="1:24" hidden="1">
      <c r="A968" s="143"/>
      <c r="J968" s="1" t="str">
        <f t="shared" ref="J968:J1031" si="281">+IF(I968&lt;10,_xlfn.CONCAT("0",I968),I968)</f>
        <v>0</v>
      </c>
      <c r="K968" s="3">
        <f t="shared" ref="K968:K1031" si="282">+YEAR(H968)-2000</f>
        <v>-100</v>
      </c>
      <c r="L968" s="3">
        <f t="shared" ref="L968:L1031" si="283">+MONTH(H968)</f>
        <v>1</v>
      </c>
      <c r="M968" s="3">
        <f t="shared" ref="M968:M1031" si="284">+DAY(H968)</f>
        <v>0</v>
      </c>
      <c r="N968" s="3" t="str">
        <f t="shared" ref="N968:N1031" si="285">+IF(L968&lt;10,_xlfn.CONCAT("0",L968),L968)</f>
        <v>01</v>
      </c>
      <c r="O968" s="14" t="str">
        <f t="shared" ref="O968:O1031" si="286">+IF(M968&lt;10,_xlfn.CONCAT("0",M968),M968)</f>
        <v>00</v>
      </c>
    </row>
    <row r="969" spans="1:24" hidden="1">
      <c r="A969" s="143">
        <v>1001</v>
      </c>
      <c r="B969" s="1">
        <f t="shared" ref="B969:B985" si="287">IF(G969="-",0,IF(G968=G969,1,0))</f>
        <v>0</v>
      </c>
      <c r="C969" s="1">
        <f t="shared" ref="C969:C985" si="288">+IF(G969="-",0,IF(I969=I968+1,0,(IF(I969=1,0,1))))</f>
        <v>1</v>
      </c>
      <c r="D969" s="1">
        <f t="shared" ref="D969:D985" si="289">+IF(AND(P969="",Q969=""),1,0)</f>
        <v>0</v>
      </c>
      <c r="E969" s="1">
        <f t="shared" ref="E969:E985" si="290">IF(U969="",1,0)</f>
        <v>0</v>
      </c>
      <c r="F969" s="1">
        <f t="shared" ref="F969:F985" si="291">IF(V969="",1,0)</f>
        <v>0</v>
      </c>
      <c r="G969" s="1" t="str">
        <f t="shared" ref="G969:G985" si="292">IF(H969=0,"-",_xlfn.CONCAT(K969,N969,O969,J969))</f>
        <v>25041802</v>
      </c>
      <c r="H969" s="2">
        <v>45765</v>
      </c>
      <c r="I969" s="113">
        <v>2</v>
      </c>
      <c r="J969" s="1" t="str">
        <f t="shared" si="281"/>
        <v>02</v>
      </c>
      <c r="K969" s="3">
        <f t="shared" si="282"/>
        <v>25</v>
      </c>
      <c r="L969" s="3">
        <f t="shared" si="283"/>
        <v>4</v>
      </c>
      <c r="M969" s="3">
        <f t="shared" si="284"/>
        <v>18</v>
      </c>
      <c r="N969" s="3" t="str">
        <f t="shared" si="285"/>
        <v>04</v>
      </c>
      <c r="O969" s="14">
        <f t="shared" si="286"/>
        <v>18</v>
      </c>
      <c r="P969" s="4">
        <v>7265</v>
      </c>
      <c r="T969" s="5" t="s">
        <v>1542</v>
      </c>
      <c r="U969" s="3" t="s">
        <v>1310</v>
      </c>
      <c r="V969" s="3" t="s">
        <v>1316</v>
      </c>
      <c r="W969" s="3" t="s">
        <v>1309</v>
      </c>
      <c r="X969" s="1" t="s">
        <v>1305</v>
      </c>
    </row>
    <row r="970" spans="1:24">
      <c r="A970" s="143">
        <v>919</v>
      </c>
      <c r="B970" s="1">
        <f t="shared" si="287"/>
        <v>0</v>
      </c>
      <c r="C970" s="1">
        <f t="shared" si="288"/>
        <v>0</v>
      </c>
      <c r="D970" s="1">
        <f t="shared" si="289"/>
        <v>0</v>
      </c>
      <c r="E970" s="1">
        <f t="shared" si="290"/>
        <v>0</v>
      </c>
      <c r="F970" s="1">
        <f t="shared" si="291"/>
        <v>0</v>
      </c>
      <c r="G970" s="1" t="str">
        <f t="shared" si="292"/>
        <v>25041901</v>
      </c>
      <c r="H970" s="2">
        <v>45766</v>
      </c>
      <c r="I970" s="113">
        <v>1</v>
      </c>
      <c r="J970" s="1" t="str">
        <f t="shared" si="281"/>
        <v>01</v>
      </c>
      <c r="K970" s="3">
        <f t="shared" si="282"/>
        <v>25</v>
      </c>
      <c r="L970" s="3">
        <f t="shared" si="283"/>
        <v>4</v>
      </c>
      <c r="M970" s="3">
        <f t="shared" si="284"/>
        <v>19</v>
      </c>
      <c r="N970" s="3" t="str">
        <f t="shared" si="285"/>
        <v>04</v>
      </c>
      <c r="O970" s="14">
        <f t="shared" si="286"/>
        <v>19</v>
      </c>
      <c r="P970" s="4">
        <v>42400</v>
      </c>
      <c r="T970" s="5" t="s">
        <v>1541</v>
      </c>
      <c r="U970" s="3" t="s">
        <v>1342</v>
      </c>
      <c r="V970" s="3" t="s">
        <v>5</v>
      </c>
      <c r="W970" s="3" t="s">
        <v>1306</v>
      </c>
      <c r="X970" s="1" t="s">
        <v>1302</v>
      </c>
    </row>
    <row r="971" spans="1:24">
      <c r="A971" s="143">
        <v>920</v>
      </c>
      <c r="B971" s="1">
        <f t="shared" si="287"/>
        <v>0</v>
      </c>
      <c r="C971" s="1">
        <f t="shared" si="288"/>
        <v>0</v>
      </c>
      <c r="D971" s="1">
        <f t="shared" si="289"/>
        <v>0</v>
      </c>
      <c r="E971" s="1">
        <f t="shared" si="290"/>
        <v>0</v>
      </c>
      <c r="F971" s="1">
        <f t="shared" si="291"/>
        <v>0</v>
      </c>
      <c r="G971" s="1" t="str">
        <f t="shared" si="292"/>
        <v>25041902</v>
      </c>
      <c r="H971" s="2">
        <v>45766</v>
      </c>
      <c r="I971" s="113">
        <v>2</v>
      </c>
      <c r="J971" s="1" t="str">
        <f t="shared" si="281"/>
        <v>02</v>
      </c>
      <c r="K971" s="3">
        <f t="shared" si="282"/>
        <v>25</v>
      </c>
      <c r="L971" s="3">
        <f t="shared" si="283"/>
        <v>4</v>
      </c>
      <c r="M971" s="3">
        <f t="shared" si="284"/>
        <v>19</v>
      </c>
      <c r="N971" s="3" t="str">
        <f t="shared" si="285"/>
        <v>04</v>
      </c>
      <c r="O971" s="14">
        <f t="shared" si="286"/>
        <v>19</v>
      </c>
      <c r="P971" s="4">
        <v>128800</v>
      </c>
      <c r="T971" s="5" t="s">
        <v>1540</v>
      </c>
      <c r="U971" s="3" t="s">
        <v>1342</v>
      </c>
      <c r="V971" s="3" t="s">
        <v>5</v>
      </c>
      <c r="W971" s="3" t="s">
        <v>1306</v>
      </c>
      <c r="X971" s="1" t="s">
        <v>1302</v>
      </c>
    </row>
    <row r="972" spans="1:24">
      <c r="A972" s="143">
        <v>921</v>
      </c>
      <c r="B972" s="1">
        <f t="shared" si="287"/>
        <v>0</v>
      </c>
      <c r="C972" s="1">
        <f t="shared" si="288"/>
        <v>0</v>
      </c>
      <c r="D972" s="1">
        <f t="shared" si="289"/>
        <v>0</v>
      </c>
      <c r="E972" s="1">
        <f t="shared" si="290"/>
        <v>0</v>
      </c>
      <c r="F972" s="1">
        <f t="shared" si="291"/>
        <v>0</v>
      </c>
      <c r="G972" s="1" t="str">
        <f t="shared" si="292"/>
        <v>25041903</v>
      </c>
      <c r="H972" s="2">
        <v>45766</v>
      </c>
      <c r="I972" s="113">
        <v>3</v>
      </c>
      <c r="J972" s="1" t="str">
        <f t="shared" si="281"/>
        <v>03</v>
      </c>
      <c r="K972" s="3">
        <f t="shared" si="282"/>
        <v>25</v>
      </c>
      <c r="L972" s="3">
        <f t="shared" si="283"/>
        <v>4</v>
      </c>
      <c r="M972" s="3">
        <f t="shared" si="284"/>
        <v>19</v>
      </c>
      <c r="N972" s="3" t="str">
        <f t="shared" si="285"/>
        <v>04</v>
      </c>
      <c r="O972" s="14">
        <f t="shared" si="286"/>
        <v>19</v>
      </c>
      <c r="P972" s="4">
        <v>123200</v>
      </c>
      <c r="T972" s="5" t="s">
        <v>1539</v>
      </c>
      <c r="U972" s="3" t="s">
        <v>1342</v>
      </c>
      <c r="V972" s="3" t="s">
        <v>5</v>
      </c>
      <c r="W972" s="3" t="s">
        <v>1306</v>
      </c>
      <c r="X972" s="1" t="s">
        <v>1302</v>
      </c>
    </row>
    <row r="973" spans="1:24">
      <c r="A973" s="143">
        <v>922</v>
      </c>
      <c r="B973" s="1">
        <f t="shared" si="287"/>
        <v>0</v>
      </c>
      <c r="C973" s="1">
        <f t="shared" si="288"/>
        <v>0</v>
      </c>
      <c r="D973" s="1">
        <f t="shared" si="289"/>
        <v>0</v>
      </c>
      <c r="E973" s="1">
        <f t="shared" si="290"/>
        <v>0</v>
      </c>
      <c r="F973" s="1">
        <f t="shared" si="291"/>
        <v>0</v>
      </c>
      <c r="G973" s="1" t="str">
        <f t="shared" si="292"/>
        <v>25041904</v>
      </c>
      <c r="H973" s="2">
        <v>45766</v>
      </c>
      <c r="I973" s="113">
        <v>4</v>
      </c>
      <c r="J973" s="1" t="str">
        <f t="shared" si="281"/>
        <v>04</v>
      </c>
      <c r="K973" s="3">
        <f t="shared" si="282"/>
        <v>25</v>
      </c>
      <c r="L973" s="3">
        <f t="shared" si="283"/>
        <v>4</v>
      </c>
      <c r="M973" s="3">
        <f t="shared" si="284"/>
        <v>19</v>
      </c>
      <c r="N973" s="3" t="str">
        <f t="shared" si="285"/>
        <v>04</v>
      </c>
      <c r="O973" s="14">
        <f t="shared" si="286"/>
        <v>19</v>
      </c>
      <c r="P973" s="4">
        <v>100800</v>
      </c>
      <c r="T973" s="5" t="s">
        <v>1538</v>
      </c>
      <c r="U973" s="3" t="s">
        <v>1342</v>
      </c>
      <c r="V973" s="3" t="s">
        <v>5</v>
      </c>
      <c r="W973" s="3" t="s">
        <v>1306</v>
      </c>
      <c r="X973" s="1" t="s">
        <v>1302</v>
      </c>
    </row>
    <row r="974" spans="1:24">
      <c r="A974" s="143">
        <v>923</v>
      </c>
      <c r="B974" s="1">
        <f t="shared" si="287"/>
        <v>0</v>
      </c>
      <c r="C974" s="1">
        <f t="shared" si="288"/>
        <v>0</v>
      </c>
      <c r="D974" s="1">
        <f t="shared" si="289"/>
        <v>0</v>
      </c>
      <c r="E974" s="1">
        <f t="shared" si="290"/>
        <v>0</v>
      </c>
      <c r="F974" s="1">
        <f t="shared" si="291"/>
        <v>0</v>
      </c>
      <c r="G974" s="1" t="str">
        <f t="shared" si="292"/>
        <v>25041905</v>
      </c>
      <c r="H974" s="2">
        <v>45766</v>
      </c>
      <c r="I974" s="113">
        <v>5</v>
      </c>
      <c r="J974" s="1" t="str">
        <f t="shared" si="281"/>
        <v>05</v>
      </c>
      <c r="K974" s="3">
        <f t="shared" si="282"/>
        <v>25</v>
      </c>
      <c r="L974" s="3">
        <f t="shared" si="283"/>
        <v>4</v>
      </c>
      <c r="M974" s="3">
        <f t="shared" si="284"/>
        <v>19</v>
      </c>
      <c r="N974" s="3" t="str">
        <f t="shared" si="285"/>
        <v>04</v>
      </c>
      <c r="O974" s="14">
        <f t="shared" si="286"/>
        <v>19</v>
      </c>
      <c r="P974" s="4">
        <v>83600</v>
      </c>
      <c r="T974" s="5" t="s">
        <v>1537</v>
      </c>
      <c r="U974" s="3" t="s">
        <v>1342</v>
      </c>
      <c r="V974" s="3" t="s">
        <v>5</v>
      </c>
      <c r="W974" s="3" t="s">
        <v>1306</v>
      </c>
      <c r="X974" s="1" t="s">
        <v>1302</v>
      </c>
    </row>
    <row r="975" spans="1:24">
      <c r="A975" s="143">
        <v>924</v>
      </c>
      <c r="B975" s="1">
        <f t="shared" si="287"/>
        <v>0</v>
      </c>
      <c r="C975" s="1">
        <f t="shared" si="288"/>
        <v>0</v>
      </c>
      <c r="D975" s="1">
        <f t="shared" si="289"/>
        <v>0</v>
      </c>
      <c r="E975" s="1">
        <f t="shared" si="290"/>
        <v>0</v>
      </c>
      <c r="F975" s="1">
        <f t="shared" si="291"/>
        <v>0</v>
      </c>
      <c r="G975" s="1" t="str">
        <f t="shared" si="292"/>
        <v>25041906</v>
      </c>
      <c r="H975" s="2">
        <v>45766</v>
      </c>
      <c r="I975" s="113">
        <v>6</v>
      </c>
      <c r="J975" s="1" t="str">
        <f t="shared" si="281"/>
        <v>06</v>
      </c>
      <c r="K975" s="3">
        <f t="shared" si="282"/>
        <v>25</v>
      </c>
      <c r="L975" s="3">
        <f t="shared" si="283"/>
        <v>4</v>
      </c>
      <c r="M975" s="3">
        <f t="shared" si="284"/>
        <v>19</v>
      </c>
      <c r="N975" s="3" t="str">
        <f t="shared" si="285"/>
        <v>04</v>
      </c>
      <c r="O975" s="14">
        <f t="shared" si="286"/>
        <v>19</v>
      </c>
      <c r="P975" s="4">
        <v>148400</v>
      </c>
      <c r="T975" s="5" t="s">
        <v>1536</v>
      </c>
      <c r="U975" s="3" t="s">
        <v>1342</v>
      </c>
      <c r="V975" s="3" t="s">
        <v>5</v>
      </c>
      <c r="W975" s="3" t="s">
        <v>1306</v>
      </c>
      <c r="X975" s="1" t="s">
        <v>1302</v>
      </c>
    </row>
    <row r="976" spans="1:24">
      <c r="A976" s="143">
        <v>925</v>
      </c>
      <c r="B976" s="1">
        <f t="shared" si="287"/>
        <v>0</v>
      </c>
      <c r="C976" s="1">
        <f t="shared" si="288"/>
        <v>0</v>
      </c>
      <c r="D976" s="1">
        <f t="shared" si="289"/>
        <v>0</v>
      </c>
      <c r="E976" s="1">
        <f t="shared" si="290"/>
        <v>0</v>
      </c>
      <c r="F976" s="1">
        <f t="shared" si="291"/>
        <v>0</v>
      </c>
      <c r="G976" s="1" t="str">
        <f t="shared" si="292"/>
        <v>25041907</v>
      </c>
      <c r="H976" s="2">
        <v>45766</v>
      </c>
      <c r="I976" s="113">
        <v>7</v>
      </c>
      <c r="J976" s="1" t="str">
        <f t="shared" si="281"/>
        <v>07</v>
      </c>
      <c r="K976" s="3">
        <f t="shared" si="282"/>
        <v>25</v>
      </c>
      <c r="L976" s="3">
        <f t="shared" si="283"/>
        <v>4</v>
      </c>
      <c r="M976" s="3">
        <f t="shared" si="284"/>
        <v>19</v>
      </c>
      <c r="N976" s="3" t="str">
        <f t="shared" si="285"/>
        <v>04</v>
      </c>
      <c r="O976" s="14">
        <f t="shared" si="286"/>
        <v>19</v>
      </c>
      <c r="P976" s="4">
        <v>83600</v>
      </c>
      <c r="T976" s="5" t="s">
        <v>1535</v>
      </c>
      <c r="U976" s="3" t="s">
        <v>1342</v>
      </c>
      <c r="V976" s="3" t="s">
        <v>5</v>
      </c>
      <c r="W976" s="3" t="s">
        <v>1306</v>
      </c>
      <c r="X976" s="1" t="s">
        <v>1302</v>
      </c>
    </row>
    <row r="977" spans="1:24">
      <c r="A977" s="143">
        <v>926</v>
      </c>
      <c r="B977" s="1">
        <f t="shared" si="287"/>
        <v>0</v>
      </c>
      <c r="C977" s="1">
        <f t="shared" si="288"/>
        <v>0</v>
      </c>
      <c r="D977" s="1">
        <f t="shared" si="289"/>
        <v>0</v>
      </c>
      <c r="E977" s="1">
        <f t="shared" si="290"/>
        <v>0</v>
      </c>
      <c r="F977" s="1">
        <f t="shared" si="291"/>
        <v>0</v>
      </c>
      <c r="G977" s="1" t="str">
        <f t="shared" si="292"/>
        <v>25041908</v>
      </c>
      <c r="H977" s="2">
        <v>45766</v>
      </c>
      <c r="I977" s="113">
        <v>8</v>
      </c>
      <c r="J977" s="1" t="str">
        <f t="shared" si="281"/>
        <v>08</v>
      </c>
      <c r="K977" s="3">
        <f t="shared" si="282"/>
        <v>25</v>
      </c>
      <c r="L977" s="3">
        <f t="shared" si="283"/>
        <v>4</v>
      </c>
      <c r="M977" s="3">
        <f t="shared" si="284"/>
        <v>19</v>
      </c>
      <c r="N977" s="3" t="str">
        <f t="shared" si="285"/>
        <v>04</v>
      </c>
      <c r="O977" s="14">
        <f t="shared" si="286"/>
        <v>19</v>
      </c>
      <c r="P977" s="4">
        <v>176000</v>
      </c>
      <c r="T977" s="115" t="s">
        <v>1534</v>
      </c>
      <c r="U977" s="3" t="s">
        <v>1342</v>
      </c>
      <c r="V977" s="3" t="s">
        <v>5</v>
      </c>
      <c r="W977" s="3" t="s">
        <v>1306</v>
      </c>
      <c r="X977" s="1" t="s">
        <v>1302</v>
      </c>
    </row>
    <row r="978" spans="1:24">
      <c r="A978" s="143">
        <v>927</v>
      </c>
      <c r="B978" s="1">
        <f t="shared" si="287"/>
        <v>0</v>
      </c>
      <c r="C978" s="1">
        <f t="shared" si="288"/>
        <v>0</v>
      </c>
      <c r="D978" s="1">
        <f t="shared" si="289"/>
        <v>0</v>
      </c>
      <c r="E978" s="1">
        <f t="shared" si="290"/>
        <v>0</v>
      </c>
      <c r="F978" s="1">
        <f t="shared" si="291"/>
        <v>0</v>
      </c>
      <c r="G978" s="1" t="str">
        <f t="shared" si="292"/>
        <v>25041909</v>
      </c>
      <c r="H978" s="2">
        <v>45766</v>
      </c>
      <c r="I978" s="113">
        <v>9</v>
      </c>
      <c r="J978" s="1" t="str">
        <f t="shared" si="281"/>
        <v>09</v>
      </c>
      <c r="K978" s="3">
        <f t="shared" si="282"/>
        <v>25</v>
      </c>
      <c r="L978" s="3">
        <f t="shared" si="283"/>
        <v>4</v>
      </c>
      <c r="M978" s="3">
        <f t="shared" si="284"/>
        <v>19</v>
      </c>
      <c r="N978" s="3" t="str">
        <f t="shared" si="285"/>
        <v>04</v>
      </c>
      <c r="O978" s="14">
        <f t="shared" si="286"/>
        <v>19</v>
      </c>
      <c r="P978" s="4">
        <v>100800</v>
      </c>
      <c r="T978" s="115" t="s">
        <v>1533</v>
      </c>
      <c r="U978" s="3" t="s">
        <v>1342</v>
      </c>
      <c r="V978" s="3" t="s">
        <v>5</v>
      </c>
      <c r="W978" s="3" t="s">
        <v>1306</v>
      </c>
      <c r="X978" s="1" t="s">
        <v>1302</v>
      </c>
    </row>
    <row r="979" spans="1:24">
      <c r="A979" s="143">
        <v>928</v>
      </c>
      <c r="B979" s="1">
        <f t="shared" si="287"/>
        <v>0</v>
      </c>
      <c r="C979" s="1">
        <f t="shared" si="288"/>
        <v>0</v>
      </c>
      <c r="D979" s="1">
        <f t="shared" si="289"/>
        <v>0</v>
      </c>
      <c r="E979" s="1">
        <f t="shared" si="290"/>
        <v>0</v>
      </c>
      <c r="F979" s="1">
        <f t="shared" si="291"/>
        <v>0</v>
      </c>
      <c r="G979" s="1" t="str">
        <f t="shared" si="292"/>
        <v>25041910</v>
      </c>
      <c r="H979" s="2">
        <v>45766</v>
      </c>
      <c r="I979" s="113">
        <v>10</v>
      </c>
      <c r="J979" s="1">
        <f t="shared" si="281"/>
        <v>10</v>
      </c>
      <c r="K979" s="3">
        <f t="shared" si="282"/>
        <v>25</v>
      </c>
      <c r="L979" s="3">
        <f t="shared" si="283"/>
        <v>4</v>
      </c>
      <c r="M979" s="3">
        <f t="shared" si="284"/>
        <v>19</v>
      </c>
      <c r="N979" s="3" t="str">
        <f t="shared" si="285"/>
        <v>04</v>
      </c>
      <c r="O979" s="14">
        <f t="shared" si="286"/>
        <v>19</v>
      </c>
      <c r="P979" s="4">
        <v>100800</v>
      </c>
      <c r="T979" s="115" t="s">
        <v>1532</v>
      </c>
      <c r="U979" s="3" t="s">
        <v>1342</v>
      </c>
      <c r="V979" s="3" t="s">
        <v>5</v>
      </c>
      <c r="W979" s="3" t="s">
        <v>1306</v>
      </c>
      <c r="X979" s="1" t="s">
        <v>1302</v>
      </c>
    </row>
    <row r="980" spans="1:24">
      <c r="A980" s="143">
        <v>929</v>
      </c>
      <c r="B980" s="1">
        <f t="shared" si="287"/>
        <v>0</v>
      </c>
      <c r="C980" s="1">
        <f t="shared" si="288"/>
        <v>0</v>
      </c>
      <c r="D980" s="1">
        <f t="shared" si="289"/>
        <v>0</v>
      </c>
      <c r="E980" s="1">
        <f t="shared" si="290"/>
        <v>0</v>
      </c>
      <c r="F980" s="1">
        <f t="shared" si="291"/>
        <v>0</v>
      </c>
      <c r="G980" s="1" t="str">
        <f t="shared" si="292"/>
        <v>25041911</v>
      </c>
      <c r="H980" s="2">
        <v>45766</v>
      </c>
      <c r="I980" s="113">
        <v>11</v>
      </c>
      <c r="J980" s="1">
        <f t="shared" si="281"/>
        <v>11</v>
      </c>
      <c r="K980" s="3">
        <f t="shared" si="282"/>
        <v>25</v>
      </c>
      <c r="L980" s="3">
        <f t="shared" si="283"/>
        <v>4</v>
      </c>
      <c r="M980" s="3">
        <f t="shared" si="284"/>
        <v>19</v>
      </c>
      <c r="N980" s="3" t="str">
        <f t="shared" si="285"/>
        <v>04</v>
      </c>
      <c r="O980" s="14">
        <f t="shared" si="286"/>
        <v>19</v>
      </c>
      <c r="P980" s="4">
        <v>123200</v>
      </c>
      <c r="T980" s="115" t="s">
        <v>1531</v>
      </c>
      <c r="U980" s="3" t="s">
        <v>1342</v>
      </c>
      <c r="V980" s="3" t="s">
        <v>5</v>
      </c>
      <c r="W980" s="3" t="s">
        <v>1306</v>
      </c>
      <c r="X980" s="1" t="s">
        <v>1302</v>
      </c>
    </row>
    <row r="981" spans="1:24">
      <c r="A981" s="143">
        <v>930</v>
      </c>
      <c r="B981" s="1">
        <f t="shared" si="287"/>
        <v>0</v>
      </c>
      <c r="C981" s="1">
        <f t="shared" si="288"/>
        <v>0</v>
      </c>
      <c r="D981" s="1">
        <f t="shared" si="289"/>
        <v>0</v>
      </c>
      <c r="E981" s="1">
        <f t="shared" si="290"/>
        <v>0</v>
      </c>
      <c r="F981" s="1">
        <f t="shared" si="291"/>
        <v>0</v>
      </c>
      <c r="G981" s="1" t="str">
        <f t="shared" si="292"/>
        <v>25041912</v>
      </c>
      <c r="H981" s="2">
        <v>45766</v>
      </c>
      <c r="I981" s="113">
        <v>12</v>
      </c>
      <c r="J981" s="1">
        <f t="shared" si="281"/>
        <v>12</v>
      </c>
      <c r="K981" s="3">
        <f t="shared" si="282"/>
        <v>25</v>
      </c>
      <c r="L981" s="3">
        <f t="shared" si="283"/>
        <v>4</v>
      </c>
      <c r="M981" s="3">
        <f t="shared" si="284"/>
        <v>19</v>
      </c>
      <c r="N981" s="3" t="str">
        <f t="shared" si="285"/>
        <v>04</v>
      </c>
      <c r="O981" s="14">
        <f t="shared" si="286"/>
        <v>19</v>
      </c>
      <c r="P981" s="4">
        <v>252000</v>
      </c>
      <c r="T981" s="115" t="s">
        <v>1530</v>
      </c>
      <c r="U981" s="3" t="s">
        <v>1342</v>
      </c>
      <c r="V981" s="3" t="s">
        <v>5</v>
      </c>
      <c r="W981" s="3" t="s">
        <v>1306</v>
      </c>
      <c r="X981" s="1" t="s">
        <v>1302</v>
      </c>
    </row>
    <row r="982" spans="1:24">
      <c r="A982" s="143">
        <v>931</v>
      </c>
      <c r="B982" s="1">
        <f t="shared" si="287"/>
        <v>0</v>
      </c>
      <c r="C982" s="1">
        <f t="shared" si="288"/>
        <v>0</v>
      </c>
      <c r="D982" s="1">
        <f t="shared" si="289"/>
        <v>0</v>
      </c>
      <c r="E982" s="1">
        <f t="shared" si="290"/>
        <v>0</v>
      </c>
      <c r="F982" s="1">
        <f t="shared" si="291"/>
        <v>0</v>
      </c>
      <c r="G982" s="1" t="str">
        <f t="shared" si="292"/>
        <v>25041913</v>
      </c>
      <c r="H982" s="2">
        <v>45766</v>
      </c>
      <c r="I982" s="113">
        <v>13</v>
      </c>
      <c r="J982" s="1">
        <f t="shared" si="281"/>
        <v>13</v>
      </c>
      <c r="K982" s="3">
        <f t="shared" si="282"/>
        <v>25</v>
      </c>
      <c r="L982" s="3">
        <f t="shared" si="283"/>
        <v>4</v>
      </c>
      <c r="M982" s="3">
        <f t="shared" si="284"/>
        <v>19</v>
      </c>
      <c r="N982" s="3" t="str">
        <f t="shared" si="285"/>
        <v>04</v>
      </c>
      <c r="O982" s="14">
        <f t="shared" si="286"/>
        <v>19</v>
      </c>
      <c r="P982" s="4">
        <v>126000</v>
      </c>
      <c r="T982" s="115" t="s">
        <v>1529</v>
      </c>
      <c r="U982" s="3" t="s">
        <v>1342</v>
      </c>
      <c r="V982" s="3" t="s">
        <v>5</v>
      </c>
      <c r="W982" s="3" t="s">
        <v>1306</v>
      </c>
      <c r="X982" s="1" t="s">
        <v>1302</v>
      </c>
    </row>
    <row r="983" spans="1:24">
      <c r="A983" s="143">
        <v>932</v>
      </c>
      <c r="B983" s="1">
        <f t="shared" si="287"/>
        <v>0</v>
      </c>
      <c r="C983" s="1">
        <f t="shared" si="288"/>
        <v>0</v>
      </c>
      <c r="D983" s="1">
        <f t="shared" si="289"/>
        <v>0</v>
      </c>
      <c r="E983" s="1">
        <f t="shared" si="290"/>
        <v>0</v>
      </c>
      <c r="F983" s="1">
        <f t="shared" si="291"/>
        <v>0</v>
      </c>
      <c r="G983" s="1" t="str">
        <f t="shared" si="292"/>
        <v>25041914</v>
      </c>
      <c r="H983" s="2">
        <v>45766</v>
      </c>
      <c r="I983" s="113">
        <v>14</v>
      </c>
      <c r="J983" s="1">
        <f t="shared" si="281"/>
        <v>14</v>
      </c>
      <c r="K983" s="3">
        <f t="shared" si="282"/>
        <v>25</v>
      </c>
      <c r="L983" s="3">
        <f t="shared" si="283"/>
        <v>4</v>
      </c>
      <c r="M983" s="3">
        <f t="shared" si="284"/>
        <v>19</v>
      </c>
      <c r="N983" s="3" t="str">
        <f t="shared" si="285"/>
        <v>04</v>
      </c>
      <c r="O983" s="14">
        <f t="shared" si="286"/>
        <v>19</v>
      </c>
      <c r="P983" s="4">
        <v>90000</v>
      </c>
      <c r="T983" s="115" t="s">
        <v>1528</v>
      </c>
      <c r="U983" s="3" t="s">
        <v>1342</v>
      </c>
      <c r="V983" s="3" t="s">
        <v>5</v>
      </c>
      <c r="W983" s="3" t="s">
        <v>1306</v>
      </c>
      <c r="X983" s="1" t="s">
        <v>1302</v>
      </c>
    </row>
    <row r="984" spans="1:24">
      <c r="A984" s="143">
        <v>933</v>
      </c>
      <c r="B984" s="1">
        <f t="shared" si="287"/>
        <v>0</v>
      </c>
      <c r="C984" s="1">
        <f t="shared" si="288"/>
        <v>0</v>
      </c>
      <c r="D984" s="1">
        <f t="shared" si="289"/>
        <v>0</v>
      </c>
      <c r="E984" s="1">
        <f t="shared" si="290"/>
        <v>0</v>
      </c>
      <c r="F984" s="1">
        <f t="shared" si="291"/>
        <v>0</v>
      </c>
      <c r="G984" s="1" t="str">
        <f t="shared" si="292"/>
        <v>25041915</v>
      </c>
      <c r="H984" s="2">
        <v>45766</v>
      </c>
      <c r="I984" s="113">
        <v>15</v>
      </c>
      <c r="J984" s="1">
        <f t="shared" si="281"/>
        <v>15</v>
      </c>
      <c r="K984" s="3">
        <f t="shared" si="282"/>
        <v>25</v>
      </c>
      <c r="L984" s="3">
        <f t="shared" si="283"/>
        <v>4</v>
      </c>
      <c r="M984" s="3">
        <f t="shared" si="284"/>
        <v>19</v>
      </c>
      <c r="N984" s="3" t="str">
        <f t="shared" si="285"/>
        <v>04</v>
      </c>
      <c r="O984" s="14">
        <f t="shared" si="286"/>
        <v>19</v>
      </c>
      <c r="P984" s="4">
        <v>150000</v>
      </c>
      <c r="T984" s="115" t="s">
        <v>1527</v>
      </c>
      <c r="U984" s="3" t="s">
        <v>1342</v>
      </c>
      <c r="V984" s="3" t="s">
        <v>5</v>
      </c>
      <c r="W984" s="3" t="s">
        <v>1306</v>
      </c>
      <c r="X984" s="1" t="s">
        <v>1302</v>
      </c>
    </row>
    <row r="985" spans="1:24" hidden="1">
      <c r="A985" s="143">
        <v>968</v>
      </c>
      <c r="B985" s="1">
        <f t="shared" si="287"/>
        <v>0</v>
      </c>
      <c r="C985" s="1">
        <f t="shared" si="288"/>
        <v>0</v>
      </c>
      <c r="D985" s="1">
        <f t="shared" si="289"/>
        <v>0</v>
      </c>
      <c r="E985" s="1">
        <f t="shared" si="290"/>
        <v>0</v>
      </c>
      <c r="F985" s="1">
        <f t="shared" si="291"/>
        <v>0</v>
      </c>
      <c r="G985" s="1" t="str">
        <f t="shared" si="292"/>
        <v>25041916</v>
      </c>
      <c r="H985" s="2">
        <v>45766</v>
      </c>
      <c r="I985" s="113">
        <v>16</v>
      </c>
      <c r="J985" s="1">
        <f t="shared" si="281"/>
        <v>16</v>
      </c>
      <c r="K985" s="3">
        <f t="shared" si="282"/>
        <v>25</v>
      </c>
      <c r="L985" s="3">
        <f t="shared" si="283"/>
        <v>4</v>
      </c>
      <c r="M985" s="3">
        <f t="shared" si="284"/>
        <v>19</v>
      </c>
      <c r="N985" s="3" t="str">
        <f t="shared" si="285"/>
        <v>04</v>
      </c>
      <c r="O985" s="14">
        <f t="shared" si="286"/>
        <v>19</v>
      </c>
      <c r="P985" s="4">
        <v>5477.5</v>
      </c>
      <c r="T985" s="5" t="s">
        <v>352</v>
      </c>
      <c r="U985" s="3" t="s">
        <v>30</v>
      </c>
      <c r="V985" s="3" t="s">
        <v>1312</v>
      </c>
      <c r="W985" s="3" t="s">
        <v>1307</v>
      </c>
      <c r="X985" s="1" t="s">
        <v>1305</v>
      </c>
    </row>
    <row r="986" spans="1:24" hidden="1">
      <c r="A986" s="143"/>
      <c r="J986" s="1" t="str">
        <f t="shared" si="281"/>
        <v>0</v>
      </c>
      <c r="K986" s="3">
        <f t="shared" si="282"/>
        <v>-100</v>
      </c>
      <c r="L986" s="3">
        <f t="shared" si="283"/>
        <v>1</v>
      </c>
      <c r="M986" s="3">
        <f t="shared" si="284"/>
        <v>0</v>
      </c>
      <c r="N986" s="3" t="str">
        <f t="shared" si="285"/>
        <v>01</v>
      </c>
      <c r="O986" s="14" t="str">
        <f t="shared" si="286"/>
        <v>00</v>
      </c>
    </row>
    <row r="987" spans="1:24" hidden="1">
      <c r="A987" s="143"/>
      <c r="J987" s="1" t="str">
        <f t="shared" si="281"/>
        <v>0</v>
      </c>
      <c r="K987" s="3">
        <f t="shared" si="282"/>
        <v>-100</v>
      </c>
      <c r="L987" s="3">
        <f t="shared" si="283"/>
        <v>1</v>
      </c>
      <c r="M987" s="3">
        <f t="shared" si="284"/>
        <v>0</v>
      </c>
      <c r="N987" s="3" t="str">
        <f t="shared" si="285"/>
        <v>01</v>
      </c>
      <c r="O987" s="14" t="str">
        <f t="shared" si="286"/>
        <v>00</v>
      </c>
    </row>
    <row r="988" spans="1:24" hidden="1">
      <c r="A988" s="143">
        <v>1003</v>
      </c>
      <c r="B988" s="1">
        <f>IF(G988="-",0,IF(G987=G988,1,0))</f>
        <v>0</v>
      </c>
      <c r="C988" s="1">
        <f>+IF(G988="-",0,IF(I988=I987+1,0,(IF(I988=1,0,1))))</f>
        <v>1</v>
      </c>
      <c r="D988" s="1">
        <f>+IF(AND(P988="",Q988=""),1,0)</f>
        <v>0</v>
      </c>
      <c r="E988" s="1">
        <f>IF(U988="",1,0)</f>
        <v>0</v>
      </c>
      <c r="F988" s="1">
        <f>IF(V988="",1,0)</f>
        <v>0</v>
      </c>
      <c r="G988" s="1" t="str">
        <f>IF(H988=0,"-",_xlfn.CONCAT(K988,N988,O988,J988))</f>
        <v>25042002</v>
      </c>
      <c r="H988" s="2">
        <v>45767</v>
      </c>
      <c r="I988" s="113">
        <v>2</v>
      </c>
      <c r="J988" s="1" t="str">
        <f t="shared" si="281"/>
        <v>02</v>
      </c>
      <c r="K988" s="3">
        <f t="shared" si="282"/>
        <v>25</v>
      </c>
      <c r="L988" s="3">
        <f t="shared" si="283"/>
        <v>4</v>
      </c>
      <c r="M988" s="3">
        <f t="shared" si="284"/>
        <v>20</v>
      </c>
      <c r="N988" s="3" t="str">
        <f t="shared" si="285"/>
        <v>04</v>
      </c>
      <c r="O988" s="14">
        <f t="shared" si="286"/>
        <v>20</v>
      </c>
      <c r="P988" s="4">
        <v>7501</v>
      </c>
      <c r="T988" s="5" t="s">
        <v>1400</v>
      </c>
      <c r="U988" s="3" t="s">
        <v>1310</v>
      </c>
      <c r="V988" s="3" t="s">
        <v>1316</v>
      </c>
      <c r="W988" s="3" t="s">
        <v>1309</v>
      </c>
      <c r="X988" s="1" t="s">
        <v>1305</v>
      </c>
    </row>
    <row r="989" spans="1:24" hidden="1">
      <c r="A989" s="143"/>
      <c r="J989" s="1" t="str">
        <f t="shared" si="281"/>
        <v>0</v>
      </c>
      <c r="K989" s="3">
        <f t="shared" si="282"/>
        <v>-100</v>
      </c>
      <c r="L989" s="3">
        <f t="shared" si="283"/>
        <v>1</v>
      </c>
      <c r="M989" s="3">
        <f t="shared" si="284"/>
        <v>0</v>
      </c>
      <c r="N989" s="3" t="str">
        <f t="shared" si="285"/>
        <v>01</v>
      </c>
      <c r="O989" s="14" t="str">
        <f t="shared" si="286"/>
        <v>00</v>
      </c>
    </row>
    <row r="990" spans="1:24" hidden="1">
      <c r="A990" s="143"/>
      <c r="J990" s="1" t="str">
        <f t="shared" si="281"/>
        <v>0</v>
      </c>
      <c r="K990" s="3">
        <f t="shared" si="282"/>
        <v>-100</v>
      </c>
      <c r="L990" s="3">
        <f t="shared" si="283"/>
        <v>1</v>
      </c>
      <c r="M990" s="3">
        <f t="shared" si="284"/>
        <v>0</v>
      </c>
      <c r="N990" s="3" t="str">
        <f t="shared" si="285"/>
        <v>01</v>
      </c>
      <c r="O990" s="14" t="str">
        <f t="shared" si="286"/>
        <v>00</v>
      </c>
    </row>
    <row r="991" spans="1:24" hidden="1">
      <c r="A991" s="143"/>
      <c r="J991" s="1" t="str">
        <f t="shared" si="281"/>
        <v>0</v>
      </c>
      <c r="K991" s="3">
        <f t="shared" si="282"/>
        <v>-100</v>
      </c>
      <c r="L991" s="3">
        <f t="shared" si="283"/>
        <v>1</v>
      </c>
      <c r="M991" s="3">
        <f t="shared" si="284"/>
        <v>0</v>
      </c>
      <c r="N991" s="3" t="str">
        <f t="shared" si="285"/>
        <v>01</v>
      </c>
      <c r="O991" s="14" t="str">
        <f t="shared" si="286"/>
        <v>00</v>
      </c>
    </row>
    <row r="992" spans="1:24">
      <c r="A992" s="143">
        <v>898</v>
      </c>
      <c r="B992" s="1">
        <f t="shared" ref="B992:B997" si="293">IF(G992="-",0,IF(G991=G992,1,0))</f>
        <v>0</v>
      </c>
      <c r="C992" s="1">
        <f t="shared" ref="C992:C997" si="294">+IF(G992="-",0,IF(I992=I991+1,0,(IF(I992=1,0,1))))</f>
        <v>0</v>
      </c>
      <c r="D992" s="1">
        <f t="shared" ref="D992:D997" si="295">+IF(AND(P992="",Q992=""),1,0)</f>
        <v>0</v>
      </c>
      <c r="E992" s="1">
        <f t="shared" ref="E992:F997" si="296">IF(U992="",1,0)</f>
        <v>0</v>
      </c>
      <c r="F992" s="1">
        <f t="shared" si="296"/>
        <v>0</v>
      </c>
      <c r="G992" s="1" t="str">
        <f t="shared" ref="G992:G997" si="297">IF(H992=0,"-",_xlfn.CONCAT(K992,N992,O992,J992))</f>
        <v>25042201</v>
      </c>
      <c r="H992" s="2">
        <v>45769</v>
      </c>
      <c r="I992" s="113">
        <v>1</v>
      </c>
      <c r="J992" s="1" t="str">
        <f t="shared" si="281"/>
        <v>01</v>
      </c>
      <c r="K992" s="3">
        <f t="shared" si="282"/>
        <v>25</v>
      </c>
      <c r="L992" s="3">
        <f t="shared" si="283"/>
        <v>4</v>
      </c>
      <c r="M992" s="3">
        <f t="shared" si="284"/>
        <v>22</v>
      </c>
      <c r="N992" s="3" t="str">
        <f t="shared" si="285"/>
        <v>04</v>
      </c>
      <c r="O992" s="14">
        <f t="shared" si="286"/>
        <v>22</v>
      </c>
      <c r="P992" s="4">
        <v>826016.77</v>
      </c>
      <c r="T992" s="5" t="s">
        <v>1526</v>
      </c>
      <c r="U992" s="3" t="s">
        <v>1342</v>
      </c>
      <c r="V992" s="3" t="s">
        <v>5</v>
      </c>
      <c r="W992" s="3" t="s">
        <v>1306</v>
      </c>
      <c r="X992" s="1" t="s">
        <v>1305</v>
      </c>
    </row>
    <row r="993" spans="1:24">
      <c r="A993" s="143">
        <v>899</v>
      </c>
      <c r="B993" s="1">
        <f t="shared" si="293"/>
        <v>0</v>
      </c>
      <c r="C993" s="1">
        <f t="shared" si="294"/>
        <v>0</v>
      </c>
      <c r="D993" s="1">
        <f t="shared" si="295"/>
        <v>0</v>
      </c>
      <c r="E993" s="1">
        <f t="shared" si="296"/>
        <v>0</v>
      </c>
      <c r="F993" s="1">
        <f t="shared" si="296"/>
        <v>0</v>
      </c>
      <c r="G993" s="1" t="str">
        <f t="shared" si="297"/>
        <v>25042202</v>
      </c>
      <c r="H993" s="2">
        <v>45769</v>
      </c>
      <c r="I993" s="113">
        <v>2</v>
      </c>
      <c r="J993" s="1" t="str">
        <f t="shared" si="281"/>
        <v>02</v>
      </c>
      <c r="K993" s="3">
        <f t="shared" si="282"/>
        <v>25</v>
      </c>
      <c r="L993" s="3">
        <f t="shared" si="283"/>
        <v>4</v>
      </c>
      <c r="M993" s="3">
        <f t="shared" si="284"/>
        <v>22</v>
      </c>
      <c r="N993" s="3" t="str">
        <f t="shared" si="285"/>
        <v>04</v>
      </c>
      <c r="O993" s="14">
        <f t="shared" si="286"/>
        <v>22</v>
      </c>
      <c r="P993" s="4">
        <v>33868.65</v>
      </c>
      <c r="T993" s="5" t="s">
        <v>1525</v>
      </c>
      <c r="U993" s="3" t="s">
        <v>1313</v>
      </c>
      <c r="V993" s="3" t="s">
        <v>5</v>
      </c>
      <c r="W993" s="3" t="s">
        <v>1306</v>
      </c>
      <c r="X993" s="1" t="s">
        <v>1305</v>
      </c>
    </row>
    <row r="994" spans="1:24" hidden="1">
      <c r="A994" s="143">
        <v>900</v>
      </c>
      <c r="B994" s="1">
        <f t="shared" si="293"/>
        <v>0</v>
      </c>
      <c r="C994" s="1">
        <f t="shared" si="294"/>
        <v>0</v>
      </c>
      <c r="D994" s="1">
        <f t="shared" si="295"/>
        <v>0</v>
      </c>
      <c r="E994" s="1">
        <f t="shared" si="296"/>
        <v>0</v>
      </c>
      <c r="F994" s="1">
        <f t="shared" si="296"/>
        <v>0</v>
      </c>
      <c r="G994" s="1" t="str">
        <f t="shared" si="297"/>
        <v>25042203</v>
      </c>
      <c r="H994" s="2">
        <v>45769</v>
      </c>
      <c r="I994" s="113">
        <v>3</v>
      </c>
      <c r="J994" s="1" t="str">
        <f t="shared" si="281"/>
        <v>03</v>
      </c>
      <c r="K994" s="3">
        <f t="shared" si="282"/>
        <v>25</v>
      </c>
      <c r="L994" s="3">
        <f t="shared" si="283"/>
        <v>4</v>
      </c>
      <c r="M994" s="3">
        <f t="shared" si="284"/>
        <v>22</v>
      </c>
      <c r="N994" s="3" t="str">
        <f t="shared" si="285"/>
        <v>04</v>
      </c>
      <c r="O994" s="14">
        <f t="shared" si="286"/>
        <v>22</v>
      </c>
      <c r="P994" s="4">
        <v>27022.639999999999</v>
      </c>
      <c r="T994" s="5" t="s">
        <v>1524</v>
      </c>
      <c r="U994" s="3" t="s">
        <v>29</v>
      </c>
      <c r="V994" s="3" t="s">
        <v>5</v>
      </c>
      <c r="W994" s="3" t="s">
        <v>1309</v>
      </c>
      <c r="X994" s="1" t="s">
        <v>1305</v>
      </c>
    </row>
    <row r="995" spans="1:24" hidden="1">
      <c r="A995" s="143">
        <v>901</v>
      </c>
      <c r="B995" s="1">
        <f t="shared" si="293"/>
        <v>0</v>
      </c>
      <c r="C995" s="1">
        <f t="shared" si="294"/>
        <v>0</v>
      </c>
      <c r="D995" s="1">
        <f t="shared" si="295"/>
        <v>0</v>
      </c>
      <c r="E995" s="1">
        <f t="shared" si="296"/>
        <v>0</v>
      </c>
      <c r="F995" s="1">
        <f t="shared" si="296"/>
        <v>0</v>
      </c>
      <c r="G995" s="1" t="str">
        <f t="shared" si="297"/>
        <v>25042204</v>
      </c>
      <c r="H995" s="2">
        <v>45769</v>
      </c>
      <c r="I995" s="113">
        <v>4</v>
      </c>
      <c r="J995" s="1" t="str">
        <f t="shared" si="281"/>
        <v>04</v>
      </c>
      <c r="K995" s="3">
        <f t="shared" si="282"/>
        <v>25</v>
      </c>
      <c r="L995" s="3">
        <f t="shared" si="283"/>
        <v>4</v>
      </c>
      <c r="M995" s="3">
        <f t="shared" si="284"/>
        <v>22</v>
      </c>
      <c r="N995" s="3" t="str">
        <f t="shared" si="285"/>
        <v>04</v>
      </c>
      <c r="O995" s="14">
        <f t="shared" si="286"/>
        <v>22</v>
      </c>
      <c r="P995" s="4">
        <v>3166.59</v>
      </c>
      <c r="T995" s="5" t="s">
        <v>1523</v>
      </c>
      <c r="U995" s="3" t="s">
        <v>29</v>
      </c>
      <c r="V995" s="3" t="s">
        <v>5</v>
      </c>
      <c r="W995" s="3" t="s">
        <v>1309</v>
      </c>
      <c r="X995" s="1" t="s">
        <v>1305</v>
      </c>
    </row>
    <row r="996" spans="1:24" hidden="1">
      <c r="A996" s="143">
        <v>902</v>
      </c>
      <c r="B996" s="1">
        <f t="shared" si="293"/>
        <v>0</v>
      </c>
      <c r="C996" s="1">
        <f t="shared" si="294"/>
        <v>0</v>
      </c>
      <c r="D996" s="1">
        <f t="shared" si="295"/>
        <v>0</v>
      </c>
      <c r="E996" s="1">
        <f t="shared" si="296"/>
        <v>0</v>
      </c>
      <c r="F996" s="1">
        <f t="shared" si="296"/>
        <v>0</v>
      </c>
      <c r="G996" s="1" t="str">
        <f t="shared" si="297"/>
        <v>25042205</v>
      </c>
      <c r="H996" s="2">
        <v>45769</v>
      </c>
      <c r="I996" s="113">
        <v>5</v>
      </c>
      <c r="J996" s="1" t="str">
        <f t="shared" si="281"/>
        <v>05</v>
      </c>
      <c r="K996" s="3">
        <f t="shared" si="282"/>
        <v>25</v>
      </c>
      <c r="L996" s="3">
        <f t="shared" si="283"/>
        <v>4</v>
      </c>
      <c r="M996" s="3">
        <f t="shared" si="284"/>
        <v>22</v>
      </c>
      <c r="N996" s="3" t="str">
        <f t="shared" si="285"/>
        <v>04</v>
      </c>
      <c r="O996" s="14">
        <f t="shared" si="286"/>
        <v>22</v>
      </c>
      <c r="P996" s="4">
        <v>20000</v>
      </c>
      <c r="T996" s="5" t="s">
        <v>1512</v>
      </c>
      <c r="U996" s="3" t="s">
        <v>29</v>
      </c>
      <c r="V996" s="3" t="s">
        <v>5</v>
      </c>
      <c r="W996" s="3" t="s">
        <v>1307</v>
      </c>
      <c r="X996" s="1" t="s">
        <v>1305</v>
      </c>
    </row>
    <row r="997" spans="1:24" hidden="1">
      <c r="A997" s="143">
        <v>934</v>
      </c>
      <c r="B997" s="1">
        <f t="shared" si="293"/>
        <v>0</v>
      </c>
      <c r="C997" s="1">
        <f t="shared" si="294"/>
        <v>0</v>
      </c>
      <c r="D997" s="1">
        <f t="shared" si="295"/>
        <v>0</v>
      </c>
      <c r="E997" s="1">
        <f t="shared" si="296"/>
        <v>0</v>
      </c>
      <c r="F997" s="1">
        <f t="shared" si="296"/>
        <v>0</v>
      </c>
      <c r="G997" s="1" t="str">
        <f t="shared" si="297"/>
        <v>25042206</v>
      </c>
      <c r="H997" s="2">
        <v>45769</v>
      </c>
      <c r="I997" s="113">
        <v>6</v>
      </c>
      <c r="J997" s="1" t="str">
        <f t="shared" si="281"/>
        <v>06</v>
      </c>
      <c r="K997" s="3">
        <f t="shared" si="282"/>
        <v>25</v>
      </c>
      <c r="L997" s="3">
        <f t="shared" si="283"/>
        <v>4</v>
      </c>
      <c r="M997" s="3">
        <f t="shared" si="284"/>
        <v>22</v>
      </c>
      <c r="N997" s="3" t="str">
        <f t="shared" si="285"/>
        <v>04</v>
      </c>
      <c r="O997" s="14">
        <f t="shared" si="286"/>
        <v>22</v>
      </c>
      <c r="P997" s="4">
        <v>30000</v>
      </c>
      <c r="T997" s="5" t="s">
        <v>1522</v>
      </c>
      <c r="U997" s="3" t="s">
        <v>29</v>
      </c>
      <c r="V997" s="3" t="s">
        <v>5</v>
      </c>
      <c r="W997" s="3" t="s">
        <v>1303</v>
      </c>
      <c r="X997" s="1" t="s">
        <v>1302</v>
      </c>
    </row>
    <row r="998" spans="1:24" hidden="1">
      <c r="A998" s="143"/>
      <c r="J998" s="1" t="str">
        <f t="shared" si="281"/>
        <v>0</v>
      </c>
      <c r="K998" s="3">
        <f t="shared" si="282"/>
        <v>-100</v>
      </c>
      <c r="L998" s="3">
        <f t="shared" si="283"/>
        <v>1</v>
      </c>
      <c r="M998" s="3">
        <f t="shared" si="284"/>
        <v>0</v>
      </c>
      <c r="N998" s="3" t="str">
        <f t="shared" si="285"/>
        <v>01</v>
      </c>
      <c r="O998" s="14" t="str">
        <f t="shared" si="286"/>
        <v>00</v>
      </c>
    </row>
    <row r="999" spans="1:24" hidden="1">
      <c r="A999" s="143"/>
      <c r="J999" s="1" t="str">
        <f t="shared" si="281"/>
        <v>0</v>
      </c>
      <c r="K999" s="3">
        <f t="shared" si="282"/>
        <v>-100</v>
      </c>
      <c r="L999" s="3">
        <f t="shared" si="283"/>
        <v>1</v>
      </c>
      <c r="M999" s="3">
        <f t="shared" si="284"/>
        <v>0</v>
      </c>
      <c r="N999" s="3" t="str">
        <f t="shared" si="285"/>
        <v>01</v>
      </c>
      <c r="O999" s="14" t="str">
        <f t="shared" si="286"/>
        <v>00</v>
      </c>
    </row>
    <row r="1000" spans="1:24" hidden="1">
      <c r="A1000" s="143"/>
      <c r="J1000" s="1" t="str">
        <f t="shared" si="281"/>
        <v>0</v>
      </c>
      <c r="K1000" s="3">
        <f t="shared" si="282"/>
        <v>-100</v>
      </c>
      <c r="L1000" s="3">
        <f t="shared" si="283"/>
        <v>1</v>
      </c>
      <c r="M1000" s="3">
        <f t="shared" si="284"/>
        <v>0</v>
      </c>
      <c r="N1000" s="3" t="str">
        <f t="shared" si="285"/>
        <v>01</v>
      </c>
      <c r="O1000" s="14" t="str">
        <f t="shared" si="286"/>
        <v>00</v>
      </c>
    </row>
    <row r="1001" spans="1:24" hidden="1">
      <c r="A1001" s="143">
        <v>903</v>
      </c>
      <c r="B1001" s="1">
        <f>IF(G1001="-",0,IF(G1000=G1001,1,0))</f>
        <v>0</v>
      </c>
      <c r="C1001" s="1">
        <f>+IF(G1001="-",0,IF(I1001=I1000+1,0,(IF(I1001=1,0,1))))</f>
        <v>0</v>
      </c>
      <c r="D1001" s="1">
        <f>+IF(AND(P1001="",Q1001=""),1,0)</f>
        <v>0</v>
      </c>
      <c r="E1001" s="1">
        <f t="shared" ref="E1001:F1003" si="298">IF(U1001="",1,0)</f>
        <v>0</v>
      </c>
      <c r="F1001" s="1">
        <f t="shared" si="298"/>
        <v>0</v>
      </c>
      <c r="G1001" s="1" t="str">
        <f>IF(H1001=0,"-",_xlfn.CONCAT(K1001,N1001,O1001,J1001))</f>
        <v>25042301</v>
      </c>
      <c r="H1001" s="2">
        <v>45770</v>
      </c>
      <c r="I1001" s="113">
        <v>1</v>
      </c>
      <c r="J1001" s="1" t="str">
        <f t="shared" si="281"/>
        <v>01</v>
      </c>
      <c r="K1001" s="3">
        <f t="shared" si="282"/>
        <v>25</v>
      </c>
      <c r="L1001" s="3">
        <f t="shared" si="283"/>
        <v>4</v>
      </c>
      <c r="M1001" s="3">
        <f t="shared" si="284"/>
        <v>23</v>
      </c>
      <c r="N1001" s="3" t="str">
        <f t="shared" si="285"/>
        <v>04</v>
      </c>
      <c r="O1001" s="14">
        <f t="shared" si="286"/>
        <v>23</v>
      </c>
      <c r="P1001" s="4">
        <v>36280.51</v>
      </c>
      <c r="T1001" s="5" t="s">
        <v>1521</v>
      </c>
      <c r="U1001" s="3" t="s">
        <v>29</v>
      </c>
      <c r="V1001" s="3" t="s">
        <v>5</v>
      </c>
      <c r="W1001" s="3" t="s">
        <v>1307</v>
      </c>
      <c r="X1001" s="1" t="s">
        <v>1305</v>
      </c>
    </row>
    <row r="1002" spans="1:24" hidden="1">
      <c r="A1002" s="143">
        <v>904</v>
      </c>
      <c r="B1002" s="1">
        <f>IF(G1002="-",0,IF(G1001=G1002,1,0))</f>
        <v>0</v>
      </c>
      <c r="C1002" s="1">
        <f>+IF(G1002="-",0,IF(I1002=I1001+1,0,(IF(I1002=1,0,1))))</f>
        <v>0</v>
      </c>
      <c r="D1002" s="1">
        <f>+IF(AND(P1002="",Q1002=""),1,0)</f>
        <v>0</v>
      </c>
      <c r="E1002" s="1">
        <f t="shared" si="298"/>
        <v>0</v>
      </c>
      <c r="F1002" s="1">
        <f t="shared" si="298"/>
        <v>0</v>
      </c>
      <c r="G1002" s="1" t="str">
        <f>IF(H1002=0,"-",_xlfn.CONCAT(K1002,N1002,O1002,J1002))</f>
        <v>25042302</v>
      </c>
      <c r="H1002" s="2">
        <v>45770</v>
      </c>
      <c r="I1002" s="113">
        <v>2</v>
      </c>
      <c r="J1002" s="1" t="str">
        <f t="shared" si="281"/>
        <v>02</v>
      </c>
      <c r="K1002" s="3">
        <f t="shared" si="282"/>
        <v>25</v>
      </c>
      <c r="L1002" s="3">
        <f t="shared" si="283"/>
        <v>4</v>
      </c>
      <c r="M1002" s="3">
        <f t="shared" si="284"/>
        <v>23</v>
      </c>
      <c r="N1002" s="3" t="str">
        <f t="shared" si="285"/>
        <v>04</v>
      </c>
      <c r="O1002" s="14">
        <f t="shared" si="286"/>
        <v>23</v>
      </c>
      <c r="P1002" s="4">
        <v>10117.870000000001</v>
      </c>
      <c r="T1002" s="5" t="s">
        <v>1520</v>
      </c>
      <c r="U1002" s="3" t="s">
        <v>29</v>
      </c>
      <c r="V1002" s="3" t="s">
        <v>5</v>
      </c>
      <c r="W1002" s="3" t="s">
        <v>1307</v>
      </c>
      <c r="X1002" s="1" t="s">
        <v>1305</v>
      </c>
    </row>
    <row r="1003" spans="1:24">
      <c r="A1003" s="143">
        <v>935</v>
      </c>
      <c r="B1003" s="1">
        <f>IF(G1003="-",0,IF(G1002=G1003,1,0))</f>
        <v>0</v>
      </c>
      <c r="C1003" s="1">
        <f>+IF(G1003="-",0,IF(I1003=I1002+1,0,(IF(I1003=1,0,1))))</f>
        <v>0</v>
      </c>
      <c r="D1003" s="1">
        <f>+IF(AND(P1003="",Q1003=""),1,0)</f>
        <v>0</v>
      </c>
      <c r="E1003" s="1">
        <f t="shared" si="298"/>
        <v>0</v>
      </c>
      <c r="F1003" s="1">
        <f t="shared" si="298"/>
        <v>0</v>
      </c>
      <c r="G1003" s="1" t="str">
        <f>IF(H1003=0,"-",_xlfn.CONCAT(K1003,N1003,O1003,J1003))</f>
        <v>25042303</v>
      </c>
      <c r="H1003" s="2">
        <v>45770</v>
      </c>
      <c r="I1003" s="113">
        <v>3</v>
      </c>
      <c r="J1003" s="1" t="str">
        <f t="shared" si="281"/>
        <v>03</v>
      </c>
      <c r="K1003" s="3">
        <f t="shared" si="282"/>
        <v>25</v>
      </c>
      <c r="L1003" s="3">
        <f t="shared" si="283"/>
        <v>4</v>
      </c>
      <c r="M1003" s="3">
        <f t="shared" si="284"/>
        <v>23</v>
      </c>
      <c r="N1003" s="3" t="str">
        <f t="shared" si="285"/>
        <v>04</v>
      </c>
      <c r="O1003" s="14">
        <f t="shared" si="286"/>
        <v>23</v>
      </c>
      <c r="P1003" s="4">
        <v>200000</v>
      </c>
      <c r="T1003" s="5" t="s">
        <v>1519</v>
      </c>
      <c r="U1003" s="3" t="s">
        <v>1342</v>
      </c>
      <c r="V1003" s="3" t="s">
        <v>5</v>
      </c>
      <c r="W1003" s="3" t="s">
        <v>1303</v>
      </c>
      <c r="X1003" s="1" t="s">
        <v>1302</v>
      </c>
    </row>
    <row r="1004" spans="1:24" hidden="1">
      <c r="A1004" s="143"/>
      <c r="J1004" s="1" t="str">
        <f t="shared" si="281"/>
        <v>0</v>
      </c>
      <c r="K1004" s="3">
        <f t="shared" si="282"/>
        <v>-100</v>
      </c>
      <c r="L1004" s="3">
        <f t="shared" si="283"/>
        <v>1</v>
      </c>
      <c r="M1004" s="3">
        <f t="shared" si="284"/>
        <v>0</v>
      </c>
      <c r="N1004" s="3" t="str">
        <f t="shared" si="285"/>
        <v>01</v>
      </c>
      <c r="O1004" s="14" t="str">
        <f t="shared" si="286"/>
        <v>00</v>
      </c>
    </row>
    <row r="1005" spans="1:24" hidden="1">
      <c r="A1005" s="143"/>
      <c r="J1005" s="1" t="str">
        <f t="shared" si="281"/>
        <v>0</v>
      </c>
      <c r="K1005" s="3">
        <f t="shared" si="282"/>
        <v>-100</v>
      </c>
      <c r="L1005" s="3">
        <f t="shared" si="283"/>
        <v>1</v>
      </c>
      <c r="M1005" s="3">
        <f t="shared" si="284"/>
        <v>0</v>
      </c>
      <c r="N1005" s="3" t="str">
        <f t="shared" si="285"/>
        <v>01</v>
      </c>
      <c r="O1005" s="14" t="str">
        <f t="shared" si="286"/>
        <v>00</v>
      </c>
    </row>
    <row r="1006" spans="1:24" hidden="1">
      <c r="A1006" s="143">
        <v>972</v>
      </c>
      <c r="B1006" s="1">
        <f>IF(G1006="-",0,IF(G1005=G1006,1,0))</f>
        <v>0</v>
      </c>
      <c r="C1006" s="1">
        <f>+IF(G1006="-",0,IF(I1006=I1005+1,0,(IF(I1006=1,0,1))))</f>
        <v>1</v>
      </c>
      <c r="D1006" s="1">
        <f>+IF(AND(P1006="",Q1006=""),1,0)</f>
        <v>0</v>
      </c>
      <c r="E1006" s="1">
        <f>IF(U1006="",1,0)</f>
        <v>0</v>
      </c>
      <c r="F1006" s="1">
        <f>IF(V1006="",1,0)</f>
        <v>0</v>
      </c>
      <c r="G1006" s="1" t="str">
        <f>IF(H1006=0,"-",_xlfn.CONCAT(K1006,N1006,O1006,J1006))</f>
        <v>25042306</v>
      </c>
      <c r="H1006" s="2">
        <v>45770</v>
      </c>
      <c r="I1006" s="113">
        <v>6</v>
      </c>
      <c r="J1006" s="1" t="str">
        <f t="shared" si="281"/>
        <v>06</v>
      </c>
      <c r="K1006" s="3">
        <f t="shared" si="282"/>
        <v>25</v>
      </c>
      <c r="L1006" s="3">
        <f t="shared" si="283"/>
        <v>4</v>
      </c>
      <c r="M1006" s="3">
        <f t="shared" si="284"/>
        <v>23</v>
      </c>
      <c r="N1006" s="3" t="str">
        <f t="shared" si="285"/>
        <v>04</v>
      </c>
      <c r="O1006" s="14">
        <f t="shared" si="286"/>
        <v>23</v>
      </c>
      <c r="P1006" s="4">
        <v>63423.5</v>
      </c>
      <c r="T1006" s="5" t="s">
        <v>352</v>
      </c>
      <c r="U1006" s="3" t="s">
        <v>30</v>
      </c>
      <c r="V1006" s="3" t="s">
        <v>1312</v>
      </c>
      <c r="W1006" s="3" t="s">
        <v>1307</v>
      </c>
      <c r="X1006" s="1" t="s">
        <v>1305</v>
      </c>
    </row>
    <row r="1007" spans="1:24" hidden="1">
      <c r="A1007" s="143"/>
      <c r="J1007" s="1" t="str">
        <f t="shared" si="281"/>
        <v>0</v>
      </c>
      <c r="K1007" s="3">
        <f t="shared" si="282"/>
        <v>-100</v>
      </c>
      <c r="L1007" s="3">
        <f t="shared" si="283"/>
        <v>1</v>
      </c>
      <c r="M1007" s="3">
        <f t="shared" si="284"/>
        <v>0</v>
      </c>
      <c r="N1007" s="3" t="str">
        <f t="shared" si="285"/>
        <v>01</v>
      </c>
      <c r="O1007" s="14" t="str">
        <f t="shared" si="286"/>
        <v>00</v>
      </c>
    </row>
    <row r="1008" spans="1:24" hidden="1">
      <c r="A1008" s="143"/>
      <c r="J1008" s="1" t="str">
        <f t="shared" si="281"/>
        <v>0</v>
      </c>
      <c r="K1008" s="3">
        <f t="shared" si="282"/>
        <v>-100</v>
      </c>
      <c r="L1008" s="3">
        <f t="shared" si="283"/>
        <v>1</v>
      </c>
      <c r="M1008" s="3">
        <f t="shared" si="284"/>
        <v>0</v>
      </c>
      <c r="N1008" s="3" t="str">
        <f t="shared" si="285"/>
        <v>01</v>
      </c>
      <c r="O1008" s="14" t="str">
        <f t="shared" si="286"/>
        <v>00</v>
      </c>
    </row>
    <row r="1009" spans="1:24">
      <c r="A1009" s="143">
        <v>905</v>
      </c>
      <c r="B1009" s="1">
        <f>IF(G1009="-",0,IF(G1008=G1009,1,0))</f>
        <v>0</v>
      </c>
      <c r="C1009" s="1">
        <f>+IF(G1009="-",0,IF(I1009=I1008+1,0,(IF(I1009=1,0,1))))</f>
        <v>0</v>
      </c>
      <c r="D1009" s="1">
        <f>+IF(AND(P1009="",Q1009=""),1,0)</f>
        <v>0</v>
      </c>
      <c r="E1009" s="1">
        <f t="shared" ref="E1009:F1013" si="299">IF(U1009="",1,0)</f>
        <v>0</v>
      </c>
      <c r="F1009" s="1">
        <f t="shared" si="299"/>
        <v>0</v>
      </c>
      <c r="G1009" s="1" t="str">
        <f>IF(H1009=0,"-",_xlfn.CONCAT(K1009,N1009,O1009,J1009))</f>
        <v>25042401</v>
      </c>
      <c r="H1009" s="2">
        <v>45771</v>
      </c>
      <c r="I1009" s="113">
        <v>1</v>
      </c>
      <c r="J1009" s="1" t="str">
        <f t="shared" si="281"/>
        <v>01</v>
      </c>
      <c r="K1009" s="3">
        <f t="shared" si="282"/>
        <v>25</v>
      </c>
      <c r="L1009" s="3">
        <f t="shared" si="283"/>
        <v>4</v>
      </c>
      <c r="M1009" s="3">
        <f t="shared" si="284"/>
        <v>24</v>
      </c>
      <c r="N1009" s="3" t="str">
        <f t="shared" si="285"/>
        <v>04</v>
      </c>
      <c r="O1009" s="14">
        <f t="shared" si="286"/>
        <v>24</v>
      </c>
      <c r="P1009" s="4">
        <v>472612.78</v>
      </c>
      <c r="T1009" s="5" t="s">
        <v>1518</v>
      </c>
      <c r="U1009" s="3" t="s">
        <v>1342</v>
      </c>
      <c r="V1009" s="3" t="s">
        <v>5</v>
      </c>
      <c r="W1009" s="3" t="s">
        <v>1306</v>
      </c>
      <c r="X1009" s="1" t="s">
        <v>1305</v>
      </c>
    </row>
    <row r="1010" spans="1:24">
      <c r="A1010" s="143">
        <v>906</v>
      </c>
      <c r="B1010" s="1">
        <f>IF(G1010="-",0,IF(G1009=G1010,1,0))</f>
        <v>0</v>
      </c>
      <c r="C1010" s="1">
        <f>+IF(G1010="-",0,IF(I1010=I1009+1,0,(IF(I1010=1,0,1))))</f>
        <v>0</v>
      </c>
      <c r="D1010" s="1">
        <f>+IF(AND(P1010="",Q1010=""),1,0)</f>
        <v>0</v>
      </c>
      <c r="E1010" s="1">
        <f t="shared" si="299"/>
        <v>0</v>
      </c>
      <c r="F1010" s="1">
        <f t="shared" si="299"/>
        <v>0</v>
      </c>
      <c r="G1010" s="1" t="str">
        <f>IF(H1010=0,"-",_xlfn.CONCAT(K1010,N1010,O1010,J1010))</f>
        <v>25042402</v>
      </c>
      <c r="H1010" s="2">
        <v>45771</v>
      </c>
      <c r="I1010" s="113">
        <v>2</v>
      </c>
      <c r="J1010" s="1" t="str">
        <f t="shared" si="281"/>
        <v>02</v>
      </c>
      <c r="K1010" s="3">
        <f t="shared" si="282"/>
        <v>25</v>
      </c>
      <c r="L1010" s="3">
        <f t="shared" si="283"/>
        <v>4</v>
      </c>
      <c r="M1010" s="3">
        <f t="shared" si="284"/>
        <v>24</v>
      </c>
      <c r="N1010" s="3" t="str">
        <f t="shared" si="285"/>
        <v>04</v>
      </c>
      <c r="O1010" s="14">
        <f t="shared" si="286"/>
        <v>24</v>
      </c>
      <c r="P1010" s="4">
        <v>8953.67</v>
      </c>
      <c r="T1010" s="5" t="s">
        <v>1517</v>
      </c>
      <c r="U1010" s="3" t="s">
        <v>1313</v>
      </c>
      <c r="V1010" s="3" t="s">
        <v>5</v>
      </c>
      <c r="W1010" s="3" t="s">
        <v>1306</v>
      </c>
      <c r="X1010" s="1" t="s">
        <v>1305</v>
      </c>
    </row>
    <row r="1011" spans="1:24" hidden="1">
      <c r="A1011" s="143">
        <v>907</v>
      </c>
      <c r="B1011" s="1">
        <f>IF(G1011="-",0,IF(G1010=G1011,1,0))</f>
        <v>0</v>
      </c>
      <c r="C1011" s="1">
        <f>+IF(G1011="-",0,IF(I1011=I1010+1,0,(IF(I1011=1,0,1))))</f>
        <v>0</v>
      </c>
      <c r="D1011" s="1">
        <f>+IF(AND(P1011="",Q1011=""),1,0)</f>
        <v>0</v>
      </c>
      <c r="E1011" s="1">
        <f t="shared" si="299"/>
        <v>0</v>
      </c>
      <c r="F1011" s="1">
        <f t="shared" si="299"/>
        <v>0</v>
      </c>
      <c r="G1011" s="1" t="str">
        <f>IF(H1011=0,"-",_xlfn.CONCAT(K1011,N1011,O1011,J1011))</f>
        <v>25042403</v>
      </c>
      <c r="H1011" s="2">
        <v>45771</v>
      </c>
      <c r="I1011" s="113">
        <v>3</v>
      </c>
      <c r="J1011" s="1" t="str">
        <f t="shared" si="281"/>
        <v>03</v>
      </c>
      <c r="K1011" s="3">
        <f t="shared" si="282"/>
        <v>25</v>
      </c>
      <c r="L1011" s="3">
        <f t="shared" si="283"/>
        <v>4</v>
      </c>
      <c r="M1011" s="3">
        <f t="shared" si="284"/>
        <v>24</v>
      </c>
      <c r="N1011" s="3" t="str">
        <f t="shared" si="285"/>
        <v>04</v>
      </c>
      <c r="O1011" s="14">
        <f t="shared" si="286"/>
        <v>24</v>
      </c>
      <c r="P1011" s="4">
        <v>19618.509999999998</v>
      </c>
      <c r="T1011" s="5" t="s">
        <v>1516</v>
      </c>
      <c r="U1011" s="3" t="s">
        <v>29</v>
      </c>
      <c r="V1011" s="3" t="s">
        <v>5</v>
      </c>
      <c r="W1011" s="3" t="s">
        <v>1307</v>
      </c>
      <c r="X1011" s="1" t="s">
        <v>1305</v>
      </c>
    </row>
    <row r="1012" spans="1:24" hidden="1">
      <c r="A1012" s="143">
        <v>908</v>
      </c>
      <c r="B1012" s="1">
        <f>IF(G1012="-",0,IF(G1011=G1012,1,0))</f>
        <v>0</v>
      </c>
      <c r="C1012" s="1">
        <f>+IF(G1012="-",0,IF(I1012=I1011+1,0,(IF(I1012=1,0,1))))</f>
        <v>0</v>
      </c>
      <c r="D1012" s="1">
        <f>+IF(AND(P1012="",Q1012=""),1,0)</f>
        <v>0</v>
      </c>
      <c r="E1012" s="1">
        <f t="shared" si="299"/>
        <v>0</v>
      </c>
      <c r="F1012" s="1">
        <f t="shared" si="299"/>
        <v>0</v>
      </c>
      <c r="G1012" s="1" t="str">
        <f>IF(H1012=0,"-",_xlfn.CONCAT(K1012,N1012,O1012,J1012))</f>
        <v>25042404</v>
      </c>
      <c r="H1012" s="2">
        <v>45771</v>
      </c>
      <c r="I1012" s="113">
        <v>4</v>
      </c>
      <c r="J1012" s="1" t="str">
        <f t="shared" si="281"/>
        <v>04</v>
      </c>
      <c r="K1012" s="3">
        <f t="shared" si="282"/>
        <v>25</v>
      </c>
      <c r="L1012" s="3">
        <f t="shared" si="283"/>
        <v>4</v>
      </c>
      <c r="M1012" s="3">
        <f t="shared" si="284"/>
        <v>24</v>
      </c>
      <c r="N1012" s="3" t="str">
        <f t="shared" si="285"/>
        <v>04</v>
      </c>
      <c r="O1012" s="14">
        <f t="shared" si="286"/>
        <v>24</v>
      </c>
      <c r="P1012" s="4">
        <v>12000</v>
      </c>
      <c r="T1012" s="5" t="s">
        <v>1489</v>
      </c>
      <c r="U1012" s="3" t="s">
        <v>29</v>
      </c>
      <c r="V1012" s="3" t="s">
        <v>5</v>
      </c>
      <c r="W1012" s="3" t="s">
        <v>1307</v>
      </c>
      <c r="X1012" s="1" t="s">
        <v>1305</v>
      </c>
    </row>
    <row r="1013" spans="1:24" hidden="1">
      <c r="A1013" s="143">
        <v>936</v>
      </c>
      <c r="B1013" s="1">
        <f>IF(G1013="-",0,IF(G1012=G1013,1,0))</f>
        <v>0</v>
      </c>
      <c r="C1013" s="1">
        <f>+IF(G1013="-",0,IF(I1013=I1012+1,0,(IF(I1013=1,0,1))))</f>
        <v>0</v>
      </c>
      <c r="D1013" s="1">
        <f>+IF(AND(P1013="",Q1013=""),1,0)</f>
        <v>0</v>
      </c>
      <c r="E1013" s="1">
        <f t="shared" si="299"/>
        <v>0</v>
      </c>
      <c r="F1013" s="1">
        <f t="shared" si="299"/>
        <v>0</v>
      </c>
      <c r="G1013" s="1" t="str">
        <f>IF(H1013=0,"-",_xlfn.CONCAT(K1013,N1013,O1013,J1013))</f>
        <v>25042405</v>
      </c>
      <c r="H1013" s="2">
        <v>45771</v>
      </c>
      <c r="I1013" s="113">
        <v>5</v>
      </c>
      <c r="J1013" s="1" t="str">
        <f t="shared" si="281"/>
        <v>05</v>
      </c>
      <c r="K1013" s="3">
        <f t="shared" si="282"/>
        <v>25</v>
      </c>
      <c r="L1013" s="3">
        <f t="shared" si="283"/>
        <v>4</v>
      </c>
      <c r="M1013" s="3">
        <f t="shared" si="284"/>
        <v>24</v>
      </c>
      <c r="N1013" s="3" t="str">
        <f t="shared" si="285"/>
        <v>04</v>
      </c>
      <c r="O1013" s="14">
        <f t="shared" si="286"/>
        <v>24</v>
      </c>
      <c r="P1013" s="4">
        <v>110000</v>
      </c>
      <c r="T1013" s="5" t="s">
        <v>1515</v>
      </c>
      <c r="U1013" s="3" t="s">
        <v>29</v>
      </c>
      <c r="V1013" s="3" t="s">
        <v>5</v>
      </c>
      <c r="W1013" s="3" t="s">
        <v>1303</v>
      </c>
      <c r="X1013" s="1" t="s">
        <v>1302</v>
      </c>
    </row>
    <row r="1014" spans="1:24" hidden="1">
      <c r="A1014" s="143"/>
      <c r="J1014" s="1" t="str">
        <f t="shared" si="281"/>
        <v>0</v>
      </c>
      <c r="K1014" s="3">
        <f t="shared" si="282"/>
        <v>-100</v>
      </c>
      <c r="L1014" s="3">
        <f t="shared" si="283"/>
        <v>1</v>
      </c>
      <c r="M1014" s="3">
        <f t="shared" si="284"/>
        <v>0</v>
      </c>
      <c r="N1014" s="3" t="str">
        <f t="shared" si="285"/>
        <v>01</v>
      </c>
      <c r="O1014" s="14" t="str">
        <f t="shared" si="286"/>
        <v>00</v>
      </c>
    </row>
    <row r="1015" spans="1:24" hidden="1">
      <c r="A1015" s="143"/>
      <c r="J1015" s="1" t="str">
        <f t="shared" si="281"/>
        <v>0</v>
      </c>
      <c r="K1015" s="3">
        <f t="shared" si="282"/>
        <v>-100</v>
      </c>
      <c r="L1015" s="3">
        <f t="shared" si="283"/>
        <v>1</v>
      </c>
      <c r="M1015" s="3">
        <f t="shared" si="284"/>
        <v>0</v>
      </c>
      <c r="N1015" s="3" t="str">
        <f t="shared" si="285"/>
        <v>01</v>
      </c>
      <c r="O1015" s="14" t="str">
        <f t="shared" si="286"/>
        <v>00</v>
      </c>
    </row>
    <row r="1016" spans="1:24" hidden="1">
      <c r="A1016" s="143"/>
      <c r="J1016" s="1" t="str">
        <f t="shared" si="281"/>
        <v>0</v>
      </c>
      <c r="K1016" s="3">
        <f t="shared" si="282"/>
        <v>-100</v>
      </c>
      <c r="L1016" s="3">
        <f t="shared" si="283"/>
        <v>1</v>
      </c>
      <c r="M1016" s="3">
        <f t="shared" si="284"/>
        <v>0</v>
      </c>
      <c r="N1016" s="3" t="str">
        <f t="shared" si="285"/>
        <v>01</v>
      </c>
      <c r="O1016" s="14" t="str">
        <f t="shared" si="286"/>
        <v>00</v>
      </c>
    </row>
    <row r="1017" spans="1:24" hidden="1">
      <c r="A1017" s="143"/>
      <c r="J1017" s="1" t="str">
        <f t="shared" si="281"/>
        <v>0</v>
      </c>
      <c r="K1017" s="3">
        <f t="shared" si="282"/>
        <v>-100</v>
      </c>
      <c r="L1017" s="3">
        <f t="shared" si="283"/>
        <v>1</v>
      </c>
      <c r="M1017" s="3">
        <f t="shared" si="284"/>
        <v>0</v>
      </c>
      <c r="N1017" s="3" t="str">
        <f t="shared" si="285"/>
        <v>01</v>
      </c>
      <c r="O1017" s="14" t="str">
        <f t="shared" si="286"/>
        <v>00</v>
      </c>
      <c r="P1017" s="94"/>
    </row>
    <row r="1018" spans="1:24">
      <c r="A1018" s="143">
        <v>909</v>
      </c>
      <c r="B1018" s="1">
        <f>IF(G1018="-",0,IF(G1017=G1018,1,0))</f>
        <v>0</v>
      </c>
      <c r="C1018" s="1">
        <f>+IF(G1018="-",0,IF(I1018=I1017+1,0,(IF(I1018=1,0,1))))</f>
        <v>0</v>
      </c>
      <c r="D1018" s="1">
        <f>+IF(AND(P1018="",Q1018=""),1,0)</f>
        <v>0</v>
      </c>
      <c r="E1018" s="1">
        <f t="shared" ref="E1018:F1020" si="300">IF(U1018="",1,0)</f>
        <v>0</v>
      </c>
      <c r="F1018" s="1">
        <f t="shared" si="300"/>
        <v>0</v>
      </c>
      <c r="G1018" s="1" t="str">
        <f>IF(H1018=0,"-",_xlfn.CONCAT(K1018,N1018,O1018,J1018))</f>
        <v>25042501</v>
      </c>
      <c r="H1018" s="2">
        <v>45772</v>
      </c>
      <c r="I1018" s="113">
        <v>1</v>
      </c>
      <c r="J1018" s="1" t="str">
        <f t="shared" si="281"/>
        <v>01</v>
      </c>
      <c r="K1018" s="3">
        <f t="shared" si="282"/>
        <v>25</v>
      </c>
      <c r="L1018" s="3">
        <f t="shared" si="283"/>
        <v>4</v>
      </c>
      <c r="M1018" s="3">
        <f t="shared" si="284"/>
        <v>25</v>
      </c>
      <c r="N1018" s="3" t="str">
        <f t="shared" si="285"/>
        <v>04</v>
      </c>
      <c r="O1018" s="14">
        <f t="shared" si="286"/>
        <v>25</v>
      </c>
      <c r="P1018" s="4">
        <v>34271.53</v>
      </c>
      <c r="T1018" s="5" t="s">
        <v>1514</v>
      </c>
      <c r="U1018" s="3" t="s">
        <v>1313</v>
      </c>
      <c r="V1018" s="3" t="s">
        <v>5</v>
      </c>
      <c r="W1018" s="3" t="s">
        <v>1313</v>
      </c>
      <c r="X1018" s="1" t="s">
        <v>1305</v>
      </c>
    </row>
    <row r="1019" spans="1:24" hidden="1">
      <c r="A1019" s="143">
        <v>910</v>
      </c>
      <c r="B1019" s="1">
        <f>IF(G1019="-",0,IF(G1018=G1019,1,0))</f>
        <v>0</v>
      </c>
      <c r="C1019" s="1">
        <f>+IF(G1019="-",0,IF(I1019=I1018+1,0,(IF(I1019=1,0,1))))</f>
        <v>0</v>
      </c>
      <c r="D1019" s="1">
        <f>+IF(AND(P1019="",Q1019=""),1,0)</f>
        <v>0</v>
      </c>
      <c r="E1019" s="1">
        <f t="shared" si="300"/>
        <v>0</v>
      </c>
      <c r="F1019" s="1">
        <f t="shared" si="300"/>
        <v>0</v>
      </c>
      <c r="G1019" s="1" t="str">
        <f>IF(H1019=0,"-",_xlfn.CONCAT(K1019,N1019,O1019,J1019))</f>
        <v>25042502</v>
      </c>
      <c r="H1019" s="2">
        <v>45772</v>
      </c>
      <c r="I1019" s="113">
        <v>2</v>
      </c>
      <c r="J1019" s="1" t="str">
        <f t="shared" si="281"/>
        <v>02</v>
      </c>
      <c r="K1019" s="3">
        <f t="shared" si="282"/>
        <v>25</v>
      </c>
      <c r="L1019" s="3">
        <f t="shared" si="283"/>
        <v>4</v>
      </c>
      <c r="M1019" s="3">
        <f t="shared" si="284"/>
        <v>25</v>
      </c>
      <c r="N1019" s="3" t="str">
        <f t="shared" si="285"/>
        <v>04</v>
      </c>
      <c r="O1019" s="14">
        <f t="shared" si="286"/>
        <v>25</v>
      </c>
      <c r="P1019" s="4">
        <v>21830.92</v>
      </c>
      <c r="T1019" s="5" t="s">
        <v>1513</v>
      </c>
      <c r="U1019" s="3" t="s">
        <v>29</v>
      </c>
      <c r="V1019" s="3" t="s">
        <v>5</v>
      </c>
      <c r="W1019" s="3" t="s">
        <v>1307</v>
      </c>
      <c r="X1019" s="1" t="s">
        <v>1305</v>
      </c>
    </row>
    <row r="1020" spans="1:24" hidden="1">
      <c r="A1020" s="143">
        <v>911</v>
      </c>
      <c r="B1020" s="1">
        <f>IF(G1020="-",0,IF(G1019=G1020,1,0))</f>
        <v>0</v>
      </c>
      <c r="C1020" s="1">
        <f>+IF(G1020="-",0,IF(I1020=I1019+1,0,(IF(I1020=1,0,1))))</f>
        <v>0</v>
      </c>
      <c r="D1020" s="1">
        <f>+IF(AND(P1020="",Q1020=""),1,0)</f>
        <v>0</v>
      </c>
      <c r="E1020" s="1">
        <f t="shared" si="300"/>
        <v>0</v>
      </c>
      <c r="F1020" s="1">
        <f t="shared" si="300"/>
        <v>0</v>
      </c>
      <c r="G1020" s="1" t="str">
        <f>IF(H1020=0,"-",_xlfn.CONCAT(K1020,N1020,O1020,J1020))</f>
        <v>25042503</v>
      </c>
      <c r="H1020" s="2">
        <v>45772</v>
      </c>
      <c r="I1020" s="113">
        <v>3</v>
      </c>
      <c r="J1020" s="1" t="str">
        <f t="shared" si="281"/>
        <v>03</v>
      </c>
      <c r="K1020" s="3">
        <f t="shared" si="282"/>
        <v>25</v>
      </c>
      <c r="L1020" s="3">
        <f t="shared" si="283"/>
        <v>4</v>
      </c>
      <c r="M1020" s="3">
        <f t="shared" si="284"/>
        <v>25</v>
      </c>
      <c r="N1020" s="3" t="str">
        <f t="shared" si="285"/>
        <v>04</v>
      </c>
      <c r="O1020" s="14">
        <f t="shared" si="286"/>
        <v>25</v>
      </c>
      <c r="P1020" s="4">
        <v>10000</v>
      </c>
      <c r="T1020" s="5" t="s">
        <v>1512</v>
      </c>
      <c r="U1020" s="3" t="s">
        <v>29</v>
      </c>
      <c r="V1020" s="3" t="s">
        <v>5</v>
      </c>
      <c r="W1020" s="3" t="s">
        <v>1307</v>
      </c>
      <c r="X1020" s="1" t="s">
        <v>1305</v>
      </c>
    </row>
    <row r="1021" spans="1:24" hidden="1">
      <c r="A1021" s="143"/>
      <c r="J1021" s="1" t="str">
        <f t="shared" si="281"/>
        <v>0</v>
      </c>
      <c r="K1021" s="3">
        <f t="shared" si="282"/>
        <v>-100</v>
      </c>
      <c r="L1021" s="3">
        <f t="shared" si="283"/>
        <v>1</v>
      </c>
      <c r="M1021" s="3">
        <f t="shared" si="284"/>
        <v>0</v>
      </c>
      <c r="N1021" s="3" t="str">
        <f t="shared" si="285"/>
        <v>01</v>
      </c>
      <c r="O1021" s="14" t="str">
        <f t="shared" si="286"/>
        <v>00</v>
      </c>
    </row>
    <row r="1022" spans="1:24" hidden="1">
      <c r="A1022" s="143"/>
      <c r="J1022" s="1" t="str">
        <f t="shared" si="281"/>
        <v>0</v>
      </c>
      <c r="K1022" s="3">
        <f t="shared" si="282"/>
        <v>-100</v>
      </c>
      <c r="L1022" s="3">
        <f t="shared" si="283"/>
        <v>1</v>
      </c>
      <c r="M1022" s="3">
        <f t="shared" si="284"/>
        <v>0</v>
      </c>
      <c r="N1022" s="3" t="str">
        <f t="shared" si="285"/>
        <v>01</v>
      </c>
      <c r="O1022" s="14" t="str">
        <f t="shared" si="286"/>
        <v>00</v>
      </c>
    </row>
    <row r="1023" spans="1:24" hidden="1">
      <c r="A1023" s="143">
        <v>974</v>
      </c>
      <c r="B1023" s="1">
        <f>IF(G1023="-",0,IF(G1022=G1023,1,0))</f>
        <v>0</v>
      </c>
      <c r="C1023" s="1">
        <f>+IF(G1023="-",0,IF(I1023=I1022+1,0,(IF(I1023=1,0,1))))</f>
        <v>1</v>
      </c>
      <c r="D1023" s="1">
        <f>+IF(AND(P1023="",Q1023=""),1,0)</f>
        <v>0</v>
      </c>
      <c r="E1023" s="1">
        <f>IF(U1023="",1,0)</f>
        <v>0</v>
      </c>
      <c r="F1023" s="1">
        <f>IF(V1023="",1,0)</f>
        <v>0</v>
      </c>
      <c r="G1023" s="1" t="str">
        <f>IF(H1023=0,"-",_xlfn.CONCAT(K1023,N1023,O1023,J1023))</f>
        <v>25042506</v>
      </c>
      <c r="H1023" s="2">
        <v>45772</v>
      </c>
      <c r="I1023" s="113">
        <v>6</v>
      </c>
      <c r="J1023" s="1" t="str">
        <f t="shared" si="281"/>
        <v>06</v>
      </c>
      <c r="K1023" s="3">
        <f t="shared" si="282"/>
        <v>25</v>
      </c>
      <c r="L1023" s="3">
        <f t="shared" si="283"/>
        <v>4</v>
      </c>
      <c r="M1023" s="3">
        <f t="shared" si="284"/>
        <v>25</v>
      </c>
      <c r="N1023" s="3" t="str">
        <f t="shared" si="285"/>
        <v>04</v>
      </c>
      <c r="O1023" s="14">
        <f t="shared" si="286"/>
        <v>25</v>
      </c>
      <c r="P1023" s="4">
        <v>32996.5</v>
      </c>
      <c r="T1023" s="5" t="s">
        <v>352</v>
      </c>
      <c r="U1023" s="3" t="s">
        <v>30</v>
      </c>
      <c r="V1023" s="3" t="s">
        <v>1312</v>
      </c>
      <c r="W1023" s="3" t="s">
        <v>1307</v>
      </c>
      <c r="X1023" s="1" t="s">
        <v>1305</v>
      </c>
    </row>
    <row r="1024" spans="1:24" hidden="1">
      <c r="A1024" s="143"/>
      <c r="J1024" s="1" t="str">
        <f t="shared" si="281"/>
        <v>0</v>
      </c>
      <c r="K1024" s="3">
        <f t="shared" si="282"/>
        <v>-100</v>
      </c>
      <c r="L1024" s="3">
        <f t="shared" si="283"/>
        <v>1</v>
      </c>
      <c r="M1024" s="3">
        <f t="shared" si="284"/>
        <v>0</v>
      </c>
      <c r="N1024" s="3" t="str">
        <f t="shared" si="285"/>
        <v>01</v>
      </c>
      <c r="O1024" s="14" t="str">
        <f t="shared" si="286"/>
        <v>00</v>
      </c>
    </row>
    <row r="1025" spans="1:24" hidden="1">
      <c r="A1025" s="143"/>
      <c r="J1025" s="1" t="str">
        <f t="shared" si="281"/>
        <v>0</v>
      </c>
      <c r="K1025" s="3">
        <f t="shared" si="282"/>
        <v>-100</v>
      </c>
      <c r="L1025" s="3">
        <f t="shared" si="283"/>
        <v>1</v>
      </c>
      <c r="M1025" s="3">
        <f t="shared" si="284"/>
        <v>0</v>
      </c>
      <c r="N1025" s="3" t="str">
        <f t="shared" si="285"/>
        <v>01</v>
      </c>
      <c r="O1025" s="14" t="str">
        <f t="shared" si="286"/>
        <v>00</v>
      </c>
    </row>
    <row r="1026" spans="1:24" hidden="1">
      <c r="A1026" s="143"/>
      <c r="J1026" s="1" t="str">
        <f t="shared" si="281"/>
        <v>0</v>
      </c>
      <c r="K1026" s="3">
        <f t="shared" si="282"/>
        <v>-100</v>
      </c>
      <c r="L1026" s="3">
        <f t="shared" si="283"/>
        <v>1</v>
      </c>
      <c r="M1026" s="3">
        <f t="shared" si="284"/>
        <v>0</v>
      </c>
      <c r="N1026" s="3" t="str">
        <f t="shared" si="285"/>
        <v>01</v>
      </c>
      <c r="O1026" s="14" t="str">
        <f t="shared" si="286"/>
        <v>00</v>
      </c>
    </row>
    <row r="1027" spans="1:24" hidden="1">
      <c r="A1027" s="143"/>
      <c r="J1027" s="1" t="str">
        <f t="shared" si="281"/>
        <v>0</v>
      </c>
      <c r="K1027" s="3">
        <f t="shared" si="282"/>
        <v>-100</v>
      </c>
      <c r="L1027" s="3">
        <f t="shared" si="283"/>
        <v>1</v>
      </c>
      <c r="M1027" s="3">
        <f t="shared" si="284"/>
        <v>0</v>
      </c>
      <c r="N1027" s="3" t="str">
        <f t="shared" si="285"/>
        <v>01</v>
      </c>
      <c r="O1027" s="14" t="str">
        <f t="shared" si="286"/>
        <v>00</v>
      </c>
    </row>
    <row r="1028" spans="1:24" hidden="1">
      <c r="A1028" s="143">
        <v>912</v>
      </c>
      <c r="B1028" s="1">
        <f t="shared" ref="B1028:B1045" si="301">IF(G1028="-",0,IF(G1027=G1028,1,0))</f>
        <v>0</v>
      </c>
      <c r="C1028" s="1">
        <f t="shared" ref="C1028:C1045" si="302">+IF(G1028="-",0,IF(I1028=I1027+1,0,(IF(I1028=1,0,1))))</f>
        <v>0</v>
      </c>
      <c r="D1028" s="1">
        <f t="shared" ref="D1028:D1045" si="303">+IF(AND(P1028="",Q1028=""),1,0)</f>
        <v>0</v>
      </c>
      <c r="E1028" s="1">
        <f t="shared" ref="E1028:E1045" si="304">IF(U1028="",1,0)</f>
        <v>0</v>
      </c>
      <c r="F1028" s="1">
        <f t="shared" ref="F1028:F1045" si="305">IF(V1028="",1,0)</f>
        <v>0</v>
      </c>
      <c r="G1028" s="1" t="str">
        <f t="shared" ref="G1028:G1045" si="306">IF(H1028=0,"-",_xlfn.CONCAT(K1028,N1028,O1028,J1028))</f>
        <v>25042601</v>
      </c>
      <c r="H1028" s="2">
        <v>45773</v>
      </c>
      <c r="I1028" s="113">
        <v>1</v>
      </c>
      <c r="J1028" s="1" t="str">
        <f t="shared" si="281"/>
        <v>01</v>
      </c>
      <c r="K1028" s="3">
        <f t="shared" si="282"/>
        <v>25</v>
      </c>
      <c r="L1028" s="3">
        <f t="shared" si="283"/>
        <v>4</v>
      </c>
      <c r="M1028" s="3">
        <f t="shared" si="284"/>
        <v>26</v>
      </c>
      <c r="N1028" s="3" t="str">
        <f t="shared" si="285"/>
        <v>04</v>
      </c>
      <c r="O1028" s="14">
        <f t="shared" si="286"/>
        <v>26</v>
      </c>
      <c r="P1028" s="4">
        <v>3363.56</v>
      </c>
      <c r="T1028" s="5" t="s">
        <v>1510</v>
      </c>
      <c r="U1028" s="3" t="s">
        <v>29</v>
      </c>
      <c r="V1028" s="3" t="s">
        <v>5</v>
      </c>
      <c r="W1028" s="3" t="s">
        <v>1307</v>
      </c>
      <c r="X1028" s="1" t="s">
        <v>1305</v>
      </c>
    </row>
    <row r="1029" spans="1:24" hidden="1">
      <c r="A1029" s="143">
        <v>913</v>
      </c>
      <c r="B1029" s="1">
        <f t="shared" si="301"/>
        <v>0</v>
      </c>
      <c r="C1029" s="1">
        <f t="shared" si="302"/>
        <v>0</v>
      </c>
      <c r="D1029" s="1">
        <f t="shared" si="303"/>
        <v>0</v>
      </c>
      <c r="E1029" s="1">
        <f t="shared" si="304"/>
        <v>0</v>
      </c>
      <c r="F1029" s="1">
        <f t="shared" si="305"/>
        <v>0</v>
      </c>
      <c r="G1029" s="1" t="str">
        <f t="shared" si="306"/>
        <v>25042602</v>
      </c>
      <c r="H1029" s="2">
        <v>45773</v>
      </c>
      <c r="I1029" s="113">
        <v>2</v>
      </c>
      <c r="J1029" s="1" t="str">
        <f t="shared" si="281"/>
        <v>02</v>
      </c>
      <c r="K1029" s="3">
        <f t="shared" si="282"/>
        <v>25</v>
      </c>
      <c r="L1029" s="3">
        <f t="shared" si="283"/>
        <v>4</v>
      </c>
      <c r="M1029" s="3">
        <f t="shared" si="284"/>
        <v>26</v>
      </c>
      <c r="N1029" s="3" t="str">
        <f t="shared" si="285"/>
        <v>04</v>
      </c>
      <c r="O1029" s="14">
        <f t="shared" si="286"/>
        <v>26</v>
      </c>
      <c r="P1029" s="4">
        <v>4222.79</v>
      </c>
      <c r="T1029" s="5" t="s">
        <v>1509</v>
      </c>
      <c r="U1029" s="3" t="s">
        <v>29</v>
      </c>
      <c r="V1029" s="3" t="s">
        <v>5</v>
      </c>
      <c r="W1029" s="3" t="s">
        <v>1307</v>
      </c>
      <c r="X1029" s="1" t="s">
        <v>1305</v>
      </c>
    </row>
    <row r="1030" spans="1:24" hidden="1">
      <c r="A1030" s="143">
        <v>914</v>
      </c>
      <c r="B1030" s="1">
        <f t="shared" si="301"/>
        <v>0</v>
      </c>
      <c r="C1030" s="1">
        <f t="shared" si="302"/>
        <v>0</v>
      </c>
      <c r="D1030" s="1">
        <f t="shared" si="303"/>
        <v>0</v>
      </c>
      <c r="E1030" s="1">
        <f t="shared" si="304"/>
        <v>0</v>
      </c>
      <c r="F1030" s="1">
        <f t="shared" si="305"/>
        <v>0</v>
      </c>
      <c r="G1030" s="1" t="str">
        <f t="shared" si="306"/>
        <v>25042603</v>
      </c>
      <c r="H1030" s="2">
        <v>45773</v>
      </c>
      <c r="I1030" s="113">
        <v>3</v>
      </c>
      <c r="J1030" s="1" t="str">
        <f t="shared" si="281"/>
        <v>03</v>
      </c>
      <c r="K1030" s="3">
        <f t="shared" si="282"/>
        <v>25</v>
      </c>
      <c r="L1030" s="3">
        <f t="shared" si="283"/>
        <v>4</v>
      </c>
      <c r="M1030" s="3">
        <f t="shared" si="284"/>
        <v>26</v>
      </c>
      <c r="N1030" s="3" t="str">
        <f t="shared" si="285"/>
        <v>04</v>
      </c>
      <c r="O1030" s="14">
        <f t="shared" si="286"/>
        <v>26</v>
      </c>
      <c r="P1030" s="4">
        <v>12000</v>
      </c>
      <c r="T1030" s="5" t="s">
        <v>1489</v>
      </c>
      <c r="U1030" s="3" t="s">
        <v>29</v>
      </c>
      <c r="V1030" s="3" t="s">
        <v>5</v>
      </c>
      <c r="W1030" s="3" t="s">
        <v>1307</v>
      </c>
      <c r="X1030" s="1" t="s">
        <v>1305</v>
      </c>
    </row>
    <row r="1031" spans="1:24">
      <c r="A1031" s="143">
        <v>937</v>
      </c>
      <c r="B1031" s="1">
        <f t="shared" si="301"/>
        <v>0</v>
      </c>
      <c r="C1031" s="1">
        <f t="shared" si="302"/>
        <v>0</v>
      </c>
      <c r="D1031" s="1">
        <f t="shared" si="303"/>
        <v>0</v>
      </c>
      <c r="E1031" s="1">
        <f t="shared" si="304"/>
        <v>0</v>
      </c>
      <c r="F1031" s="1">
        <f t="shared" si="305"/>
        <v>0</v>
      </c>
      <c r="G1031" s="1" t="str">
        <f t="shared" si="306"/>
        <v>25042604</v>
      </c>
      <c r="H1031" s="2">
        <v>45773</v>
      </c>
      <c r="I1031" s="113">
        <v>4</v>
      </c>
      <c r="J1031" s="1" t="str">
        <f t="shared" si="281"/>
        <v>04</v>
      </c>
      <c r="K1031" s="3">
        <f t="shared" si="282"/>
        <v>25</v>
      </c>
      <c r="L1031" s="3">
        <f t="shared" si="283"/>
        <v>4</v>
      </c>
      <c r="M1031" s="3">
        <f t="shared" si="284"/>
        <v>26</v>
      </c>
      <c r="N1031" s="3" t="str">
        <f t="shared" si="285"/>
        <v>04</v>
      </c>
      <c r="O1031" s="14">
        <f t="shared" si="286"/>
        <v>26</v>
      </c>
      <c r="P1031" s="4">
        <v>132500</v>
      </c>
      <c r="T1031" s="28" t="s">
        <v>1508</v>
      </c>
      <c r="U1031" s="3" t="s">
        <v>1342</v>
      </c>
      <c r="V1031" s="3" t="s">
        <v>5</v>
      </c>
      <c r="W1031" s="3" t="s">
        <v>1306</v>
      </c>
      <c r="X1031" s="1" t="s">
        <v>1302</v>
      </c>
    </row>
    <row r="1032" spans="1:24">
      <c r="A1032" s="143">
        <v>938</v>
      </c>
      <c r="B1032" s="1">
        <f t="shared" si="301"/>
        <v>0</v>
      </c>
      <c r="C1032" s="1">
        <f t="shared" si="302"/>
        <v>0</v>
      </c>
      <c r="D1032" s="1">
        <f t="shared" si="303"/>
        <v>0</v>
      </c>
      <c r="E1032" s="1">
        <f t="shared" si="304"/>
        <v>0</v>
      </c>
      <c r="F1032" s="1">
        <f t="shared" si="305"/>
        <v>0</v>
      </c>
      <c r="G1032" s="1" t="str">
        <f t="shared" si="306"/>
        <v>25042605</v>
      </c>
      <c r="H1032" s="2">
        <v>45773</v>
      </c>
      <c r="I1032" s="113">
        <v>5</v>
      </c>
      <c r="J1032" s="1" t="str">
        <f t="shared" ref="J1032:J1095" si="307">+IF(I1032&lt;10,_xlfn.CONCAT("0",I1032),I1032)</f>
        <v>05</v>
      </c>
      <c r="K1032" s="3">
        <f t="shared" ref="K1032:K1095" si="308">+YEAR(H1032)-2000</f>
        <v>25</v>
      </c>
      <c r="L1032" s="3">
        <f t="shared" ref="L1032:L1095" si="309">+MONTH(H1032)</f>
        <v>4</v>
      </c>
      <c r="M1032" s="3">
        <f t="shared" ref="M1032:M1095" si="310">+DAY(H1032)</f>
        <v>26</v>
      </c>
      <c r="N1032" s="3" t="str">
        <f t="shared" ref="N1032:N1095" si="311">+IF(L1032&lt;10,_xlfn.CONCAT("0",L1032),L1032)</f>
        <v>04</v>
      </c>
      <c r="O1032" s="14">
        <f t="shared" ref="O1032:O1095" si="312">+IF(M1032&lt;10,_xlfn.CONCAT("0",M1032),M1032)</f>
        <v>26</v>
      </c>
      <c r="P1032" s="4">
        <v>138000</v>
      </c>
      <c r="T1032" s="28" t="s">
        <v>1507</v>
      </c>
      <c r="U1032" s="3" t="s">
        <v>1342</v>
      </c>
      <c r="V1032" s="3" t="s">
        <v>5</v>
      </c>
      <c r="W1032" s="3" t="s">
        <v>1306</v>
      </c>
      <c r="X1032" s="1" t="s">
        <v>1302</v>
      </c>
    </row>
    <row r="1033" spans="1:24">
      <c r="A1033" s="143">
        <v>939</v>
      </c>
      <c r="B1033" s="1">
        <f t="shared" si="301"/>
        <v>0</v>
      </c>
      <c r="C1033" s="1">
        <f t="shared" si="302"/>
        <v>0</v>
      </c>
      <c r="D1033" s="1">
        <f t="shared" si="303"/>
        <v>0</v>
      </c>
      <c r="E1033" s="1">
        <f t="shared" si="304"/>
        <v>0</v>
      </c>
      <c r="F1033" s="1">
        <f t="shared" si="305"/>
        <v>0</v>
      </c>
      <c r="G1033" s="1" t="str">
        <f t="shared" si="306"/>
        <v>25042606</v>
      </c>
      <c r="H1033" s="2">
        <v>45773</v>
      </c>
      <c r="I1033" s="113">
        <v>6</v>
      </c>
      <c r="J1033" s="1" t="str">
        <f t="shared" si="307"/>
        <v>06</v>
      </c>
      <c r="K1033" s="3">
        <f t="shared" si="308"/>
        <v>25</v>
      </c>
      <c r="L1033" s="3">
        <f t="shared" si="309"/>
        <v>4</v>
      </c>
      <c r="M1033" s="3">
        <f t="shared" si="310"/>
        <v>26</v>
      </c>
      <c r="N1033" s="3" t="str">
        <f t="shared" si="311"/>
        <v>04</v>
      </c>
      <c r="O1033" s="14">
        <f t="shared" si="312"/>
        <v>26</v>
      </c>
      <c r="P1033" s="4">
        <v>132000</v>
      </c>
      <c r="T1033" s="28" t="s">
        <v>1506</v>
      </c>
      <c r="U1033" s="3" t="s">
        <v>1342</v>
      </c>
      <c r="V1033" s="3" t="s">
        <v>5</v>
      </c>
      <c r="W1033" s="3" t="s">
        <v>1306</v>
      </c>
      <c r="X1033" s="1" t="s">
        <v>1302</v>
      </c>
    </row>
    <row r="1034" spans="1:24">
      <c r="A1034" s="143">
        <v>940</v>
      </c>
      <c r="B1034" s="1">
        <f t="shared" si="301"/>
        <v>0</v>
      </c>
      <c r="C1034" s="1">
        <f t="shared" si="302"/>
        <v>0</v>
      </c>
      <c r="D1034" s="1">
        <f t="shared" si="303"/>
        <v>0</v>
      </c>
      <c r="E1034" s="1">
        <f t="shared" si="304"/>
        <v>0</v>
      </c>
      <c r="F1034" s="1">
        <f t="shared" si="305"/>
        <v>0</v>
      </c>
      <c r="G1034" s="1" t="str">
        <f t="shared" si="306"/>
        <v>25042607</v>
      </c>
      <c r="H1034" s="2">
        <v>45773</v>
      </c>
      <c r="I1034" s="113">
        <v>7</v>
      </c>
      <c r="J1034" s="1" t="str">
        <f t="shared" si="307"/>
        <v>07</v>
      </c>
      <c r="K1034" s="3">
        <f t="shared" si="308"/>
        <v>25</v>
      </c>
      <c r="L1034" s="3">
        <f t="shared" si="309"/>
        <v>4</v>
      </c>
      <c r="M1034" s="3">
        <f t="shared" si="310"/>
        <v>26</v>
      </c>
      <c r="N1034" s="3" t="str">
        <f t="shared" si="311"/>
        <v>04</v>
      </c>
      <c r="O1034" s="14">
        <f t="shared" si="312"/>
        <v>26</v>
      </c>
      <c r="P1034" s="4">
        <v>108000</v>
      </c>
      <c r="T1034" s="28" t="s">
        <v>1505</v>
      </c>
      <c r="U1034" s="3" t="s">
        <v>1342</v>
      </c>
      <c r="V1034" s="3" t="s">
        <v>5</v>
      </c>
      <c r="W1034" s="3" t="s">
        <v>1306</v>
      </c>
      <c r="X1034" s="1" t="s">
        <v>1302</v>
      </c>
    </row>
    <row r="1035" spans="1:24">
      <c r="A1035" s="143">
        <v>941</v>
      </c>
      <c r="B1035" s="1">
        <f t="shared" si="301"/>
        <v>0</v>
      </c>
      <c r="C1035" s="1">
        <f t="shared" si="302"/>
        <v>0</v>
      </c>
      <c r="D1035" s="1">
        <f t="shared" si="303"/>
        <v>0</v>
      </c>
      <c r="E1035" s="1">
        <f t="shared" si="304"/>
        <v>0</v>
      </c>
      <c r="F1035" s="1">
        <f t="shared" si="305"/>
        <v>0</v>
      </c>
      <c r="G1035" s="1" t="str">
        <f t="shared" si="306"/>
        <v>25042608</v>
      </c>
      <c r="H1035" s="2">
        <v>45773</v>
      </c>
      <c r="I1035" s="113">
        <v>8</v>
      </c>
      <c r="J1035" s="1" t="str">
        <f t="shared" si="307"/>
        <v>08</v>
      </c>
      <c r="K1035" s="3">
        <f t="shared" si="308"/>
        <v>25</v>
      </c>
      <c r="L1035" s="3">
        <f t="shared" si="309"/>
        <v>4</v>
      </c>
      <c r="M1035" s="3">
        <f t="shared" si="310"/>
        <v>26</v>
      </c>
      <c r="N1035" s="3" t="str">
        <f t="shared" si="311"/>
        <v>04</v>
      </c>
      <c r="O1035" s="14">
        <f t="shared" si="312"/>
        <v>26</v>
      </c>
      <c r="P1035" s="4">
        <v>0</v>
      </c>
      <c r="T1035" s="28" t="s">
        <v>1504</v>
      </c>
      <c r="U1035" s="3" t="s">
        <v>1342</v>
      </c>
      <c r="V1035" s="3" t="s">
        <v>5</v>
      </c>
      <c r="W1035" s="3" t="s">
        <v>1306</v>
      </c>
      <c r="X1035" s="1" t="s">
        <v>1302</v>
      </c>
    </row>
    <row r="1036" spans="1:24">
      <c r="A1036" s="143">
        <v>942</v>
      </c>
      <c r="B1036" s="1">
        <f t="shared" si="301"/>
        <v>0</v>
      </c>
      <c r="C1036" s="1">
        <f t="shared" si="302"/>
        <v>0</v>
      </c>
      <c r="D1036" s="1">
        <f t="shared" si="303"/>
        <v>0</v>
      </c>
      <c r="E1036" s="1">
        <f t="shared" si="304"/>
        <v>0</v>
      </c>
      <c r="F1036" s="1">
        <f t="shared" si="305"/>
        <v>0</v>
      </c>
      <c r="G1036" s="1" t="str">
        <f t="shared" si="306"/>
        <v>25042609</v>
      </c>
      <c r="H1036" s="2">
        <v>45773</v>
      </c>
      <c r="I1036" s="113">
        <v>9</v>
      </c>
      <c r="J1036" s="1" t="str">
        <f t="shared" si="307"/>
        <v>09</v>
      </c>
      <c r="K1036" s="3">
        <f t="shared" si="308"/>
        <v>25</v>
      </c>
      <c r="L1036" s="3">
        <f t="shared" si="309"/>
        <v>4</v>
      </c>
      <c r="M1036" s="3">
        <f t="shared" si="310"/>
        <v>26</v>
      </c>
      <c r="N1036" s="3" t="str">
        <f t="shared" si="311"/>
        <v>04</v>
      </c>
      <c r="O1036" s="14">
        <f t="shared" si="312"/>
        <v>26</v>
      </c>
      <c r="P1036" s="4">
        <v>159000</v>
      </c>
      <c r="T1036" s="28" t="s">
        <v>1503</v>
      </c>
      <c r="U1036" s="3" t="s">
        <v>1342</v>
      </c>
      <c r="V1036" s="3" t="s">
        <v>5</v>
      </c>
      <c r="W1036" s="3" t="s">
        <v>1306</v>
      </c>
      <c r="X1036" s="1" t="s">
        <v>1302</v>
      </c>
    </row>
    <row r="1037" spans="1:24">
      <c r="A1037" s="143">
        <v>943</v>
      </c>
      <c r="B1037" s="1">
        <f t="shared" si="301"/>
        <v>0</v>
      </c>
      <c r="C1037" s="1">
        <f t="shared" si="302"/>
        <v>0</v>
      </c>
      <c r="D1037" s="1">
        <f t="shared" si="303"/>
        <v>0</v>
      </c>
      <c r="E1037" s="1">
        <f t="shared" si="304"/>
        <v>0</v>
      </c>
      <c r="F1037" s="1">
        <f t="shared" si="305"/>
        <v>0</v>
      </c>
      <c r="G1037" s="1" t="str">
        <f t="shared" si="306"/>
        <v>25042610</v>
      </c>
      <c r="H1037" s="2">
        <v>45773</v>
      </c>
      <c r="I1037" s="113">
        <v>10</v>
      </c>
      <c r="J1037" s="1">
        <f t="shared" si="307"/>
        <v>10</v>
      </c>
      <c r="K1037" s="3">
        <f t="shared" si="308"/>
        <v>25</v>
      </c>
      <c r="L1037" s="3">
        <f t="shared" si="309"/>
        <v>4</v>
      </c>
      <c r="M1037" s="3">
        <f t="shared" si="310"/>
        <v>26</v>
      </c>
      <c r="N1037" s="3" t="str">
        <f t="shared" si="311"/>
        <v>04</v>
      </c>
      <c r="O1037" s="14">
        <f t="shared" si="312"/>
        <v>26</v>
      </c>
      <c r="P1037" s="4">
        <v>110000</v>
      </c>
      <c r="T1037" s="28" t="s">
        <v>1502</v>
      </c>
      <c r="U1037" s="3" t="s">
        <v>1342</v>
      </c>
      <c r="V1037" s="3" t="s">
        <v>5</v>
      </c>
      <c r="W1037" s="3" t="s">
        <v>1306</v>
      </c>
      <c r="X1037" s="1" t="s">
        <v>1302</v>
      </c>
    </row>
    <row r="1038" spans="1:24">
      <c r="A1038" s="143">
        <v>944</v>
      </c>
      <c r="B1038" s="1">
        <f t="shared" si="301"/>
        <v>0</v>
      </c>
      <c r="C1038" s="1">
        <f t="shared" si="302"/>
        <v>0</v>
      </c>
      <c r="D1038" s="1">
        <f t="shared" si="303"/>
        <v>0</v>
      </c>
      <c r="E1038" s="1">
        <f t="shared" si="304"/>
        <v>0</v>
      </c>
      <c r="F1038" s="1">
        <f t="shared" si="305"/>
        <v>0</v>
      </c>
      <c r="G1038" s="1" t="str">
        <f t="shared" si="306"/>
        <v>25042611</v>
      </c>
      <c r="H1038" s="2">
        <v>45773</v>
      </c>
      <c r="I1038" s="113">
        <v>11</v>
      </c>
      <c r="J1038" s="1">
        <f t="shared" si="307"/>
        <v>11</v>
      </c>
      <c r="K1038" s="3">
        <f t="shared" si="308"/>
        <v>25</v>
      </c>
      <c r="L1038" s="3">
        <f t="shared" si="309"/>
        <v>4</v>
      </c>
      <c r="M1038" s="3">
        <f t="shared" si="310"/>
        <v>26</v>
      </c>
      <c r="N1038" s="3" t="str">
        <f t="shared" si="311"/>
        <v>04</v>
      </c>
      <c r="O1038" s="14">
        <f t="shared" si="312"/>
        <v>26</v>
      </c>
      <c r="P1038" s="4">
        <v>132000</v>
      </c>
      <c r="T1038" s="29" t="s">
        <v>1501</v>
      </c>
      <c r="U1038" s="3" t="s">
        <v>1342</v>
      </c>
      <c r="V1038" s="3" t="s">
        <v>5</v>
      </c>
      <c r="W1038" s="3" t="s">
        <v>1306</v>
      </c>
      <c r="X1038" s="1" t="s">
        <v>1302</v>
      </c>
    </row>
    <row r="1039" spans="1:24">
      <c r="A1039" s="143">
        <v>945</v>
      </c>
      <c r="B1039" s="1">
        <f t="shared" si="301"/>
        <v>0</v>
      </c>
      <c r="C1039" s="1">
        <f t="shared" si="302"/>
        <v>0</v>
      </c>
      <c r="D1039" s="1">
        <f t="shared" si="303"/>
        <v>0</v>
      </c>
      <c r="E1039" s="1">
        <f t="shared" si="304"/>
        <v>0</v>
      </c>
      <c r="F1039" s="1">
        <f t="shared" si="305"/>
        <v>0</v>
      </c>
      <c r="G1039" s="1" t="str">
        <f t="shared" si="306"/>
        <v>25042612</v>
      </c>
      <c r="H1039" s="2">
        <v>45773</v>
      </c>
      <c r="I1039" s="113">
        <v>12</v>
      </c>
      <c r="J1039" s="1">
        <f t="shared" si="307"/>
        <v>12</v>
      </c>
      <c r="K1039" s="3">
        <f t="shared" si="308"/>
        <v>25</v>
      </c>
      <c r="L1039" s="3">
        <f t="shared" si="309"/>
        <v>4</v>
      </c>
      <c r="M1039" s="3">
        <f t="shared" si="310"/>
        <v>26</v>
      </c>
      <c r="N1039" s="3" t="str">
        <f t="shared" si="311"/>
        <v>04</v>
      </c>
      <c r="O1039" s="14">
        <f t="shared" si="312"/>
        <v>26</v>
      </c>
      <c r="P1039" s="4">
        <v>90000</v>
      </c>
      <c r="T1039" s="29" t="s">
        <v>1500</v>
      </c>
      <c r="U1039" s="3" t="s">
        <v>1342</v>
      </c>
      <c r="V1039" s="3" t="s">
        <v>5</v>
      </c>
      <c r="W1039" s="3" t="s">
        <v>1306</v>
      </c>
      <c r="X1039" s="1" t="s">
        <v>1302</v>
      </c>
    </row>
    <row r="1040" spans="1:24">
      <c r="A1040" s="143">
        <v>946</v>
      </c>
      <c r="B1040" s="1">
        <f t="shared" si="301"/>
        <v>0</v>
      </c>
      <c r="C1040" s="1">
        <f t="shared" si="302"/>
        <v>0</v>
      </c>
      <c r="D1040" s="1">
        <f t="shared" si="303"/>
        <v>0</v>
      </c>
      <c r="E1040" s="1">
        <f t="shared" si="304"/>
        <v>0</v>
      </c>
      <c r="F1040" s="1">
        <f t="shared" si="305"/>
        <v>0</v>
      </c>
      <c r="G1040" s="1" t="str">
        <f t="shared" si="306"/>
        <v>25042613</v>
      </c>
      <c r="H1040" s="2">
        <v>45773</v>
      </c>
      <c r="I1040" s="113">
        <v>13</v>
      </c>
      <c r="J1040" s="1">
        <f t="shared" si="307"/>
        <v>13</v>
      </c>
      <c r="K1040" s="3">
        <f t="shared" si="308"/>
        <v>25</v>
      </c>
      <c r="L1040" s="3">
        <f t="shared" si="309"/>
        <v>4</v>
      </c>
      <c r="M1040" s="3">
        <f t="shared" si="310"/>
        <v>26</v>
      </c>
      <c r="N1040" s="3" t="str">
        <f t="shared" si="311"/>
        <v>04</v>
      </c>
      <c r="O1040" s="14">
        <f t="shared" si="312"/>
        <v>26</v>
      </c>
      <c r="P1040" s="4">
        <v>90000</v>
      </c>
      <c r="T1040" s="29" t="s">
        <v>1499</v>
      </c>
      <c r="U1040" s="3" t="s">
        <v>1342</v>
      </c>
      <c r="V1040" s="3" t="s">
        <v>5</v>
      </c>
      <c r="W1040" s="3" t="s">
        <v>1306</v>
      </c>
      <c r="X1040" s="1" t="s">
        <v>1302</v>
      </c>
    </row>
    <row r="1041" spans="1:25">
      <c r="A1041" s="143">
        <v>947</v>
      </c>
      <c r="B1041" s="1">
        <f t="shared" si="301"/>
        <v>0</v>
      </c>
      <c r="C1041" s="1">
        <f t="shared" si="302"/>
        <v>0</v>
      </c>
      <c r="D1041" s="1">
        <f t="shared" si="303"/>
        <v>0</v>
      </c>
      <c r="E1041" s="1">
        <f t="shared" si="304"/>
        <v>0</v>
      </c>
      <c r="F1041" s="1">
        <f t="shared" si="305"/>
        <v>0</v>
      </c>
      <c r="G1041" s="1" t="str">
        <f t="shared" si="306"/>
        <v>25042614</v>
      </c>
      <c r="H1041" s="2">
        <v>45773</v>
      </c>
      <c r="I1041" s="113">
        <v>14</v>
      </c>
      <c r="J1041" s="1">
        <f t="shared" si="307"/>
        <v>14</v>
      </c>
      <c r="K1041" s="3">
        <f t="shared" si="308"/>
        <v>25</v>
      </c>
      <c r="L1041" s="3">
        <f t="shared" si="309"/>
        <v>4</v>
      </c>
      <c r="M1041" s="3">
        <f t="shared" si="310"/>
        <v>26</v>
      </c>
      <c r="N1041" s="3" t="str">
        <f t="shared" si="311"/>
        <v>04</v>
      </c>
      <c r="O1041" s="14">
        <f t="shared" si="312"/>
        <v>26</v>
      </c>
      <c r="P1041" s="4">
        <v>132000</v>
      </c>
      <c r="T1041" s="29" t="s">
        <v>1498</v>
      </c>
      <c r="U1041" s="3" t="s">
        <v>1342</v>
      </c>
      <c r="V1041" s="3" t="s">
        <v>5</v>
      </c>
      <c r="W1041" s="3" t="s">
        <v>1306</v>
      </c>
      <c r="X1041" s="1" t="s">
        <v>1302</v>
      </c>
    </row>
    <row r="1042" spans="1:25">
      <c r="A1042" s="143">
        <v>948</v>
      </c>
      <c r="B1042" s="1">
        <f t="shared" si="301"/>
        <v>0</v>
      </c>
      <c r="C1042" s="1">
        <f t="shared" si="302"/>
        <v>0</v>
      </c>
      <c r="D1042" s="1">
        <f t="shared" si="303"/>
        <v>0</v>
      </c>
      <c r="E1042" s="1">
        <f t="shared" si="304"/>
        <v>0</v>
      </c>
      <c r="F1042" s="1">
        <f t="shared" si="305"/>
        <v>0</v>
      </c>
      <c r="G1042" s="1" t="str">
        <f t="shared" si="306"/>
        <v>25042615</v>
      </c>
      <c r="H1042" s="2">
        <v>45773</v>
      </c>
      <c r="I1042" s="113">
        <v>15</v>
      </c>
      <c r="J1042" s="1">
        <f t="shared" si="307"/>
        <v>15</v>
      </c>
      <c r="K1042" s="3">
        <f t="shared" si="308"/>
        <v>25</v>
      </c>
      <c r="L1042" s="3">
        <f t="shared" si="309"/>
        <v>4</v>
      </c>
      <c r="M1042" s="3">
        <f t="shared" si="310"/>
        <v>26</v>
      </c>
      <c r="N1042" s="3" t="str">
        <f t="shared" si="311"/>
        <v>04</v>
      </c>
      <c r="O1042" s="14">
        <f t="shared" si="312"/>
        <v>26</v>
      </c>
      <c r="P1042" s="4">
        <v>252000</v>
      </c>
      <c r="T1042" s="29" t="s">
        <v>1497</v>
      </c>
      <c r="U1042" s="3" t="s">
        <v>1342</v>
      </c>
      <c r="V1042" s="3" t="s">
        <v>5</v>
      </c>
      <c r="W1042" s="3" t="s">
        <v>1306</v>
      </c>
      <c r="X1042" s="1" t="s">
        <v>1302</v>
      </c>
    </row>
    <row r="1043" spans="1:25">
      <c r="A1043" s="143">
        <v>949</v>
      </c>
      <c r="B1043" s="1">
        <f t="shared" si="301"/>
        <v>0</v>
      </c>
      <c r="C1043" s="1">
        <f t="shared" si="302"/>
        <v>0</v>
      </c>
      <c r="D1043" s="1">
        <f t="shared" si="303"/>
        <v>0</v>
      </c>
      <c r="E1043" s="1">
        <f t="shared" si="304"/>
        <v>0</v>
      </c>
      <c r="F1043" s="1">
        <f t="shared" si="305"/>
        <v>0</v>
      </c>
      <c r="G1043" s="1" t="str">
        <f t="shared" si="306"/>
        <v>25042616</v>
      </c>
      <c r="H1043" s="2">
        <v>45773</v>
      </c>
      <c r="I1043" s="113">
        <v>16</v>
      </c>
      <c r="J1043" s="1">
        <f t="shared" si="307"/>
        <v>16</v>
      </c>
      <c r="K1043" s="3">
        <f t="shared" si="308"/>
        <v>25</v>
      </c>
      <c r="L1043" s="3">
        <f t="shared" si="309"/>
        <v>4</v>
      </c>
      <c r="M1043" s="3">
        <f t="shared" si="310"/>
        <v>26</v>
      </c>
      <c r="N1043" s="3" t="str">
        <f t="shared" si="311"/>
        <v>04</v>
      </c>
      <c r="O1043" s="14">
        <f t="shared" si="312"/>
        <v>26</v>
      </c>
      <c r="P1043" s="4">
        <v>90000</v>
      </c>
      <c r="T1043" s="29" t="s">
        <v>1496</v>
      </c>
      <c r="U1043" s="3" t="s">
        <v>1342</v>
      </c>
      <c r="V1043" s="3" t="s">
        <v>5</v>
      </c>
      <c r="W1043" s="3" t="s">
        <v>1306</v>
      </c>
      <c r="X1043" s="1" t="s">
        <v>1302</v>
      </c>
    </row>
    <row r="1044" spans="1:25">
      <c r="A1044" s="143">
        <v>950</v>
      </c>
      <c r="B1044" s="1">
        <f t="shared" si="301"/>
        <v>0</v>
      </c>
      <c r="C1044" s="1">
        <f t="shared" si="302"/>
        <v>0</v>
      </c>
      <c r="D1044" s="1">
        <f t="shared" si="303"/>
        <v>0</v>
      </c>
      <c r="E1044" s="1">
        <f t="shared" si="304"/>
        <v>0</v>
      </c>
      <c r="F1044" s="1">
        <f t="shared" si="305"/>
        <v>0</v>
      </c>
      <c r="G1044" s="1" t="str">
        <f t="shared" si="306"/>
        <v>25042617</v>
      </c>
      <c r="H1044" s="2">
        <v>45773</v>
      </c>
      <c r="I1044" s="113">
        <v>17</v>
      </c>
      <c r="J1044" s="1">
        <f t="shared" si="307"/>
        <v>17</v>
      </c>
      <c r="K1044" s="3">
        <f t="shared" si="308"/>
        <v>25</v>
      </c>
      <c r="L1044" s="3">
        <f t="shared" si="309"/>
        <v>4</v>
      </c>
      <c r="M1044" s="3">
        <f t="shared" si="310"/>
        <v>26</v>
      </c>
      <c r="N1044" s="3" t="str">
        <f t="shared" si="311"/>
        <v>04</v>
      </c>
      <c r="O1044" s="14">
        <f t="shared" si="312"/>
        <v>26</v>
      </c>
      <c r="P1044" s="4">
        <v>150000</v>
      </c>
      <c r="T1044" s="29" t="s">
        <v>1495</v>
      </c>
      <c r="U1044" s="3" t="s">
        <v>1342</v>
      </c>
      <c r="V1044" s="3" t="s">
        <v>5</v>
      </c>
      <c r="W1044" s="3" t="s">
        <v>1306</v>
      </c>
      <c r="X1044" s="1" t="s">
        <v>1302</v>
      </c>
    </row>
    <row r="1045" spans="1:25">
      <c r="A1045" s="143">
        <v>1154</v>
      </c>
      <c r="B1045" s="1">
        <f t="shared" si="301"/>
        <v>0</v>
      </c>
      <c r="C1045" s="1">
        <f t="shared" si="302"/>
        <v>0</v>
      </c>
      <c r="D1045" s="1">
        <f t="shared" si="303"/>
        <v>0</v>
      </c>
      <c r="E1045" s="1">
        <f t="shared" si="304"/>
        <v>0</v>
      </c>
      <c r="F1045" s="1">
        <f t="shared" si="305"/>
        <v>0</v>
      </c>
      <c r="G1045" s="1" t="str">
        <f t="shared" si="306"/>
        <v>25042618</v>
      </c>
      <c r="H1045" s="2">
        <v>45773</v>
      </c>
      <c r="I1045" s="113">
        <v>18</v>
      </c>
      <c r="J1045" s="1">
        <f t="shared" si="307"/>
        <v>18</v>
      </c>
      <c r="K1045" s="3">
        <f t="shared" si="308"/>
        <v>25</v>
      </c>
      <c r="L1045" s="3">
        <f t="shared" si="309"/>
        <v>4</v>
      </c>
      <c r="M1045" s="3">
        <f t="shared" si="310"/>
        <v>26</v>
      </c>
      <c r="N1045" s="3" t="str">
        <f t="shared" si="311"/>
        <v>04</v>
      </c>
      <c r="O1045" s="14">
        <f t="shared" si="312"/>
        <v>26</v>
      </c>
      <c r="P1045" s="4">
        <v>51030</v>
      </c>
      <c r="T1045" s="5" t="s">
        <v>1494</v>
      </c>
      <c r="U1045" s="3" t="s">
        <v>1313</v>
      </c>
      <c r="V1045" s="3" t="s">
        <v>5</v>
      </c>
      <c r="W1045" s="3" t="s">
        <v>1313</v>
      </c>
      <c r="X1045" s="1" t="s">
        <v>1302</v>
      </c>
      <c r="Y1045" s="141" t="s">
        <v>57</v>
      </c>
    </row>
    <row r="1046" spans="1:25" hidden="1">
      <c r="A1046" s="143"/>
      <c r="J1046" s="1" t="str">
        <f t="shared" si="307"/>
        <v>0</v>
      </c>
      <c r="K1046" s="3">
        <f t="shared" si="308"/>
        <v>-100</v>
      </c>
      <c r="L1046" s="3">
        <f t="shared" si="309"/>
        <v>1</v>
      </c>
      <c r="M1046" s="3">
        <f t="shared" si="310"/>
        <v>0</v>
      </c>
      <c r="N1046" s="3" t="str">
        <f t="shared" si="311"/>
        <v>01</v>
      </c>
      <c r="O1046" s="14" t="str">
        <f t="shared" si="312"/>
        <v>00</v>
      </c>
    </row>
    <row r="1047" spans="1:25" hidden="1">
      <c r="A1047" s="143"/>
      <c r="J1047" s="1" t="str">
        <f t="shared" si="307"/>
        <v>0</v>
      </c>
      <c r="K1047" s="3">
        <f t="shared" si="308"/>
        <v>-100</v>
      </c>
      <c r="L1047" s="3">
        <f t="shared" si="309"/>
        <v>1</v>
      </c>
      <c r="M1047" s="3">
        <f t="shared" si="310"/>
        <v>0</v>
      </c>
      <c r="N1047" s="3" t="str">
        <f t="shared" si="311"/>
        <v>01</v>
      </c>
      <c r="O1047" s="14" t="str">
        <f t="shared" si="312"/>
        <v>00</v>
      </c>
    </row>
    <row r="1048" spans="1:25" hidden="1">
      <c r="A1048" s="143"/>
      <c r="J1048" s="1" t="str">
        <f t="shared" si="307"/>
        <v>0</v>
      </c>
      <c r="K1048" s="3">
        <f t="shared" si="308"/>
        <v>-100</v>
      </c>
      <c r="L1048" s="3">
        <f t="shared" si="309"/>
        <v>1</v>
      </c>
      <c r="M1048" s="3">
        <f t="shared" si="310"/>
        <v>0</v>
      </c>
      <c r="N1048" s="3" t="str">
        <f t="shared" si="311"/>
        <v>01</v>
      </c>
      <c r="O1048" s="14" t="str">
        <f t="shared" si="312"/>
        <v>00</v>
      </c>
    </row>
    <row r="1049" spans="1:25" hidden="1">
      <c r="A1049" s="143">
        <v>1023</v>
      </c>
      <c r="B1049" s="1">
        <f>IF(G1049="-",0,IF(G1048=G1049,1,0))</f>
        <v>0</v>
      </c>
      <c r="C1049" s="1">
        <f>+IF(G1049="-",0,IF(I1049=I1048+1,0,(IF(I1049=1,0,1))))</f>
        <v>1</v>
      </c>
      <c r="D1049" s="1">
        <f>+IF(AND(P1049="",Q1049=""),1,0)</f>
        <v>0</v>
      </c>
      <c r="E1049" s="1">
        <f t="shared" ref="E1049:F1053" si="313">IF(U1049="",1,0)</f>
        <v>0</v>
      </c>
      <c r="F1049" s="1">
        <f t="shared" si="313"/>
        <v>0</v>
      </c>
      <c r="G1049" s="1" t="str">
        <f>IF(H1049=0,"-",_xlfn.CONCAT(K1049,N1049,O1049,J1049))</f>
        <v>25042703</v>
      </c>
      <c r="H1049" s="2">
        <v>45774</v>
      </c>
      <c r="I1049" s="113">
        <v>3</v>
      </c>
      <c r="J1049" s="1" t="str">
        <f t="shared" si="307"/>
        <v>03</v>
      </c>
      <c r="K1049" s="3">
        <f t="shared" si="308"/>
        <v>25</v>
      </c>
      <c r="L1049" s="3">
        <f t="shared" si="309"/>
        <v>4</v>
      </c>
      <c r="M1049" s="3">
        <f t="shared" si="310"/>
        <v>27</v>
      </c>
      <c r="N1049" s="3" t="str">
        <f t="shared" si="311"/>
        <v>04</v>
      </c>
      <c r="O1049" s="14">
        <f t="shared" si="312"/>
        <v>27</v>
      </c>
      <c r="P1049" s="4">
        <v>25665</v>
      </c>
      <c r="T1049" s="5" t="s">
        <v>1493</v>
      </c>
      <c r="U1049" s="3" t="s">
        <v>1310</v>
      </c>
      <c r="V1049" s="3" t="s">
        <v>1316</v>
      </c>
      <c r="W1049" s="3" t="s">
        <v>1309</v>
      </c>
      <c r="X1049" s="1" t="s">
        <v>1305</v>
      </c>
    </row>
    <row r="1050" spans="1:25" hidden="1">
      <c r="A1050" s="143">
        <v>1024</v>
      </c>
      <c r="B1050" s="1">
        <f>IF(G1050="-",0,IF(G1049=G1050,1,0))</f>
        <v>0</v>
      </c>
      <c r="C1050" s="1">
        <f>+IF(G1050="-",0,IF(I1050=I1049+1,0,(IF(I1050=1,0,1))))</f>
        <v>0</v>
      </c>
      <c r="D1050" s="1">
        <f>+IF(AND(P1050="",Q1050=""),1,0)</f>
        <v>0</v>
      </c>
      <c r="E1050" s="1">
        <f t="shared" si="313"/>
        <v>0</v>
      </c>
      <c r="F1050" s="1">
        <f t="shared" si="313"/>
        <v>0</v>
      </c>
      <c r="G1050" s="1" t="str">
        <f>IF(H1050=0,"-",_xlfn.CONCAT(K1050,N1050,O1050,J1050))</f>
        <v>25042704</v>
      </c>
      <c r="H1050" s="2">
        <v>45774</v>
      </c>
      <c r="I1050" s="113">
        <v>4</v>
      </c>
      <c r="J1050" s="1" t="str">
        <f t="shared" si="307"/>
        <v>04</v>
      </c>
      <c r="K1050" s="3">
        <f t="shared" si="308"/>
        <v>25</v>
      </c>
      <c r="L1050" s="3">
        <f t="shared" si="309"/>
        <v>4</v>
      </c>
      <c r="M1050" s="3">
        <f t="shared" si="310"/>
        <v>27</v>
      </c>
      <c r="N1050" s="3" t="str">
        <f t="shared" si="311"/>
        <v>04</v>
      </c>
      <c r="O1050" s="14">
        <f t="shared" si="312"/>
        <v>27</v>
      </c>
      <c r="P1050" s="4">
        <v>14810</v>
      </c>
      <c r="T1050" s="5" t="s">
        <v>1492</v>
      </c>
      <c r="U1050" s="3" t="s">
        <v>1310</v>
      </c>
      <c r="V1050" s="3" t="s">
        <v>1316</v>
      </c>
      <c r="W1050" s="3" t="s">
        <v>1309</v>
      </c>
      <c r="X1050" s="1" t="s">
        <v>1305</v>
      </c>
    </row>
    <row r="1051" spans="1:25" hidden="1">
      <c r="A1051" s="143">
        <v>1025</v>
      </c>
      <c r="B1051" s="1">
        <f>IF(G1051="-",0,IF(G1050=G1051,1,0))</f>
        <v>0</v>
      </c>
      <c r="C1051" s="1">
        <f>+IF(G1051="-",0,IF(I1051=I1050+1,0,(IF(I1051=1,0,1))))</f>
        <v>0</v>
      </c>
      <c r="D1051" s="1">
        <f>+IF(AND(P1051="",Q1051=""),1,0)</f>
        <v>0</v>
      </c>
      <c r="E1051" s="1">
        <f t="shared" si="313"/>
        <v>0</v>
      </c>
      <c r="F1051" s="1">
        <f t="shared" si="313"/>
        <v>0</v>
      </c>
      <c r="G1051" s="1" t="str">
        <f>IF(H1051=0,"-",_xlfn.CONCAT(K1051,N1051,O1051,J1051))</f>
        <v>25042705</v>
      </c>
      <c r="H1051" s="2">
        <v>45774</v>
      </c>
      <c r="I1051" s="113">
        <v>5</v>
      </c>
      <c r="J1051" s="1" t="str">
        <f t="shared" si="307"/>
        <v>05</v>
      </c>
      <c r="K1051" s="3">
        <f t="shared" si="308"/>
        <v>25</v>
      </c>
      <c r="L1051" s="3">
        <f t="shared" si="309"/>
        <v>4</v>
      </c>
      <c r="M1051" s="3">
        <f t="shared" si="310"/>
        <v>27</v>
      </c>
      <c r="N1051" s="3" t="str">
        <f t="shared" si="311"/>
        <v>04</v>
      </c>
      <c r="O1051" s="14">
        <f t="shared" si="312"/>
        <v>27</v>
      </c>
      <c r="P1051" s="4">
        <v>6815</v>
      </c>
      <c r="T1051" s="5" t="s">
        <v>1492</v>
      </c>
      <c r="U1051" s="3" t="s">
        <v>1310</v>
      </c>
      <c r="V1051" s="3" t="s">
        <v>1316</v>
      </c>
      <c r="W1051" s="3" t="s">
        <v>1309</v>
      </c>
      <c r="X1051" s="1" t="s">
        <v>1305</v>
      </c>
    </row>
    <row r="1052" spans="1:25" hidden="1">
      <c r="A1052" s="143">
        <v>951</v>
      </c>
      <c r="B1052" s="1">
        <f>IF(G1052="-",0,IF(G1051=G1052,1,0))</f>
        <v>0</v>
      </c>
      <c r="C1052" s="1">
        <f>+IF(G1052="-",0,IF(I1052=I1051+1,0,(IF(I1052=1,0,1))))</f>
        <v>0</v>
      </c>
      <c r="D1052" s="1">
        <f>+IF(AND(P1052="",Q1052=""),1,0)</f>
        <v>0</v>
      </c>
      <c r="E1052" s="1">
        <f t="shared" si="313"/>
        <v>0</v>
      </c>
      <c r="F1052" s="1">
        <f t="shared" si="313"/>
        <v>0</v>
      </c>
      <c r="G1052" s="1" t="str">
        <f>IF(H1052=0,"-",_xlfn.CONCAT(K1052,N1052,O1052,J1052))</f>
        <v>25042801</v>
      </c>
      <c r="H1052" s="2">
        <v>45775</v>
      </c>
      <c r="I1052" s="113">
        <v>1</v>
      </c>
      <c r="J1052" s="1" t="str">
        <f t="shared" si="307"/>
        <v>01</v>
      </c>
      <c r="K1052" s="3">
        <f t="shared" si="308"/>
        <v>25</v>
      </c>
      <c r="L1052" s="3">
        <f t="shared" si="309"/>
        <v>4</v>
      </c>
      <c r="M1052" s="3">
        <f t="shared" si="310"/>
        <v>28</v>
      </c>
      <c r="N1052" s="3" t="str">
        <f t="shared" si="311"/>
        <v>04</v>
      </c>
      <c r="O1052" s="14">
        <f t="shared" si="312"/>
        <v>28</v>
      </c>
      <c r="P1052" s="4">
        <v>52140</v>
      </c>
      <c r="T1052" s="5" t="s">
        <v>1491</v>
      </c>
      <c r="U1052" s="3" t="s">
        <v>29</v>
      </c>
      <c r="V1052" s="3" t="s">
        <v>5</v>
      </c>
      <c r="W1052" s="3" t="s">
        <v>1303</v>
      </c>
      <c r="X1052" s="1" t="s">
        <v>1302</v>
      </c>
    </row>
    <row r="1053" spans="1:25" hidden="1">
      <c r="A1053" s="143">
        <v>975</v>
      </c>
      <c r="B1053" s="1">
        <f>IF(G1053="-",0,IF(G1052=G1053,1,0))</f>
        <v>0</v>
      </c>
      <c r="C1053" s="1">
        <f>+IF(G1053="-",0,IF(I1053=I1052+1,0,(IF(I1053=1,0,1))))</f>
        <v>0</v>
      </c>
      <c r="D1053" s="1">
        <f>+IF(AND(P1053="",Q1053=""),1,0)</f>
        <v>0</v>
      </c>
      <c r="E1053" s="1">
        <f t="shared" si="313"/>
        <v>0</v>
      </c>
      <c r="F1053" s="1">
        <f t="shared" si="313"/>
        <v>0</v>
      </c>
      <c r="G1053" s="1" t="str">
        <f>IF(H1053=0,"-",_xlfn.CONCAT(K1053,N1053,O1053,J1053))</f>
        <v>25042802</v>
      </c>
      <c r="H1053" s="2">
        <v>45775</v>
      </c>
      <c r="I1053" s="113">
        <v>2</v>
      </c>
      <c r="J1053" s="1" t="str">
        <f t="shared" si="307"/>
        <v>02</v>
      </c>
      <c r="K1053" s="3">
        <f t="shared" si="308"/>
        <v>25</v>
      </c>
      <c r="L1053" s="3">
        <f t="shared" si="309"/>
        <v>4</v>
      </c>
      <c r="M1053" s="3">
        <f t="shared" si="310"/>
        <v>28</v>
      </c>
      <c r="N1053" s="3" t="str">
        <f t="shared" si="311"/>
        <v>04</v>
      </c>
      <c r="O1053" s="14">
        <f t="shared" si="312"/>
        <v>28</v>
      </c>
      <c r="P1053" s="4">
        <v>8900</v>
      </c>
      <c r="T1053" s="5" t="s">
        <v>352</v>
      </c>
      <c r="U1053" s="3" t="s">
        <v>30</v>
      </c>
      <c r="V1053" s="3" t="s">
        <v>1312</v>
      </c>
      <c r="W1053" s="3" t="s">
        <v>1307</v>
      </c>
      <c r="X1053" s="1" t="s">
        <v>1305</v>
      </c>
    </row>
    <row r="1054" spans="1:25" hidden="1">
      <c r="A1054" s="143"/>
      <c r="J1054" s="1" t="str">
        <f t="shared" si="307"/>
        <v>0</v>
      </c>
      <c r="K1054" s="3">
        <f t="shared" si="308"/>
        <v>-100</v>
      </c>
      <c r="L1054" s="3">
        <f t="shared" si="309"/>
        <v>1</v>
      </c>
      <c r="M1054" s="3">
        <f t="shared" si="310"/>
        <v>0</v>
      </c>
      <c r="N1054" s="3" t="str">
        <f t="shared" si="311"/>
        <v>01</v>
      </c>
      <c r="O1054" s="14" t="str">
        <f t="shared" si="312"/>
        <v>00</v>
      </c>
    </row>
    <row r="1055" spans="1:25" hidden="1">
      <c r="A1055" s="143"/>
      <c r="J1055" s="1" t="str">
        <f t="shared" si="307"/>
        <v>0</v>
      </c>
      <c r="K1055" s="3">
        <f t="shared" si="308"/>
        <v>-100</v>
      </c>
      <c r="L1055" s="3">
        <f t="shared" si="309"/>
        <v>1</v>
      </c>
      <c r="M1055" s="3">
        <f t="shared" si="310"/>
        <v>0</v>
      </c>
      <c r="N1055" s="3" t="str">
        <f t="shared" si="311"/>
        <v>01</v>
      </c>
      <c r="O1055" s="14" t="str">
        <f t="shared" si="312"/>
        <v>00</v>
      </c>
    </row>
    <row r="1056" spans="1:25">
      <c r="A1056" s="143">
        <v>1040</v>
      </c>
      <c r="B1056" s="1">
        <f>IF(G1056="-",0,IF(G1055=G1056,1,0))</f>
        <v>0</v>
      </c>
      <c r="C1056" s="1">
        <f>+IF(G1056="-",0,IF(I1056=I1055+1,0,(IF(I1056=1,0,1))))</f>
        <v>1</v>
      </c>
      <c r="D1056" s="1">
        <f>+IF(AND(P1056="",Q1056=""),1,0)</f>
        <v>0</v>
      </c>
      <c r="E1056" s="1">
        <f>IF(U1056="",1,0)</f>
        <v>0</v>
      </c>
      <c r="F1056" s="1">
        <f>IF(V1056="",1,0)</f>
        <v>0</v>
      </c>
      <c r="G1056" s="1" t="str">
        <f>IF(H1056=0,"-",_xlfn.CONCAT(K1056,N1056,O1056,J1056))</f>
        <v>25042805</v>
      </c>
      <c r="H1056" s="2">
        <v>45775</v>
      </c>
      <c r="I1056" s="113">
        <v>5</v>
      </c>
      <c r="J1056" s="1" t="str">
        <f t="shared" si="307"/>
        <v>05</v>
      </c>
      <c r="K1056" s="3">
        <f t="shared" si="308"/>
        <v>25</v>
      </c>
      <c r="L1056" s="3">
        <f t="shared" si="309"/>
        <v>4</v>
      </c>
      <c r="M1056" s="3">
        <f t="shared" si="310"/>
        <v>28</v>
      </c>
      <c r="N1056" s="3" t="str">
        <f t="shared" si="311"/>
        <v>04</v>
      </c>
      <c r="O1056" s="14">
        <f t="shared" si="312"/>
        <v>28</v>
      </c>
      <c r="P1056" s="4">
        <v>1168420</v>
      </c>
      <c r="T1056" s="5" t="s">
        <v>1490</v>
      </c>
      <c r="U1056" s="3" t="s">
        <v>1342</v>
      </c>
      <c r="V1056" s="3" t="s">
        <v>5</v>
      </c>
      <c r="W1056" s="3" t="s">
        <v>1306</v>
      </c>
      <c r="X1056" s="1" t="s">
        <v>1305</v>
      </c>
    </row>
    <row r="1057" spans="1:24" hidden="1">
      <c r="A1057" s="143"/>
      <c r="J1057" s="1" t="str">
        <f t="shared" si="307"/>
        <v>0</v>
      </c>
      <c r="K1057" s="3">
        <f t="shared" si="308"/>
        <v>-100</v>
      </c>
      <c r="L1057" s="3">
        <f t="shared" si="309"/>
        <v>1</v>
      </c>
      <c r="M1057" s="3">
        <f t="shared" si="310"/>
        <v>0</v>
      </c>
      <c r="N1057" s="3" t="str">
        <f t="shared" si="311"/>
        <v>01</v>
      </c>
      <c r="O1057" s="14" t="str">
        <f t="shared" si="312"/>
        <v>00</v>
      </c>
    </row>
    <row r="1058" spans="1:24" hidden="1">
      <c r="A1058" s="143">
        <v>915</v>
      </c>
      <c r="B1058" s="1">
        <f>IF(G1058="-",0,IF(G1057=G1058,1,0))</f>
        <v>0</v>
      </c>
      <c r="C1058" s="1">
        <f>+IF(G1058="-",0,IF(I1058=I1057+1,0,(IF(I1058=1,0,1))))</f>
        <v>0</v>
      </c>
      <c r="D1058" s="1">
        <f>+IF(AND(P1058="",Q1058=""),1,0)</f>
        <v>0</v>
      </c>
      <c r="E1058" s="1">
        <f>IF(U1058="",1,0)</f>
        <v>0</v>
      </c>
      <c r="F1058" s="1">
        <f>IF(V1058="",1,0)</f>
        <v>0</v>
      </c>
      <c r="G1058" s="1" t="str">
        <f>IF(H1058=0,"-",_xlfn.CONCAT(K1058,N1058,O1058,J1058))</f>
        <v>25042901</v>
      </c>
      <c r="H1058" s="2">
        <v>45776</v>
      </c>
      <c r="I1058" s="113">
        <v>1</v>
      </c>
      <c r="J1058" s="1" t="str">
        <f t="shared" si="307"/>
        <v>01</v>
      </c>
      <c r="K1058" s="3">
        <f t="shared" si="308"/>
        <v>25</v>
      </c>
      <c r="L1058" s="3">
        <f t="shared" si="309"/>
        <v>4</v>
      </c>
      <c r="M1058" s="3">
        <f t="shared" si="310"/>
        <v>29</v>
      </c>
      <c r="N1058" s="3" t="str">
        <f t="shared" si="311"/>
        <v>04</v>
      </c>
      <c r="O1058" s="14">
        <f t="shared" si="312"/>
        <v>29</v>
      </c>
      <c r="P1058" s="4">
        <v>12000</v>
      </c>
      <c r="T1058" s="5" t="s">
        <v>1489</v>
      </c>
      <c r="U1058" s="3" t="s">
        <v>29</v>
      </c>
      <c r="V1058" s="3" t="s">
        <v>5</v>
      </c>
      <c r="W1058" s="3" t="s">
        <v>1307</v>
      </c>
      <c r="X1058" s="1" t="s">
        <v>1305</v>
      </c>
    </row>
    <row r="1059" spans="1:24" hidden="1">
      <c r="A1059" s="143"/>
      <c r="J1059" s="1" t="str">
        <f t="shared" si="307"/>
        <v>0</v>
      </c>
      <c r="K1059" s="3">
        <f t="shared" si="308"/>
        <v>-100</v>
      </c>
      <c r="L1059" s="3">
        <f t="shared" si="309"/>
        <v>1</v>
      </c>
      <c r="M1059" s="3">
        <f t="shared" si="310"/>
        <v>0</v>
      </c>
      <c r="N1059" s="3" t="str">
        <f t="shared" si="311"/>
        <v>01</v>
      </c>
      <c r="O1059" s="14" t="str">
        <f t="shared" si="312"/>
        <v>00</v>
      </c>
    </row>
    <row r="1060" spans="1:24" hidden="1">
      <c r="A1060" s="143"/>
      <c r="J1060" s="1" t="str">
        <f t="shared" si="307"/>
        <v>0</v>
      </c>
      <c r="K1060" s="3">
        <f t="shared" si="308"/>
        <v>-100</v>
      </c>
      <c r="L1060" s="3">
        <f t="shared" si="309"/>
        <v>1</v>
      </c>
      <c r="M1060" s="3">
        <f t="shared" si="310"/>
        <v>0</v>
      </c>
      <c r="N1060" s="3" t="str">
        <f t="shared" si="311"/>
        <v>01</v>
      </c>
      <c r="O1060" s="14" t="str">
        <f t="shared" si="312"/>
        <v>00</v>
      </c>
    </row>
    <row r="1061" spans="1:24" hidden="1">
      <c r="A1061" s="143"/>
      <c r="J1061" s="1" t="str">
        <f t="shared" si="307"/>
        <v>0</v>
      </c>
      <c r="K1061" s="3">
        <f t="shared" si="308"/>
        <v>-100</v>
      </c>
      <c r="L1061" s="3">
        <f t="shared" si="309"/>
        <v>1</v>
      </c>
      <c r="M1061" s="3">
        <f t="shared" si="310"/>
        <v>0</v>
      </c>
      <c r="N1061" s="3" t="str">
        <f t="shared" si="311"/>
        <v>01</v>
      </c>
      <c r="O1061" s="14" t="str">
        <f t="shared" si="312"/>
        <v>00</v>
      </c>
    </row>
    <row r="1062" spans="1:24" hidden="1">
      <c r="A1062" s="143"/>
      <c r="J1062" s="1" t="str">
        <f t="shared" si="307"/>
        <v>0</v>
      </c>
      <c r="K1062" s="3">
        <f t="shared" si="308"/>
        <v>-100</v>
      </c>
      <c r="L1062" s="3">
        <f t="shared" si="309"/>
        <v>1</v>
      </c>
      <c r="M1062" s="3">
        <f t="shared" si="310"/>
        <v>0</v>
      </c>
      <c r="N1062" s="3" t="str">
        <f t="shared" si="311"/>
        <v>01</v>
      </c>
      <c r="O1062" s="14" t="str">
        <f t="shared" si="312"/>
        <v>00</v>
      </c>
    </row>
    <row r="1063" spans="1:24" hidden="1">
      <c r="A1063" s="143"/>
      <c r="J1063" s="1" t="str">
        <f t="shared" si="307"/>
        <v>0</v>
      </c>
      <c r="K1063" s="3">
        <f t="shared" si="308"/>
        <v>-100</v>
      </c>
      <c r="L1063" s="3">
        <f t="shared" si="309"/>
        <v>1</v>
      </c>
      <c r="M1063" s="3">
        <f t="shared" si="310"/>
        <v>0</v>
      </c>
      <c r="N1063" s="3" t="str">
        <f t="shared" si="311"/>
        <v>01</v>
      </c>
      <c r="O1063" s="14" t="str">
        <f t="shared" si="312"/>
        <v>00</v>
      </c>
    </row>
    <row r="1064" spans="1:24" hidden="1">
      <c r="A1064" s="143"/>
      <c r="J1064" s="1" t="str">
        <f t="shared" si="307"/>
        <v>0</v>
      </c>
      <c r="K1064" s="3">
        <f t="shared" si="308"/>
        <v>-100</v>
      </c>
      <c r="L1064" s="3">
        <f t="shared" si="309"/>
        <v>1</v>
      </c>
      <c r="M1064" s="3">
        <f t="shared" si="310"/>
        <v>0</v>
      </c>
      <c r="N1064" s="3" t="str">
        <f t="shared" si="311"/>
        <v>01</v>
      </c>
      <c r="O1064" s="14" t="str">
        <f t="shared" si="312"/>
        <v>00</v>
      </c>
    </row>
    <row r="1065" spans="1:24" hidden="1">
      <c r="A1065" s="143">
        <v>1033</v>
      </c>
      <c r="B1065" s="1">
        <f>IF(G1065="-",0,IF(G1064=G1065,1,0))</f>
        <v>0</v>
      </c>
      <c r="C1065" s="1">
        <f>+IF(G1065="-",0,IF(I1065=I1064+1,0,(IF(I1065=1,0,1))))</f>
        <v>1</v>
      </c>
      <c r="D1065" s="1">
        <f>+IF(AND(P1065="",Q1065=""),1,0)</f>
        <v>0</v>
      </c>
      <c r="E1065" s="1">
        <f t="shared" ref="E1065:F1067" si="314">IF(U1065="",1,0)</f>
        <v>0</v>
      </c>
      <c r="F1065" s="1">
        <f t="shared" si="314"/>
        <v>0</v>
      </c>
      <c r="G1065" s="1" t="str">
        <f>IF(H1065=0,"-",_xlfn.CONCAT(K1065,N1065,O1065,J1065))</f>
        <v>25042908</v>
      </c>
      <c r="H1065" s="2">
        <v>45776</v>
      </c>
      <c r="I1065" s="113">
        <v>8</v>
      </c>
      <c r="J1065" s="1" t="str">
        <f t="shared" si="307"/>
        <v>08</v>
      </c>
      <c r="K1065" s="3">
        <f t="shared" si="308"/>
        <v>25</v>
      </c>
      <c r="L1065" s="3">
        <f t="shared" si="309"/>
        <v>4</v>
      </c>
      <c r="M1065" s="3">
        <f t="shared" si="310"/>
        <v>29</v>
      </c>
      <c r="N1065" s="3" t="str">
        <f t="shared" si="311"/>
        <v>04</v>
      </c>
      <c r="O1065" s="14">
        <f t="shared" si="312"/>
        <v>29</v>
      </c>
      <c r="Q1065" s="5">
        <v>717.33</v>
      </c>
      <c r="T1065" s="5" t="s">
        <v>1488</v>
      </c>
      <c r="U1065" s="3" t="s">
        <v>1445</v>
      </c>
      <c r="V1065" s="3" t="s">
        <v>1304</v>
      </c>
      <c r="W1065" s="3" t="s">
        <v>1306</v>
      </c>
      <c r="X1065" s="1" t="s">
        <v>1302</v>
      </c>
    </row>
    <row r="1066" spans="1:24" hidden="1">
      <c r="A1066" s="143">
        <v>1058</v>
      </c>
      <c r="B1066" s="1">
        <f>IF(G1066="-",0,IF(G1065=G1066,1,0))</f>
        <v>0</v>
      </c>
      <c r="C1066" s="1">
        <f>+IF(G1066="-",0,IF(I1066=I1065+1,0,(IF(I1066=1,0,1))))</f>
        <v>0</v>
      </c>
      <c r="D1066" s="1">
        <f>+IF(AND(P1066="",Q1066=""),1,0)</f>
        <v>0</v>
      </c>
      <c r="E1066" s="1">
        <f t="shared" si="314"/>
        <v>0</v>
      </c>
      <c r="F1066" s="1">
        <f t="shared" si="314"/>
        <v>0</v>
      </c>
      <c r="G1066" s="1" t="str">
        <f>IF(H1066=0,"-",_xlfn.CONCAT(K1066,N1066,O1066,J1066))</f>
        <v>25042909</v>
      </c>
      <c r="H1066" s="2">
        <v>45776</v>
      </c>
      <c r="I1066" s="113">
        <v>9</v>
      </c>
      <c r="J1066" s="1" t="str">
        <f t="shared" si="307"/>
        <v>09</v>
      </c>
      <c r="K1066" s="3">
        <f t="shared" si="308"/>
        <v>25</v>
      </c>
      <c r="L1066" s="3">
        <f t="shared" si="309"/>
        <v>4</v>
      </c>
      <c r="M1066" s="3">
        <f t="shared" si="310"/>
        <v>29</v>
      </c>
      <c r="N1066" s="3" t="str">
        <f t="shared" si="311"/>
        <v>04</v>
      </c>
      <c r="O1066" s="14">
        <f t="shared" si="312"/>
        <v>29</v>
      </c>
      <c r="Q1066" s="5">
        <v>988.55</v>
      </c>
      <c r="T1066" s="5" t="s">
        <v>1487</v>
      </c>
      <c r="U1066" s="3" t="s">
        <v>1445</v>
      </c>
      <c r="V1066" s="3" t="s">
        <v>1304</v>
      </c>
      <c r="W1066" s="3" t="s">
        <v>1306</v>
      </c>
      <c r="X1066" s="1" t="s">
        <v>1305</v>
      </c>
    </row>
    <row r="1067" spans="1:24" hidden="1">
      <c r="A1067" s="143">
        <v>976</v>
      </c>
      <c r="B1067" s="1">
        <f>IF(G1067="-",0,IF(G1066=G1067,1,0))</f>
        <v>0</v>
      </c>
      <c r="C1067" s="1">
        <f>+IF(G1067="-",0,IF(I1067=I1066+1,0,(IF(I1067=1,0,1))))</f>
        <v>0</v>
      </c>
      <c r="D1067" s="1">
        <f>+IF(AND(P1067="",Q1067=""),1,0)</f>
        <v>0</v>
      </c>
      <c r="E1067" s="1">
        <f t="shared" si="314"/>
        <v>0</v>
      </c>
      <c r="F1067" s="1">
        <f t="shared" si="314"/>
        <v>0</v>
      </c>
      <c r="G1067" s="1" t="str">
        <f>IF(H1067=0,"-",_xlfn.CONCAT(K1067,N1067,O1067,J1067))</f>
        <v>25043001</v>
      </c>
      <c r="H1067" s="2">
        <v>45777</v>
      </c>
      <c r="I1067" s="113">
        <v>1</v>
      </c>
      <c r="J1067" s="1" t="str">
        <f t="shared" si="307"/>
        <v>01</v>
      </c>
      <c r="K1067" s="3">
        <f t="shared" si="308"/>
        <v>25</v>
      </c>
      <c r="L1067" s="3">
        <f t="shared" si="309"/>
        <v>4</v>
      </c>
      <c r="M1067" s="3">
        <f t="shared" si="310"/>
        <v>30</v>
      </c>
      <c r="N1067" s="3" t="str">
        <f t="shared" si="311"/>
        <v>04</v>
      </c>
      <c r="O1067" s="14">
        <f t="shared" si="312"/>
        <v>30</v>
      </c>
      <c r="P1067" s="4">
        <v>9600</v>
      </c>
      <c r="T1067" s="5" t="s">
        <v>352</v>
      </c>
      <c r="U1067" s="3" t="s">
        <v>30</v>
      </c>
      <c r="V1067" s="3" t="s">
        <v>1312</v>
      </c>
      <c r="W1067" s="3" t="s">
        <v>1307</v>
      </c>
      <c r="X1067" s="1" t="s">
        <v>1305</v>
      </c>
    </row>
    <row r="1068" spans="1:24" hidden="1">
      <c r="A1068" s="143"/>
      <c r="J1068" s="1" t="str">
        <f t="shared" si="307"/>
        <v>0</v>
      </c>
      <c r="K1068" s="3">
        <f t="shared" si="308"/>
        <v>-100</v>
      </c>
      <c r="L1068" s="3">
        <f t="shared" si="309"/>
        <v>1</v>
      </c>
      <c r="M1068" s="3">
        <f t="shared" si="310"/>
        <v>0</v>
      </c>
      <c r="N1068" s="3" t="str">
        <f t="shared" si="311"/>
        <v>01</v>
      </c>
      <c r="O1068" s="14" t="str">
        <f t="shared" si="312"/>
        <v>00</v>
      </c>
    </row>
    <row r="1069" spans="1:24" hidden="1">
      <c r="A1069" s="143">
        <v>1037</v>
      </c>
      <c r="B1069" s="1">
        <f>IF(G1069="-",0,IF(G1068=G1069,1,0))</f>
        <v>0</v>
      </c>
      <c r="C1069" s="1">
        <f>+IF(G1069="-",0,IF(I1069=I1068+1,0,(IF(I1069=1,0,1))))</f>
        <v>1</v>
      </c>
      <c r="D1069" s="1">
        <f>+IF(AND(P1069="",Q1069=""),1,0)</f>
        <v>0</v>
      </c>
      <c r="E1069" s="1">
        <f>IF(U1069="",1,0)</f>
        <v>0</v>
      </c>
      <c r="F1069" s="1">
        <f>IF(V1069="",1,0)</f>
        <v>0</v>
      </c>
      <c r="G1069" s="1" t="str">
        <f>IF(H1069=0,"-",_xlfn.CONCAT(K1069,N1069,O1069,J1069))</f>
        <v>25043003</v>
      </c>
      <c r="H1069" s="2">
        <v>45777</v>
      </c>
      <c r="I1069" s="113">
        <v>3</v>
      </c>
      <c r="J1069" s="1" t="str">
        <f t="shared" si="307"/>
        <v>03</v>
      </c>
      <c r="K1069" s="3">
        <f t="shared" si="308"/>
        <v>25</v>
      </c>
      <c r="L1069" s="3">
        <f t="shared" si="309"/>
        <v>4</v>
      </c>
      <c r="M1069" s="3">
        <f t="shared" si="310"/>
        <v>30</v>
      </c>
      <c r="N1069" s="3" t="str">
        <f t="shared" si="311"/>
        <v>04</v>
      </c>
      <c r="O1069" s="14">
        <f t="shared" si="312"/>
        <v>30</v>
      </c>
      <c r="P1069" s="4">
        <v>19715</v>
      </c>
      <c r="T1069" s="5" t="s">
        <v>1486</v>
      </c>
      <c r="U1069" s="3" t="s">
        <v>1310</v>
      </c>
      <c r="V1069" s="3" t="s">
        <v>1316</v>
      </c>
      <c r="W1069" s="3" t="s">
        <v>1309</v>
      </c>
      <c r="X1069" s="1" t="s">
        <v>1305</v>
      </c>
    </row>
    <row r="1070" spans="1:24" hidden="1">
      <c r="A1070" s="143"/>
      <c r="J1070" s="1" t="str">
        <f t="shared" si="307"/>
        <v>0</v>
      </c>
      <c r="K1070" s="3">
        <f t="shared" si="308"/>
        <v>-100</v>
      </c>
      <c r="L1070" s="3">
        <f t="shared" si="309"/>
        <v>1</v>
      </c>
      <c r="M1070" s="3">
        <f t="shared" si="310"/>
        <v>0</v>
      </c>
      <c r="N1070" s="3" t="str">
        <f t="shared" si="311"/>
        <v>01</v>
      </c>
      <c r="O1070" s="14" t="str">
        <f t="shared" si="312"/>
        <v>00</v>
      </c>
    </row>
    <row r="1071" spans="1:24" hidden="1">
      <c r="A1071" s="143"/>
      <c r="J1071" s="1" t="str">
        <f t="shared" si="307"/>
        <v>0</v>
      </c>
      <c r="K1071" s="3">
        <f t="shared" si="308"/>
        <v>-100</v>
      </c>
      <c r="L1071" s="3">
        <f t="shared" si="309"/>
        <v>1</v>
      </c>
      <c r="M1071" s="3">
        <f t="shared" si="310"/>
        <v>0</v>
      </c>
      <c r="N1071" s="3" t="str">
        <f t="shared" si="311"/>
        <v>01</v>
      </c>
      <c r="O1071" s="14" t="str">
        <f t="shared" si="312"/>
        <v>00</v>
      </c>
    </row>
    <row r="1072" spans="1:24" hidden="1">
      <c r="A1072" s="143"/>
      <c r="J1072" s="1" t="str">
        <f t="shared" si="307"/>
        <v>0</v>
      </c>
      <c r="K1072" s="3">
        <f t="shared" si="308"/>
        <v>-100</v>
      </c>
      <c r="L1072" s="3">
        <f t="shared" si="309"/>
        <v>1</v>
      </c>
      <c r="M1072" s="3">
        <f t="shared" si="310"/>
        <v>0</v>
      </c>
      <c r="N1072" s="3" t="str">
        <f t="shared" si="311"/>
        <v>01</v>
      </c>
      <c r="O1072" s="14" t="str">
        <f t="shared" si="312"/>
        <v>00</v>
      </c>
    </row>
    <row r="1073" spans="1:24" hidden="1">
      <c r="A1073" s="143">
        <v>1043</v>
      </c>
      <c r="B1073" s="1">
        <f>IF(G1073="-",0,IF(G1072=G1073,1,0))</f>
        <v>0</v>
      </c>
      <c r="C1073" s="1">
        <f>+IF(G1073="-",0,IF(I1073=I1072+1,0,(IF(I1073=1,0,1))))</f>
        <v>0</v>
      </c>
      <c r="D1073" s="1">
        <f>+IF(AND(P1073="",Q1073=""),1,0)</f>
        <v>0</v>
      </c>
      <c r="E1073" s="1">
        <f>IF(U1073="",1,0)</f>
        <v>0</v>
      </c>
      <c r="F1073" s="1">
        <f>IF(V1073="",1,0)</f>
        <v>0</v>
      </c>
      <c r="G1073" s="1" t="str">
        <f>IF(H1073=0,"-",_xlfn.CONCAT(K1073,N1073,O1073,J1073))</f>
        <v>25050101</v>
      </c>
      <c r="H1073" s="2">
        <v>45778</v>
      </c>
      <c r="I1073" s="113">
        <v>1</v>
      </c>
      <c r="J1073" s="1" t="str">
        <f t="shared" si="307"/>
        <v>01</v>
      </c>
      <c r="K1073" s="3">
        <f t="shared" si="308"/>
        <v>25</v>
      </c>
      <c r="L1073" s="3">
        <f t="shared" si="309"/>
        <v>5</v>
      </c>
      <c r="M1073" s="3">
        <f t="shared" si="310"/>
        <v>1</v>
      </c>
      <c r="N1073" s="3" t="str">
        <f t="shared" si="311"/>
        <v>05</v>
      </c>
      <c r="O1073" s="14" t="str">
        <f t="shared" si="312"/>
        <v>01</v>
      </c>
      <c r="P1073" s="4">
        <v>24475</v>
      </c>
      <c r="T1073" s="5" t="s">
        <v>1485</v>
      </c>
      <c r="U1073" s="3" t="s">
        <v>30</v>
      </c>
      <c r="V1073" s="3" t="s">
        <v>1312</v>
      </c>
      <c r="W1073" s="3" t="s">
        <v>1307</v>
      </c>
      <c r="X1073" s="1" t="s">
        <v>1305</v>
      </c>
    </row>
    <row r="1074" spans="1:24" hidden="1">
      <c r="A1074" s="143"/>
      <c r="J1074" s="1" t="str">
        <f t="shared" si="307"/>
        <v>0</v>
      </c>
      <c r="K1074" s="3">
        <f t="shared" si="308"/>
        <v>-100</v>
      </c>
      <c r="L1074" s="3">
        <f t="shared" si="309"/>
        <v>1</v>
      </c>
      <c r="M1074" s="3">
        <f t="shared" si="310"/>
        <v>0</v>
      </c>
      <c r="N1074" s="3" t="str">
        <f t="shared" si="311"/>
        <v>01</v>
      </c>
      <c r="O1074" s="14" t="str">
        <f t="shared" si="312"/>
        <v>00</v>
      </c>
    </row>
    <row r="1075" spans="1:24" hidden="1">
      <c r="A1075" s="143">
        <v>1045</v>
      </c>
      <c r="B1075" s="1">
        <f>IF(G1075="-",0,IF(G1074=G1075,1,0))</f>
        <v>0</v>
      </c>
      <c r="C1075" s="1">
        <f>+IF(G1075="-",0,IF(I1075=I1074+1,0,(IF(I1075=1,0,1))))</f>
        <v>1</v>
      </c>
      <c r="D1075" s="1">
        <f>+IF(AND(P1075="",Q1075=""),1,0)</f>
        <v>0</v>
      </c>
      <c r="E1075" s="1">
        <f>IF(U1075="",1,0)</f>
        <v>0</v>
      </c>
      <c r="F1075" s="1">
        <f>IF(V1075="",1,0)</f>
        <v>0</v>
      </c>
      <c r="G1075" s="1" t="str">
        <f>IF(H1075=0,"-",_xlfn.CONCAT(K1075,N1075,O1075,J1075))</f>
        <v>25050103</v>
      </c>
      <c r="H1075" s="2">
        <v>45778</v>
      </c>
      <c r="I1075" s="113">
        <v>3</v>
      </c>
      <c r="J1075" s="1" t="str">
        <f t="shared" si="307"/>
        <v>03</v>
      </c>
      <c r="K1075" s="3">
        <f t="shared" si="308"/>
        <v>25</v>
      </c>
      <c r="L1075" s="3">
        <f t="shared" si="309"/>
        <v>5</v>
      </c>
      <c r="M1075" s="3">
        <f t="shared" si="310"/>
        <v>1</v>
      </c>
      <c r="N1075" s="3" t="str">
        <f t="shared" si="311"/>
        <v>05</v>
      </c>
      <c r="O1075" s="14" t="str">
        <f t="shared" si="312"/>
        <v>01</v>
      </c>
      <c r="P1075" s="4">
        <v>29616.799999999999</v>
      </c>
      <c r="T1075" s="5" t="s">
        <v>1484</v>
      </c>
      <c r="U1075" s="3" t="s">
        <v>1310</v>
      </c>
      <c r="V1075" s="3" t="s">
        <v>1316</v>
      </c>
      <c r="W1075" s="3" t="s">
        <v>1309</v>
      </c>
      <c r="X1075" s="1" t="s">
        <v>1305</v>
      </c>
    </row>
    <row r="1076" spans="1:24" hidden="1">
      <c r="A1076" s="143"/>
      <c r="J1076" s="1" t="str">
        <f t="shared" si="307"/>
        <v>0</v>
      </c>
      <c r="K1076" s="3">
        <f t="shared" si="308"/>
        <v>-100</v>
      </c>
      <c r="L1076" s="3">
        <f t="shared" si="309"/>
        <v>1</v>
      </c>
      <c r="M1076" s="3">
        <f t="shared" si="310"/>
        <v>0</v>
      </c>
      <c r="N1076" s="3" t="str">
        <f t="shared" si="311"/>
        <v>01</v>
      </c>
      <c r="O1076" s="14" t="str">
        <f t="shared" si="312"/>
        <v>00</v>
      </c>
    </row>
    <row r="1077" spans="1:24" hidden="1">
      <c r="A1077" s="143">
        <v>1046</v>
      </c>
      <c r="B1077" s="1">
        <f>IF(G1077="-",0,IF(G1076=G1077,1,0))</f>
        <v>0</v>
      </c>
      <c r="C1077" s="1">
        <f>+IF(G1077="-",0,IF(I1077=I1076+1,0,(IF(I1077=1,0,1))))</f>
        <v>0</v>
      </c>
      <c r="D1077" s="1">
        <f>+IF(AND(P1077="",Q1077=""),1,0)</f>
        <v>0</v>
      </c>
      <c r="E1077" s="1">
        <f>IF(U1077="",1,0)</f>
        <v>0</v>
      </c>
      <c r="F1077" s="1">
        <f>IF(V1077="",1,0)</f>
        <v>0</v>
      </c>
      <c r="G1077" s="1" t="str">
        <f>IF(H1077=0,"-",_xlfn.CONCAT(K1077,N1077,O1077,J1077))</f>
        <v>25050201</v>
      </c>
      <c r="H1077" s="2">
        <v>45779</v>
      </c>
      <c r="I1077" s="113">
        <v>1</v>
      </c>
      <c r="J1077" s="1" t="str">
        <f t="shared" si="307"/>
        <v>01</v>
      </c>
      <c r="K1077" s="3">
        <f t="shared" si="308"/>
        <v>25</v>
      </c>
      <c r="L1077" s="3">
        <f t="shared" si="309"/>
        <v>5</v>
      </c>
      <c r="M1077" s="3">
        <f t="shared" si="310"/>
        <v>2</v>
      </c>
      <c r="N1077" s="3" t="str">
        <f t="shared" si="311"/>
        <v>05</v>
      </c>
      <c r="O1077" s="14" t="str">
        <f t="shared" si="312"/>
        <v>02</v>
      </c>
      <c r="P1077" s="4">
        <v>17000</v>
      </c>
      <c r="T1077" s="5" t="s">
        <v>1483</v>
      </c>
      <c r="U1077" s="3" t="s">
        <v>29</v>
      </c>
      <c r="V1077" s="3" t="s">
        <v>5</v>
      </c>
      <c r="W1077" s="3" t="s">
        <v>1307</v>
      </c>
      <c r="X1077" s="1" t="s">
        <v>1305</v>
      </c>
    </row>
    <row r="1078" spans="1:24" hidden="1">
      <c r="A1078" s="143"/>
      <c r="J1078" s="1" t="str">
        <f t="shared" si="307"/>
        <v>0</v>
      </c>
      <c r="K1078" s="3">
        <f t="shared" si="308"/>
        <v>-100</v>
      </c>
      <c r="L1078" s="3">
        <f t="shared" si="309"/>
        <v>1</v>
      </c>
      <c r="M1078" s="3">
        <f t="shared" si="310"/>
        <v>0</v>
      </c>
      <c r="N1078" s="3" t="str">
        <f t="shared" si="311"/>
        <v>01</v>
      </c>
      <c r="O1078" s="14" t="str">
        <f t="shared" si="312"/>
        <v>00</v>
      </c>
    </row>
    <row r="1079" spans="1:24" hidden="1">
      <c r="A1079" s="143"/>
      <c r="J1079" s="1" t="str">
        <f t="shared" si="307"/>
        <v>0</v>
      </c>
      <c r="K1079" s="3">
        <f t="shared" si="308"/>
        <v>-100</v>
      </c>
      <c r="L1079" s="3">
        <f t="shared" si="309"/>
        <v>1</v>
      </c>
      <c r="M1079" s="3">
        <f t="shared" si="310"/>
        <v>0</v>
      </c>
      <c r="N1079" s="3" t="str">
        <f t="shared" si="311"/>
        <v>01</v>
      </c>
      <c r="O1079" s="14" t="str">
        <f t="shared" si="312"/>
        <v>00</v>
      </c>
    </row>
    <row r="1080" spans="1:24" hidden="1">
      <c r="A1080" s="143"/>
      <c r="J1080" s="1" t="str">
        <f t="shared" si="307"/>
        <v>0</v>
      </c>
      <c r="K1080" s="3">
        <f t="shared" si="308"/>
        <v>-100</v>
      </c>
      <c r="L1080" s="3">
        <f t="shared" si="309"/>
        <v>1</v>
      </c>
      <c r="M1080" s="3">
        <f t="shared" si="310"/>
        <v>0</v>
      </c>
      <c r="N1080" s="3" t="str">
        <f t="shared" si="311"/>
        <v>01</v>
      </c>
      <c r="O1080" s="14" t="str">
        <f t="shared" si="312"/>
        <v>00</v>
      </c>
    </row>
    <row r="1081" spans="1:24" hidden="1">
      <c r="A1081" s="143"/>
      <c r="J1081" s="1" t="str">
        <f t="shared" si="307"/>
        <v>0</v>
      </c>
      <c r="K1081" s="3">
        <f t="shared" si="308"/>
        <v>-100</v>
      </c>
      <c r="L1081" s="3">
        <f t="shared" si="309"/>
        <v>1</v>
      </c>
      <c r="M1081" s="3">
        <f t="shared" si="310"/>
        <v>0</v>
      </c>
      <c r="N1081" s="3" t="str">
        <f t="shared" si="311"/>
        <v>01</v>
      </c>
      <c r="O1081" s="14" t="str">
        <f t="shared" si="312"/>
        <v>00</v>
      </c>
    </row>
    <row r="1082" spans="1:24" hidden="1">
      <c r="A1082" s="143">
        <v>1049</v>
      </c>
      <c r="B1082" s="1">
        <f>IF(G1082="-",0,IF(G1081=G1082,1,0))</f>
        <v>0</v>
      </c>
      <c r="C1082" s="1">
        <f>+IF(G1082="-",0,IF(I1082=I1081+1,0,(IF(I1082=1,0,1))))</f>
        <v>1</v>
      </c>
      <c r="D1082" s="1">
        <f>+IF(AND(P1082="",Q1082=""),1,0)</f>
        <v>0</v>
      </c>
      <c r="E1082" s="1">
        <f>IF(U1082="",1,0)</f>
        <v>0</v>
      </c>
      <c r="F1082" s="1">
        <f>IF(V1082="",1,0)</f>
        <v>0</v>
      </c>
      <c r="G1082" s="1" t="str">
        <f>IF(H1082=0,"-",_xlfn.CONCAT(K1082,N1082,O1082,J1082))</f>
        <v>25050302</v>
      </c>
      <c r="H1082" s="2">
        <v>45780</v>
      </c>
      <c r="I1082" s="113">
        <v>2</v>
      </c>
      <c r="J1082" s="1" t="str">
        <f t="shared" si="307"/>
        <v>02</v>
      </c>
      <c r="K1082" s="3">
        <f t="shared" si="308"/>
        <v>25</v>
      </c>
      <c r="L1082" s="3">
        <f t="shared" si="309"/>
        <v>5</v>
      </c>
      <c r="M1082" s="3">
        <f t="shared" si="310"/>
        <v>3</v>
      </c>
      <c r="N1082" s="3" t="str">
        <f t="shared" si="311"/>
        <v>05</v>
      </c>
      <c r="O1082" s="14" t="str">
        <f t="shared" si="312"/>
        <v>03</v>
      </c>
      <c r="P1082" s="4">
        <v>83875.72</v>
      </c>
      <c r="T1082" s="5" t="s">
        <v>1482</v>
      </c>
      <c r="U1082" s="3" t="s">
        <v>29</v>
      </c>
      <c r="V1082" s="3" t="s">
        <v>5</v>
      </c>
      <c r="W1082" s="3" t="s">
        <v>1307</v>
      </c>
      <c r="X1082" s="1" t="s">
        <v>1305</v>
      </c>
    </row>
    <row r="1083" spans="1:24" hidden="1">
      <c r="A1083" s="143">
        <v>1050</v>
      </c>
      <c r="B1083" s="1">
        <f>IF(G1083="-",0,IF(G1082=G1083,1,0))</f>
        <v>0</v>
      </c>
      <c r="C1083" s="1">
        <f>+IF(G1083="-",0,IF(I1083=I1082+1,0,(IF(I1083=1,0,1))))</f>
        <v>0</v>
      </c>
      <c r="D1083" s="1">
        <f>+IF(AND(P1083="",Q1083=""),1,0)</f>
        <v>0</v>
      </c>
      <c r="E1083" s="1">
        <f>IF(U1083="",1,0)</f>
        <v>0</v>
      </c>
      <c r="F1083" s="1">
        <f>IF(V1083="",1,0)</f>
        <v>0</v>
      </c>
      <c r="G1083" s="1" t="str">
        <f>IF(H1083=0,"-",_xlfn.CONCAT(K1083,N1083,O1083,J1083))</f>
        <v>25050303</v>
      </c>
      <c r="H1083" s="2">
        <v>45780</v>
      </c>
      <c r="I1083" s="113">
        <v>3</v>
      </c>
      <c r="J1083" s="1" t="str">
        <f t="shared" si="307"/>
        <v>03</v>
      </c>
      <c r="K1083" s="3">
        <f t="shared" si="308"/>
        <v>25</v>
      </c>
      <c r="L1083" s="3">
        <f t="shared" si="309"/>
        <v>5</v>
      </c>
      <c r="M1083" s="3">
        <f t="shared" si="310"/>
        <v>3</v>
      </c>
      <c r="N1083" s="3" t="str">
        <f t="shared" si="311"/>
        <v>05</v>
      </c>
      <c r="O1083" s="14" t="str">
        <f t="shared" si="312"/>
        <v>03</v>
      </c>
      <c r="P1083" s="4">
        <v>23800</v>
      </c>
      <c r="T1083" s="5" t="s">
        <v>1481</v>
      </c>
      <c r="U1083" s="3" t="s">
        <v>1310</v>
      </c>
      <c r="V1083" s="3" t="s">
        <v>1304</v>
      </c>
      <c r="W1083" s="3" t="s">
        <v>1309</v>
      </c>
      <c r="X1083" s="1" t="s">
        <v>1305</v>
      </c>
    </row>
    <row r="1084" spans="1:24" hidden="1">
      <c r="A1084" s="143"/>
      <c r="J1084" s="1" t="str">
        <f t="shared" si="307"/>
        <v>0</v>
      </c>
      <c r="K1084" s="3">
        <f t="shared" si="308"/>
        <v>-100</v>
      </c>
      <c r="L1084" s="3">
        <f t="shared" si="309"/>
        <v>1</v>
      </c>
      <c r="M1084" s="3">
        <f t="shared" si="310"/>
        <v>0</v>
      </c>
      <c r="N1084" s="3" t="str">
        <f t="shared" si="311"/>
        <v>01</v>
      </c>
      <c r="O1084" s="14" t="str">
        <f t="shared" si="312"/>
        <v>00</v>
      </c>
    </row>
    <row r="1085" spans="1:24" hidden="1">
      <c r="A1085" s="143"/>
      <c r="J1085" s="1" t="str">
        <f t="shared" si="307"/>
        <v>0</v>
      </c>
      <c r="K1085" s="3">
        <f t="shared" si="308"/>
        <v>-100</v>
      </c>
      <c r="L1085" s="3">
        <f t="shared" si="309"/>
        <v>1</v>
      </c>
      <c r="M1085" s="3">
        <f t="shared" si="310"/>
        <v>0</v>
      </c>
      <c r="N1085" s="3" t="str">
        <f t="shared" si="311"/>
        <v>01</v>
      </c>
      <c r="O1085" s="14" t="str">
        <f t="shared" si="312"/>
        <v>00</v>
      </c>
    </row>
    <row r="1086" spans="1:24" hidden="1">
      <c r="A1086" s="143"/>
      <c r="J1086" s="1" t="str">
        <f t="shared" si="307"/>
        <v>0</v>
      </c>
      <c r="K1086" s="3">
        <f t="shared" si="308"/>
        <v>-100</v>
      </c>
      <c r="L1086" s="3">
        <f t="shared" si="309"/>
        <v>1</v>
      </c>
      <c r="M1086" s="3">
        <f t="shared" si="310"/>
        <v>0</v>
      </c>
      <c r="N1086" s="3" t="str">
        <f t="shared" si="311"/>
        <v>01</v>
      </c>
      <c r="O1086" s="14" t="str">
        <f t="shared" si="312"/>
        <v>00</v>
      </c>
    </row>
    <row r="1087" spans="1:24">
      <c r="A1087" s="143">
        <v>1225</v>
      </c>
      <c r="B1087" s="1">
        <f t="shared" ref="B1087:B1107" si="315">IF(G1087="-",0,IF(G1086=G1087,1,0))</f>
        <v>0</v>
      </c>
      <c r="C1087" s="1">
        <f t="shared" ref="C1087:C1107" si="316">+IF(G1087="-",0,IF(I1087=I1086+1,0,(IF(I1087=1,0,1))))</f>
        <v>1</v>
      </c>
      <c r="D1087" s="1">
        <f t="shared" ref="D1087:D1107" si="317">+IF(AND(P1087="",Q1087=""),1,0)</f>
        <v>0</v>
      </c>
      <c r="E1087" s="1">
        <f t="shared" ref="E1087:E1107" si="318">IF(U1087="",1,0)</f>
        <v>0</v>
      </c>
      <c r="F1087" s="1">
        <f t="shared" ref="F1087:F1107" si="319">IF(V1087="",1,0)</f>
        <v>0</v>
      </c>
      <c r="G1087" s="1" t="str">
        <f t="shared" ref="G1087:G1107" si="320">IF(H1087=0,"-",_xlfn.CONCAT(K1087,N1087,O1087,J1087))</f>
        <v>25050307</v>
      </c>
      <c r="H1087" s="2">
        <v>45780</v>
      </c>
      <c r="I1087" s="113">
        <v>7</v>
      </c>
      <c r="J1087" s="1" t="str">
        <f t="shared" si="307"/>
        <v>07</v>
      </c>
      <c r="K1087" s="3">
        <f t="shared" si="308"/>
        <v>25</v>
      </c>
      <c r="L1087" s="3">
        <f t="shared" si="309"/>
        <v>5</v>
      </c>
      <c r="M1087" s="3">
        <f t="shared" si="310"/>
        <v>3</v>
      </c>
      <c r="N1087" s="3" t="str">
        <f t="shared" si="311"/>
        <v>05</v>
      </c>
      <c r="O1087" s="14" t="str">
        <f t="shared" si="312"/>
        <v>03</v>
      </c>
      <c r="P1087" s="4">
        <v>172250</v>
      </c>
      <c r="T1087" s="28" t="s">
        <v>1480</v>
      </c>
      <c r="U1087" s="3" t="s">
        <v>1342</v>
      </c>
      <c r="V1087" s="3" t="s">
        <v>5</v>
      </c>
      <c r="W1087" s="3" t="s">
        <v>1306</v>
      </c>
      <c r="X1087" s="1" t="s">
        <v>1302</v>
      </c>
    </row>
    <row r="1088" spans="1:24">
      <c r="A1088" s="143">
        <v>1226</v>
      </c>
      <c r="B1088" s="1">
        <f t="shared" si="315"/>
        <v>0</v>
      </c>
      <c r="C1088" s="1">
        <f t="shared" si="316"/>
        <v>0</v>
      </c>
      <c r="D1088" s="1">
        <f t="shared" si="317"/>
        <v>0</v>
      </c>
      <c r="E1088" s="1">
        <f t="shared" si="318"/>
        <v>0</v>
      </c>
      <c r="F1088" s="1">
        <f t="shared" si="319"/>
        <v>0</v>
      </c>
      <c r="G1088" s="1" t="str">
        <f t="shared" si="320"/>
        <v>25050308</v>
      </c>
      <c r="H1088" s="2">
        <v>45780</v>
      </c>
      <c r="I1088" s="113">
        <v>8</v>
      </c>
      <c r="J1088" s="1" t="str">
        <f t="shared" si="307"/>
        <v>08</v>
      </c>
      <c r="K1088" s="3">
        <f t="shared" si="308"/>
        <v>25</v>
      </c>
      <c r="L1088" s="3">
        <f t="shared" si="309"/>
        <v>5</v>
      </c>
      <c r="M1088" s="3">
        <f t="shared" si="310"/>
        <v>3</v>
      </c>
      <c r="N1088" s="3" t="str">
        <f t="shared" si="311"/>
        <v>05</v>
      </c>
      <c r="O1088" s="14" t="str">
        <f t="shared" si="312"/>
        <v>03</v>
      </c>
      <c r="P1088" s="4">
        <v>161000</v>
      </c>
      <c r="T1088" s="28" t="s">
        <v>1479</v>
      </c>
      <c r="U1088" s="3" t="s">
        <v>1342</v>
      </c>
      <c r="V1088" s="3" t="s">
        <v>5</v>
      </c>
      <c r="W1088" s="3" t="s">
        <v>1306</v>
      </c>
      <c r="X1088" s="1" t="s">
        <v>1302</v>
      </c>
    </row>
    <row r="1089" spans="1:24">
      <c r="A1089" s="143">
        <v>1227</v>
      </c>
      <c r="B1089" s="1">
        <f t="shared" si="315"/>
        <v>0</v>
      </c>
      <c r="C1089" s="1">
        <f t="shared" si="316"/>
        <v>0</v>
      </c>
      <c r="D1089" s="1">
        <f t="shared" si="317"/>
        <v>0</v>
      </c>
      <c r="E1089" s="1">
        <f t="shared" si="318"/>
        <v>0</v>
      </c>
      <c r="F1089" s="1">
        <f t="shared" si="319"/>
        <v>0</v>
      </c>
      <c r="G1089" s="1" t="str">
        <f t="shared" si="320"/>
        <v>25050309</v>
      </c>
      <c r="H1089" s="2">
        <v>45780</v>
      </c>
      <c r="I1089" s="113">
        <v>9</v>
      </c>
      <c r="J1089" s="1" t="str">
        <f t="shared" si="307"/>
        <v>09</v>
      </c>
      <c r="K1089" s="3">
        <f t="shared" si="308"/>
        <v>25</v>
      </c>
      <c r="L1089" s="3">
        <f t="shared" si="309"/>
        <v>5</v>
      </c>
      <c r="M1089" s="3">
        <f t="shared" si="310"/>
        <v>3</v>
      </c>
      <c r="N1089" s="3" t="str">
        <f t="shared" si="311"/>
        <v>05</v>
      </c>
      <c r="O1089" s="14" t="str">
        <f t="shared" si="312"/>
        <v>03</v>
      </c>
      <c r="P1089" s="4">
        <v>154000</v>
      </c>
      <c r="T1089" s="28" t="s">
        <v>1478</v>
      </c>
      <c r="U1089" s="3" t="s">
        <v>1342</v>
      </c>
      <c r="V1089" s="3" t="s">
        <v>5</v>
      </c>
      <c r="W1089" s="3" t="s">
        <v>1306</v>
      </c>
      <c r="X1089" s="1" t="s">
        <v>1302</v>
      </c>
    </row>
    <row r="1090" spans="1:24">
      <c r="A1090" s="143">
        <v>1228</v>
      </c>
      <c r="B1090" s="1">
        <f t="shared" si="315"/>
        <v>0</v>
      </c>
      <c r="C1090" s="1">
        <f t="shared" si="316"/>
        <v>0</v>
      </c>
      <c r="D1090" s="1">
        <f t="shared" si="317"/>
        <v>0</v>
      </c>
      <c r="E1090" s="1">
        <f t="shared" si="318"/>
        <v>0</v>
      </c>
      <c r="F1090" s="1">
        <f t="shared" si="319"/>
        <v>0</v>
      </c>
      <c r="G1090" s="1" t="str">
        <f t="shared" si="320"/>
        <v>25050310</v>
      </c>
      <c r="H1090" s="2">
        <v>45780</v>
      </c>
      <c r="I1090" s="113">
        <v>10</v>
      </c>
      <c r="J1090" s="1">
        <f t="shared" si="307"/>
        <v>10</v>
      </c>
      <c r="K1090" s="3">
        <f t="shared" si="308"/>
        <v>25</v>
      </c>
      <c r="L1090" s="3">
        <f t="shared" si="309"/>
        <v>5</v>
      </c>
      <c r="M1090" s="3">
        <f t="shared" si="310"/>
        <v>3</v>
      </c>
      <c r="N1090" s="3" t="str">
        <f t="shared" si="311"/>
        <v>05</v>
      </c>
      <c r="O1090" s="14" t="str">
        <f t="shared" si="312"/>
        <v>03</v>
      </c>
      <c r="P1090" s="4">
        <v>126000</v>
      </c>
      <c r="T1090" s="28" t="s">
        <v>1477</v>
      </c>
      <c r="U1090" s="3" t="s">
        <v>1342</v>
      </c>
      <c r="V1090" s="3" t="s">
        <v>5</v>
      </c>
      <c r="W1090" s="3" t="s">
        <v>1306</v>
      </c>
      <c r="X1090" s="1" t="s">
        <v>1302</v>
      </c>
    </row>
    <row r="1091" spans="1:24">
      <c r="A1091" s="143">
        <v>1229</v>
      </c>
      <c r="B1091" s="1">
        <f t="shared" si="315"/>
        <v>0</v>
      </c>
      <c r="C1091" s="1">
        <f t="shared" si="316"/>
        <v>0</v>
      </c>
      <c r="D1091" s="1">
        <f t="shared" si="317"/>
        <v>0</v>
      </c>
      <c r="E1091" s="1">
        <f t="shared" si="318"/>
        <v>0</v>
      </c>
      <c r="F1091" s="1">
        <f t="shared" si="319"/>
        <v>0</v>
      </c>
      <c r="G1091" s="1" t="str">
        <f t="shared" si="320"/>
        <v>25050311</v>
      </c>
      <c r="H1091" s="2">
        <v>45780</v>
      </c>
      <c r="I1091" s="113">
        <v>11</v>
      </c>
      <c r="J1091" s="1">
        <f t="shared" si="307"/>
        <v>11</v>
      </c>
      <c r="K1091" s="3">
        <f t="shared" si="308"/>
        <v>25</v>
      </c>
      <c r="L1091" s="3">
        <f t="shared" si="309"/>
        <v>5</v>
      </c>
      <c r="M1091" s="3">
        <f t="shared" si="310"/>
        <v>3</v>
      </c>
      <c r="N1091" s="3" t="str">
        <f t="shared" si="311"/>
        <v>05</v>
      </c>
      <c r="O1091" s="14" t="str">
        <f t="shared" si="312"/>
        <v>03</v>
      </c>
      <c r="P1091" s="4">
        <v>154000</v>
      </c>
      <c r="T1091" s="28" t="s">
        <v>1476</v>
      </c>
      <c r="U1091" s="3" t="s">
        <v>1342</v>
      </c>
      <c r="V1091" s="3" t="s">
        <v>5</v>
      </c>
      <c r="W1091" s="3" t="s">
        <v>1306</v>
      </c>
      <c r="X1091" s="1" t="s">
        <v>1302</v>
      </c>
    </row>
    <row r="1092" spans="1:24">
      <c r="A1092" s="143">
        <v>1230</v>
      </c>
      <c r="B1092" s="1">
        <f t="shared" si="315"/>
        <v>0</v>
      </c>
      <c r="C1092" s="1">
        <f t="shared" si="316"/>
        <v>0</v>
      </c>
      <c r="D1092" s="1">
        <f t="shared" si="317"/>
        <v>0</v>
      </c>
      <c r="E1092" s="1">
        <f t="shared" si="318"/>
        <v>0</v>
      </c>
      <c r="F1092" s="1">
        <f t="shared" si="319"/>
        <v>0</v>
      </c>
      <c r="G1092" s="1" t="str">
        <f t="shared" si="320"/>
        <v>25050312</v>
      </c>
      <c r="H1092" s="2">
        <v>45780</v>
      </c>
      <c r="I1092" s="113">
        <v>12</v>
      </c>
      <c r="J1092" s="1">
        <f t="shared" si="307"/>
        <v>12</v>
      </c>
      <c r="K1092" s="3">
        <f t="shared" si="308"/>
        <v>25</v>
      </c>
      <c r="L1092" s="3">
        <f t="shared" si="309"/>
        <v>5</v>
      </c>
      <c r="M1092" s="3">
        <f t="shared" si="310"/>
        <v>3</v>
      </c>
      <c r="N1092" s="3" t="str">
        <f t="shared" si="311"/>
        <v>05</v>
      </c>
      <c r="O1092" s="14" t="str">
        <f t="shared" si="312"/>
        <v>03</v>
      </c>
      <c r="P1092" s="4">
        <v>185500</v>
      </c>
      <c r="T1092" s="28" t="s">
        <v>1475</v>
      </c>
      <c r="U1092" s="3" t="s">
        <v>1342</v>
      </c>
      <c r="V1092" s="3" t="s">
        <v>5</v>
      </c>
      <c r="W1092" s="3" t="s">
        <v>1306</v>
      </c>
      <c r="X1092" s="1" t="s">
        <v>1302</v>
      </c>
    </row>
    <row r="1093" spans="1:24">
      <c r="A1093" s="143">
        <v>1231</v>
      </c>
      <c r="B1093" s="1">
        <f t="shared" si="315"/>
        <v>0</v>
      </c>
      <c r="C1093" s="1">
        <f t="shared" si="316"/>
        <v>0</v>
      </c>
      <c r="D1093" s="1">
        <f t="shared" si="317"/>
        <v>0</v>
      </c>
      <c r="E1093" s="1">
        <f t="shared" si="318"/>
        <v>0</v>
      </c>
      <c r="F1093" s="1">
        <f t="shared" si="319"/>
        <v>0</v>
      </c>
      <c r="G1093" s="1" t="str">
        <f t="shared" si="320"/>
        <v>25050313</v>
      </c>
      <c r="H1093" s="2">
        <v>45780</v>
      </c>
      <c r="I1093" s="113">
        <v>13</v>
      </c>
      <c r="J1093" s="1">
        <f t="shared" si="307"/>
        <v>13</v>
      </c>
      <c r="K1093" s="3">
        <f t="shared" si="308"/>
        <v>25</v>
      </c>
      <c r="L1093" s="3">
        <f t="shared" si="309"/>
        <v>5</v>
      </c>
      <c r="M1093" s="3">
        <f t="shared" si="310"/>
        <v>3</v>
      </c>
      <c r="N1093" s="3" t="str">
        <f t="shared" si="311"/>
        <v>05</v>
      </c>
      <c r="O1093" s="14" t="str">
        <f t="shared" si="312"/>
        <v>03</v>
      </c>
      <c r="P1093" s="4">
        <v>154000</v>
      </c>
      <c r="T1093" s="28" t="s">
        <v>1474</v>
      </c>
      <c r="U1093" s="3" t="s">
        <v>1342</v>
      </c>
      <c r="V1093" s="3" t="s">
        <v>5</v>
      </c>
      <c r="W1093" s="3" t="s">
        <v>1306</v>
      </c>
      <c r="X1093" s="1" t="s">
        <v>1302</v>
      </c>
    </row>
    <row r="1094" spans="1:24">
      <c r="A1094" s="143">
        <v>1232</v>
      </c>
      <c r="B1094" s="1">
        <f t="shared" si="315"/>
        <v>0</v>
      </c>
      <c r="C1094" s="1">
        <f t="shared" si="316"/>
        <v>0</v>
      </c>
      <c r="D1094" s="1">
        <f t="shared" si="317"/>
        <v>0</v>
      </c>
      <c r="E1094" s="1">
        <f t="shared" si="318"/>
        <v>0</v>
      </c>
      <c r="F1094" s="1">
        <f t="shared" si="319"/>
        <v>0</v>
      </c>
      <c r="G1094" s="1" t="str">
        <f t="shared" si="320"/>
        <v>25050314</v>
      </c>
      <c r="H1094" s="2">
        <v>45780</v>
      </c>
      <c r="I1094" s="113">
        <v>14</v>
      </c>
      <c r="J1094" s="1">
        <f t="shared" si="307"/>
        <v>14</v>
      </c>
      <c r="K1094" s="3">
        <f t="shared" si="308"/>
        <v>25</v>
      </c>
      <c r="L1094" s="3">
        <f t="shared" si="309"/>
        <v>5</v>
      </c>
      <c r="M1094" s="3">
        <f t="shared" si="310"/>
        <v>3</v>
      </c>
      <c r="N1094" s="3" t="str">
        <f t="shared" si="311"/>
        <v>05</v>
      </c>
      <c r="O1094" s="14" t="str">
        <f t="shared" si="312"/>
        <v>03</v>
      </c>
      <c r="P1094" s="4">
        <v>154000</v>
      </c>
      <c r="T1094" s="31" t="s">
        <v>1473</v>
      </c>
      <c r="U1094" s="3" t="s">
        <v>1342</v>
      </c>
      <c r="V1094" s="3" t="s">
        <v>5</v>
      </c>
      <c r="W1094" s="3" t="s">
        <v>1306</v>
      </c>
      <c r="X1094" s="1" t="s">
        <v>1302</v>
      </c>
    </row>
    <row r="1095" spans="1:24">
      <c r="A1095" s="143">
        <v>1233</v>
      </c>
      <c r="B1095" s="1">
        <f t="shared" si="315"/>
        <v>0</v>
      </c>
      <c r="C1095" s="1">
        <f t="shared" si="316"/>
        <v>0</v>
      </c>
      <c r="D1095" s="1">
        <f t="shared" si="317"/>
        <v>0</v>
      </c>
      <c r="E1095" s="1">
        <f t="shared" si="318"/>
        <v>0</v>
      </c>
      <c r="F1095" s="1">
        <f t="shared" si="319"/>
        <v>0</v>
      </c>
      <c r="G1095" s="1" t="str">
        <f t="shared" si="320"/>
        <v>25050315</v>
      </c>
      <c r="H1095" s="2">
        <v>45780</v>
      </c>
      <c r="I1095" s="113">
        <v>15</v>
      </c>
      <c r="J1095" s="1">
        <f t="shared" si="307"/>
        <v>15</v>
      </c>
      <c r="K1095" s="3">
        <f t="shared" si="308"/>
        <v>25</v>
      </c>
      <c r="L1095" s="3">
        <f t="shared" si="309"/>
        <v>5</v>
      </c>
      <c r="M1095" s="3">
        <f t="shared" si="310"/>
        <v>3</v>
      </c>
      <c r="N1095" s="3" t="str">
        <f t="shared" si="311"/>
        <v>05</v>
      </c>
      <c r="O1095" s="14" t="str">
        <f t="shared" si="312"/>
        <v>03</v>
      </c>
      <c r="P1095" s="4">
        <v>126000</v>
      </c>
      <c r="T1095" s="31" t="s">
        <v>1472</v>
      </c>
      <c r="U1095" s="3" t="s">
        <v>1342</v>
      </c>
      <c r="V1095" s="3" t="s">
        <v>5</v>
      </c>
      <c r="W1095" s="3" t="s">
        <v>1306</v>
      </c>
      <c r="X1095" s="1" t="s">
        <v>1302</v>
      </c>
    </row>
    <row r="1096" spans="1:24">
      <c r="A1096" s="143">
        <v>1234</v>
      </c>
      <c r="B1096" s="1">
        <f t="shared" si="315"/>
        <v>0</v>
      </c>
      <c r="C1096" s="1">
        <f t="shared" si="316"/>
        <v>0</v>
      </c>
      <c r="D1096" s="1">
        <f t="shared" si="317"/>
        <v>0</v>
      </c>
      <c r="E1096" s="1">
        <f t="shared" si="318"/>
        <v>0</v>
      </c>
      <c r="F1096" s="1">
        <f t="shared" si="319"/>
        <v>0</v>
      </c>
      <c r="G1096" s="1" t="str">
        <f t="shared" si="320"/>
        <v>25050316</v>
      </c>
      <c r="H1096" s="2">
        <v>45780</v>
      </c>
      <c r="I1096" s="113">
        <v>16</v>
      </c>
      <c r="J1096" s="1">
        <f t="shared" ref="J1096:J1159" si="321">+IF(I1096&lt;10,_xlfn.CONCAT("0",I1096),I1096)</f>
        <v>16</v>
      </c>
      <c r="K1096" s="3">
        <f t="shared" ref="K1096:K1159" si="322">+YEAR(H1096)-2000</f>
        <v>25</v>
      </c>
      <c r="L1096" s="3">
        <f t="shared" ref="L1096:L1159" si="323">+MONTH(H1096)</f>
        <v>5</v>
      </c>
      <c r="M1096" s="3">
        <f t="shared" ref="M1096:M1159" si="324">+DAY(H1096)</f>
        <v>3</v>
      </c>
      <c r="N1096" s="3" t="str">
        <f t="shared" ref="N1096:N1159" si="325">+IF(L1096&lt;10,_xlfn.CONCAT("0",L1096),L1096)</f>
        <v>05</v>
      </c>
      <c r="O1096" s="14" t="str">
        <f t="shared" ref="O1096:O1159" si="326">+IF(M1096&lt;10,_xlfn.CONCAT("0",M1096),M1096)</f>
        <v>03</v>
      </c>
      <c r="P1096" s="4">
        <v>104400</v>
      </c>
      <c r="T1096" s="31" t="s">
        <v>1471</v>
      </c>
      <c r="U1096" s="3" t="s">
        <v>1342</v>
      </c>
      <c r="V1096" s="3" t="s">
        <v>5</v>
      </c>
      <c r="W1096" s="3" t="s">
        <v>1306</v>
      </c>
      <c r="X1096" s="1" t="s">
        <v>1302</v>
      </c>
    </row>
    <row r="1097" spans="1:24">
      <c r="A1097" s="143">
        <v>1235</v>
      </c>
      <c r="B1097" s="1">
        <f t="shared" si="315"/>
        <v>0</v>
      </c>
      <c r="C1097" s="1">
        <f t="shared" si="316"/>
        <v>0</v>
      </c>
      <c r="D1097" s="1">
        <f t="shared" si="317"/>
        <v>0</v>
      </c>
      <c r="E1097" s="1">
        <f t="shared" si="318"/>
        <v>0</v>
      </c>
      <c r="F1097" s="1">
        <f t="shared" si="319"/>
        <v>0</v>
      </c>
      <c r="G1097" s="1" t="str">
        <f t="shared" si="320"/>
        <v>25050317</v>
      </c>
      <c r="H1097" s="2">
        <v>45780</v>
      </c>
      <c r="I1097" s="113">
        <v>17</v>
      </c>
      <c r="J1097" s="1">
        <f t="shared" si="321"/>
        <v>17</v>
      </c>
      <c r="K1097" s="3">
        <f t="shared" si="322"/>
        <v>25</v>
      </c>
      <c r="L1097" s="3">
        <f t="shared" si="323"/>
        <v>5</v>
      </c>
      <c r="M1097" s="3">
        <f t="shared" si="324"/>
        <v>3</v>
      </c>
      <c r="N1097" s="3" t="str">
        <f t="shared" si="325"/>
        <v>05</v>
      </c>
      <c r="O1097" s="14" t="str">
        <f t="shared" si="326"/>
        <v>03</v>
      </c>
      <c r="P1097" s="4">
        <v>154000</v>
      </c>
      <c r="T1097" s="31" t="s">
        <v>1470</v>
      </c>
      <c r="U1097" s="3" t="s">
        <v>1342</v>
      </c>
      <c r="V1097" s="3" t="s">
        <v>5</v>
      </c>
      <c r="W1097" s="3" t="s">
        <v>1306</v>
      </c>
      <c r="X1097" s="1" t="s">
        <v>1302</v>
      </c>
    </row>
    <row r="1098" spans="1:24">
      <c r="A1098" s="143">
        <v>1236</v>
      </c>
      <c r="B1098" s="1">
        <f t="shared" si="315"/>
        <v>0</v>
      </c>
      <c r="C1098" s="1">
        <f t="shared" si="316"/>
        <v>0</v>
      </c>
      <c r="D1098" s="1">
        <f t="shared" si="317"/>
        <v>0</v>
      </c>
      <c r="E1098" s="1">
        <f t="shared" si="318"/>
        <v>0</v>
      </c>
      <c r="F1098" s="1">
        <f t="shared" si="319"/>
        <v>0</v>
      </c>
      <c r="G1098" s="1" t="str">
        <f t="shared" si="320"/>
        <v>25050318</v>
      </c>
      <c r="H1098" s="2">
        <v>45780</v>
      </c>
      <c r="I1098" s="113">
        <v>18</v>
      </c>
      <c r="J1098" s="1">
        <f t="shared" si="321"/>
        <v>18</v>
      </c>
      <c r="K1098" s="3">
        <f t="shared" si="322"/>
        <v>25</v>
      </c>
      <c r="L1098" s="3">
        <f t="shared" si="323"/>
        <v>5</v>
      </c>
      <c r="M1098" s="3">
        <f t="shared" si="324"/>
        <v>3</v>
      </c>
      <c r="N1098" s="3" t="str">
        <f t="shared" si="325"/>
        <v>05</v>
      </c>
      <c r="O1098" s="14" t="str">
        <f t="shared" si="326"/>
        <v>03</v>
      </c>
      <c r="P1098" s="4">
        <v>126000</v>
      </c>
      <c r="T1098" s="31" t="s">
        <v>1469</v>
      </c>
      <c r="U1098" s="3" t="s">
        <v>1342</v>
      </c>
      <c r="V1098" s="3" t="s">
        <v>5</v>
      </c>
      <c r="W1098" s="3" t="s">
        <v>1306</v>
      </c>
      <c r="X1098" s="1" t="s">
        <v>1302</v>
      </c>
    </row>
    <row r="1099" spans="1:24">
      <c r="A1099" s="143">
        <v>1237</v>
      </c>
      <c r="B1099" s="1">
        <f t="shared" si="315"/>
        <v>0</v>
      </c>
      <c r="C1099" s="1">
        <f t="shared" si="316"/>
        <v>0</v>
      </c>
      <c r="D1099" s="1">
        <f t="shared" si="317"/>
        <v>0</v>
      </c>
      <c r="E1099" s="1">
        <f t="shared" si="318"/>
        <v>0</v>
      </c>
      <c r="F1099" s="1">
        <f t="shared" si="319"/>
        <v>0</v>
      </c>
      <c r="G1099" s="1" t="str">
        <f t="shared" si="320"/>
        <v>25050319</v>
      </c>
      <c r="H1099" s="2">
        <v>45780</v>
      </c>
      <c r="I1099" s="113">
        <v>19</v>
      </c>
      <c r="J1099" s="1">
        <f t="shared" si="321"/>
        <v>19</v>
      </c>
      <c r="K1099" s="3">
        <f t="shared" si="322"/>
        <v>25</v>
      </c>
      <c r="L1099" s="3">
        <f t="shared" si="323"/>
        <v>5</v>
      </c>
      <c r="M1099" s="3">
        <f t="shared" si="324"/>
        <v>3</v>
      </c>
      <c r="N1099" s="3" t="str">
        <f t="shared" si="325"/>
        <v>05</v>
      </c>
      <c r="O1099" s="14" t="str">
        <f t="shared" si="326"/>
        <v>03</v>
      </c>
      <c r="P1099" s="4">
        <v>252000</v>
      </c>
      <c r="T1099" s="31" t="s">
        <v>1468</v>
      </c>
      <c r="U1099" s="3" t="s">
        <v>1342</v>
      </c>
      <c r="V1099" s="3" t="s">
        <v>5</v>
      </c>
      <c r="W1099" s="3" t="s">
        <v>1306</v>
      </c>
      <c r="X1099" s="1" t="s">
        <v>1302</v>
      </c>
    </row>
    <row r="1100" spans="1:24">
      <c r="A1100" s="143">
        <v>1238</v>
      </c>
      <c r="B1100" s="1">
        <f t="shared" si="315"/>
        <v>0</v>
      </c>
      <c r="C1100" s="1">
        <f t="shared" si="316"/>
        <v>0</v>
      </c>
      <c r="D1100" s="1">
        <f t="shared" si="317"/>
        <v>0</v>
      </c>
      <c r="E1100" s="1">
        <f t="shared" si="318"/>
        <v>0</v>
      </c>
      <c r="F1100" s="1">
        <f t="shared" si="319"/>
        <v>0</v>
      </c>
      <c r="G1100" s="1" t="str">
        <f t="shared" si="320"/>
        <v>25050320</v>
      </c>
      <c r="H1100" s="2">
        <v>45780</v>
      </c>
      <c r="I1100" s="113">
        <v>20</v>
      </c>
      <c r="J1100" s="1">
        <f t="shared" si="321"/>
        <v>20</v>
      </c>
      <c r="K1100" s="3">
        <f t="shared" si="322"/>
        <v>25</v>
      </c>
      <c r="L1100" s="3">
        <f t="shared" si="323"/>
        <v>5</v>
      </c>
      <c r="M1100" s="3">
        <f t="shared" si="324"/>
        <v>3</v>
      </c>
      <c r="N1100" s="3" t="str">
        <f t="shared" si="325"/>
        <v>05</v>
      </c>
      <c r="O1100" s="14" t="str">
        <f t="shared" si="326"/>
        <v>03</v>
      </c>
      <c r="P1100" s="4">
        <v>90000</v>
      </c>
      <c r="T1100" s="31" t="s">
        <v>1467</v>
      </c>
      <c r="U1100" s="3" t="s">
        <v>1342</v>
      </c>
      <c r="V1100" s="3" t="s">
        <v>5</v>
      </c>
      <c r="W1100" s="3" t="s">
        <v>1306</v>
      </c>
      <c r="X1100" s="1" t="s">
        <v>1302</v>
      </c>
    </row>
    <row r="1101" spans="1:24">
      <c r="A1101" s="143">
        <v>1239</v>
      </c>
      <c r="B1101" s="1">
        <f t="shared" si="315"/>
        <v>0</v>
      </c>
      <c r="C1101" s="1">
        <f t="shared" si="316"/>
        <v>0</v>
      </c>
      <c r="D1101" s="1">
        <f t="shared" si="317"/>
        <v>0</v>
      </c>
      <c r="E1101" s="1">
        <f t="shared" si="318"/>
        <v>0</v>
      </c>
      <c r="F1101" s="1">
        <f t="shared" si="319"/>
        <v>0</v>
      </c>
      <c r="G1101" s="1" t="str">
        <f t="shared" si="320"/>
        <v>25050321</v>
      </c>
      <c r="H1101" s="2">
        <v>45780</v>
      </c>
      <c r="I1101" s="113">
        <v>21</v>
      </c>
      <c r="J1101" s="1">
        <f t="shared" si="321"/>
        <v>21</v>
      </c>
      <c r="K1101" s="3">
        <f t="shared" si="322"/>
        <v>25</v>
      </c>
      <c r="L1101" s="3">
        <f t="shared" si="323"/>
        <v>5</v>
      </c>
      <c r="M1101" s="3">
        <f t="shared" si="324"/>
        <v>3</v>
      </c>
      <c r="N1101" s="3" t="str">
        <f t="shared" si="325"/>
        <v>05</v>
      </c>
      <c r="O1101" s="14" t="str">
        <f t="shared" si="326"/>
        <v>03</v>
      </c>
      <c r="P1101" s="4">
        <v>42000</v>
      </c>
      <c r="T1101" s="31" t="s">
        <v>1466</v>
      </c>
      <c r="U1101" s="3" t="s">
        <v>1342</v>
      </c>
      <c r="V1101" s="3" t="s">
        <v>5</v>
      </c>
      <c r="W1101" s="3" t="s">
        <v>1306</v>
      </c>
      <c r="X1101" s="1" t="s">
        <v>1302</v>
      </c>
    </row>
    <row r="1102" spans="1:24">
      <c r="A1102" s="143">
        <v>1240</v>
      </c>
      <c r="B1102" s="1">
        <f t="shared" si="315"/>
        <v>0</v>
      </c>
      <c r="C1102" s="1">
        <f t="shared" si="316"/>
        <v>0</v>
      </c>
      <c r="D1102" s="1">
        <f t="shared" si="317"/>
        <v>0</v>
      </c>
      <c r="E1102" s="1">
        <f t="shared" si="318"/>
        <v>1</v>
      </c>
      <c r="F1102" s="1">
        <f t="shared" si="319"/>
        <v>0</v>
      </c>
      <c r="G1102" s="1" t="str">
        <f t="shared" si="320"/>
        <v>25050322</v>
      </c>
      <c r="H1102" s="2">
        <v>45780</v>
      </c>
      <c r="I1102" s="113">
        <v>22</v>
      </c>
      <c r="J1102" s="1">
        <f t="shared" si="321"/>
        <v>22</v>
      </c>
      <c r="K1102" s="3">
        <f t="shared" si="322"/>
        <v>25</v>
      </c>
      <c r="L1102" s="3">
        <f t="shared" si="323"/>
        <v>5</v>
      </c>
      <c r="M1102" s="3">
        <f t="shared" si="324"/>
        <v>3</v>
      </c>
      <c r="N1102" s="3" t="str">
        <f t="shared" si="325"/>
        <v>05</v>
      </c>
      <c r="O1102" s="14" t="str">
        <f t="shared" si="326"/>
        <v>03</v>
      </c>
      <c r="P1102" s="4">
        <v>150000</v>
      </c>
      <c r="T1102" s="31" t="s">
        <v>1465</v>
      </c>
      <c r="V1102" s="3" t="s">
        <v>5</v>
      </c>
      <c r="W1102" s="3" t="s">
        <v>1306</v>
      </c>
      <c r="X1102" s="1" t="s">
        <v>1302</v>
      </c>
    </row>
    <row r="1103" spans="1:24">
      <c r="A1103" s="143">
        <v>1241</v>
      </c>
      <c r="B1103" s="1">
        <f t="shared" si="315"/>
        <v>0</v>
      </c>
      <c r="C1103" s="1">
        <f t="shared" si="316"/>
        <v>0</v>
      </c>
      <c r="D1103" s="1">
        <f t="shared" si="317"/>
        <v>0</v>
      </c>
      <c r="E1103" s="1">
        <f t="shared" si="318"/>
        <v>1</v>
      </c>
      <c r="F1103" s="1">
        <f t="shared" si="319"/>
        <v>0</v>
      </c>
      <c r="G1103" s="1" t="str">
        <f t="shared" si="320"/>
        <v>25050323</v>
      </c>
      <c r="H1103" s="2">
        <v>45780</v>
      </c>
      <c r="I1103" s="113">
        <v>23</v>
      </c>
      <c r="J1103" s="1">
        <f t="shared" si="321"/>
        <v>23</v>
      </c>
      <c r="K1103" s="3">
        <f t="shared" si="322"/>
        <v>25</v>
      </c>
      <c r="L1103" s="3">
        <f t="shared" si="323"/>
        <v>5</v>
      </c>
      <c r="M1103" s="3">
        <f t="shared" si="324"/>
        <v>3</v>
      </c>
      <c r="N1103" s="3" t="str">
        <f t="shared" si="325"/>
        <v>05</v>
      </c>
      <c r="O1103" s="14" t="str">
        <f t="shared" si="326"/>
        <v>03</v>
      </c>
      <c r="P1103" s="4">
        <v>130000</v>
      </c>
      <c r="T1103" s="28" t="s">
        <v>1464</v>
      </c>
      <c r="V1103" s="3" t="s">
        <v>5</v>
      </c>
      <c r="W1103" s="3" t="s">
        <v>1306</v>
      </c>
      <c r="X1103" s="1" t="s">
        <v>1302</v>
      </c>
    </row>
    <row r="1104" spans="1:24" hidden="1">
      <c r="A1104" s="143">
        <v>1053</v>
      </c>
      <c r="B1104" s="1">
        <f t="shared" si="315"/>
        <v>0</v>
      </c>
      <c r="C1104" s="1">
        <f t="shared" si="316"/>
        <v>0</v>
      </c>
      <c r="D1104" s="1">
        <f t="shared" si="317"/>
        <v>0</v>
      </c>
      <c r="E1104" s="1">
        <f t="shared" si="318"/>
        <v>0</v>
      </c>
      <c r="F1104" s="1">
        <f t="shared" si="319"/>
        <v>0</v>
      </c>
      <c r="G1104" s="1" t="str">
        <f t="shared" si="320"/>
        <v>25050501</v>
      </c>
      <c r="H1104" s="2">
        <v>45782</v>
      </c>
      <c r="I1104" s="113">
        <v>1</v>
      </c>
      <c r="J1104" s="1" t="str">
        <f t="shared" si="321"/>
        <v>01</v>
      </c>
      <c r="K1104" s="3">
        <f t="shared" si="322"/>
        <v>25</v>
      </c>
      <c r="L1104" s="3">
        <f t="shared" si="323"/>
        <v>5</v>
      </c>
      <c r="M1104" s="3">
        <f t="shared" si="324"/>
        <v>5</v>
      </c>
      <c r="N1104" s="3" t="str">
        <f t="shared" si="325"/>
        <v>05</v>
      </c>
      <c r="O1104" s="14" t="str">
        <f t="shared" si="326"/>
        <v>05</v>
      </c>
      <c r="P1104" s="4">
        <v>25390.6</v>
      </c>
      <c r="T1104" s="5" t="s">
        <v>1463</v>
      </c>
      <c r="U1104" s="3" t="s">
        <v>29</v>
      </c>
      <c r="V1104" s="3" t="s">
        <v>5</v>
      </c>
      <c r="W1104" s="3" t="s">
        <v>1307</v>
      </c>
      <c r="X1104" s="1" t="s">
        <v>1305</v>
      </c>
    </row>
    <row r="1105" spans="1:25" hidden="1">
      <c r="A1105" s="143">
        <v>1054</v>
      </c>
      <c r="B1105" s="1">
        <f t="shared" si="315"/>
        <v>0</v>
      </c>
      <c r="C1105" s="1">
        <f t="shared" si="316"/>
        <v>0</v>
      </c>
      <c r="D1105" s="1">
        <f t="shared" si="317"/>
        <v>0</v>
      </c>
      <c r="E1105" s="1">
        <f t="shared" si="318"/>
        <v>0</v>
      </c>
      <c r="F1105" s="1">
        <f t="shared" si="319"/>
        <v>0</v>
      </c>
      <c r="G1105" s="1" t="str">
        <f t="shared" si="320"/>
        <v>25050502</v>
      </c>
      <c r="H1105" s="2">
        <v>45782</v>
      </c>
      <c r="I1105" s="113">
        <v>2</v>
      </c>
      <c r="J1105" s="1" t="str">
        <f t="shared" si="321"/>
        <v>02</v>
      </c>
      <c r="K1105" s="3">
        <f t="shared" si="322"/>
        <v>25</v>
      </c>
      <c r="L1105" s="3">
        <f t="shared" si="323"/>
        <v>5</v>
      </c>
      <c r="M1105" s="3">
        <f t="shared" si="324"/>
        <v>5</v>
      </c>
      <c r="N1105" s="3" t="str">
        <f t="shared" si="325"/>
        <v>05</v>
      </c>
      <c r="O1105" s="14" t="str">
        <f t="shared" si="326"/>
        <v>05</v>
      </c>
      <c r="P1105" s="4">
        <v>10000</v>
      </c>
      <c r="T1105" s="5" t="s">
        <v>1454</v>
      </c>
      <c r="U1105" s="3" t="s">
        <v>29</v>
      </c>
      <c r="V1105" s="3" t="s">
        <v>5</v>
      </c>
      <c r="W1105" s="3" t="s">
        <v>1307</v>
      </c>
      <c r="X1105" s="1" t="s">
        <v>1305</v>
      </c>
    </row>
    <row r="1106" spans="1:25">
      <c r="A1106" s="143">
        <v>1056</v>
      </c>
      <c r="B1106" s="1">
        <f t="shared" si="315"/>
        <v>0</v>
      </c>
      <c r="C1106" s="1">
        <f t="shared" si="316"/>
        <v>0</v>
      </c>
      <c r="D1106" s="1">
        <f t="shared" si="317"/>
        <v>0</v>
      </c>
      <c r="E1106" s="1">
        <f t="shared" si="318"/>
        <v>0</v>
      </c>
      <c r="F1106" s="1">
        <f t="shared" si="319"/>
        <v>0</v>
      </c>
      <c r="G1106" s="1" t="str">
        <f t="shared" si="320"/>
        <v>25050503</v>
      </c>
      <c r="H1106" s="2">
        <v>45782</v>
      </c>
      <c r="I1106" s="113">
        <v>3</v>
      </c>
      <c r="J1106" s="1" t="str">
        <f t="shared" si="321"/>
        <v>03</v>
      </c>
      <c r="K1106" s="3">
        <f t="shared" si="322"/>
        <v>25</v>
      </c>
      <c r="L1106" s="3">
        <f t="shared" si="323"/>
        <v>5</v>
      </c>
      <c r="M1106" s="3">
        <f t="shared" si="324"/>
        <v>5</v>
      </c>
      <c r="N1106" s="3" t="str">
        <f t="shared" si="325"/>
        <v>05</v>
      </c>
      <c r="O1106" s="14" t="str">
        <f t="shared" si="326"/>
        <v>05</v>
      </c>
      <c r="P1106" s="4">
        <v>1012388.7</v>
      </c>
      <c r="T1106" s="5" t="s">
        <v>1462</v>
      </c>
      <c r="U1106" s="3" t="s">
        <v>1342</v>
      </c>
      <c r="V1106" s="3" t="s">
        <v>5</v>
      </c>
      <c r="W1106" s="3" t="s">
        <v>1307</v>
      </c>
      <c r="X1106" s="1" t="s">
        <v>1305</v>
      </c>
      <c r="Y1106" s="141" t="s">
        <v>1461</v>
      </c>
    </row>
    <row r="1107" spans="1:25">
      <c r="A1107" s="143">
        <v>1062</v>
      </c>
      <c r="B1107" s="1">
        <f t="shared" si="315"/>
        <v>0</v>
      </c>
      <c r="C1107" s="1">
        <f t="shared" si="316"/>
        <v>0</v>
      </c>
      <c r="D1107" s="1">
        <f t="shared" si="317"/>
        <v>0</v>
      </c>
      <c r="E1107" s="1">
        <f t="shared" si="318"/>
        <v>0</v>
      </c>
      <c r="F1107" s="1">
        <f t="shared" si="319"/>
        <v>0</v>
      </c>
      <c r="G1107" s="1" t="str">
        <f t="shared" si="320"/>
        <v>25050504</v>
      </c>
      <c r="H1107" s="2">
        <v>45782</v>
      </c>
      <c r="I1107" s="113">
        <v>4</v>
      </c>
      <c r="J1107" s="1" t="str">
        <f t="shared" si="321"/>
        <v>04</v>
      </c>
      <c r="K1107" s="3">
        <f t="shared" si="322"/>
        <v>25</v>
      </c>
      <c r="L1107" s="3">
        <f t="shared" si="323"/>
        <v>5</v>
      </c>
      <c r="M1107" s="3">
        <f t="shared" si="324"/>
        <v>5</v>
      </c>
      <c r="N1107" s="3" t="str">
        <f t="shared" si="325"/>
        <v>05</v>
      </c>
      <c r="O1107" s="14" t="str">
        <f t="shared" si="326"/>
        <v>05</v>
      </c>
      <c r="P1107" s="4">
        <v>756622.15</v>
      </c>
      <c r="T1107" s="5" t="s">
        <v>1460</v>
      </c>
      <c r="U1107" s="3" t="s">
        <v>1342</v>
      </c>
      <c r="V1107" s="3" t="s">
        <v>5</v>
      </c>
      <c r="W1107" s="3" t="s">
        <v>1306</v>
      </c>
      <c r="Y1107" s="141" t="s">
        <v>1459</v>
      </c>
    </row>
    <row r="1108" spans="1:25" hidden="1">
      <c r="A1108" s="143"/>
      <c r="J1108" s="1" t="str">
        <f t="shared" si="321"/>
        <v>0</v>
      </c>
      <c r="K1108" s="3">
        <f t="shared" si="322"/>
        <v>-100</v>
      </c>
      <c r="L1108" s="3">
        <f t="shared" si="323"/>
        <v>1</v>
      </c>
      <c r="M1108" s="3">
        <f t="shared" si="324"/>
        <v>0</v>
      </c>
      <c r="N1108" s="3" t="str">
        <f t="shared" si="325"/>
        <v>01</v>
      </c>
      <c r="O1108" s="14" t="str">
        <f t="shared" si="326"/>
        <v>00</v>
      </c>
    </row>
    <row r="1109" spans="1:25" hidden="1">
      <c r="A1109" s="143"/>
      <c r="J1109" s="1" t="str">
        <f t="shared" si="321"/>
        <v>0</v>
      </c>
      <c r="K1109" s="3">
        <f t="shared" si="322"/>
        <v>-100</v>
      </c>
      <c r="L1109" s="3">
        <f t="shared" si="323"/>
        <v>1</v>
      </c>
      <c r="M1109" s="3">
        <f t="shared" si="324"/>
        <v>0</v>
      </c>
      <c r="N1109" s="3" t="str">
        <f t="shared" si="325"/>
        <v>01</v>
      </c>
      <c r="O1109" s="14" t="str">
        <f t="shared" si="326"/>
        <v>00</v>
      </c>
    </row>
    <row r="1110" spans="1:25" hidden="1">
      <c r="A1110" s="143">
        <v>1069</v>
      </c>
      <c r="B1110" s="1">
        <f t="shared" ref="B1110:B1116" si="327">IF(G1110="-",0,IF(G1109=G1110,1,0))</f>
        <v>0</v>
      </c>
      <c r="C1110" s="1">
        <f t="shared" ref="C1110:C1116" si="328">+IF(G1110="-",0,IF(I1110=I1109+1,0,(IF(I1110=1,0,1))))</f>
        <v>1</v>
      </c>
      <c r="D1110" s="1">
        <f t="shared" ref="D1110:D1116" si="329">+IF(AND(P1110="",Q1110=""),1,0)</f>
        <v>0</v>
      </c>
      <c r="E1110" s="1">
        <f t="shared" ref="E1110:F1116" si="330">IF(U1110="",1,0)</f>
        <v>0</v>
      </c>
      <c r="F1110" s="1">
        <f t="shared" si="330"/>
        <v>0</v>
      </c>
      <c r="G1110" s="1" t="str">
        <f t="shared" ref="G1110:G1116" si="331">IF(H1110=0,"-",_xlfn.CONCAT(K1110,N1110,O1110,J1110))</f>
        <v>25050602</v>
      </c>
      <c r="H1110" s="2">
        <v>45783</v>
      </c>
      <c r="I1110" s="113">
        <v>2</v>
      </c>
      <c r="J1110" s="1" t="str">
        <f t="shared" si="321"/>
        <v>02</v>
      </c>
      <c r="K1110" s="3">
        <f t="shared" si="322"/>
        <v>25</v>
      </c>
      <c r="L1110" s="3">
        <f t="shared" si="323"/>
        <v>5</v>
      </c>
      <c r="M1110" s="3">
        <f t="shared" si="324"/>
        <v>6</v>
      </c>
      <c r="N1110" s="3" t="str">
        <f t="shared" si="325"/>
        <v>05</v>
      </c>
      <c r="O1110" s="14" t="str">
        <f t="shared" si="326"/>
        <v>06</v>
      </c>
      <c r="P1110" s="4">
        <v>16590.89</v>
      </c>
      <c r="T1110" s="5" t="s">
        <v>1458</v>
      </c>
      <c r="U1110" s="3" t="s">
        <v>29</v>
      </c>
      <c r="V1110" s="3" t="s">
        <v>5</v>
      </c>
      <c r="W1110" s="3" t="s">
        <v>1307</v>
      </c>
      <c r="X1110" s="1" t="s">
        <v>1305</v>
      </c>
    </row>
    <row r="1111" spans="1:25" hidden="1">
      <c r="A1111" s="143">
        <v>1070</v>
      </c>
      <c r="B1111" s="1">
        <f t="shared" si="327"/>
        <v>0</v>
      </c>
      <c r="C1111" s="1">
        <f t="shared" si="328"/>
        <v>0</v>
      </c>
      <c r="D1111" s="1">
        <f t="shared" si="329"/>
        <v>0</v>
      </c>
      <c r="E1111" s="1">
        <f t="shared" si="330"/>
        <v>0</v>
      </c>
      <c r="F1111" s="1">
        <f t="shared" si="330"/>
        <v>0</v>
      </c>
      <c r="G1111" s="1" t="str">
        <f t="shared" si="331"/>
        <v>25050603</v>
      </c>
      <c r="H1111" s="2">
        <v>45783</v>
      </c>
      <c r="I1111" s="113">
        <v>3</v>
      </c>
      <c r="J1111" s="1" t="str">
        <f t="shared" si="321"/>
        <v>03</v>
      </c>
      <c r="K1111" s="3">
        <f t="shared" si="322"/>
        <v>25</v>
      </c>
      <c r="L1111" s="3">
        <f t="shared" si="323"/>
        <v>5</v>
      </c>
      <c r="M1111" s="3">
        <f t="shared" si="324"/>
        <v>6</v>
      </c>
      <c r="N1111" s="3" t="str">
        <f t="shared" si="325"/>
        <v>05</v>
      </c>
      <c r="O1111" s="14" t="str">
        <f t="shared" si="326"/>
        <v>06</v>
      </c>
      <c r="P1111" s="4">
        <v>3907.82</v>
      </c>
      <c r="T1111" s="5" t="s">
        <v>1457</v>
      </c>
      <c r="U1111" s="3" t="s">
        <v>29</v>
      </c>
      <c r="V1111" s="3" t="s">
        <v>5</v>
      </c>
      <c r="W1111" s="3" t="s">
        <v>1303</v>
      </c>
      <c r="X1111" s="1" t="s">
        <v>1305</v>
      </c>
    </row>
    <row r="1112" spans="1:25" hidden="1">
      <c r="A1112" s="143">
        <v>1071</v>
      </c>
      <c r="B1112" s="1">
        <f t="shared" si="327"/>
        <v>0</v>
      </c>
      <c r="C1112" s="1">
        <f t="shared" si="328"/>
        <v>0</v>
      </c>
      <c r="D1112" s="1">
        <f t="shared" si="329"/>
        <v>0</v>
      </c>
      <c r="E1112" s="1">
        <f t="shared" si="330"/>
        <v>0</v>
      </c>
      <c r="F1112" s="1">
        <f t="shared" si="330"/>
        <v>0</v>
      </c>
      <c r="G1112" s="1" t="str">
        <f t="shared" si="331"/>
        <v>25050604</v>
      </c>
      <c r="H1112" s="2">
        <v>45783</v>
      </c>
      <c r="I1112" s="113">
        <v>4</v>
      </c>
      <c r="J1112" s="1" t="str">
        <f t="shared" si="321"/>
        <v>04</v>
      </c>
      <c r="K1112" s="3">
        <f t="shared" si="322"/>
        <v>25</v>
      </c>
      <c r="L1112" s="3">
        <f t="shared" si="323"/>
        <v>5</v>
      </c>
      <c r="M1112" s="3">
        <f t="shared" si="324"/>
        <v>6</v>
      </c>
      <c r="N1112" s="3" t="str">
        <f t="shared" si="325"/>
        <v>05</v>
      </c>
      <c r="O1112" s="14" t="str">
        <f t="shared" si="326"/>
        <v>06</v>
      </c>
      <c r="P1112" s="4">
        <v>50867.68</v>
      </c>
      <c r="T1112" s="5" t="s">
        <v>1456</v>
      </c>
      <c r="U1112" s="3" t="s">
        <v>29</v>
      </c>
      <c r="V1112" s="3" t="s">
        <v>5</v>
      </c>
      <c r="W1112" s="3" t="s">
        <v>1307</v>
      </c>
      <c r="X1112" s="1" t="s">
        <v>1305</v>
      </c>
    </row>
    <row r="1113" spans="1:25" hidden="1">
      <c r="A1113" s="143">
        <v>1072</v>
      </c>
      <c r="B1113" s="1">
        <f t="shared" si="327"/>
        <v>0</v>
      </c>
      <c r="C1113" s="1">
        <f t="shared" si="328"/>
        <v>0</v>
      </c>
      <c r="D1113" s="1">
        <f t="shared" si="329"/>
        <v>0</v>
      </c>
      <c r="E1113" s="1">
        <f t="shared" si="330"/>
        <v>0</v>
      </c>
      <c r="F1113" s="1">
        <f t="shared" si="330"/>
        <v>0</v>
      </c>
      <c r="G1113" s="1" t="str">
        <f t="shared" si="331"/>
        <v>25050605</v>
      </c>
      <c r="H1113" s="2">
        <v>45783</v>
      </c>
      <c r="I1113" s="113">
        <v>5</v>
      </c>
      <c r="J1113" s="1" t="str">
        <f t="shared" si="321"/>
        <v>05</v>
      </c>
      <c r="K1113" s="3">
        <f t="shared" si="322"/>
        <v>25</v>
      </c>
      <c r="L1113" s="3">
        <f t="shared" si="323"/>
        <v>5</v>
      </c>
      <c r="M1113" s="3">
        <f t="shared" si="324"/>
        <v>6</v>
      </c>
      <c r="N1113" s="3" t="str">
        <f t="shared" si="325"/>
        <v>05</v>
      </c>
      <c r="O1113" s="14" t="str">
        <f t="shared" si="326"/>
        <v>06</v>
      </c>
      <c r="P1113" s="4">
        <v>-50876.55</v>
      </c>
      <c r="T1113" s="5" t="s">
        <v>1455</v>
      </c>
      <c r="U1113" s="3" t="s">
        <v>29</v>
      </c>
      <c r="V1113" s="3" t="s">
        <v>5</v>
      </c>
      <c r="W1113" s="3" t="s">
        <v>1307</v>
      </c>
      <c r="X1113" s="1" t="s">
        <v>1305</v>
      </c>
    </row>
    <row r="1114" spans="1:25" hidden="1">
      <c r="A1114" s="143">
        <v>1073</v>
      </c>
      <c r="B1114" s="1">
        <f t="shared" si="327"/>
        <v>0</v>
      </c>
      <c r="C1114" s="1">
        <f t="shared" si="328"/>
        <v>0</v>
      </c>
      <c r="D1114" s="1">
        <f t="shared" si="329"/>
        <v>0</v>
      </c>
      <c r="E1114" s="1">
        <f t="shared" si="330"/>
        <v>0</v>
      </c>
      <c r="F1114" s="1">
        <f t="shared" si="330"/>
        <v>0</v>
      </c>
      <c r="G1114" s="1" t="str">
        <f t="shared" si="331"/>
        <v>25050606</v>
      </c>
      <c r="H1114" s="2">
        <v>45783</v>
      </c>
      <c r="I1114" s="113">
        <v>6</v>
      </c>
      <c r="J1114" s="1" t="str">
        <f t="shared" si="321"/>
        <v>06</v>
      </c>
      <c r="K1114" s="3">
        <f t="shared" si="322"/>
        <v>25</v>
      </c>
      <c r="L1114" s="3">
        <f t="shared" si="323"/>
        <v>5</v>
      </c>
      <c r="M1114" s="3">
        <f t="shared" si="324"/>
        <v>6</v>
      </c>
      <c r="N1114" s="3" t="str">
        <f t="shared" si="325"/>
        <v>05</v>
      </c>
      <c r="O1114" s="14" t="str">
        <f t="shared" si="326"/>
        <v>06</v>
      </c>
      <c r="P1114" s="4">
        <v>17000</v>
      </c>
      <c r="T1114" s="5" t="s">
        <v>1454</v>
      </c>
      <c r="U1114" s="3" t="s">
        <v>29</v>
      </c>
      <c r="V1114" s="3" t="s">
        <v>5</v>
      </c>
      <c r="W1114" s="3" t="s">
        <v>1307</v>
      </c>
      <c r="X1114" s="1" t="s">
        <v>1305</v>
      </c>
    </row>
    <row r="1115" spans="1:25">
      <c r="A1115" s="143">
        <v>1074</v>
      </c>
      <c r="B1115" s="1">
        <f t="shared" si="327"/>
        <v>0</v>
      </c>
      <c r="C1115" s="1">
        <f t="shared" si="328"/>
        <v>0</v>
      </c>
      <c r="D1115" s="1">
        <f t="shared" si="329"/>
        <v>0</v>
      </c>
      <c r="E1115" s="1">
        <f t="shared" si="330"/>
        <v>0</v>
      </c>
      <c r="F1115" s="1">
        <f t="shared" si="330"/>
        <v>0</v>
      </c>
      <c r="G1115" s="1" t="str">
        <f t="shared" si="331"/>
        <v>25050607</v>
      </c>
      <c r="H1115" s="2">
        <v>45783</v>
      </c>
      <c r="I1115" s="113">
        <v>7</v>
      </c>
      <c r="J1115" s="1" t="str">
        <f t="shared" si="321"/>
        <v>07</v>
      </c>
      <c r="K1115" s="3">
        <f t="shared" si="322"/>
        <v>25</v>
      </c>
      <c r="L1115" s="3">
        <f t="shared" si="323"/>
        <v>5</v>
      </c>
      <c r="M1115" s="3">
        <f t="shared" si="324"/>
        <v>6</v>
      </c>
      <c r="N1115" s="3" t="str">
        <f t="shared" si="325"/>
        <v>05</v>
      </c>
      <c r="O1115" s="14" t="str">
        <f t="shared" si="326"/>
        <v>06</v>
      </c>
      <c r="Q1115" s="5">
        <v>-169.9</v>
      </c>
      <c r="T1115" s="5" t="s">
        <v>1453</v>
      </c>
      <c r="U1115" s="3" t="s">
        <v>1313</v>
      </c>
      <c r="V1115" s="3" t="s">
        <v>5</v>
      </c>
      <c r="W1115" s="3" t="s">
        <v>1313</v>
      </c>
      <c r="X1115" s="1" t="s">
        <v>1305</v>
      </c>
    </row>
    <row r="1116" spans="1:25" hidden="1">
      <c r="A1116" s="143">
        <v>1075</v>
      </c>
      <c r="B1116" s="1">
        <f t="shared" si="327"/>
        <v>0</v>
      </c>
      <c r="C1116" s="1">
        <f t="shared" si="328"/>
        <v>0</v>
      </c>
      <c r="D1116" s="1">
        <f t="shared" si="329"/>
        <v>0</v>
      </c>
      <c r="E1116" s="1">
        <f t="shared" si="330"/>
        <v>0</v>
      </c>
      <c r="F1116" s="1">
        <f t="shared" si="330"/>
        <v>0</v>
      </c>
      <c r="G1116" s="1" t="str">
        <f t="shared" si="331"/>
        <v>25050608</v>
      </c>
      <c r="H1116" s="2">
        <v>45783</v>
      </c>
      <c r="I1116" s="113">
        <v>8</v>
      </c>
      <c r="J1116" s="1" t="str">
        <f t="shared" si="321"/>
        <v>08</v>
      </c>
      <c r="K1116" s="3">
        <f t="shared" si="322"/>
        <v>25</v>
      </c>
      <c r="L1116" s="3">
        <f t="shared" si="323"/>
        <v>5</v>
      </c>
      <c r="M1116" s="3">
        <f t="shared" si="324"/>
        <v>6</v>
      </c>
      <c r="N1116" s="3" t="str">
        <f t="shared" si="325"/>
        <v>05</v>
      </c>
      <c r="O1116" s="14" t="str">
        <f t="shared" si="326"/>
        <v>06</v>
      </c>
      <c r="P1116" s="4">
        <v>17170</v>
      </c>
      <c r="T1116" s="5" t="s">
        <v>1452</v>
      </c>
      <c r="U1116" s="3" t="s">
        <v>1310</v>
      </c>
      <c r="V1116" s="3" t="s">
        <v>1304</v>
      </c>
      <c r="W1116" s="3" t="s">
        <v>1309</v>
      </c>
      <c r="X1116" s="1" t="s">
        <v>1305</v>
      </c>
      <c r="Y1116" s="141" t="s">
        <v>1451</v>
      </c>
    </row>
    <row r="1117" spans="1:25" hidden="1">
      <c r="A1117" s="143"/>
      <c r="J1117" s="1" t="str">
        <f t="shared" si="321"/>
        <v>0</v>
      </c>
      <c r="K1117" s="3">
        <f t="shared" si="322"/>
        <v>-100</v>
      </c>
      <c r="L1117" s="3">
        <f t="shared" si="323"/>
        <v>1</v>
      </c>
      <c r="M1117" s="3">
        <f t="shared" si="324"/>
        <v>0</v>
      </c>
      <c r="N1117" s="3" t="str">
        <f t="shared" si="325"/>
        <v>01</v>
      </c>
      <c r="O1117" s="14" t="str">
        <f t="shared" si="326"/>
        <v>00</v>
      </c>
    </row>
    <row r="1118" spans="1:25" hidden="1">
      <c r="A1118" s="143"/>
      <c r="J1118" s="1" t="str">
        <f t="shared" si="321"/>
        <v>0</v>
      </c>
      <c r="K1118" s="3">
        <f t="shared" si="322"/>
        <v>-100</v>
      </c>
      <c r="L1118" s="3">
        <f t="shared" si="323"/>
        <v>1</v>
      </c>
      <c r="M1118" s="3">
        <f t="shared" si="324"/>
        <v>0</v>
      </c>
      <c r="N1118" s="3" t="str">
        <f t="shared" si="325"/>
        <v>01</v>
      </c>
      <c r="O1118" s="14" t="str">
        <f t="shared" si="326"/>
        <v>00</v>
      </c>
    </row>
    <row r="1119" spans="1:25" hidden="1">
      <c r="A1119" s="143"/>
      <c r="J1119" s="1" t="str">
        <f t="shared" si="321"/>
        <v>0</v>
      </c>
      <c r="K1119" s="3">
        <f t="shared" si="322"/>
        <v>-100</v>
      </c>
      <c r="L1119" s="3">
        <f t="shared" si="323"/>
        <v>1</v>
      </c>
      <c r="M1119" s="3">
        <f t="shared" si="324"/>
        <v>0</v>
      </c>
      <c r="N1119" s="3" t="str">
        <f t="shared" si="325"/>
        <v>01</v>
      </c>
      <c r="O1119" s="14" t="str">
        <f t="shared" si="326"/>
        <v>00</v>
      </c>
    </row>
    <row r="1120" spans="1:25">
      <c r="A1120" s="143">
        <v>1077</v>
      </c>
      <c r="B1120" s="1">
        <f t="shared" ref="B1120:B1132" si="332">IF(G1120="-",0,IF(G1119=G1120,1,0))</f>
        <v>0</v>
      </c>
      <c r="C1120" s="1">
        <f t="shared" ref="C1120:C1132" si="333">+IF(G1120="-",0,IF(I1120=I1119+1,0,(IF(I1120=1,0,1))))</f>
        <v>1</v>
      </c>
      <c r="D1120" s="1">
        <f t="shared" ref="D1120:D1132" si="334">+IF(AND(P1120="",Q1120=""),1,0)</f>
        <v>0</v>
      </c>
      <c r="E1120" s="1">
        <f t="shared" ref="E1120:E1132" si="335">IF(U1120="",1,0)</f>
        <v>1</v>
      </c>
      <c r="F1120" s="1">
        <f t="shared" ref="F1120:F1132" si="336">IF(V1120="",1,0)</f>
        <v>0</v>
      </c>
      <c r="G1120" s="1" t="str">
        <f t="shared" ref="G1120:G1132" si="337">IF(H1120=0,"-",_xlfn.CONCAT(K1120,N1120,O1120,J1120))</f>
        <v>25050703</v>
      </c>
      <c r="H1120" s="2">
        <v>45784</v>
      </c>
      <c r="I1120" s="113">
        <v>3</v>
      </c>
      <c r="J1120" s="1" t="str">
        <f t="shared" si="321"/>
        <v>03</v>
      </c>
      <c r="K1120" s="3">
        <f t="shared" si="322"/>
        <v>25</v>
      </c>
      <c r="L1120" s="3">
        <f t="shared" si="323"/>
        <v>5</v>
      </c>
      <c r="M1120" s="3">
        <f t="shared" si="324"/>
        <v>7</v>
      </c>
      <c r="N1120" s="3" t="str">
        <f t="shared" si="325"/>
        <v>05</v>
      </c>
      <c r="O1120" s="14" t="str">
        <f t="shared" si="326"/>
        <v>07</v>
      </c>
      <c r="P1120" s="4">
        <v>975.89</v>
      </c>
      <c r="T1120" s="5" t="s">
        <v>1450</v>
      </c>
      <c r="V1120" s="3" t="s">
        <v>5</v>
      </c>
      <c r="W1120" s="3" t="s">
        <v>1306</v>
      </c>
      <c r="X1120" s="1" t="s">
        <v>1305</v>
      </c>
    </row>
    <row r="1121" spans="1:25">
      <c r="A1121" s="143">
        <v>1078</v>
      </c>
      <c r="B1121" s="1">
        <f t="shared" si="332"/>
        <v>0</v>
      </c>
      <c r="C1121" s="1">
        <f t="shared" si="333"/>
        <v>0</v>
      </c>
      <c r="D1121" s="1">
        <f t="shared" si="334"/>
        <v>0</v>
      </c>
      <c r="E1121" s="1">
        <f t="shared" si="335"/>
        <v>1</v>
      </c>
      <c r="F1121" s="1">
        <f t="shared" si="336"/>
        <v>0</v>
      </c>
      <c r="G1121" s="1" t="str">
        <f t="shared" si="337"/>
        <v>25050704</v>
      </c>
      <c r="H1121" s="2">
        <v>45784</v>
      </c>
      <c r="I1121" s="113">
        <v>4</v>
      </c>
      <c r="J1121" s="1" t="str">
        <f t="shared" si="321"/>
        <v>04</v>
      </c>
      <c r="K1121" s="3">
        <f t="shared" si="322"/>
        <v>25</v>
      </c>
      <c r="L1121" s="3">
        <f t="shared" si="323"/>
        <v>5</v>
      </c>
      <c r="M1121" s="3">
        <f t="shared" si="324"/>
        <v>7</v>
      </c>
      <c r="N1121" s="3" t="str">
        <f t="shared" si="325"/>
        <v>05</v>
      </c>
      <c r="O1121" s="14" t="str">
        <f t="shared" si="326"/>
        <v>07</v>
      </c>
      <c r="P1121" s="4">
        <v>90917.4</v>
      </c>
      <c r="T1121" s="5" t="s">
        <v>1449</v>
      </c>
      <c r="V1121" s="3" t="s">
        <v>5</v>
      </c>
      <c r="W1121" s="3" t="s">
        <v>1306</v>
      </c>
      <c r="X1121" s="1" t="s">
        <v>1305</v>
      </c>
    </row>
    <row r="1122" spans="1:25" hidden="1">
      <c r="A1122" s="143">
        <v>1079</v>
      </c>
      <c r="B1122" s="1">
        <f t="shared" si="332"/>
        <v>0</v>
      </c>
      <c r="C1122" s="1">
        <f t="shared" si="333"/>
        <v>0</v>
      </c>
      <c r="D1122" s="1">
        <f t="shared" si="334"/>
        <v>0</v>
      </c>
      <c r="E1122" s="1">
        <f t="shared" si="335"/>
        <v>0</v>
      </c>
      <c r="F1122" s="1">
        <f t="shared" si="336"/>
        <v>0</v>
      </c>
      <c r="G1122" s="1" t="str">
        <f t="shared" si="337"/>
        <v>25050705</v>
      </c>
      <c r="H1122" s="2">
        <v>45784</v>
      </c>
      <c r="I1122" s="113">
        <v>5</v>
      </c>
      <c r="J1122" s="1" t="str">
        <f t="shared" si="321"/>
        <v>05</v>
      </c>
      <c r="K1122" s="3">
        <f t="shared" si="322"/>
        <v>25</v>
      </c>
      <c r="L1122" s="3">
        <f t="shared" si="323"/>
        <v>5</v>
      </c>
      <c r="M1122" s="3">
        <f t="shared" si="324"/>
        <v>7</v>
      </c>
      <c r="N1122" s="3" t="str">
        <f t="shared" si="325"/>
        <v>05</v>
      </c>
      <c r="O1122" s="14" t="str">
        <f t="shared" si="326"/>
        <v>07</v>
      </c>
      <c r="P1122" s="4">
        <v>124165.88</v>
      </c>
      <c r="T1122" s="5" t="s">
        <v>352</v>
      </c>
      <c r="U1122" s="3" t="s">
        <v>30</v>
      </c>
      <c r="V1122" s="3" t="s">
        <v>1312</v>
      </c>
      <c r="W1122" s="3" t="s">
        <v>1307</v>
      </c>
      <c r="X1122" s="1" t="s">
        <v>1305</v>
      </c>
      <c r="Y1122" s="1"/>
    </row>
    <row r="1123" spans="1:25" hidden="1">
      <c r="A1123" s="143">
        <v>1080</v>
      </c>
      <c r="B1123" s="1">
        <f t="shared" si="332"/>
        <v>0</v>
      </c>
      <c r="C1123" s="1">
        <f t="shared" si="333"/>
        <v>0</v>
      </c>
      <c r="D1123" s="1">
        <f t="shared" si="334"/>
        <v>0</v>
      </c>
      <c r="E1123" s="1">
        <f t="shared" si="335"/>
        <v>0</v>
      </c>
      <c r="F1123" s="1">
        <f t="shared" si="336"/>
        <v>0</v>
      </c>
      <c r="G1123" s="1" t="str">
        <f t="shared" si="337"/>
        <v>25050706</v>
      </c>
      <c r="H1123" s="2">
        <v>45784</v>
      </c>
      <c r="I1123" s="113">
        <v>6</v>
      </c>
      <c r="J1123" s="1" t="str">
        <f t="shared" si="321"/>
        <v>06</v>
      </c>
      <c r="K1123" s="3">
        <f t="shared" si="322"/>
        <v>25</v>
      </c>
      <c r="L1123" s="3">
        <f t="shared" si="323"/>
        <v>5</v>
      </c>
      <c r="M1123" s="3">
        <f t="shared" si="324"/>
        <v>7</v>
      </c>
      <c r="N1123" s="3" t="str">
        <f t="shared" si="325"/>
        <v>05</v>
      </c>
      <c r="O1123" s="14" t="str">
        <f t="shared" si="326"/>
        <v>07</v>
      </c>
      <c r="P1123" s="4">
        <v>121165.75</v>
      </c>
      <c r="T1123" s="5" t="s">
        <v>1448</v>
      </c>
      <c r="U1123" s="3" t="s">
        <v>1310</v>
      </c>
      <c r="V1123" s="3" t="s">
        <v>1316</v>
      </c>
      <c r="W1123" s="3" t="s">
        <v>1309</v>
      </c>
      <c r="X1123" s="1" t="s">
        <v>1305</v>
      </c>
    </row>
    <row r="1124" spans="1:25" hidden="1">
      <c r="A1124" s="143">
        <v>1278</v>
      </c>
      <c r="B1124" s="1">
        <f t="shared" si="332"/>
        <v>0</v>
      </c>
      <c r="C1124" s="1">
        <f t="shared" si="333"/>
        <v>0</v>
      </c>
      <c r="D1124" s="1">
        <f t="shared" si="334"/>
        <v>0</v>
      </c>
      <c r="E1124" s="1">
        <f t="shared" si="335"/>
        <v>0</v>
      </c>
      <c r="F1124" s="1">
        <f t="shared" si="336"/>
        <v>0</v>
      </c>
      <c r="G1124" s="1" t="str">
        <f t="shared" si="337"/>
        <v>25050707</v>
      </c>
      <c r="H1124" s="2">
        <v>45784</v>
      </c>
      <c r="I1124" s="113">
        <v>7</v>
      </c>
      <c r="J1124" s="1" t="str">
        <f t="shared" si="321"/>
        <v>07</v>
      </c>
      <c r="K1124" s="3">
        <f t="shared" si="322"/>
        <v>25</v>
      </c>
      <c r="L1124" s="3">
        <f t="shared" si="323"/>
        <v>5</v>
      </c>
      <c r="M1124" s="3">
        <f t="shared" si="324"/>
        <v>7</v>
      </c>
      <c r="N1124" s="3" t="str">
        <f t="shared" si="325"/>
        <v>05</v>
      </c>
      <c r="O1124" s="14" t="str">
        <f t="shared" si="326"/>
        <v>07</v>
      </c>
      <c r="P1124" s="4">
        <v>102300</v>
      </c>
      <c r="T1124" s="5" t="s">
        <v>1447</v>
      </c>
      <c r="U1124" s="3" t="s">
        <v>29</v>
      </c>
      <c r="V1124" s="3" t="s">
        <v>5</v>
      </c>
      <c r="W1124" s="3" t="s">
        <v>1303</v>
      </c>
      <c r="X1124" s="1" t="s">
        <v>1302</v>
      </c>
    </row>
    <row r="1125" spans="1:25" hidden="1">
      <c r="A1125" s="143">
        <v>1067</v>
      </c>
      <c r="B1125" s="1">
        <f t="shared" si="332"/>
        <v>0</v>
      </c>
      <c r="C1125" s="1">
        <f t="shared" si="333"/>
        <v>0</v>
      </c>
      <c r="D1125" s="1">
        <f t="shared" si="334"/>
        <v>0</v>
      </c>
      <c r="E1125" s="1">
        <f t="shared" si="335"/>
        <v>0</v>
      </c>
      <c r="F1125" s="1">
        <f t="shared" si="336"/>
        <v>0</v>
      </c>
      <c r="G1125" s="1" t="str">
        <f t="shared" si="337"/>
        <v>25050801</v>
      </c>
      <c r="H1125" s="2">
        <v>45785</v>
      </c>
      <c r="I1125" s="113">
        <v>1</v>
      </c>
      <c r="J1125" s="1" t="str">
        <f t="shared" si="321"/>
        <v>01</v>
      </c>
      <c r="K1125" s="3">
        <f t="shared" si="322"/>
        <v>25</v>
      </c>
      <c r="L1125" s="3">
        <f t="shared" si="323"/>
        <v>5</v>
      </c>
      <c r="M1125" s="3">
        <f t="shared" si="324"/>
        <v>8</v>
      </c>
      <c r="N1125" s="3" t="str">
        <f t="shared" si="325"/>
        <v>05</v>
      </c>
      <c r="O1125" s="14" t="str">
        <f t="shared" si="326"/>
        <v>08</v>
      </c>
      <c r="Q1125" s="5">
        <v>226</v>
      </c>
      <c r="T1125" s="5" t="s">
        <v>1446</v>
      </c>
      <c r="U1125" s="3" t="s">
        <v>1445</v>
      </c>
      <c r="V1125" s="3" t="s">
        <v>1304</v>
      </c>
      <c r="W1125" s="3" t="s">
        <v>1306</v>
      </c>
    </row>
    <row r="1126" spans="1:25" hidden="1">
      <c r="A1126" s="143">
        <v>1081</v>
      </c>
      <c r="B1126" s="1">
        <f t="shared" si="332"/>
        <v>0</v>
      </c>
      <c r="C1126" s="1">
        <f t="shared" si="333"/>
        <v>0</v>
      </c>
      <c r="D1126" s="1">
        <f t="shared" si="334"/>
        <v>0</v>
      </c>
      <c r="E1126" s="1">
        <f t="shared" si="335"/>
        <v>0</v>
      </c>
      <c r="F1126" s="1">
        <f t="shared" si="336"/>
        <v>0</v>
      </c>
      <c r="G1126" s="1" t="str">
        <f t="shared" si="337"/>
        <v>25050802</v>
      </c>
      <c r="H1126" s="2">
        <v>45785</v>
      </c>
      <c r="I1126" s="113">
        <v>2</v>
      </c>
      <c r="J1126" s="1" t="str">
        <f t="shared" si="321"/>
        <v>02</v>
      </c>
      <c r="K1126" s="3">
        <f t="shared" si="322"/>
        <v>25</v>
      </c>
      <c r="L1126" s="3">
        <f t="shared" si="323"/>
        <v>5</v>
      </c>
      <c r="M1126" s="3">
        <f t="shared" si="324"/>
        <v>8</v>
      </c>
      <c r="N1126" s="3" t="str">
        <f t="shared" si="325"/>
        <v>05</v>
      </c>
      <c r="O1126" s="14" t="str">
        <f t="shared" si="326"/>
        <v>08</v>
      </c>
      <c r="P1126" s="4">
        <v>8908.02</v>
      </c>
      <c r="T1126" s="5" t="s">
        <v>1444</v>
      </c>
      <c r="U1126" s="3" t="s">
        <v>29</v>
      </c>
      <c r="V1126" s="3" t="s">
        <v>5</v>
      </c>
      <c r="W1126" s="3" t="s">
        <v>1307</v>
      </c>
      <c r="X1126" s="1" t="s">
        <v>1305</v>
      </c>
    </row>
    <row r="1127" spans="1:25" hidden="1">
      <c r="A1127" s="143">
        <v>1082</v>
      </c>
      <c r="B1127" s="1">
        <f t="shared" si="332"/>
        <v>0</v>
      </c>
      <c r="C1127" s="1">
        <f t="shared" si="333"/>
        <v>0</v>
      </c>
      <c r="D1127" s="1">
        <f t="shared" si="334"/>
        <v>0</v>
      </c>
      <c r="E1127" s="1">
        <f t="shared" si="335"/>
        <v>0</v>
      </c>
      <c r="F1127" s="1">
        <f t="shared" si="336"/>
        <v>0</v>
      </c>
      <c r="G1127" s="1" t="str">
        <f t="shared" si="337"/>
        <v>25050803</v>
      </c>
      <c r="H1127" s="2">
        <v>45785</v>
      </c>
      <c r="I1127" s="113">
        <v>3</v>
      </c>
      <c r="J1127" s="1" t="str">
        <f t="shared" si="321"/>
        <v>03</v>
      </c>
      <c r="K1127" s="3">
        <f t="shared" si="322"/>
        <v>25</v>
      </c>
      <c r="L1127" s="3">
        <f t="shared" si="323"/>
        <v>5</v>
      </c>
      <c r="M1127" s="3">
        <f t="shared" si="324"/>
        <v>8</v>
      </c>
      <c r="N1127" s="3" t="str">
        <f t="shared" si="325"/>
        <v>05</v>
      </c>
      <c r="O1127" s="14" t="str">
        <f t="shared" si="326"/>
        <v>08</v>
      </c>
      <c r="P1127" s="4">
        <v>-8295.44</v>
      </c>
      <c r="T1127" s="5" t="s">
        <v>1443</v>
      </c>
      <c r="U1127" s="3" t="s">
        <v>29</v>
      </c>
      <c r="V1127" s="3" t="s">
        <v>5</v>
      </c>
      <c r="W1127" s="3" t="s">
        <v>1307</v>
      </c>
      <c r="X1127" s="1" t="s">
        <v>1305</v>
      </c>
    </row>
    <row r="1128" spans="1:25" hidden="1">
      <c r="A1128" s="143">
        <v>1083</v>
      </c>
      <c r="B1128" s="1">
        <f t="shared" si="332"/>
        <v>0</v>
      </c>
      <c r="C1128" s="1">
        <f t="shared" si="333"/>
        <v>0</v>
      </c>
      <c r="D1128" s="1">
        <f t="shared" si="334"/>
        <v>0</v>
      </c>
      <c r="E1128" s="1">
        <f t="shared" si="335"/>
        <v>0</v>
      </c>
      <c r="F1128" s="1">
        <f t="shared" si="336"/>
        <v>0</v>
      </c>
      <c r="G1128" s="1" t="str">
        <f t="shared" si="337"/>
        <v>25050804</v>
      </c>
      <c r="H1128" s="2">
        <v>45785</v>
      </c>
      <c r="I1128" s="113">
        <v>4</v>
      </c>
      <c r="J1128" s="1" t="str">
        <f t="shared" si="321"/>
        <v>04</v>
      </c>
      <c r="K1128" s="3">
        <f t="shared" si="322"/>
        <v>25</v>
      </c>
      <c r="L1128" s="3">
        <f t="shared" si="323"/>
        <v>5</v>
      </c>
      <c r="M1128" s="3">
        <f t="shared" si="324"/>
        <v>8</v>
      </c>
      <c r="N1128" s="3" t="str">
        <f t="shared" si="325"/>
        <v>05</v>
      </c>
      <c r="O1128" s="14" t="str">
        <f t="shared" si="326"/>
        <v>08</v>
      </c>
      <c r="P1128" s="4">
        <v>17000</v>
      </c>
      <c r="T1128" s="5" t="s">
        <v>1411</v>
      </c>
      <c r="U1128" s="3" t="s">
        <v>29</v>
      </c>
      <c r="V1128" s="3" t="s">
        <v>5</v>
      </c>
      <c r="W1128" s="3" t="s">
        <v>1307</v>
      </c>
      <c r="X1128" s="1" t="s">
        <v>1305</v>
      </c>
    </row>
    <row r="1129" spans="1:25" hidden="1">
      <c r="A1129" s="143">
        <v>1084</v>
      </c>
      <c r="B1129" s="1">
        <f t="shared" si="332"/>
        <v>0</v>
      </c>
      <c r="C1129" s="1">
        <f t="shared" si="333"/>
        <v>0</v>
      </c>
      <c r="D1129" s="1">
        <f t="shared" si="334"/>
        <v>0</v>
      </c>
      <c r="E1129" s="1">
        <f t="shared" si="335"/>
        <v>0</v>
      </c>
      <c r="F1129" s="1">
        <f t="shared" si="336"/>
        <v>0</v>
      </c>
      <c r="G1129" s="1" t="str">
        <f t="shared" si="337"/>
        <v>25050805</v>
      </c>
      <c r="H1129" s="2">
        <v>45785</v>
      </c>
      <c r="I1129" s="113">
        <v>5</v>
      </c>
      <c r="J1129" s="1" t="str">
        <f t="shared" si="321"/>
        <v>05</v>
      </c>
      <c r="K1129" s="3">
        <f t="shared" si="322"/>
        <v>25</v>
      </c>
      <c r="L1129" s="3">
        <f t="shared" si="323"/>
        <v>5</v>
      </c>
      <c r="M1129" s="3">
        <f t="shared" si="324"/>
        <v>8</v>
      </c>
      <c r="N1129" s="3" t="str">
        <f t="shared" si="325"/>
        <v>05</v>
      </c>
      <c r="O1129" s="14" t="str">
        <f t="shared" si="326"/>
        <v>08</v>
      </c>
      <c r="P1129" s="4">
        <v>65396.9</v>
      </c>
      <c r="T1129" s="5" t="s">
        <v>1442</v>
      </c>
      <c r="U1129" s="3" t="s">
        <v>29</v>
      </c>
      <c r="V1129" s="3" t="s">
        <v>5</v>
      </c>
      <c r="W1129" s="3" t="s">
        <v>1307</v>
      </c>
      <c r="X1129" s="1" t="s">
        <v>1305</v>
      </c>
    </row>
    <row r="1130" spans="1:25" hidden="1">
      <c r="A1130" s="143">
        <v>1085</v>
      </c>
      <c r="B1130" s="1">
        <f t="shared" si="332"/>
        <v>0</v>
      </c>
      <c r="C1130" s="1">
        <f t="shared" si="333"/>
        <v>0</v>
      </c>
      <c r="D1130" s="1">
        <f t="shared" si="334"/>
        <v>0</v>
      </c>
      <c r="E1130" s="1">
        <f t="shared" si="335"/>
        <v>0</v>
      </c>
      <c r="F1130" s="1">
        <f t="shared" si="336"/>
        <v>0</v>
      </c>
      <c r="G1130" s="1" t="str">
        <f t="shared" si="337"/>
        <v>25050806</v>
      </c>
      <c r="H1130" s="2">
        <v>45785</v>
      </c>
      <c r="I1130" s="113">
        <v>6</v>
      </c>
      <c r="J1130" s="1" t="str">
        <f t="shared" si="321"/>
        <v>06</v>
      </c>
      <c r="K1130" s="3">
        <f t="shared" si="322"/>
        <v>25</v>
      </c>
      <c r="L1130" s="3">
        <f t="shared" si="323"/>
        <v>5</v>
      </c>
      <c r="M1130" s="3">
        <f t="shared" si="324"/>
        <v>8</v>
      </c>
      <c r="N1130" s="3" t="str">
        <f t="shared" si="325"/>
        <v>05</v>
      </c>
      <c r="O1130" s="14" t="str">
        <f t="shared" si="326"/>
        <v>08</v>
      </c>
      <c r="P1130" s="4">
        <v>3800</v>
      </c>
      <c r="T1130" s="5" t="s">
        <v>1404</v>
      </c>
      <c r="U1130" s="3" t="s">
        <v>30</v>
      </c>
      <c r="V1130" s="3" t="s">
        <v>1312</v>
      </c>
      <c r="W1130" s="3" t="s">
        <v>1307</v>
      </c>
      <c r="X1130" s="1" t="s">
        <v>1305</v>
      </c>
    </row>
    <row r="1131" spans="1:25" hidden="1">
      <c r="A1131" s="143">
        <v>1086</v>
      </c>
      <c r="B1131" s="1">
        <f t="shared" si="332"/>
        <v>0</v>
      </c>
      <c r="C1131" s="1">
        <f t="shared" si="333"/>
        <v>0</v>
      </c>
      <c r="D1131" s="1">
        <f t="shared" si="334"/>
        <v>0</v>
      </c>
      <c r="E1131" s="1">
        <f t="shared" si="335"/>
        <v>0</v>
      </c>
      <c r="F1131" s="1">
        <f t="shared" si="336"/>
        <v>0</v>
      </c>
      <c r="G1131" s="1" t="str">
        <f t="shared" si="337"/>
        <v>25050807</v>
      </c>
      <c r="H1131" s="2">
        <v>45785</v>
      </c>
      <c r="I1131" s="113">
        <v>7</v>
      </c>
      <c r="J1131" s="1" t="str">
        <f t="shared" si="321"/>
        <v>07</v>
      </c>
      <c r="K1131" s="3">
        <f t="shared" si="322"/>
        <v>25</v>
      </c>
      <c r="L1131" s="3">
        <f t="shared" si="323"/>
        <v>5</v>
      </c>
      <c r="M1131" s="3">
        <f t="shared" si="324"/>
        <v>8</v>
      </c>
      <c r="N1131" s="3" t="str">
        <f t="shared" si="325"/>
        <v>05</v>
      </c>
      <c r="O1131" s="14" t="str">
        <f t="shared" si="326"/>
        <v>08</v>
      </c>
      <c r="P1131" s="4">
        <v>24587.7</v>
      </c>
      <c r="T1131" s="5" t="s">
        <v>1441</v>
      </c>
      <c r="U1131" s="3" t="s">
        <v>1045</v>
      </c>
      <c r="V1131" s="3" t="s">
        <v>1304</v>
      </c>
      <c r="W1131" s="3" t="s">
        <v>1309</v>
      </c>
      <c r="X1131" s="1" t="s">
        <v>1305</v>
      </c>
    </row>
    <row r="1132" spans="1:25" hidden="1">
      <c r="A1132" s="143">
        <v>1091</v>
      </c>
      <c r="B1132" s="1">
        <f t="shared" si="332"/>
        <v>0</v>
      </c>
      <c r="C1132" s="1">
        <f t="shared" si="333"/>
        <v>0</v>
      </c>
      <c r="D1132" s="1">
        <f t="shared" si="334"/>
        <v>0</v>
      </c>
      <c r="E1132" s="1">
        <f t="shared" si="335"/>
        <v>0</v>
      </c>
      <c r="F1132" s="1">
        <f t="shared" si="336"/>
        <v>0</v>
      </c>
      <c r="G1132" s="1" t="str">
        <f t="shared" si="337"/>
        <v>25050808</v>
      </c>
      <c r="H1132" s="2">
        <v>45785</v>
      </c>
      <c r="I1132" s="113">
        <v>8</v>
      </c>
      <c r="J1132" s="1" t="str">
        <f t="shared" si="321"/>
        <v>08</v>
      </c>
      <c r="K1132" s="3">
        <f t="shared" si="322"/>
        <v>25</v>
      </c>
      <c r="L1132" s="3">
        <f t="shared" si="323"/>
        <v>5</v>
      </c>
      <c r="M1132" s="3">
        <f t="shared" si="324"/>
        <v>8</v>
      </c>
      <c r="N1132" s="3" t="str">
        <f t="shared" si="325"/>
        <v>05</v>
      </c>
      <c r="O1132" s="14" t="str">
        <f t="shared" si="326"/>
        <v>08</v>
      </c>
      <c r="P1132" s="4">
        <v>8800</v>
      </c>
      <c r="T1132" s="5" t="s">
        <v>1440</v>
      </c>
      <c r="U1132" s="3" t="s">
        <v>1310</v>
      </c>
      <c r="V1132" s="3" t="s">
        <v>1304</v>
      </c>
      <c r="W1132" s="3" t="s">
        <v>1309</v>
      </c>
      <c r="X1132" s="1" t="s">
        <v>1305</v>
      </c>
    </row>
    <row r="1133" spans="1:25" hidden="1">
      <c r="A1133" s="143"/>
      <c r="J1133" s="1" t="str">
        <f t="shared" si="321"/>
        <v>0</v>
      </c>
      <c r="K1133" s="3">
        <f t="shared" si="322"/>
        <v>-100</v>
      </c>
      <c r="L1133" s="3">
        <f t="shared" si="323"/>
        <v>1</v>
      </c>
      <c r="M1133" s="3">
        <f t="shared" si="324"/>
        <v>0</v>
      </c>
      <c r="N1133" s="3" t="str">
        <f t="shared" si="325"/>
        <v>01</v>
      </c>
      <c r="O1133" s="14" t="str">
        <f t="shared" si="326"/>
        <v>00</v>
      </c>
    </row>
    <row r="1134" spans="1:25" hidden="1">
      <c r="A1134" s="143">
        <v>1087</v>
      </c>
      <c r="B1134" s="1">
        <f t="shared" ref="B1134:B1140" si="338">IF(G1134="-",0,IF(G1133=G1134,1,0))</f>
        <v>0</v>
      </c>
      <c r="C1134" s="1">
        <f t="shared" ref="C1134:C1140" si="339">+IF(G1134="-",0,IF(I1134=I1133+1,0,(IF(I1134=1,0,1))))</f>
        <v>1</v>
      </c>
      <c r="D1134" s="1">
        <f t="shared" ref="D1134:D1140" si="340">+IF(AND(P1134="",Q1134=""),1,0)</f>
        <v>0</v>
      </c>
      <c r="E1134" s="1">
        <f t="shared" ref="E1134:F1140" si="341">IF(U1134="",1,0)</f>
        <v>0</v>
      </c>
      <c r="F1134" s="1">
        <f t="shared" si="341"/>
        <v>0</v>
      </c>
      <c r="G1134" s="1" t="str">
        <f t="shared" ref="G1134:G1140" si="342">IF(H1134=0,"-",_xlfn.CONCAT(K1134,N1134,O1134,J1134))</f>
        <v>25050902</v>
      </c>
      <c r="H1134" s="2">
        <v>45786</v>
      </c>
      <c r="I1134" s="113">
        <v>2</v>
      </c>
      <c r="J1134" s="1" t="str">
        <f t="shared" si="321"/>
        <v>02</v>
      </c>
      <c r="K1134" s="3">
        <f t="shared" si="322"/>
        <v>25</v>
      </c>
      <c r="L1134" s="3">
        <f t="shared" si="323"/>
        <v>5</v>
      </c>
      <c r="M1134" s="3">
        <f t="shared" si="324"/>
        <v>9</v>
      </c>
      <c r="N1134" s="3" t="str">
        <f t="shared" si="325"/>
        <v>05</v>
      </c>
      <c r="O1134" s="14" t="str">
        <f t="shared" si="326"/>
        <v>09</v>
      </c>
      <c r="P1134" s="4">
        <v>29999.996999999999</v>
      </c>
      <c r="T1134" s="5" t="s">
        <v>1439</v>
      </c>
      <c r="U1134" s="3" t="s">
        <v>29</v>
      </c>
      <c r="V1134" s="3" t="s">
        <v>5</v>
      </c>
      <c r="W1134" s="3" t="s">
        <v>1307</v>
      </c>
      <c r="X1134" s="1" t="s">
        <v>1305</v>
      </c>
    </row>
    <row r="1135" spans="1:25" hidden="1">
      <c r="A1135" s="143">
        <v>1088</v>
      </c>
      <c r="B1135" s="1">
        <f t="shared" si="338"/>
        <v>0</v>
      </c>
      <c r="C1135" s="1">
        <f t="shared" si="339"/>
        <v>0</v>
      </c>
      <c r="D1135" s="1">
        <f t="shared" si="340"/>
        <v>0</v>
      </c>
      <c r="E1135" s="1">
        <f t="shared" si="341"/>
        <v>0</v>
      </c>
      <c r="F1135" s="1">
        <f t="shared" si="341"/>
        <v>0</v>
      </c>
      <c r="G1135" s="1" t="str">
        <f t="shared" si="342"/>
        <v>25050903</v>
      </c>
      <c r="H1135" s="2">
        <v>45786</v>
      </c>
      <c r="I1135" s="113">
        <v>3</v>
      </c>
      <c r="J1135" s="1" t="str">
        <f t="shared" si="321"/>
        <v>03</v>
      </c>
      <c r="K1135" s="3">
        <f t="shared" si="322"/>
        <v>25</v>
      </c>
      <c r="L1135" s="3">
        <f t="shared" si="323"/>
        <v>5</v>
      </c>
      <c r="M1135" s="3">
        <f t="shared" si="324"/>
        <v>9</v>
      </c>
      <c r="N1135" s="3" t="str">
        <f t="shared" si="325"/>
        <v>05</v>
      </c>
      <c r="O1135" s="14" t="str">
        <f t="shared" si="326"/>
        <v>09</v>
      </c>
      <c r="P1135" s="4">
        <v>83439.06</v>
      </c>
      <c r="T1135" s="5" t="s">
        <v>1438</v>
      </c>
      <c r="U1135" s="3" t="s">
        <v>29</v>
      </c>
      <c r="V1135" s="3" t="s">
        <v>5</v>
      </c>
      <c r="W1135" s="3" t="s">
        <v>1307</v>
      </c>
      <c r="X1135" s="1" t="s">
        <v>1305</v>
      </c>
      <c r="Y1135" s="141" t="s">
        <v>1437</v>
      </c>
    </row>
    <row r="1136" spans="1:25" hidden="1">
      <c r="A1136" s="143">
        <v>1089</v>
      </c>
      <c r="B1136" s="1">
        <f t="shared" si="338"/>
        <v>0</v>
      </c>
      <c r="C1136" s="1">
        <f t="shared" si="339"/>
        <v>0</v>
      </c>
      <c r="D1136" s="1">
        <f t="shared" si="340"/>
        <v>0</v>
      </c>
      <c r="E1136" s="1">
        <f t="shared" si="341"/>
        <v>0</v>
      </c>
      <c r="F1136" s="1">
        <f t="shared" si="341"/>
        <v>0</v>
      </c>
      <c r="G1136" s="1" t="str">
        <f t="shared" si="342"/>
        <v>25050904</v>
      </c>
      <c r="H1136" s="2">
        <v>45786</v>
      </c>
      <c r="I1136" s="113">
        <v>4</v>
      </c>
      <c r="J1136" s="1" t="str">
        <f t="shared" si="321"/>
        <v>04</v>
      </c>
      <c r="K1136" s="3">
        <f t="shared" si="322"/>
        <v>25</v>
      </c>
      <c r="L1136" s="3">
        <f t="shared" si="323"/>
        <v>5</v>
      </c>
      <c r="M1136" s="3">
        <f t="shared" si="324"/>
        <v>9</v>
      </c>
      <c r="N1136" s="3" t="str">
        <f t="shared" si="325"/>
        <v>05</v>
      </c>
      <c r="O1136" s="14" t="str">
        <f t="shared" si="326"/>
        <v>09</v>
      </c>
      <c r="P1136" s="4">
        <v>10000</v>
      </c>
      <c r="T1136" s="5" t="s">
        <v>1436</v>
      </c>
      <c r="U1136" s="3" t="s">
        <v>29</v>
      </c>
      <c r="V1136" s="3" t="s">
        <v>5</v>
      </c>
      <c r="W1136" s="3" t="s">
        <v>1307</v>
      </c>
      <c r="X1136" s="1" t="s">
        <v>1305</v>
      </c>
    </row>
    <row r="1137" spans="1:24" hidden="1">
      <c r="A1137" s="143">
        <v>1090</v>
      </c>
      <c r="B1137" s="1">
        <f t="shared" si="338"/>
        <v>0</v>
      </c>
      <c r="C1137" s="1">
        <f t="shared" si="339"/>
        <v>0</v>
      </c>
      <c r="D1137" s="1">
        <f t="shared" si="340"/>
        <v>0</v>
      </c>
      <c r="E1137" s="1">
        <f t="shared" si="341"/>
        <v>0</v>
      </c>
      <c r="F1137" s="1">
        <f t="shared" si="341"/>
        <v>0</v>
      </c>
      <c r="G1137" s="1" t="str">
        <f t="shared" si="342"/>
        <v>25050905</v>
      </c>
      <c r="H1137" s="2">
        <v>45786</v>
      </c>
      <c r="I1137" s="113">
        <v>5</v>
      </c>
      <c r="J1137" s="1" t="str">
        <f t="shared" si="321"/>
        <v>05</v>
      </c>
      <c r="K1137" s="3">
        <f t="shared" si="322"/>
        <v>25</v>
      </c>
      <c r="L1137" s="3">
        <f t="shared" si="323"/>
        <v>5</v>
      </c>
      <c r="M1137" s="3">
        <f t="shared" si="324"/>
        <v>9</v>
      </c>
      <c r="N1137" s="3" t="str">
        <f t="shared" si="325"/>
        <v>05</v>
      </c>
      <c r="O1137" s="14" t="str">
        <f t="shared" si="326"/>
        <v>09</v>
      </c>
      <c r="P1137" s="4">
        <v>2980</v>
      </c>
      <c r="T1137" s="5" t="s">
        <v>1435</v>
      </c>
      <c r="U1137" s="3" t="s">
        <v>1045</v>
      </c>
      <c r="V1137" s="3" t="s">
        <v>1304</v>
      </c>
      <c r="W1137" s="3" t="s">
        <v>1309</v>
      </c>
      <c r="X1137" s="1" t="s">
        <v>1305</v>
      </c>
    </row>
    <row r="1138" spans="1:24">
      <c r="A1138" s="143">
        <v>1092</v>
      </c>
      <c r="B1138" s="1">
        <f t="shared" si="338"/>
        <v>0</v>
      </c>
      <c r="C1138" s="1">
        <f t="shared" si="339"/>
        <v>0</v>
      </c>
      <c r="D1138" s="1">
        <f t="shared" si="340"/>
        <v>0</v>
      </c>
      <c r="E1138" s="1">
        <f t="shared" si="341"/>
        <v>1</v>
      </c>
      <c r="F1138" s="1">
        <f t="shared" si="341"/>
        <v>0</v>
      </c>
      <c r="G1138" s="1" t="str">
        <f t="shared" si="342"/>
        <v>25051001</v>
      </c>
      <c r="H1138" s="2">
        <v>45787</v>
      </c>
      <c r="I1138" s="113">
        <v>1</v>
      </c>
      <c r="J1138" s="1" t="str">
        <f t="shared" si="321"/>
        <v>01</v>
      </c>
      <c r="K1138" s="3">
        <f t="shared" si="322"/>
        <v>25</v>
      </c>
      <c r="L1138" s="3">
        <f t="shared" si="323"/>
        <v>5</v>
      </c>
      <c r="M1138" s="3">
        <f t="shared" si="324"/>
        <v>10</v>
      </c>
      <c r="N1138" s="3" t="str">
        <f t="shared" si="325"/>
        <v>05</v>
      </c>
      <c r="O1138" s="14">
        <f t="shared" si="326"/>
        <v>10</v>
      </c>
      <c r="P1138" s="4">
        <v>28406.41</v>
      </c>
      <c r="T1138" s="5" t="s">
        <v>1434</v>
      </c>
      <c r="V1138" s="3" t="s">
        <v>5</v>
      </c>
      <c r="W1138" s="3" t="s">
        <v>1307</v>
      </c>
      <c r="X1138" s="1" t="s">
        <v>1305</v>
      </c>
    </row>
    <row r="1139" spans="1:24" hidden="1">
      <c r="A1139" s="143">
        <v>1093</v>
      </c>
      <c r="B1139" s="1">
        <f t="shared" si="338"/>
        <v>0</v>
      </c>
      <c r="C1139" s="1">
        <f t="shared" si="339"/>
        <v>0</v>
      </c>
      <c r="D1139" s="1">
        <f t="shared" si="340"/>
        <v>0</v>
      </c>
      <c r="E1139" s="1">
        <f t="shared" si="341"/>
        <v>0</v>
      </c>
      <c r="F1139" s="1">
        <f t="shared" si="341"/>
        <v>0</v>
      </c>
      <c r="G1139" s="1" t="str">
        <f t="shared" si="342"/>
        <v>25051002</v>
      </c>
      <c r="H1139" s="2">
        <v>45787</v>
      </c>
      <c r="I1139" s="113">
        <v>2</v>
      </c>
      <c r="J1139" s="1" t="str">
        <f t="shared" si="321"/>
        <v>02</v>
      </c>
      <c r="K1139" s="3">
        <f t="shared" si="322"/>
        <v>25</v>
      </c>
      <c r="L1139" s="3">
        <f t="shared" si="323"/>
        <v>5</v>
      </c>
      <c r="M1139" s="3">
        <f t="shared" si="324"/>
        <v>10</v>
      </c>
      <c r="N1139" s="3" t="str">
        <f t="shared" si="325"/>
        <v>05</v>
      </c>
      <c r="O1139" s="14">
        <f t="shared" si="326"/>
        <v>10</v>
      </c>
      <c r="P1139" s="4">
        <v>36619.53</v>
      </c>
      <c r="T1139" s="5" t="s">
        <v>1433</v>
      </c>
      <c r="U1139" s="3" t="s">
        <v>29</v>
      </c>
      <c r="V1139" s="3" t="s">
        <v>5</v>
      </c>
      <c r="W1139" s="3" t="s">
        <v>1307</v>
      </c>
      <c r="X1139" s="1" t="s">
        <v>1305</v>
      </c>
    </row>
    <row r="1140" spans="1:24" hidden="1">
      <c r="A1140" s="143">
        <v>1094</v>
      </c>
      <c r="B1140" s="1">
        <f t="shared" si="338"/>
        <v>0</v>
      </c>
      <c r="C1140" s="1">
        <f t="shared" si="339"/>
        <v>0</v>
      </c>
      <c r="D1140" s="1">
        <f t="shared" si="340"/>
        <v>0</v>
      </c>
      <c r="E1140" s="1">
        <f t="shared" si="341"/>
        <v>0</v>
      </c>
      <c r="F1140" s="1">
        <f t="shared" si="341"/>
        <v>0</v>
      </c>
      <c r="G1140" s="1" t="str">
        <f t="shared" si="342"/>
        <v>25051003</v>
      </c>
      <c r="H1140" s="2">
        <v>45787</v>
      </c>
      <c r="I1140" s="113">
        <v>3</v>
      </c>
      <c r="J1140" s="1" t="str">
        <f t="shared" si="321"/>
        <v>03</v>
      </c>
      <c r="K1140" s="3">
        <f t="shared" si="322"/>
        <v>25</v>
      </c>
      <c r="L1140" s="3">
        <f t="shared" si="323"/>
        <v>5</v>
      </c>
      <c r="M1140" s="3">
        <f t="shared" si="324"/>
        <v>10</v>
      </c>
      <c r="N1140" s="3" t="str">
        <f t="shared" si="325"/>
        <v>05</v>
      </c>
      <c r="O1140" s="14">
        <f t="shared" si="326"/>
        <v>10</v>
      </c>
      <c r="P1140" s="4">
        <v>12820.25</v>
      </c>
      <c r="T1140" s="5" t="s">
        <v>352</v>
      </c>
      <c r="U1140" s="3" t="s">
        <v>30</v>
      </c>
      <c r="V1140" s="3" t="s">
        <v>1312</v>
      </c>
      <c r="W1140" s="3" t="s">
        <v>1307</v>
      </c>
      <c r="X1140" s="1" t="s">
        <v>1305</v>
      </c>
    </row>
    <row r="1141" spans="1:24" hidden="1">
      <c r="A1141" s="143"/>
      <c r="J1141" s="1" t="str">
        <f t="shared" si="321"/>
        <v>0</v>
      </c>
      <c r="K1141" s="3">
        <f t="shared" si="322"/>
        <v>-100</v>
      </c>
      <c r="L1141" s="3">
        <f t="shared" si="323"/>
        <v>1</v>
      </c>
      <c r="M1141" s="3">
        <f t="shared" si="324"/>
        <v>0</v>
      </c>
      <c r="N1141" s="3" t="str">
        <f t="shared" si="325"/>
        <v>01</v>
      </c>
      <c r="O1141" s="14" t="str">
        <f t="shared" si="326"/>
        <v>00</v>
      </c>
    </row>
    <row r="1142" spans="1:24" hidden="1">
      <c r="A1142" s="143">
        <v>1097</v>
      </c>
      <c r="B1142" s="1">
        <f t="shared" ref="B1142:B1160" si="343">IF(G1142="-",0,IF(G1141=G1142,1,0))</f>
        <v>0</v>
      </c>
      <c r="C1142" s="1">
        <f t="shared" ref="C1142:C1160" si="344">+IF(G1142="-",0,IF(I1142=I1141+1,0,(IF(I1142=1,0,1))))</f>
        <v>1</v>
      </c>
      <c r="D1142" s="1">
        <f t="shared" ref="D1142:D1160" si="345">+IF(AND(P1142="",Q1142=""),1,0)</f>
        <v>0</v>
      </c>
      <c r="E1142" s="1">
        <f t="shared" ref="E1142:E1160" si="346">IF(U1142="",1,0)</f>
        <v>0</v>
      </c>
      <c r="F1142" s="1">
        <f t="shared" ref="F1142:F1160" si="347">IF(V1142="",1,0)</f>
        <v>0</v>
      </c>
      <c r="G1142" s="1" t="str">
        <f t="shared" ref="G1142:G1160" si="348">IF(H1142=0,"-",_xlfn.CONCAT(K1142,N1142,O1142,J1142))</f>
        <v>25051005</v>
      </c>
      <c r="H1142" s="2">
        <v>45787</v>
      </c>
      <c r="I1142" s="113">
        <v>5</v>
      </c>
      <c r="J1142" s="1" t="str">
        <f t="shared" si="321"/>
        <v>05</v>
      </c>
      <c r="K1142" s="3">
        <f t="shared" si="322"/>
        <v>25</v>
      </c>
      <c r="L1142" s="3">
        <f t="shared" si="323"/>
        <v>5</v>
      </c>
      <c r="M1142" s="3">
        <f t="shared" si="324"/>
        <v>10</v>
      </c>
      <c r="N1142" s="3" t="str">
        <f t="shared" si="325"/>
        <v>05</v>
      </c>
      <c r="O1142" s="14">
        <f t="shared" si="326"/>
        <v>10</v>
      </c>
      <c r="P1142" s="4">
        <v>33403.01</v>
      </c>
      <c r="T1142" s="5" t="s">
        <v>1432</v>
      </c>
      <c r="U1142" s="3" t="s">
        <v>1310</v>
      </c>
      <c r="V1142" s="3" t="s">
        <v>1304</v>
      </c>
      <c r="W1142" s="3" t="s">
        <v>1309</v>
      </c>
      <c r="X1142" s="1" t="s">
        <v>1305</v>
      </c>
    </row>
    <row r="1143" spans="1:24">
      <c r="A1143" s="143">
        <v>1107</v>
      </c>
      <c r="B1143" s="1">
        <f t="shared" si="343"/>
        <v>0</v>
      </c>
      <c r="C1143" s="1">
        <f t="shared" si="344"/>
        <v>0</v>
      </c>
      <c r="D1143" s="1">
        <f t="shared" si="345"/>
        <v>0</v>
      </c>
      <c r="E1143" s="1">
        <f t="shared" si="346"/>
        <v>0</v>
      </c>
      <c r="F1143" s="1">
        <f t="shared" si="347"/>
        <v>0</v>
      </c>
      <c r="G1143" s="1" t="str">
        <f t="shared" si="348"/>
        <v>25051006</v>
      </c>
      <c r="H1143" s="2">
        <v>45787</v>
      </c>
      <c r="I1143" s="113">
        <v>6</v>
      </c>
      <c r="J1143" s="1" t="str">
        <f t="shared" si="321"/>
        <v>06</v>
      </c>
      <c r="K1143" s="3">
        <f t="shared" si="322"/>
        <v>25</v>
      </c>
      <c r="L1143" s="3">
        <f t="shared" si="323"/>
        <v>5</v>
      </c>
      <c r="M1143" s="3">
        <f t="shared" si="324"/>
        <v>10</v>
      </c>
      <c r="N1143" s="3" t="str">
        <f t="shared" si="325"/>
        <v>05</v>
      </c>
      <c r="O1143" s="14">
        <f t="shared" si="326"/>
        <v>10</v>
      </c>
      <c r="P1143" s="4">
        <v>34844.519999999997</v>
      </c>
      <c r="T1143" s="5" t="s">
        <v>1431</v>
      </c>
      <c r="U1143" s="3" t="s">
        <v>1313</v>
      </c>
      <c r="V1143" s="3" t="s">
        <v>5</v>
      </c>
      <c r="W1143" s="3" t="s">
        <v>1306</v>
      </c>
    </row>
    <row r="1144" spans="1:24">
      <c r="A1144" s="143">
        <v>1108</v>
      </c>
      <c r="B1144" s="1">
        <f t="shared" si="343"/>
        <v>0</v>
      </c>
      <c r="C1144" s="1">
        <f t="shared" si="344"/>
        <v>0</v>
      </c>
      <c r="D1144" s="1">
        <f t="shared" si="345"/>
        <v>0</v>
      </c>
      <c r="E1144" s="1">
        <f t="shared" si="346"/>
        <v>0</v>
      </c>
      <c r="F1144" s="1">
        <f t="shared" si="347"/>
        <v>0</v>
      </c>
      <c r="G1144" s="1" t="str">
        <f t="shared" si="348"/>
        <v>25051007</v>
      </c>
      <c r="H1144" s="2">
        <v>45787</v>
      </c>
      <c r="I1144" s="113">
        <v>7</v>
      </c>
      <c r="J1144" s="1" t="str">
        <f t="shared" si="321"/>
        <v>07</v>
      </c>
      <c r="K1144" s="3">
        <f t="shared" si="322"/>
        <v>25</v>
      </c>
      <c r="L1144" s="3">
        <f t="shared" si="323"/>
        <v>5</v>
      </c>
      <c r="M1144" s="3">
        <f t="shared" si="324"/>
        <v>10</v>
      </c>
      <c r="N1144" s="3" t="str">
        <f t="shared" si="325"/>
        <v>05</v>
      </c>
      <c r="O1144" s="14">
        <f t="shared" si="326"/>
        <v>10</v>
      </c>
      <c r="P1144" s="4">
        <v>159000</v>
      </c>
      <c r="T1144" s="28" t="s">
        <v>1430</v>
      </c>
      <c r="U1144" s="3" t="s">
        <v>1342</v>
      </c>
      <c r="V1144" s="3" t="s">
        <v>5</v>
      </c>
      <c r="W1144" s="3" t="s">
        <v>1306</v>
      </c>
      <c r="X1144" s="1" t="s">
        <v>1302</v>
      </c>
    </row>
    <row r="1145" spans="1:24">
      <c r="A1145" s="143">
        <v>1109</v>
      </c>
      <c r="B1145" s="1">
        <f t="shared" si="343"/>
        <v>0</v>
      </c>
      <c r="C1145" s="1">
        <f t="shared" si="344"/>
        <v>0</v>
      </c>
      <c r="D1145" s="1">
        <f t="shared" si="345"/>
        <v>0</v>
      </c>
      <c r="E1145" s="1">
        <f t="shared" si="346"/>
        <v>0</v>
      </c>
      <c r="F1145" s="1">
        <f t="shared" si="347"/>
        <v>0</v>
      </c>
      <c r="G1145" s="1" t="str">
        <f t="shared" si="348"/>
        <v>25051008</v>
      </c>
      <c r="H1145" s="2">
        <v>45787</v>
      </c>
      <c r="I1145" s="113">
        <v>8</v>
      </c>
      <c r="J1145" s="1" t="str">
        <f t="shared" si="321"/>
        <v>08</v>
      </c>
      <c r="K1145" s="3">
        <f t="shared" si="322"/>
        <v>25</v>
      </c>
      <c r="L1145" s="3">
        <f t="shared" si="323"/>
        <v>5</v>
      </c>
      <c r="M1145" s="3">
        <f t="shared" si="324"/>
        <v>10</v>
      </c>
      <c r="N1145" s="3" t="str">
        <f t="shared" si="325"/>
        <v>05</v>
      </c>
      <c r="O1145" s="14">
        <f t="shared" si="326"/>
        <v>10</v>
      </c>
      <c r="P1145" s="4">
        <v>138000</v>
      </c>
      <c r="T1145" s="28" t="s">
        <v>1429</v>
      </c>
      <c r="U1145" s="3" t="s">
        <v>1342</v>
      </c>
      <c r="V1145" s="3" t="s">
        <v>5</v>
      </c>
      <c r="W1145" s="3" t="s">
        <v>1306</v>
      </c>
      <c r="X1145" s="1" t="s">
        <v>1302</v>
      </c>
    </row>
    <row r="1146" spans="1:24">
      <c r="A1146" s="143">
        <v>1110</v>
      </c>
      <c r="B1146" s="1">
        <f t="shared" si="343"/>
        <v>0</v>
      </c>
      <c r="C1146" s="1">
        <f t="shared" si="344"/>
        <v>0</v>
      </c>
      <c r="D1146" s="1">
        <f t="shared" si="345"/>
        <v>0</v>
      </c>
      <c r="E1146" s="1">
        <f t="shared" si="346"/>
        <v>0</v>
      </c>
      <c r="F1146" s="1">
        <f t="shared" si="347"/>
        <v>0</v>
      </c>
      <c r="G1146" s="1" t="str">
        <f t="shared" si="348"/>
        <v>25051009</v>
      </c>
      <c r="H1146" s="2">
        <v>45787</v>
      </c>
      <c r="I1146" s="113">
        <v>9</v>
      </c>
      <c r="J1146" s="1" t="str">
        <f t="shared" si="321"/>
        <v>09</v>
      </c>
      <c r="K1146" s="3">
        <f t="shared" si="322"/>
        <v>25</v>
      </c>
      <c r="L1146" s="3">
        <f t="shared" si="323"/>
        <v>5</v>
      </c>
      <c r="M1146" s="3">
        <f t="shared" si="324"/>
        <v>10</v>
      </c>
      <c r="N1146" s="3" t="str">
        <f t="shared" si="325"/>
        <v>05</v>
      </c>
      <c r="O1146" s="14">
        <f t="shared" si="326"/>
        <v>10</v>
      </c>
      <c r="P1146" s="4">
        <v>132000</v>
      </c>
      <c r="T1146" s="28" t="s">
        <v>1428</v>
      </c>
      <c r="U1146" s="3" t="s">
        <v>1342</v>
      </c>
      <c r="V1146" s="3" t="s">
        <v>5</v>
      </c>
      <c r="W1146" s="3" t="s">
        <v>1306</v>
      </c>
      <c r="X1146" s="1" t="s">
        <v>1302</v>
      </c>
    </row>
    <row r="1147" spans="1:24">
      <c r="A1147" s="143">
        <v>1111</v>
      </c>
      <c r="B1147" s="1">
        <f t="shared" si="343"/>
        <v>0</v>
      </c>
      <c r="C1147" s="1">
        <f t="shared" si="344"/>
        <v>0</v>
      </c>
      <c r="D1147" s="1">
        <f t="shared" si="345"/>
        <v>0</v>
      </c>
      <c r="E1147" s="1">
        <f t="shared" si="346"/>
        <v>0</v>
      </c>
      <c r="F1147" s="1">
        <f t="shared" si="347"/>
        <v>0</v>
      </c>
      <c r="G1147" s="1" t="str">
        <f t="shared" si="348"/>
        <v>25051010</v>
      </c>
      <c r="H1147" s="2">
        <v>45787</v>
      </c>
      <c r="I1147" s="113">
        <v>10</v>
      </c>
      <c r="J1147" s="1">
        <f t="shared" si="321"/>
        <v>10</v>
      </c>
      <c r="K1147" s="3">
        <f t="shared" si="322"/>
        <v>25</v>
      </c>
      <c r="L1147" s="3">
        <f t="shared" si="323"/>
        <v>5</v>
      </c>
      <c r="M1147" s="3">
        <f t="shared" si="324"/>
        <v>10</v>
      </c>
      <c r="N1147" s="3" t="str">
        <f t="shared" si="325"/>
        <v>05</v>
      </c>
      <c r="O1147" s="14">
        <f t="shared" si="326"/>
        <v>10</v>
      </c>
      <c r="P1147" s="4">
        <v>108000</v>
      </c>
      <c r="T1147" s="28" t="s">
        <v>1427</v>
      </c>
      <c r="U1147" s="3" t="s">
        <v>1342</v>
      </c>
      <c r="V1147" s="3" t="s">
        <v>5</v>
      </c>
      <c r="W1147" s="3" t="s">
        <v>1306</v>
      </c>
      <c r="X1147" s="1" t="s">
        <v>1302</v>
      </c>
    </row>
    <row r="1148" spans="1:24">
      <c r="A1148" s="143">
        <v>1112</v>
      </c>
      <c r="B1148" s="1">
        <f t="shared" si="343"/>
        <v>0</v>
      </c>
      <c r="C1148" s="1">
        <f t="shared" si="344"/>
        <v>0</v>
      </c>
      <c r="D1148" s="1">
        <f t="shared" si="345"/>
        <v>0</v>
      </c>
      <c r="E1148" s="1">
        <f t="shared" si="346"/>
        <v>0</v>
      </c>
      <c r="F1148" s="1">
        <f t="shared" si="347"/>
        <v>0</v>
      </c>
      <c r="G1148" s="1" t="str">
        <f t="shared" si="348"/>
        <v>25051011</v>
      </c>
      <c r="H1148" s="2">
        <v>45787</v>
      </c>
      <c r="I1148" s="113">
        <v>11</v>
      </c>
      <c r="J1148" s="1">
        <f t="shared" si="321"/>
        <v>11</v>
      </c>
      <c r="K1148" s="3">
        <f t="shared" si="322"/>
        <v>25</v>
      </c>
      <c r="L1148" s="3">
        <f t="shared" si="323"/>
        <v>5</v>
      </c>
      <c r="M1148" s="3">
        <f t="shared" si="324"/>
        <v>10</v>
      </c>
      <c r="N1148" s="3" t="str">
        <f t="shared" si="325"/>
        <v>05</v>
      </c>
      <c r="O1148" s="14">
        <f t="shared" si="326"/>
        <v>10</v>
      </c>
      <c r="P1148" s="4">
        <v>132000</v>
      </c>
      <c r="T1148" s="28" t="s">
        <v>1426</v>
      </c>
      <c r="U1148" s="3" t="s">
        <v>1342</v>
      </c>
      <c r="V1148" s="3" t="s">
        <v>5</v>
      </c>
      <c r="W1148" s="3" t="s">
        <v>1306</v>
      </c>
      <c r="X1148" s="1" t="s">
        <v>1302</v>
      </c>
    </row>
    <row r="1149" spans="1:24">
      <c r="A1149" s="143">
        <v>1113</v>
      </c>
      <c r="B1149" s="1">
        <f t="shared" si="343"/>
        <v>0</v>
      </c>
      <c r="C1149" s="1">
        <f t="shared" si="344"/>
        <v>0</v>
      </c>
      <c r="D1149" s="1">
        <f t="shared" si="345"/>
        <v>0</v>
      </c>
      <c r="E1149" s="1">
        <f t="shared" si="346"/>
        <v>0</v>
      </c>
      <c r="F1149" s="1">
        <f t="shared" si="347"/>
        <v>0</v>
      </c>
      <c r="G1149" s="1" t="str">
        <f t="shared" si="348"/>
        <v>25051012</v>
      </c>
      <c r="H1149" s="2">
        <v>45787</v>
      </c>
      <c r="I1149" s="113">
        <v>12</v>
      </c>
      <c r="J1149" s="1">
        <f t="shared" si="321"/>
        <v>12</v>
      </c>
      <c r="K1149" s="3">
        <f t="shared" si="322"/>
        <v>25</v>
      </c>
      <c r="L1149" s="3">
        <f t="shared" si="323"/>
        <v>5</v>
      </c>
      <c r="M1149" s="3">
        <f t="shared" si="324"/>
        <v>10</v>
      </c>
      <c r="N1149" s="3" t="str">
        <f t="shared" si="325"/>
        <v>05</v>
      </c>
      <c r="O1149" s="14">
        <f t="shared" si="326"/>
        <v>10</v>
      </c>
      <c r="P1149" s="4">
        <v>159000</v>
      </c>
      <c r="T1149" s="28" t="s">
        <v>1425</v>
      </c>
      <c r="U1149" s="3" t="s">
        <v>1342</v>
      </c>
      <c r="V1149" s="3" t="s">
        <v>5</v>
      </c>
      <c r="W1149" s="3" t="s">
        <v>1306</v>
      </c>
      <c r="X1149" s="1" t="s">
        <v>1302</v>
      </c>
    </row>
    <row r="1150" spans="1:24">
      <c r="A1150" s="143">
        <v>1114</v>
      </c>
      <c r="B1150" s="1">
        <f t="shared" si="343"/>
        <v>0</v>
      </c>
      <c r="C1150" s="1">
        <f t="shared" si="344"/>
        <v>0</v>
      </c>
      <c r="D1150" s="1">
        <f t="shared" si="345"/>
        <v>0</v>
      </c>
      <c r="E1150" s="1">
        <f t="shared" si="346"/>
        <v>0</v>
      </c>
      <c r="F1150" s="1">
        <f t="shared" si="347"/>
        <v>0</v>
      </c>
      <c r="G1150" s="1" t="str">
        <f t="shared" si="348"/>
        <v>25051013</v>
      </c>
      <c r="H1150" s="2">
        <v>45787</v>
      </c>
      <c r="I1150" s="113">
        <v>13</v>
      </c>
      <c r="J1150" s="1">
        <f t="shared" si="321"/>
        <v>13</v>
      </c>
      <c r="K1150" s="3">
        <f t="shared" si="322"/>
        <v>25</v>
      </c>
      <c r="L1150" s="3">
        <f t="shared" si="323"/>
        <v>5</v>
      </c>
      <c r="M1150" s="3">
        <f t="shared" si="324"/>
        <v>10</v>
      </c>
      <c r="N1150" s="3" t="str">
        <f t="shared" si="325"/>
        <v>05</v>
      </c>
      <c r="O1150" s="14">
        <f t="shared" si="326"/>
        <v>10</v>
      </c>
      <c r="P1150" s="4">
        <v>132000</v>
      </c>
      <c r="T1150" s="28" t="s">
        <v>1424</v>
      </c>
      <c r="U1150" s="3" t="s">
        <v>1342</v>
      </c>
      <c r="V1150" s="3" t="s">
        <v>5</v>
      </c>
      <c r="W1150" s="3" t="s">
        <v>1306</v>
      </c>
      <c r="X1150" s="1" t="s">
        <v>1302</v>
      </c>
    </row>
    <row r="1151" spans="1:24">
      <c r="A1151" s="143">
        <v>1115</v>
      </c>
      <c r="B1151" s="1">
        <f t="shared" si="343"/>
        <v>0</v>
      </c>
      <c r="C1151" s="1">
        <f t="shared" si="344"/>
        <v>0</v>
      </c>
      <c r="D1151" s="1">
        <f t="shared" si="345"/>
        <v>0</v>
      </c>
      <c r="E1151" s="1">
        <f t="shared" si="346"/>
        <v>0</v>
      </c>
      <c r="F1151" s="1">
        <f t="shared" si="347"/>
        <v>0</v>
      </c>
      <c r="G1151" s="1" t="str">
        <f t="shared" si="348"/>
        <v>25051014</v>
      </c>
      <c r="H1151" s="2">
        <v>45787</v>
      </c>
      <c r="I1151" s="113">
        <v>14</v>
      </c>
      <c r="J1151" s="1">
        <f t="shared" si="321"/>
        <v>14</v>
      </c>
      <c r="K1151" s="3">
        <f t="shared" si="322"/>
        <v>25</v>
      </c>
      <c r="L1151" s="3">
        <f t="shared" si="323"/>
        <v>5</v>
      </c>
      <c r="M1151" s="3">
        <f t="shared" si="324"/>
        <v>10</v>
      </c>
      <c r="N1151" s="3" t="str">
        <f t="shared" si="325"/>
        <v>05</v>
      </c>
      <c r="O1151" s="14">
        <f t="shared" si="326"/>
        <v>10</v>
      </c>
      <c r="P1151" s="86">
        <v>132000</v>
      </c>
      <c r="T1151" s="121" t="s">
        <v>1423</v>
      </c>
      <c r="U1151" s="3" t="s">
        <v>1342</v>
      </c>
      <c r="V1151" s="3" t="s">
        <v>5</v>
      </c>
      <c r="W1151" s="3" t="s">
        <v>1306</v>
      </c>
      <c r="X1151" s="1" t="s">
        <v>1302</v>
      </c>
    </row>
    <row r="1152" spans="1:24">
      <c r="A1152" s="143">
        <v>1116</v>
      </c>
      <c r="B1152" s="1">
        <f t="shared" si="343"/>
        <v>0</v>
      </c>
      <c r="C1152" s="1">
        <f t="shared" si="344"/>
        <v>0</v>
      </c>
      <c r="D1152" s="1">
        <f t="shared" si="345"/>
        <v>0</v>
      </c>
      <c r="E1152" s="1">
        <f t="shared" si="346"/>
        <v>0</v>
      </c>
      <c r="F1152" s="1">
        <f t="shared" si="347"/>
        <v>0</v>
      </c>
      <c r="G1152" s="1" t="str">
        <f t="shared" si="348"/>
        <v>25051015</v>
      </c>
      <c r="H1152" s="2">
        <v>45787</v>
      </c>
      <c r="I1152" s="113">
        <v>15</v>
      </c>
      <c r="J1152" s="1">
        <f t="shared" si="321"/>
        <v>15</v>
      </c>
      <c r="K1152" s="3">
        <f t="shared" si="322"/>
        <v>25</v>
      </c>
      <c r="L1152" s="3">
        <f t="shared" si="323"/>
        <v>5</v>
      </c>
      <c r="M1152" s="3">
        <f t="shared" si="324"/>
        <v>10</v>
      </c>
      <c r="N1152" s="3" t="str">
        <f t="shared" si="325"/>
        <v>05</v>
      </c>
      <c r="O1152" s="14">
        <f t="shared" si="326"/>
        <v>10</v>
      </c>
      <c r="P1152" s="86">
        <v>108000</v>
      </c>
      <c r="T1152" s="121" t="s">
        <v>1422</v>
      </c>
      <c r="U1152" s="3" t="s">
        <v>1342</v>
      </c>
      <c r="V1152" s="3" t="s">
        <v>5</v>
      </c>
      <c r="W1152" s="3" t="s">
        <v>1306</v>
      </c>
      <c r="X1152" s="1" t="s">
        <v>1302</v>
      </c>
    </row>
    <row r="1153" spans="1:24">
      <c r="A1153" s="143">
        <v>1117</v>
      </c>
      <c r="B1153" s="1">
        <f t="shared" si="343"/>
        <v>0</v>
      </c>
      <c r="C1153" s="1">
        <f t="shared" si="344"/>
        <v>0</v>
      </c>
      <c r="D1153" s="1">
        <f t="shared" si="345"/>
        <v>0</v>
      </c>
      <c r="E1153" s="1">
        <f t="shared" si="346"/>
        <v>0</v>
      </c>
      <c r="F1153" s="1">
        <f t="shared" si="347"/>
        <v>0</v>
      </c>
      <c r="G1153" s="1" t="str">
        <f t="shared" si="348"/>
        <v>25051016</v>
      </c>
      <c r="H1153" s="2">
        <v>45787</v>
      </c>
      <c r="I1153" s="113">
        <v>16</v>
      </c>
      <c r="J1153" s="1">
        <f t="shared" si="321"/>
        <v>16</v>
      </c>
      <c r="K1153" s="3">
        <f t="shared" si="322"/>
        <v>25</v>
      </c>
      <c r="L1153" s="3">
        <f t="shared" si="323"/>
        <v>5</v>
      </c>
      <c r="M1153" s="3">
        <f t="shared" si="324"/>
        <v>10</v>
      </c>
      <c r="N1153" s="3" t="str">
        <f t="shared" si="325"/>
        <v>05</v>
      </c>
      <c r="O1153" s="14">
        <f t="shared" si="326"/>
        <v>10</v>
      </c>
      <c r="P1153" s="86">
        <v>108000</v>
      </c>
      <c r="T1153" s="121" t="s">
        <v>1421</v>
      </c>
      <c r="U1153" s="3" t="s">
        <v>1342</v>
      </c>
      <c r="V1153" s="3" t="s">
        <v>5</v>
      </c>
      <c r="W1153" s="3" t="s">
        <v>1306</v>
      </c>
      <c r="X1153" s="1" t="s">
        <v>1302</v>
      </c>
    </row>
    <row r="1154" spans="1:24">
      <c r="A1154" s="143">
        <v>1118</v>
      </c>
      <c r="B1154" s="1">
        <f t="shared" si="343"/>
        <v>0</v>
      </c>
      <c r="C1154" s="1">
        <f t="shared" si="344"/>
        <v>0</v>
      </c>
      <c r="D1154" s="1">
        <f t="shared" si="345"/>
        <v>0</v>
      </c>
      <c r="E1154" s="1">
        <f t="shared" si="346"/>
        <v>0</v>
      </c>
      <c r="F1154" s="1">
        <f t="shared" si="347"/>
        <v>0</v>
      </c>
      <c r="G1154" s="1" t="str">
        <f t="shared" si="348"/>
        <v>25051017</v>
      </c>
      <c r="H1154" s="2">
        <v>45787</v>
      </c>
      <c r="I1154" s="113">
        <v>17</v>
      </c>
      <c r="J1154" s="1">
        <f t="shared" si="321"/>
        <v>17</v>
      </c>
      <c r="K1154" s="3">
        <f t="shared" si="322"/>
        <v>25</v>
      </c>
      <c r="L1154" s="3">
        <f t="shared" si="323"/>
        <v>5</v>
      </c>
      <c r="M1154" s="3">
        <f t="shared" si="324"/>
        <v>10</v>
      </c>
      <c r="N1154" s="3" t="str">
        <f t="shared" si="325"/>
        <v>05</v>
      </c>
      <c r="O1154" s="14">
        <f t="shared" si="326"/>
        <v>10</v>
      </c>
      <c r="P1154" s="86">
        <v>132000</v>
      </c>
      <c r="T1154" s="121" t="s">
        <v>1420</v>
      </c>
      <c r="U1154" s="3" t="s">
        <v>1342</v>
      </c>
      <c r="V1154" s="3" t="s">
        <v>5</v>
      </c>
      <c r="W1154" s="3" t="s">
        <v>1306</v>
      </c>
      <c r="X1154" s="1" t="s">
        <v>1302</v>
      </c>
    </row>
    <row r="1155" spans="1:24">
      <c r="A1155" s="143">
        <v>1119</v>
      </c>
      <c r="B1155" s="1">
        <f t="shared" si="343"/>
        <v>0</v>
      </c>
      <c r="C1155" s="1">
        <f t="shared" si="344"/>
        <v>0</v>
      </c>
      <c r="D1155" s="1">
        <f t="shared" si="345"/>
        <v>0</v>
      </c>
      <c r="E1155" s="1">
        <f t="shared" si="346"/>
        <v>0</v>
      </c>
      <c r="F1155" s="1">
        <f t="shared" si="347"/>
        <v>0</v>
      </c>
      <c r="G1155" s="1" t="str">
        <f t="shared" si="348"/>
        <v>25051018</v>
      </c>
      <c r="H1155" s="2">
        <v>45787</v>
      </c>
      <c r="I1155" s="113">
        <v>18</v>
      </c>
      <c r="J1155" s="1">
        <f t="shared" si="321"/>
        <v>18</v>
      </c>
      <c r="K1155" s="3">
        <f t="shared" si="322"/>
        <v>25</v>
      </c>
      <c r="L1155" s="3">
        <f t="shared" si="323"/>
        <v>5</v>
      </c>
      <c r="M1155" s="3">
        <f t="shared" si="324"/>
        <v>10</v>
      </c>
      <c r="N1155" s="3" t="str">
        <f t="shared" si="325"/>
        <v>05</v>
      </c>
      <c r="O1155" s="14">
        <f t="shared" si="326"/>
        <v>10</v>
      </c>
      <c r="P1155" s="86">
        <v>108000</v>
      </c>
      <c r="T1155" s="121" t="s">
        <v>1419</v>
      </c>
      <c r="U1155" s="3" t="s">
        <v>1342</v>
      </c>
      <c r="V1155" s="3" t="s">
        <v>5</v>
      </c>
      <c r="W1155" s="3" t="s">
        <v>1306</v>
      </c>
      <c r="X1155" s="1" t="s">
        <v>1302</v>
      </c>
    </row>
    <row r="1156" spans="1:24">
      <c r="A1156" s="143">
        <v>1120</v>
      </c>
      <c r="B1156" s="1">
        <f t="shared" si="343"/>
        <v>0</v>
      </c>
      <c r="C1156" s="1">
        <f t="shared" si="344"/>
        <v>0</v>
      </c>
      <c r="D1156" s="1">
        <f t="shared" si="345"/>
        <v>0</v>
      </c>
      <c r="E1156" s="1">
        <f t="shared" si="346"/>
        <v>0</v>
      </c>
      <c r="F1156" s="1">
        <f t="shared" si="347"/>
        <v>0</v>
      </c>
      <c r="G1156" s="1" t="str">
        <f t="shared" si="348"/>
        <v>25051019</v>
      </c>
      <c r="H1156" s="2">
        <v>45787</v>
      </c>
      <c r="I1156" s="113">
        <v>19</v>
      </c>
      <c r="J1156" s="1">
        <f t="shared" si="321"/>
        <v>19</v>
      </c>
      <c r="K1156" s="3">
        <f t="shared" si="322"/>
        <v>25</v>
      </c>
      <c r="L1156" s="3">
        <f t="shared" si="323"/>
        <v>5</v>
      </c>
      <c r="M1156" s="3">
        <f t="shared" si="324"/>
        <v>10</v>
      </c>
      <c r="N1156" s="3" t="str">
        <f t="shared" si="325"/>
        <v>05</v>
      </c>
      <c r="O1156" s="14">
        <f t="shared" si="326"/>
        <v>10</v>
      </c>
      <c r="P1156" s="86">
        <v>252000</v>
      </c>
      <c r="T1156" s="121" t="s">
        <v>1418</v>
      </c>
      <c r="U1156" s="3" t="s">
        <v>1342</v>
      </c>
      <c r="V1156" s="3" t="s">
        <v>5</v>
      </c>
      <c r="W1156" s="3" t="s">
        <v>1306</v>
      </c>
      <c r="X1156" s="1" t="s">
        <v>1302</v>
      </c>
    </row>
    <row r="1157" spans="1:24">
      <c r="A1157" s="143">
        <v>1121</v>
      </c>
      <c r="B1157" s="1">
        <f t="shared" si="343"/>
        <v>0</v>
      </c>
      <c r="C1157" s="1">
        <f t="shared" si="344"/>
        <v>0</v>
      </c>
      <c r="D1157" s="1">
        <f t="shared" si="345"/>
        <v>0</v>
      </c>
      <c r="E1157" s="1">
        <f t="shared" si="346"/>
        <v>0</v>
      </c>
      <c r="F1157" s="1">
        <f t="shared" si="347"/>
        <v>0</v>
      </c>
      <c r="G1157" s="1" t="str">
        <f t="shared" si="348"/>
        <v>25051020</v>
      </c>
      <c r="H1157" s="2">
        <v>45787</v>
      </c>
      <c r="I1157" s="113">
        <v>20</v>
      </c>
      <c r="J1157" s="1">
        <f t="shared" si="321"/>
        <v>20</v>
      </c>
      <c r="K1157" s="3">
        <f t="shared" si="322"/>
        <v>25</v>
      </c>
      <c r="L1157" s="3">
        <f t="shared" si="323"/>
        <v>5</v>
      </c>
      <c r="M1157" s="3">
        <f t="shared" si="324"/>
        <v>10</v>
      </c>
      <c r="N1157" s="3" t="str">
        <f t="shared" si="325"/>
        <v>05</v>
      </c>
      <c r="O1157" s="14">
        <f t="shared" si="326"/>
        <v>10</v>
      </c>
      <c r="P1157" s="86">
        <v>42000</v>
      </c>
      <c r="T1157" s="121" t="s">
        <v>1417</v>
      </c>
      <c r="U1157" s="3" t="s">
        <v>1342</v>
      </c>
      <c r="V1157" s="3" t="s">
        <v>5</v>
      </c>
      <c r="W1157" s="3" t="s">
        <v>1306</v>
      </c>
      <c r="X1157" s="1" t="s">
        <v>1302</v>
      </c>
    </row>
    <row r="1158" spans="1:24">
      <c r="A1158" s="143">
        <v>1122</v>
      </c>
      <c r="B1158" s="1">
        <f t="shared" si="343"/>
        <v>0</v>
      </c>
      <c r="C1158" s="1">
        <f t="shared" si="344"/>
        <v>0</v>
      </c>
      <c r="D1158" s="1">
        <f t="shared" si="345"/>
        <v>0</v>
      </c>
      <c r="E1158" s="1">
        <f t="shared" si="346"/>
        <v>0</v>
      </c>
      <c r="F1158" s="1">
        <f t="shared" si="347"/>
        <v>0</v>
      </c>
      <c r="G1158" s="1" t="str">
        <f t="shared" si="348"/>
        <v>25051021</v>
      </c>
      <c r="H1158" s="2">
        <v>45787</v>
      </c>
      <c r="I1158" s="113">
        <v>21</v>
      </c>
      <c r="J1158" s="1">
        <f t="shared" si="321"/>
        <v>21</v>
      </c>
      <c r="K1158" s="3">
        <f t="shared" si="322"/>
        <v>25</v>
      </c>
      <c r="L1158" s="3">
        <f t="shared" si="323"/>
        <v>5</v>
      </c>
      <c r="M1158" s="3">
        <f t="shared" si="324"/>
        <v>10</v>
      </c>
      <c r="N1158" s="3" t="str">
        <f t="shared" si="325"/>
        <v>05</v>
      </c>
      <c r="O1158" s="14">
        <f t="shared" si="326"/>
        <v>10</v>
      </c>
      <c r="P1158" s="86">
        <v>150000</v>
      </c>
      <c r="T1158" s="121" t="s">
        <v>1377</v>
      </c>
      <c r="U1158" s="3" t="s">
        <v>1342</v>
      </c>
      <c r="V1158" s="3" t="s">
        <v>5</v>
      </c>
      <c r="W1158" s="3" t="s">
        <v>1306</v>
      </c>
      <c r="X1158" s="1" t="s">
        <v>1302</v>
      </c>
    </row>
    <row r="1159" spans="1:24">
      <c r="A1159" s="143">
        <v>1123</v>
      </c>
      <c r="B1159" s="1">
        <f t="shared" si="343"/>
        <v>0</v>
      </c>
      <c r="C1159" s="1">
        <f t="shared" si="344"/>
        <v>0</v>
      </c>
      <c r="D1159" s="1">
        <f t="shared" si="345"/>
        <v>0</v>
      </c>
      <c r="E1159" s="1">
        <f t="shared" si="346"/>
        <v>0</v>
      </c>
      <c r="F1159" s="1">
        <f t="shared" si="347"/>
        <v>0</v>
      </c>
      <c r="G1159" s="1" t="str">
        <f t="shared" si="348"/>
        <v>25051022</v>
      </c>
      <c r="H1159" s="2">
        <v>45787</v>
      </c>
      <c r="I1159" s="113">
        <v>22</v>
      </c>
      <c r="J1159" s="1">
        <f t="shared" si="321"/>
        <v>22</v>
      </c>
      <c r="K1159" s="3">
        <f t="shared" si="322"/>
        <v>25</v>
      </c>
      <c r="L1159" s="3">
        <f t="shared" si="323"/>
        <v>5</v>
      </c>
      <c r="M1159" s="3">
        <f t="shared" si="324"/>
        <v>10</v>
      </c>
      <c r="N1159" s="3" t="str">
        <f t="shared" si="325"/>
        <v>05</v>
      </c>
      <c r="O1159" s="14">
        <f t="shared" si="326"/>
        <v>10</v>
      </c>
      <c r="P1159" s="86">
        <v>200000</v>
      </c>
      <c r="T1159" s="121" t="s">
        <v>1416</v>
      </c>
      <c r="U1159" s="3" t="s">
        <v>1342</v>
      </c>
      <c r="V1159" s="3" t="s">
        <v>5</v>
      </c>
      <c r="W1159" s="3" t="s">
        <v>1306</v>
      </c>
      <c r="X1159" s="1" t="s">
        <v>1302</v>
      </c>
    </row>
    <row r="1160" spans="1:24">
      <c r="A1160" s="143">
        <v>1124</v>
      </c>
      <c r="B1160" s="1">
        <f t="shared" si="343"/>
        <v>0</v>
      </c>
      <c r="C1160" s="1">
        <f t="shared" si="344"/>
        <v>0</v>
      </c>
      <c r="D1160" s="1">
        <f t="shared" si="345"/>
        <v>0</v>
      </c>
      <c r="E1160" s="1">
        <f t="shared" si="346"/>
        <v>0</v>
      </c>
      <c r="F1160" s="1">
        <f t="shared" si="347"/>
        <v>0</v>
      </c>
      <c r="G1160" s="1" t="str">
        <f t="shared" si="348"/>
        <v>25051023</v>
      </c>
      <c r="H1160" s="2">
        <v>45787</v>
      </c>
      <c r="I1160" s="113">
        <v>23</v>
      </c>
      <c r="J1160" s="1">
        <f t="shared" ref="J1160:J1223" si="349">+IF(I1160&lt;10,_xlfn.CONCAT("0",I1160),I1160)</f>
        <v>23</v>
      </c>
      <c r="K1160" s="3">
        <f t="shared" ref="K1160:K1223" si="350">+YEAR(H1160)-2000</f>
        <v>25</v>
      </c>
      <c r="L1160" s="3">
        <f t="shared" ref="L1160:L1223" si="351">+MONTH(H1160)</f>
        <v>5</v>
      </c>
      <c r="M1160" s="3">
        <f t="shared" ref="M1160:M1223" si="352">+DAY(H1160)</f>
        <v>10</v>
      </c>
      <c r="N1160" s="3" t="str">
        <f t="shared" ref="N1160:N1223" si="353">+IF(L1160&lt;10,_xlfn.CONCAT("0",L1160),L1160)</f>
        <v>05</v>
      </c>
      <c r="O1160" s="14">
        <f t="shared" ref="O1160:O1223" si="354">+IF(M1160&lt;10,_xlfn.CONCAT("0",M1160),M1160)</f>
        <v>10</v>
      </c>
      <c r="P1160" s="4">
        <v>180000</v>
      </c>
      <c r="T1160" s="28" t="s">
        <v>1343</v>
      </c>
      <c r="U1160" s="3" t="s">
        <v>1342</v>
      </c>
      <c r="V1160" s="3" t="s">
        <v>5</v>
      </c>
      <c r="W1160" s="3" t="s">
        <v>1303</v>
      </c>
      <c r="X1160" s="1" t="s">
        <v>1302</v>
      </c>
    </row>
    <row r="1161" spans="1:24" hidden="1">
      <c r="A1161" s="143"/>
      <c r="J1161" s="1" t="str">
        <f t="shared" si="349"/>
        <v>0</v>
      </c>
      <c r="K1161" s="3">
        <f t="shared" si="350"/>
        <v>-100</v>
      </c>
      <c r="L1161" s="3">
        <f t="shared" si="351"/>
        <v>1</v>
      </c>
      <c r="M1161" s="3">
        <f t="shared" si="352"/>
        <v>0</v>
      </c>
      <c r="N1161" s="3" t="str">
        <f t="shared" si="353"/>
        <v>01</v>
      </c>
      <c r="O1161" s="14" t="str">
        <f t="shared" si="354"/>
        <v>00</v>
      </c>
    </row>
    <row r="1162" spans="1:24" hidden="1">
      <c r="A1162" s="143"/>
      <c r="J1162" s="1" t="str">
        <f t="shared" si="349"/>
        <v>0</v>
      </c>
      <c r="K1162" s="3">
        <f t="shared" si="350"/>
        <v>-100</v>
      </c>
      <c r="L1162" s="3">
        <f t="shared" si="351"/>
        <v>1</v>
      </c>
      <c r="M1162" s="3">
        <f t="shared" si="352"/>
        <v>0</v>
      </c>
      <c r="N1162" s="3" t="str">
        <f t="shared" si="353"/>
        <v>01</v>
      </c>
      <c r="O1162" s="14" t="str">
        <f t="shared" si="354"/>
        <v>00</v>
      </c>
    </row>
    <row r="1163" spans="1:24" hidden="1">
      <c r="A1163" s="143"/>
      <c r="J1163" s="1" t="str">
        <f t="shared" si="349"/>
        <v>0</v>
      </c>
      <c r="K1163" s="3">
        <f t="shared" si="350"/>
        <v>-100</v>
      </c>
      <c r="L1163" s="3">
        <f t="shared" si="351"/>
        <v>1</v>
      </c>
      <c r="M1163" s="3">
        <f t="shared" si="352"/>
        <v>0</v>
      </c>
      <c r="N1163" s="3" t="str">
        <f t="shared" si="353"/>
        <v>01</v>
      </c>
      <c r="O1163" s="14" t="str">
        <f t="shared" si="354"/>
        <v>00</v>
      </c>
    </row>
    <row r="1164" spans="1:24" hidden="1">
      <c r="A1164" s="143">
        <v>1128</v>
      </c>
      <c r="B1164" s="1">
        <f>IF(G1164="-",0,IF(G1163=G1164,1,0))</f>
        <v>0</v>
      </c>
      <c r="C1164" s="1">
        <f>+IF(G1164="-",0,IF(I1164=I1163+1,0,(IF(I1164=1,0,1))))</f>
        <v>1</v>
      </c>
      <c r="D1164" s="1">
        <f>+IF(AND(P1164="",Q1164=""),1,0)</f>
        <v>0</v>
      </c>
      <c r="E1164" s="1">
        <f>IF(U1164="",1,0)</f>
        <v>0</v>
      </c>
      <c r="F1164" s="1">
        <f>IF(V1164="",1,0)</f>
        <v>0</v>
      </c>
      <c r="G1164" s="1" t="str">
        <f>IF(H1164=0,"-",_xlfn.CONCAT(K1164,N1164,O1164,J1164))</f>
        <v>25051027</v>
      </c>
      <c r="H1164" s="2">
        <v>45787</v>
      </c>
      <c r="I1164" s="113">
        <v>27</v>
      </c>
      <c r="J1164" s="1">
        <f t="shared" si="349"/>
        <v>27</v>
      </c>
      <c r="K1164" s="3">
        <f t="shared" si="350"/>
        <v>25</v>
      </c>
      <c r="L1164" s="3">
        <f t="shared" si="351"/>
        <v>5</v>
      </c>
      <c r="M1164" s="3">
        <f t="shared" si="352"/>
        <v>10</v>
      </c>
      <c r="N1164" s="3" t="str">
        <f t="shared" si="353"/>
        <v>05</v>
      </c>
      <c r="O1164" s="14">
        <f t="shared" si="354"/>
        <v>10</v>
      </c>
      <c r="P1164" s="4">
        <v>10000</v>
      </c>
      <c r="T1164" s="5" t="s">
        <v>1415</v>
      </c>
      <c r="U1164" s="3" t="s">
        <v>305</v>
      </c>
      <c r="V1164" s="3" t="s">
        <v>1304</v>
      </c>
      <c r="W1164" s="3" t="s">
        <v>1306</v>
      </c>
      <c r="X1164" s="1" t="s">
        <v>1305</v>
      </c>
    </row>
    <row r="1165" spans="1:24" hidden="1">
      <c r="A1165" s="143">
        <v>1096</v>
      </c>
      <c r="B1165" s="1">
        <f>IF(G1165="-",0,IF(G1164=G1165,1,0))</f>
        <v>0</v>
      </c>
      <c r="C1165" s="1">
        <f>+IF(G1165="-",0,IF(I1165=I1164+1,0,(IF(I1165=1,0,1))))</f>
        <v>0</v>
      </c>
      <c r="D1165" s="1">
        <f>+IF(AND(P1165="",Q1165=""),1,0)</f>
        <v>0</v>
      </c>
      <c r="E1165" s="1">
        <f>IF(U1165="",1,0)</f>
        <v>0</v>
      </c>
      <c r="F1165" s="1">
        <f>IF(V1165="",1,0)</f>
        <v>0</v>
      </c>
      <c r="G1165" s="1" t="str">
        <f>IF(H1165=0,"-",_xlfn.CONCAT(K1165,N1165,O1165,J1165))</f>
        <v>25051101</v>
      </c>
      <c r="H1165" s="2">
        <v>45788</v>
      </c>
      <c r="I1165" s="113">
        <v>1</v>
      </c>
      <c r="J1165" s="1" t="str">
        <f t="shared" si="349"/>
        <v>01</v>
      </c>
      <c r="K1165" s="3">
        <f t="shared" si="350"/>
        <v>25</v>
      </c>
      <c r="L1165" s="3">
        <f t="shared" si="351"/>
        <v>5</v>
      </c>
      <c r="M1165" s="3">
        <f t="shared" si="352"/>
        <v>11</v>
      </c>
      <c r="N1165" s="3" t="str">
        <f t="shared" si="353"/>
        <v>05</v>
      </c>
      <c r="O1165" s="14">
        <f t="shared" si="354"/>
        <v>11</v>
      </c>
      <c r="P1165" s="4">
        <v>4320</v>
      </c>
      <c r="T1165" s="5" t="s">
        <v>1414</v>
      </c>
      <c r="U1165" s="3" t="s">
        <v>1310</v>
      </c>
      <c r="V1165" s="3" t="s">
        <v>1304</v>
      </c>
      <c r="W1165" s="3" t="s">
        <v>1309</v>
      </c>
      <c r="X1165" s="1" t="s">
        <v>1305</v>
      </c>
    </row>
    <row r="1166" spans="1:24" hidden="1">
      <c r="A1166" s="143"/>
      <c r="J1166" s="1" t="str">
        <f t="shared" si="349"/>
        <v>0</v>
      </c>
      <c r="K1166" s="3">
        <f t="shared" si="350"/>
        <v>-100</v>
      </c>
      <c r="L1166" s="3">
        <f t="shared" si="351"/>
        <v>1</v>
      </c>
      <c r="M1166" s="3">
        <f t="shared" si="352"/>
        <v>0</v>
      </c>
      <c r="N1166" s="3" t="str">
        <f t="shared" si="353"/>
        <v>01</v>
      </c>
      <c r="O1166" s="14" t="str">
        <f t="shared" si="354"/>
        <v>00</v>
      </c>
    </row>
    <row r="1167" spans="1:24" hidden="1">
      <c r="A1167" s="143"/>
      <c r="J1167" s="1" t="str">
        <f t="shared" si="349"/>
        <v>0</v>
      </c>
      <c r="K1167" s="3">
        <f t="shared" si="350"/>
        <v>-100</v>
      </c>
      <c r="L1167" s="3">
        <f t="shared" si="351"/>
        <v>1</v>
      </c>
      <c r="M1167" s="3">
        <f t="shared" si="352"/>
        <v>0</v>
      </c>
      <c r="N1167" s="3" t="str">
        <f t="shared" si="353"/>
        <v>01</v>
      </c>
      <c r="O1167" s="14" t="str">
        <f t="shared" si="354"/>
        <v>00</v>
      </c>
    </row>
    <row r="1168" spans="1:24" hidden="1">
      <c r="A1168" s="143">
        <v>1100</v>
      </c>
      <c r="B1168" s="1">
        <f>IF(G1168="-",0,IF(G1167=G1168,1,0))</f>
        <v>0</v>
      </c>
      <c r="C1168" s="1">
        <f>+IF(G1168="-",0,IF(I1168=I1167+1,0,(IF(I1168=1,0,1))))</f>
        <v>1</v>
      </c>
      <c r="D1168" s="1">
        <f>+IF(AND(P1168="",Q1168=""),1,0)</f>
        <v>0</v>
      </c>
      <c r="E1168" s="1">
        <f t="shared" ref="E1168:F1171" si="355">IF(U1168="",1,0)</f>
        <v>0</v>
      </c>
      <c r="F1168" s="1">
        <f t="shared" si="355"/>
        <v>0</v>
      </c>
      <c r="G1168" s="1" t="str">
        <f>IF(H1168=0,"-",_xlfn.CONCAT(K1168,N1168,O1168,J1168))</f>
        <v>25051104</v>
      </c>
      <c r="H1168" s="2">
        <v>45788</v>
      </c>
      <c r="I1168" s="113">
        <v>4</v>
      </c>
      <c r="J1168" s="1" t="str">
        <f t="shared" si="349"/>
        <v>04</v>
      </c>
      <c r="K1168" s="3">
        <f t="shared" si="350"/>
        <v>25</v>
      </c>
      <c r="L1168" s="3">
        <f t="shared" si="351"/>
        <v>5</v>
      </c>
      <c r="M1168" s="3">
        <f t="shared" si="352"/>
        <v>11</v>
      </c>
      <c r="N1168" s="3" t="str">
        <f t="shared" si="353"/>
        <v>05</v>
      </c>
      <c r="O1168" s="14">
        <f t="shared" si="354"/>
        <v>11</v>
      </c>
      <c r="P1168" s="4">
        <v>20000</v>
      </c>
      <c r="T1168" s="5" t="s">
        <v>1413</v>
      </c>
      <c r="U1168" s="3" t="s">
        <v>1310</v>
      </c>
      <c r="V1168" s="3" t="s">
        <v>1304</v>
      </c>
      <c r="W1168" s="3" t="s">
        <v>1309</v>
      </c>
      <c r="X1168" s="1" t="s">
        <v>1305</v>
      </c>
    </row>
    <row r="1169" spans="1:25">
      <c r="A1169" s="143">
        <v>1101</v>
      </c>
      <c r="B1169" s="1">
        <f>IF(G1169="-",0,IF(G1168=G1169,1,0))</f>
        <v>0</v>
      </c>
      <c r="C1169" s="1">
        <f>+IF(G1169="-",0,IF(I1169=I1168+1,0,(IF(I1169=1,0,1))))</f>
        <v>0</v>
      </c>
      <c r="D1169" s="1">
        <f>+IF(AND(P1169="",Q1169=""),1,0)</f>
        <v>0</v>
      </c>
      <c r="E1169" s="1">
        <f t="shared" si="355"/>
        <v>0</v>
      </c>
      <c r="F1169" s="1">
        <f t="shared" si="355"/>
        <v>0</v>
      </c>
      <c r="G1169" s="1" t="str">
        <f>IF(H1169=0,"-",_xlfn.CONCAT(K1169,N1169,O1169,J1169))</f>
        <v>25051201</v>
      </c>
      <c r="H1169" s="2">
        <v>45789</v>
      </c>
      <c r="I1169" s="113">
        <v>1</v>
      </c>
      <c r="J1169" s="1" t="str">
        <f t="shared" si="349"/>
        <v>01</v>
      </c>
      <c r="K1169" s="3">
        <f t="shared" si="350"/>
        <v>25</v>
      </c>
      <c r="L1169" s="3">
        <f t="shared" si="351"/>
        <v>5</v>
      </c>
      <c r="M1169" s="3">
        <f t="shared" si="352"/>
        <v>12</v>
      </c>
      <c r="N1169" s="3" t="str">
        <f t="shared" si="353"/>
        <v>05</v>
      </c>
      <c r="O1169" s="14">
        <f t="shared" si="354"/>
        <v>12</v>
      </c>
      <c r="P1169" s="4">
        <v>305364.52</v>
      </c>
      <c r="T1169" s="5" t="s">
        <v>1412</v>
      </c>
      <c r="U1169" s="3" t="s">
        <v>1342</v>
      </c>
      <c r="V1169" s="3" t="s">
        <v>5</v>
      </c>
      <c r="W1169" s="3" t="s">
        <v>1306</v>
      </c>
      <c r="X1169" s="1" t="s">
        <v>1305</v>
      </c>
    </row>
    <row r="1170" spans="1:25" hidden="1">
      <c r="A1170" s="143">
        <v>1102</v>
      </c>
      <c r="B1170" s="1">
        <f>IF(G1170="-",0,IF(G1169=G1170,1,0))</f>
        <v>0</v>
      </c>
      <c r="C1170" s="1">
        <f>+IF(G1170="-",0,IF(I1170=I1169+1,0,(IF(I1170=1,0,1))))</f>
        <v>0</v>
      </c>
      <c r="D1170" s="1">
        <f>+IF(AND(P1170="",Q1170=""),1,0)</f>
        <v>0</v>
      </c>
      <c r="E1170" s="1">
        <f t="shared" si="355"/>
        <v>0</v>
      </c>
      <c r="F1170" s="1">
        <f t="shared" si="355"/>
        <v>0</v>
      </c>
      <c r="G1170" s="1" t="str">
        <f>IF(H1170=0,"-",_xlfn.CONCAT(K1170,N1170,O1170,J1170))</f>
        <v>25051202</v>
      </c>
      <c r="H1170" s="2">
        <v>45789</v>
      </c>
      <c r="I1170" s="113">
        <v>2</v>
      </c>
      <c r="J1170" s="1" t="str">
        <f t="shared" si="349"/>
        <v>02</v>
      </c>
      <c r="K1170" s="3">
        <f t="shared" si="350"/>
        <v>25</v>
      </c>
      <c r="L1170" s="3">
        <f t="shared" si="351"/>
        <v>5</v>
      </c>
      <c r="M1170" s="3">
        <f t="shared" si="352"/>
        <v>12</v>
      </c>
      <c r="N1170" s="3" t="str">
        <f t="shared" si="353"/>
        <v>05</v>
      </c>
      <c r="O1170" s="14">
        <f t="shared" si="354"/>
        <v>12</v>
      </c>
      <c r="P1170" s="4">
        <v>17000</v>
      </c>
      <c r="T1170" s="5" t="s">
        <v>1411</v>
      </c>
      <c r="U1170" s="3" t="s">
        <v>29</v>
      </c>
      <c r="V1170" s="3" t="s">
        <v>5</v>
      </c>
      <c r="W1170" s="3" t="s">
        <v>1307</v>
      </c>
      <c r="X1170" s="1" t="s">
        <v>1305</v>
      </c>
    </row>
    <row r="1171" spans="1:25" hidden="1">
      <c r="A1171" s="143">
        <v>1103</v>
      </c>
      <c r="B1171" s="1">
        <f>IF(G1171="-",0,IF(G1170=G1171,1,0))</f>
        <v>0</v>
      </c>
      <c r="C1171" s="1">
        <f>+IF(G1171="-",0,IF(I1171=I1170+1,0,(IF(I1171=1,0,1))))</f>
        <v>0</v>
      </c>
      <c r="D1171" s="1">
        <f>+IF(AND(P1171="",Q1171=""),1,0)</f>
        <v>0</v>
      </c>
      <c r="E1171" s="1">
        <f t="shared" si="355"/>
        <v>0</v>
      </c>
      <c r="F1171" s="1">
        <f t="shared" si="355"/>
        <v>0</v>
      </c>
      <c r="G1171" s="1" t="str">
        <f>IF(H1171=0,"-",_xlfn.CONCAT(K1171,N1171,O1171,J1171))</f>
        <v>25051203</v>
      </c>
      <c r="H1171" s="2">
        <v>45789</v>
      </c>
      <c r="I1171" s="113">
        <v>3</v>
      </c>
      <c r="J1171" s="1" t="str">
        <f t="shared" si="349"/>
        <v>03</v>
      </c>
      <c r="K1171" s="3">
        <f t="shared" si="350"/>
        <v>25</v>
      </c>
      <c r="L1171" s="3">
        <f t="shared" si="351"/>
        <v>5</v>
      </c>
      <c r="M1171" s="3">
        <f t="shared" si="352"/>
        <v>12</v>
      </c>
      <c r="N1171" s="3" t="str">
        <f t="shared" si="353"/>
        <v>05</v>
      </c>
      <c r="O1171" s="14">
        <f t="shared" si="354"/>
        <v>12</v>
      </c>
      <c r="P1171" s="4">
        <v>14150</v>
      </c>
      <c r="T1171" s="5" t="s">
        <v>352</v>
      </c>
      <c r="U1171" s="3" t="s">
        <v>30</v>
      </c>
      <c r="V1171" s="3" t="s">
        <v>1312</v>
      </c>
      <c r="W1171" s="3" t="s">
        <v>1307</v>
      </c>
      <c r="X1171" s="1" t="s">
        <v>1305</v>
      </c>
    </row>
    <row r="1172" spans="1:25" hidden="1">
      <c r="A1172" s="143"/>
      <c r="J1172" s="1" t="str">
        <f t="shared" si="349"/>
        <v>0</v>
      </c>
      <c r="K1172" s="3">
        <f t="shared" si="350"/>
        <v>-100</v>
      </c>
      <c r="L1172" s="3">
        <f t="shared" si="351"/>
        <v>1</v>
      </c>
      <c r="M1172" s="3">
        <f t="shared" si="352"/>
        <v>0</v>
      </c>
      <c r="N1172" s="3" t="str">
        <f t="shared" si="353"/>
        <v>01</v>
      </c>
      <c r="O1172" s="14" t="str">
        <f t="shared" si="354"/>
        <v>00</v>
      </c>
    </row>
    <row r="1173" spans="1:25">
      <c r="A1173" s="143">
        <v>1129</v>
      </c>
      <c r="B1173" s="1">
        <f>IF(G1173="-",0,IF(G1172=G1173,1,0))</f>
        <v>0</v>
      </c>
      <c r="C1173" s="1">
        <f>+IF(G1173="-",0,IF(I1173=I1172+1,0,(IF(I1173=1,0,1))))</f>
        <v>1</v>
      </c>
      <c r="D1173" s="1">
        <f>+IF(AND(P1173="",Q1173=""),1,0)</f>
        <v>0</v>
      </c>
      <c r="E1173" s="1">
        <f t="shared" ref="E1173:F1175" si="356">IF(U1173="",1,0)</f>
        <v>0</v>
      </c>
      <c r="F1173" s="1">
        <f t="shared" si="356"/>
        <v>0</v>
      </c>
      <c r="G1173" s="1" t="str">
        <f>IF(H1173=0,"-",_xlfn.CONCAT(K1173,N1173,O1173,J1173))</f>
        <v>25051205</v>
      </c>
      <c r="H1173" s="2">
        <v>45789</v>
      </c>
      <c r="I1173" s="113">
        <v>5</v>
      </c>
      <c r="J1173" s="1" t="str">
        <f t="shared" si="349"/>
        <v>05</v>
      </c>
      <c r="K1173" s="3">
        <f t="shared" si="350"/>
        <v>25</v>
      </c>
      <c r="L1173" s="3">
        <f t="shared" si="351"/>
        <v>5</v>
      </c>
      <c r="M1173" s="3">
        <f t="shared" si="352"/>
        <v>12</v>
      </c>
      <c r="N1173" s="3" t="str">
        <f t="shared" si="353"/>
        <v>05</v>
      </c>
      <c r="O1173" s="14">
        <f t="shared" si="354"/>
        <v>12</v>
      </c>
      <c r="P1173" s="4">
        <v>48000</v>
      </c>
      <c r="T1173" s="5" t="s">
        <v>1410</v>
      </c>
      <c r="U1173" s="3" t="s">
        <v>1397</v>
      </c>
      <c r="V1173" s="3" t="s">
        <v>5</v>
      </c>
      <c r="W1173" s="3" t="s">
        <v>1306</v>
      </c>
      <c r="X1173" s="1" t="s">
        <v>1302</v>
      </c>
    </row>
    <row r="1174" spans="1:25" hidden="1">
      <c r="A1174" s="143">
        <v>1130</v>
      </c>
      <c r="B1174" s="1">
        <f>IF(G1174="-",0,IF(G1173=G1174,1,0))</f>
        <v>0</v>
      </c>
      <c r="C1174" s="1">
        <f>+IF(G1174="-",0,IF(I1174=I1173+1,0,(IF(I1174=1,0,1))))</f>
        <v>0</v>
      </c>
      <c r="D1174" s="1">
        <f>+IF(AND(P1174="",Q1174=""),1,0)</f>
        <v>0</v>
      </c>
      <c r="E1174" s="1">
        <f t="shared" si="356"/>
        <v>0</v>
      </c>
      <c r="F1174" s="1">
        <f t="shared" si="356"/>
        <v>0</v>
      </c>
      <c r="G1174" s="1" t="str">
        <f>IF(H1174=0,"-",_xlfn.CONCAT(K1174,N1174,O1174,J1174))</f>
        <v>25051206</v>
      </c>
      <c r="H1174" s="2">
        <v>45789</v>
      </c>
      <c r="I1174" s="113">
        <v>6</v>
      </c>
      <c r="J1174" s="1" t="str">
        <f t="shared" si="349"/>
        <v>06</v>
      </c>
      <c r="K1174" s="3">
        <f t="shared" si="350"/>
        <v>25</v>
      </c>
      <c r="L1174" s="3">
        <f t="shared" si="351"/>
        <v>5</v>
      </c>
      <c r="M1174" s="3">
        <f t="shared" si="352"/>
        <v>12</v>
      </c>
      <c r="N1174" s="3" t="str">
        <f t="shared" si="353"/>
        <v>05</v>
      </c>
      <c r="O1174" s="14">
        <f t="shared" si="354"/>
        <v>12</v>
      </c>
      <c r="P1174" s="4">
        <v>27500</v>
      </c>
      <c r="T1174" s="5" t="s">
        <v>1409</v>
      </c>
      <c r="U1174" s="3" t="s">
        <v>1408</v>
      </c>
      <c r="V1174" s="3" t="s">
        <v>1316</v>
      </c>
      <c r="W1174" s="3" t="s">
        <v>1306</v>
      </c>
    </row>
    <row r="1175" spans="1:25" hidden="1">
      <c r="A1175" s="143">
        <v>1133</v>
      </c>
      <c r="B1175" s="1">
        <f>IF(G1175="-",0,IF(G1174=G1175,1,0))</f>
        <v>0</v>
      </c>
      <c r="C1175" s="1">
        <f>+IF(G1175="-",0,IF(I1175=I1174+1,0,(IF(I1175=1,0,1))))</f>
        <v>0</v>
      </c>
      <c r="D1175" s="1">
        <f>+IF(AND(P1175="",Q1175=""),1,0)</f>
        <v>0</v>
      </c>
      <c r="E1175" s="1">
        <f t="shared" si="356"/>
        <v>0</v>
      </c>
      <c r="F1175" s="1">
        <f t="shared" si="356"/>
        <v>0</v>
      </c>
      <c r="G1175" s="1" t="str">
        <f>IF(H1175=0,"-",_xlfn.CONCAT(K1175,N1175,O1175,J1175))</f>
        <v>25051207</v>
      </c>
      <c r="H1175" s="2">
        <v>45789</v>
      </c>
      <c r="I1175" s="113">
        <v>7</v>
      </c>
      <c r="J1175" s="1" t="str">
        <f t="shared" si="349"/>
        <v>07</v>
      </c>
      <c r="K1175" s="3">
        <f t="shared" si="350"/>
        <v>25</v>
      </c>
      <c r="L1175" s="3">
        <f t="shared" si="351"/>
        <v>5</v>
      </c>
      <c r="M1175" s="3">
        <f t="shared" si="352"/>
        <v>12</v>
      </c>
      <c r="N1175" s="3" t="str">
        <f t="shared" si="353"/>
        <v>05</v>
      </c>
      <c r="O1175" s="14">
        <f t="shared" si="354"/>
        <v>12</v>
      </c>
      <c r="P1175" s="4">
        <v>342036.5</v>
      </c>
      <c r="T1175" s="5" t="s">
        <v>1407</v>
      </c>
      <c r="U1175" s="3" t="s">
        <v>1406</v>
      </c>
      <c r="V1175" s="3" t="s">
        <v>1316</v>
      </c>
      <c r="W1175" s="3" t="s">
        <v>1303</v>
      </c>
      <c r="X1175" s="1" t="s">
        <v>1302</v>
      </c>
      <c r="Y1175" s="141" t="s">
        <v>1405</v>
      </c>
    </row>
    <row r="1176" spans="1:25" hidden="1">
      <c r="A1176" s="143"/>
      <c r="J1176" s="1" t="str">
        <f t="shared" si="349"/>
        <v>0</v>
      </c>
      <c r="K1176" s="3">
        <f t="shared" si="350"/>
        <v>-100</v>
      </c>
      <c r="L1176" s="3">
        <f t="shared" si="351"/>
        <v>1</v>
      </c>
      <c r="M1176" s="3">
        <f t="shared" si="352"/>
        <v>0</v>
      </c>
      <c r="N1176" s="3" t="str">
        <f t="shared" si="353"/>
        <v>01</v>
      </c>
      <c r="O1176" s="14" t="str">
        <f t="shared" si="354"/>
        <v>00</v>
      </c>
    </row>
    <row r="1177" spans="1:25" hidden="1">
      <c r="A1177" s="143"/>
      <c r="J1177" s="1" t="str">
        <f t="shared" si="349"/>
        <v>0</v>
      </c>
      <c r="K1177" s="3">
        <f t="shared" si="350"/>
        <v>-100</v>
      </c>
      <c r="L1177" s="3">
        <f t="shared" si="351"/>
        <v>1</v>
      </c>
      <c r="M1177" s="3">
        <f t="shared" si="352"/>
        <v>0</v>
      </c>
      <c r="N1177" s="3" t="str">
        <f t="shared" si="353"/>
        <v>01</v>
      </c>
      <c r="O1177" s="14" t="str">
        <f t="shared" si="354"/>
        <v>00</v>
      </c>
    </row>
    <row r="1178" spans="1:25" hidden="1">
      <c r="A1178" s="143"/>
      <c r="J1178" s="1" t="str">
        <f t="shared" si="349"/>
        <v>0</v>
      </c>
      <c r="K1178" s="3">
        <f t="shared" si="350"/>
        <v>-100</v>
      </c>
      <c r="L1178" s="3">
        <f t="shared" si="351"/>
        <v>1</v>
      </c>
      <c r="M1178" s="3">
        <f t="shared" si="352"/>
        <v>0</v>
      </c>
      <c r="N1178" s="3" t="str">
        <f t="shared" si="353"/>
        <v>01</v>
      </c>
      <c r="O1178" s="14" t="str">
        <f t="shared" si="354"/>
        <v>00</v>
      </c>
    </row>
    <row r="1179" spans="1:25" hidden="1">
      <c r="A1179" s="143"/>
      <c r="J1179" s="1" t="str">
        <f t="shared" si="349"/>
        <v>0</v>
      </c>
      <c r="K1179" s="3">
        <f t="shared" si="350"/>
        <v>-100</v>
      </c>
      <c r="L1179" s="3">
        <f t="shared" si="351"/>
        <v>1</v>
      </c>
      <c r="M1179" s="3">
        <f t="shared" si="352"/>
        <v>0</v>
      </c>
      <c r="N1179" s="3" t="str">
        <f t="shared" si="353"/>
        <v>01</v>
      </c>
      <c r="O1179" s="14" t="str">
        <f t="shared" si="354"/>
        <v>00</v>
      </c>
    </row>
    <row r="1180" spans="1:25" hidden="1">
      <c r="A1180" s="143"/>
      <c r="J1180" s="1" t="str">
        <f t="shared" si="349"/>
        <v>0</v>
      </c>
      <c r="K1180" s="3">
        <f t="shared" si="350"/>
        <v>-100</v>
      </c>
      <c r="L1180" s="3">
        <f t="shared" si="351"/>
        <v>1</v>
      </c>
      <c r="M1180" s="3">
        <f t="shared" si="352"/>
        <v>0</v>
      </c>
      <c r="N1180" s="3" t="str">
        <f t="shared" si="353"/>
        <v>01</v>
      </c>
      <c r="O1180" s="14" t="str">
        <f t="shared" si="354"/>
        <v>00</v>
      </c>
    </row>
    <row r="1181" spans="1:25" hidden="1">
      <c r="A1181" s="143"/>
      <c r="J1181" s="1" t="str">
        <f t="shared" si="349"/>
        <v>0</v>
      </c>
      <c r="K1181" s="3">
        <f t="shared" si="350"/>
        <v>-100</v>
      </c>
      <c r="L1181" s="3">
        <f t="shared" si="351"/>
        <v>1</v>
      </c>
      <c r="M1181" s="3">
        <f t="shared" si="352"/>
        <v>0</v>
      </c>
      <c r="N1181" s="3" t="str">
        <f t="shared" si="353"/>
        <v>01</v>
      </c>
      <c r="O1181" s="14" t="str">
        <f t="shared" si="354"/>
        <v>00</v>
      </c>
    </row>
    <row r="1182" spans="1:25" hidden="1">
      <c r="A1182" s="143"/>
      <c r="J1182" s="1" t="str">
        <f t="shared" si="349"/>
        <v>0</v>
      </c>
      <c r="K1182" s="3">
        <f t="shared" si="350"/>
        <v>-100</v>
      </c>
      <c r="L1182" s="3">
        <f t="shared" si="351"/>
        <v>1</v>
      </c>
      <c r="M1182" s="3">
        <f t="shared" si="352"/>
        <v>0</v>
      </c>
      <c r="N1182" s="3" t="str">
        <f t="shared" si="353"/>
        <v>01</v>
      </c>
      <c r="O1182" s="14" t="str">
        <f t="shared" si="354"/>
        <v>00</v>
      </c>
    </row>
    <row r="1183" spans="1:25" hidden="1">
      <c r="A1183" s="143">
        <v>1213</v>
      </c>
      <c r="B1183" s="1">
        <f>IF(G1183="-",0,IF(G1182=G1183,1,0))</f>
        <v>0</v>
      </c>
      <c r="C1183" s="1">
        <f>+IF(G1183="-",0,IF(I1183=I1182+1,0,(IF(I1183=1,0,1))))</f>
        <v>1</v>
      </c>
      <c r="D1183" s="1">
        <f>+IF(AND(P1183="",Q1183=""),1,0)</f>
        <v>0</v>
      </c>
      <c r="E1183" s="1">
        <f>IF(U1183="",1,0)</f>
        <v>0</v>
      </c>
      <c r="F1183" s="1">
        <f>IF(V1183="",1,0)</f>
        <v>0</v>
      </c>
      <c r="G1183" s="1" t="str">
        <f>IF(H1183=0,"-",_xlfn.CONCAT(K1183,N1183,O1183,J1183))</f>
        <v>25051307</v>
      </c>
      <c r="H1183" s="2">
        <v>45790</v>
      </c>
      <c r="I1183" s="113">
        <v>7</v>
      </c>
      <c r="J1183" s="1" t="str">
        <f t="shared" si="349"/>
        <v>07</v>
      </c>
      <c r="K1183" s="3">
        <f t="shared" si="350"/>
        <v>25</v>
      </c>
      <c r="L1183" s="3">
        <f t="shared" si="351"/>
        <v>5</v>
      </c>
      <c r="M1183" s="3">
        <f t="shared" si="352"/>
        <v>13</v>
      </c>
      <c r="N1183" s="3" t="str">
        <f t="shared" si="353"/>
        <v>05</v>
      </c>
      <c r="O1183" s="14">
        <f t="shared" si="354"/>
        <v>13</v>
      </c>
      <c r="P1183" s="4">
        <v>4320</v>
      </c>
      <c r="T1183" s="5" t="s">
        <v>1372</v>
      </c>
      <c r="U1183" s="3" t="s">
        <v>1310</v>
      </c>
      <c r="V1183" s="3" t="s">
        <v>1304</v>
      </c>
      <c r="W1183" s="3" t="s">
        <v>1309</v>
      </c>
      <c r="X1183" s="1" t="s">
        <v>1302</v>
      </c>
    </row>
    <row r="1184" spans="1:25" hidden="1">
      <c r="A1184" s="143"/>
      <c r="J1184" s="1" t="str">
        <f t="shared" si="349"/>
        <v>0</v>
      </c>
      <c r="K1184" s="3">
        <f t="shared" si="350"/>
        <v>-100</v>
      </c>
      <c r="L1184" s="3">
        <f t="shared" si="351"/>
        <v>1</v>
      </c>
      <c r="M1184" s="3">
        <f t="shared" si="352"/>
        <v>0</v>
      </c>
      <c r="N1184" s="3" t="str">
        <f t="shared" si="353"/>
        <v>01</v>
      </c>
      <c r="O1184" s="14" t="str">
        <f t="shared" si="354"/>
        <v>00</v>
      </c>
    </row>
    <row r="1185" spans="1:25" hidden="1">
      <c r="A1185" s="143"/>
      <c r="J1185" s="1" t="str">
        <f t="shared" si="349"/>
        <v>0</v>
      </c>
      <c r="K1185" s="3">
        <f t="shared" si="350"/>
        <v>-100</v>
      </c>
      <c r="L1185" s="3">
        <f t="shared" si="351"/>
        <v>1</v>
      </c>
      <c r="M1185" s="3">
        <f t="shared" si="352"/>
        <v>0</v>
      </c>
      <c r="N1185" s="3" t="str">
        <f t="shared" si="353"/>
        <v>01</v>
      </c>
      <c r="O1185" s="14" t="str">
        <f t="shared" si="354"/>
        <v>00</v>
      </c>
    </row>
    <row r="1186" spans="1:25" hidden="1">
      <c r="A1186" s="143"/>
      <c r="J1186" s="1" t="str">
        <f t="shared" si="349"/>
        <v>0</v>
      </c>
      <c r="K1186" s="3">
        <f t="shared" si="350"/>
        <v>-100</v>
      </c>
      <c r="L1186" s="3">
        <f t="shared" si="351"/>
        <v>1</v>
      </c>
      <c r="M1186" s="3">
        <f t="shared" si="352"/>
        <v>0</v>
      </c>
      <c r="N1186" s="3" t="str">
        <f t="shared" si="353"/>
        <v>01</v>
      </c>
      <c r="O1186" s="14" t="str">
        <f t="shared" si="354"/>
        <v>00</v>
      </c>
    </row>
    <row r="1187" spans="1:25" hidden="1">
      <c r="A1187" s="143">
        <v>1140</v>
      </c>
      <c r="B1187" s="1">
        <f>IF(G1187="-",0,IF(G1186=G1187,1,0))</f>
        <v>0</v>
      </c>
      <c r="C1187" s="1">
        <f>+IF(G1187="-",0,IF(I1187=I1186+1,0,(IF(I1187=1,0,1))))</f>
        <v>1</v>
      </c>
      <c r="D1187" s="1">
        <f>+IF(AND(P1187="",Q1187=""),1,0)</f>
        <v>0</v>
      </c>
      <c r="E1187" s="1">
        <f t="shared" ref="E1187:F1189" si="357">IF(U1187="",1,0)</f>
        <v>0</v>
      </c>
      <c r="F1187" s="1">
        <f t="shared" si="357"/>
        <v>0</v>
      </c>
      <c r="G1187" s="1" t="str">
        <f>IF(H1187=0,"-",_xlfn.CONCAT(K1187,N1187,O1187,J1187))</f>
        <v>25051404</v>
      </c>
      <c r="H1187" s="2">
        <v>45791</v>
      </c>
      <c r="I1187" s="113">
        <v>4</v>
      </c>
      <c r="J1187" s="1" t="str">
        <f t="shared" si="349"/>
        <v>04</v>
      </c>
      <c r="K1187" s="3">
        <f t="shared" si="350"/>
        <v>25</v>
      </c>
      <c r="L1187" s="3">
        <f t="shared" si="351"/>
        <v>5</v>
      </c>
      <c r="M1187" s="3">
        <f t="shared" si="352"/>
        <v>14</v>
      </c>
      <c r="N1187" s="3" t="str">
        <f t="shared" si="353"/>
        <v>05</v>
      </c>
      <c r="O1187" s="14">
        <f t="shared" si="354"/>
        <v>14</v>
      </c>
      <c r="P1187" s="4">
        <v>28824</v>
      </c>
      <c r="T1187" s="5" t="s">
        <v>1403</v>
      </c>
      <c r="U1187" s="3" t="s">
        <v>1310</v>
      </c>
      <c r="V1187" s="3" t="s">
        <v>1316</v>
      </c>
      <c r="W1187" s="3" t="s">
        <v>1307</v>
      </c>
      <c r="X1187" s="1" t="s">
        <v>1305</v>
      </c>
    </row>
    <row r="1188" spans="1:25" hidden="1">
      <c r="A1188" s="143">
        <v>1141</v>
      </c>
      <c r="B1188" s="1">
        <f>IF(G1188="-",0,IF(G1187=G1188,1,0))</f>
        <v>0</v>
      </c>
      <c r="C1188" s="1">
        <f>+IF(G1188="-",0,IF(I1188=I1187+1,0,(IF(I1188=1,0,1))))</f>
        <v>0</v>
      </c>
      <c r="D1188" s="1">
        <f>+IF(AND(P1188="",Q1188=""),1,0)</f>
        <v>0</v>
      </c>
      <c r="E1188" s="1">
        <f t="shared" si="357"/>
        <v>0</v>
      </c>
      <c r="F1188" s="1">
        <f t="shared" si="357"/>
        <v>0</v>
      </c>
      <c r="G1188" s="1" t="str">
        <f>IF(H1188=0,"-",_xlfn.CONCAT(K1188,N1188,O1188,J1188))</f>
        <v>25051501</v>
      </c>
      <c r="H1188" s="2">
        <v>45792</v>
      </c>
      <c r="I1188" s="113">
        <v>1</v>
      </c>
      <c r="J1188" s="1" t="str">
        <f t="shared" si="349"/>
        <v>01</v>
      </c>
      <c r="K1188" s="3">
        <f t="shared" si="350"/>
        <v>25</v>
      </c>
      <c r="L1188" s="3">
        <f t="shared" si="351"/>
        <v>5</v>
      </c>
      <c r="M1188" s="3">
        <f t="shared" si="352"/>
        <v>15</v>
      </c>
      <c r="N1188" s="3" t="str">
        <f t="shared" si="353"/>
        <v>05</v>
      </c>
      <c r="O1188" s="14">
        <f t="shared" si="354"/>
        <v>15</v>
      </c>
      <c r="P1188" s="4">
        <v>7352.35</v>
      </c>
      <c r="T1188" s="5" t="s">
        <v>1402</v>
      </c>
      <c r="U1188" s="3" t="s">
        <v>29</v>
      </c>
      <c r="V1188" s="3" t="s">
        <v>5</v>
      </c>
      <c r="W1188" s="3" t="s">
        <v>1307</v>
      </c>
      <c r="X1188" s="1" t="s">
        <v>1305</v>
      </c>
    </row>
    <row r="1189" spans="1:25" hidden="1">
      <c r="A1189" s="143">
        <v>1142</v>
      </c>
      <c r="B1189" s="1">
        <f>IF(G1189="-",0,IF(G1188=G1189,1,0))</f>
        <v>0</v>
      </c>
      <c r="C1189" s="1">
        <f>+IF(G1189="-",0,IF(I1189=I1188+1,0,(IF(I1189=1,0,1))))</f>
        <v>0</v>
      </c>
      <c r="D1189" s="1">
        <f>+IF(AND(P1189="",Q1189=""),1,0)</f>
        <v>0</v>
      </c>
      <c r="E1189" s="1">
        <f t="shared" si="357"/>
        <v>0</v>
      </c>
      <c r="F1189" s="1">
        <f t="shared" si="357"/>
        <v>0</v>
      </c>
      <c r="G1189" s="1" t="str">
        <f>IF(H1189=0,"-",_xlfn.CONCAT(K1189,N1189,O1189,J1189))</f>
        <v>25051502</v>
      </c>
      <c r="H1189" s="2">
        <v>45792</v>
      </c>
      <c r="I1189" s="113">
        <v>2</v>
      </c>
      <c r="J1189" s="1" t="str">
        <f t="shared" si="349"/>
        <v>02</v>
      </c>
      <c r="K1189" s="3">
        <f t="shared" si="350"/>
        <v>25</v>
      </c>
      <c r="L1189" s="3">
        <f t="shared" si="351"/>
        <v>5</v>
      </c>
      <c r="M1189" s="3">
        <f t="shared" si="352"/>
        <v>15</v>
      </c>
      <c r="N1189" s="3" t="str">
        <f t="shared" si="353"/>
        <v>05</v>
      </c>
      <c r="O1189" s="14">
        <f t="shared" si="354"/>
        <v>15</v>
      </c>
      <c r="P1189" s="4">
        <v>12654.42</v>
      </c>
      <c r="T1189" s="5" t="s">
        <v>1401</v>
      </c>
      <c r="U1189" s="3" t="s">
        <v>29</v>
      </c>
      <c r="V1189" s="3" t="s">
        <v>5</v>
      </c>
      <c r="W1189" s="3" t="s">
        <v>1307</v>
      </c>
      <c r="X1189" s="1" t="s">
        <v>1305</v>
      </c>
    </row>
    <row r="1190" spans="1:25" hidden="1">
      <c r="A1190" s="143"/>
      <c r="J1190" s="1" t="str">
        <f t="shared" si="349"/>
        <v>0</v>
      </c>
      <c r="K1190" s="3">
        <f t="shared" si="350"/>
        <v>-100</v>
      </c>
      <c r="L1190" s="3">
        <f t="shared" si="351"/>
        <v>1</v>
      </c>
      <c r="M1190" s="3">
        <f t="shared" si="352"/>
        <v>0</v>
      </c>
      <c r="N1190" s="3" t="str">
        <f t="shared" si="353"/>
        <v>01</v>
      </c>
      <c r="O1190" s="14" t="str">
        <f t="shared" si="354"/>
        <v>00</v>
      </c>
    </row>
    <row r="1191" spans="1:25" hidden="1">
      <c r="A1191" s="143">
        <v>1144</v>
      </c>
      <c r="B1191" s="1">
        <f>IF(G1191="-",0,IF(G1190=G1191,1,0))</f>
        <v>0</v>
      </c>
      <c r="C1191" s="1">
        <f>+IF(G1191="-",0,IF(I1191=I1190+1,0,(IF(I1191=1,0,1))))</f>
        <v>0</v>
      </c>
      <c r="D1191" s="1">
        <f>+IF(AND(P1191="",Q1191=""),1,0)</f>
        <v>0</v>
      </c>
      <c r="E1191" s="1">
        <f>IF(U1191="",1,0)</f>
        <v>0</v>
      </c>
      <c r="F1191" s="1">
        <f>IF(V1191="",1,0)</f>
        <v>0</v>
      </c>
      <c r="G1191" s="1" t="str">
        <f>IF(H1191=0,"-",_xlfn.CONCAT(K1191,N1191,O1191,J1191))</f>
        <v>25051601</v>
      </c>
      <c r="H1191" s="2">
        <v>45793</v>
      </c>
      <c r="I1191" s="113">
        <v>1</v>
      </c>
      <c r="J1191" s="1" t="str">
        <f t="shared" si="349"/>
        <v>01</v>
      </c>
      <c r="K1191" s="3">
        <f t="shared" si="350"/>
        <v>25</v>
      </c>
      <c r="L1191" s="3">
        <f t="shared" si="351"/>
        <v>5</v>
      </c>
      <c r="M1191" s="3">
        <f t="shared" si="352"/>
        <v>16</v>
      </c>
      <c r="N1191" s="3" t="str">
        <f t="shared" si="353"/>
        <v>05</v>
      </c>
      <c r="O1191" s="14">
        <f t="shared" si="354"/>
        <v>16</v>
      </c>
      <c r="P1191" s="4">
        <v>17765</v>
      </c>
      <c r="T1191" s="5" t="s">
        <v>1400</v>
      </c>
      <c r="U1191" s="3" t="s">
        <v>1310</v>
      </c>
      <c r="V1191" s="3" t="s">
        <v>1316</v>
      </c>
      <c r="W1191" s="3" t="s">
        <v>1307</v>
      </c>
      <c r="X1191" s="1" t="s">
        <v>1305</v>
      </c>
    </row>
    <row r="1192" spans="1:25" hidden="1">
      <c r="A1192" s="143"/>
      <c r="J1192" s="1" t="str">
        <f t="shared" si="349"/>
        <v>0</v>
      </c>
      <c r="K1192" s="3">
        <f t="shared" si="350"/>
        <v>-100</v>
      </c>
      <c r="L1192" s="3">
        <f t="shared" si="351"/>
        <v>1</v>
      </c>
      <c r="M1192" s="3">
        <f t="shared" si="352"/>
        <v>0</v>
      </c>
      <c r="N1192" s="3" t="str">
        <f t="shared" si="353"/>
        <v>01</v>
      </c>
      <c r="O1192" s="14" t="str">
        <f t="shared" si="354"/>
        <v>00</v>
      </c>
    </row>
    <row r="1193" spans="1:25" hidden="1">
      <c r="A1193" s="143">
        <v>1146</v>
      </c>
      <c r="B1193" s="1">
        <f>IF(G1193="-",0,IF(G1192=G1193,1,0))</f>
        <v>0</v>
      </c>
      <c r="C1193" s="1">
        <f>+IF(G1193="-",0,IF(I1193=I1192+1,0,(IF(I1193=1,0,1))))</f>
        <v>1</v>
      </c>
      <c r="D1193" s="1">
        <f>+IF(AND(P1193="",Q1193=""),1,0)</f>
        <v>0</v>
      </c>
      <c r="E1193" s="1">
        <f>IF(U1193="",1,0)</f>
        <v>0</v>
      </c>
      <c r="F1193" s="1">
        <f>IF(V1193="",1,0)</f>
        <v>0</v>
      </c>
      <c r="G1193" s="1" t="str">
        <f>IF(H1193=0,"-",_xlfn.CONCAT(K1193,N1193,O1193,J1193))</f>
        <v>25051603</v>
      </c>
      <c r="H1193" s="2">
        <v>45793</v>
      </c>
      <c r="I1193" s="113">
        <v>3</v>
      </c>
      <c r="J1193" s="1" t="str">
        <f t="shared" si="349"/>
        <v>03</v>
      </c>
      <c r="K1193" s="3">
        <f t="shared" si="350"/>
        <v>25</v>
      </c>
      <c r="L1193" s="3">
        <f t="shared" si="351"/>
        <v>5</v>
      </c>
      <c r="M1193" s="3">
        <f t="shared" si="352"/>
        <v>16</v>
      </c>
      <c r="N1193" s="3" t="str">
        <f t="shared" si="353"/>
        <v>05</v>
      </c>
      <c r="O1193" s="14">
        <f t="shared" si="354"/>
        <v>16</v>
      </c>
      <c r="P1193" s="4">
        <v>9175.92</v>
      </c>
      <c r="T1193" s="5" t="s">
        <v>1330</v>
      </c>
      <c r="U1193" s="3" t="s">
        <v>1399</v>
      </c>
      <c r="V1193" s="3" t="s">
        <v>1304</v>
      </c>
      <c r="W1193" s="3" t="s">
        <v>1303</v>
      </c>
      <c r="X1193" s="1" t="s">
        <v>1305</v>
      </c>
      <c r="Y1193" s="141" t="s">
        <v>1398</v>
      </c>
    </row>
    <row r="1194" spans="1:25" hidden="1">
      <c r="A1194" s="143"/>
      <c r="J1194" s="1" t="str">
        <f t="shared" si="349"/>
        <v>0</v>
      </c>
      <c r="K1194" s="3">
        <f t="shared" si="350"/>
        <v>-100</v>
      </c>
      <c r="L1194" s="3">
        <f t="shared" si="351"/>
        <v>1</v>
      </c>
      <c r="M1194" s="3">
        <f t="shared" si="352"/>
        <v>0</v>
      </c>
      <c r="N1194" s="3" t="str">
        <f t="shared" si="353"/>
        <v>01</v>
      </c>
      <c r="O1194" s="14" t="str">
        <f t="shared" si="354"/>
        <v>00</v>
      </c>
    </row>
    <row r="1195" spans="1:25" hidden="1">
      <c r="A1195" s="143"/>
      <c r="J1195" s="1" t="str">
        <f t="shared" si="349"/>
        <v>0</v>
      </c>
      <c r="K1195" s="3">
        <f t="shared" si="350"/>
        <v>-100</v>
      </c>
      <c r="L1195" s="3">
        <f t="shared" si="351"/>
        <v>1</v>
      </c>
      <c r="M1195" s="3">
        <f t="shared" si="352"/>
        <v>0</v>
      </c>
      <c r="N1195" s="3" t="str">
        <f t="shared" si="353"/>
        <v>01</v>
      </c>
      <c r="O1195" s="14" t="str">
        <f t="shared" si="354"/>
        <v>00</v>
      </c>
    </row>
    <row r="1196" spans="1:25" hidden="1">
      <c r="A1196" s="143"/>
      <c r="J1196" s="1" t="str">
        <f t="shared" si="349"/>
        <v>0</v>
      </c>
      <c r="K1196" s="3">
        <f t="shared" si="350"/>
        <v>-100</v>
      </c>
      <c r="L1196" s="3">
        <f t="shared" si="351"/>
        <v>1</v>
      </c>
      <c r="M1196" s="3">
        <f t="shared" si="352"/>
        <v>0</v>
      </c>
      <c r="N1196" s="3" t="str">
        <f t="shared" si="353"/>
        <v>01</v>
      </c>
      <c r="O1196" s="14" t="str">
        <f t="shared" si="354"/>
        <v>00</v>
      </c>
    </row>
    <row r="1197" spans="1:25" hidden="1">
      <c r="A1197" s="143"/>
      <c r="J1197" s="1" t="str">
        <f t="shared" si="349"/>
        <v>0</v>
      </c>
      <c r="K1197" s="3">
        <f t="shared" si="350"/>
        <v>-100</v>
      </c>
      <c r="L1197" s="3">
        <f t="shared" si="351"/>
        <v>1</v>
      </c>
      <c r="M1197" s="3">
        <f t="shared" si="352"/>
        <v>0</v>
      </c>
      <c r="N1197" s="3" t="str">
        <f t="shared" si="353"/>
        <v>01</v>
      </c>
      <c r="O1197" s="14" t="str">
        <f t="shared" si="354"/>
        <v>00</v>
      </c>
    </row>
    <row r="1198" spans="1:25" hidden="1">
      <c r="A1198" s="143">
        <v>1147</v>
      </c>
      <c r="B1198" s="1">
        <f>IF(G1198="-",0,IF(G1197=G1198,1,0))</f>
        <v>0</v>
      </c>
      <c r="C1198" s="1">
        <f>+IF(G1198="-",0,IF(I1198=I1197+1,0,(IF(I1198=1,0,1))))</f>
        <v>0</v>
      </c>
      <c r="D1198" s="1">
        <f>+IF(AND(P1198="",Q1198=""),1,0)</f>
        <v>0</v>
      </c>
      <c r="E1198" s="1">
        <f t="shared" ref="E1198:F1200" si="358">IF(U1198="",1,0)</f>
        <v>0</v>
      </c>
      <c r="F1198" s="1">
        <f t="shared" si="358"/>
        <v>0</v>
      </c>
      <c r="G1198" s="1" t="str">
        <f>IF(H1198=0,"-",_xlfn.CONCAT(K1198,N1198,O1198,J1198))</f>
        <v>25051701</v>
      </c>
      <c r="H1198" s="2">
        <v>45794</v>
      </c>
      <c r="I1198" s="113">
        <v>1</v>
      </c>
      <c r="J1198" s="1" t="str">
        <f t="shared" si="349"/>
        <v>01</v>
      </c>
      <c r="K1198" s="3">
        <f t="shared" si="350"/>
        <v>25</v>
      </c>
      <c r="L1198" s="3">
        <f t="shared" si="351"/>
        <v>5</v>
      </c>
      <c r="M1198" s="3">
        <f t="shared" si="352"/>
        <v>17</v>
      </c>
      <c r="N1198" s="3" t="str">
        <f t="shared" si="353"/>
        <v>05</v>
      </c>
      <c r="O1198" s="14">
        <f t="shared" si="354"/>
        <v>17</v>
      </c>
      <c r="P1198" s="4">
        <v>15465.63</v>
      </c>
      <c r="T1198" s="5" t="s">
        <v>1396</v>
      </c>
      <c r="U1198" s="3" t="s">
        <v>29</v>
      </c>
      <c r="V1198" s="3" t="s">
        <v>5</v>
      </c>
      <c r="W1198" s="3" t="s">
        <v>1307</v>
      </c>
      <c r="X1198" s="1" t="s">
        <v>1305</v>
      </c>
    </row>
    <row r="1199" spans="1:25" hidden="1">
      <c r="A1199" s="143">
        <v>1148</v>
      </c>
      <c r="B1199" s="1">
        <f>IF(G1199="-",0,IF(G1198=G1199,1,0))</f>
        <v>0</v>
      </c>
      <c r="C1199" s="1">
        <f>+IF(G1199="-",0,IF(I1199=I1198+1,0,(IF(I1199=1,0,1))))</f>
        <v>0</v>
      </c>
      <c r="D1199" s="1">
        <f>+IF(AND(P1199="",Q1199=""),1,0)</f>
        <v>0</v>
      </c>
      <c r="E1199" s="1">
        <f t="shared" si="358"/>
        <v>0</v>
      </c>
      <c r="F1199" s="1">
        <f t="shared" si="358"/>
        <v>0</v>
      </c>
      <c r="G1199" s="1" t="str">
        <f>IF(H1199=0,"-",_xlfn.CONCAT(K1199,N1199,O1199,J1199))</f>
        <v>25051702</v>
      </c>
      <c r="H1199" s="2">
        <v>45794</v>
      </c>
      <c r="I1199" s="113">
        <v>2</v>
      </c>
      <c r="J1199" s="1" t="str">
        <f t="shared" si="349"/>
        <v>02</v>
      </c>
      <c r="K1199" s="3">
        <f t="shared" si="350"/>
        <v>25</v>
      </c>
      <c r="L1199" s="3">
        <f t="shared" si="351"/>
        <v>5</v>
      </c>
      <c r="M1199" s="3">
        <f t="shared" si="352"/>
        <v>17</v>
      </c>
      <c r="N1199" s="3" t="str">
        <f t="shared" si="353"/>
        <v>05</v>
      </c>
      <c r="O1199" s="14">
        <f t="shared" si="354"/>
        <v>17</v>
      </c>
      <c r="P1199" s="4">
        <v>-7352.35</v>
      </c>
      <c r="T1199" s="5" t="s">
        <v>1395</v>
      </c>
      <c r="U1199" s="3" t="s">
        <v>29</v>
      </c>
      <c r="V1199" s="3" t="s">
        <v>5</v>
      </c>
      <c r="W1199" s="3" t="s">
        <v>1307</v>
      </c>
      <c r="X1199" s="1" t="s">
        <v>1305</v>
      </c>
      <c r="Y1199" s="141" t="s">
        <v>1394</v>
      </c>
    </row>
    <row r="1200" spans="1:25" hidden="1">
      <c r="A1200" s="143">
        <v>1149</v>
      </c>
      <c r="B1200" s="1">
        <f>IF(G1200="-",0,IF(G1199=G1200,1,0))</f>
        <v>0</v>
      </c>
      <c r="C1200" s="1">
        <f>+IF(G1200="-",0,IF(I1200=I1199+1,0,(IF(I1200=1,0,1))))</f>
        <v>0</v>
      </c>
      <c r="D1200" s="1">
        <f>+IF(AND(P1200="",Q1200=""),1,0)</f>
        <v>0</v>
      </c>
      <c r="E1200" s="1">
        <f t="shared" si="358"/>
        <v>0</v>
      </c>
      <c r="F1200" s="1">
        <f t="shared" si="358"/>
        <v>0</v>
      </c>
      <c r="G1200" s="1" t="str">
        <f>IF(H1200=0,"-",_xlfn.CONCAT(K1200,N1200,O1200,J1200))</f>
        <v>25051703</v>
      </c>
      <c r="H1200" s="2">
        <v>45794</v>
      </c>
      <c r="I1200" s="113">
        <v>3</v>
      </c>
      <c r="J1200" s="1" t="str">
        <f t="shared" si="349"/>
        <v>03</v>
      </c>
      <c r="K1200" s="3">
        <f t="shared" si="350"/>
        <v>25</v>
      </c>
      <c r="L1200" s="3">
        <f t="shared" si="351"/>
        <v>5</v>
      </c>
      <c r="M1200" s="3">
        <f t="shared" si="352"/>
        <v>17</v>
      </c>
      <c r="N1200" s="3" t="str">
        <f t="shared" si="353"/>
        <v>05</v>
      </c>
      <c r="O1200" s="14">
        <f t="shared" si="354"/>
        <v>17</v>
      </c>
      <c r="P1200" s="4">
        <v>7885.01</v>
      </c>
      <c r="T1200" s="5" t="s">
        <v>1393</v>
      </c>
      <c r="U1200" s="3" t="s">
        <v>29</v>
      </c>
      <c r="V1200" s="3" t="s">
        <v>5</v>
      </c>
      <c r="W1200" s="3" t="s">
        <v>1307</v>
      </c>
      <c r="X1200" s="1" t="s">
        <v>1305</v>
      </c>
    </row>
    <row r="1201" spans="1:24" hidden="1">
      <c r="A1201" s="143"/>
      <c r="J1201" s="1" t="str">
        <f t="shared" si="349"/>
        <v>0</v>
      </c>
      <c r="K1201" s="3">
        <f t="shared" si="350"/>
        <v>-100</v>
      </c>
      <c r="L1201" s="3">
        <f t="shared" si="351"/>
        <v>1</v>
      </c>
      <c r="M1201" s="3">
        <f t="shared" si="352"/>
        <v>0</v>
      </c>
      <c r="N1201" s="3" t="str">
        <f t="shared" si="353"/>
        <v>01</v>
      </c>
      <c r="O1201" s="14" t="str">
        <f t="shared" si="354"/>
        <v>00</v>
      </c>
    </row>
    <row r="1202" spans="1:24" hidden="1">
      <c r="A1202" s="143"/>
      <c r="J1202" s="1" t="str">
        <f t="shared" si="349"/>
        <v>0</v>
      </c>
      <c r="K1202" s="3">
        <f t="shared" si="350"/>
        <v>-100</v>
      </c>
      <c r="L1202" s="3">
        <f t="shared" si="351"/>
        <v>1</v>
      </c>
      <c r="M1202" s="3">
        <f t="shared" si="352"/>
        <v>0</v>
      </c>
      <c r="N1202" s="3" t="str">
        <f t="shared" si="353"/>
        <v>01</v>
      </c>
      <c r="O1202" s="14" t="str">
        <f t="shared" si="354"/>
        <v>00</v>
      </c>
    </row>
    <row r="1203" spans="1:24">
      <c r="A1203" s="143">
        <v>1242</v>
      </c>
      <c r="B1203" s="1">
        <f t="shared" ref="B1203:B1219" si="359">IF(G1203="-",0,IF(G1202=G1203,1,0))</f>
        <v>0</v>
      </c>
      <c r="C1203" s="1">
        <f t="shared" ref="C1203:C1219" si="360">+IF(G1203="-",0,IF(I1203=I1202+1,0,(IF(I1203=1,0,1))))</f>
        <v>1</v>
      </c>
      <c r="D1203" s="1">
        <f t="shared" ref="D1203:D1219" si="361">+IF(AND(P1203="",Q1203=""),1,0)</f>
        <v>0</v>
      </c>
      <c r="E1203" s="1">
        <f t="shared" ref="E1203:E1219" si="362">IF(U1203="",1,0)</f>
        <v>0</v>
      </c>
      <c r="F1203" s="1">
        <f t="shared" ref="F1203:F1219" si="363">IF(V1203="",1,0)</f>
        <v>0</v>
      </c>
      <c r="G1203" s="1" t="str">
        <f t="shared" ref="G1203:G1219" si="364">IF(H1203=0,"-",_xlfn.CONCAT(K1203,N1203,O1203,J1203))</f>
        <v>25051706</v>
      </c>
      <c r="H1203" s="2">
        <v>45794</v>
      </c>
      <c r="I1203" s="113">
        <v>6</v>
      </c>
      <c r="J1203" s="1" t="str">
        <f t="shared" si="349"/>
        <v>06</v>
      </c>
      <c r="K1203" s="3">
        <f t="shared" si="350"/>
        <v>25</v>
      </c>
      <c r="L1203" s="3">
        <f t="shared" si="351"/>
        <v>5</v>
      </c>
      <c r="M1203" s="3">
        <f t="shared" si="352"/>
        <v>17</v>
      </c>
      <c r="N1203" s="3" t="str">
        <f t="shared" si="353"/>
        <v>05</v>
      </c>
      <c r="O1203" s="14">
        <f t="shared" si="354"/>
        <v>17</v>
      </c>
      <c r="P1203" s="4">
        <v>159000</v>
      </c>
      <c r="T1203" s="28" t="s">
        <v>1392</v>
      </c>
      <c r="U1203" s="3" t="s">
        <v>1342</v>
      </c>
      <c r="V1203" s="3" t="s">
        <v>5</v>
      </c>
      <c r="W1203" s="3" t="s">
        <v>1306</v>
      </c>
      <c r="X1203" s="1" t="s">
        <v>1302</v>
      </c>
    </row>
    <row r="1204" spans="1:24">
      <c r="A1204" s="143">
        <v>1243</v>
      </c>
      <c r="B1204" s="1">
        <f t="shared" si="359"/>
        <v>0</v>
      </c>
      <c r="C1204" s="1">
        <f t="shared" si="360"/>
        <v>0</v>
      </c>
      <c r="D1204" s="1">
        <f t="shared" si="361"/>
        <v>0</v>
      </c>
      <c r="E1204" s="1">
        <f t="shared" si="362"/>
        <v>0</v>
      </c>
      <c r="F1204" s="1">
        <f t="shared" si="363"/>
        <v>0</v>
      </c>
      <c r="G1204" s="1" t="str">
        <f t="shared" si="364"/>
        <v>25051707</v>
      </c>
      <c r="H1204" s="2">
        <v>45794</v>
      </c>
      <c r="I1204" s="113">
        <v>7</v>
      </c>
      <c r="J1204" s="1" t="str">
        <f t="shared" si="349"/>
        <v>07</v>
      </c>
      <c r="K1204" s="3">
        <f t="shared" si="350"/>
        <v>25</v>
      </c>
      <c r="L1204" s="3">
        <f t="shared" si="351"/>
        <v>5</v>
      </c>
      <c r="M1204" s="3">
        <f t="shared" si="352"/>
        <v>17</v>
      </c>
      <c r="N1204" s="3" t="str">
        <f t="shared" si="353"/>
        <v>05</v>
      </c>
      <c r="O1204" s="14">
        <f t="shared" si="354"/>
        <v>17</v>
      </c>
      <c r="P1204" s="4">
        <v>132000</v>
      </c>
      <c r="T1204" s="28" t="s">
        <v>1391</v>
      </c>
      <c r="U1204" s="3" t="s">
        <v>1342</v>
      </c>
      <c r="V1204" s="3" t="s">
        <v>5</v>
      </c>
      <c r="W1204" s="3" t="s">
        <v>1306</v>
      </c>
      <c r="X1204" s="1" t="s">
        <v>1302</v>
      </c>
    </row>
    <row r="1205" spans="1:24">
      <c r="A1205" s="143">
        <v>1244</v>
      </c>
      <c r="B1205" s="1">
        <f t="shared" si="359"/>
        <v>0</v>
      </c>
      <c r="C1205" s="1">
        <f t="shared" si="360"/>
        <v>0</v>
      </c>
      <c r="D1205" s="1">
        <f t="shared" si="361"/>
        <v>0</v>
      </c>
      <c r="E1205" s="1">
        <f t="shared" si="362"/>
        <v>0</v>
      </c>
      <c r="F1205" s="1">
        <f t="shared" si="363"/>
        <v>0</v>
      </c>
      <c r="G1205" s="1" t="str">
        <f t="shared" si="364"/>
        <v>25051708</v>
      </c>
      <c r="H1205" s="2">
        <v>45794</v>
      </c>
      <c r="I1205" s="113">
        <v>8</v>
      </c>
      <c r="J1205" s="1" t="str">
        <f t="shared" si="349"/>
        <v>08</v>
      </c>
      <c r="K1205" s="3">
        <f t="shared" si="350"/>
        <v>25</v>
      </c>
      <c r="L1205" s="3">
        <f t="shared" si="351"/>
        <v>5</v>
      </c>
      <c r="M1205" s="3">
        <f t="shared" si="352"/>
        <v>17</v>
      </c>
      <c r="N1205" s="3" t="str">
        <f t="shared" si="353"/>
        <v>05</v>
      </c>
      <c r="O1205" s="14">
        <f t="shared" si="354"/>
        <v>17</v>
      </c>
      <c r="P1205" s="4">
        <v>108000</v>
      </c>
      <c r="T1205" s="28" t="s">
        <v>1390</v>
      </c>
      <c r="U1205" s="3" t="s">
        <v>1342</v>
      </c>
      <c r="V1205" s="3" t="s">
        <v>5</v>
      </c>
      <c r="W1205" s="3" t="s">
        <v>1306</v>
      </c>
      <c r="X1205" s="1" t="s">
        <v>1302</v>
      </c>
    </row>
    <row r="1206" spans="1:24">
      <c r="A1206" s="143">
        <v>1245</v>
      </c>
      <c r="B1206" s="1">
        <f t="shared" si="359"/>
        <v>0</v>
      </c>
      <c r="C1206" s="1">
        <f t="shared" si="360"/>
        <v>0</v>
      </c>
      <c r="D1206" s="1">
        <f t="shared" si="361"/>
        <v>0</v>
      </c>
      <c r="E1206" s="1">
        <f t="shared" si="362"/>
        <v>0</v>
      </c>
      <c r="F1206" s="1">
        <f t="shared" si="363"/>
        <v>0</v>
      </c>
      <c r="G1206" s="1" t="str">
        <f t="shared" si="364"/>
        <v>25051709</v>
      </c>
      <c r="H1206" s="2">
        <v>45794</v>
      </c>
      <c r="I1206" s="113">
        <v>9</v>
      </c>
      <c r="J1206" s="1" t="str">
        <f t="shared" si="349"/>
        <v>09</v>
      </c>
      <c r="K1206" s="3">
        <f t="shared" si="350"/>
        <v>25</v>
      </c>
      <c r="L1206" s="3">
        <f t="shared" si="351"/>
        <v>5</v>
      </c>
      <c r="M1206" s="3">
        <f t="shared" si="352"/>
        <v>17</v>
      </c>
      <c r="N1206" s="3" t="str">
        <f t="shared" si="353"/>
        <v>05</v>
      </c>
      <c r="O1206" s="14">
        <f t="shared" si="354"/>
        <v>17</v>
      </c>
      <c r="P1206" s="4">
        <v>132000</v>
      </c>
      <c r="T1206" s="28" t="s">
        <v>1389</v>
      </c>
      <c r="U1206" s="3" t="s">
        <v>1342</v>
      </c>
      <c r="V1206" s="3" t="s">
        <v>5</v>
      </c>
      <c r="W1206" s="3" t="s">
        <v>1306</v>
      </c>
      <c r="X1206" s="1" t="s">
        <v>1302</v>
      </c>
    </row>
    <row r="1207" spans="1:24">
      <c r="A1207" s="143">
        <v>1246</v>
      </c>
      <c r="B1207" s="1">
        <f t="shared" si="359"/>
        <v>0</v>
      </c>
      <c r="C1207" s="1">
        <f t="shared" si="360"/>
        <v>0</v>
      </c>
      <c r="D1207" s="1">
        <f t="shared" si="361"/>
        <v>0</v>
      </c>
      <c r="E1207" s="1">
        <f t="shared" si="362"/>
        <v>0</v>
      </c>
      <c r="F1207" s="1">
        <f t="shared" si="363"/>
        <v>0</v>
      </c>
      <c r="G1207" s="1" t="str">
        <f t="shared" si="364"/>
        <v>25051710</v>
      </c>
      <c r="H1207" s="2">
        <v>45794</v>
      </c>
      <c r="I1207" s="113">
        <v>10</v>
      </c>
      <c r="J1207" s="1">
        <f t="shared" si="349"/>
        <v>10</v>
      </c>
      <c r="K1207" s="3">
        <f t="shared" si="350"/>
        <v>25</v>
      </c>
      <c r="L1207" s="3">
        <f t="shared" si="351"/>
        <v>5</v>
      </c>
      <c r="M1207" s="3">
        <f t="shared" si="352"/>
        <v>17</v>
      </c>
      <c r="N1207" s="3" t="str">
        <f t="shared" si="353"/>
        <v>05</v>
      </c>
      <c r="O1207" s="14">
        <f t="shared" si="354"/>
        <v>17</v>
      </c>
      <c r="P1207" s="4">
        <v>159000</v>
      </c>
      <c r="T1207" s="28" t="s">
        <v>1388</v>
      </c>
      <c r="U1207" s="3" t="s">
        <v>1342</v>
      </c>
      <c r="V1207" s="3" t="s">
        <v>5</v>
      </c>
      <c r="W1207" s="3" t="s">
        <v>1306</v>
      </c>
      <c r="X1207" s="1" t="s">
        <v>1302</v>
      </c>
    </row>
    <row r="1208" spans="1:24">
      <c r="A1208" s="143">
        <v>1247</v>
      </c>
      <c r="B1208" s="1">
        <f t="shared" si="359"/>
        <v>0</v>
      </c>
      <c r="C1208" s="1">
        <f t="shared" si="360"/>
        <v>0</v>
      </c>
      <c r="D1208" s="1">
        <f t="shared" si="361"/>
        <v>0</v>
      </c>
      <c r="E1208" s="1">
        <f t="shared" si="362"/>
        <v>0</v>
      </c>
      <c r="F1208" s="1">
        <f t="shared" si="363"/>
        <v>0</v>
      </c>
      <c r="G1208" s="1" t="str">
        <f t="shared" si="364"/>
        <v>25051711</v>
      </c>
      <c r="H1208" s="2">
        <v>45794</v>
      </c>
      <c r="I1208" s="113">
        <v>11</v>
      </c>
      <c r="J1208" s="1">
        <f t="shared" si="349"/>
        <v>11</v>
      </c>
      <c r="K1208" s="3">
        <f t="shared" si="350"/>
        <v>25</v>
      </c>
      <c r="L1208" s="3">
        <f t="shared" si="351"/>
        <v>5</v>
      </c>
      <c r="M1208" s="3">
        <f t="shared" si="352"/>
        <v>17</v>
      </c>
      <c r="N1208" s="3" t="str">
        <f t="shared" si="353"/>
        <v>05</v>
      </c>
      <c r="O1208" s="14">
        <f t="shared" si="354"/>
        <v>17</v>
      </c>
      <c r="P1208" s="4">
        <v>132000</v>
      </c>
      <c r="T1208" s="28" t="s">
        <v>1387</v>
      </c>
      <c r="U1208" s="3" t="s">
        <v>1342</v>
      </c>
      <c r="V1208" s="3" t="s">
        <v>5</v>
      </c>
      <c r="W1208" s="3" t="s">
        <v>1306</v>
      </c>
      <c r="X1208" s="1" t="s">
        <v>1302</v>
      </c>
    </row>
    <row r="1209" spans="1:24">
      <c r="A1209" s="143">
        <v>1248</v>
      </c>
      <c r="B1209" s="1">
        <f t="shared" si="359"/>
        <v>0</v>
      </c>
      <c r="C1209" s="1">
        <f t="shared" si="360"/>
        <v>0</v>
      </c>
      <c r="D1209" s="1">
        <f t="shared" si="361"/>
        <v>0</v>
      </c>
      <c r="E1209" s="1">
        <f t="shared" si="362"/>
        <v>0</v>
      </c>
      <c r="F1209" s="1">
        <f t="shared" si="363"/>
        <v>0</v>
      </c>
      <c r="G1209" s="1" t="str">
        <f t="shared" si="364"/>
        <v>25051712</v>
      </c>
      <c r="H1209" s="2">
        <v>45794</v>
      </c>
      <c r="I1209" s="113">
        <v>12</v>
      </c>
      <c r="J1209" s="1">
        <f t="shared" si="349"/>
        <v>12</v>
      </c>
      <c r="K1209" s="3">
        <f t="shared" si="350"/>
        <v>25</v>
      </c>
      <c r="L1209" s="3">
        <f t="shared" si="351"/>
        <v>5</v>
      </c>
      <c r="M1209" s="3">
        <f t="shared" si="352"/>
        <v>17</v>
      </c>
      <c r="N1209" s="3" t="str">
        <f t="shared" si="353"/>
        <v>05</v>
      </c>
      <c r="O1209" s="14">
        <f t="shared" si="354"/>
        <v>17</v>
      </c>
      <c r="P1209" s="4">
        <v>132000</v>
      </c>
      <c r="T1209" s="31" t="s">
        <v>1386</v>
      </c>
      <c r="U1209" s="3" t="s">
        <v>1342</v>
      </c>
      <c r="V1209" s="3" t="s">
        <v>5</v>
      </c>
      <c r="W1209" s="3" t="s">
        <v>1306</v>
      </c>
      <c r="X1209" s="1" t="s">
        <v>1302</v>
      </c>
    </row>
    <row r="1210" spans="1:24">
      <c r="A1210" s="143">
        <v>1249</v>
      </c>
      <c r="B1210" s="1">
        <f t="shared" si="359"/>
        <v>0</v>
      </c>
      <c r="C1210" s="1">
        <f t="shared" si="360"/>
        <v>0</v>
      </c>
      <c r="D1210" s="1">
        <f t="shared" si="361"/>
        <v>0</v>
      </c>
      <c r="E1210" s="1">
        <f t="shared" si="362"/>
        <v>0</v>
      </c>
      <c r="F1210" s="1">
        <f t="shared" si="363"/>
        <v>0</v>
      </c>
      <c r="G1210" s="1" t="str">
        <f t="shared" si="364"/>
        <v>25051713</v>
      </c>
      <c r="H1210" s="2">
        <v>45794</v>
      </c>
      <c r="I1210" s="113">
        <v>13</v>
      </c>
      <c r="J1210" s="1">
        <f t="shared" si="349"/>
        <v>13</v>
      </c>
      <c r="K1210" s="3">
        <f t="shared" si="350"/>
        <v>25</v>
      </c>
      <c r="L1210" s="3">
        <f t="shared" si="351"/>
        <v>5</v>
      </c>
      <c r="M1210" s="3">
        <f t="shared" si="352"/>
        <v>17</v>
      </c>
      <c r="N1210" s="3" t="str">
        <f t="shared" si="353"/>
        <v>05</v>
      </c>
      <c r="O1210" s="14">
        <f t="shared" si="354"/>
        <v>17</v>
      </c>
      <c r="P1210" s="4">
        <v>108000</v>
      </c>
      <c r="T1210" s="31" t="s">
        <v>1385</v>
      </c>
      <c r="U1210" s="3" t="s">
        <v>1342</v>
      </c>
      <c r="V1210" s="3" t="s">
        <v>5</v>
      </c>
      <c r="W1210" s="3" t="s">
        <v>1306</v>
      </c>
      <c r="X1210" s="1" t="s">
        <v>1302</v>
      </c>
    </row>
    <row r="1211" spans="1:24">
      <c r="A1211" s="143">
        <v>1250</v>
      </c>
      <c r="B1211" s="1">
        <f t="shared" si="359"/>
        <v>0</v>
      </c>
      <c r="C1211" s="1">
        <f t="shared" si="360"/>
        <v>0</v>
      </c>
      <c r="D1211" s="1">
        <f t="shared" si="361"/>
        <v>0</v>
      </c>
      <c r="E1211" s="1">
        <f t="shared" si="362"/>
        <v>0</v>
      </c>
      <c r="F1211" s="1">
        <f t="shared" si="363"/>
        <v>0</v>
      </c>
      <c r="G1211" s="1" t="str">
        <f t="shared" si="364"/>
        <v>25051714</v>
      </c>
      <c r="H1211" s="2">
        <v>45794</v>
      </c>
      <c r="I1211" s="113">
        <v>14</v>
      </c>
      <c r="J1211" s="1">
        <f t="shared" si="349"/>
        <v>14</v>
      </c>
      <c r="K1211" s="3">
        <f t="shared" si="350"/>
        <v>25</v>
      </c>
      <c r="L1211" s="3">
        <f t="shared" si="351"/>
        <v>5</v>
      </c>
      <c r="M1211" s="3">
        <f t="shared" si="352"/>
        <v>17</v>
      </c>
      <c r="N1211" s="3" t="str">
        <f t="shared" si="353"/>
        <v>05</v>
      </c>
      <c r="O1211" s="14">
        <f t="shared" si="354"/>
        <v>17</v>
      </c>
      <c r="P1211" s="4">
        <v>108000</v>
      </c>
      <c r="T1211" s="31" t="s">
        <v>1384</v>
      </c>
      <c r="U1211" s="3" t="s">
        <v>1342</v>
      </c>
      <c r="V1211" s="3" t="s">
        <v>5</v>
      </c>
      <c r="W1211" s="3" t="s">
        <v>1306</v>
      </c>
      <c r="X1211" s="1" t="s">
        <v>1302</v>
      </c>
    </row>
    <row r="1212" spans="1:24">
      <c r="A1212" s="143">
        <v>1251</v>
      </c>
      <c r="B1212" s="1">
        <f t="shared" si="359"/>
        <v>0</v>
      </c>
      <c r="C1212" s="1">
        <f t="shared" si="360"/>
        <v>0</v>
      </c>
      <c r="D1212" s="1">
        <f t="shared" si="361"/>
        <v>0</v>
      </c>
      <c r="E1212" s="1">
        <f t="shared" si="362"/>
        <v>0</v>
      </c>
      <c r="F1212" s="1">
        <f t="shared" si="363"/>
        <v>0</v>
      </c>
      <c r="G1212" s="1" t="str">
        <f t="shared" si="364"/>
        <v>25051715</v>
      </c>
      <c r="H1212" s="2">
        <v>45794</v>
      </c>
      <c r="I1212" s="113">
        <v>15</v>
      </c>
      <c r="J1212" s="1">
        <f t="shared" si="349"/>
        <v>15</v>
      </c>
      <c r="K1212" s="3">
        <f t="shared" si="350"/>
        <v>25</v>
      </c>
      <c r="L1212" s="3">
        <f t="shared" si="351"/>
        <v>5</v>
      </c>
      <c r="M1212" s="3">
        <f t="shared" si="352"/>
        <v>17</v>
      </c>
      <c r="N1212" s="3" t="str">
        <f t="shared" si="353"/>
        <v>05</v>
      </c>
      <c r="O1212" s="14">
        <f t="shared" si="354"/>
        <v>17</v>
      </c>
      <c r="P1212" s="4">
        <v>132000</v>
      </c>
      <c r="T1212" s="31" t="s">
        <v>1383</v>
      </c>
      <c r="U1212" s="3" t="s">
        <v>1342</v>
      </c>
      <c r="V1212" s="3" t="s">
        <v>5</v>
      </c>
      <c r="W1212" s="3" t="s">
        <v>1306</v>
      </c>
      <c r="X1212" s="1" t="s">
        <v>1302</v>
      </c>
    </row>
    <row r="1213" spans="1:24">
      <c r="A1213" s="143">
        <v>1252</v>
      </c>
      <c r="B1213" s="1">
        <f t="shared" si="359"/>
        <v>0</v>
      </c>
      <c r="C1213" s="1">
        <f t="shared" si="360"/>
        <v>0</v>
      </c>
      <c r="D1213" s="1">
        <f t="shared" si="361"/>
        <v>0</v>
      </c>
      <c r="E1213" s="1">
        <f t="shared" si="362"/>
        <v>0</v>
      </c>
      <c r="F1213" s="1">
        <f t="shared" si="363"/>
        <v>0</v>
      </c>
      <c r="G1213" s="1" t="str">
        <f t="shared" si="364"/>
        <v>25051716</v>
      </c>
      <c r="H1213" s="2">
        <v>45794</v>
      </c>
      <c r="I1213" s="113">
        <v>16</v>
      </c>
      <c r="J1213" s="1">
        <f t="shared" si="349"/>
        <v>16</v>
      </c>
      <c r="K1213" s="3">
        <f t="shared" si="350"/>
        <v>25</v>
      </c>
      <c r="L1213" s="3">
        <f t="shared" si="351"/>
        <v>5</v>
      </c>
      <c r="M1213" s="3">
        <f t="shared" si="352"/>
        <v>17</v>
      </c>
      <c r="N1213" s="3" t="str">
        <f t="shared" si="353"/>
        <v>05</v>
      </c>
      <c r="O1213" s="14">
        <f t="shared" si="354"/>
        <v>17</v>
      </c>
      <c r="P1213" s="4">
        <v>108000</v>
      </c>
      <c r="T1213" s="31" t="s">
        <v>1382</v>
      </c>
      <c r="U1213" s="3" t="s">
        <v>1342</v>
      </c>
      <c r="V1213" s="3" t="s">
        <v>5</v>
      </c>
      <c r="W1213" s="3" t="s">
        <v>1306</v>
      </c>
      <c r="X1213" s="1" t="s">
        <v>1302</v>
      </c>
    </row>
    <row r="1214" spans="1:24">
      <c r="A1214" s="143">
        <v>1253</v>
      </c>
      <c r="B1214" s="1">
        <f t="shared" si="359"/>
        <v>0</v>
      </c>
      <c r="C1214" s="1">
        <f t="shared" si="360"/>
        <v>0</v>
      </c>
      <c r="D1214" s="1">
        <f t="shared" si="361"/>
        <v>0</v>
      </c>
      <c r="E1214" s="1">
        <f t="shared" si="362"/>
        <v>0</v>
      </c>
      <c r="F1214" s="1">
        <f t="shared" si="363"/>
        <v>0</v>
      </c>
      <c r="G1214" s="1" t="str">
        <f t="shared" si="364"/>
        <v>25051717</v>
      </c>
      <c r="H1214" s="2">
        <v>45794</v>
      </c>
      <c r="I1214" s="113">
        <v>17</v>
      </c>
      <c r="J1214" s="1">
        <f t="shared" si="349"/>
        <v>17</v>
      </c>
      <c r="K1214" s="3">
        <f t="shared" si="350"/>
        <v>25</v>
      </c>
      <c r="L1214" s="3">
        <f t="shared" si="351"/>
        <v>5</v>
      </c>
      <c r="M1214" s="3">
        <f t="shared" si="352"/>
        <v>17</v>
      </c>
      <c r="N1214" s="3" t="str">
        <f t="shared" si="353"/>
        <v>05</v>
      </c>
      <c r="O1214" s="14">
        <f t="shared" si="354"/>
        <v>17</v>
      </c>
      <c r="P1214" s="4">
        <v>40000</v>
      </c>
      <c r="T1214" s="31" t="s">
        <v>1381</v>
      </c>
      <c r="U1214" s="3" t="s">
        <v>1342</v>
      </c>
      <c r="V1214" s="3" t="s">
        <v>5</v>
      </c>
      <c r="W1214" s="3" t="s">
        <v>1306</v>
      </c>
      <c r="X1214" s="1" t="s">
        <v>1302</v>
      </c>
    </row>
    <row r="1215" spans="1:24">
      <c r="A1215" s="143">
        <v>1254</v>
      </c>
      <c r="B1215" s="1">
        <f t="shared" si="359"/>
        <v>0</v>
      </c>
      <c r="C1215" s="1">
        <f t="shared" si="360"/>
        <v>0</v>
      </c>
      <c r="D1215" s="1">
        <f t="shared" si="361"/>
        <v>0</v>
      </c>
      <c r="E1215" s="1">
        <f t="shared" si="362"/>
        <v>0</v>
      </c>
      <c r="F1215" s="1">
        <f t="shared" si="363"/>
        <v>0</v>
      </c>
      <c r="G1215" s="1" t="str">
        <f t="shared" si="364"/>
        <v>25051718</v>
      </c>
      <c r="H1215" s="2">
        <v>45794</v>
      </c>
      <c r="I1215" s="113">
        <v>18</v>
      </c>
      <c r="J1215" s="1">
        <f t="shared" si="349"/>
        <v>18</v>
      </c>
      <c r="K1215" s="3">
        <f t="shared" si="350"/>
        <v>25</v>
      </c>
      <c r="L1215" s="3">
        <f t="shared" si="351"/>
        <v>5</v>
      </c>
      <c r="M1215" s="3">
        <f t="shared" si="352"/>
        <v>17</v>
      </c>
      <c r="N1215" s="3" t="str">
        <f t="shared" si="353"/>
        <v>05</v>
      </c>
      <c r="O1215" s="14">
        <f t="shared" si="354"/>
        <v>17</v>
      </c>
      <c r="P1215" s="4">
        <v>138000</v>
      </c>
      <c r="T1215" s="31" t="s">
        <v>1380</v>
      </c>
      <c r="U1215" s="3" t="s">
        <v>1342</v>
      </c>
      <c r="V1215" s="3" t="s">
        <v>5</v>
      </c>
      <c r="W1215" s="3" t="s">
        <v>1306</v>
      </c>
      <c r="X1215" s="1" t="s">
        <v>1302</v>
      </c>
    </row>
    <row r="1216" spans="1:24">
      <c r="A1216" s="143">
        <v>1255</v>
      </c>
      <c r="B1216" s="1">
        <f t="shared" si="359"/>
        <v>0</v>
      </c>
      <c r="C1216" s="1">
        <f t="shared" si="360"/>
        <v>0</v>
      </c>
      <c r="D1216" s="1">
        <f t="shared" si="361"/>
        <v>0</v>
      </c>
      <c r="E1216" s="1">
        <f t="shared" si="362"/>
        <v>0</v>
      </c>
      <c r="F1216" s="1">
        <f t="shared" si="363"/>
        <v>0</v>
      </c>
      <c r="G1216" s="1" t="str">
        <f t="shared" si="364"/>
        <v>25051719</v>
      </c>
      <c r="H1216" s="2">
        <v>45794</v>
      </c>
      <c r="I1216" s="113">
        <v>19</v>
      </c>
      <c r="J1216" s="1">
        <f t="shared" si="349"/>
        <v>19</v>
      </c>
      <c r="K1216" s="3">
        <f t="shared" si="350"/>
        <v>25</v>
      </c>
      <c r="L1216" s="3">
        <f t="shared" si="351"/>
        <v>5</v>
      </c>
      <c r="M1216" s="3">
        <f t="shared" si="352"/>
        <v>17</v>
      </c>
      <c r="N1216" s="3" t="str">
        <f t="shared" si="353"/>
        <v>05</v>
      </c>
      <c r="O1216" s="14">
        <f t="shared" si="354"/>
        <v>17</v>
      </c>
      <c r="P1216" s="4">
        <v>252000</v>
      </c>
      <c r="T1216" s="31" t="s">
        <v>1379</v>
      </c>
      <c r="U1216" s="3" t="s">
        <v>1342</v>
      </c>
      <c r="V1216" s="3" t="s">
        <v>5</v>
      </c>
      <c r="W1216" s="3" t="s">
        <v>1306</v>
      </c>
      <c r="X1216" s="1" t="s">
        <v>1302</v>
      </c>
    </row>
    <row r="1217" spans="1:24">
      <c r="A1217" s="143">
        <v>1256</v>
      </c>
      <c r="B1217" s="1">
        <f t="shared" si="359"/>
        <v>0</v>
      </c>
      <c r="C1217" s="1">
        <f t="shared" si="360"/>
        <v>0</v>
      </c>
      <c r="D1217" s="1">
        <f t="shared" si="361"/>
        <v>0</v>
      </c>
      <c r="E1217" s="1">
        <f t="shared" si="362"/>
        <v>0</v>
      </c>
      <c r="F1217" s="1">
        <f t="shared" si="363"/>
        <v>0</v>
      </c>
      <c r="G1217" s="1" t="str">
        <f t="shared" si="364"/>
        <v>25051720</v>
      </c>
      <c r="H1217" s="2">
        <v>45794</v>
      </c>
      <c r="I1217" s="113">
        <v>20</v>
      </c>
      <c r="J1217" s="1">
        <f t="shared" si="349"/>
        <v>20</v>
      </c>
      <c r="K1217" s="3">
        <f t="shared" si="350"/>
        <v>25</v>
      </c>
      <c r="L1217" s="3">
        <f t="shared" si="351"/>
        <v>5</v>
      </c>
      <c r="M1217" s="3">
        <f t="shared" si="352"/>
        <v>17</v>
      </c>
      <c r="N1217" s="3" t="str">
        <f t="shared" si="353"/>
        <v>05</v>
      </c>
      <c r="O1217" s="14">
        <f t="shared" si="354"/>
        <v>17</v>
      </c>
      <c r="P1217" s="4">
        <v>90000</v>
      </c>
      <c r="T1217" s="31" t="s">
        <v>1378</v>
      </c>
      <c r="U1217" s="3" t="s">
        <v>1342</v>
      </c>
      <c r="V1217" s="3" t="s">
        <v>5</v>
      </c>
      <c r="W1217" s="3" t="s">
        <v>1306</v>
      </c>
      <c r="X1217" s="1" t="s">
        <v>1302</v>
      </c>
    </row>
    <row r="1218" spans="1:24">
      <c r="A1218" s="143">
        <v>1257</v>
      </c>
      <c r="B1218" s="1">
        <f t="shared" si="359"/>
        <v>0</v>
      </c>
      <c r="C1218" s="1">
        <f t="shared" si="360"/>
        <v>0</v>
      </c>
      <c r="D1218" s="1">
        <f t="shared" si="361"/>
        <v>0</v>
      </c>
      <c r="E1218" s="1">
        <f t="shared" si="362"/>
        <v>0</v>
      </c>
      <c r="F1218" s="1">
        <f t="shared" si="363"/>
        <v>0</v>
      </c>
      <c r="G1218" s="1" t="str">
        <f t="shared" si="364"/>
        <v>25051721</v>
      </c>
      <c r="H1218" s="2">
        <v>45794</v>
      </c>
      <c r="I1218" s="113">
        <v>21</v>
      </c>
      <c r="J1218" s="1">
        <f t="shared" si="349"/>
        <v>21</v>
      </c>
      <c r="K1218" s="3">
        <f t="shared" si="350"/>
        <v>25</v>
      </c>
      <c r="L1218" s="3">
        <f t="shared" si="351"/>
        <v>5</v>
      </c>
      <c r="M1218" s="3">
        <f t="shared" si="352"/>
        <v>17</v>
      </c>
      <c r="N1218" s="3" t="str">
        <f t="shared" si="353"/>
        <v>05</v>
      </c>
      <c r="O1218" s="14">
        <f t="shared" si="354"/>
        <v>17</v>
      </c>
      <c r="P1218" s="4">
        <v>150000</v>
      </c>
      <c r="T1218" s="31" t="s">
        <v>1377</v>
      </c>
      <c r="U1218" s="3" t="s">
        <v>1342</v>
      </c>
      <c r="V1218" s="3" t="s">
        <v>5</v>
      </c>
      <c r="W1218" s="3" t="s">
        <v>1306</v>
      </c>
      <c r="X1218" s="1" t="s">
        <v>1302</v>
      </c>
    </row>
    <row r="1219" spans="1:24">
      <c r="A1219" s="143">
        <v>1258</v>
      </c>
      <c r="B1219" s="1">
        <f t="shared" si="359"/>
        <v>0</v>
      </c>
      <c r="C1219" s="1">
        <f t="shared" si="360"/>
        <v>0</v>
      </c>
      <c r="D1219" s="1">
        <f t="shared" si="361"/>
        <v>0</v>
      </c>
      <c r="E1219" s="1">
        <f t="shared" si="362"/>
        <v>0</v>
      </c>
      <c r="F1219" s="1">
        <f t="shared" si="363"/>
        <v>0</v>
      </c>
      <c r="G1219" s="1" t="str">
        <f t="shared" si="364"/>
        <v>25051722</v>
      </c>
      <c r="H1219" s="2">
        <v>45794</v>
      </c>
      <c r="I1219" s="113">
        <v>22</v>
      </c>
      <c r="J1219" s="1">
        <f t="shared" si="349"/>
        <v>22</v>
      </c>
      <c r="K1219" s="3">
        <f t="shared" si="350"/>
        <v>25</v>
      </c>
      <c r="L1219" s="3">
        <f t="shared" si="351"/>
        <v>5</v>
      </c>
      <c r="M1219" s="3">
        <f t="shared" si="352"/>
        <v>17</v>
      </c>
      <c r="N1219" s="3" t="str">
        <f t="shared" si="353"/>
        <v>05</v>
      </c>
      <c r="O1219" s="14">
        <f t="shared" si="354"/>
        <v>17</v>
      </c>
      <c r="P1219" s="4">
        <v>60000</v>
      </c>
      <c r="T1219" s="28" t="s">
        <v>1343</v>
      </c>
      <c r="U1219" s="3" t="s">
        <v>1342</v>
      </c>
      <c r="V1219" s="3" t="s">
        <v>5</v>
      </c>
      <c r="W1219" s="3" t="s">
        <v>1306</v>
      </c>
      <c r="X1219" s="1" t="s">
        <v>1302</v>
      </c>
    </row>
    <row r="1220" spans="1:24" hidden="1">
      <c r="A1220" s="143"/>
      <c r="J1220" s="1" t="str">
        <f t="shared" si="349"/>
        <v>0</v>
      </c>
      <c r="K1220" s="3">
        <f t="shared" si="350"/>
        <v>-100</v>
      </c>
      <c r="L1220" s="3">
        <f t="shared" si="351"/>
        <v>1</v>
      </c>
      <c r="M1220" s="3">
        <f t="shared" si="352"/>
        <v>0</v>
      </c>
      <c r="N1220" s="3" t="str">
        <f t="shared" si="353"/>
        <v>01</v>
      </c>
      <c r="O1220" s="14" t="str">
        <f t="shared" si="354"/>
        <v>00</v>
      </c>
    </row>
    <row r="1221" spans="1:24" hidden="1">
      <c r="A1221" s="143"/>
      <c r="J1221" s="1" t="str">
        <f t="shared" si="349"/>
        <v>0</v>
      </c>
      <c r="K1221" s="3">
        <f t="shared" si="350"/>
        <v>-100</v>
      </c>
      <c r="L1221" s="3">
        <f t="shared" si="351"/>
        <v>1</v>
      </c>
      <c r="M1221" s="3">
        <f t="shared" si="352"/>
        <v>0</v>
      </c>
      <c r="N1221" s="3" t="str">
        <f t="shared" si="353"/>
        <v>01</v>
      </c>
      <c r="O1221" s="14" t="str">
        <f t="shared" si="354"/>
        <v>00</v>
      </c>
    </row>
    <row r="1222" spans="1:24" hidden="1">
      <c r="A1222" s="143">
        <v>1161</v>
      </c>
      <c r="B1222" s="1">
        <f>IF(G1222="-",0,IF(G1221=G1222,1,0))</f>
        <v>0</v>
      </c>
      <c r="C1222" s="1">
        <f>+IF(G1222="-",0,IF(I1222=I1221+1,0,(IF(I1222=1,0,1))))</f>
        <v>1</v>
      </c>
      <c r="D1222" s="1">
        <f>+IF(AND(P1222="",Q1222=""),1,0)</f>
        <v>0</v>
      </c>
      <c r="E1222" s="1">
        <f t="shared" ref="E1222:F1224" si="365">IF(U1222="",1,0)</f>
        <v>0</v>
      </c>
      <c r="F1222" s="1">
        <f t="shared" si="365"/>
        <v>0</v>
      </c>
      <c r="G1222" s="1" t="str">
        <f>IF(H1222=0,"-",_xlfn.CONCAT(K1222,N1222,O1222,J1222))</f>
        <v>25051803</v>
      </c>
      <c r="H1222" s="2">
        <v>45795</v>
      </c>
      <c r="I1222" s="113">
        <v>3</v>
      </c>
      <c r="J1222" s="1" t="str">
        <f t="shared" si="349"/>
        <v>03</v>
      </c>
      <c r="K1222" s="3">
        <f t="shared" si="350"/>
        <v>25</v>
      </c>
      <c r="L1222" s="3">
        <f t="shared" si="351"/>
        <v>5</v>
      </c>
      <c r="M1222" s="3">
        <f t="shared" si="352"/>
        <v>18</v>
      </c>
      <c r="N1222" s="3" t="str">
        <f t="shared" si="353"/>
        <v>05</v>
      </c>
      <c r="O1222" s="14">
        <f t="shared" si="354"/>
        <v>18</v>
      </c>
      <c r="P1222" s="4">
        <v>20241.47</v>
      </c>
      <c r="T1222" s="5" t="s">
        <v>1376</v>
      </c>
      <c r="U1222" s="3" t="s">
        <v>1375</v>
      </c>
      <c r="V1222" s="3" t="s">
        <v>1304</v>
      </c>
      <c r="W1222" s="3" t="s">
        <v>1306</v>
      </c>
    </row>
    <row r="1223" spans="1:24" hidden="1">
      <c r="A1223" s="143">
        <v>1162</v>
      </c>
      <c r="B1223" s="1">
        <f>IF(G1223="-",0,IF(G1222=G1223,1,0))</f>
        <v>0</v>
      </c>
      <c r="C1223" s="1">
        <f>+IF(G1223="-",0,IF(I1223=I1222+1,0,(IF(I1223=1,0,1))))</f>
        <v>0</v>
      </c>
      <c r="D1223" s="1">
        <f>+IF(AND(P1223="",Q1223=""),1,0)</f>
        <v>0</v>
      </c>
      <c r="E1223" s="1">
        <f t="shared" si="365"/>
        <v>0</v>
      </c>
      <c r="F1223" s="1">
        <f t="shared" si="365"/>
        <v>0</v>
      </c>
      <c r="G1223" s="1" t="str">
        <f>IF(H1223=0,"-",_xlfn.CONCAT(K1223,N1223,O1223,J1223))</f>
        <v>25051901</v>
      </c>
      <c r="H1223" s="2">
        <v>45796</v>
      </c>
      <c r="I1223" s="113">
        <v>1</v>
      </c>
      <c r="J1223" s="1" t="str">
        <f t="shared" si="349"/>
        <v>01</v>
      </c>
      <c r="K1223" s="3">
        <f t="shared" si="350"/>
        <v>25</v>
      </c>
      <c r="L1223" s="3">
        <f t="shared" si="351"/>
        <v>5</v>
      </c>
      <c r="M1223" s="3">
        <f t="shared" si="352"/>
        <v>19</v>
      </c>
      <c r="N1223" s="3" t="str">
        <f t="shared" si="353"/>
        <v>05</v>
      </c>
      <c r="O1223" s="14">
        <f t="shared" si="354"/>
        <v>19</v>
      </c>
      <c r="P1223" s="4">
        <v>6628.42</v>
      </c>
      <c r="T1223" s="5" t="s">
        <v>1374</v>
      </c>
      <c r="U1223" s="3" t="s">
        <v>29</v>
      </c>
      <c r="V1223" s="3" t="s">
        <v>5</v>
      </c>
      <c r="W1223" s="3" t="s">
        <v>1307</v>
      </c>
      <c r="X1223" s="1" t="s">
        <v>1305</v>
      </c>
    </row>
    <row r="1224" spans="1:24" hidden="1">
      <c r="A1224" s="143">
        <v>1163</v>
      </c>
      <c r="B1224" s="1">
        <f>IF(G1224="-",0,IF(G1223=G1224,1,0))</f>
        <v>0</v>
      </c>
      <c r="C1224" s="1">
        <f>+IF(G1224="-",0,IF(I1224=I1223+1,0,(IF(I1224=1,0,1))))</f>
        <v>0</v>
      </c>
      <c r="D1224" s="1">
        <f>+IF(AND(P1224="",Q1224=""),1,0)</f>
        <v>0</v>
      </c>
      <c r="E1224" s="1">
        <f t="shared" si="365"/>
        <v>0</v>
      </c>
      <c r="F1224" s="1">
        <f t="shared" si="365"/>
        <v>0</v>
      </c>
      <c r="G1224" s="1" t="str">
        <f>IF(H1224=0,"-",_xlfn.CONCAT(K1224,N1224,O1224,J1224))</f>
        <v>25051902</v>
      </c>
      <c r="H1224" s="2">
        <v>45796</v>
      </c>
      <c r="I1224" s="113">
        <v>2</v>
      </c>
      <c r="J1224" s="1" t="str">
        <f t="shared" ref="J1224:J1287" si="366">+IF(I1224&lt;10,_xlfn.CONCAT("0",I1224),I1224)</f>
        <v>02</v>
      </c>
      <c r="K1224" s="3">
        <f t="shared" ref="K1224:K1287" si="367">+YEAR(H1224)-2000</f>
        <v>25</v>
      </c>
      <c r="L1224" s="3">
        <f t="shared" ref="L1224:L1287" si="368">+MONTH(H1224)</f>
        <v>5</v>
      </c>
      <c r="M1224" s="3">
        <f t="shared" ref="M1224:M1287" si="369">+DAY(H1224)</f>
        <v>19</v>
      </c>
      <c r="N1224" s="3" t="str">
        <f t="shared" ref="N1224:N1287" si="370">+IF(L1224&lt;10,_xlfn.CONCAT("0",L1224),L1224)</f>
        <v>05</v>
      </c>
      <c r="O1224" s="14">
        <f t="shared" ref="O1224:O1287" si="371">+IF(M1224&lt;10,_xlfn.CONCAT("0",M1224),M1224)</f>
        <v>19</v>
      </c>
      <c r="P1224" s="4">
        <v>23164</v>
      </c>
      <c r="T1224" s="5" t="s">
        <v>1373</v>
      </c>
      <c r="U1224" s="3" t="s">
        <v>29</v>
      </c>
      <c r="V1224" s="3" t="s">
        <v>5</v>
      </c>
      <c r="W1224" s="3" t="s">
        <v>1307</v>
      </c>
      <c r="X1224" s="1" t="s">
        <v>1305</v>
      </c>
    </row>
    <row r="1225" spans="1:24" hidden="1">
      <c r="A1225" s="143"/>
      <c r="J1225" s="1" t="str">
        <f t="shared" si="366"/>
        <v>0</v>
      </c>
      <c r="K1225" s="3">
        <f t="shared" si="367"/>
        <v>-100</v>
      </c>
      <c r="L1225" s="3">
        <f t="shared" si="368"/>
        <v>1</v>
      </c>
      <c r="M1225" s="3">
        <f t="shared" si="369"/>
        <v>0</v>
      </c>
      <c r="N1225" s="3" t="str">
        <f t="shared" si="370"/>
        <v>01</v>
      </c>
      <c r="O1225" s="14" t="str">
        <f t="shared" si="371"/>
        <v>00</v>
      </c>
    </row>
    <row r="1226" spans="1:24" hidden="1">
      <c r="A1226" s="143"/>
      <c r="J1226" s="1" t="str">
        <f t="shared" si="366"/>
        <v>0</v>
      </c>
      <c r="K1226" s="3">
        <f t="shared" si="367"/>
        <v>-100</v>
      </c>
      <c r="L1226" s="3">
        <f t="shared" si="368"/>
        <v>1</v>
      </c>
      <c r="M1226" s="3">
        <f t="shared" si="369"/>
        <v>0</v>
      </c>
      <c r="N1226" s="3" t="str">
        <f t="shared" si="370"/>
        <v>01</v>
      </c>
      <c r="O1226" s="14" t="str">
        <f t="shared" si="371"/>
        <v>00</v>
      </c>
    </row>
    <row r="1227" spans="1:24" hidden="1">
      <c r="A1227" s="143">
        <v>1211</v>
      </c>
      <c r="B1227" s="1">
        <f>IF(G1227="-",0,IF(G1226=G1227,1,0))</f>
        <v>0</v>
      </c>
      <c r="C1227" s="1">
        <f>+IF(G1227="-",0,IF(I1227=I1226+1,0,(IF(I1227=1,0,1))))</f>
        <v>1</v>
      </c>
      <c r="D1227" s="1">
        <f>+IF(AND(P1227="",Q1227=""),1,0)</f>
        <v>0</v>
      </c>
      <c r="E1227" s="1">
        <f>IF(U1227="",1,0)</f>
        <v>0</v>
      </c>
      <c r="F1227" s="1">
        <f>IF(V1227="",1,0)</f>
        <v>0</v>
      </c>
      <c r="G1227" s="1" t="str">
        <f>IF(H1227=0,"-",_xlfn.CONCAT(K1227,N1227,O1227,J1227))</f>
        <v>25051905</v>
      </c>
      <c r="H1227" s="2">
        <v>45796</v>
      </c>
      <c r="I1227" s="113">
        <v>5</v>
      </c>
      <c r="J1227" s="1" t="str">
        <f t="shared" si="366"/>
        <v>05</v>
      </c>
      <c r="K1227" s="3">
        <f t="shared" si="367"/>
        <v>25</v>
      </c>
      <c r="L1227" s="3">
        <f t="shared" si="368"/>
        <v>5</v>
      </c>
      <c r="M1227" s="3">
        <f t="shared" si="369"/>
        <v>19</v>
      </c>
      <c r="N1227" s="3" t="str">
        <f t="shared" si="370"/>
        <v>05</v>
      </c>
      <c r="O1227" s="14">
        <f t="shared" si="371"/>
        <v>19</v>
      </c>
      <c r="P1227" s="4">
        <v>2467.25</v>
      </c>
      <c r="T1227" s="5" t="s">
        <v>1372</v>
      </c>
      <c r="U1227" s="3" t="s">
        <v>1310</v>
      </c>
      <c r="V1227" s="3" t="s">
        <v>1304</v>
      </c>
      <c r="W1227" s="3" t="s">
        <v>1309</v>
      </c>
      <c r="X1227" s="1" t="s">
        <v>1302</v>
      </c>
    </row>
    <row r="1228" spans="1:24" hidden="1">
      <c r="A1228" s="143">
        <v>1214</v>
      </c>
      <c r="B1228" s="1">
        <f>IF(G1228="-",0,IF(G1227=G1228,1,0))</f>
        <v>0</v>
      </c>
      <c r="C1228" s="1">
        <f>+IF(G1228="-",0,IF(I1228=I1227+1,0,(IF(I1228=1,0,1))))</f>
        <v>0</v>
      </c>
      <c r="D1228" s="1">
        <f>+IF(AND(P1228="",Q1228=""),1,0)</f>
        <v>0</v>
      </c>
      <c r="E1228" s="1">
        <f>IF(U1228="",1,0)</f>
        <v>0</v>
      </c>
      <c r="F1228" s="1">
        <f>IF(V1228="",1,0)</f>
        <v>0</v>
      </c>
      <c r="G1228" s="1" t="str">
        <f>IF(H1228=0,"-",_xlfn.CONCAT(K1228,N1228,O1228,J1228))</f>
        <v>25051906</v>
      </c>
      <c r="H1228" s="2">
        <v>45796</v>
      </c>
      <c r="I1228" s="113">
        <v>6</v>
      </c>
      <c r="J1228" s="1" t="str">
        <f t="shared" si="366"/>
        <v>06</v>
      </c>
      <c r="K1228" s="3">
        <f t="shared" si="367"/>
        <v>25</v>
      </c>
      <c r="L1228" s="3">
        <f t="shared" si="368"/>
        <v>5</v>
      </c>
      <c r="M1228" s="3">
        <f t="shared" si="369"/>
        <v>19</v>
      </c>
      <c r="N1228" s="3" t="str">
        <f t="shared" si="370"/>
        <v>05</v>
      </c>
      <c r="O1228" s="14">
        <f t="shared" si="371"/>
        <v>19</v>
      </c>
      <c r="P1228" s="4">
        <v>2450</v>
      </c>
      <c r="T1228" s="5" t="s">
        <v>1372</v>
      </c>
      <c r="U1228" s="3" t="s">
        <v>1310</v>
      </c>
      <c r="V1228" s="3" t="s">
        <v>1304</v>
      </c>
      <c r="W1228" s="3" t="s">
        <v>1309</v>
      </c>
      <c r="X1228" s="1" t="s">
        <v>1302</v>
      </c>
    </row>
    <row r="1229" spans="1:24" hidden="1">
      <c r="A1229" s="143"/>
      <c r="J1229" s="1" t="str">
        <f t="shared" si="366"/>
        <v>0</v>
      </c>
      <c r="K1229" s="3">
        <f t="shared" si="367"/>
        <v>-100</v>
      </c>
      <c r="L1229" s="3">
        <f t="shared" si="368"/>
        <v>1</v>
      </c>
      <c r="M1229" s="3">
        <f t="shared" si="369"/>
        <v>0</v>
      </c>
      <c r="N1229" s="3" t="str">
        <f t="shared" si="370"/>
        <v>01</v>
      </c>
      <c r="O1229" s="14" t="str">
        <f t="shared" si="371"/>
        <v>00</v>
      </c>
    </row>
    <row r="1230" spans="1:24" hidden="1">
      <c r="A1230" s="143">
        <v>1212</v>
      </c>
      <c r="B1230" s="1">
        <f>IF(G1230="-",0,IF(G1229=G1230,1,0))</f>
        <v>0</v>
      </c>
      <c r="C1230" s="1">
        <f>+IF(G1230="-",0,IF(I1230=I1229+1,0,(IF(I1230=1,0,1))))</f>
        <v>1</v>
      </c>
      <c r="D1230" s="1">
        <f>+IF(AND(P1230="",Q1230=""),1,0)</f>
        <v>0</v>
      </c>
      <c r="E1230" s="1">
        <f>IF(U1230="",1,0)</f>
        <v>0</v>
      </c>
      <c r="F1230" s="1">
        <f>IF(V1230="",1,0)</f>
        <v>0</v>
      </c>
      <c r="G1230" s="1" t="str">
        <f>IF(H1230=0,"-",_xlfn.CONCAT(K1230,N1230,O1230,J1230))</f>
        <v>25052002</v>
      </c>
      <c r="H1230" s="2">
        <v>45797</v>
      </c>
      <c r="I1230" s="113">
        <v>2</v>
      </c>
      <c r="J1230" s="1" t="str">
        <f t="shared" si="366"/>
        <v>02</v>
      </c>
      <c r="K1230" s="3">
        <f t="shared" si="367"/>
        <v>25</v>
      </c>
      <c r="L1230" s="3">
        <f t="shared" si="368"/>
        <v>5</v>
      </c>
      <c r="M1230" s="3">
        <f t="shared" si="369"/>
        <v>20</v>
      </c>
      <c r="N1230" s="3" t="str">
        <f t="shared" si="370"/>
        <v>05</v>
      </c>
      <c r="O1230" s="14">
        <f t="shared" si="371"/>
        <v>20</v>
      </c>
      <c r="P1230" s="4">
        <v>1510</v>
      </c>
      <c r="T1230" s="5" t="s">
        <v>1372</v>
      </c>
      <c r="U1230" s="3" t="s">
        <v>1310</v>
      </c>
      <c r="V1230" s="3" t="s">
        <v>1304</v>
      </c>
      <c r="W1230" s="3" t="s">
        <v>1309</v>
      </c>
      <c r="X1230" s="1" t="s">
        <v>1302</v>
      </c>
    </row>
    <row r="1231" spans="1:24" hidden="1">
      <c r="A1231" s="143"/>
      <c r="J1231" s="1" t="str">
        <f t="shared" si="366"/>
        <v>0</v>
      </c>
      <c r="K1231" s="3">
        <f t="shared" si="367"/>
        <v>-100</v>
      </c>
      <c r="L1231" s="3">
        <f t="shared" si="368"/>
        <v>1</v>
      </c>
      <c r="M1231" s="3">
        <f t="shared" si="369"/>
        <v>0</v>
      </c>
      <c r="N1231" s="3" t="str">
        <f t="shared" si="370"/>
        <v>01</v>
      </c>
      <c r="O1231" s="14" t="str">
        <f t="shared" si="371"/>
        <v>00</v>
      </c>
    </row>
    <row r="1232" spans="1:24" hidden="1">
      <c r="A1232" s="143"/>
      <c r="J1232" s="1" t="str">
        <f t="shared" si="366"/>
        <v>0</v>
      </c>
      <c r="K1232" s="3">
        <f t="shared" si="367"/>
        <v>-100</v>
      </c>
      <c r="L1232" s="3">
        <f t="shared" si="368"/>
        <v>1</v>
      </c>
      <c r="M1232" s="3">
        <f t="shared" si="369"/>
        <v>0</v>
      </c>
      <c r="N1232" s="3" t="str">
        <f t="shared" si="370"/>
        <v>01</v>
      </c>
      <c r="O1232" s="14" t="str">
        <f t="shared" si="371"/>
        <v>00</v>
      </c>
    </row>
    <row r="1233" spans="1:24" hidden="1">
      <c r="A1233" s="143"/>
      <c r="J1233" s="1" t="str">
        <f t="shared" si="366"/>
        <v>0</v>
      </c>
      <c r="K1233" s="3">
        <f t="shared" si="367"/>
        <v>-100</v>
      </c>
      <c r="L1233" s="3">
        <f t="shared" si="368"/>
        <v>1</v>
      </c>
      <c r="M1233" s="3">
        <f t="shared" si="369"/>
        <v>0</v>
      </c>
      <c r="N1233" s="3" t="str">
        <f t="shared" si="370"/>
        <v>01</v>
      </c>
      <c r="O1233" s="14" t="str">
        <f t="shared" si="371"/>
        <v>00</v>
      </c>
    </row>
    <row r="1234" spans="1:24" hidden="1">
      <c r="A1234" s="143">
        <v>1169</v>
      </c>
      <c r="B1234" s="1">
        <f>IF(G1234="-",0,IF(G1233=G1234,1,0))</f>
        <v>0</v>
      </c>
      <c r="C1234" s="1">
        <f>+IF(G1234="-",0,IF(I1234=I1233+1,0,(IF(I1234=1,0,1))))</f>
        <v>1</v>
      </c>
      <c r="D1234" s="1">
        <f>+IF(AND(P1234="",Q1234=""),1,0)</f>
        <v>0</v>
      </c>
      <c r="E1234" s="1">
        <f>IF(U1234="",1,0)</f>
        <v>0</v>
      </c>
      <c r="F1234" s="1">
        <f>IF(V1234="",1,0)</f>
        <v>0</v>
      </c>
      <c r="G1234" s="1" t="str">
        <f>IF(H1234=0,"-",_xlfn.CONCAT(K1234,N1234,O1234,J1234))</f>
        <v>25052104</v>
      </c>
      <c r="H1234" s="2">
        <v>45798</v>
      </c>
      <c r="I1234" s="113">
        <v>4</v>
      </c>
      <c r="J1234" s="1" t="str">
        <f t="shared" si="366"/>
        <v>04</v>
      </c>
      <c r="K1234" s="3">
        <f t="shared" si="367"/>
        <v>25</v>
      </c>
      <c r="L1234" s="3">
        <f t="shared" si="368"/>
        <v>5</v>
      </c>
      <c r="M1234" s="3">
        <f t="shared" si="369"/>
        <v>21</v>
      </c>
      <c r="N1234" s="3" t="str">
        <f t="shared" si="370"/>
        <v>05</v>
      </c>
      <c r="O1234" s="14">
        <f t="shared" si="371"/>
        <v>21</v>
      </c>
      <c r="P1234" s="4">
        <v>127092</v>
      </c>
      <c r="T1234" s="5" t="s">
        <v>352</v>
      </c>
      <c r="U1234" s="3" t="s">
        <v>30</v>
      </c>
      <c r="V1234" s="3" t="s">
        <v>1312</v>
      </c>
      <c r="W1234" s="3" t="s">
        <v>1307</v>
      </c>
      <c r="X1234" s="1" t="s">
        <v>1305</v>
      </c>
    </row>
    <row r="1235" spans="1:24" hidden="1">
      <c r="A1235" s="143"/>
      <c r="J1235" s="1" t="str">
        <f t="shared" si="366"/>
        <v>0</v>
      </c>
      <c r="K1235" s="3">
        <f t="shared" si="367"/>
        <v>-100</v>
      </c>
      <c r="L1235" s="3">
        <f t="shared" si="368"/>
        <v>1</v>
      </c>
      <c r="M1235" s="3">
        <f t="shared" si="369"/>
        <v>0</v>
      </c>
      <c r="N1235" s="3" t="str">
        <f t="shared" si="370"/>
        <v>01</v>
      </c>
      <c r="O1235" s="14" t="str">
        <f t="shared" si="371"/>
        <v>00</v>
      </c>
    </row>
    <row r="1236" spans="1:24" hidden="1">
      <c r="A1236" s="143"/>
      <c r="J1236" s="1" t="str">
        <f t="shared" si="366"/>
        <v>0</v>
      </c>
      <c r="K1236" s="3">
        <f t="shared" si="367"/>
        <v>-100</v>
      </c>
      <c r="L1236" s="3">
        <f t="shared" si="368"/>
        <v>1</v>
      </c>
      <c r="M1236" s="3">
        <f t="shared" si="369"/>
        <v>0</v>
      </c>
      <c r="N1236" s="3" t="str">
        <f t="shared" si="370"/>
        <v>01</v>
      </c>
      <c r="O1236" s="14" t="str">
        <f t="shared" si="371"/>
        <v>00</v>
      </c>
    </row>
    <row r="1237" spans="1:24" hidden="1">
      <c r="A1237" s="143">
        <v>1172</v>
      </c>
      <c r="B1237" s="1">
        <f>IF(G1237="-",0,IF(G1236=G1237,1,0))</f>
        <v>0</v>
      </c>
      <c r="C1237" s="1">
        <f>+IF(G1237="-",0,IF(I1237=I1236+1,0,(IF(I1237=1,0,1))))</f>
        <v>0</v>
      </c>
      <c r="D1237" s="1">
        <f>+IF(AND(P1237="",Q1237=""),1,0)</f>
        <v>0</v>
      </c>
      <c r="E1237" s="1">
        <f t="shared" ref="E1237:F1239" si="372">IF(U1237="",1,0)</f>
        <v>0</v>
      </c>
      <c r="F1237" s="1">
        <f t="shared" si="372"/>
        <v>0</v>
      </c>
      <c r="G1237" s="1" t="str">
        <f>IF(H1237=0,"-",_xlfn.CONCAT(K1237,N1237,O1237,J1237))</f>
        <v>25052201</v>
      </c>
      <c r="H1237" s="2">
        <v>45799</v>
      </c>
      <c r="I1237" s="113">
        <v>1</v>
      </c>
      <c r="J1237" s="1" t="str">
        <f t="shared" si="366"/>
        <v>01</v>
      </c>
      <c r="K1237" s="3">
        <f t="shared" si="367"/>
        <v>25</v>
      </c>
      <c r="L1237" s="3">
        <f t="shared" si="368"/>
        <v>5</v>
      </c>
      <c r="M1237" s="3">
        <f t="shared" si="369"/>
        <v>22</v>
      </c>
      <c r="N1237" s="3" t="str">
        <f t="shared" si="370"/>
        <v>05</v>
      </c>
      <c r="O1237" s="14">
        <f t="shared" si="371"/>
        <v>22</v>
      </c>
      <c r="P1237" s="4">
        <v>19055.87</v>
      </c>
      <c r="T1237" s="5" t="s">
        <v>1370</v>
      </c>
      <c r="U1237" s="3" t="s">
        <v>29</v>
      </c>
      <c r="V1237" s="3" t="s">
        <v>5</v>
      </c>
      <c r="W1237" s="3" t="s">
        <v>1307</v>
      </c>
      <c r="X1237" s="1" t="s">
        <v>1305</v>
      </c>
    </row>
    <row r="1238" spans="1:24" hidden="1">
      <c r="A1238" s="143">
        <v>1173</v>
      </c>
      <c r="B1238" s="1">
        <f>IF(G1238="-",0,IF(G1237=G1238,1,0))</f>
        <v>0</v>
      </c>
      <c r="C1238" s="1">
        <f>+IF(G1238="-",0,IF(I1238=I1237+1,0,(IF(I1238=1,0,1))))</f>
        <v>0</v>
      </c>
      <c r="D1238" s="1">
        <f>+IF(AND(P1238="",Q1238=""),1,0)</f>
        <v>0</v>
      </c>
      <c r="E1238" s="1">
        <f t="shared" si="372"/>
        <v>0</v>
      </c>
      <c r="F1238" s="1">
        <f t="shared" si="372"/>
        <v>0</v>
      </c>
      <c r="G1238" s="1" t="str">
        <f>IF(H1238=0,"-",_xlfn.CONCAT(K1238,N1238,O1238,J1238))</f>
        <v>25052202</v>
      </c>
      <c r="H1238" s="2">
        <v>45799</v>
      </c>
      <c r="I1238" s="113">
        <v>2</v>
      </c>
      <c r="J1238" s="1" t="str">
        <f t="shared" si="366"/>
        <v>02</v>
      </c>
      <c r="K1238" s="3">
        <f t="shared" si="367"/>
        <v>25</v>
      </c>
      <c r="L1238" s="3">
        <f t="shared" si="368"/>
        <v>5</v>
      </c>
      <c r="M1238" s="3">
        <f t="shared" si="369"/>
        <v>22</v>
      </c>
      <c r="N1238" s="3" t="str">
        <f t="shared" si="370"/>
        <v>05</v>
      </c>
      <c r="O1238" s="14">
        <f t="shared" si="371"/>
        <v>22</v>
      </c>
      <c r="P1238" s="4">
        <v>15000</v>
      </c>
      <c r="T1238" s="5" t="s">
        <v>1332</v>
      </c>
      <c r="U1238" s="3" t="s">
        <v>29</v>
      </c>
      <c r="V1238" s="3" t="s">
        <v>5</v>
      </c>
      <c r="W1238" s="3" t="s">
        <v>1307</v>
      </c>
      <c r="X1238" s="1" t="s">
        <v>1305</v>
      </c>
    </row>
    <row r="1239" spans="1:24" hidden="1">
      <c r="A1239" s="143">
        <v>1174</v>
      </c>
      <c r="B1239" s="1">
        <f>IF(G1239="-",0,IF(G1238=G1239,1,0))</f>
        <v>0</v>
      </c>
      <c r="C1239" s="1">
        <f>+IF(G1239="-",0,IF(I1239=I1238+1,0,(IF(I1239=1,0,1))))</f>
        <v>0</v>
      </c>
      <c r="D1239" s="1">
        <f>+IF(AND(P1239="",Q1239=""),1,0)</f>
        <v>0</v>
      </c>
      <c r="E1239" s="1">
        <f t="shared" si="372"/>
        <v>0</v>
      </c>
      <c r="F1239" s="1">
        <f t="shared" si="372"/>
        <v>0</v>
      </c>
      <c r="G1239" s="1" t="str">
        <f>IF(H1239=0,"-",_xlfn.CONCAT(K1239,N1239,O1239,J1239))</f>
        <v>25052203</v>
      </c>
      <c r="H1239" s="2">
        <v>45799</v>
      </c>
      <c r="I1239" s="113">
        <v>3</v>
      </c>
      <c r="J1239" s="1" t="str">
        <f t="shared" si="366"/>
        <v>03</v>
      </c>
      <c r="K1239" s="3">
        <f t="shared" si="367"/>
        <v>25</v>
      </c>
      <c r="L1239" s="3">
        <f t="shared" si="368"/>
        <v>5</v>
      </c>
      <c r="M1239" s="3">
        <f t="shared" si="369"/>
        <v>22</v>
      </c>
      <c r="N1239" s="3" t="str">
        <f t="shared" si="370"/>
        <v>05</v>
      </c>
      <c r="O1239" s="14">
        <f t="shared" si="371"/>
        <v>22</v>
      </c>
      <c r="P1239" s="4">
        <v>7000</v>
      </c>
      <c r="T1239" s="5" t="s">
        <v>1369</v>
      </c>
      <c r="U1239" s="3" t="s">
        <v>29</v>
      </c>
      <c r="V1239" s="3" t="s">
        <v>5</v>
      </c>
      <c r="W1239" s="3" t="s">
        <v>1307</v>
      </c>
      <c r="X1239" s="1" t="s">
        <v>1305</v>
      </c>
    </row>
    <row r="1240" spans="1:24" hidden="1">
      <c r="A1240" s="143"/>
      <c r="J1240" s="1" t="str">
        <f t="shared" si="366"/>
        <v>0</v>
      </c>
      <c r="K1240" s="3">
        <f t="shared" si="367"/>
        <v>-100</v>
      </c>
      <c r="L1240" s="3">
        <f t="shared" si="368"/>
        <v>1</v>
      </c>
      <c r="M1240" s="3">
        <f t="shared" si="369"/>
        <v>0</v>
      </c>
      <c r="N1240" s="3" t="str">
        <f t="shared" si="370"/>
        <v>01</v>
      </c>
      <c r="O1240" s="14" t="str">
        <f t="shared" si="371"/>
        <v>00</v>
      </c>
    </row>
    <row r="1241" spans="1:24" hidden="1">
      <c r="A1241" s="143">
        <v>1205</v>
      </c>
      <c r="B1241" s="1">
        <f t="shared" ref="B1241:B1246" si="373">IF(G1241="-",0,IF(G1240=G1241,1,0))</f>
        <v>0</v>
      </c>
      <c r="C1241" s="1">
        <f t="shared" ref="C1241:C1246" si="374">+IF(G1241="-",0,IF(I1241=I1240+1,0,(IF(I1241=1,0,1))))</f>
        <v>1</v>
      </c>
      <c r="D1241" s="1">
        <f t="shared" ref="D1241:D1246" si="375">+IF(AND(P1241="",Q1241=""),1,0)</f>
        <v>0</v>
      </c>
      <c r="E1241" s="1">
        <f t="shared" ref="E1241:F1246" si="376">IF(U1241="",1,0)</f>
        <v>0</v>
      </c>
      <c r="F1241" s="1">
        <f t="shared" si="376"/>
        <v>0</v>
      </c>
      <c r="G1241" s="1" t="str">
        <f t="shared" ref="G1241:G1246" si="377">IF(H1241=0,"-",_xlfn.CONCAT(K1241,N1241,O1241,J1241))</f>
        <v>25052205</v>
      </c>
      <c r="H1241" s="2">
        <v>45799</v>
      </c>
      <c r="I1241" s="113">
        <v>5</v>
      </c>
      <c r="J1241" s="1" t="str">
        <f t="shared" si="366"/>
        <v>05</v>
      </c>
      <c r="K1241" s="3">
        <f t="shared" si="367"/>
        <v>25</v>
      </c>
      <c r="L1241" s="3">
        <f t="shared" si="368"/>
        <v>5</v>
      </c>
      <c r="M1241" s="3">
        <f t="shared" si="369"/>
        <v>22</v>
      </c>
      <c r="N1241" s="3" t="str">
        <f t="shared" si="370"/>
        <v>05</v>
      </c>
      <c r="O1241" s="14">
        <f t="shared" si="371"/>
        <v>22</v>
      </c>
      <c r="P1241" s="4">
        <v>376457.96</v>
      </c>
      <c r="T1241" s="5" t="s">
        <v>1368</v>
      </c>
      <c r="U1241" s="3" t="s">
        <v>29</v>
      </c>
      <c r="V1241" s="3" t="s">
        <v>5</v>
      </c>
      <c r="W1241" s="3" t="s">
        <v>1309</v>
      </c>
      <c r="X1241" s="1" t="s">
        <v>1302</v>
      </c>
    </row>
    <row r="1242" spans="1:24" hidden="1">
      <c r="A1242" s="143">
        <v>1206</v>
      </c>
      <c r="B1242" s="1">
        <f t="shared" si="373"/>
        <v>0</v>
      </c>
      <c r="C1242" s="1">
        <f t="shared" si="374"/>
        <v>0</v>
      </c>
      <c r="D1242" s="1">
        <f t="shared" si="375"/>
        <v>0</v>
      </c>
      <c r="E1242" s="1">
        <f t="shared" si="376"/>
        <v>0</v>
      </c>
      <c r="F1242" s="1">
        <f t="shared" si="376"/>
        <v>0</v>
      </c>
      <c r="G1242" s="1" t="str">
        <f t="shared" si="377"/>
        <v>25052206</v>
      </c>
      <c r="H1242" s="2">
        <v>45799</v>
      </c>
      <c r="I1242" s="113">
        <v>6</v>
      </c>
      <c r="J1242" s="1" t="str">
        <f t="shared" si="366"/>
        <v>06</v>
      </c>
      <c r="K1242" s="3">
        <f t="shared" si="367"/>
        <v>25</v>
      </c>
      <c r="L1242" s="3">
        <f t="shared" si="368"/>
        <v>5</v>
      </c>
      <c r="M1242" s="3">
        <f t="shared" si="369"/>
        <v>22</v>
      </c>
      <c r="N1242" s="3" t="str">
        <f t="shared" si="370"/>
        <v>05</v>
      </c>
      <c r="O1242" s="14">
        <f t="shared" si="371"/>
        <v>22</v>
      </c>
      <c r="P1242" s="4">
        <v>263257.77</v>
      </c>
      <c r="T1242" s="5" t="s">
        <v>1367</v>
      </c>
      <c r="U1242" s="3" t="s">
        <v>29</v>
      </c>
      <c r="V1242" s="3" t="s">
        <v>5</v>
      </c>
      <c r="W1242" s="3" t="s">
        <v>1309</v>
      </c>
      <c r="X1242" s="1" t="s">
        <v>1302</v>
      </c>
    </row>
    <row r="1243" spans="1:24" hidden="1">
      <c r="A1243" s="143">
        <v>1207</v>
      </c>
      <c r="B1243" s="1">
        <f t="shared" si="373"/>
        <v>0</v>
      </c>
      <c r="C1243" s="1">
        <f t="shared" si="374"/>
        <v>0</v>
      </c>
      <c r="D1243" s="1">
        <f t="shared" si="375"/>
        <v>0</v>
      </c>
      <c r="E1243" s="1">
        <f t="shared" si="376"/>
        <v>0</v>
      </c>
      <c r="F1243" s="1">
        <f t="shared" si="376"/>
        <v>0</v>
      </c>
      <c r="G1243" s="1" t="str">
        <f t="shared" si="377"/>
        <v>25052207</v>
      </c>
      <c r="H1243" s="2">
        <v>45799</v>
      </c>
      <c r="I1243" s="113">
        <v>7</v>
      </c>
      <c r="J1243" s="1" t="str">
        <f t="shared" si="366"/>
        <v>07</v>
      </c>
      <c r="K1243" s="3">
        <f t="shared" si="367"/>
        <v>25</v>
      </c>
      <c r="L1243" s="3">
        <f t="shared" si="368"/>
        <v>5</v>
      </c>
      <c r="M1243" s="3">
        <f t="shared" si="369"/>
        <v>22</v>
      </c>
      <c r="N1243" s="3" t="str">
        <f t="shared" si="370"/>
        <v>05</v>
      </c>
      <c r="O1243" s="14">
        <f t="shared" si="371"/>
        <v>22</v>
      </c>
      <c r="P1243" s="4">
        <v>196680.14</v>
      </c>
      <c r="T1243" s="5" t="s">
        <v>1366</v>
      </c>
      <c r="U1243" s="3" t="s">
        <v>29</v>
      </c>
      <c r="V1243" s="3" t="s">
        <v>5</v>
      </c>
      <c r="W1243" s="3" t="s">
        <v>1309</v>
      </c>
      <c r="X1243" s="1" t="s">
        <v>1302</v>
      </c>
    </row>
    <row r="1244" spans="1:24" hidden="1">
      <c r="A1244" s="143">
        <v>1208</v>
      </c>
      <c r="B1244" s="1">
        <f t="shared" si="373"/>
        <v>0</v>
      </c>
      <c r="C1244" s="1">
        <f t="shared" si="374"/>
        <v>0</v>
      </c>
      <c r="D1244" s="1">
        <f t="shared" si="375"/>
        <v>0</v>
      </c>
      <c r="E1244" s="1">
        <f t="shared" si="376"/>
        <v>0</v>
      </c>
      <c r="F1244" s="1">
        <f t="shared" si="376"/>
        <v>0</v>
      </c>
      <c r="G1244" s="1" t="str">
        <f t="shared" si="377"/>
        <v>25052208</v>
      </c>
      <c r="H1244" s="2">
        <v>45799</v>
      </c>
      <c r="I1244" s="113">
        <v>8</v>
      </c>
      <c r="J1244" s="1" t="str">
        <f t="shared" si="366"/>
        <v>08</v>
      </c>
      <c r="K1244" s="3">
        <f t="shared" si="367"/>
        <v>25</v>
      </c>
      <c r="L1244" s="3">
        <f t="shared" si="368"/>
        <v>5</v>
      </c>
      <c r="M1244" s="3">
        <f t="shared" si="369"/>
        <v>22</v>
      </c>
      <c r="N1244" s="3" t="str">
        <f t="shared" si="370"/>
        <v>05</v>
      </c>
      <c r="O1244" s="14">
        <f t="shared" si="371"/>
        <v>22</v>
      </c>
      <c r="P1244" s="4">
        <v>356111.05</v>
      </c>
      <c r="T1244" s="5" t="s">
        <v>1365</v>
      </c>
      <c r="U1244" s="3" t="s">
        <v>29</v>
      </c>
      <c r="V1244" s="3" t="s">
        <v>5</v>
      </c>
      <c r="W1244" s="3" t="s">
        <v>1309</v>
      </c>
      <c r="X1244" s="1" t="s">
        <v>1302</v>
      </c>
    </row>
    <row r="1245" spans="1:24" hidden="1">
      <c r="A1245" s="143">
        <v>1176</v>
      </c>
      <c r="B1245" s="1">
        <f t="shared" si="373"/>
        <v>0</v>
      </c>
      <c r="C1245" s="1">
        <f t="shared" si="374"/>
        <v>0</v>
      </c>
      <c r="D1245" s="1">
        <f t="shared" si="375"/>
        <v>0</v>
      </c>
      <c r="E1245" s="1">
        <f t="shared" si="376"/>
        <v>0</v>
      </c>
      <c r="F1245" s="1">
        <f t="shared" si="376"/>
        <v>0</v>
      </c>
      <c r="G1245" s="1" t="str">
        <f t="shared" si="377"/>
        <v>25052301</v>
      </c>
      <c r="H1245" s="2">
        <v>45800</v>
      </c>
      <c r="I1245" s="113">
        <v>1</v>
      </c>
      <c r="J1245" s="1" t="str">
        <f t="shared" si="366"/>
        <v>01</v>
      </c>
      <c r="K1245" s="3">
        <f t="shared" si="367"/>
        <v>25</v>
      </c>
      <c r="L1245" s="3">
        <f t="shared" si="368"/>
        <v>5</v>
      </c>
      <c r="M1245" s="3">
        <f t="shared" si="369"/>
        <v>23</v>
      </c>
      <c r="N1245" s="3" t="str">
        <f t="shared" si="370"/>
        <v>05</v>
      </c>
      <c r="O1245" s="14">
        <f t="shared" si="371"/>
        <v>23</v>
      </c>
      <c r="P1245" s="4">
        <v>38716.230000000003</v>
      </c>
      <c r="T1245" s="5" t="s">
        <v>1364</v>
      </c>
      <c r="U1245" s="3" t="s">
        <v>29</v>
      </c>
      <c r="V1245" s="3" t="s">
        <v>5</v>
      </c>
      <c r="W1245" s="3" t="s">
        <v>1309</v>
      </c>
      <c r="X1245" s="1" t="s">
        <v>1305</v>
      </c>
    </row>
    <row r="1246" spans="1:24" hidden="1">
      <c r="A1246" s="143">
        <v>1177</v>
      </c>
      <c r="B1246" s="1">
        <f t="shared" si="373"/>
        <v>0</v>
      </c>
      <c r="C1246" s="1">
        <f t="shared" si="374"/>
        <v>0</v>
      </c>
      <c r="D1246" s="1">
        <f t="shared" si="375"/>
        <v>0</v>
      </c>
      <c r="E1246" s="1">
        <f t="shared" si="376"/>
        <v>0</v>
      </c>
      <c r="F1246" s="1">
        <f t="shared" si="376"/>
        <v>0</v>
      </c>
      <c r="G1246" s="1" t="str">
        <f t="shared" si="377"/>
        <v>25052302</v>
      </c>
      <c r="H1246" s="2">
        <v>45800</v>
      </c>
      <c r="I1246" s="113">
        <v>2</v>
      </c>
      <c r="J1246" s="1" t="str">
        <f t="shared" si="366"/>
        <v>02</v>
      </c>
      <c r="K1246" s="3">
        <f t="shared" si="367"/>
        <v>25</v>
      </c>
      <c r="L1246" s="3">
        <f t="shared" si="368"/>
        <v>5</v>
      </c>
      <c r="M1246" s="3">
        <f t="shared" si="369"/>
        <v>23</v>
      </c>
      <c r="N1246" s="3" t="str">
        <f t="shared" si="370"/>
        <v>05</v>
      </c>
      <c r="O1246" s="14">
        <f t="shared" si="371"/>
        <v>23</v>
      </c>
      <c r="P1246" s="4">
        <v>8400</v>
      </c>
      <c r="T1246" s="5" t="s">
        <v>352</v>
      </c>
      <c r="U1246" s="3" t="s">
        <v>30</v>
      </c>
      <c r="V1246" s="3" t="s">
        <v>1312</v>
      </c>
      <c r="W1246" s="3" t="s">
        <v>1307</v>
      </c>
      <c r="X1246" s="1" t="s">
        <v>1305</v>
      </c>
    </row>
    <row r="1247" spans="1:24" hidden="1">
      <c r="A1247" s="143"/>
      <c r="J1247" s="1" t="str">
        <f t="shared" si="366"/>
        <v>0</v>
      </c>
      <c r="K1247" s="3">
        <f t="shared" si="367"/>
        <v>-100</v>
      </c>
      <c r="L1247" s="3">
        <f t="shared" si="368"/>
        <v>1</v>
      </c>
      <c r="M1247" s="3">
        <f t="shared" si="369"/>
        <v>0</v>
      </c>
      <c r="N1247" s="3" t="str">
        <f t="shared" si="370"/>
        <v>01</v>
      </c>
      <c r="O1247" s="14" t="str">
        <f t="shared" si="371"/>
        <v>00</v>
      </c>
    </row>
    <row r="1248" spans="1:24">
      <c r="A1248" s="143">
        <v>1279</v>
      </c>
      <c r="B1248" s="1">
        <f>IF(G1248="-",0,IF(G1247=G1248,1,0))</f>
        <v>0</v>
      </c>
      <c r="C1248" s="1">
        <f>+IF(G1248="-",0,IF(I1248=I1247+1,0,(IF(I1248=1,0,1))))</f>
        <v>1</v>
      </c>
      <c r="D1248" s="1">
        <f>+IF(AND(P1248="",Q1248=""),1,0)</f>
        <v>0</v>
      </c>
      <c r="E1248" s="1">
        <f>IF(U1248="",1,0)</f>
        <v>0</v>
      </c>
      <c r="F1248" s="1">
        <f>IF(V1248="",1,0)</f>
        <v>0</v>
      </c>
      <c r="G1248" s="1" t="str">
        <f>IF(H1248=0,"-",_xlfn.CONCAT(K1248,N1248,O1248,J1248))</f>
        <v>25052304</v>
      </c>
      <c r="H1248" s="2">
        <v>45800</v>
      </c>
      <c r="I1248" s="113">
        <v>4</v>
      </c>
      <c r="J1248" s="1" t="str">
        <f t="shared" si="366"/>
        <v>04</v>
      </c>
      <c r="K1248" s="3">
        <f t="shared" si="367"/>
        <v>25</v>
      </c>
      <c r="L1248" s="3">
        <f t="shared" si="368"/>
        <v>5</v>
      </c>
      <c r="M1248" s="3">
        <f t="shared" si="369"/>
        <v>23</v>
      </c>
      <c r="N1248" s="3" t="str">
        <f t="shared" si="370"/>
        <v>05</v>
      </c>
      <c r="O1248" s="14">
        <f t="shared" si="371"/>
        <v>23</v>
      </c>
      <c r="P1248" s="4">
        <v>200000</v>
      </c>
      <c r="T1248" s="5" t="s">
        <v>1363</v>
      </c>
      <c r="U1248" s="3" t="s">
        <v>1342</v>
      </c>
      <c r="V1248" s="3" t="s">
        <v>5</v>
      </c>
      <c r="W1248" s="3" t="s">
        <v>1306</v>
      </c>
      <c r="X1248" s="1" t="s">
        <v>1302</v>
      </c>
    </row>
    <row r="1249" spans="1:24" hidden="1">
      <c r="A1249" s="143"/>
      <c r="J1249" s="1" t="str">
        <f t="shared" si="366"/>
        <v>0</v>
      </c>
      <c r="K1249" s="3">
        <f t="shared" si="367"/>
        <v>-100</v>
      </c>
      <c r="L1249" s="3">
        <f t="shared" si="368"/>
        <v>1</v>
      </c>
      <c r="M1249" s="3">
        <f t="shared" si="369"/>
        <v>0</v>
      </c>
      <c r="N1249" s="3" t="str">
        <f t="shared" si="370"/>
        <v>01</v>
      </c>
      <c r="O1249" s="14" t="str">
        <f t="shared" si="371"/>
        <v>00</v>
      </c>
      <c r="U1249" s="144"/>
    </row>
    <row r="1250" spans="1:24" hidden="1">
      <c r="A1250" s="143">
        <v>1181</v>
      </c>
      <c r="B1250" s="1">
        <f>IF(G1250="-",0,IF(G1249=G1250,1,0))</f>
        <v>0</v>
      </c>
      <c r="C1250" s="1">
        <f>+IF(G1250="-",0,IF(I1250=I1249+1,0,(IF(I1250=1,0,1))))</f>
        <v>0</v>
      </c>
      <c r="D1250" s="1">
        <f>+IF(AND(P1250="",Q1250=""),1,0)</f>
        <v>0</v>
      </c>
      <c r="E1250" s="1">
        <f>IF(U1250="",1,0)</f>
        <v>0</v>
      </c>
      <c r="F1250" s="1">
        <f>IF(V1250="",1,0)</f>
        <v>0</v>
      </c>
      <c r="G1250" s="1" t="str">
        <f>IF(H1250=0,"-",_xlfn.CONCAT(K1250,N1250,O1250,J1250))</f>
        <v>25052401</v>
      </c>
      <c r="H1250" s="2">
        <v>45801</v>
      </c>
      <c r="I1250" s="113">
        <v>1</v>
      </c>
      <c r="J1250" s="1" t="str">
        <f t="shared" si="366"/>
        <v>01</v>
      </c>
      <c r="K1250" s="3">
        <f t="shared" si="367"/>
        <v>25</v>
      </c>
      <c r="L1250" s="3">
        <f t="shared" si="368"/>
        <v>5</v>
      </c>
      <c r="M1250" s="3">
        <f t="shared" si="369"/>
        <v>24</v>
      </c>
      <c r="N1250" s="3" t="str">
        <f t="shared" si="370"/>
        <v>05</v>
      </c>
      <c r="O1250" s="14">
        <f t="shared" si="371"/>
        <v>24</v>
      </c>
      <c r="P1250" s="4">
        <v>9911.33</v>
      </c>
      <c r="T1250" s="5" t="s">
        <v>1362</v>
      </c>
      <c r="U1250" s="3" t="s">
        <v>29</v>
      </c>
      <c r="V1250" s="3" t="s">
        <v>5</v>
      </c>
      <c r="W1250" s="3" t="s">
        <v>1307</v>
      </c>
      <c r="X1250" s="1" t="s">
        <v>1305</v>
      </c>
    </row>
    <row r="1251" spans="1:24" hidden="1">
      <c r="A1251" s="143">
        <v>1182</v>
      </c>
      <c r="B1251" s="1">
        <f>IF(G1251="-",0,IF(G1250=G1251,1,0))</f>
        <v>0</v>
      </c>
      <c r="C1251" s="1">
        <f>+IF(G1251="-",0,IF(I1251=I1250+1,0,(IF(I1251=1,0,1))))</f>
        <v>0</v>
      </c>
      <c r="D1251" s="1">
        <f>+IF(AND(P1251="",Q1251=""),1,0)</f>
        <v>0</v>
      </c>
      <c r="E1251" s="1">
        <f>IF(U1251="",1,0)</f>
        <v>0</v>
      </c>
      <c r="F1251" s="1">
        <f>IF(V1251="",1,0)</f>
        <v>0</v>
      </c>
      <c r="G1251" s="1" t="str">
        <f>IF(H1251=0,"-",_xlfn.CONCAT(K1251,N1251,O1251,J1251))</f>
        <v>25052402</v>
      </c>
      <c r="H1251" s="2">
        <v>45801</v>
      </c>
      <c r="I1251" s="113">
        <v>2</v>
      </c>
      <c r="J1251" s="1" t="str">
        <f t="shared" si="366"/>
        <v>02</v>
      </c>
      <c r="K1251" s="3">
        <f t="shared" si="367"/>
        <v>25</v>
      </c>
      <c r="L1251" s="3">
        <f t="shared" si="368"/>
        <v>5</v>
      </c>
      <c r="M1251" s="3">
        <f t="shared" si="369"/>
        <v>24</v>
      </c>
      <c r="N1251" s="3" t="str">
        <f t="shared" si="370"/>
        <v>05</v>
      </c>
      <c r="O1251" s="14">
        <f t="shared" si="371"/>
        <v>24</v>
      </c>
      <c r="P1251" s="4">
        <v>6513.04</v>
      </c>
      <c r="T1251" s="5" t="s">
        <v>1361</v>
      </c>
      <c r="U1251" s="3" t="s">
        <v>29</v>
      </c>
      <c r="V1251" s="3" t="s">
        <v>5</v>
      </c>
      <c r="W1251" s="3" t="s">
        <v>1307</v>
      </c>
      <c r="X1251" s="1" t="s">
        <v>1305</v>
      </c>
    </row>
    <row r="1252" spans="1:24" hidden="1">
      <c r="A1252" s="143"/>
      <c r="J1252" s="1" t="str">
        <f t="shared" si="366"/>
        <v>0</v>
      </c>
      <c r="K1252" s="3">
        <f t="shared" si="367"/>
        <v>-100</v>
      </c>
      <c r="L1252" s="3">
        <f t="shared" si="368"/>
        <v>1</v>
      </c>
      <c r="M1252" s="3">
        <f t="shared" si="369"/>
        <v>0</v>
      </c>
      <c r="N1252" s="3" t="str">
        <f t="shared" si="370"/>
        <v>01</v>
      </c>
      <c r="O1252" s="14" t="str">
        <f t="shared" si="371"/>
        <v>00</v>
      </c>
    </row>
    <row r="1253" spans="1:24" hidden="1">
      <c r="A1253" s="143">
        <v>1185</v>
      </c>
      <c r="B1253" s="1">
        <f>IF(G1253="-",0,IF(G1252=G1253,1,0))</f>
        <v>0</v>
      </c>
      <c r="C1253" s="1">
        <f>+IF(G1253="-",0,IF(I1253=I1252+1,0,(IF(I1253=1,0,1))))</f>
        <v>1</v>
      </c>
      <c r="D1253" s="1">
        <f>+IF(AND(P1253="",Q1253=""),1,0)</f>
        <v>0</v>
      </c>
      <c r="E1253" s="1">
        <f>IF(U1253="",1,0)</f>
        <v>0</v>
      </c>
      <c r="F1253" s="1">
        <f>IF(V1253="",1,0)</f>
        <v>0</v>
      </c>
      <c r="G1253" s="1" t="str">
        <f>IF(H1253=0,"-",_xlfn.CONCAT(K1253,N1253,O1253,J1253))</f>
        <v>25052404</v>
      </c>
      <c r="H1253" s="2">
        <v>45801</v>
      </c>
      <c r="I1253" s="113">
        <v>4</v>
      </c>
      <c r="J1253" s="1" t="str">
        <f t="shared" si="366"/>
        <v>04</v>
      </c>
      <c r="K1253" s="3">
        <f t="shared" si="367"/>
        <v>25</v>
      </c>
      <c r="L1253" s="3">
        <f t="shared" si="368"/>
        <v>5</v>
      </c>
      <c r="M1253" s="3">
        <f t="shared" si="369"/>
        <v>24</v>
      </c>
      <c r="N1253" s="3" t="str">
        <f t="shared" si="370"/>
        <v>05</v>
      </c>
      <c r="O1253" s="14">
        <f t="shared" si="371"/>
        <v>24</v>
      </c>
      <c r="P1253" s="4">
        <v>17480</v>
      </c>
      <c r="T1253" s="5" t="s">
        <v>1360</v>
      </c>
      <c r="U1253" s="3" t="s">
        <v>1310</v>
      </c>
      <c r="V1253" s="3" t="s">
        <v>1316</v>
      </c>
      <c r="W1253" s="3" t="s">
        <v>1309</v>
      </c>
      <c r="X1253" s="1" t="s">
        <v>1305</v>
      </c>
    </row>
    <row r="1254" spans="1:24" hidden="1">
      <c r="A1254" s="143"/>
      <c r="J1254" s="1" t="str">
        <f t="shared" si="366"/>
        <v>0</v>
      </c>
      <c r="K1254" s="3">
        <f t="shared" si="367"/>
        <v>-100</v>
      </c>
      <c r="L1254" s="3">
        <f t="shared" si="368"/>
        <v>1</v>
      </c>
      <c r="M1254" s="3">
        <f t="shared" si="369"/>
        <v>0</v>
      </c>
      <c r="N1254" s="3" t="str">
        <f t="shared" si="370"/>
        <v>01</v>
      </c>
      <c r="O1254" s="14" t="str">
        <f t="shared" si="371"/>
        <v>00</v>
      </c>
    </row>
    <row r="1255" spans="1:24" hidden="1">
      <c r="A1255" s="143"/>
      <c r="J1255" s="1" t="str">
        <f t="shared" si="366"/>
        <v>0</v>
      </c>
      <c r="K1255" s="3">
        <f t="shared" si="367"/>
        <v>-100</v>
      </c>
      <c r="L1255" s="3">
        <f t="shared" si="368"/>
        <v>1</v>
      </c>
      <c r="M1255" s="3">
        <f t="shared" si="369"/>
        <v>0</v>
      </c>
      <c r="N1255" s="3" t="str">
        <f t="shared" si="370"/>
        <v>01</v>
      </c>
      <c r="O1255" s="14" t="str">
        <f t="shared" si="371"/>
        <v>00</v>
      </c>
    </row>
    <row r="1256" spans="1:24" hidden="1">
      <c r="A1256" s="143">
        <v>1210</v>
      </c>
      <c r="B1256" s="1">
        <f t="shared" ref="B1256:B1273" si="378">IF(G1256="-",0,IF(G1255=G1256,1,0))</f>
        <v>0</v>
      </c>
      <c r="C1256" s="1">
        <f t="shared" ref="C1256:C1273" si="379">+IF(G1256="-",0,IF(I1256=I1255+1,0,(IF(I1256=1,0,1))))</f>
        <v>1</v>
      </c>
      <c r="D1256" s="1">
        <f t="shared" ref="D1256:D1273" si="380">+IF(AND(P1256="",Q1256=""),1,0)</f>
        <v>0</v>
      </c>
      <c r="E1256" s="1">
        <f t="shared" ref="E1256:E1273" si="381">IF(U1256="",1,0)</f>
        <v>0</v>
      </c>
      <c r="F1256" s="1">
        <f t="shared" ref="F1256:F1273" si="382">IF(V1256="",1,0)</f>
        <v>0</v>
      </c>
      <c r="G1256" s="1" t="str">
        <f t="shared" ref="G1256:G1273" si="383">IF(H1256=0,"-",_xlfn.CONCAT(K1256,N1256,O1256,J1256))</f>
        <v>25052502</v>
      </c>
      <c r="H1256" s="2">
        <v>45802</v>
      </c>
      <c r="I1256" s="113">
        <v>2</v>
      </c>
      <c r="J1256" s="1" t="str">
        <f t="shared" si="366"/>
        <v>02</v>
      </c>
      <c r="K1256" s="3">
        <f t="shared" si="367"/>
        <v>25</v>
      </c>
      <c r="L1256" s="3">
        <f t="shared" si="368"/>
        <v>5</v>
      </c>
      <c r="M1256" s="3">
        <f t="shared" si="369"/>
        <v>25</v>
      </c>
      <c r="N1256" s="3" t="str">
        <f t="shared" si="370"/>
        <v>05</v>
      </c>
      <c r="O1256" s="14">
        <f t="shared" si="371"/>
        <v>25</v>
      </c>
      <c r="P1256" s="4">
        <v>4311</v>
      </c>
      <c r="T1256" s="5" t="s">
        <v>1327</v>
      </c>
      <c r="U1256" s="3" t="s">
        <v>1310</v>
      </c>
      <c r="V1256" s="3" t="s">
        <v>1304</v>
      </c>
      <c r="W1256" s="3" t="s">
        <v>1309</v>
      </c>
      <c r="X1256" s="1" t="s">
        <v>1302</v>
      </c>
    </row>
    <row r="1257" spans="1:24">
      <c r="A1257" s="143">
        <v>1259</v>
      </c>
      <c r="B1257" s="1">
        <f t="shared" si="378"/>
        <v>0</v>
      </c>
      <c r="C1257" s="1">
        <f t="shared" si="379"/>
        <v>0</v>
      </c>
      <c r="D1257" s="1">
        <f t="shared" si="380"/>
        <v>0</v>
      </c>
      <c r="E1257" s="1">
        <f t="shared" si="381"/>
        <v>0</v>
      </c>
      <c r="F1257" s="1">
        <f t="shared" si="382"/>
        <v>0</v>
      </c>
      <c r="G1257" s="1" t="str">
        <f t="shared" si="383"/>
        <v>25052503</v>
      </c>
      <c r="H1257" s="2">
        <v>45802</v>
      </c>
      <c r="I1257" s="113">
        <v>3</v>
      </c>
      <c r="J1257" s="1" t="str">
        <f t="shared" si="366"/>
        <v>03</v>
      </c>
      <c r="K1257" s="3">
        <f t="shared" si="367"/>
        <v>25</v>
      </c>
      <c r="L1257" s="3">
        <f t="shared" si="368"/>
        <v>5</v>
      </c>
      <c r="M1257" s="3">
        <f t="shared" si="369"/>
        <v>25</v>
      </c>
      <c r="N1257" s="3" t="str">
        <f t="shared" si="370"/>
        <v>05</v>
      </c>
      <c r="O1257" s="14">
        <f t="shared" si="371"/>
        <v>25</v>
      </c>
      <c r="P1257" s="4">
        <v>159000</v>
      </c>
      <c r="T1257" s="28" t="s">
        <v>1359</v>
      </c>
      <c r="U1257" s="3" t="s">
        <v>1342</v>
      </c>
      <c r="V1257" s="3" t="s">
        <v>5</v>
      </c>
      <c r="W1257" s="3" t="s">
        <v>1306</v>
      </c>
      <c r="X1257" s="1" t="s">
        <v>1302</v>
      </c>
    </row>
    <row r="1258" spans="1:24">
      <c r="A1258" s="143">
        <v>1260</v>
      </c>
      <c r="B1258" s="1">
        <f t="shared" si="378"/>
        <v>0</v>
      </c>
      <c r="C1258" s="1">
        <f t="shared" si="379"/>
        <v>0</v>
      </c>
      <c r="D1258" s="1">
        <f t="shared" si="380"/>
        <v>0</v>
      </c>
      <c r="E1258" s="1">
        <f t="shared" si="381"/>
        <v>0</v>
      </c>
      <c r="F1258" s="1">
        <f t="shared" si="382"/>
        <v>0</v>
      </c>
      <c r="G1258" s="1" t="str">
        <f t="shared" si="383"/>
        <v>25052504</v>
      </c>
      <c r="H1258" s="2">
        <v>45802</v>
      </c>
      <c r="I1258" s="113">
        <v>4</v>
      </c>
      <c r="J1258" s="1" t="str">
        <f t="shared" si="366"/>
        <v>04</v>
      </c>
      <c r="K1258" s="3">
        <f t="shared" si="367"/>
        <v>25</v>
      </c>
      <c r="L1258" s="3">
        <f t="shared" si="368"/>
        <v>5</v>
      </c>
      <c r="M1258" s="3">
        <f t="shared" si="369"/>
        <v>25</v>
      </c>
      <c r="N1258" s="3" t="str">
        <f t="shared" si="370"/>
        <v>05</v>
      </c>
      <c r="O1258" s="14">
        <f t="shared" si="371"/>
        <v>25</v>
      </c>
      <c r="P1258" s="4">
        <v>132000</v>
      </c>
      <c r="T1258" s="28" t="s">
        <v>1358</v>
      </c>
      <c r="U1258" s="3" t="s">
        <v>1342</v>
      </c>
      <c r="V1258" s="3" t="s">
        <v>5</v>
      </c>
      <c r="W1258" s="3" t="s">
        <v>1306</v>
      </c>
      <c r="X1258" s="1" t="s">
        <v>1302</v>
      </c>
    </row>
    <row r="1259" spans="1:24">
      <c r="A1259" s="143">
        <v>1261</v>
      </c>
      <c r="B1259" s="1">
        <f t="shared" si="378"/>
        <v>0</v>
      </c>
      <c r="C1259" s="1">
        <f t="shared" si="379"/>
        <v>0</v>
      </c>
      <c r="D1259" s="1">
        <f t="shared" si="380"/>
        <v>0</v>
      </c>
      <c r="E1259" s="1">
        <f t="shared" si="381"/>
        <v>0</v>
      </c>
      <c r="F1259" s="1">
        <f t="shared" si="382"/>
        <v>0</v>
      </c>
      <c r="G1259" s="1" t="str">
        <f t="shared" si="383"/>
        <v>25052505</v>
      </c>
      <c r="H1259" s="2">
        <v>45802</v>
      </c>
      <c r="I1259" s="113">
        <v>5</v>
      </c>
      <c r="J1259" s="1" t="str">
        <f t="shared" si="366"/>
        <v>05</v>
      </c>
      <c r="K1259" s="3">
        <f t="shared" si="367"/>
        <v>25</v>
      </c>
      <c r="L1259" s="3">
        <f t="shared" si="368"/>
        <v>5</v>
      </c>
      <c r="M1259" s="3">
        <f t="shared" si="369"/>
        <v>25</v>
      </c>
      <c r="N1259" s="3" t="str">
        <f t="shared" si="370"/>
        <v>05</v>
      </c>
      <c r="O1259" s="14">
        <f t="shared" si="371"/>
        <v>25</v>
      </c>
      <c r="P1259" s="4">
        <v>108000</v>
      </c>
      <c r="T1259" s="28" t="s">
        <v>1357</v>
      </c>
      <c r="U1259" s="3" t="s">
        <v>1342</v>
      </c>
      <c r="V1259" s="3" t="s">
        <v>5</v>
      </c>
      <c r="W1259" s="3" t="s">
        <v>1306</v>
      </c>
      <c r="X1259" s="1" t="s">
        <v>1302</v>
      </c>
    </row>
    <row r="1260" spans="1:24">
      <c r="A1260" s="143">
        <v>1262</v>
      </c>
      <c r="B1260" s="1">
        <f t="shared" si="378"/>
        <v>0</v>
      </c>
      <c r="C1260" s="1">
        <f t="shared" si="379"/>
        <v>0</v>
      </c>
      <c r="D1260" s="1">
        <f t="shared" si="380"/>
        <v>0</v>
      </c>
      <c r="E1260" s="1">
        <f t="shared" si="381"/>
        <v>0</v>
      </c>
      <c r="F1260" s="1">
        <f t="shared" si="382"/>
        <v>0</v>
      </c>
      <c r="G1260" s="1" t="str">
        <f t="shared" si="383"/>
        <v>25052506</v>
      </c>
      <c r="H1260" s="2">
        <v>45802</v>
      </c>
      <c r="I1260" s="113">
        <v>6</v>
      </c>
      <c r="J1260" s="1" t="str">
        <f t="shared" si="366"/>
        <v>06</v>
      </c>
      <c r="K1260" s="3">
        <f t="shared" si="367"/>
        <v>25</v>
      </c>
      <c r="L1260" s="3">
        <f t="shared" si="368"/>
        <v>5</v>
      </c>
      <c r="M1260" s="3">
        <f t="shared" si="369"/>
        <v>25</v>
      </c>
      <c r="N1260" s="3" t="str">
        <f t="shared" si="370"/>
        <v>05</v>
      </c>
      <c r="O1260" s="14">
        <f t="shared" si="371"/>
        <v>25</v>
      </c>
      <c r="P1260" s="4">
        <v>132000</v>
      </c>
      <c r="T1260" s="28" t="s">
        <v>1356</v>
      </c>
      <c r="U1260" s="3" t="s">
        <v>1342</v>
      </c>
      <c r="V1260" s="3" t="s">
        <v>5</v>
      </c>
      <c r="W1260" s="3" t="s">
        <v>1306</v>
      </c>
      <c r="X1260" s="1" t="s">
        <v>1302</v>
      </c>
    </row>
    <row r="1261" spans="1:24">
      <c r="A1261" s="143">
        <v>1263</v>
      </c>
      <c r="B1261" s="1">
        <f t="shared" si="378"/>
        <v>0</v>
      </c>
      <c r="C1261" s="1">
        <f t="shared" si="379"/>
        <v>0</v>
      </c>
      <c r="D1261" s="1">
        <f t="shared" si="380"/>
        <v>0</v>
      </c>
      <c r="E1261" s="1">
        <f t="shared" si="381"/>
        <v>0</v>
      </c>
      <c r="F1261" s="1">
        <f t="shared" si="382"/>
        <v>0</v>
      </c>
      <c r="G1261" s="1" t="str">
        <f t="shared" si="383"/>
        <v>25052507</v>
      </c>
      <c r="H1261" s="2">
        <v>45802</v>
      </c>
      <c r="I1261" s="113">
        <v>7</v>
      </c>
      <c r="J1261" s="1" t="str">
        <f t="shared" si="366"/>
        <v>07</v>
      </c>
      <c r="K1261" s="3">
        <f t="shared" si="367"/>
        <v>25</v>
      </c>
      <c r="L1261" s="3">
        <f t="shared" si="368"/>
        <v>5</v>
      </c>
      <c r="M1261" s="3">
        <f t="shared" si="369"/>
        <v>25</v>
      </c>
      <c r="N1261" s="3" t="str">
        <f t="shared" si="370"/>
        <v>05</v>
      </c>
      <c r="O1261" s="14">
        <f t="shared" si="371"/>
        <v>25</v>
      </c>
      <c r="P1261" s="4">
        <v>159000</v>
      </c>
      <c r="T1261" s="28" t="s">
        <v>1355</v>
      </c>
      <c r="U1261" s="3" t="s">
        <v>1342</v>
      </c>
      <c r="V1261" s="3" t="s">
        <v>5</v>
      </c>
      <c r="W1261" s="3" t="s">
        <v>1306</v>
      </c>
      <c r="X1261" s="1" t="s">
        <v>1302</v>
      </c>
    </row>
    <row r="1262" spans="1:24">
      <c r="A1262" s="143">
        <v>1264</v>
      </c>
      <c r="B1262" s="1">
        <f t="shared" si="378"/>
        <v>0</v>
      </c>
      <c r="C1262" s="1">
        <f t="shared" si="379"/>
        <v>0</v>
      </c>
      <c r="D1262" s="1">
        <f t="shared" si="380"/>
        <v>0</v>
      </c>
      <c r="E1262" s="1">
        <f t="shared" si="381"/>
        <v>0</v>
      </c>
      <c r="F1262" s="1">
        <f t="shared" si="382"/>
        <v>0</v>
      </c>
      <c r="G1262" s="1" t="str">
        <f t="shared" si="383"/>
        <v>25052508</v>
      </c>
      <c r="H1262" s="2">
        <v>45802</v>
      </c>
      <c r="I1262" s="113">
        <v>8</v>
      </c>
      <c r="J1262" s="1" t="str">
        <f t="shared" si="366"/>
        <v>08</v>
      </c>
      <c r="K1262" s="3">
        <f t="shared" si="367"/>
        <v>25</v>
      </c>
      <c r="L1262" s="3">
        <f t="shared" si="368"/>
        <v>5</v>
      </c>
      <c r="M1262" s="3">
        <f t="shared" si="369"/>
        <v>25</v>
      </c>
      <c r="N1262" s="3" t="str">
        <f t="shared" si="370"/>
        <v>05</v>
      </c>
      <c r="O1262" s="14">
        <f t="shared" si="371"/>
        <v>25</v>
      </c>
      <c r="P1262" s="4">
        <v>132000</v>
      </c>
      <c r="T1262" s="28" t="s">
        <v>1354</v>
      </c>
      <c r="U1262" s="3" t="s">
        <v>1342</v>
      </c>
      <c r="V1262" s="3" t="s">
        <v>5</v>
      </c>
      <c r="W1262" s="3" t="s">
        <v>1306</v>
      </c>
      <c r="X1262" s="1" t="s">
        <v>1302</v>
      </c>
    </row>
    <row r="1263" spans="1:24">
      <c r="A1263" s="143">
        <v>1265</v>
      </c>
      <c r="B1263" s="1">
        <f t="shared" si="378"/>
        <v>0</v>
      </c>
      <c r="C1263" s="1">
        <f t="shared" si="379"/>
        <v>0</v>
      </c>
      <c r="D1263" s="1">
        <f t="shared" si="380"/>
        <v>0</v>
      </c>
      <c r="E1263" s="1">
        <f t="shared" si="381"/>
        <v>0</v>
      </c>
      <c r="F1263" s="1">
        <f t="shared" si="382"/>
        <v>0</v>
      </c>
      <c r="G1263" s="1" t="str">
        <f t="shared" si="383"/>
        <v>25052509</v>
      </c>
      <c r="H1263" s="2">
        <v>45802</v>
      </c>
      <c r="I1263" s="113">
        <v>9</v>
      </c>
      <c r="J1263" s="1" t="str">
        <f t="shared" si="366"/>
        <v>09</v>
      </c>
      <c r="K1263" s="3">
        <f t="shared" si="367"/>
        <v>25</v>
      </c>
      <c r="L1263" s="3">
        <f t="shared" si="368"/>
        <v>5</v>
      </c>
      <c r="M1263" s="3">
        <f t="shared" si="369"/>
        <v>25</v>
      </c>
      <c r="N1263" s="3" t="str">
        <f t="shared" si="370"/>
        <v>05</v>
      </c>
      <c r="O1263" s="14">
        <f t="shared" si="371"/>
        <v>25</v>
      </c>
      <c r="P1263" s="4">
        <v>132000</v>
      </c>
      <c r="T1263" s="33" t="s">
        <v>1353</v>
      </c>
      <c r="U1263" s="3" t="s">
        <v>1342</v>
      </c>
      <c r="V1263" s="3" t="s">
        <v>5</v>
      </c>
      <c r="W1263" s="3" t="s">
        <v>1306</v>
      </c>
      <c r="X1263" s="1" t="s">
        <v>1302</v>
      </c>
    </row>
    <row r="1264" spans="1:24">
      <c r="A1264" s="143">
        <v>1266</v>
      </c>
      <c r="B1264" s="1">
        <f t="shared" si="378"/>
        <v>0</v>
      </c>
      <c r="C1264" s="1">
        <f t="shared" si="379"/>
        <v>0</v>
      </c>
      <c r="D1264" s="1">
        <f t="shared" si="380"/>
        <v>0</v>
      </c>
      <c r="E1264" s="1">
        <f t="shared" si="381"/>
        <v>0</v>
      </c>
      <c r="F1264" s="1">
        <f t="shared" si="382"/>
        <v>0</v>
      </c>
      <c r="G1264" s="1" t="str">
        <f t="shared" si="383"/>
        <v>25052510</v>
      </c>
      <c r="H1264" s="2">
        <v>45802</v>
      </c>
      <c r="I1264" s="113">
        <v>10</v>
      </c>
      <c r="J1264" s="1">
        <f t="shared" si="366"/>
        <v>10</v>
      </c>
      <c r="K1264" s="3">
        <f t="shared" si="367"/>
        <v>25</v>
      </c>
      <c r="L1264" s="3">
        <f t="shared" si="368"/>
        <v>5</v>
      </c>
      <c r="M1264" s="3">
        <f t="shared" si="369"/>
        <v>25</v>
      </c>
      <c r="N1264" s="3" t="str">
        <f t="shared" si="370"/>
        <v>05</v>
      </c>
      <c r="O1264" s="14">
        <f t="shared" si="371"/>
        <v>25</v>
      </c>
      <c r="P1264" s="4">
        <v>108000</v>
      </c>
      <c r="T1264" s="33" t="s">
        <v>1352</v>
      </c>
      <c r="U1264" s="3" t="s">
        <v>1342</v>
      </c>
      <c r="V1264" s="3" t="s">
        <v>5</v>
      </c>
      <c r="W1264" s="3" t="s">
        <v>1306</v>
      </c>
      <c r="X1264" s="1" t="s">
        <v>1302</v>
      </c>
    </row>
    <row r="1265" spans="1:24">
      <c r="A1265" s="143">
        <v>1267</v>
      </c>
      <c r="B1265" s="1">
        <f t="shared" si="378"/>
        <v>0</v>
      </c>
      <c r="C1265" s="1">
        <f t="shared" si="379"/>
        <v>0</v>
      </c>
      <c r="D1265" s="1">
        <f t="shared" si="380"/>
        <v>0</v>
      </c>
      <c r="E1265" s="1">
        <f t="shared" si="381"/>
        <v>0</v>
      </c>
      <c r="F1265" s="1">
        <f t="shared" si="382"/>
        <v>0</v>
      </c>
      <c r="G1265" s="1" t="str">
        <f t="shared" si="383"/>
        <v>25052511</v>
      </c>
      <c r="H1265" s="2">
        <v>45802</v>
      </c>
      <c r="I1265" s="113">
        <v>11</v>
      </c>
      <c r="J1265" s="1">
        <f t="shared" si="366"/>
        <v>11</v>
      </c>
      <c r="K1265" s="3">
        <f t="shared" si="367"/>
        <v>25</v>
      </c>
      <c r="L1265" s="3">
        <f t="shared" si="368"/>
        <v>5</v>
      </c>
      <c r="M1265" s="3">
        <f t="shared" si="369"/>
        <v>25</v>
      </c>
      <c r="N1265" s="3" t="str">
        <f t="shared" si="370"/>
        <v>05</v>
      </c>
      <c r="O1265" s="14">
        <f t="shared" si="371"/>
        <v>25</v>
      </c>
      <c r="P1265" s="4">
        <v>132000</v>
      </c>
      <c r="T1265" s="33" t="s">
        <v>1351</v>
      </c>
      <c r="U1265" s="3" t="s">
        <v>1342</v>
      </c>
      <c r="V1265" s="3" t="s">
        <v>5</v>
      </c>
      <c r="W1265" s="3" t="s">
        <v>1306</v>
      </c>
      <c r="X1265" s="1" t="s">
        <v>1302</v>
      </c>
    </row>
    <row r="1266" spans="1:24">
      <c r="A1266" s="143">
        <v>1268</v>
      </c>
      <c r="B1266" s="1">
        <f t="shared" si="378"/>
        <v>0</v>
      </c>
      <c r="C1266" s="1">
        <f t="shared" si="379"/>
        <v>0</v>
      </c>
      <c r="D1266" s="1">
        <f t="shared" si="380"/>
        <v>0</v>
      </c>
      <c r="E1266" s="1">
        <f t="shared" si="381"/>
        <v>0</v>
      </c>
      <c r="F1266" s="1">
        <f t="shared" si="382"/>
        <v>0</v>
      </c>
      <c r="G1266" s="1" t="str">
        <f t="shared" si="383"/>
        <v>25052512</v>
      </c>
      <c r="H1266" s="2">
        <v>45802</v>
      </c>
      <c r="I1266" s="113">
        <v>12</v>
      </c>
      <c r="J1266" s="1">
        <f t="shared" si="366"/>
        <v>12</v>
      </c>
      <c r="K1266" s="3">
        <f t="shared" si="367"/>
        <v>25</v>
      </c>
      <c r="L1266" s="3">
        <f t="shared" si="368"/>
        <v>5</v>
      </c>
      <c r="M1266" s="3">
        <f t="shared" si="369"/>
        <v>25</v>
      </c>
      <c r="N1266" s="3" t="str">
        <f t="shared" si="370"/>
        <v>05</v>
      </c>
      <c r="O1266" s="14">
        <f t="shared" si="371"/>
        <v>25</v>
      </c>
      <c r="P1266" s="4">
        <v>108000</v>
      </c>
      <c r="T1266" s="33" t="s">
        <v>1350</v>
      </c>
      <c r="U1266" s="3" t="s">
        <v>1342</v>
      </c>
      <c r="V1266" s="3" t="s">
        <v>5</v>
      </c>
      <c r="W1266" s="3" t="s">
        <v>1306</v>
      </c>
      <c r="X1266" s="1" t="s">
        <v>1302</v>
      </c>
    </row>
    <row r="1267" spans="1:24">
      <c r="A1267" s="143">
        <v>1269</v>
      </c>
      <c r="B1267" s="1">
        <f t="shared" si="378"/>
        <v>0</v>
      </c>
      <c r="C1267" s="1">
        <f t="shared" si="379"/>
        <v>0</v>
      </c>
      <c r="D1267" s="1">
        <f t="shared" si="380"/>
        <v>0</v>
      </c>
      <c r="E1267" s="1">
        <f t="shared" si="381"/>
        <v>0</v>
      </c>
      <c r="F1267" s="1">
        <f t="shared" si="382"/>
        <v>0</v>
      </c>
      <c r="G1267" s="1" t="str">
        <f t="shared" si="383"/>
        <v>25052513</v>
      </c>
      <c r="H1267" s="2">
        <v>45802</v>
      </c>
      <c r="I1267" s="113">
        <v>13</v>
      </c>
      <c r="J1267" s="1">
        <f t="shared" si="366"/>
        <v>13</v>
      </c>
      <c r="K1267" s="3">
        <f t="shared" si="367"/>
        <v>25</v>
      </c>
      <c r="L1267" s="3">
        <f t="shared" si="368"/>
        <v>5</v>
      </c>
      <c r="M1267" s="3">
        <f t="shared" si="369"/>
        <v>25</v>
      </c>
      <c r="N1267" s="3" t="str">
        <f t="shared" si="370"/>
        <v>05</v>
      </c>
      <c r="O1267" s="14">
        <f t="shared" si="371"/>
        <v>25</v>
      </c>
      <c r="P1267" s="4">
        <v>120000</v>
      </c>
      <c r="T1267" s="33" t="s">
        <v>1349</v>
      </c>
      <c r="U1267" s="3" t="s">
        <v>1342</v>
      </c>
      <c r="V1267" s="3" t="s">
        <v>5</v>
      </c>
      <c r="W1267" s="3" t="s">
        <v>1306</v>
      </c>
      <c r="X1267" s="1" t="s">
        <v>1302</v>
      </c>
    </row>
    <row r="1268" spans="1:24">
      <c r="A1268" s="143">
        <v>1270</v>
      </c>
      <c r="B1268" s="1">
        <f t="shared" si="378"/>
        <v>0</v>
      </c>
      <c r="C1268" s="1">
        <f t="shared" si="379"/>
        <v>0</v>
      </c>
      <c r="D1268" s="1">
        <f t="shared" si="380"/>
        <v>0</v>
      </c>
      <c r="E1268" s="1">
        <f t="shared" si="381"/>
        <v>0</v>
      </c>
      <c r="F1268" s="1">
        <f t="shared" si="382"/>
        <v>0</v>
      </c>
      <c r="G1268" s="1" t="str">
        <f t="shared" si="383"/>
        <v>25052514</v>
      </c>
      <c r="H1268" s="2">
        <v>45802</v>
      </c>
      <c r="I1268" s="113">
        <v>14</v>
      </c>
      <c r="J1268" s="1">
        <f t="shared" si="366"/>
        <v>14</v>
      </c>
      <c r="K1268" s="3">
        <f t="shared" si="367"/>
        <v>25</v>
      </c>
      <c r="L1268" s="3">
        <f t="shared" si="368"/>
        <v>5</v>
      </c>
      <c r="M1268" s="3">
        <f t="shared" si="369"/>
        <v>25</v>
      </c>
      <c r="N1268" s="3" t="str">
        <f t="shared" si="370"/>
        <v>05</v>
      </c>
      <c r="O1268" s="14">
        <f t="shared" si="371"/>
        <v>25</v>
      </c>
      <c r="P1268" s="4">
        <v>138000</v>
      </c>
      <c r="T1268" s="33" t="s">
        <v>1348</v>
      </c>
      <c r="U1268" s="3" t="s">
        <v>1342</v>
      </c>
      <c r="V1268" s="3" t="s">
        <v>5</v>
      </c>
      <c r="W1268" s="3" t="s">
        <v>1306</v>
      </c>
      <c r="X1268" s="1" t="s">
        <v>1302</v>
      </c>
    </row>
    <row r="1269" spans="1:24">
      <c r="A1269" s="143">
        <v>1271</v>
      </c>
      <c r="B1269" s="1">
        <f t="shared" si="378"/>
        <v>0</v>
      </c>
      <c r="C1269" s="1">
        <f t="shared" si="379"/>
        <v>0</v>
      </c>
      <c r="D1269" s="1">
        <f t="shared" si="380"/>
        <v>0</v>
      </c>
      <c r="E1269" s="1">
        <f t="shared" si="381"/>
        <v>0</v>
      </c>
      <c r="F1269" s="1">
        <f t="shared" si="382"/>
        <v>0</v>
      </c>
      <c r="G1269" s="1" t="str">
        <f t="shared" si="383"/>
        <v>25052515</v>
      </c>
      <c r="H1269" s="2">
        <v>45802</v>
      </c>
      <c r="I1269" s="113">
        <v>15</v>
      </c>
      <c r="J1269" s="1">
        <f t="shared" si="366"/>
        <v>15</v>
      </c>
      <c r="K1269" s="3">
        <f t="shared" si="367"/>
        <v>25</v>
      </c>
      <c r="L1269" s="3">
        <f t="shared" si="368"/>
        <v>5</v>
      </c>
      <c r="M1269" s="3">
        <f t="shared" si="369"/>
        <v>25</v>
      </c>
      <c r="N1269" s="3" t="str">
        <f t="shared" si="370"/>
        <v>05</v>
      </c>
      <c r="O1269" s="14">
        <f t="shared" si="371"/>
        <v>25</v>
      </c>
      <c r="P1269" s="4">
        <v>252000</v>
      </c>
      <c r="T1269" s="33" t="s">
        <v>1347</v>
      </c>
      <c r="U1269" s="3" t="s">
        <v>1342</v>
      </c>
      <c r="V1269" s="3" t="s">
        <v>5</v>
      </c>
      <c r="W1269" s="3" t="s">
        <v>1306</v>
      </c>
      <c r="X1269" s="1" t="s">
        <v>1302</v>
      </c>
    </row>
    <row r="1270" spans="1:24">
      <c r="A1270" s="143">
        <v>1272</v>
      </c>
      <c r="B1270" s="1">
        <f t="shared" si="378"/>
        <v>0</v>
      </c>
      <c r="C1270" s="1">
        <f t="shared" si="379"/>
        <v>0</v>
      </c>
      <c r="D1270" s="1">
        <f t="shared" si="380"/>
        <v>0</v>
      </c>
      <c r="E1270" s="1">
        <f t="shared" si="381"/>
        <v>0</v>
      </c>
      <c r="F1270" s="1">
        <f t="shared" si="382"/>
        <v>0</v>
      </c>
      <c r="G1270" s="1" t="str">
        <f t="shared" si="383"/>
        <v>25052516</v>
      </c>
      <c r="H1270" s="2">
        <v>45802</v>
      </c>
      <c r="I1270" s="113">
        <v>16</v>
      </c>
      <c r="J1270" s="1">
        <f t="shared" si="366"/>
        <v>16</v>
      </c>
      <c r="K1270" s="3">
        <f t="shared" si="367"/>
        <v>25</v>
      </c>
      <c r="L1270" s="3">
        <f t="shared" si="368"/>
        <v>5</v>
      </c>
      <c r="M1270" s="3">
        <f t="shared" si="369"/>
        <v>25</v>
      </c>
      <c r="N1270" s="3" t="str">
        <f t="shared" si="370"/>
        <v>05</v>
      </c>
      <c r="O1270" s="14">
        <f t="shared" si="371"/>
        <v>25</v>
      </c>
      <c r="P1270" s="4">
        <v>90000</v>
      </c>
      <c r="T1270" s="33" t="s">
        <v>1346</v>
      </c>
      <c r="U1270" s="3" t="s">
        <v>1342</v>
      </c>
      <c r="V1270" s="3" t="s">
        <v>5</v>
      </c>
      <c r="W1270" s="3" t="s">
        <v>1306</v>
      </c>
      <c r="X1270" s="1" t="s">
        <v>1302</v>
      </c>
    </row>
    <row r="1271" spans="1:24">
      <c r="A1271" s="143">
        <v>1273</v>
      </c>
      <c r="B1271" s="1">
        <f t="shared" si="378"/>
        <v>0</v>
      </c>
      <c r="C1271" s="1">
        <f t="shared" si="379"/>
        <v>0</v>
      </c>
      <c r="D1271" s="1">
        <f t="shared" si="380"/>
        <v>0</v>
      </c>
      <c r="E1271" s="1">
        <f t="shared" si="381"/>
        <v>0</v>
      </c>
      <c r="F1271" s="1">
        <f t="shared" si="382"/>
        <v>0</v>
      </c>
      <c r="G1271" s="1" t="str">
        <f t="shared" si="383"/>
        <v>25052517</v>
      </c>
      <c r="H1271" s="2">
        <v>45802</v>
      </c>
      <c r="I1271" s="113">
        <v>17</v>
      </c>
      <c r="J1271" s="1">
        <f t="shared" si="366"/>
        <v>17</v>
      </c>
      <c r="K1271" s="3">
        <f t="shared" si="367"/>
        <v>25</v>
      </c>
      <c r="L1271" s="3">
        <f t="shared" si="368"/>
        <v>5</v>
      </c>
      <c r="M1271" s="3">
        <f t="shared" si="369"/>
        <v>25</v>
      </c>
      <c r="N1271" s="3" t="str">
        <f t="shared" si="370"/>
        <v>05</v>
      </c>
      <c r="O1271" s="14">
        <f t="shared" si="371"/>
        <v>25</v>
      </c>
      <c r="P1271" s="4">
        <v>150000</v>
      </c>
      <c r="T1271" s="33" t="s">
        <v>1345</v>
      </c>
      <c r="U1271" s="3" t="s">
        <v>1342</v>
      </c>
      <c r="V1271" s="3" t="s">
        <v>5</v>
      </c>
      <c r="W1271" s="3" t="s">
        <v>1306</v>
      </c>
      <c r="X1271" s="1" t="s">
        <v>1302</v>
      </c>
    </row>
    <row r="1272" spans="1:24">
      <c r="A1272" s="143">
        <v>1274</v>
      </c>
      <c r="B1272" s="1">
        <f t="shared" si="378"/>
        <v>0</v>
      </c>
      <c r="C1272" s="1">
        <f t="shared" si="379"/>
        <v>0</v>
      </c>
      <c r="D1272" s="1">
        <f t="shared" si="380"/>
        <v>0</v>
      </c>
      <c r="E1272" s="1">
        <f t="shared" si="381"/>
        <v>0</v>
      </c>
      <c r="F1272" s="1">
        <f t="shared" si="382"/>
        <v>0</v>
      </c>
      <c r="G1272" s="1" t="str">
        <f t="shared" si="383"/>
        <v>25052518</v>
      </c>
      <c r="H1272" s="2">
        <v>45802</v>
      </c>
      <c r="I1272" s="113">
        <v>18</v>
      </c>
      <c r="J1272" s="1">
        <f t="shared" si="366"/>
        <v>18</v>
      </c>
      <c r="K1272" s="3">
        <f t="shared" si="367"/>
        <v>25</v>
      </c>
      <c r="L1272" s="3">
        <f t="shared" si="368"/>
        <v>5</v>
      </c>
      <c r="M1272" s="3">
        <f t="shared" si="369"/>
        <v>25</v>
      </c>
      <c r="N1272" s="3" t="str">
        <f t="shared" si="370"/>
        <v>05</v>
      </c>
      <c r="O1272" s="14">
        <f t="shared" si="371"/>
        <v>25</v>
      </c>
      <c r="P1272" s="4">
        <v>635000</v>
      </c>
      <c r="T1272" s="28" t="s">
        <v>1344</v>
      </c>
      <c r="U1272" s="3" t="s">
        <v>1342</v>
      </c>
      <c r="V1272" s="3" t="s">
        <v>5</v>
      </c>
      <c r="W1272" s="3" t="s">
        <v>1306</v>
      </c>
      <c r="X1272" s="1" t="s">
        <v>1302</v>
      </c>
    </row>
    <row r="1273" spans="1:24">
      <c r="A1273" s="143">
        <v>1275</v>
      </c>
      <c r="B1273" s="1">
        <f t="shared" si="378"/>
        <v>0</v>
      </c>
      <c r="C1273" s="1">
        <f t="shared" si="379"/>
        <v>0</v>
      </c>
      <c r="D1273" s="1">
        <f t="shared" si="380"/>
        <v>0</v>
      </c>
      <c r="E1273" s="1">
        <f t="shared" si="381"/>
        <v>0</v>
      </c>
      <c r="F1273" s="1">
        <f t="shared" si="382"/>
        <v>0</v>
      </c>
      <c r="G1273" s="1" t="str">
        <f t="shared" si="383"/>
        <v>25052519</v>
      </c>
      <c r="H1273" s="2">
        <v>45802</v>
      </c>
      <c r="I1273" s="113">
        <v>19</v>
      </c>
      <c r="J1273" s="1">
        <f t="shared" si="366"/>
        <v>19</v>
      </c>
      <c r="K1273" s="3">
        <f t="shared" si="367"/>
        <v>25</v>
      </c>
      <c r="L1273" s="3">
        <f t="shared" si="368"/>
        <v>5</v>
      </c>
      <c r="M1273" s="3">
        <f t="shared" si="369"/>
        <v>25</v>
      </c>
      <c r="N1273" s="3" t="str">
        <f t="shared" si="370"/>
        <v>05</v>
      </c>
      <c r="O1273" s="14">
        <f t="shared" si="371"/>
        <v>25</v>
      </c>
      <c r="P1273" s="4">
        <v>90000</v>
      </c>
      <c r="T1273" s="28" t="s">
        <v>1343</v>
      </c>
      <c r="U1273" s="3" t="s">
        <v>1342</v>
      </c>
      <c r="V1273" s="3" t="s">
        <v>5</v>
      </c>
      <c r="W1273" s="3" t="s">
        <v>1306</v>
      </c>
      <c r="X1273" s="1" t="s">
        <v>1302</v>
      </c>
    </row>
    <row r="1274" spans="1:24" hidden="1">
      <c r="A1274" s="143"/>
      <c r="J1274" s="1" t="str">
        <f t="shared" si="366"/>
        <v>0</v>
      </c>
      <c r="K1274" s="3">
        <f t="shared" si="367"/>
        <v>-100</v>
      </c>
      <c r="L1274" s="3">
        <f t="shared" si="368"/>
        <v>1</v>
      </c>
      <c r="M1274" s="3">
        <f t="shared" si="369"/>
        <v>0</v>
      </c>
      <c r="N1274" s="3" t="str">
        <f t="shared" si="370"/>
        <v>01</v>
      </c>
      <c r="O1274" s="14" t="str">
        <f t="shared" si="371"/>
        <v>00</v>
      </c>
    </row>
    <row r="1275" spans="1:24" hidden="1">
      <c r="A1275" s="143"/>
      <c r="J1275" s="1" t="str">
        <f t="shared" si="366"/>
        <v>0</v>
      </c>
      <c r="K1275" s="3">
        <f t="shared" si="367"/>
        <v>-100</v>
      </c>
      <c r="L1275" s="3">
        <f t="shared" si="368"/>
        <v>1</v>
      </c>
      <c r="M1275" s="3">
        <f t="shared" si="369"/>
        <v>0</v>
      </c>
      <c r="N1275" s="3" t="str">
        <f t="shared" si="370"/>
        <v>01</v>
      </c>
      <c r="O1275" s="14" t="str">
        <f t="shared" si="371"/>
        <v>00</v>
      </c>
    </row>
    <row r="1276" spans="1:24" hidden="1">
      <c r="A1276" s="143">
        <v>1221</v>
      </c>
      <c r="B1276" s="1">
        <f>IF(G1276="-",0,IF(G1275=G1276,1,0))</f>
        <v>0</v>
      </c>
      <c r="C1276" s="1">
        <f>+IF(G1276="-",0,IF(I1276=I1275+1,0,(IF(I1276=1,0,1))))</f>
        <v>1</v>
      </c>
      <c r="D1276" s="1">
        <f>+IF(AND(P1276="",Q1276=""),1,0)</f>
        <v>0</v>
      </c>
      <c r="E1276" s="1">
        <f>IF(U1276="",1,0)</f>
        <v>0</v>
      </c>
      <c r="F1276" s="1">
        <f>IF(V1276="",1,0)</f>
        <v>0</v>
      </c>
      <c r="G1276" s="1" t="str">
        <f>IF(H1276=0,"-",_xlfn.CONCAT(K1276,N1276,O1276,J1276))</f>
        <v>25052603</v>
      </c>
      <c r="H1276" s="2">
        <v>45803</v>
      </c>
      <c r="I1276" s="113">
        <v>3</v>
      </c>
      <c r="J1276" s="1" t="str">
        <f t="shared" si="366"/>
        <v>03</v>
      </c>
      <c r="K1276" s="3">
        <f t="shared" si="367"/>
        <v>25</v>
      </c>
      <c r="L1276" s="3">
        <f t="shared" si="368"/>
        <v>5</v>
      </c>
      <c r="M1276" s="3">
        <f t="shared" si="369"/>
        <v>26</v>
      </c>
      <c r="N1276" s="3" t="str">
        <f t="shared" si="370"/>
        <v>05</v>
      </c>
      <c r="O1276" s="14">
        <f t="shared" si="371"/>
        <v>26</v>
      </c>
      <c r="P1276" s="4">
        <v>1825</v>
      </c>
      <c r="T1276" s="5" t="s">
        <v>1341</v>
      </c>
      <c r="U1276" s="3" t="s">
        <v>1310</v>
      </c>
      <c r="V1276" s="3" t="s">
        <v>1304</v>
      </c>
      <c r="W1276" s="3" t="s">
        <v>1309</v>
      </c>
      <c r="X1276" s="1" t="s">
        <v>1302</v>
      </c>
    </row>
    <row r="1277" spans="1:24" hidden="1">
      <c r="A1277" s="143">
        <v>1188</v>
      </c>
      <c r="B1277" s="1">
        <f>IF(G1277="-",0,IF(G1276=G1277,1,0))</f>
        <v>0</v>
      </c>
      <c r="C1277" s="1">
        <f>+IF(G1277="-",0,IF(I1277=I1276+1,0,(IF(I1277=1,0,1))))</f>
        <v>0</v>
      </c>
      <c r="D1277" s="1">
        <f>+IF(AND(P1277="",Q1277=""),1,0)</f>
        <v>0</v>
      </c>
      <c r="E1277" s="1">
        <f>IF(U1277="",1,0)</f>
        <v>0</v>
      </c>
      <c r="F1277" s="1">
        <f>IF(V1277="",1,0)</f>
        <v>0</v>
      </c>
      <c r="G1277" s="1" t="str">
        <f>IF(H1277=0,"-",_xlfn.CONCAT(K1277,N1277,O1277,J1277))</f>
        <v>25052701</v>
      </c>
      <c r="H1277" s="2">
        <v>45804</v>
      </c>
      <c r="I1277" s="113">
        <v>1</v>
      </c>
      <c r="J1277" s="1" t="str">
        <f t="shared" si="366"/>
        <v>01</v>
      </c>
      <c r="K1277" s="3">
        <f t="shared" si="367"/>
        <v>25</v>
      </c>
      <c r="L1277" s="3">
        <f t="shared" si="368"/>
        <v>5</v>
      </c>
      <c r="M1277" s="3">
        <f t="shared" si="369"/>
        <v>27</v>
      </c>
      <c r="N1277" s="3" t="str">
        <f t="shared" si="370"/>
        <v>05</v>
      </c>
      <c r="O1277" s="14">
        <f t="shared" si="371"/>
        <v>27</v>
      </c>
      <c r="P1277" s="4">
        <v>2877.35</v>
      </c>
      <c r="T1277" s="5" t="s">
        <v>1340</v>
      </c>
      <c r="U1277" s="3" t="s">
        <v>1310</v>
      </c>
      <c r="V1277" s="3" t="s">
        <v>1316</v>
      </c>
      <c r="W1277" s="3" t="s">
        <v>1309</v>
      </c>
      <c r="X1277" s="1" t="s">
        <v>1305</v>
      </c>
    </row>
    <row r="1278" spans="1:24" hidden="1">
      <c r="A1278" s="143"/>
      <c r="J1278" s="1" t="str">
        <f t="shared" si="366"/>
        <v>0</v>
      </c>
      <c r="K1278" s="3">
        <f t="shared" si="367"/>
        <v>-100</v>
      </c>
      <c r="L1278" s="3">
        <f t="shared" si="368"/>
        <v>1</v>
      </c>
      <c r="M1278" s="3">
        <f t="shared" si="369"/>
        <v>0</v>
      </c>
      <c r="N1278" s="3" t="str">
        <f t="shared" si="370"/>
        <v>01</v>
      </c>
      <c r="O1278" s="14" t="str">
        <f t="shared" si="371"/>
        <v>00</v>
      </c>
    </row>
    <row r="1279" spans="1:24">
      <c r="A1279" s="143">
        <v>1190</v>
      </c>
      <c r="B1279" s="1">
        <f>IF(G1279="-",0,IF(G1278=G1279,1,0))</f>
        <v>0</v>
      </c>
      <c r="C1279" s="1">
        <f>+IF(G1279="-",0,IF(I1279=I1278+1,0,(IF(I1279=1,0,1))))</f>
        <v>1</v>
      </c>
      <c r="D1279" s="1">
        <f>+IF(AND(P1279="",Q1279=""),1,0)</f>
        <v>0</v>
      </c>
      <c r="E1279" s="1">
        <f>IF(U1279="",1,0)</f>
        <v>0</v>
      </c>
      <c r="F1279" s="1">
        <f>IF(V1279="",1,0)</f>
        <v>0</v>
      </c>
      <c r="G1279" s="1" t="str">
        <f>IF(H1279=0,"-",_xlfn.CONCAT(K1279,N1279,O1279,J1279))</f>
        <v>25052703</v>
      </c>
      <c r="H1279" s="2">
        <v>45804</v>
      </c>
      <c r="I1279" s="113">
        <v>3</v>
      </c>
      <c r="J1279" s="1" t="str">
        <f t="shared" si="366"/>
        <v>03</v>
      </c>
      <c r="K1279" s="3">
        <f t="shared" si="367"/>
        <v>25</v>
      </c>
      <c r="L1279" s="3">
        <f t="shared" si="368"/>
        <v>5</v>
      </c>
      <c r="M1279" s="3">
        <f t="shared" si="369"/>
        <v>27</v>
      </c>
      <c r="N1279" s="3" t="str">
        <f t="shared" si="370"/>
        <v>05</v>
      </c>
      <c r="O1279" s="14">
        <f t="shared" si="371"/>
        <v>27</v>
      </c>
      <c r="P1279" s="4">
        <v>162619.32999999999</v>
      </c>
      <c r="T1279" s="5" t="s">
        <v>1339</v>
      </c>
      <c r="U1279" s="3" t="s">
        <v>1313</v>
      </c>
      <c r="V1279" s="3" t="s">
        <v>5</v>
      </c>
      <c r="W1279" s="3" t="s">
        <v>1306</v>
      </c>
      <c r="X1279" s="1" t="s">
        <v>1305</v>
      </c>
    </row>
    <row r="1280" spans="1:24" hidden="1">
      <c r="A1280" s="143">
        <v>1203</v>
      </c>
      <c r="B1280" s="1">
        <f>IF(G1280="-",0,IF(G1279=G1280,1,0))</f>
        <v>0</v>
      </c>
      <c r="C1280" s="1">
        <f>+IF(G1280="-",0,IF(I1280=I1279+1,0,(IF(I1280=1,0,1))))</f>
        <v>0</v>
      </c>
      <c r="D1280" s="1">
        <f>+IF(AND(P1280="",Q1280=""),1,0)</f>
        <v>0</v>
      </c>
      <c r="E1280" s="1">
        <f>IF(U1280="",1,0)</f>
        <v>0</v>
      </c>
      <c r="F1280" s="1">
        <f>IF(V1280="",1,0)</f>
        <v>0</v>
      </c>
      <c r="G1280" s="1" t="str">
        <f>IF(H1280=0,"-",_xlfn.CONCAT(K1280,N1280,O1280,J1280))</f>
        <v>25052704</v>
      </c>
      <c r="H1280" s="2">
        <v>45804</v>
      </c>
      <c r="I1280" s="113">
        <v>4</v>
      </c>
      <c r="J1280" s="1" t="str">
        <f t="shared" si="366"/>
        <v>04</v>
      </c>
      <c r="K1280" s="3">
        <f t="shared" si="367"/>
        <v>25</v>
      </c>
      <c r="L1280" s="3">
        <f t="shared" si="368"/>
        <v>5</v>
      </c>
      <c r="M1280" s="3">
        <f t="shared" si="369"/>
        <v>27</v>
      </c>
      <c r="N1280" s="3" t="str">
        <f t="shared" si="370"/>
        <v>05</v>
      </c>
      <c r="O1280" s="14">
        <f t="shared" si="371"/>
        <v>27</v>
      </c>
      <c r="P1280" s="4">
        <v>6275</v>
      </c>
      <c r="T1280" s="5" t="s">
        <v>1338</v>
      </c>
      <c r="U1280" s="3" t="s">
        <v>1310</v>
      </c>
      <c r="V1280" s="3" t="s">
        <v>1304</v>
      </c>
      <c r="W1280" s="3" t="s">
        <v>1309</v>
      </c>
      <c r="X1280" s="1" t="s">
        <v>1302</v>
      </c>
    </row>
    <row r="1281" spans="1:24" hidden="1">
      <c r="A1281" s="143"/>
      <c r="J1281" s="1" t="str">
        <f t="shared" si="366"/>
        <v>0</v>
      </c>
      <c r="K1281" s="3">
        <f t="shared" si="367"/>
        <v>-100</v>
      </c>
      <c r="L1281" s="3">
        <f t="shared" si="368"/>
        <v>1</v>
      </c>
      <c r="M1281" s="3">
        <f t="shared" si="369"/>
        <v>0</v>
      </c>
      <c r="N1281" s="3" t="str">
        <f t="shared" si="370"/>
        <v>01</v>
      </c>
      <c r="O1281" s="14" t="str">
        <f t="shared" si="371"/>
        <v>00</v>
      </c>
    </row>
    <row r="1282" spans="1:24" hidden="1">
      <c r="A1282" s="143"/>
      <c r="J1282" s="1" t="str">
        <f t="shared" si="366"/>
        <v>0</v>
      </c>
      <c r="K1282" s="3">
        <f t="shared" si="367"/>
        <v>-100</v>
      </c>
      <c r="L1282" s="3">
        <f t="shared" si="368"/>
        <v>1</v>
      </c>
      <c r="M1282" s="3">
        <f t="shared" si="369"/>
        <v>0</v>
      </c>
      <c r="N1282" s="3" t="str">
        <f t="shared" si="370"/>
        <v>01</v>
      </c>
      <c r="O1282" s="14" t="str">
        <f t="shared" si="371"/>
        <v>00</v>
      </c>
    </row>
    <row r="1283" spans="1:24" hidden="1">
      <c r="A1283" s="143"/>
      <c r="J1283" s="1" t="str">
        <f t="shared" si="366"/>
        <v>0</v>
      </c>
      <c r="K1283" s="3">
        <f t="shared" si="367"/>
        <v>-100</v>
      </c>
      <c r="L1283" s="3">
        <f t="shared" si="368"/>
        <v>1</v>
      </c>
      <c r="M1283" s="3">
        <f t="shared" si="369"/>
        <v>0</v>
      </c>
      <c r="N1283" s="3" t="str">
        <f t="shared" si="370"/>
        <v>01</v>
      </c>
      <c r="O1283" s="14" t="str">
        <f t="shared" si="371"/>
        <v>00</v>
      </c>
    </row>
    <row r="1284" spans="1:24" hidden="1">
      <c r="A1284" s="143"/>
      <c r="J1284" s="1" t="str">
        <f t="shared" si="366"/>
        <v>0</v>
      </c>
      <c r="K1284" s="3">
        <f t="shared" si="367"/>
        <v>-100</v>
      </c>
      <c r="L1284" s="3">
        <f t="shared" si="368"/>
        <v>1</v>
      </c>
      <c r="M1284" s="3">
        <f t="shared" si="369"/>
        <v>0</v>
      </c>
      <c r="N1284" s="3" t="str">
        <f t="shared" si="370"/>
        <v>01</v>
      </c>
      <c r="O1284" s="14" t="str">
        <f t="shared" si="371"/>
        <v>00</v>
      </c>
    </row>
    <row r="1285" spans="1:24" hidden="1">
      <c r="A1285" s="143">
        <v>1192</v>
      </c>
      <c r="B1285" s="1">
        <f>IF(G1285="-",0,IF(G1284=G1285,1,0))</f>
        <v>0</v>
      </c>
      <c r="C1285" s="1">
        <f>+IF(G1285="-",0,IF(I1285=I1284+1,0,(IF(I1285=1,0,1))))</f>
        <v>1</v>
      </c>
      <c r="D1285" s="1">
        <f>+IF(AND(P1285="",Q1285=""),1,0)</f>
        <v>0</v>
      </c>
      <c r="E1285" s="1">
        <f t="shared" ref="E1285:F1287" si="384">IF(U1285="",1,0)</f>
        <v>0</v>
      </c>
      <c r="F1285" s="1">
        <f t="shared" si="384"/>
        <v>0</v>
      </c>
      <c r="G1285" s="1" t="str">
        <f>IF(H1285=0,"-",_xlfn.CONCAT(K1285,N1285,O1285,J1285))</f>
        <v>25052802</v>
      </c>
      <c r="H1285" s="2">
        <v>45805</v>
      </c>
      <c r="I1285" s="113">
        <v>2</v>
      </c>
      <c r="J1285" s="1" t="str">
        <f t="shared" si="366"/>
        <v>02</v>
      </c>
      <c r="K1285" s="3">
        <f t="shared" si="367"/>
        <v>25</v>
      </c>
      <c r="L1285" s="3">
        <f t="shared" si="368"/>
        <v>5</v>
      </c>
      <c r="M1285" s="3">
        <f t="shared" si="369"/>
        <v>28</v>
      </c>
      <c r="N1285" s="3" t="str">
        <f t="shared" si="370"/>
        <v>05</v>
      </c>
      <c r="O1285" s="14">
        <f t="shared" si="371"/>
        <v>28</v>
      </c>
      <c r="P1285" s="4">
        <v>15000</v>
      </c>
      <c r="T1285" s="5" t="s">
        <v>1337</v>
      </c>
      <c r="U1285" s="3" t="s">
        <v>29</v>
      </c>
      <c r="V1285" s="3" t="s">
        <v>5</v>
      </c>
      <c r="W1285" s="3" t="s">
        <v>1307</v>
      </c>
      <c r="X1285" s="1" t="s">
        <v>1305</v>
      </c>
    </row>
    <row r="1286" spans="1:24" hidden="1">
      <c r="A1286" s="143">
        <v>1180</v>
      </c>
      <c r="B1286" s="1">
        <f>IF(G1286="-",0,IF(G1285=G1286,1,0))</f>
        <v>0</v>
      </c>
      <c r="C1286" s="1">
        <f>+IF(G1286="-",0,IF(I1286=I1285+1,0,(IF(I1286=1,0,1))))</f>
        <v>0</v>
      </c>
      <c r="D1286" s="1">
        <f>+IF(AND(P1286="",Q1286=""),1,0)</f>
        <v>0</v>
      </c>
      <c r="E1286" s="1">
        <f t="shared" si="384"/>
        <v>0</v>
      </c>
      <c r="F1286" s="1">
        <f t="shared" si="384"/>
        <v>0</v>
      </c>
      <c r="G1286" s="1" t="str">
        <f>IF(H1286=0,"-",_xlfn.CONCAT(K1286,N1286,O1286,J1286))</f>
        <v>25052901</v>
      </c>
      <c r="H1286" s="2">
        <v>45806</v>
      </c>
      <c r="I1286" s="113">
        <v>1</v>
      </c>
      <c r="J1286" s="1" t="str">
        <f t="shared" si="366"/>
        <v>01</v>
      </c>
      <c r="K1286" s="3">
        <f t="shared" si="367"/>
        <v>25</v>
      </c>
      <c r="L1286" s="3">
        <f t="shared" si="368"/>
        <v>5</v>
      </c>
      <c r="M1286" s="3">
        <f t="shared" si="369"/>
        <v>29</v>
      </c>
      <c r="N1286" s="3" t="str">
        <f t="shared" si="370"/>
        <v>05</v>
      </c>
      <c r="O1286" s="14">
        <f t="shared" si="371"/>
        <v>29</v>
      </c>
      <c r="P1286" s="4">
        <v>44805.45</v>
      </c>
      <c r="T1286" s="5" t="s">
        <v>1336</v>
      </c>
      <c r="U1286" s="3" t="s">
        <v>305</v>
      </c>
      <c r="V1286" s="3" t="s">
        <v>1304</v>
      </c>
      <c r="W1286" s="3" t="s">
        <v>1306</v>
      </c>
      <c r="X1286" s="1" t="s">
        <v>1305</v>
      </c>
    </row>
    <row r="1287" spans="1:24" hidden="1">
      <c r="A1287" s="143">
        <v>1193</v>
      </c>
      <c r="B1287" s="1">
        <f>IF(G1287="-",0,IF(G1286=G1287,1,0))</f>
        <v>0</v>
      </c>
      <c r="C1287" s="1">
        <f>+IF(G1287="-",0,IF(I1287=I1286+1,0,(IF(I1287=1,0,1))))</f>
        <v>0</v>
      </c>
      <c r="D1287" s="1">
        <f>+IF(AND(P1287="",Q1287=""),1,0)</f>
        <v>0</v>
      </c>
      <c r="E1287" s="1">
        <f t="shared" si="384"/>
        <v>0</v>
      </c>
      <c r="F1287" s="1">
        <f t="shared" si="384"/>
        <v>0</v>
      </c>
      <c r="G1287" s="1" t="str">
        <f>IF(H1287=0,"-",_xlfn.CONCAT(K1287,N1287,O1287,J1287))</f>
        <v>25052902</v>
      </c>
      <c r="H1287" s="2">
        <v>45806</v>
      </c>
      <c r="I1287" s="113">
        <v>2</v>
      </c>
      <c r="J1287" s="1" t="str">
        <f t="shared" si="366"/>
        <v>02</v>
      </c>
      <c r="K1287" s="3">
        <f t="shared" si="367"/>
        <v>25</v>
      </c>
      <c r="L1287" s="3">
        <f t="shared" si="368"/>
        <v>5</v>
      </c>
      <c r="M1287" s="3">
        <f t="shared" si="369"/>
        <v>29</v>
      </c>
      <c r="N1287" s="3" t="str">
        <f t="shared" si="370"/>
        <v>05</v>
      </c>
      <c r="O1287" s="14">
        <f t="shared" si="371"/>
        <v>29</v>
      </c>
      <c r="P1287" s="4">
        <v>75000</v>
      </c>
      <c r="T1287" s="5" t="s">
        <v>1335</v>
      </c>
      <c r="U1287" s="3" t="s">
        <v>29</v>
      </c>
      <c r="V1287" s="3" t="s">
        <v>1304</v>
      </c>
      <c r="W1287" s="3" t="s">
        <v>1307</v>
      </c>
      <c r="X1287" s="1" t="s">
        <v>1305</v>
      </c>
    </row>
    <row r="1288" spans="1:24" hidden="1">
      <c r="A1288" s="143"/>
      <c r="J1288" s="1" t="str">
        <f t="shared" ref="J1288:J1351" si="385">+IF(I1288&lt;10,_xlfn.CONCAT("0",I1288),I1288)</f>
        <v>0</v>
      </c>
      <c r="K1288" s="3">
        <f t="shared" ref="K1288:K1351" si="386">+YEAR(H1288)-2000</f>
        <v>-100</v>
      </c>
      <c r="L1288" s="3">
        <f t="shared" ref="L1288:L1351" si="387">+MONTH(H1288)</f>
        <v>1</v>
      </c>
      <c r="M1288" s="3">
        <f t="shared" ref="M1288:M1351" si="388">+DAY(H1288)</f>
        <v>0</v>
      </c>
      <c r="N1288" s="3" t="str">
        <f t="shared" ref="N1288:N1351" si="389">+IF(L1288&lt;10,_xlfn.CONCAT("0",L1288),L1288)</f>
        <v>01</v>
      </c>
      <c r="O1288" s="14" t="str">
        <f t="shared" ref="O1288:O1351" si="390">+IF(M1288&lt;10,_xlfn.CONCAT("0",M1288),M1288)</f>
        <v>00</v>
      </c>
    </row>
    <row r="1289" spans="1:24" hidden="1">
      <c r="A1289" s="143"/>
      <c r="J1289" s="1" t="str">
        <f t="shared" si="385"/>
        <v>0</v>
      </c>
      <c r="K1289" s="3">
        <f t="shared" si="386"/>
        <v>-100</v>
      </c>
      <c r="L1289" s="3">
        <f t="shared" si="387"/>
        <v>1</v>
      </c>
      <c r="M1289" s="3">
        <f t="shared" si="388"/>
        <v>0</v>
      </c>
      <c r="N1289" s="3" t="str">
        <f t="shared" si="389"/>
        <v>01</v>
      </c>
      <c r="O1289" s="14" t="str">
        <f t="shared" si="390"/>
        <v>00</v>
      </c>
    </row>
    <row r="1290" spans="1:24" hidden="1">
      <c r="A1290" s="143">
        <v>1179</v>
      </c>
      <c r="B1290" s="1">
        <f>IF(G1290="-",0,IF(G1289=G1290,1,0))</f>
        <v>0</v>
      </c>
      <c r="C1290" s="1">
        <f>+IF(G1290="-",0,IF(I1290=I1289+1,0,(IF(I1290=1,0,1))))</f>
        <v>0</v>
      </c>
      <c r="D1290" s="1">
        <f>+IF(AND(P1290="",Q1290=""),1,0)</f>
        <v>0</v>
      </c>
      <c r="E1290" s="1">
        <f t="shared" ref="E1290:F1292" si="391">IF(U1290="",1,0)</f>
        <v>0</v>
      </c>
      <c r="F1290" s="1">
        <f t="shared" si="391"/>
        <v>0</v>
      </c>
      <c r="G1290" s="1" t="str">
        <f>IF(H1290=0,"-",_xlfn.CONCAT(K1290,N1290,O1290,J1290))</f>
        <v>25053001</v>
      </c>
      <c r="H1290" s="2">
        <v>45807</v>
      </c>
      <c r="I1290" s="113">
        <v>1</v>
      </c>
      <c r="J1290" s="1" t="str">
        <f t="shared" si="385"/>
        <v>01</v>
      </c>
      <c r="K1290" s="3">
        <f t="shared" si="386"/>
        <v>25</v>
      </c>
      <c r="L1290" s="3">
        <f t="shared" si="387"/>
        <v>5</v>
      </c>
      <c r="M1290" s="3">
        <f t="shared" si="388"/>
        <v>30</v>
      </c>
      <c r="N1290" s="3" t="str">
        <f t="shared" si="389"/>
        <v>05</v>
      </c>
      <c r="O1290" s="14">
        <f t="shared" si="390"/>
        <v>30</v>
      </c>
      <c r="P1290" s="4">
        <v>4135.3999999999996</v>
      </c>
      <c r="T1290" s="5" t="s">
        <v>1334</v>
      </c>
      <c r="U1290" s="3" t="s">
        <v>305</v>
      </c>
      <c r="V1290" s="3" t="s">
        <v>1304</v>
      </c>
      <c r="W1290" s="3" t="s">
        <v>1306</v>
      </c>
      <c r="X1290" s="1" t="s">
        <v>1305</v>
      </c>
    </row>
    <row r="1291" spans="1:24" hidden="1">
      <c r="A1291" s="143">
        <v>1195</v>
      </c>
      <c r="B1291" s="1">
        <f>IF(G1291="-",0,IF(G1290=G1291,1,0))</f>
        <v>0</v>
      </c>
      <c r="C1291" s="1">
        <f>+IF(G1291="-",0,IF(I1291=I1290+1,0,(IF(I1291=1,0,1))))</f>
        <v>0</v>
      </c>
      <c r="D1291" s="1">
        <f>+IF(AND(P1291="",Q1291=""),1,0)</f>
        <v>0</v>
      </c>
      <c r="E1291" s="1">
        <f t="shared" si="391"/>
        <v>0</v>
      </c>
      <c r="F1291" s="1">
        <f t="shared" si="391"/>
        <v>0</v>
      </c>
      <c r="G1291" s="1" t="str">
        <f>IF(H1291=0,"-",_xlfn.CONCAT(K1291,N1291,O1291,J1291))</f>
        <v>25053002</v>
      </c>
      <c r="H1291" s="2">
        <v>45807</v>
      </c>
      <c r="I1291" s="113">
        <v>2</v>
      </c>
      <c r="J1291" s="1" t="str">
        <f t="shared" si="385"/>
        <v>02</v>
      </c>
      <c r="K1291" s="3">
        <f t="shared" si="386"/>
        <v>25</v>
      </c>
      <c r="L1291" s="3">
        <f t="shared" si="387"/>
        <v>5</v>
      </c>
      <c r="M1291" s="3">
        <f t="shared" si="388"/>
        <v>30</v>
      </c>
      <c r="N1291" s="3" t="str">
        <f t="shared" si="389"/>
        <v>05</v>
      </c>
      <c r="O1291" s="14">
        <f t="shared" si="390"/>
        <v>30</v>
      </c>
      <c r="P1291" s="4">
        <v>7851</v>
      </c>
      <c r="T1291" s="5" t="s">
        <v>1333</v>
      </c>
      <c r="U1291" s="3" t="s">
        <v>29</v>
      </c>
      <c r="V1291" s="3" t="s">
        <v>5</v>
      </c>
      <c r="W1291" s="3" t="s">
        <v>1307</v>
      </c>
      <c r="X1291" s="1" t="s">
        <v>1305</v>
      </c>
    </row>
    <row r="1292" spans="1:24" hidden="1">
      <c r="A1292" s="143">
        <v>1196</v>
      </c>
      <c r="B1292" s="1">
        <f>IF(G1292="-",0,IF(G1291=G1292,1,0))</f>
        <v>0</v>
      </c>
      <c r="C1292" s="1">
        <f>+IF(G1292="-",0,IF(I1292=I1291+1,0,(IF(I1292=1,0,1))))</f>
        <v>0</v>
      </c>
      <c r="D1292" s="1">
        <f>+IF(AND(P1292="",Q1292=""),1,0)</f>
        <v>0</v>
      </c>
      <c r="E1292" s="1">
        <f t="shared" si="391"/>
        <v>0</v>
      </c>
      <c r="F1292" s="1">
        <f t="shared" si="391"/>
        <v>0</v>
      </c>
      <c r="G1292" s="1" t="str">
        <f>IF(H1292=0,"-",_xlfn.CONCAT(K1292,N1292,O1292,J1292))</f>
        <v>25053003</v>
      </c>
      <c r="H1292" s="2">
        <v>45807</v>
      </c>
      <c r="I1292" s="113">
        <v>3</v>
      </c>
      <c r="J1292" s="1" t="str">
        <f t="shared" si="385"/>
        <v>03</v>
      </c>
      <c r="K1292" s="3">
        <f t="shared" si="386"/>
        <v>25</v>
      </c>
      <c r="L1292" s="3">
        <f t="shared" si="387"/>
        <v>5</v>
      </c>
      <c r="M1292" s="3">
        <f t="shared" si="388"/>
        <v>30</v>
      </c>
      <c r="N1292" s="3" t="str">
        <f t="shared" si="389"/>
        <v>05</v>
      </c>
      <c r="O1292" s="14">
        <f t="shared" si="390"/>
        <v>30</v>
      </c>
      <c r="P1292" s="4">
        <v>20825</v>
      </c>
      <c r="T1292" s="5" t="s">
        <v>1332</v>
      </c>
      <c r="U1292" s="3" t="s">
        <v>29</v>
      </c>
      <c r="V1292" s="3" t="s">
        <v>5</v>
      </c>
      <c r="W1292" s="3" t="s">
        <v>1307</v>
      </c>
      <c r="X1292" s="1" t="s">
        <v>1305</v>
      </c>
    </row>
    <row r="1293" spans="1:24" hidden="1">
      <c r="A1293" s="143"/>
      <c r="J1293" s="1" t="str">
        <f t="shared" si="385"/>
        <v>0</v>
      </c>
      <c r="K1293" s="3">
        <f t="shared" si="386"/>
        <v>-100</v>
      </c>
      <c r="L1293" s="3">
        <f t="shared" si="387"/>
        <v>1</v>
      </c>
      <c r="M1293" s="3">
        <f t="shared" si="388"/>
        <v>0</v>
      </c>
      <c r="N1293" s="3" t="str">
        <f t="shared" si="389"/>
        <v>01</v>
      </c>
      <c r="O1293" s="14" t="str">
        <f t="shared" si="390"/>
        <v>00</v>
      </c>
    </row>
    <row r="1294" spans="1:24" hidden="1">
      <c r="A1294" s="143">
        <v>1197</v>
      </c>
      <c r="B1294" s="1">
        <f>IF(G1294="-",0,IF(G1293=G1294,1,0))</f>
        <v>0</v>
      </c>
      <c r="C1294" s="1">
        <f>+IF(G1294="-",0,IF(I1294=I1293+1,0,(IF(I1294=1,0,1))))</f>
        <v>1</v>
      </c>
      <c r="D1294" s="1">
        <f>+IF(AND(P1294="",Q1294=""),1,0)</f>
        <v>0</v>
      </c>
      <c r="E1294" s="1">
        <f>IF(U1294="",1,0)</f>
        <v>0</v>
      </c>
      <c r="F1294" s="1">
        <f>IF(V1294="",1,0)</f>
        <v>0</v>
      </c>
      <c r="G1294" s="1" t="str">
        <f>IF(H1294=0,"-",_xlfn.CONCAT(K1294,N1294,O1294,J1294))</f>
        <v>25053004</v>
      </c>
      <c r="H1294" s="2">
        <v>45807</v>
      </c>
      <c r="I1294" s="113">
        <v>4</v>
      </c>
      <c r="J1294" s="1" t="str">
        <f t="shared" si="385"/>
        <v>04</v>
      </c>
      <c r="K1294" s="3">
        <f t="shared" si="386"/>
        <v>25</v>
      </c>
      <c r="L1294" s="3">
        <f t="shared" si="387"/>
        <v>5</v>
      </c>
      <c r="M1294" s="3">
        <f t="shared" si="388"/>
        <v>30</v>
      </c>
      <c r="N1294" s="3" t="str">
        <f t="shared" si="389"/>
        <v>05</v>
      </c>
      <c r="O1294" s="14">
        <f t="shared" si="390"/>
        <v>30</v>
      </c>
      <c r="P1294" s="4">
        <v>36244</v>
      </c>
      <c r="T1294" s="5" t="s">
        <v>352</v>
      </c>
      <c r="U1294" s="3" t="s">
        <v>30</v>
      </c>
      <c r="V1294" s="3" t="s">
        <v>1312</v>
      </c>
      <c r="W1294" s="3" t="s">
        <v>1307</v>
      </c>
      <c r="X1294" s="1" t="s">
        <v>1305</v>
      </c>
    </row>
    <row r="1295" spans="1:24" hidden="1">
      <c r="A1295" s="143"/>
      <c r="J1295" s="1" t="str">
        <f t="shared" si="385"/>
        <v>0</v>
      </c>
      <c r="K1295" s="3">
        <f t="shared" si="386"/>
        <v>-100</v>
      </c>
      <c r="L1295" s="3">
        <f t="shared" si="387"/>
        <v>1</v>
      </c>
      <c r="M1295" s="3">
        <f t="shared" si="388"/>
        <v>0</v>
      </c>
      <c r="N1295" s="3" t="str">
        <f t="shared" si="389"/>
        <v>01</v>
      </c>
      <c r="O1295" s="14" t="str">
        <f t="shared" si="390"/>
        <v>00</v>
      </c>
    </row>
    <row r="1296" spans="1:24" hidden="1">
      <c r="A1296" s="143">
        <v>1218</v>
      </c>
      <c r="B1296" s="1">
        <f>IF(G1296="-",0,IF(G1295=G1296,1,0))</f>
        <v>0</v>
      </c>
      <c r="C1296" s="1">
        <f>+IF(G1296="-",0,IF(I1296=I1295+1,0,(IF(I1296=1,0,1))))</f>
        <v>1</v>
      </c>
      <c r="D1296" s="1">
        <f>+IF(AND(P1296="",Q1296=""),1,0)</f>
        <v>0</v>
      </c>
      <c r="E1296" s="1">
        <f>IF(U1296="",1,0)</f>
        <v>0</v>
      </c>
      <c r="F1296" s="1">
        <f>IF(V1296="",1,0)</f>
        <v>0</v>
      </c>
      <c r="G1296" s="1" t="str">
        <f>IF(H1296=0,"-",_xlfn.CONCAT(K1296,N1296,O1296,J1296))</f>
        <v>25053005</v>
      </c>
      <c r="H1296" s="2">
        <v>45807</v>
      </c>
      <c r="I1296" s="113">
        <v>5</v>
      </c>
      <c r="J1296" s="1" t="str">
        <f t="shared" si="385"/>
        <v>05</v>
      </c>
      <c r="K1296" s="3">
        <f t="shared" si="386"/>
        <v>25</v>
      </c>
      <c r="L1296" s="3">
        <f t="shared" si="387"/>
        <v>5</v>
      </c>
      <c r="M1296" s="3">
        <f t="shared" si="388"/>
        <v>30</v>
      </c>
      <c r="N1296" s="3" t="str">
        <f t="shared" si="389"/>
        <v>05</v>
      </c>
      <c r="O1296" s="14">
        <f t="shared" si="390"/>
        <v>30</v>
      </c>
      <c r="P1296" s="4">
        <v>2725</v>
      </c>
      <c r="T1296" s="5" t="s">
        <v>1327</v>
      </c>
      <c r="U1296" s="3" t="s">
        <v>1310</v>
      </c>
      <c r="V1296" s="3" t="s">
        <v>1304</v>
      </c>
      <c r="W1296" s="3" t="s">
        <v>1309</v>
      </c>
      <c r="X1296" s="1" t="s">
        <v>1302</v>
      </c>
    </row>
    <row r="1297" spans="1:24" hidden="1">
      <c r="A1297" s="143">
        <v>1220</v>
      </c>
      <c r="B1297" s="1">
        <f>IF(G1297="-",0,IF(G1296=G1297,1,0))</f>
        <v>0</v>
      </c>
      <c r="C1297" s="1">
        <f>+IF(G1297="-",0,IF(I1297=I1296+1,0,(IF(I1297=1,0,1))))</f>
        <v>0</v>
      </c>
      <c r="D1297" s="1">
        <f>+IF(AND(P1297="",Q1297=""),1,0)</f>
        <v>0</v>
      </c>
      <c r="E1297" s="1">
        <f>IF(U1297="",1,0)</f>
        <v>0</v>
      </c>
      <c r="F1297" s="1">
        <f>IF(V1297="",1,0)</f>
        <v>0</v>
      </c>
      <c r="G1297" s="1" t="str">
        <f>IF(H1297=0,"-",_xlfn.CONCAT(K1297,N1297,O1297,J1297))</f>
        <v>25053006</v>
      </c>
      <c r="H1297" s="2">
        <v>45807</v>
      </c>
      <c r="I1297" s="113">
        <v>6</v>
      </c>
      <c r="J1297" s="1" t="str">
        <f t="shared" si="385"/>
        <v>06</v>
      </c>
      <c r="K1297" s="3">
        <f t="shared" si="386"/>
        <v>25</v>
      </c>
      <c r="L1297" s="3">
        <f t="shared" si="387"/>
        <v>5</v>
      </c>
      <c r="M1297" s="3">
        <f t="shared" si="388"/>
        <v>30</v>
      </c>
      <c r="N1297" s="3" t="str">
        <f t="shared" si="389"/>
        <v>05</v>
      </c>
      <c r="O1297" s="14">
        <f t="shared" si="390"/>
        <v>30</v>
      </c>
      <c r="P1297" s="4">
        <v>4850</v>
      </c>
      <c r="T1297" s="5" t="s">
        <v>1331</v>
      </c>
      <c r="U1297" s="3" t="s">
        <v>1310</v>
      </c>
      <c r="V1297" s="3" t="s">
        <v>1304</v>
      </c>
      <c r="W1297" s="3" t="s">
        <v>1309</v>
      </c>
      <c r="X1297" s="1" t="s">
        <v>1302</v>
      </c>
    </row>
    <row r="1298" spans="1:24" hidden="1">
      <c r="A1298" s="143"/>
      <c r="J1298" s="1" t="str">
        <f t="shared" si="385"/>
        <v>0</v>
      </c>
      <c r="K1298" s="3">
        <f t="shared" si="386"/>
        <v>-100</v>
      </c>
      <c r="L1298" s="3">
        <f t="shared" si="387"/>
        <v>1</v>
      </c>
      <c r="M1298" s="3">
        <f t="shared" si="388"/>
        <v>0</v>
      </c>
      <c r="N1298" s="3" t="str">
        <f t="shared" si="389"/>
        <v>01</v>
      </c>
      <c r="O1298" s="14" t="str">
        <f t="shared" si="390"/>
        <v>00</v>
      </c>
      <c r="U1298" s="144"/>
    </row>
    <row r="1299" spans="1:24" hidden="1">
      <c r="A1299" s="143"/>
      <c r="J1299" s="1" t="str">
        <f t="shared" si="385"/>
        <v>0</v>
      </c>
      <c r="K1299" s="3">
        <f t="shared" si="386"/>
        <v>-100</v>
      </c>
      <c r="L1299" s="3">
        <f t="shared" si="387"/>
        <v>1</v>
      </c>
      <c r="M1299" s="3">
        <f t="shared" si="388"/>
        <v>0</v>
      </c>
      <c r="N1299" s="3" t="str">
        <f t="shared" si="389"/>
        <v>01</v>
      </c>
      <c r="O1299" s="14" t="str">
        <f t="shared" si="390"/>
        <v>00</v>
      </c>
    </row>
    <row r="1300" spans="1:24" hidden="1">
      <c r="A1300" s="143">
        <v>1202</v>
      </c>
      <c r="B1300" s="1">
        <f>IF(G1300="-",0,IF(G1299=G1300,1,0))</f>
        <v>0</v>
      </c>
      <c r="C1300" s="1">
        <f>+IF(G1300="-",0,IF(I1300=I1299+1,0,(IF(I1300=1,0,1))))</f>
        <v>1</v>
      </c>
      <c r="D1300" s="1">
        <f>+IF(AND(P1300="",Q1300=""),1,0)</f>
        <v>0</v>
      </c>
      <c r="E1300" s="1">
        <f>IF(U1300="",1,0)</f>
        <v>0</v>
      </c>
      <c r="F1300" s="1">
        <f>IF(V1300="",1,0)</f>
        <v>0</v>
      </c>
      <c r="G1300" s="1" t="str">
        <f>IF(H1300=0,"-",_xlfn.CONCAT(K1300,N1300,O1300,J1300))</f>
        <v>25053102</v>
      </c>
      <c r="H1300" s="2">
        <v>45808</v>
      </c>
      <c r="I1300" s="113">
        <v>2</v>
      </c>
      <c r="J1300" s="1" t="str">
        <f t="shared" si="385"/>
        <v>02</v>
      </c>
      <c r="K1300" s="3">
        <f t="shared" si="386"/>
        <v>25</v>
      </c>
      <c r="L1300" s="3">
        <f t="shared" si="387"/>
        <v>5</v>
      </c>
      <c r="M1300" s="3">
        <f t="shared" si="388"/>
        <v>31</v>
      </c>
      <c r="N1300" s="3" t="str">
        <f t="shared" si="389"/>
        <v>05</v>
      </c>
      <c r="O1300" s="14">
        <f t="shared" si="390"/>
        <v>31</v>
      </c>
      <c r="P1300" s="4">
        <v>13400</v>
      </c>
      <c r="T1300" s="5" t="s">
        <v>1329</v>
      </c>
      <c r="U1300" s="3" t="s">
        <v>1310</v>
      </c>
      <c r="V1300" s="3" t="s">
        <v>1304</v>
      </c>
      <c r="W1300" s="3" t="s">
        <v>1309</v>
      </c>
      <c r="X1300" s="1" t="s">
        <v>1305</v>
      </c>
    </row>
    <row r="1301" spans="1:24" hidden="1">
      <c r="A1301" s="143">
        <v>1215</v>
      </c>
      <c r="B1301" s="1">
        <f>IF(G1301="-",0,IF(G1300=G1301,1,0))</f>
        <v>0</v>
      </c>
      <c r="C1301" s="1">
        <f>+IF(G1301="-",0,IF(I1301=I1300+1,0,(IF(I1301=1,0,1))))</f>
        <v>0</v>
      </c>
      <c r="D1301" s="1">
        <f>+IF(AND(P1301="",Q1301=""),1,0)</f>
        <v>0</v>
      </c>
      <c r="E1301" s="1">
        <f>IF(U1301="",1,0)</f>
        <v>0</v>
      </c>
      <c r="F1301" s="1">
        <f>IF(V1301="",1,0)</f>
        <v>0</v>
      </c>
      <c r="G1301" s="1" t="str">
        <f>IF(H1301=0,"-",_xlfn.CONCAT(K1301,N1301,O1301,J1301))</f>
        <v>25053103</v>
      </c>
      <c r="H1301" s="2">
        <v>45808</v>
      </c>
      <c r="I1301" s="113">
        <v>3</v>
      </c>
      <c r="J1301" s="1" t="str">
        <f t="shared" si="385"/>
        <v>03</v>
      </c>
      <c r="K1301" s="3">
        <f t="shared" si="386"/>
        <v>25</v>
      </c>
      <c r="L1301" s="3">
        <f t="shared" si="387"/>
        <v>5</v>
      </c>
      <c r="M1301" s="3">
        <f t="shared" si="388"/>
        <v>31</v>
      </c>
      <c r="N1301" s="3" t="str">
        <f t="shared" si="389"/>
        <v>05</v>
      </c>
      <c r="O1301" s="14">
        <f t="shared" si="390"/>
        <v>31</v>
      </c>
      <c r="P1301" s="4">
        <v>18930.009999999998</v>
      </c>
      <c r="T1301" s="5" t="s">
        <v>1328</v>
      </c>
      <c r="U1301" s="3" t="s">
        <v>1310</v>
      </c>
      <c r="V1301" s="3" t="s">
        <v>1304</v>
      </c>
      <c r="W1301" s="3" t="s">
        <v>1309</v>
      </c>
      <c r="X1301" s="1" t="s">
        <v>1302</v>
      </c>
    </row>
    <row r="1302" spans="1:24" hidden="1">
      <c r="A1302" s="143"/>
      <c r="J1302" s="1" t="str">
        <f t="shared" si="385"/>
        <v>0</v>
      </c>
      <c r="K1302" s="3">
        <f t="shared" si="386"/>
        <v>-100</v>
      </c>
      <c r="L1302" s="3">
        <f t="shared" si="387"/>
        <v>1</v>
      </c>
      <c r="M1302" s="3">
        <f t="shared" si="388"/>
        <v>0</v>
      </c>
      <c r="N1302" s="3" t="str">
        <f t="shared" si="389"/>
        <v>01</v>
      </c>
      <c r="O1302" s="14" t="str">
        <f t="shared" si="390"/>
        <v>00</v>
      </c>
    </row>
    <row r="1303" spans="1:24" hidden="1">
      <c r="A1303" s="143"/>
      <c r="J1303" s="1" t="str">
        <f t="shared" si="385"/>
        <v>0</v>
      </c>
      <c r="K1303" s="3">
        <f t="shared" si="386"/>
        <v>-100</v>
      </c>
      <c r="L1303" s="3">
        <f t="shared" si="387"/>
        <v>1</v>
      </c>
      <c r="M1303" s="3">
        <f t="shared" si="388"/>
        <v>0</v>
      </c>
      <c r="N1303" s="3" t="str">
        <f t="shared" si="389"/>
        <v>01</v>
      </c>
      <c r="O1303" s="14" t="str">
        <f t="shared" si="390"/>
        <v>00</v>
      </c>
    </row>
    <row r="1304" spans="1:24" hidden="1">
      <c r="A1304" s="143">
        <v>1219</v>
      </c>
      <c r="B1304" s="1">
        <f>IF(G1304="-",0,IF(G1303=G1304,1,0))</f>
        <v>0</v>
      </c>
      <c r="C1304" s="1">
        <f>+IF(G1304="-",0,IF(I1304=I1303+1,0,(IF(I1304=1,0,1))))</f>
        <v>0</v>
      </c>
      <c r="D1304" s="1">
        <f>+IF(AND(P1304="",Q1304=""),1,0)</f>
        <v>0</v>
      </c>
      <c r="E1304" s="1">
        <f>IF(U1304="",1,0)</f>
        <v>0</v>
      </c>
      <c r="F1304" s="1">
        <f>IF(V1304="",1,0)</f>
        <v>0</v>
      </c>
      <c r="G1304" s="1" t="str">
        <f>IF(H1304=0,"-",_xlfn.CONCAT(K1304,N1304,O1304,J1304))</f>
        <v>25060101</v>
      </c>
      <c r="H1304" s="2">
        <v>45809</v>
      </c>
      <c r="I1304" s="113">
        <v>1</v>
      </c>
      <c r="J1304" s="1" t="str">
        <f t="shared" si="385"/>
        <v>01</v>
      </c>
      <c r="K1304" s="3">
        <f t="shared" si="386"/>
        <v>25</v>
      </c>
      <c r="L1304" s="3">
        <f t="shared" si="387"/>
        <v>6</v>
      </c>
      <c r="M1304" s="3">
        <f t="shared" si="388"/>
        <v>1</v>
      </c>
      <c r="N1304" s="3" t="str">
        <f t="shared" si="389"/>
        <v>06</v>
      </c>
      <c r="O1304" s="14" t="str">
        <f t="shared" si="390"/>
        <v>01</v>
      </c>
      <c r="P1304" s="4">
        <v>18960</v>
      </c>
      <c r="T1304" s="5" t="s">
        <v>1327</v>
      </c>
      <c r="U1304" s="3" t="s">
        <v>1326</v>
      </c>
      <c r="V1304" s="3" t="s">
        <v>1304</v>
      </c>
      <c r="W1304" s="3" t="s">
        <v>1326</v>
      </c>
      <c r="X1304" s="1" t="s">
        <v>1302</v>
      </c>
    </row>
    <row r="1305" spans="1:24" hidden="1">
      <c r="A1305" s="143"/>
      <c r="J1305" s="1" t="str">
        <f t="shared" si="385"/>
        <v>0</v>
      </c>
      <c r="K1305" s="3">
        <f t="shared" si="386"/>
        <v>-100</v>
      </c>
      <c r="L1305" s="3">
        <f t="shared" si="387"/>
        <v>1</v>
      </c>
      <c r="M1305" s="3">
        <f t="shared" si="388"/>
        <v>0</v>
      </c>
      <c r="N1305" s="3" t="str">
        <f t="shared" si="389"/>
        <v>01</v>
      </c>
      <c r="O1305" s="14" t="str">
        <f t="shared" si="390"/>
        <v>00</v>
      </c>
    </row>
    <row r="1306" spans="1:24" hidden="1">
      <c r="A1306" s="143"/>
      <c r="J1306" s="1" t="str">
        <f t="shared" si="385"/>
        <v>0</v>
      </c>
      <c r="K1306" s="3">
        <f t="shared" si="386"/>
        <v>-100</v>
      </c>
      <c r="L1306" s="3">
        <f t="shared" si="387"/>
        <v>1</v>
      </c>
      <c r="M1306" s="3">
        <f t="shared" si="388"/>
        <v>0</v>
      </c>
      <c r="N1306" s="3" t="str">
        <f t="shared" si="389"/>
        <v>01</v>
      </c>
      <c r="O1306" s="14" t="str">
        <f t="shared" si="390"/>
        <v>00</v>
      </c>
    </row>
    <row r="1307" spans="1:24" hidden="1">
      <c r="A1307" s="143"/>
      <c r="J1307" s="1" t="str">
        <f t="shared" si="385"/>
        <v>0</v>
      </c>
      <c r="K1307" s="3">
        <f t="shared" si="386"/>
        <v>-100</v>
      </c>
      <c r="L1307" s="3">
        <f t="shared" si="387"/>
        <v>1</v>
      </c>
      <c r="M1307" s="3">
        <f t="shared" si="388"/>
        <v>0</v>
      </c>
      <c r="N1307" s="3" t="str">
        <f t="shared" si="389"/>
        <v>01</v>
      </c>
      <c r="O1307" s="14" t="str">
        <f t="shared" si="390"/>
        <v>00</v>
      </c>
    </row>
    <row r="1308" spans="1:24" hidden="1">
      <c r="A1308" s="143">
        <v>1285</v>
      </c>
      <c r="B1308" s="1">
        <f>IF(G1308="-",0,IF(G1307=G1308,1,0))</f>
        <v>0</v>
      </c>
      <c r="C1308" s="1">
        <f>+IF(G1308="-",0,IF(I1308=I1307+1,0,(IF(I1308=1,0,1))))</f>
        <v>0</v>
      </c>
      <c r="D1308" s="1">
        <f>+IF(AND(P1308="",Q1308=""),1,0)</f>
        <v>0</v>
      </c>
      <c r="E1308" s="1">
        <f t="shared" ref="E1308:F1311" si="392">IF(U1308="",1,0)</f>
        <v>0</v>
      </c>
      <c r="F1308" s="1">
        <f t="shared" si="392"/>
        <v>0</v>
      </c>
      <c r="G1308" s="1" t="str">
        <f>IF(H1308=0,"-",_xlfn.CONCAT(K1308,N1308,O1308,J1308))</f>
        <v>25060201</v>
      </c>
      <c r="H1308" s="2">
        <v>45810</v>
      </c>
      <c r="I1308" s="113">
        <v>1</v>
      </c>
      <c r="J1308" s="1" t="str">
        <f t="shared" si="385"/>
        <v>01</v>
      </c>
      <c r="K1308" s="3">
        <f t="shared" si="386"/>
        <v>25</v>
      </c>
      <c r="L1308" s="3">
        <f t="shared" si="387"/>
        <v>6</v>
      </c>
      <c r="M1308" s="3">
        <f t="shared" si="388"/>
        <v>2</v>
      </c>
      <c r="N1308" s="3" t="str">
        <f t="shared" si="389"/>
        <v>06</v>
      </c>
      <c r="O1308" s="14" t="str">
        <f t="shared" si="390"/>
        <v>02</v>
      </c>
      <c r="P1308" s="4">
        <v>44132.62</v>
      </c>
      <c r="T1308" s="5" t="s">
        <v>1325</v>
      </c>
      <c r="U1308" s="3" t="s">
        <v>29</v>
      </c>
      <c r="V1308" s="3" t="s">
        <v>5</v>
      </c>
      <c r="W1308" s="3" t="s">
        <v>1307</v>
      </c>
      <c r="X1308" s="1" t="s">
        <v>1302</v>
      </c>
    </row>
    <row r="1309" spans="1:24" hidden="1">
      <c r="A1309" s="143">
        <v>1286</v>
      </c>
      <c r="B1309" s="1">
        <f>IF(G1309="-",0,IF(G1308=G1309,1,0))</f>
        <v>0</v>
      </c>
      <c r="C1309" s="1">
        <f>+IF(G1309="-",0,IF(I1309=I1308+1,0,(IF(I1309=1,0,1))))</f>
        <v>0</v>
      </c>
      <c r="D1309" s="1">
        <f>+IF(AND(P1309="",Q1309=""),1,0)</f>
        <v>0</v>
      </c>
      <c r="E1309" s="1">
        <f t="shared" si="392"/>
        <v>0</v>
      </c>
      <c r="F1309" s="1">
        <f t="shared" si="392"/>
        <v>0</v>
      </c>
      <c r="G1309" s="1" t="str">
        <f>IF(H1309=0,"-",_xlfn.CONCAT(K1309,N1309,O1309,J1309))</f>
        <v>25060202</v>
      </c>
      <c r="H1309" s="2">
        <v>45810</v>
      </c>
      <c r="I1309" s="113">
        <v>2</v>
      </c>
      <c r="J1309" s="1" t="str">
        <f t="shared" si="385"/>
        <v>02</v>
      </c>
      <c r="K1309" s="3">
        <f t="shared" si="386"/>
        <v>25</v>
      </c>
      <c r="L1309" s="3">
        <f t="shared" si="387"/>
        <v>6</v>
      </c>
      <c r="M1309" s="3">
        <f t="shared" si="388"/>
        <v>2</v>
      </c>
      <c r="N1309" s="3" t="str">
        <f t="shared" si="389"/>
        <v>06</v>
      </c>
      <c r="O1309" s="14" t="str">
        <f t="shared" si="390"/>
        <v>02</v>
      </c>
      <c r="P1309" s="4">
        <v>10000</v>
      </c>
      <c r="T1309" s="5" t="s">
        <v>1324</v>
      </c>
      <c r="U1309" s="3" t="s">
        <v>29</v>
      </c>
      <c r="V1309" s="3" t="s">
        <v>5</v>
      </c>
      <c r="W1309" s="3" t="s">
        <v>1307</v>
      </c>
      <c r="X1309" s="1" t="s">
        <v>1305</v>
      </c>
    </row>
    <row r="1310" spans="1:24" hidden="1">
      <c r="A1310" s="143">
        <v>1287</v>
      </c>
      <c r="B1310" s="1">
        <f>IF(G1310="-",0,IF(G1309=G1310,1,0))</f>
        <v>0</v>
      </c>
      <c r="C1310" s="1">
        <f>+IF(G1310="-",0,IF(I1310=I1309+1,0,(IF(I1310=1,0,1))))</f>
        <v>0</v>
      </c>
      <c r="D1310" s="1">
        <f>+IF(AND(P1310="",Q1310=""),1,0)</f>
        <v>0</v>
      </c>
      <c r="E1310" s="1">
        <f t="shared" si="392"/>
        <v>0</v>
      </c>
      <c r="F1310" s="1">
        <f t="shared" si="392"/>
        <v>0</v>
      </c>
      <c r="G1310" s="1" t="str">
        <f>IF(H1310=0,"-",_xlfn.CONCAT(K1310,N1310,O1310,J1310))</f>
        <v>25060203</v>
      </c>
      <c r="H1310" s="2">
        <v>45810</v>
      </c>
      <c r="I1310" s="113">
        <v>3</v>
      </c>
      <c r="J1310" s="1" t="str">
        <f t="shared" si="385"/>
        <v>03</v>
      </c>
      <c r="K1310" s="3">
        <f t="shared" si="386"/>
        <v>25</v>
      </c>
      <c r="L1310" s="3">
        <f t="shared" si="387"/>
        <v>6</v>
      </c>
      <c r="M1310" s="3">
        <f t="shared" si="388"/>
        <v>2</v>
      </c>
      <c r="N1310" s="3" t="str">
        <f t="shared" si="389"/>
        <v>06</v>
      </c>
      <c r="O1310" s="14" t="str">
        <f t="shared" si="390"/>
        <v>02</v>
      </c>
      <c r="P1310" s="4">
        <v>131560.5</v>
      </c>
      <c r="T1310" s="5" t="s">
        <v>352</v>
      </c>
      <c r="U1310" s="3" t="s">
        <v>30</v>
      </c>
      <c r="V1310" s="3" t="s">
        <v>1312</v>
      </c>
      <c r="W1310" s="3" t="s">
        <v>1307</v>
      </c>
      <c r="X1310" s="1" t="s">
        <v>1305</v>
      </c>
    </row>
    <row r="1311" spans="1:24" hidden="1">
      <c r="A1311" s="143">
        <v>1288</v>
      </c>
      <c r="B1311" s="1">
        <f>IF(G1311="-",0,IF(G1310=G1311,1,0))</f>
        <v>0</v>
      </c>
      <c r="C1311" s="1">
        <f>+IF(G1311="-",0,IF(I1311=I1310+1,0,(IF(I1311=1,0,1))))</f>
        <v>0</v>
      </c>
      <c r="D1311" s="1">
        <f>+IF(AND(P1311="",Q1311=""),1,0)</f>
        <v>0</v>
      </c>
      <c r="E1311" s="1">
        <f t="shared" si="392"/>
        <v>0</v>
      </c>
      <c r="F1311" s="1">
        <f t="shared" si="392"/>
        <v>0</v>
      </c>
      <c r="G1311" s="1" t="str">
        <f>IF(H1311=0,"-",_xlfn.CONCAT(K1311,N1311,O1311,J1311))</f>
        <v>25060204</v>
      </c>
      <c r="H1311" s="2">
        <v>45810</v>
      </c>
      <c r="I1311" s="113">
        <v>4</v>
      </c>
      <c r="J1311" s="1" t="str">
        <f t="shared" si="385"/>
        <v>04</v>
      </c>
      <c r="K1311" s="3">
        <f t="shared" si="386"/>
        <v>25</v>
      </c>
      <c r="L1311" s="3">
        <f t="shared" si="387"/>
        <v>6</v>
      </c>
      <c r="M1311" s="3">
        <f t="shared" si="388"/>
        <v>2</v>
      </c>
      <c r="N1311" s="3" t="str">
        <f t="shared" si="389"/>
        <v>06</v>
      </c>
      <c r="O1311" s="14" t="str">
        <f t="shared" si="390"/>
        <v>02</v>
      </c>
      <c r="P1311" s="4">
        <v>5900</v>
      </c>
      <c r="T1311" s="5" t="s">
        <v>352</v>
      </c>
      <c r="U1311" s="3" t="s">
        <v>30</v>
      </c>
      <c r="V1311" s="3" t="s">
        <v>1312</v>
      </c>
      <c r="W1311" s="3" t="s">
        <v>1307</v>
      </c>
      <c r="X1311" s="1" t="s">
        <v>1305</v>
      </c>
    </row>
    <row r="1312" spans="1:24" hidden="1">
      <c r="A1312" s="143"/>
      <c r="J1312" s="1" t="str">
        <f t="shared" si="385"/>
        <v>0</v>
      </c>
      <c r="K1312" s="3">
        <f t="shared" si="386"/>
        <v>-100</v>
      </c>
      <c r="L1312" s="3">
        <f t="shared" si="387"/>
        <v>1</v>
      </c>
      <c r="M1312" s="3">
        <f t="shared" si="388"/>
        <v>0</v>
      </c>
      <c r="N1312" s="3" t="str">
        <f t="shared" si="389"/>
        <v>01</v>
      </c>
      <c r="O1312" s="14" t="str">
        <f t="shared" si="390"/>
        <v>00</v>
      </c>
    </row>
    <row r="1313" spans="1:24" hidden="1">
      <c r="A1313" s="143">
        <v>1290</v>
      </c>
      <c r="B1313" s="1">
        <f>IF(G1313="-",0,IF(G1312=G1313,1,0))</f>
        <v>0</v>
      </c>
      <c r="C1313" s="1">
        <f>+IF(G1313="-",0,IF(I1313=I1312+1,0,(IF(I1313=1,0,1))))</f>
        <v>0</v>
      </c>
      <c r="D1313" s="1">
        <f>+IF(AND(P1313="",Q1313=""),1,0)</f>
        <v>0</v>
      </c>
      <c r="E1313" s="1">
        <f>IF(U1313="",1,0)</f>
        <v>0</v>
      </c>
      <c r="F1313" s="1">
        <f>IF(V1313="",1,0)</f>
        <v>0</v>
      </c>
      <c r="G1313" s="1" t="str">
        <f>IF(H1313=0,"-",_xlfn.CONCAT(K1313,N1313,O1313,J1313))</f>
        <v>25060301</v>
      </c>
      <c r="H1313" s="2">
        <v>45811</v>
      </c>
      <c r="I1313" s="113">
        <v>1</v>
      </c>
      <c r="J1313" s="1" t="str">
        <f t="shared" si="385"/>
        <v>01</v>
      </c>
      <c r="K1313" s="3">
        <f t="shared" si="386"/>
        <v>25</v>
      </c>
      <c r="L1313" s="3">
        <f t="shared" si="387"/>
        <v>6</v>
      </c>
      <c r="M1313" s="3">
        <f t="shared" si="388"/>
        <v>3</v>
      </c>
      <c r="N1313" s="3" t="str">
        <f t="shared" si="389"/>
        <v>06</v>
      </c>
      <c r="O1313" s="14" t="str">
        <f t="shared" si="390"/>
        <v>03</v>
      </c>
      <c r="P1313" s="4">
        <v>51879.56</v>
      </c>
      <c r="T1313" s="5" t="s">
        <v>1323</v>
      </c>
      <c r="U1313" s="3" t="s">
        <v>29</v>
      </c>
      <c r="V1313" s="3" t="s">
        <v>5</v>
      </c>
      <c r="W1313" s="3" t="s">
        <v>1307</v>
      </c>
      <c r="X1313" s="1" t="s">
        <v>1305</v>
      </c>
    </row>
    <row r="1314" spans="1:24" hidden="1">
      <c r="A1314" s="143"/>
      <c r="J1314" s="1" t="str">
        <f t="shared" si="385"/>
        <v>0</v>
      </c>
      <c r="K1314" s="3">
        <f t="shared" si="386"/>
        <v>-100</v>
      </c>
      <c r="L1314" s="3">
        <f t="shared" si="387"/>
        <v>1</v>
      </c>
      <c r="M1314" s="3">
        <f t="shared" si="388"/>
        <v>0</v>
      </c>
      <c r="N1314" s="3" t="str">
        <f t="shared" si="389"/>
        <v>01</v>
      </c>
      <c r="O1314" s="14" t="str">
        <f t="shared" si="390"/>
        <v>00</v>
      </c>
    </row>
    <row r="1315" spans="1:24" hidden="1">
      <c r="A1315" s="143"/>
      <c r="J1315" s="1" t="str">
        <f t="shared" si="385"/>
        <v>0</v>
      </c>
      <c r="K1315" s="3">
        <f t="shared" si="386"/>
        <v>-100</v>
      </c>
      <c r="L1315" s="3">
        <f t="shared" si="387"/>
        <v>1</v>
      </c>
      <c r="M1315" s="3">
        <f t="shared" si="388"/>
        <v>0</v>
      </c>
      <c r="N1315" s="3" t="str">
        <f t="shared" si="389"/>
        <v>01</v>
      </c>
      <c r="O1315" s="14" t="str">
        <f t="shared" si="390"/>
        <v>00</v>
      </c>
    </row>
    <row r="1316" spans="1:24" hidden="1">
      <c r="A1316" s="143"/>
      <c r="J1316" s="1" t="str">
        <f t="shared" si="385"/>
        <v>0</v>
      </c>
      <c r="K1316" s="3">
        <f t="shared" si="386"/>
        <v>-100</v>
      </c>
      <c r="L1316" s="3">
        <f t="shared" si="387"/>
        <v>1</v>
      </c>
      <c r="M1316" s="3">
        <f t="shared" si="388"/>
        <v>0</v>
      </c>
      <c r="N1316" s="3" t="str">
        <f t="shared" si="389"/>
        <v>01</v>
      </c>
      <c r="O1316" s="14" t="str">
        <f t="shared" si="390"/>
        <v>00</v>
      </c>
    </row>
    <row r="1317" spans="1:24" hidden="1">
      <c r="A1317" s="143">
        <v>1294</v>
      </c>
      <c r="B1317" s="1">
        <f>IF(G1317="-",0,IF(G1316=G1317,1,0))</f>
        <v>0</v>
      </c>
      <c r="C1317" s="1">
        <f>+IF(G1317="-",0,IF(I1317=I1316+1,0,(IF(I1317=1,0,1))))</f>
        <v>0</v>
      </c>
      <c r="D1317" s="1">
        <f>+IF(AND(P1317="",Q1317=""),1,0)</f>
        <v>0</v>
      </c>
      <c r="E1317" s="1">
        <f t="shared" ref="E1317:F1321" si="393">IF(U1317="",1,0)</f>
        <v>0</v>
      </c>
      <c r="F1317" s="1">
        <f t="shared" si="393"/>
        <v>0</v>
      </c>
      <c r="G1317" s="1" t="str">
        <f>IF(H1317=0,"-",_xlfn.CONCAT(K1317,N1317,O1317,J1317))</f>
        <v>25060401</v>
      </c>
      <c r="H1317" s="2">
        <v>45812</v>
      </c>
      <c r="I1317" s="113">
        <v>1</v>
      </c>
      <c r="J1317" s="1" t="str">
        <f t="shared" si="385"/>
        <v>01</v>
      </c>
      <c r="K1317" s="3">
        <f t="shared" si="386"/>
        <v>25</v>
      </c>
      <c r="L1317" s="3">
        <f t="shared" si="387"/>
        <v>6</v>
      </c>
      <c r="M1317" s="3">
        <f t="shared" si="388"/>
        <v>4</v>
      </c>
      <c r="N1317" s="3" t="str">
        <f t="shared" si="389"/>
        <v>06</v>
      </c>
      <c r="O1317" s="14" t="str">
        <f t="shared" si="390"/>
        <v>04</v>
      </c>
      <c r="P1317" s="4">
        <v>42884.61</v>
      </c>
      <c r="T1317" s="5" t="s">
        <v>1322</v>
      </c>
      <c r="U1317" s="3" t="s">
        <v>29</v>
      </c>
      <c r="V1317" s="3" t="s">
        <v>5</v>
      </c>
      <c r="W1317" s="3" t="s">
        <v>1307</v>
      </c>
      <c r="X1317" s="1" t="s">
        <v>1305</v>
      </c>
    </row>
    <row r="1318" spans="1:24" hidden="1">
      <c r="A1318" s="143">
        <v>1295</v>
      </c>
      <c r="B1318" s="1">
        <f>IF(G1318="-",0,IF(G1317=G1318,1,0))</f>
        <v>0</v>
      </c>
      <c r="C1318" s="1">
        <f>+IF(G1318="-",0,IF(I1318=I1317+1,0,(IF(I1318=1,0,1))))</f>
        <v>0</v>
      </c>
      <c r="D1318" s="1">
        <f>+IF(AND(P1318="",Q1318=""),1,0)</f>
        <v>0</v>
      </c>
      <c r="E1318" s="1">
        <f t="shared" si="393"/>
        <v>0</v>
      </c>
      <c r="F1318" s="1">
        <f t="shared" si="393"/>
        <v>0</v>
      </c>
      <c r="G1318" s="1" t="str">
        <f>IF(H1318=0,"-",_xlfn.CONCAT(K1318,N1318,O1318,J1318))</f>
        <v>25060402</v>
      </c>
      <c r="H1318" s="2">
        <v>45812</v>
      </c>
      <c r="I1318" s="113">
        <v>2</v>
      </c>
      <c r="J1318" s="1" t="str">
        <f t="shared" si="385"/>
        <v>02</v>
      </c>
      <c r="K1318" s="3">
        <f t="shared" si="386"/>
        <v>25</v>
      </c>
      <c r="L1318" s="3">
        <f t="shared" si="387"/>
        <v>6</v>
      </c>
      <c r="M1318" s="3">
        <f t="shared" si="388"/>
        <v>4</v>
      </c>
      <c r="N1318" s="3" t="str">
        <f t="shared" si="389"/>
        <v>06</v>
      </c>
      <c r="O1318" s="14" t="str">
        <f t="shared" si="390"/>
        <v>04</v>
      </c>
      <c r="P1318" s="4">
        <v>20257.509999999998</v>
      </c>
      <c r="T1318" s="5" t="s">
        <v>1321</v>
      </c>
      <c r="U1318" s="3" t="s">
        <v>29</v>
      </c>
      <c r="V1318" s="3" t="s">
        <v>5</v>
      </c>
      <c r="W1318" s="3" t="s">
        <v>1307</v>
      </c>
      <c r="X1318" s="1" t="s">
        <v>1305</v>
      </c>
    </row>
    <row r="1319" spans="1:24" hidden="1">
      <c r="A1319" s="143">
        <v>1296</v>
      </c>
      <c r="B1319" s="1">
        <f>IF(G1319="-",0,IF(G1318=G1319,1,0))</f>
        <v>0</v>
      </c>
      <c r="C1319" s="1">
        <f>+IF(G1319="-",0,IF(I1319=I1318+1,0,(IF(I1319=1,0,1))))</f>
        <v>0</v>
      </c>
      <c r="D1319" s="1">
        <f>+IF(AND(P1319="",Q1319=""),1,0)</f>
        <v>0</v>
      </c>
      <c r="E1319" s="1">
        <f t="shared" si="393"/>
        <v>0</v>
      </c>
      <c r="F1319" s="1">
        <f t="shared" si="393"/>
        <v>0</v>
      </c>
      <c r="G1319" s="1" t="str">
        <f>IF(H1319=0,"-",_xlfn.CONCAT(K1319,N1319,O1319,J1319))</f>
        <v>25060403</v>
      </c>
      <c r="H1319" s="2">
        <v>45812</v>
      </c>
      <c r="I1319" s="113">
        <v>3</v>
      </c>
      <c r="J1319" s="1" t="str">
        <f t="shared" si="385"/>
        <v>03</v>
      </c>
      <c r="K1319" s="3">
        <f t="shared" si="386"/>
        <v>25</v>
      </c>
      <c r="L1319" s="3">
        <f t="shared" si="387"/>
        <v>6</v>
      </c>
      <c r="M1319" s="3">
        <f t="shared" si="388"/>
        <v>4</v>
      </c>
      <c r="N1319" s="3" t="str">
        <f t="shared" si="389"/>
        <v>06</v>
      </c>
      <c r="O1319" s="14" t="str">
        <f t="shared" si="390"/>
        <v>04</v>
      </c>
      <c r="P1319" s="4">
        <v>1600</v>
      </c>
      <c r="T1319" s="5" t="s">
        <v>352</v>
      </c>
      <c r="U1319" s="3" t="s">
        <v>30</v>
      </c>
      <c r="V1319" s="3" t="s">
        <v>1312</v>
      </c>
      <c r="W1319" s="3" t="s">
        <v>1307</v>
      </c>
      <c r="X1319" s="1" t="s">
        <v>1305</v>
      </c>
    </row>
    <row r="1320" spans="1:24" hidden="1">
      <c r="A1320" s="143">
        <v>1297</v>
      </c>
      <c r="B1320" s="1">
        <f>IF(G1320="-",0,IF(G1319=G1320,1,0))</f>
        <v>0</v>
      </c>
      <c r="C1320" s="1">
        <f>+IF(G1320="-",0,IF(I1320=I1319+1,0,(IF(I1320=1,0,1))))</f>
        <v>0</v>
      </c>
      <c r="D1320" s="1">
        <f>+IF(AND(P1320="",Q1320=""),1,0)</f>
        <v>0</v>
      </c>
      <c r="E1320" s="1">
        <f t="shared" si="393"/>
        <v>0</v>
      </c>
      <c r="F1320" s="1">
        <f t="shared" si="393"/>
        <v>0</v>
      </c>
      <c r="G1320" s="1" t="str">
        <f>IF(H1320=0,"-",_xlfn.CONCAT(K1320,N1320,O1320,J1320))</f>
        <v>25060404</v>
      </c>
      <c r="H1320" s="2">
        <v>45812</v>
      </c>
      <c r="I1320" s="113">
        <v>4</v>
      </c>
      <c r="J1320" s="1" t="str">
        <f t="shared" si="385"/>
        <v>04</v>
      </c>
      <c r="K1320" s="3">
        <f t="shared" si="386"/>
        <v>25</v>
      </c>
      <c r="L1320" s="3">
        <f t="shared" si="387"/>
        <v>6</v>
      </c>
      <c r="M1320" s="3">
        <f t="shared" si="388"/>
        <v>4</v>
      </c>
      <c r="N1320" s="3" t="str">
        <f t="shared" si="389"/>
        <v>06</v>
      </c>
      <c r="O1320" s="14" t="str">
        <f t="shared" si="390"/>
        <v>04</v>
      </c>
      <c r="P1320" s="4">
        <v>136680</v>
      </c>
      <c r="T1320" s="5" t="s">
        <v>1320</v>
      </c>
      <c r="U1320" s="3" t="s">
        <v>1310</v>
      </c>
      <c r="V1320" s="3" t="s">
        <v>1316</v>
      </c>
      <c r="W1320" s="3" t="s">
        <v>1309</v>
      </c>
      <c r="X1320" s="1" t="s">
        <v>1305</v>
      </c>
    </row>
    <row r="1321" spans="1:24" hidden="1">
      <c r="A1321" s="143">
        <v>1298</v>
      </c>
      <c r="B1321" s="1">
        <f>IF(G1321="-",0,IF(G1320=G1321,1,0))</f>
        <v>0</v>
      </c>
      <c r="C1321" s="1">
        <f>+IF(G1321="-",0,IF(I1321=I1320+1,0,(IF(I1321=1,0,1))))</f>
        <v>0</v>
      </c>
      <c r="D1321" s="1">
        <f>+IF(AND(P1321="",Q1321=""),1,0)</f>
        <v>0</v>
      </c>
      <c r="E1321" s="1">
        <f t="shared" si="393"/>
        <v>0</v>
      </c>
      <c r="F1321" s="1">
        <f t="shared" si="393"/>
        <v>0</v>
      </c>
      <c r="G1321" s="1" t="str">
        <f>IF(H1321=0,"-",_xlfn.CONCAT(K1321,N1321,O1321,J1321))</f>
        <v>25060501</v>
      </c>
      <c r="H1321" s="2">
        <v>45813</v>
      </c>
      <c r="I1321" s="113">
        <v>1</v>
      </c>
      <c r="J1321" s="1" t="str">
        <f t="shared" si="385"/>
        <v>01</v>
      </c>
      <c r="K1321" s="3">
        <f t="shared" si="386"/>
        <v>25</v>
      </c>
      <c r="L1321" s="3">
        <f t="shared" si="387"/>
        <v>6</v>
      </c>
      <c r="M1321" s="3">
        <f t="shared" si="388"/>
        <v>5</v>
      </c>
      <c r="N1321" s="3" t="str">
        <f t="shared" si="389"/>
        <v>06</v>
      </c>
      <c r="O1321" s="14" t="str">
        <f t="shared" si="390"/>
        <v>05</v>
      </c>
      <c r="P1321" s="4">
        <v>11250.18</v>
      </c>
      <c r="T1321" s="5" t="s">
        <v>1314</v>
      </c>
      <c r="U1321" s="3" t="s">
        <v>30</v>
      </c>
      <c r="V1321" s="3" t="s">
        <v>1312</v>
      </c>
      <c r="W1321" s="3" t="s">
        <v>1307</v>
      </c>
      <c r="X1321" s="1" t="s">
        <v>1305</v>
      </c>
    </row>
    <row r="1322" spans="1:24" hidden="1">
      <c r="A1322" s="143"/>
      <c r="J1322" s="1" t="str">
        <f t="shared" si="385"/>
        <v>0</v>
      </c>
      <c r="K1322" s="3">
        <f t="shared" si="386"/>
        <v>-100</v>
      </c>
      <c r="L1322" s="3">
        <f t="shared" si="387"/>
        <v>1</v>
      </c>
      <c r="M1322" s="3">
        <f t="shared" si="388"/>
        <v>0</v>
      </c>
      <c r="N1322" s="3" t="str">
        <f t="shared" si="389"/>
        <v>01</v>
      </c>
      <c r="O1322" s="14" t="str">
        <f t="shared" si="390"/>
        <v>00</v>
      </c>
    </row>
    <row r="1323" spans="1:24" hidden="1">
      <c r="A1323" s="143">
        <v>1305</v>
      </c>
      <c r="B1323" s="1">
        <f>IF(G1323="-",0,IF(G1322=G1323,1,0))</f>
        <v>0</v>
      </c>
      <c r="C1323" s="1">
        <f>+IF(G1323="-",0,IF(I1323=I1322+1,0,(IF(I1323=1,0,1))))</f>
        <v>1</v>
      </c>
      <c r="D1323" s="1">
        <f>+IF(AND(P1323="",Q1323=""),1,0)</f>
        <v>0</v>
      </c>
      <c r="E1323" s="1">
        <f t="shared" ref="E1323:F1326" si="394">IF(U1323="",1,0)</f>
        <v>0</v>
      </c>
      <c r="F1323" s="1">
        <f t="shared" si="394"/>
        <v>0</v>
      </c>
      <c r="G1323" s="1" t="str">
        <f>IF(H1323=0,"-",_xlfn.CONCAT(K1323,N1323,O1323,J1323))</f>
        <v>25060503</v>
      </c>
      <c r="H1323" s="2">
        <v>45813</v>
      </c>
      <c r="I1323" s="113">
        <v>3</v>
      </c>
      <c r="J1323" s="1" t="str">
        <f t="shared" si="385"/>
        <v>03</v>
      </c>
      <c r="K1323" s="3">
        <f t="shared" si="386"/>
        <v>25</v>
      </c>
      <c r="L1323" s="3">
        <f t="shared" si="387"/>
        <v>6</v>
      </c>
      <c r="M1323" s="3">
        <f t="shared" si="388"/>
        <v>5</v>
      </c>
      <c r="N1323" s="3" t="str">
        <f t="shared" si="389"/>
        <v>06</v>
      </c>
      <c r="O1323" s="14" t="str">
        <f t="shared" si="390"/>
        <v>05</v>
      </c>
      <c r="P1323" s="4">
        <v>10000</v>
      </c>
      <c r="T1323" s="5" t="s">
        <v>1308</v>
      </c>
      <c r="U1323" s="3" t="s">
        <v>29</v>
      </c>
      <c r="V1323" s="3" t="s">
        <v>5</v>
      </c>
      <c r="W1323" s="3" t="s">
        <v>1307</v>
      </c>
      <c r="X1323" s="1" t="s">
        <v>1305</v>
      </c>
    </row>
    <row r="1324" spans="1:24">
      <c r="A1324" s="143">
        <v>1301</v>
      </c>
      <c r="B1324" s="1">
        <f>IF(G1324="-",0,IF(G1323=G1324,1,0))</f>
        <v>0</v>
      </c>
      <c r="C1324" s="1">
        <f>+IF(G1324="-",0,IF(I1324=I1323+1,0,(IF(I1324=1,0,1))))</f>
        <v>0</v>
      </c>
      <c r="D1324" s="1">
        <f>+IF(AND(P1324="",Q1324=""),1,0)</f>
        <v>0</v>
      </c>
      <c r="E1324" s="1">
        <f t="shared" si="394"/>
        <v>1</v>
      </c>
      <c r="F1324" s="1">
        <f t="shared" si="394"/>
        <v>0</v>
      </c>
      <c r="G1324" s="1" t="str">
        <f>IF(H1324=0,"-",_xlfn.CONCAT(K1324,N1324,O1324,J1324))</f>
        <v>25060601</v>
      </c>
      <c r="H1324" s="2">
        <v>45814</v>
      </c>
      <c r="I1324" s="113">
        <v>1</v>
      </c>
      <c r="J1324" s="1" t="str">
        <f t="shared" si="385"/>
        <v>01</v>
      </c>
      <c r="K1324" s="3">
        <f t="shared" si="386"/>
        <v>25</v>
      </c>
      <c r="L1324" s="3">
        <f t="shared" si="387"/>
        <v>6</v>
      </c>
      <c r="M1324" s="3">
        <f t="shared" si="388"/>
        <v>6</v>
      </c>
      <c r="N1324" s="3" t="str">
        <f t="shared" si="389"/>
        <v>06</v>
      </c>
      <c r="O1324" s="14" t="str">
        <f t="shared" si="390"/>
        <v>06</v>
      </c>
      <c r="P1324" s="4">
        <v>1565823.17</v>
      </c>
      <c r="T1324" s="5" t="s">
        <v>1319</v>
      </c>
      <c r="V1324" s="3" t="s">
        <v>5</v>
      </c>
      <c r="W1324" s="3" t="s">
        <v>1306</v>
      </c>
      <c r="X1324" s="1" t="s">
        <v>1305</v>
      </c>
    </row>
    <row r="1325" spans="1:24">
      <c r="A1325" s="143">
        <v>1302</v>
      </c>
      <c r="B1325" s="1">
        <f>IF(G1325="-",0,IF(G1324=G1325,1,0))</f>
        <v>0</v>
      </c>
      <c r="C1325" s="1">
        <f>+IF(G1325="-",0,IF(I1325=I1324+1,0,(IF(I1325=1,0,1))))</f>
        <v>0</v>
      </c>
      <c r="D1325" s="1">
        <f>+IF(AND(P1325="",Q1325=""),1,0)</f>
        <v>0</v>
      </c>
      <c r="E1325" s="1">
        <f t="shared" si="394"/>
        <v>1</v>
      </c>
      <c r="F1325" s="1">
        <f t="shared" si="394"/>
        <v>0</v>
      </c>
      <c r="G1325" s="1" t="str">
        <f>IF(H1325=0,"-",_xlfn.CONCAT(K1325,N1325,O1325,J1325))</f>
        <v>25060602</v>
      </c>
      <c r="H1325" s="2">
        <v>45814</v>
      </c>
      <c r="I1325" s="113">
        <v>2</v>
      </c>
      <c r="J1325" s="1" t="str">
        <f t="shared" si="385"/>
        <v>02</v>
      </c>
      <c r="K1325" s="3">
        <f t="shared" si="386"/>
        <v>25</v>
      </c>
      <c r="L1325" s="3">
        <f t="shared" si="387"/>
        <v>6</v>
      </c>
      <c r="M1325" s="3">
        <f t="shared" si="388"/>
        <v>6</v>
      </c>
      <c r="N1325" s="3" t="str">
        <f t="shared" si="389"/>
        <v>06</v>
      </c>
      <c r="O1325" s="14" t="str">
        <f t="shared" si="390"/>
        <v>06</v>
      </c>
      <c r="P1325" s="4">
        <v>28406.41</v>
      </c>
      <c r="T1325" s="5" t="s">
        <v>1318</v>
      </c>
      <c r="V1325" s="3" t="s">
        <v>5</v>
      </c>
      <c r="W1325" s="3" t="s">
        <v>1306</v>
      </c>
      <c r="X1325" s="1" t="s">
        <v>1305</v>
      </c>
    </row>
    <row r="1326" spans="1:24" hidden="1">
      <c r="A1326" s="143">
        <v>1303</v>
      </c>
      <c r="B1326" s="1">
        <f>IF(G1326="-",0,IF(G1325=G1326,1,0))</f>
        <v>0</v>
      </c>
      <c r="C1326" s="1">
        <f>+IF(G1326="-",0,IF(I1326=I1325+1,0,(IF(I1326=1,0,1))))</f>
        <v>0</v>
      </c>
      <c r="D1326" s="1">
        <f>+IF(AND(P1326="",Q1326=""),1,0)</f>
        <v>0</v>
      </c>
      <c r="E1326" s="1">
        <f t="shared" si="394"/>
        <v>0</v>
      </c>
      <c r="F1326" s="1">
        <f t="shared" si="394"/>
        <v>0</v>
      </c>
      <c r="G1326" s="1" t="str">
        <f>IF(H1326=0,"-",_xlfn.CONCAT(K1326,N1326,O1326,J1326))</f>
        <v>25060603</v>
      </c>
      <c r="H1326" s="2">
        <v>45814</v>
      </c>
      <c r="I1326" s="113">
        <v>3</v>
      </c>
      <c r="J1326" s="1" t="str">
        <f t="shared" si="385"/>
        <v>03</v>
      </c>
      <c r="K1326" s="3">
        <f t="shared" si="386"/>
        <v>25</v>
      </c>
      <c r="L1326" s="3">
        <f t="shared" si="387"/>
        <v>6</v>
      </c>
      <c r="M1326" s="3">
        <f t="shared" si="388"/>
        <v>6</v>
      </c>
      <c r="N1326" s="3" t="str">
        <f t="shared" si="389"/>
        <v>06</v>
      </c>
      <c r="O1326" s="14" t="str">
        <f t="shared" si="390"/>
        <v>06</v>
      </c>
      <c r="P1326" s="4">
        <v>24738.17</v>
      </c>
      <c r="T1326" s="5" t="s">
        <v>1317</v>
      </c>
      <c r="U1326" s="3" t="s">
        <v>29</v>
      </c>
      <c r="V1326" s="3" t="s">
        <v>5</v>
      </c>
      <c r="W1326" s="3" t="s">
        <v>1307</v>
      </c>
      <c r="X1326" s="1" t="s">
        <v>1305</v>
      </c>
    </row>
    <row r="1327" spans="1:24" hidden="1">
      <c r="A1327" s="143"/>
      <c r="J1327" s="1" t="str">
        <f t="shared" si="385"/>
        <v>0</v>
      </c>
      <c r="K1327" s="3">
        <f t="shared" si="386"/>
        <v>-100</v>
      </c>
      <c r="L1327" s="3">
        <f t="shared" si="387"/>
        <v>1</v>
      </c>
      <c r="M1327" s="3">
        <f t="shared" si="388"/>
        <v>0</v>
      </c>
      <c r="N1327" s="3" t="str">
        <f t="shared" si="389"/>
        <v>01</v>
      </c>
      <c r="O1327" s="14" t="str">
        <f t="shared" si="390"/>
        <v>00</v>
      </c>
    </row>
    <row r="1328" spans="1:24" hidden="1">
      <c r="A1328" s="143"/>
      <c r="J1328" s="1" t="str">
        <f t="shared" si="385"/>
        <v>0</v>
      </c>
      <c r="K1328" s="3">
        <f t="shared" si="386"/>
        <v>-100</v>
      </c>
      <c r="L1328" s="3">
        <f t="shared" si="387"/>
        <v>1</v>
      </c>
      <c r="M1328" s="3">
        <f t="shared" si="388"/>
        <v>0</v>
      </c>
      <c r="N1328" s="3" t="str">
        <f t="shared" si="389"/>
        <v>01</v>
      </c>
      <c r="O1328" s="14" t="str">
        <f t="shared" si="390"/>
        <v>00</v>
      </c>
    </row>
    <row r="1329" spans="1:24" hidden="1">
      <c r="A1329" s="143"/>
      <c r="J1329" s="1" t="str">
        <f t="shared" si="385"/>
        <v>0</v>
      </c>
      <c r="K1329" s="3">
        <f t="shared" si="386"/>
        <v>-100</v>
      </c>
      <c r="L1329" s="3">
        <f t="shared" si="387"/>
        <v>1</v>
      </c>
      <c r="M1329" s="3">
        <f t="shared" si="388"/>
        <v>0</v>
      </c>
      <c r="N1329" s="3" t="str">
        <f t="shared" si="389"/>
        <v>01</v>
      </c>
      <c r="O1329" s="14" t="str">
        <f t="shared" si="390"/>
        <v>00</v>
      </c>
    </row>
    <row r="1330" spans="1:24" hidden="1">
      <c r="A1330" s="143">
        <v>1308</v>
      </c>
      <c r="B1330" s="1">
        <f>IF(G1330="-",0,IF(G1329=G1330,1,0))</f>
        <v>0</v>
      </c>
      <c r="C1330" s="1">
        <f>+IF(G1330="-",0,IF(I1330=I1329+1,0,(IF(I1330=1,0,1))))</f>
        <v>0</v>
      </c>
      <c r="D1330" s="1">
        <f>+IF(AND(P1330="",Q1330=""),1,0)</f>
        <v>0</v>
      </c>
      <c r="E1330" s="1">
        <f>IF(U1330="",1,0)</f>
        <v>0</v>
      </c>
      <c r="F1330" s="1">
        <f>IF(V1330="",1,0)</f>
        <v>0</v>
      </c>
      <c r="G1330" s="1" t="str">
        <f>IF(H1330=0,"-",_xlfn.CONCAT(K1330,N1330,O1330,J1330))</f>
        <v>25060701</v>
      </c>
      <c r="H1330" s="2">
        <v>45815</v>
      </c>
      <c r="I1330" s="113">
        <v>1</v>
      </c>
      <c r="J1330" s="1" t="str">
        <f t="shared" si="385"/>
        <v>01</v>
      </c>
      <c r="K1330" s="3">
        <f t="shared" si="386"/>
        <v>25</v>
      </c>
      <c r="L1330" s="3">
        <f t="shared" si="387"/>
        <v>6</v>
      </c>
      <c r="M1330" s="3">
        <f t="shared" si="388"/>
        <v>7</v>
      </c>
      <c r="N1330" s="3" t="str">
        <f t="shared" si="389"/>
        <v>06</v>
      </c>
      <c r="O1330" s="14" t="str">
        <f t="shared" si="390"/>
        <v>07</v>
      </c>
      <c r="P1330" s="4">
        <v>6110</v>
      </c>
      <c r="T1330" s="5" t="s">
        <v>1315</v>
      </c>
      <c r="U1330" s="3" t="s">
        <v>29</v>
      </c>
      <c r="V1330" s="3" t="s">
        <v>5</v>
      </c>
      <c r="W1330" s="3" t="s">
        <v>1307</v>
      </c>
      <c r="X1330" s="1" t="s">
        <v>1305</v>
      </c>
    </row>
    <row r="1331" spans="1:24" hidden="1">
      <c r="A1331" s="143"/>
      <c r="J1331" s="1" t="str">
        <f t="shared" si="385"/>
        <v>0</v>
      </c>
      <c r="K1331" s="3">
        <f t="shared" si="386"/>
        <v>-100</v>
      </c>
      <c r="L1331" s="3">
        <f t="shared" si="387"/>
        <v>1</v>
      </c>
      <c r="M1331" s="3">
        <f t="shared" si="388"/>
        <v>0</v>
      </c>
      <c r="N1331" s="3" t="str">
        <f t="shared" si="389"/>
        <v>01</v>
      </c>
      <c r="O1331" s="14" t="str">
        <f t="shared" si="390"/>
        <v>00</v>
      </c>
    </row>
    <row r="1332" spans="1:24" hidden="1">
      <c r="A1332" s="143">
        <v>1310</v>
      </c>
      <c r="B1332" s="1">
        <f>IF(G1332="-",0,IF(G1331=G1332,1,0))</f>
        <v>0</v>
      </c>
      <c r="C1332" s="1">
        <f>+IF(G1332="-",0,IF(I1332=I1331+1,0,(IF(I1332=1,0,1))))</f>
        <v>1</v>
      </c>
      <c r="D1332" s="1">
        <f>+IF(AND(P1332="",Q1332=""),1,0)</f>
        <v>0</v>
      </c>
      <c r="E1332" s="1">
        <f>IF(U1332="",1,0)</f>
        <v>0</v>
      </c>
      <c r="F1332" s="1">
        <f>IF(V1332="",1,0)</f>
        <v>0</v>
      </c>
      <c r="G1332" s="1" t="str">
        <f>IF(H1332=0,"-",_xlfn.CONCAT(K1332,N1332,O1332,J1332))</f>
        <v>25060703</v>
      </c>
      <c r="H1332" s="2">
        <v>45815</v>
      </c>
      <c r="I1332" s="113">
        <v>3</v>
      </c>
      <c r="J1332" s="1" t="str">
        <f t="shared" si="385"/>
        <v>03</v>
      </c>
      <c r="K1332" s="3">
        <f t="shared" si="386"/>
        <v>25</v>
      </c>
      <c r="L1332" s="3">
        <f t="shared" si="387"/>
        <v>6</v>
      </c>
      <c r="M1332" s="3">
        <f t="shared" si="388"/>
        <v>7</v>
      </c>
      <c r="N1332" s="3" t="str">
        <f t="shared" si="389"/>
        <v>06</v>
      </c>
      <c r="O1332" s="14" t="str">
        <f t="shared" si="390"/>
        <v>07</v>
      </c>
      <c r="P1332" s="4">
        <v>9244.3799999999992</v>
      </c>
      <c r="T1332" s="5" t="s">
        <v>352</v>
      </c>
      <c r="U1332" s="3" t="s">
        <v>30</v>
      </c>
      <c r="V1332" s="3" t="s">
        <v>1312</v>
      </c>
      <c r="W1332" s="3" t="s">
        <v>1307</v>
      </c>
      <c r="X1332" s="1" t="s">
        <v>1305</v>
      </c>
    </row>
    <row r="1333" spans="1:24" hidden="1">
      <c r="A1333" s="143"/>
      <c r="J1333" s="1" t="str">
        <f t="shared" si="385"/>
        <v>0</v>
      </c>
      <c r="K1333" s="3">
        <f t="shared" si="386"/>
        <v>-100</v>
      </c>
      <c r="L1333" s="3">
        <f t="shared" si="387"/>
        <v>1</v>
      </c>
      <c r="M1333" s="3">
        <f t="shared" si="388"/>
        <v>0</v>
      </c>
      <c r="N1333" s="3" t="str">
        <f t="shared" si="389"/>
        <v>01</v>
      </c>
      <c r="O1333" s="14" t="str">
        <f t="shared" si="390"/>
        <v>00</v>
      </c>
    </row>
    <row r="1334" spans="1:24" hidden="1">
      <c r="A1334" s="143">
        <v>1312</v>
      </c>
      <c r="B1334" s="1">
        <f>IF(G1334="-",0,IF(G1333=G1334,1,0))</f>
        <v>0</v>
      </c>
      <c r="C1334" s="1">
        <f>+IF(G1334="-",0,IF(I1334=I1333+1,0,(IF(I1334=1,0,1))))</f>
        <v>1</v>
      </c>
      <c r="D1334" s="1">
        <f>+IF(AND(P1334="",Q1334=""),1,0)</f>
        <v>0</v>
      </c>
      <c r="E1334" s="1">
        <f>IF(U1334="",1,0)</f>
        <v>0</v>
      </c>
      <c r="F1334" s="1">
        <f>IF(V1334="",1,0)</f>
        <v>0</v>
      </c>
      <c r="G1334" s="1" t="str">
        <f>IF(H1334=0,"-",_xlfn.CONCAT(K1334,N1334,O1334,J1334))</f>
        <v>25060705</v>
      </c>
      <c r="H1334" s="2">
        <v>45815</v>
      </c>
      <c r="I1334" s="113">
        <v>5</v>
      </c>
      <c r="J1334" s="1" t="str">
        <f t="shared" si="385"/>
        <v>05</v>
      </c>
      <c r="K1334" s="3">
        <f t="shared" si="386"/>
        <v>25</v>
      </c>
      <c r="L1334" s="3">
        <f t="shared" si="387"/>
        <v>6</v>
      </c>
      <c r="M1334" s="3">
        <f t="shared" si="388"/>
        <v>7</v>
      </c>
      <c r="N1334" s="3" t="str">
        <f t="shared" si="389"/>
        <v>06</v>
      </c>
      <c r="O1334" s="14" t="str">
        <f t="shared" si="390"/>
        <v>07</v>
      </c>
      <c r="P1334" s="4">
        <v>10780</v>
      </c>
      <c r="T1334" s="5" t="s">
        <v>1311</v>
      </c>
      <c r="U1334" s="3" t="s">
        <v>1310</v>
      </c>
      <c r="V1334" s="3" t="s">
        <v>1304</v>
      </c>
      <c r="W1334" s="3" t="s">
        <v>1309</v>
      </c>
      <c r="X1334" s="1" t="s">
        <v>1305</v>
      </c>
    </row>
    <row r="1335" spans="1:24" hidden="1">
      <c r="A1335" s="143">
        <v>1313</v>
      </c>
      <c r="B1335" s="1">
        <f>IF(G1335="-",0,IF(G1334=G1335,1,0))</f>
        <v>0</v>
      </c>
      <c r="C1335" s="1">
        <f>+IF(G1335="-",0,IF(I1335=I1334+1,0,(IF(I1335=1,0,1))))</f>
        <v>0</v>
      </c>
      <c r="D1335" s="1">
        <f>+IF(AND(P1335="",Q1335=""),1,0)</f>
        <v>0</v>
      </c>
      <c r="E1335" s="1">
        <f>IF(U1335="",1,0)</f>
        <v>0</v>
      </c>
      <c r="F1335" s="1">
        <f>IF(V1335="",1,0)</f>
        <v>0</v>
      </c>
      <c r="G1335" s="1" t="str">
        <f>IF(H1335=0,"-",_xlfn.CONCAT(K1335,N1335,O1335,J1335))</f>
        <v>25060901</v>
      </c>
      <c r="H1335" s="2">
        <v>45817</v>
      </c>
      <c r="I1335" s="113">
        <v>1</v>
      </c>
      <c r="J1335" s="1" t="str">
        <f t="shared" si="385"/>
        <v>01</v>
      </c>
      <c r="K1335" s="3">
        <f t="shared" si="386"/>
        <v>25</v>
      </c>
      <c r="L1335" s="3">
        <f t="shared" si="387"/>
        <v>6</v>
      </c>
      <c r="M1335" s="3">
        <f t="shared" si="388"/>
        <v>9</v>
      </c>
      <c r="N1335" s="3" t="str">
        <f t="shared" si="389"/>
        <v>06</v>
      </c>
      <c r="O1335" s="14" t="str">
        <f t="shared" si="390"/>
        <v>09</v>
      </c>
      <c r="P1335" s="4">
        <v>10000</v>
      </c>
      <c r="T1335" s="5" t="s">
        <v>1308</v>
      </c>
      <c r="U1335" s="3" t="s">
        <v>29</v>
      </c>
      <c r="V1335" s="3" t="s">
        <v>5</v>
      </c>
      <c r="W1335" s="3" t="s">
        <v>1307</v>
      </c>
      <c r="X1335" s="1" t="s">
        <v>1305</v>
      </c>
    </row>
    <row r="1336" spans="1:24" hidden="1">
      <c r="A1336" s="143"/>
      <c r="J1336" s="1" t="str">
        <f t="shared" si="385"/>
        <v>0</v>
      </c>
      <c r="K1336" s="3">
        <f t="shared" si="386"/>
        <v>-100</v>
      </c>
      <c r="L1336" s="3">
        <f t="shared" si="387"/>
        <v>1</v>
      </c>
      <c r="M1336" s="3">
        <f t="shared" si="388"/>
        <v>0</v>
      </c>
      <c r="N1336" s="3" t="str">
        <f t="shared" si="389"/>
        <v>01</v>
      </c>
      <c r="O1336" s="14" t="str">
        <f t="shared" si="390"/>
        <v>00</v>
      </c>
    </row>
    <row r="1337" spans="1:24" hidden="1">
      <c r="A1337" s="143"/>
      <c r="J1337" s="1" t="str">
        <f t="shared" si="385"/>
        <v>0</v>
      </c>
      <c r="K1337" s="3">
        <f t="shared" si="386"/>
        <v>-100</v>
      </c>
      <c r="L1337" s="3">
        <f t="shared" si="387"/>
        <v>1</v>
      </c>
      <c r="M1337" s="3">
        <f t="shared" si="388"/>
        <v>0</v>
      </c>
      <c r="N1337" s="3" t="str">
        <f t="shared" si="389"/>
        <v>01</v>
      </c>
      <c r="O1337" s="14" t="str">
        <f t="shared" si="390"/>
        <v>00</v>
      </c>
    </row>
    <row r="1338" spans="1:24" hidden="1">
      <c r="A1338" s="143"/>
      <c r="J1338" s="1" t="str">
        <f t="shared" si="385"/>
        <v>0</v>
      </c>
      <c r="K1338" s="3">
        <f t="shared" si="386"/>
        <v>-100</v>
      </c>
      <c r="L1338" s="3">
        <f t="shared" si="387"/>
        <v>1</v>
      </c>
      <c r="M1338" s="3">
        <f t="shared" si="388"/>
        <v>0</v>
      </c>
      <c r="N1338" s="3" t="str">
        <f t="shared" si="389"/>
        <v>01</v>
      </c>
      <c r="O1338" s="14" t="str">
        <f t="shared" si="390"/>
        <v>00</v>
      </c>
    </row>
    <row r="1339" spans="1:24" hidden="1">
      <c r="A1339" s="143">
        <v>1316</v>
      </c>
      <c r="B1339" s="1">
        <f t="shared" ref="B1339:B1370" si="395">IF(G1339="-",0,IF(G1338=G1339,1,0))</f>
        <v>0</v>
      </c>
      <c r="C1339" s="1">
        <f t="shared" ref="C1339:C1370" si="396">+IF(G1339="-",0,IF(I1339=I1338+1,0,(IF(I1339=1,0,1))))</f>
        <v>0</v>
      </c>
      <c r="D1339" s="1">
        <f t="shared" ref="D1339:D1370" si="397">+IF(AND(P1339="",Q1339=""),1,0)</f>
        <v>1</v>
      </c>
      <c r="E1339" s="1">
        <f t="shared" ref="E1339:E1370" si="398">IF(U1339="",1,0)</f>
        <v>1</v>
      </c>
      <c r="F1339" s="1">
        <f t="shared" ref="F1339:F1370" si="399">IF(V1339="",1,0)</f>
        <v>1</v>
      </c>
      <c r="G1339" s="1" t="str">
        <f t="shared" ref="G1339:G1370" si="400">IF(H1339=0,"-",_xlfn.CONCAT(K1339,N1339,O1339,J1339))</f>
        <v>-</v>
      </c>
      <c r="J1339" s="1" t="str">
        <f t="shared" si="385"/>
        <v>0</v>
      </c>
      <c r="K1339" s="3">
        <f t="shared" si="386"/>
        <v>-100</v>
      </c>
      <c r="L1339" s="3">
        <f t="shared" si="387"/>
        <v>1</v>
      </c>
      <c r="M1339" s="3">
        <f t="shared" si="388"/>
        <v>0</v>
      </c>
      <c r="N1339" s="3" t="str">
        <f t="shared" si="389"/>
        <v>01</v>
      </c>
      <c r="O1339" s="14" t="str">
        <f t="shared" si="390"/>
        <v>00</v>
      </c>
    </row>
    <row r="1340" spans="1:24" hidden="1">
      <c r="A1340" s="143">
        <v>1317</v>
      </c>
      <c r="B1340" s="1">
        <f t="shared" si="395"/>
        <v>0</v>
      </c>
      <c r="C1340" s="1">
        <f t="shared" si="396"/>
        <v>0</v>
      </c>
      <c r="D1340" s="1">
        <f t="shared" si="397"/>
        <v>1</v>
      </c>
      <c r="E1340" s="1">
        <f t="shared" si="398"/>
        <v>1</v>
      </c>
      <c r="F1340" s="1">
        <f t="shared" si="399"/>
        <v>1</v>
      </c>
      <c r="G1340" s="1" t="str">
        <f t="shared" si="400"/>
        <v>-</v>
      </c>
      <c r="J1340" s="1" t="str">
        <f t="shared" si="385"/>
        <v>0</v>
      </c>
      <c r="K1340" s="3">
        <f t="shared" si="386"/>
        <v>-100</v>
      </c>
      <c r="L1340" s="3">
        <f t="shared" si="387"/>
        <v>1</v>
      </c>
      <c r="M1340" s="3">
        <f t="shared" si="388"/>
        <v>0</v>
      </c>
      <c r="N1340" s="3" t="str">
        <f t="shared" si="389"/>
        <v>01</v>
      </c>
      <c r="O1340" s="14" t="str">
        <f t="shared" si="390"/>
        <v>00</v>
      </c>
    </row>
    <row r="1341" spans="1:24" hidden="1">
      <c r="A1341" s="143">
        <v>1318</v>
      </c>
      <c r="B1341" s="1">
        <f t="shared" si="395"/>
        <v>0</v>
      </c>
      <c r="C1341" s="1">
        <f t="shared" si="396"/>
        <v>0</v>
      </c>
      <c r="D1341" s="1">
        <f t="shared" si="397"/>
        <v>1</v>
      </c>
      <c r="E1341" s="1">
        <f t="shared" si="398"/>
        <v>1</v>
      </c>
      <c r="F1341" s="1">
        <f t="shared" si="399"/>
        <v>1</v>
      </c>
      <c r="G1341" s="1" t="str">
        <f t="shared" si="400"/>
        <v>-</v>
      </c>
      <c r="J1341" s="1" t="str">
        <f t="shared" si="385"/>
        <v>0</v>
      </c>
      <c r="K1341" s="3">
        <f t="shared" si="386"/>
        <v>-100</v>
      </c>
      <c r="L1341" s="3">
        <f t="shared" si="387"/>
        <v>1</v>
      </c>
      <c r="M1341" s="3">
        <f t="shared" si="388"/>
        <v>0</v>
      </c>
      <c r="N1341" s="3" t="str">
        <f t="shared" si="389"/>
        <v>01</v>
      </c>
      <c r="O1341" s="14" t="str">
        <f t="shared" si="390"/>
        <v>00</v>
      </c>
    </row>
    <row r="1342" spans="1:24" hidden="1">
      <c r="A1342" s="143">
        <v>1319</v>
      </c>
      <c r="B1342" s="1">
        <f t="shared" si="395"/>
        <v>0</v>
      </c>
      <c r="C1342" s="1">
        <f t="shared" si="396"/>
        <v>0</v>
      </c>
      <c r="D1342" s="1">
        <f t="shared" si="397"/>
        <v>1</v>
      </c>
      <c r="E1342" s="1">
        <f t="shared" si="398"/>
        <v>1</v>
      </c>
      <c r="F1342" s="1">
        <f t="shared" si="399"/>
        <v>1</v>
      </c>
      <c r="G1342" s="1" t="str">
        <f t="shared" si="400"/>
        <v>-</v>
      </c>
      <c r="J1342" s="1" t="str">
        <f t="shared" si="385"/>
        <v>0</v>
      </c>
      <c r="K1342" s="3">
        <f t="shared" si="386"/>
        <v>-100</v>
      </c>
      <c r="L1342" s="3">
        <f t="shared" si="387"/>
        <v>1</v>
      </c>
      <c r="M1342" s="3">
        <f t="shared" si="388"/>
        <v>0</v>
      </c>
      <c r="N1342" s="3" t="str">
        <f t="shared" si="389"/>
        <v>01</v>
      </c>
      <c r="O1342" s="14" t="str">
        <f t="shared" si="390"/>
        <v>00</v>
      </c>
    </row>
    <row r="1343" spans="1:24" hidden="1">
      <c r="A1343" s="143">
        <v>1320</v>
      </c>
      <c r="B1343" s="1">
        <f t="shared" si="395"/>
        <v>0</v>
      </c>
      <c r="C1343" s="1">
        <f t="shared" si="396"/>
        <v>0</v>
      </c>
      <c r="D1343" s="1">
        <f t="shared" si="397"/>
        <v>1</v>
      </c>
      <c r="E1343" s="1">
        <f t="shared" si="398"/>
        <v>1</v>
      </c>
      <c r="F1343" s="1">
        <f t="shared" si="399"/>
        <v>1</v>
      </c>
      <c r="G1343" s="1" t="str">
        <f t="shared" si="400"/>
        <v>-</v>
      </c>
      <c r="J1343" s="1" t="str">
        <f t="shared" si="385"/>
        <v>0</v>
      </c>
      <c r="K1343" s="3">
        <f t="shared" si="386"/>
        <v>-100</v>
      </c>
      <c r="L1343" s="3">
        <f t="shared" si="387"/>
        <v>1</v>
      </c>
      <c r="M1343" s="3">
        <f t="shared" si="388"/>
        <v>0</v>
      </c>
      <c r="N1343" s="3" t="str">
        <f t="shared" si="389"/>
        <v>01</v>
      </c>
      <c r="O1343" s="14" t="str">
        <f t="shared" si="390"/>
        <v>00</v>
      </c>
    </row>
    <row r="1344" spans="1:24" hidden="1">
      <c r="A1344" s="143">
        <v>1321</v>
      </c>
      <c r="B1344" s="1">
        <f t="shared" si="395"/>
        <v>0</v>
      </c>
      <c r="C1344" s="1">
        <f t="shared" si="396"/>
        <v>0</v>
      </c>
      <c r="D1344" s="1">
        <f t="shared" si="397"/>
        <v>1</v>
      </c>
      <c r="E1344" s="1">
        <f t="shared" si="398"/>
        <v>1</v>
      </c>
      <c r="F1344" s="1">
        <f t="shared" si="399"/>
        <v>1</v>
      </c>
      <c r="G1344" s="1" t="str">
        <f t="shared" si="400"/>
        <v>-</v>
      </c>
      <c r="J1344" s="1" t="str">
        <f t="shared" si="385"/>
        <v>0</v>
      </c>
      <c r="K1344" s="3">
        <f t="shared" si="386"/>
        <v>-100</v>
      </c>
      <c r="L1344" s="3">
        <f t="shared" si="387"/>
        <v>1</v>
      </c>
      <c r="M1344" s="3">
        <f t="shared" si="388"/>
        <v>0</v>
      </c>
      <c r="N1344" s="3" t="str">
        <f t="shared" si="389"/>
        <v>01</v>
      </c>
      <c r="O1344" s="14" t="str">
        <f t="shared" si="390"/>
        <v>00</v>
      </c>
    </row>
    <row r="1345" spans="1:15" hidden="1">
      <c r="A1345" s="143">
        <v>1322</v>
      </c>
      <c r="B1345" s="1">
        <f t="shared" si="395"/>
        <v>0</v>
      </c>
      <c r="C1345" s="1">
        <f t="shared" si="396"/>
        <v>0</v>
      </c>
      <c r="D1345" s="1">
        <f t="shared" si="397"/>
        <v>1</v>
      </c>
      <c r="E1345" s="1">
        <f t="shared" si="398"/>
        <v>1</v>
      </c>
      <c r="F1345" s="1">
        <f t="shared" si="399"/>
        <v>1</v>
      </c>
      <c r="G1345" s="1" t="str">
        <f t="shared" si="400"/>
        <v>-</v>
      </c>
      <c r="J1345" s="1" t="str">
        <f t="shared" si="385"/>
        <v>0</v>
      </c>
      <c r="K1345" s="3">
        <f t="shared" si="386"/>
        <v>-100</v>
      </c>
      <c r="L1345" s="3">
        <f t="shared" si="387"/>
        <v>1</v>
      </c>
      <c r="M1345" s="3">
        <f t="shared" si="388"/>
        <v>0</v>
      </c>
      <c r="N1345" s="3" t="str">
        <f t="shared" si="389"/>
        <v>01</v>
      </c>
      <c r="O1345" s="14" t="str">
        <f t="shared" si="390"/>
        <v>00</v>
      </c>
    </row>
    <row r="1346" spans="1:15" hidden="1">
      <c r="A1346" s="143">
        <v>1323</v>
      </c>
      <c r="B1346" s="1">
        <f t="shared" si="395"/>
        <v>0</v>
      </c>
      <c r="C1346" s="1">
        <f t="shared" si="396"/>
        <v>0</v>
      </c>
      <c r="D1346" s="1">
        <f t="shared" si="397"/>
        <v>1</v>
      </c>
      <c r="E1346" s="1">
        <f t="shared" si="398"/>
        <v>1</v>
      </c>
      <c r="F1346" s="1">
        <f t="shared" si="399"/>
        <v>1</v>
      </c>
      <c r="G1346" s="1" t="str">
        <f t="shared" si="400"/>
        <v>-</v>
      </c>
      <c r="J1346" s="1" t="str">
        <f t="shared" si="385"/>
        <v>0</v>
      </c>
      <c r="K1346" s="3">
        <f t="shared" si="386"/>
        <v>-100</v>
      </c>
      <c r="L1346" s="3">
        <f t="shared" si="387"/>
        <v>1</v>
      </c>
      <c r="M1346" s="3">
        <f t="shared" si="388"/>
        <v>0</v>
      </c>
      <c r="N1346" s="3" t="str">
        <f t="shared" si="389"/>
        <v>01</v>
      </c>
      <c r="O1346" s="14" t="str">
        <f t="shared" si="390"/>
        <v>00</v>
      </c>
    </row>
    <row r="1347" spans="1:15" hidden="1">
      <c r="A1347" s="143">
        <v>1324</v>
      </c>
      <c r="B1347" s="1">
        <f t="shared" si="395"/>
        <v>0</v>
      </c>
      <c r="C1347" s="1">
        <f t="shared" si="396"/>
        <v>0</v>
      </c>
      <c r="D1347" s="1">
        <f t="shared" si="397"/>
        <v>1</v>
      </c>
      <c r="E1347" s="1">
        <f t="shared" si="398"/>
        <v>1</v>
      </c>
      <c r="F1347" s="1">
        <f t="shared" si="399"/>
        <v>1</v>
      </c>
      <c r="G1347" s="1" t="str">
        <f t="shared" si="400"/>
        <v>-</v>
      </c>
      <c r="J1347" s="1" t="str">
        <f t="shared" si="385"/>
        <v>0</v>
      </c>
      <c r="K1347" s="3">
        <f t="shared" si="386"/>
        <v>-100</v>
      </c>
      <c r="L1347" s="3">
        <f t="shared" si="387"/>
        <v>1</v>
      </c>
      <c r="M1347" s="3">
        <f t="shared" si="388"/>
        <v>0</v>
      </c>
      <c r="N1347" s="3" t="str">
        <f t="shared" si="389"/>
        <v>01</v>
      </c>
      <c r="O1347" s="14" t="str">
        <f t="shared" si="390"/>
        <v>00</v>
      </c>
    </row>
    <row r="1348" spans="1:15" hidden="1">
      <c r="A1348" s="143">
        <v>1325</v>
      </c>
      <c r="B1348" s="1">
        <f t="shared" si="395"/>
        <v>0</v>
      </c>
      <c r="C1348" s="1">
        <f t="shared" si="396"/>
        <v>0</v>
      </c>
      <c r="D1348" s="1">
        <f t="shared" si="397"/>
        <v>1</v>
      </c>
      <c r="E1348" s="1">
        <f t="shared" si="398"/>
        <v>1</v>
      </c>
      <c r="F1348" s="1">
        <f t="shared" si="399"/>
        <v>1</v>
      </c>
      <c r="G1348" s="1" t="str">
        <f t="shared" si="400"/>
        <v>-</v>
      </c>
      <c r="J1348" s="1" t="str">
        <f t="shared" si="385"/>
        <v>0</v>
      </c>
      <c r="K1348" s="3">
        <f t="shared" si="386"/>
        <v>-100</v>
      </c>
      <c r="L1348" s="3">
        <f t="shared" si="387"/>
        <v>1</v>
      </c>
      <c r="M1348" s="3">
        <f t="shared" si="388"/>
        <v>0</v>
      </c>
      <c r="N1348" s="3" t="str">
        <f t="shared" si="389"/>
        <v>01</v>
      </c>
      <c r="O1348" s="14" t="str">
        <f t="shared" si="390"/>
        <v>00</v>
      </c>
    </row>
    <row r="1349" spans="1:15" hidden="1">
      <c r="A1349" s="143">
        <v>1326</v>
      </c>
      <c r="B1349" s="1">
        <f t="shared" si="395"/>
        <v>0</v>
      </c>
      <c r="C1349" s="1">
        <f t="shared" si="396"/>
        <v>0</v>
      </c>
      <c r="D1349" s="1">
        <f t="shared" si="397"/>
        <v>1</v>
      </c>
      <c r="E1349" s="1">
        <f t="shared" si="398"/>
        <v>1</v>
      </c>
      <c r="F1349" s="1">
        <f t="shared" si="399"/>
        <v>1</v>
      </c>
      <c r="G1349" s="1" t="str">
        <f t="shared" si="400"/>
        <v>-</v>
      </c>
      <c r="J1349" s="1" t="str">
        <f t="shared" si="385"/>
        <v>0</v>
      </c>
      <c r="K1349" s="3">
        <f t="shared" si="386"/>
        <v>-100</v>
      </c>
      <c r="L1349" s="3">
        <f t="shared" si="387"/>
        <v>1</v>
      </c>
      <c r="M1349" s="3">
        <f t="shared" si="388"/>
        <v>0</v>
      </c>
      <c r="N1349" s="3" t="str">
        <f t="shared" si="389"/>
        <v>01</v>
      </c>
      <c r="O1349" s="14" t="str">
        <f t="shared" si="390"/>
        <v>00</v>
      </c>
    </row>
    <row r="1350" spans="1:15" hidden="1">
      <c r="A1350" s="143">
        <v>1327</v>
      </c>
      <c r="B1350" s="1">
        <f t="shared" si="395"/>
        <v>0</v>
      </c>
      <c r="C1350" s="1">
        <f t="shared" si="396"/>
        <v>0</v>
      </c>
      <c r="D1350" s="1">
        <f t="shared" si="397"/>
        <v>1</v>
      </c>
      <c r="E1350" s="1">
        <f t="shared" si="398"/>
        <v>1</v>
      </c>
      <c r="F1350" s="1">
        <f t="shared" si="399"/>
        <v>1</v>
      </c>
      <c r="G1350" s="1" t="str">
        <f t="shared" si="400"/>
        <v>-</v>
      </c>
      <c r="J1350" s="1" t="str">
        <f t="shared" si="385"/>
        <v>0</v>
      </c>
      <c r="K1350" s="3">
        <f t="shared" si="386"/>
        <v>-100</v>
      </c>
      <c r="L1350" s="3">
        <f t="shared" si="387"/>
        <v>1</v>
      </c>
      <c r="M1350" s="3">
        <f t="shared" si="388"/>
        <v>0</v>
      </c>
      <c r="N1350" s="3" t="str">
        <f t="shared" si="389"/>
        <v>01</v>
      </c>
      <c r="O1350" s="14" t="str">
        <f t="shared" si="390"/>
        <v>00</v>
      </c>
    </row>
    <row r="1351" spans="1:15" hidden="1">
      <c r="A1351" s="143">
        <v>1328</v>
      </c>
      <c r="B1351" s="1">
        <f t="shared" si="395"/>
        <v>0</v>
      </c>
      <c r="C1351" s="1">
        <f t="shared" si="396"/>
        <v>0</v>
      </c>
      <c r="D1351" s="1">
        <f t="shared" si="397"/>
        <v>1</v>
      </c>
      <c r="E1351" s="1">
        <f t="shared" si="398"/>
        <v>1</v>
      </c>
      <c r="F1351" s="1">
        <f t="shared" si="399"/>
        <v>1</v>
      </c>
      <c r="G1351" s="1" t="str">
        <f t="shared" si="400"/>
        <v>-</v>
      </c>
      <c r="J1351" s="1" t="str">
        <f t="shared" si="385"/>
        <v>0</v>
      </c>
      <c r="K1351" s="3">
        <f t="shared" si="386"/>
        <v>-100</v>
      </c>
      <c r="L1351" s="3">
        <f t="shared" si="387"/>
        <v>1</v>
      </c>
      <c r="M1351" s="3">
        <f t="shared" si="388"/>
        <v>0</v>
      </c>
      <c r="N1351" s="3" t="str">
        <f t="shared" si="389"/>
        <v>01</v>
      </c>
      <c r="O1351" s="14" t="str">
        <f t="shared" si="390"/>
        <v>00</v>
      </c>
    </row>
    <row r="1352" spans="1:15" hidden="1">
      <c r="A1352" s="143">
        <v>1329</v>
      </c>
      <c r="B1352" s="1">
        <f t="shared" si="395"/>
        <v>0</v>
      </c>
      <c r="C1352" s="1">
        <f t="shared" si="396"/>
        <v>0</v>
      </c>
      <c r="D1352" s="1">
        <f t="shared" si="397"/>
        <v>1</v>
      </c>
      <c r="E1352" s="1">
        <f t="shared" si="398"/>
        <v>1</v>
      </c>
      <c r="F1352" s="1">
        <f t="shared" si="399"/>
        <v>1</v>
      </c>
      <c r="G1352" s="1" t="str">
        <f t="shared" si="400"/>
        <v>-</v>
      </c>
      <c r="J1352" s="1" t="str">
        <f t="shared" ref="J1352:J1398" si="401">+IF(I1352&lt;10,_xlfn.CONCAT("0",I1352),I1352)</f>
        <v>0</v>
      </c>
      <c r="K1352" s="3">
        <f t="shared" ref="K1352:K1398" si="402">+YEAR(H1352)-2000</f>
        <v>-100</v>
      </c>
      <c r="L1352" s="3">
        <f t="shared" ref="L1352:L1398" si="403">+MONTH(H1352)</f>
        <v>1</v>
      </c>
      <c r="M1352" s="3">
        <f t="shared" ref="M1352:M1398" si="404">+DAY(H1352)</f>
        <v>0</v>
      </c>
      <c r="N1352" s="3" t="str">
        <f t="shared" ref="N1352:N1398" si="405">+IF(L1352&lt;10,_xlfn.CONCAT("0",L1352),L1352)</f>
        <v>01</v>
      </c>
      <c r="O1352" s="14" t="str">
        <f t="shared" ref="O1352:O1398" si="406">+IF(M1352&lt;10,_xlfn.CONCAT("0",M1352),M1352)</f>
        <v>00</v>
      </c>
    </row>
    <row r="1353" spans="1:15" hidden="1">
      <c r="A1353" s="143">
        <v>1330</v>
      </c>
      <c r="B1353" s="1">
        <f t="shared" si="395"/>
        <v>0</v>
      </c>
      <c r="C1353" s="1">
        <f t="shared" si="396"/>
        <v>0</v>
      </c>
      <c r="D1353" s="1">
        <f t="shared" si="397"/>
        <v>1</v>
      </c>
      <c r="E1353" s="1">
        <f t="shared" si="398"/>
        <v>1</v>
      </c>
      <c r="F1353" s="1">
        <f t="shared" si="399"/>
        <v>1</v>
      </c>
      <c r="G1353" s="1" t="str">
        <f t="shared" si="400"/>
        <v>-</v>
      </c>
      <c r="J1353" s="1" t="str">
        <f t="shared" si="401"/>
        <v>0</v>
      </c>
      <c r="K1353" s="3">
        <f t="shared" si="402"/>
        <v>-100</v>
      </c>
      <c r="L1353" s="3">
        <f t="shared" si="403"/>
        <v>1</v>
      </c>
      <c r="M1353" s="3">
        <f t="shared" si="404"/>
        <v>0</v>
      </c>
      <c r="N1353" s="3" t="str">
        <f t="shared" si="405"/>
        <v>01</v>
      </c>
      <c r="O1353" s="14" t="str">
        <f t="shared" si="406"/>
        <v>00</v>
      </c>
    </row>
    <row r="1354" spans="1:15" hidden="1">
      <c r="A1354" s="143">
        <v>1331</v>
      </c>
      <c r="B1354" s="1">
        <f t="shared" si="395"/>
        <v>0</v>
      </c>
      <c r="C1354" s="1">
        <f t="shared" si="396"/>
        <v>0</v>
      </c>
      <c r="D1354" s="1">
        <f t="shared" si="397"/>
        <v>1</v>
      </c>
      <c r="E1354" s="1">
        <f t="shared" si="398"/>
        <v>1</v>
      </c>
      <c r="F1354" s="1">
        <f t="shared" si="399"/>
        <v>1</v>
      </c>
      <c r="G1354" s="1" t="str">
        <f t="shared" si="400"/>
        <v>-</v>
      </c>
      <c r="J1354" s="1" t="str">
        <f t="shared" si="401"/>
        <v>0</v>
      </c>
      <c r="K1354" s="3">
        <f t="shared" si="402"/>
        <v>-100</v>
      </c>
      <c r="L1354" s="3">
        <f t="shared" si="403"/>
        <v>1</v>
      </c>
      <c r="M1354" s="3">
        <f t="shared" si="404"/>
        <v>0</v>
      </c>
      <c r="N1354" s="3" t="str">
        <f t="shared" si="405"/>
        <v>01</v>
      </c>
      <c r="O1354" s="14" t="str">
        <f t="shared" si="406"/>
        <v>00</v>
      </c>
    </row>
    <row r="1355" spans="1:15" hidden="1">
      <c r="A1355" s="143">
        <v>1332</v>
      </c>
      <c r="B1355" s="1">
        <f t="shared" si="395"/>
        <v>0</v>
      </c>
      <c r="C1355" s="1">
        <f t="shared" si="396"/>
        <v>0</v>
      </c>
      <c r="D1355" s="1">
        <f t="shared" si="397"/>
        <v>1</v>
      </c>
      <c r="E1355" s="1">
        <f t="shared" si="398"/>
        <v>1</v>
      </c>
      <c r="F1355" s="1">
        <f t="shared" si="399"/>
        <v>1</v>
      </c>
      <c r="G1355" s="1" t="str">
        <f t="shared" si="400"/>
        <v>-</v>
      </c>
      <c r="J1355" s="1" t="str">
        <f t="shared" si="401"/>
        <v>0</v>
      </c>
      <c r="K1355" s="3">
        <f t="shared" si="402"/>
        <v>-100</v>
      </c>
      <c r="L1355" s="3">
        <f t="shared" si="403"/>
        <v>1</v>
      </c>
      <c r="M1355" s="3">
        <f t="shared" si="404"/>
        <v>0</v>
      </c>
      <c r="N1355" s="3" t="str">
        <f t="shared" si="405"/>
        <v>01</v>
      </c>
      <c r="O1355" s="14" t="str">
        <f t="shared" si="406"/>
        <v>00</v>
      </c>
    </row>
    <row r="1356" spans="1:15" hidden="1">
      <c r="A1356" s="143">
        <v>1333</v>
      </c>
      <c r="B1356" s="1">
        <f t="shared" si="395"/>
        <v>0</v>
      </c>
      <c r="C1356" s="1">
        <f t="shared" si="396"/>
        <v>0</v>
      </c>
      <c r="D1356" s="1">
        <f t="shared" si="397"/>
        <v>1</v>
      </c>
      <c r="E1356" s="1">
        <f t="shared" si="398"/>
        <v>1</v>
      </c>
      <c r="F1356" s="1">
        <f t="shared" si="399"/>
        <v>1</v>
      </c>
      <c r="G1356" s="1" t="str">
        <f t="shared" si="400"/>
        <v>-</v>
      </c>
      <c r="J1356" s="1" t="str">
        <f t="shared" si="401"/>
        <v>0</v>
      </c>
      <c r="K1356" s="3">
        <f t="shared" si="402"/>
        <v>-100</v>
      </c>
      <c r="L1356" s="3">
        <f t="shared" si="403"/>
        <v>1</v>
      </c>
      <c r="M1356" s="3">
        <f t="shared" si="404"/>
        <v>0</v>
      </c>
      <c r="N1356" s="3" t="str">
        <f t="shared" si="405"/>
        <v>01</v>
      </c>
      <c r="O1356" s="14" t="str">
        <f t="shared" si="406"/>
        <v>00</v>
      </c>
    </row>
    <row r="1357" spans="1:15" hidden="1">
      <c r="A1357" s="143">
        <v>1334</v>
      </c>
      <c r="B1357" s="1">
        <f t="shared" si="395"/>
        <v>0</v>
      </c>
      <c r="C1357" s="1">
        <f t="shared" si="396"/>
        <v>0</v>
      </c>
      <c r="D1357" s="1">
        <f t="shared" si="397"/>
        <v>1</v>
      </c>
      <c r="E1357" s="1">
        <f t="shared" si="398"/>
        <v>1</v>
      </c>
      <c r="F1357" s="1">
        <f t="shared" si="399"/>
        <v>1</v>
      </c>
      <c r="G1357" s="1" t="str">
        <f t="shared" si="400"/>
        <v>-</v>
      </c>
      <c r="J1357" s="1" t="str">
        <f t="shared" si="401"/>
        <v>0</v>
      </c>
      <c r="K1357" s="3">
        <f t="shared" si="402"/>
        <v>-100</v>
      </c>
      <c r="L1357" s="3">
        <f t="shared" si="403"/>
        <v>1</v>
      </c>
      <c r="M1357" s="3">
        <f t="shared" si="404"/>
        <v>0</v>
      </c>
      <c r="N1357" s="3" t="str">
        <f t="shared" si="405"/>
        <v>01</v>
      </c>
      <c r="O1357" s="14" t="str">
        <f t="shared" si="406"/>
        <v>00</v>
      </c>
    </row>
    <row r="1358" spans="1:15" hidden="1">
      <c r="A1358" s="143">
        <v>1335</v>
      </c>
      <c r="B1358" s="1">
        <f t="shared" si="395"/>
        <v>0</v>
      </c>
      <c r="C1358" s="1">
        <f t="shared" si="396"/>
        <v>0</v>
      </c>
      <c r="D1358" s="1">
        <f t="shared" si="397"/>
        <v>1</v>
      </c>
      <c r="E1358" s="1">
        <f t="shared" si="398"/>
        <v>1</v>
      </c>
      <c r="F1358" s="1">
        <f t="shared" si="399"/>
        <v>1</v>
      </c>
      <c r="G1358" s="1" t="str">
        <f t="shared" si="400"/>
        <v>-</v>
      </c>
      <c r="J1358" s="1" t="str">
        <f t="shared" si="401"/>
        <v>0</v>
      </c>
      <c r="K1358" s="3">
        <f t="shared" si="402"/>
        <v>-100</v>
      </c>
      <c r="L1358" s="3">
        <f t="shared" si="403"/>
        <v>1</v>
      </c>
      <c r="M1358" s="3">
        <f t="shared" si="404"/>
        <v>0</v>
      </c>
      <c r="N1358" s="3" t="str">
        <f t="shared" si="405"/>
        <v>01</v>
      </c>
      <c r="O1358" s="14" t="str">
        <f t="shared" si="406"/>
        <v>00</v>
      </c>
    </row>
    <row r="1359" spans="1:15" hidden="1">
      <c r="A1359" s="143">
        <v>1336</v>
      </c>
      <c r="B1359" s="1">
        <f t="shared" si="395"/>
        <v>0</v>
      </c>
      <c r="C1359" s="1">
        <f t="shared" si="396"/>
        <v>0</v>
      </c>
      <c r="D1359" s="1">
        <f t="shared" si="397"/>
        <v>1</v>
      </c>
      <c r="E1359" s="1">
        <f t="shared" si="398"/>
        <v>1</v>
      </c>
      <c r="F1359" s="1">
        <f t="shared" si="399"/>
        <v>1</v>
      </c>
      <c r="G1359" s="1" t="str">
        <f t="shared" si="400"/>
        <v>-</v>
      </c>
      <c r="J1359" s="1" t="str">
        <f t="shared" si="401"/>
        <v>0</v>
      </c>
      <c r="K1359" s="3">
        <f t="shared" si="402"/>
        <v>-100</v>
      </c>
      <c r="L1359" s="3">
        <f t="shared" si="403"/>
        <v>1</v>
      </c>
      <c r="M1359" s="3">
        <f t="shared" si="404"/>
        <v>0</v>
      </c>
      <c r="N1359" s="3" t="str">
        <f t="shared" si="405"/>
        <v>01</v>
      </c>
      <c r="O1359" s="14" t="str">
        <f t="shared" si="406"/>
        <v>00</v>
      </c>
    </row>
    <row r="1360" spans="1:15" hidden="1">
      <c r="A1360" s="143">
        <v>1337</v>
      </c>
      <c r="B1360" s="1">
        <f t="shared" si="395"/>
        <v>0</v>
      </c>
      <c r="C1360" s="1">
        <f t="shared" si="396"/>
        <v>0</v>
      </c>
      <c r="D1360" s="1">
        <f t="shared" si="397"/>
        <v>1</v>
      </c>
      <c r="E1360" s="1">
        <f t="shared" si="398"/>
        <v>1</v>
      </c>
      <c r="F1360" s="1">
        <f t="shared" si="399"/>
        <v>1</v>
      </c>
      <c r="G1360" s="1" t="str">
        <f t="shared" si="400"/>
        <v>-</v>
      </c>
      <c r="J1360" s="1" t="str">
        <f t="shared" si="401"/>
        <v>0</v>
      </c>
      <c r="K1360" s="3">
        <f t="shared" si="402"/>
        <v>-100</v>
      </c>
      <c r="L1360" s="3">
        <f t="shared" si="403"/>
        <v>1</v>
      </c>
      <c r="M1360" s="3">
        <f t="shared" si="404"/>
        <v>0</v>
      </c>
      <c r="N1360" s="3" t="str">
        <f t="shared" si="405"/>
        <v>01</v>
      </c>
      <c r="O1360" s="14" t="str">
        <f t="shared" si="406"/>
        <v>00</v>
      </c>
    </row>
    <row r="1361" spans="1:15" hidden="1">
      <c r="A1361" s="143">
        <v>1338</v>
      </c>
      <c r="B1361" s="1">
        <f t="shared" si="395"/>
        <v>0</v>
      </c>
      <c r="C1361" s="1">
        <f t="shared" si="396"/>
        <v>0</v>
      </c>
      <c r="D1361" s="1">
        <f t="shared" si="397"/>
        <v>1</v>
      </c>
      <c r="E1361" s="1">
        <f t="shared" si="398"/>
        <v>1</v>
      </c>
      <c r="F1361" s="1">
        <f t="shared" si="399"/>
        <v>1</v>
      </c>
      <c r="G1361" s="1" t="str">
        <f t="shared" si="400"/>
        <v>-</v>
      </c>
      <c r="J1361" s="1" t="str">
        <f t="shared" si="401"/>
        <v>0</v>
      </c>
      <c r="K1361" s="3">
        <f t="shared" si="402"/>
        <v>-100</v>
      </c>
      <c r="L1361" s="3">
        <f t="shared" si="403"/>
        <v>1</v>
      </c>
      <c r="M1361" s="3">
        <f t="shared" si="404"/>
        <v>0</v>
      </c>
      <c r="N1361" s="3" t="str">
        <f t="shared" si="405"/>
        <v>01</v>
      </c>
      <c r="O1361" s="14" t="str">
        <f t="shared" si="406"/>
        <v>00</v>
      </c>
    </row>
    <row r="1362" spans="1:15" hidden="1">
      <c r="A1362" s="143">
        <v>1339</v>
      </c>
      <c r="B1362" s="1">
        <f t="shared" si="395"/>
        <v>0</v>
      </c>
      <c r="C1362" s="1">
        <f t="shared" si="396"/>
        <v>0</v>
      </c>
      <c r="D1362" s="1">
        <f t="shared" si="397"/>
        <v>1</v>
      </c>
      <c r="E1362" s="1">
        <f t="shared" si="398"/>
        <v>1</v>
      </c>
      <c r="F1362" s="1">
        <f t="shared" si="399"/>
        <v>1</v>
      </c>
      <c r="G1362" s="1" t="str">
        <f t="shared" si="400"/>
        <v>-</v>
      </c>
      <c r="J1362" s="1" t="str">
        <f t="shared" si="401"/>
        <v>0</v>
      </c>
      <c r="K1362" s="3">
        <f t="shared" si="402"/>
        <v>-100</v>
      </c>
      <c r="L1362" s="3">
        <f t="shared" si="403"/>
        <v>1</v>
      </c>
      <c r="M1362" s="3">
        <f t="shared" si="404"/>
        <v>0</v>
      </c>
      <c r="N1362" s="3" t="str">
        <f t="shared" si="405"/>
        <v>01</v>
      </c>
      <c r="O1362" s="14" t="str">
        <f t="shared" si="406"/>
        <v>00</v>
      </c>
    </row>
    <row r="1363" spans="1:15" hidden="1">
      <c r="A1363" s="143">
        <v>1340</v>
      </c>
      <c r="B1363" s="1">
        <f t="shared" si="395"/>
        <v>0</v>
      </c>
      <c r="C1363" s="1">
        <f t="shared" si="396"/>
        <v>0</v>
      </c>
      <c r="D1363" s="1">
        <f t="shared" si="397"/>
        <v>1</v>
      </c>
      <c r="E1363" s="1">
        <f t="shared" si="398"/>
        <v>1</v>
      </c>
      <c r="F1363" s="1">
        <f t="shared" si="399"/>
        <v>1</v>
      </c>
      <c r="G1363" s="1" t="str">
        <f t="shared" si="400"/>
        <v>-</v>
      </c>
      <c r="J1363" s="1" t="str">
        <f t="shared" si="401"/>
        <v>0</v>
      </c>
      <c r="K1363" s="3">
        <f t="shared" si="402"/>
        <v>-100</v>
      </c>
      <c r="L1363" s="3">
        <f t="shared" si="403"/>
        <v>1</v>
      </c>
      <c r="M1363" s="3">
        <f t="shared" si="404"/>
        <v>0</v>
      </c>
      <c r="N1363" s="3" t="str">
        <f t="shared" si="405"/>
        <v>01</v>
      </c>
      <c r="O1363" s="14" t="str">
        <f t="shared" si="406"/>
        <v>00</v>
      </c>
    </row>
    <row r="1364" spans="1:15" hidden="1">
      <c r="A1364" s="143">
        <v>1341</v>
      </c>
      <c r="B1364" s="1">
        <f t="shared" si="395"/>
        <v>0</v>
      </c>
      <c r="C1364" s="1">
        <f t="shared" si="396"/>
        <v>0</v>
      </c>
      <c r="D1364" s="1">
        <f t="shared" si="397"/>
        <v>1</v>
      </c>
      <c r="E1364" s="1">
        <f t="shared" si="398"/>
        <v>1</v>
      </c>
      <c r="F1364" s="1">
        <f t="shared" si="399"/>
        <v>1</v>
      </c>
      <c r="G1364" s="1" t="str">
        <f t="shared" si="400"/>
        <v>-</v>
      </c>
      <c r="J1364" s="1" t="str">
        <f t="shared" si="401"/>
        <v>0</v>
      </c>
      <c r="K1364" s="3">
        <f t="shared" si="402"/>
        <v>-100</v>
      </c>
      <c r="L1364" s="3">
        <f t="shared" si="403"/>
        <v>1</v>
      </c>
      <c r="M1364" s="3">
        <f t="shared" si="404"/>
        <v>0</v>
      </c>
      <c r="N1364" s="3" t="str">
        <f t="shared" si="405"/>
        <v>01</v>
      </c>
      <c r="O1364" s="14" t="str">
        <f t="shared" si="406"/>
        <v>00</v>
      </c>
    </row>
    <row r="1365" spans="1:15" hidden="1">
      <c r="A1365" s="143">
        <v>1342</v>
      </c>
      <c r="B1365" s="1">
        <f t="shared" si="395"/>
        <v>0</v>
      </c>
      <c r="C1365" s="1">
        <f t="shared" si="396"/>
        <v>0</v>
      </c>
      <c r="D1365" s="1">
        <f t="shared" si="397"/>
        <v>1</v>
      </c>
      <c r="E1365" s="1">
        <f t="shared" si="398"/>
        <v>1</v>
      </c>
      <c r="F1365" s="1">
        <f t="shared" si="399"/>
        <v>1</v>
      </c>
      <c r="G1365" s="1" t="str">
        <f t="shared" si="400"/>
        <v>-</v>
      </c>
      <c r="J1365" s="1" t="str">
        <f t="shared" si="401"/>
        <v>0</v>
      </c>
      <c r="K1365" s="3">
        <f t="shared" si="402"/>
        <v>-100</v>
      </c>
      <c r="L1365" s="3">
        <f t="shared" si="403"/>
        <v>1</v>
      </c>
      <c r="M1365" s="3">
        <f t="shared" si="404"/>
        <v>0</v>
      </c>
      <c r="N1365" s="3" t="str">
        <f t="shared" si="405"/>
        <v>01</v>
      </c>
      <c r="O1365" s="14" t="str">
        <f t="shared" si="406"/>
        <v>00</v>
      </c>
    </row>
    <row r="1366" spans="1:15" hidden="1">
      <c r="A1366" s="143">
        <v>1343</v>
      </c>
      <c r="B1366" s="1">
        <f t="shared" si="395"/>
        <v>0</v>
      </c>
      <c r="C1366" s="1">
        <f t="shared" si="396"/>
        <v>0</v>
      </c>
      <c r="D1366" s="1">
        <f t="shared" si="397"/>
        <v>1</v>
      </c>
      <c r="E1366" s="1">
        <f t="shared" si="398"/>
        <v>1</v>
      </c>
      <c r="F1366" s="1">
        <f t="shared" si="399"/>
        <v>1</v>
      </c>
      <c r="G1366" s="1" t="str">
        <f t="shared" si="400"/>
        <v>-</v>
      </c>
      <c r="J1366" s="1" t="str">
        <f t="shared" si="401"/>
        <v>0</v>
      </c>
      <c r="K1366" s="3">
        <f t="shared" si="402"/>
        <v>-100</v>
      </c>
      <c r="L1366" s="3">
        <f t="shared" si="403"/>
        <v>1</v>
      </c>
      <c r="M1366" s="3">
        <f t="shared" si="404"/>
        <v>0</v>
      </c>
      <c r="N1366" s="3" t="str">
        <f t="shared" si="405"/>
        <v>01</v>
      </c>
      <c r="O1366" s="14" t="str">
        <f t="shared" si="406"/>
        <v>00</v>
      </c>
    </row>
    <row r="1367" spans="1:15" hidden="1">
      <c r="A1367" s="143">
        <v>1344</v>
      </c>
      <c r="B1367" s="1">
        <f t="shared" si="395"/>
        <v>0</v>
      </c>
      <c r="C1367" s="1">
        <f t="shared" si="396"/>
        <v>0</v>
      </c>
      <c r="D1367" s="1">
        <f t="shared" si="397"/>
        <v>1</v>
      </c>
      <c r="E1367" s="1">
        <f t="shared" si="398"/>
        <v>1</v>
      </c>
      <c r="F1367" s="1">
        <f t="shared" si="399"/>
        <v>1</v>
      </c>
      <c r="G1367" s="1" t="str">
        <f t="shared" si="400"/>
        <v>-</v>
      </c>
      <c r="J1367" s="1" t="str">
        <f t="shared" si="401"/>
        <v>0</v>
      </c>
      <c r="K1367" s="3">
        <f t="shared" si="402"/>
        <v>-100</v>
      </c>
      <c r="L1367" s="3">
        <f t="shared" si="403"/>
        <v>1</v>
      </c>
      <c r="M1367" s="3">
        <f t="shared" si="404"/>
        <v>0</v>
      </c>
      <c r="N1367" s="3" t="str">
        <f t="shared" si="405"/>
        <v>01</v>
      </c>
      <c r="O1367" s="14" t="str">
        <f t="shared" si="406"/>
        <v>00</v>
      </c>
    </row>
    <row r="1368" spans="1:15" hidden="1">
      <c r="A1368" s="143">
        <v>1345</v>
      </c>
      <c r="B1368" s="1">
        <f t="shared" si="395"/>
        <v>0</v>
      </c>
      <c r="C1368" s="1">
        <f t="shared" si="396"/>
        <v>0</v>
      </c>
      <c r="D1368" s="1">
        <f t="shared" si="397"/>
        <v>1</v>
      </c>
      <c r="E1368" s="1">
        <f t="shared" si="398"/>
        <v>1</v>
      </c>
      <c r="F1368" s="1">
        <f t="shared" si="399"/>
        <v>1</v>
      </c>
      <c r="G1368" s="1" t="str">
        <f t="shared" si="400"/>
        <v>-</v>
      </c>
      <c r="J1368" s="1" t="str">
        <f t="shared" si="401"/>
        <v>0</v>
      </c>
      <c r="K1368" s="3">
        <f t="shared" si="402"/>
        <v>-100</v>
      </c>
      <c r="L1368" s="3">
        <f t="shared" si="403"/>
        <v>1</v>
      </c>
      <c r="M1368" s="3">
        <f t="shared" si="404"/>
        <v>0</v>
      </c>
      <c r="N1368" s="3" t="str">
        <f t="shared" si="405"/>
        <v>01</v>
      </c>
      <c r="O1368" s="14" t="str">
        <f t="shared" si="406"/>
        <v>00</v>
      </c>
    </row>
    <row r="1369" spans="1:15" hidden="1">
      <c r="A1369" s="143">
        <v>1346</v>
      </c>
      <c r="B1369" s="1">
        <f t="shared" si="395"/>
        <v>0</v>
      </c>
      <c r="C1369" s="1">
        <f t="shared" si="396"/>
        <v>0</v>
      </c>
      <c r="D1369" s="1">
        <f t="shared" si="397"/>
        <v>1</v>
      </c>
      <c r="E1369" s="1">
        <f t="shared" si="398"/>
        <v>1</v>
      </c>
      <c r="F1369" s="1">
        <f t="shared" si="399"/>
        <v>1</v>
      </c>
      <c r="G1369" s="1" t="str">
        <f t="shared" si="400"/>
        <v>-</v>
      </c>
      <c r="J1369" s="1" t="str">
        <f t="shared" si="401"/>
        <v>0</v>
      </c>
      <c r="K1369" s="3">
        <f t="shared" si="402"/>
        <v>-100</v>
      </c>
      <c r="L1369" s="3">
        <f t="shared" si="403"/>
        <v>1</v>
      </c>
      <c r="M1369" s="3">
        <f t="shared" si="404"/>
        <v>0</v>
      </c>
      <c r="N1369" s="3" t="str">
        <f t="shared" si="405"/>
        <v>01</v>
      </c>
      <c r="O1369" s="14" t="str">
        <f t="shared" si="406"/>
        <v>00</v>
      </c>
    </row>
    <row r="1370" spans="1:15" hidden="1">
      <c r="A1370" s="143">
        <v>1347</v>
      </c>
      <c r="B1370" s="1">
        <f t="shared" si="395"/>
        <v>0</v>
      </c>
      <c r="C1370" s="1">
        <f t="shared" si="396"/>
        <v>0</v>
      </c>
      <c r="D1370" s="1">
        <f t="shared" si="397"/>
        <v>1</v>
      </c>
      <c r="E1370" s="1">
        <f t="shared" si="398"/>
        <v>1</v>
      </c>
      <c r="F1370" s="1">
        <f t="shared" si="399"/>
        <v>1</v>
      </c>
      <c r="G1370" s="1" t="str">
        <f t="shared" si="400"/>
        <v>-</v>
      </c>
      <c r="J1370" s="1" t="str">
        <f t="shared" si="401"/>
        <v>0</v>
      </c>
      <c r="K1370" s="3">
        <f t="shared" si="402"/>
        <v>-100</v>
      </c>
      <c r="L1370" s="3">
        <f t="shared" si="403"/>
        <v>1</v>
      </c>
      <c r="M1370" s="3">
        <f t="shared" si="404"/>
        <v>0</v>
      </c>
      <c r="N1370" s="3" t="str">
        <f t="shared" si="405"/>
        <v>01</v>
      </c>
      <c r="O1370" s="14" t="str">
        <f t="shared" si="406"/>
        <v>00</v>
      </c>
    </row>
    <row r="1371" spans="1:15" hidden="1">
      <c r="A1371" s="143">
        <v>1348</v>
      </c>
      <c r="B1371" s="1">
        <f t="shared" ref="B1371:B1398" si="407">IF(G1371="-",0,IF(G1370=G1371,1,0))</f>
        <v>0</v>
      </c>
      <c r="C1371" s="1">
        <f t="shared" ref="C1371:C1398" si="408">+IF(G1371="-",0,IF(I1371=I1370+1,0,(IF(I1371=1,0,1))))</f>
        <v>0</v>
      </c>
      <c r="D1371" s="1">
        <f t="shared" ref="D1371:D1398" si="409">+IF(AND(P1371="",Q1371=""),1,0)</f>
        <v>1</v>
      </c>
      <c r="E1371" s="1">
        <f t="shared" ref="E1371:E1398" si="410">IF(U1371="",1,0)</f>
        <v>1</v>
      </c>
      <c r="F1371" s="1">
        <f t="shared" ref="F1371:F1398" si="411">IF(V1371="",1,0)</f>
        <v>1</v>
      </c>
      <c r="G1371" s="1" t="str">
        <f t="shared" ref="G1371:G1398" si="412">IF(H1371=0,"-",_xlfn.CONCAT(K1371,N1371,O1371,J1371))</f>
        <v>-</v>
      </c>
      <c r="J1371" s="1" t="str">
        <f t="shared" si="401"/>
        <v>0</v>
      </c>
      <c r="K1371" s="3">
        <f t="shared" si="402"/>
        <v>-100</v>
      </c>
      <c r="L1371" s="3">
        <f t="shared" si="403"/>
        <v>1</v>
      </c>
      <c r="M1371" s="3">
        <f t="shared" si="404"/>
        <v>0</v>
      </c>
      <c r="N1371" s="3" t="str">
        <f t="shared" si="405"/>
        <v>01</v>
      </c>
      <c r="O1371" s="14" t="str">
        <f t="shared" si="406"/>
        <v>00</v>
      </c>
    </row>
    <row r="1372" spans="1:15" hidden="1">
      <c r="A1372" s="143">
        <v>1349</v>
      </c>
      <c r="B1372" s="1">
        <f t="shared" si="407"/>
        <v>0</v>
      </c>
      <c r="C1372" s="1">
        <f t="shared" si="408"/>
        <v>0</v>
      </c>
      <c r="D1372" s="1">
        <f t="shared" si="409"/>
        <v>1</v>
      </c>
      <c r="E1372" s="1">
        <f t="shared" si="410"/>
        <v>1</v>
      </c>
      <c r="F1372" s="1">
        <f t="shared" si="411"/>
        <v>1</v>
      </c>
      <c r="G1372" s="1" t="str">
        <f t="shared" si="412"/>
        <v>-</v>
      </c>
      <c r="J1372" s="1" t="str">
        <f t="shared" si="401"/>
        <v>0</v>
      </c>
      <c r="K1372" s="3">
        <f t="shared" si="402"/>
        <v>-100</v>
      </c>
      <c r="L1372" s="3">
        <f t="shared" si="403"/>
        <v>1</v>
      </c>
      <c r="M1372" s="3">
        <f t="shared" si="404"/>
        <v>0</v>
      </c>
      <c r="N1372" s="3" t="str">
        <f t="shared" si="405"/>
        <v>01</v>
      </c>
      <c r="O1372" s="14" t="str">
        <f t="shared" si="406"/>
        <v>00</v>
      </c>
    </row>
    <row r="1373" spans="1:15" hidden="1">
      <c r="A1373" s="143">
        <v>1350</v>
      </c>
      <c r="B1373" s="1">
        <f t="shared" si="407"/>
        <v>0</v>
      </c>
      <c r="C1373" s="1">
        <f t="shared" si="408"/>
        <v>0</v>
      </c>
      <c r="D1373" s="1">
        <f t="shared" si="409"/>
        <v>1</v>
      </c>
      <c r="E1373" s="1">
        <f t="shared" si="410"/>
        <v>1</v>
      </c>
      <c r="F1373" s="1">
        <f t="shared" si="411"/>
        <v>1</v>
      </c>
      <c r="G1373" s="1" t="str">
        <f t="shared" si="412"/>
        <v>-</v>
      </c>
      <c r="J1373" s="1" t="str">
        <f t="shared" si="401"/>
        <v>0</v>
      </c>
      <c r="K1373" s="3">
        <f t="shared" si="402"/>
        <v>-100</v>
      </c>
      <c r="L1373" s="3">
        <f t="shared" si="403"/>
        <v>1</v>
      </c>
      <c r="M1373" s="3">
        <f t="shared" si="404"/>
        <v>0</v>
      </c>
      <c r="N1373" s="3" t="str">
        <f t="shared" si="405"/>
        <v>01</v>
      </c>
      <c r="O1373" s="14" t="str">
        <f t="shared" si="406"/>
        <v>00</v>
      </c>
    </row>
    <row r="1374" spans="1:15" hidden="1">
      <c r="A1374" s="143">
        <v>1351</v>
      </c>
      <c r="B1374" s="1">
        <f t="shared" si="407"/>
        <v>0</v>
      </c>
      <c r="C1374" s="1">
        <f t="shared" si="408"/>
        <v>0</v>
      </c>
      <c r="D1374" s="1">
        <f t="shared" si="409"/>
        <v>1</v>
      </c>
      <c r="E1374" s="1">
        <f t="shared" si="410"/>
        <v>1</v>
      </c>
      <c r="F1374" s="1">
        <f t="shared" si="411"/>
        <v>1</v>
      </c>
      <c r="G1374" s="1" t="str">
        <f t="shared" si="412"/>
        <v>-</v>
      </c>
      <c r="J1374" s="1" t="str">
        <f t="shared" si="401"/>
        <v>0</v>
      </c>
      <c r="K1374" s="3">
        <f t="shared" si="402"/>
        <v>-100</v>
      </c>
      <c r="L1374" s="3">
        <f t="shared" si="403"/>
        <v>1</v>
      </c>
      <c r="M1374" s="3">
        <f t="shared" si="404"/>
        <v>0</v>
      </c>
      <c r="N1374" s="3" t="str">
        <f t="shared" si="405"/>
        <v>01</v>
      </c>
      <c r="O1374" s="14" t="str">
        <f t="shared" si="406"/>
        <v>00</v>
      </c>
    </row>
    <row r="1375" spans="1:15" hidden="1">
      <c r="A1375" s="143">
        <v>1352</v>
      </c>
      <c r="B1375" s="1">
        <f t="shared" si="407"/>
        <v>0</v>
      </c>
      <c r="C1375" s="1">
        <f t="shared" si="408"/>
        <v>0</v>
      </c>
      <c r="D1375" s="1">
        <f t="shared" si="409"/>
        <v>1</v>
      </c>
      <c r="E1375" s="1">
        <f t="shared" si="410"/>
        <v>1</v>
      </c>
      <c r="F1375" s="1">
        <f t="shared" si="411"/>
        <v>1</v>
      </c>
      <c r="G1375" s="1" t="str">
        <f t="shared" si="412"/>
        <v>-</v>
      </c>
      <c r="J1375" s="1" t="str">
        <f t="shared" si="401"/>
        <v>0</v>
      </c>
      <c r="K1375" s="3">
        <f t="shared" si="402"/>
        <v>-100</v>
      </c>
      <c r="L1375" s="3">
        <f t="shared" si="403"/>
        <v>1</v>
      </c>
      <c r="M1375" s="3">
        <f t="shared" si="404"/>
        <v>0</v>
      </c>
      <c r="N1375" s="3" t="str">
        <f t="shared" si="405"/>
        <v>01</v>
      </c>
      <c r="O1375" s="14" t="str">
        <f t="shared" si="406"/>
        <v>00</v>
      </c>
    </row>
    <row r="1376" spans="1:15" hidden="1">
      <c r="A1376" s="143">
        <v>1353</v>
      </c>
      <c r="B1376" s="1">
        <f t="shared" si="407"/>
        <v>0</v>
      </c>
      <c r="C1376" s="1">
        <f t="shared" si="408"/>
        <v>0</v>
      </c>
      <c r="D1376" s="1">
        <f t="shared" si="409"/>
        <v>1</v>
      </c>
      <c r="E1376" s="1">
        <f t="shared" si="410"/>
        <v>1</v>
      </c>
      <c r="F1376" s="1">
        <f t="shared" si="411"/>
        <v>1</v>
      </c>
      <c r="G1376" s="1" t="str">
        <f t="shared" si="412"/>
        <v>-</v>
      </c>
      <c r="J1376" s="1" t="str">
        <f t="shared" si="401"/>
        <v>0</v>
      </c>
      <c r="K1376" s="3">
        <f t="shared" si="402"/>
        <v>-100</v>
      </c>
      <c r="L1376" s="3">
        <f t="shared" si="403"/>
        <v>1</v>
      </c>
      <c r="M1376" s="3">
        <f t="shared" si="404"/>
        <v>0</v>
      </c>
      <c r="N1376" s="3" t="str">
        <f t="shared" si="405"/>
        <v>01</v>
      </c>
      <c r="O1376" s="14" t="str">
        <f t="shared" si="406"/>
        <v>00</v>
      </c>
    </row>
    <row r="1377" spans="1:15" hidden="1">
      <c r="A1377" s="143">
        <v>1354</v>
      </c>
      <c r="B1377" s="1">
        <f t="shared" si="407"/>
        <v>0</v>
      </c>
      <c r="C1377" s="1">
        <f t="shared" si="408"/>
        <v>0</v>
      </c>
      <c r="D1377" s="1">
        <f t="shared" si="409"/>
        <v>1</v>
      </c>
      <c r="E1377" s="1">
        <f t="shared" si="410"/>
        <v>1</v>
      </c>
      <c r="F1377" s="1">
        <f t="shared" si="411"/>
        <v>1</v>
      </c>
      <c r="G1377" s="1" t="str">
        <f t="shared" si="412"/>
        <v>-</v>
      </c>
      <c r="J1377" s="1" t="str">
        <f t="shared" si="401"/>
        <v>0</v>
      </c>
      <c r="K1377" s="3">
        <f t="shared" si="402"/>
        <v>-100</v>
      </c>
      <c r="L1377" s="3">
        <f t="shared" si="403"/>
        <v>1</v>
      </c>
      <c r="M1377" s="3">
        <f t="shared" si="404"/>
        <v>0</v>
      </c>
      <c r="N1377" s="3" t="str">
        <f t="shared" si="405"/>
        <v>01</v>
      </c>
      <c r="O1377" s="14" t="str">
        <f t="shared" si="406"/>
        <v>00</v>
      </c>
    </row>
    <row r="1378" spans="1:15" hidden="1">
      <c r="A1378" s="143">
        <v>1355</v>
      </c>
      <c r="B1378" s="1">
        <f t="shared" si="407"/>
        <v>0</v>
      </c>
      <c r="C1378" s="1">
        <f t="shared" si="408"/>
        <v>0</v>
      </c>
      <c r="D1378" s="1">
        <f t="shared" si="409"/>
        <v>1</v>
      </c>
      <c r="E1378" s="1">
        <f t="shared" si="410"/>
        <v>1</v>
      </c>
      <c r="F1378" s="1">
        <f t="shared" si="411"/>
        <v>1</v>
      </c>
      <c r="G1378" s="1" t="str">
        <f t="shared" si="412"/>
        <v>-</v>
      </c>
      <c r="J1378" s="1" t="str">
        <f t="shared" si="401"/>
        <v>0</v>
      </c>
      <c r="K1378" s="3">
        <f t="shared" si="402"/>
        <v>-100</v>
      </c>
      <c r="L1378" s="3">
        <f t="shared" si="403"/>
        <v>1</v>
      </c>
      <c r="M1378" s="3">
        <f t="shared" si="404"/>
        <v>0</v>
      </c>
      <c r="N1378" s="3" t="str">
        <f t="shared" si="405"/>
        <v>01</v>
      </c>
      <c r="O1378" s="14" t="str">
        <f t="shared" si="406"/>
        <v>00</v>
      </c>
    </row>
    <row r="1379" spans="1:15" hidden="1">
      <c r="A1379" s="143">
        <v>1356</v>
      </c>
      <c r="B1379" s="1">
        <f t="shared" si="407"/>
        <v>0</v>
      </c>
      <c r="C1379" s="1">
        <f t="shared" si="408"/>
        <v>0</v>
      </c>
      <c r="D1379" s="1">
        <f t="shared" si="409"/>
        <v>1</v>
      </c>
      <c r="E1379" s="1">
        <f t="shared" si="410"/>
        <v>1</v>
      </c>
      <c r="F1379" s="1">
        <f t="shared" si="411"/>
        <v>1</v>
      </c>
      <c r="G1379" s="1" t="str">
        <f t="shared" si="412"/>
        <v>-</v>
      </c>
      <c r="J1379" s="1" t="str">
        <f t="shared" si="401"/>
        <v>0</v>
      </c>
      <c r="K1379" s="3">
        <f t="shared" si="402"/>
        <v>-100</v>
      </c>
      <c r="L1379" s="3">
        <f t="shared" si="403"/>
        <v>1</v>
      </c>
      <c r="M1379" s="3">
        <f t="shared" si="404"/>
        <v>0</v>
      </c>
      <c r="N1379" s="3" t="str">
        <f t="shared" si="405"/>
        <v>01</v>
      </c>
      <c r="O1379" s="14" t="str">
        <f t="shared" si="406"/>
        <v>00</v>
      </c>
    </row>
    <row r="1380" spans="1:15" hidden="1">
      <c r="A1380" s="143">
        <v>1357</v>
      </c>
      <c r="B1380" s="1">
        <f t="shared" si="407"/>
        <v>0</v>
      </c>
      <c r="C1380" s="1">
        <f t="shared" si="408"/>
        <v>0</v>
      </c>
      <c r="D1380" s="1">
        <f t="shared" si="409"/>
        <v>1</v>
      </c>
      <c r="E1380" s="1">
        <f t="shared" si="410"/>
        <v>1</v>
      </c>
      <c r="F1380" s="1">
        <f t="shared" si="411"/>
        <v>1</v>
      </c>
      <c r="G1380" s="1" t="str">
        <f t="shared" si="412"/>
        <v>-</v>
      </c>
      <c r="J1380" s="1" t="str">
        <f t="shared" si="401"/>
        <v>0</v>
      </c>
      <c r="K1380" s="3">
        <f t="shared" si="402"/>
        <v>-100</v>
      </c>
      <c r="L1380" s="3">
        <f t="shared" si="403"/>
        <v>1</v>
      </c>
      <c r="M1380" s="3">
        <f t="shared" si="404"/>
        <v>0</v>
      </c>
      <c r="N1380" s="3" t="str">
        <f t="shared" si="405"/>
        <v>01</v>
      </c>
      <c r="O1380" s="14" t="str">
        <f t="shared" si="406"/>
        <v>00</v>
      </c>
    </row>
    <row r="1381" spans="1:15" hidden="1">
      <c r="A1381" s="143">
        <v>1358</v>
      </c>
      <c r="B1381" s="1">
        <f t="shared" si="407"/>
        <v>0</v>
      </c>
      <c r="C1381" s="1">
        <f t="shared" si="408"/>
        <v>0</v>
      </c>
      <c r="D1381" s="1">
        <f t="shared" si="409"/>
        <v>1</v>
      </c>
      <c r="E1381" s="1">
        <f t="shared" si="410"/>
        <v>1</v>
      </c>
      <c r="F1381" s="1">
        <f t="shared" si="411"/>
        <v>1</v>
      </c>
      <c r="G1381" s="1" t="str">
        <f t="shared" si="412"/>
        <v>-</v>
      </c>
      <c r="J1381" s="1" t="str">
        <f t="shared" si="401"/>
        <v>0</v>
      </c>
      <c r="K1381" s="3">
        <f t="shared" si="402"/>
        <v>-100</v>
      </c>
      <c r="L1381" s="3">
        <f t="shared" si="403"/>
        <v>1</v>
      </c>
      <c r="M1381" s="3">
        <f t="shared" si="404"/>
        <v>0</v>
      </c>
      <c r="N1381" s="3" t="str">
        <f t="shared" si="405"/>
        <v>01</v>
      </c>
      <c r="O1381" s="14" t="str">
        <f t="shared" si="406"/>
        <v>00</v>
      </c>
    </row>
    <row r="1382" spans="1:15" hidden="1">
      <c r="A1382" s="143">
        <v>1359</v>
      </c>
      <c r="B1382" s="1">
        <f t="shared" si="407"/>
        <v>0</v>
      </c>
      <c r="C1382" s="1">
        <f t="shared" si="408"/>
        <v>0</v>
      </c>
      <c r="D1382" s="1">
        <f t="shared" si="409"/>
        <v>1</v>
      </c>
      <c r="E1382" s="1">
        <f t="shared" si="410"/>
        <v>1</v>
      </c>
      <c r="F1382" s="1">
        <f t="shared" si="411"/>
        <v>1</v>
      </c>
      <c r="G1382" s="1" t="str">
        <f t="shared" si="412"/>
        <v>-</v>
      </c>
      <c r="J1382" s="1" t="str">
        <f t="shared" si="401"/>
        <v>0</v>
      </c>
      <c r="K1382" s="3">
        <f t="shared" si="402"/>
        <v>-100</v>
      </c>
      <c r="L1382" s="3">
        <f t="shared" si="403"/>
        <v>1</v>
      </c>
      <c r="M1382" s="3">
        <f t="shared" si="404"/>
        <v>0</v>
      </c>
      <c r="N1382" s="3" t="str">
        <f t="shared" si="405"/>
        <v>01</v>
      </c>
      <c r="O1382" s="14" t="str">
        <f t="shared" si="406"/>
        <v>00</v>
      </c>
    </row>
    <row r="1383" spans="1:15" hidden="1">
      <c r="A1383" s="143">
        <v>1360</v>
      </c>
      <c r="B1383" s="1">
        <f t="shared" si="407"/>
        <v>0</v>
      </c>
      <c r="C1383" s="1">
        <f t="shared" si="408"/>
        <v>0</v>
      </c>
      <c r="D1383" s="1">
        <f t="shared" si="409"/>
        <v>1</v>
      </c>
      <c r="E1383" s="1">
        <f t="shared" si="410"/>
        <v>1</v>
      </c>
      <c r="F1383" s="1">
        <f t="shared" si="411"/>
        <v>1</v>
      </c>
      <c r="G1383" s="1" t="str">
        <f t="shared" si="412"/>
        <v>-</v>
      </c>
      <c r="J1383" s="1" t="str">
        <f t="shared" si="401"/>
        <v>0</v>
      </c>
      <c r="K1383" s="3">
        <f t="shared" si="402"/>
        <v>-100</v>
      </c>
      <c r="L1383" s="3">
        <f t="shared" si="403"/>
        <v>1</v>
      </c>
      <c r="M1383" s="3">
        <f t="shared" si="404"/>
        <v>0</v>
      </c>
      <c r="N1383" s="3" t="str">
        <f t="shared" si="405"/>
        <v>01</v>
      </c>
      <c r="O1383" s="14" t="str">
        <f t="shared" si="406"/>
        <v>00</v>
      </c>
    </row>
    <row r="1384" spans="1:15" hidden="1">
      <c r="A1384" s="143">
        <v>1361</v>
      </c>
      <c r="B1384" s="1">
        <f t="shared" si="407"/>
        <v>0</v>
      </c>
      <c r="C1384" s="1">
        <f t="shared" si="408"/>
        <v>0</v>
      </c>
      <c r="D1384" s="1">
        <f t="shared" si="409"/>
        <v>1</v>
      </c>
      <c r="E1384" s="1">
        <f t="shared" si="410"/>
        <v>1</v>
      </c>
      <c r="F1384" s="1">
        <f t="shared" si="411"/>
        <v>1</v>
      </c>
      <c r="G1384" s="1" t="str">
        <f t="shared" si="412"/>
        <v>-</v>
      </c>
      <c r="J1384" s="1" t="str">
        <f t="shared" si="401"/>
        <v>0</v>
      </c>
      <c r="K1384" s="3">
        <f t="shared" si="402"/>
        <v>-100</v>
      </c>
      <c r="L1384" s="3">
        <f t="shared" si="403"/>
        <v>1</v>
      </c>
      <c r="M1384" s="3">
        <f t="shared" si="404"/>
        <v>0</v>
      </c>
      <c r="N1384" s="3" t="str">
        <f t="shared" si="405"/>
        <v>01</v>
      </c>
      <c r="O1384" s="14" t="str">
        <f t="shared" si="406"/>
        <v>00</v>
      </c>
    </row>
    <row r="1385" spans="1:15" hidden="1">
      <c r="A1385" s="143">
        <v>1362</v>
      </c>
      <c r="B1385" s="1">
        <f t="shared" si="407"/>
        <v>0</v>
      </c>
      <c r="C1385" s="1">
        <f t="shared" si="408"/>
        <v>0</v>
      </c>
      <c r="D1385" s="1">
        <f t="shared" si="409"/>
        <v>1</v>
      </c>
      <c r="E1385" s="1">
        <f t="shared" si="410"/>
        <v>1</v>
      </c>
      <c r="F1385" s="1">
        <f t="shared" si="411"/>
        <v>1</v>
      </c>
      <c r="G1385" s="1" t="str">
        <f t="shared" si="412"/>
        <v>-</v>
      </c>
      <c r="J1385" s="1" t="str">
        <f t="shared" si="401"/>
        <v>0</v>
      </c>
      <c r="K1385" s="3">
        <f t="shared" si="402"/>
        <v>-100</v>
      </c>
      <c r="L1385" s="3">
        <f t="shared" si="403"/>
        <v>1</v>
      </c>
      <c r="M1385" s="3">
        <f t="shared" si="404"/>
        <v>0</v>
      </c>
      <c r="N1385" s="3" t="str">
        <f t="shared" si="405"/>
        <v>01</v>
      </c>
      <c r="O1385" s="14" t="str">
        <f t="shared" si="406"/>
        <v>00</v>
      </c>
    </row>
    <row r="1386" spans="1:15" hidden="1">
      <c r="A1386" s="143">
        <v>1363</v>
      </c>
      <c r="B1386" s="1">
        <f t="shared" si="407"/>
        <v>0</v>
      </c>
      <c r="C1386" s="1">
        <f t="shared" si="408"/>
        <v>0</v>
      </c>
      <c r="D1386" s="1">
        <f t="shared" si="409"/>
        <v>1</v>
      </c>
      <c r="E1386" s="1">
        <f t="shared" si="410"/>
        <v>1</v>
      </c>
      <c r="F1386" s="1">
        <f t="shared" si="411"/>
        <v>1</v>
      </c>
      <c r="G1386" s="1" t="str">
        <f t="shared" si="412"/>
        <v>-</v>
      </c>
      <c r="J1386" s="1" t="str">
        <f t="shared" si="401"/>
        <v>0</v>
      </c>
      <c r="K1386" s="3">
        <f t="shared" si="402"/>
        <v>-100</v>
      </c>
      <c r="L1386" s="3">
        <f t="shared" si="403"/>
        <v>1</v>
      </c>
      <c r="M1386" s="3">
        <f t="shared" si="404"/>
        <v>0</v>
      </c>
      <c r="N1386" s="3" t="str">
        <f t="shared" si="405"/>
        <v>01</v>
      </c>
      <c r="O1386" s="14" t="str">
        <f t="shared" si="406"/>
        <v>00</v>
      </c>
    </row>
    <row r="1387" spans="1:15" hidden="1">
      <c r="A1387" s="143">
        <v>1364</v>
      </c>
      <c r="B1387" s="1">
        <f t="shared" si="407"/>
        <v>0</v>
      </c>
      <c r="C1387" s="1">
        <f t="shared" si="408"/>
        <v>0</v>
      </c>
      <c r="D1387" s="1">
        <f t="shared" si="409"/>
        <v>1</v>
      </c>
      <c r="E1387" s="1">
        <f t="shared" si="410"/>
        <v>1</v>
      </c>
      <c r="F1387" s="1">
        <f t="shared" si="411"/>
        <v>1</v>
      </c>
      <c r="G1387" s="1" t="str">
        <f t="shared" si="412"/>
        <v>-</v>
      </c>
      <c r="J1387" s="1" t="str">
        <f t="shared" si="401"/>
        <v>0</v>
      </c>
      <c r="K1387" s="3">
        <f t="shared" si="402"/>
        <v>-100</v>
      </c>
      <c r="L1387" s="3">
        <f t="shared" si="403"/>
        <v>1</v>
      </c>
      <c r="M1387" s="3">
        <f t="shared" si="404"/>
        <v>0</v>
      </c>
      <c r="N1387" s="3" t="str">
        <f t="shared" si="405"/>
        <v>01</v>
      </c>
      <c r="O1387" s="14" t="str">
        <f t="shared" si="406"/>
        <v>00</v>
      </c>
    </row>
    <row r="1388" spans="1:15" hidden="1">
      <c r="A1388" s="143">
        <v>1365</v>
      </c>
      <c r="B1388" s="1">
        <f t="shared" si="407"/>
        <v>0</v>
      </c>
      <c r="C1388" s="1">
        <f t="shared" si="408"/>
        <v>0</v>
      </c>
      <c r="D1388" s="1">
        <f t="shared" si="409"/>
        <v>1</v>
      </c>
      <c r="E1388" s="1">
        <f t="shared" si="410"/>
        <v>1</v>
      </c>
      <c r="F1388" s="1">
        <f t="shared" si="411"/>
        <v>1</v>
      </c>
      <c r="G1388" s="1" t="str">
        <f t="shared" si="412"/>
        <v>-</v>
      </c>
      <c r="J1388" s="1" t="str">
        <f t="shared" si="401"/>
        <v>0</v>
      </c>
      <c r="K1388" s="3">
        <f t="shared" si="402"/>
        <v>-100</v>
      </c>
      <c r="L1388" s="3">
        <f t="shared" si="403"/>
        <v>1</v>
      </c>
      <c r="M1388" s="3">
        <f t="shared" si="404"/>
        <v>0</v>
      </c>
      <c r="N1388" s="3" t="str">
        <f t="shared" si="405"/>
        <v>01</v>
      </c>
      <c r="O1388" s="14" t="str">
        <f t="shared" si="406"/>
        <v>00</v>
      </c>
    </row>
    <row r="1389" spans="1:15" hidden="1">
      <c r="A1389" s="143">
        <v>1366</v>
      </c>
      <c r="B1389" s="1">
        <f t="shared" si="407"/>
        <v>0</v>
      </c>
      <c r="C1389" s="1">
        <f t="shared" si="408"/>
        <v>0</v>
      </c>
      <c r="D1389" s="1">
        <f t="shared" si="409"/>
        <v>1</v>
      </c>
      <c r="E1389" s="1">
        <f t="shared" si="410"/>
        <v>1</v>
      </c>
      <c r="F1389" s="1">
        <f t="shared" si="411"/>
        <v>1</v>
      </c>
      <c r="G1389" s="1" t="str">
        <f t="shared" si="412"/>
        <v>-</v>
      </c>
      <c r="J1389" s="1" t="str">
        <f t="shared" si="401"/>
        <v>0</v>
      </c>
      <c r="K1389" s="3">
        <f t="shared" si="402"/>
        <v>-100</v>
      </c>
      <c r="L1389" s="3">
        <f t="shared" si="403"/>
        <v>1</v>
      </c>
      <c r="M1389" s="3">
        <f t="shared" si="404"/>
        <v>0</v>
      </c>
      <c r="N1389" s="3" t="str">
        <f t="shared" si="405"/>
        <v>01</v>
      </c>
      <c r="O1389" s="14" t="str">
        <f t="shared" si="406"/>
        <v>00</v>
      </c>
    </row>
    <row r="1390" spans="1:15" hidden="1">
      <c r="A1390" s="143">
        <v>1367</v>
      </c>
      <c r="B1390" s="1">
        <f t="shared" si="407"/>
        <v>0</v>
      </c>
      <c r="C1390" s="1">
        <f t="shared" si="408"/>
        <v>0</v>
      </c>
      <c r="D1390" s="1">
        <f t="shared" si="409"/>
        <v>1</v>
      </c>
      <c r="E1390" s="1">
        <f t="shared" si="410"/>
        <v>1</v>
      </c>
      <c r="F1390" s="1">
        <f t="shared" si="411"/>
        <v>1</v>
      </c>
      <c r="G1390" s="1" t="str">
        <f t="shared" si="412"/>
        <v>-</v>
      </c>
      <c r="J1390" s="1" t="str">
        <f t="shared" si="401"/>
        <v>0</v>
      </c>
      <c r="K1390" s="3">
        <f t="shared" si="402"/>
        <v>-100</v>
      </c>
      <c r="L1390" s="3">
        <f t="shared" si="403"/>
        <v>1</v>
      </c>
      <c r="M1390" s="3">
        <f t="shared" si="404"/>
        <v>0</v>
      </c>
      <c r="N1390" s="3" t="str">
        <f t="shared" si="405"/>
        <v>01</v>
      </c>
      <c r="O1390" s="14" t="str">
        <f t="shared" si="406"/>
        <v>00</v>
      </c>
    </row>
    <row r="1391" spans="1:15" hidden="1">
      <c r="A1391" s="143">
        <v>1368</v>
      </c>
      <c r="B1391" s="1">
        <f t="shared" si="407"/>
        <v>0</v>
      </c>
      <c r="C1391" s="1">
        <f t="shared" si="408"/>
        <v>0</v>
      </c>
      <c r="D1391" s="1">
        <f t="shared" si="409"/>
        <v>1</v>
      </c>
      <c r="E1391" s="1">
        <f t="shared" si="410"/>
        <v>1</v>
      </c>
      <c r="F1391" s="1">
        <f t="shared" si="411"/>
        <v>1</v>
      </c>
      <c r="G1391" s="1" t="str">
        <f t="shared" si="412"/>
        <v>-</v>
      </c>
      <c r="J1391" s="1" t="str">
        <f t="shared" si="401"/>
        <v>0</v>
      </c>
      <c r="K1391" s="3">
        <f t="shared" si="402"/>
        <v>-100</v>
      </c>
      <c r="L1391" s="3">
        <f t="shared" si="403"/>
        <v>1</v>
      </c>
      <c r="M1391" s="3">
        <f t="shared" si="404"/>
        <v>0</v>
      </c>
      <c r="N1391" s="3" t="str">
        <f t="shared" si="405"/>
        <v>01</v>
      </c>
      <c r="O1391" s="14" t="str">
        <f t="shared" si="406"/>
        <v>00</v>
      </c>
    </row>
    <row r="1392" spans="1:15" hidden="1">
      <c r="A1392" s="143">
        <v>1369</v>
      </c>
      <c r="B1392" s="1">
        <f t="shared" si="407"/>
        <v>0</v>
      </c>
      <c r="C1392" s="1">
        <f t="shared" si="408"/>
        <v>0</v>
      </c>
      <c r="D1392" s="1">
        <f t="shared" si="409"/>
        <v>1</v>
      </c>
      <c r="E1392" s="1">
        <f t="shared" si="410"/>
        <v>1</v>
      </c>
      <c r="F1392" s="1">
        <f t="shared" si="411"/>
        <v>1</v>
      </c>
      <c r="G1392" s="1" t="str">
        <f t="shared" si="412"/>
        <v>-</v>
      </c>
      <c r="J1392" s="1" t="str">
        <f t="shared" si="401"/>
        <v>0</v>
      </c>
      <c r="K1392" s="3">
        <f t="shared" si="402"/>
        <v>-100</v>
      </c>
      <c r="L1392" s="3">
        <f t="shared" si="403"/>
        <v>1</v>
      </c>
      <c r="M1392" s="3">
        <f t="shared" si="404"/>
        <v>0</v>
      </c>
      <c r="N1392" s="3" t="str">
        <f t="shared" si="405"/>
        <v>01</v>
      </c>
      <c r="O1392" s="14" t="str">
        <f t="shared" si="406"/>
        <v>00</v>
      </c>
    </row>
    <row r="1393" spans="1:19" hidden="1">
      <c r="A1393" s="143">
        <v>1370</v>
      </c>
      <c r="B1393" s="1">
        <f t="shared" si="407"/>
        <v>0</v>
      </c>
      <c r="C1393" s="1">
        <f t="shared" si="408"/>
        <v>0</v>
      </c>
      <c r="D1393" s="1">
        <f t="shared" si="409"/>
        <v>1</v>
      </c>
      <c r="E1393" s="1">
        <f t="shared" si="410"/>
        <v>1</v>
      </c>
      <c r="F1393" s="1">
        <f t="shared" si="411"/>
        <v>1</v>
      </c>
      <c r="G1393" s="1" t="str">
        <f t="shared" si="412"/>
        <v>-</v>
      </c>
      <c r="J1393" s="1" t="str">
        <f t="shared" si="401"/>
        <v>0</v>
      </c>
      <c r="K1393" s="3">
        <f t="shared" si="402"/>
        <v>-100</v>
      </c>
      <c r="L1393" s="3">
        <f t="shared" si="403"/>
        <v>1</v>
      </c>
      <c r="M1393" s="3">
        <f t="shared" si="404"/>
        <v>0</v>
      </c>
      <c r="N1393" s="3" t="str">
        <f t="shared" si="405"/>
        <v>01</v>
      </c>
      <c r="O1393" s="14" t="str">
        <f t="shared" si="406"/>
        <v>00</v>
      </c>
    </row>
    <row r="1394" spans="1:19" hidden="1">
      <c r="A1394" s="143">
        <v>1371</v>
      </c>
      <c r="B1394" s="1">
        <f t="shared" si="407"/>
        <v>0</v>
      </c>
      <c r="C1394" s="1">
        <f t="shared" si="408"/>
        <v>0</v>
      </c>
      <c r="D1394" s="1">
        <f t="shared" si="409"/>
        <v>1</v>
      </c>
      <c r="E1394" s="1">
        <f t="shared" si="410"/>
        <v>1</v>
      </c>
      <c r="F1394" s="1">
        <f t="shared" si="411"/>
        <v>1</v>
      </c>
      <c r="G1394" s="1" t="str">
        <f t="shared" si="412"/>
        <v>-</v>
      </c>
      <c r="J1394" s="1" t="str">
        <f t="shared" si="401"/>
        <v>0</v>
      </c>
      <c r="K1394" s="3">
        <f t="shared" si="402"/>
        <v>-100</v>
      </c>
      <c r="L1394" s="3">
        <f t="shared" si="403"/>
        <v>1</v>
      </c>
      <c r="M1394" s="3">
        <f t="shared" si="404"/>
        <v>0</v>
      </c>
      <c r="N1394" s="3" t="str">
        <f t="shared" si="405"/>
        <v>01</v>
      </c>
      <c r="O1394" s="14" t="str">
        <f t="shared" si="406"/>
        <v>00</v>
      </c>
    </row>
    <row r="1395" spans="1:19" hidden="1">
      <c r="A1395" s="143">
        <v>1372</v>
      </c>
      <c r="B1395" s="1">
        <f t="shared" si="407"/>
        <v>0</v>
      </c>
      <c r="C1395" s="1">
        <f t="shared" si="408"/>
        <v>0</v>
      </c>
      <c r="D1395" s="1">
        <f t="shared" si="409"/>
        <v>1</v>
      </c>
      <c r="E1395" s="1">
        <f t="shared" si="410"/>
        <v>1</v>
      </c>
      <c r="F1395" s="1">
        <f t="shared" si="411"/>
        <v>1</v>
      </c>
      <c r="G1395" s="1" t="str">
        <f t="shared" si="412"/>
        <v>-</v>
      </c>
      <c r="J1395" s="1" t="str">
        <f t="shared" si="401"/>
        <v>0</v>
      </c>
      <c r="K1395" s="3">
        <f t="shared" si="402"/>
        <v>-100</v>
      </c>
      <c r="L1395" s="3">
        <f t="shared" si="403"/>
        <v>1</v>
      </c>
      <c r="M1395" s="3">
        <f t="shared" si="404"/>
        <v>0</v>
      </c>
      <c r="N1395" s="3" t="str">
        <f t="shared" si="405"/>
        <v>01</v>
      </c>
      <c r="O1395" s="14" t="str">
        <f t="shared" si="406"/>
        <v>00</v>
      </c>
    </row>
    <row r="1396" spans="1:19" hidden="1">
      <c r="A1396" s="143">
        <v>1373</v>
      </c>
      <c r="B1396" s="1">
        <f t="shared" si="407"/>
        <v>0</v>
      </c>
      <c r="C1396" s="1">
        <f t="shared" si="408"/>
        <v>0</v>
      </c>
      <c r="D1396" s="1">
        <f t="shared" si="409"/>
        <v>1</v>
      </c>
      <c r="E1396" s="1">
        <f t="shared" si="410"/>
        <v>1</v>
      </c>
      <c r="F1396" s="1">
        <f t="shared" si="411"/>
        <v>1</v>
      </c>
      <c r="G1396" s="1" t="str">
        <f t="shared" si="412"/>
        <v>-</v>
      </c>
      <c r="J1396" s="1" t="str">
        <f t="shared" si="401"/>
        <v>0</v>
      </c>
      <c r="K1396" s="3">
        <f t="shared" si="402"/>
        <v>-100</v>
      </c>
      <c r="L1396" s="3">
        <f t="shared" si="403"/>
        <v>1</v>
      </c>
      <c r="M1396" s="3">
        <f t="shared" si="404"/>
        <v>0</v>
      </c>
      <c r="N1396" s="3" t="str">
        <f t="shared" si="405"/>
        <v>01</v>
      </c>
      <c r="O1396" s="14" t="str">
        <f t="shared" si="406"/>
        <v>00</v>
      </c>
    </row>
    <row r="1397" spans="1:19" hidden="1">
      <c r="A1397" s="143">
        <v>1374</v>
      </c>
      <c r="B1397" s="1">
        <f t="shared" si="407"/>
        <v>0</v>
      </c>
      <c r="C1397" s="1">
        <f t="shared" si="408"/>
        <v>0</v>
      </c>
      <c r="D1397" s="1">
        <f t="shared" si="409"/>
        <v>1</v>
      </c>
      <c r="E1397" s="1">
        <f t="shared" si="410"/>
        <v>1</v>
      </c>
      <c r="F1397" s="1">
        <f t="shared" si="411"/>
        <v>1</v>
      </c>
      <c r="G1397" s="1" t="str">
        <f t="shared" si="412"/>
        <v>-</v>
      </c>
      <c r="J1397" s="1" t="str">
        <f t="shared" si="401"/>
        <v>0</v>
      </c>
      <c r="K1397" s="3">
        <f t="shared" si="402"/>
        <v>-100</v>
      </c>
      <c r="L1397" s="3">
        <f t="shared" si="403"/>
        <v>1</v>
      </c>
      <c r="M1397" s="3">
        <f t="shared" si="404"/>
        <v>0</v>
      </c>
      <c r="N1397" s="3" t="str">
        <f t="shared" si="405"/>
        <v>01</v>
      </c>
      <c r="O1397" s="14" t="str">
        <f t="shared" si="406"/>
        <v>00</v>
      </c>
    </row>
    <row r="1398" spans="1:19" hidden="1">
      <c r="A1398" s="143">
        <v>1375</v>
      </c>
      <c r="B1398" s="1">
        <f t="shared" si="407"/>
        <v>0</v>
      </c>
      <c r="C1398" s="1">
        <f t="shared" si="408"/>
        <v>0</v>
      </c>
      <c r="D1398" s="1">
        <f t="shared" si="409"/>
        <v>1</v>
      </c>
      <c r="E1398" s="1">
        <f t="shared" si="410"/>
        <v>1</v>
      </c>
      <c r="F1398" s="1">
        <f t="shared" si="411"/>
        <v>1</v>
      </c>
      <c r="G1398" s="1" t="str">
        <f t="shared" si="412"/>
        <v>-</v>
      </c>
      <c r="J1398" s="1" t="str">
        <f t="shared" si="401"/>
        <v>0</v>
      </c>
      <c r="K1398" s="3">
        <f t="shared" si="402"/>
        <v>-100</v>
      </c>
      <c r="L1398" s="3">
        <f t="shared" si="403"/>
        <v>1</v>
      </c>
      <c r="M1398" s="3">
        <f t="shared" si="404"/>
        <v>0</v>
      </c>
      <c r="N1398" s="3" t="str">
        <f t="shared" si="405"/>
        <v>01</v>
      </c>
      <c r="O1398" s="14" t="str">
        <f t="shared" si="406"/>
        <v>00</v>
      </c>
    </row>
    <row r="1399" spans="1:19">
      <c r="A1399" s="143"/>
      <c r="P1399" s="4">
        <f>SUBTOTAL(109,Table13[Colones])</f>
        <v>74705743.989999995</v>
      </c>
      <c r="Q1399" s="5">
        <f>SUBTOTAL(109,Table13[Dolares])</f>
        <v>361.20000000000016</v>
      </c>
      <c r="R1399" s="4">
        <f>SUBTOTAL(109,Table13[Tipo Cambio])</f>
        <v>0</v>
      </c>
      <c r="S1399" s="4">
        <f>SUBTOTAL(109,Table13[Precio en $])</f>
        <v>0</v>
      </c>
    </row>
  </sheetData>
  <conditionalFormatting sqref="D1:E2 G1:G5 B3:F1048576">
    <cfRule type="cellIs" dxfId="0" priority="1" operator="greaterThan">
      <formula>0</formula>
    </cfRule>
  </conditionalFormatting>
  <pageMargins left="0.7" right="0.7" top="0.75" bottom="0.75" header="0.3" footer="0.3"/>
  <pageSetup orientation="portrait" horizont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CIERRE de b31</vt:lpstr>
      <vt:lpstr>2024 c30</vt:lpstr>
      <vt:lpstr>2024 b31</vt:lpstr>
      <vt:lpstr>2025 b31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perez</dc:creator>
  <cp:lastModifiedBy>edwin perez</cp:lastModifiedBy>
  <dcterms:created xsi:type="dcterms:W3CDTF">2024-03-28T17:53:01Z</dcterms:created>
  <dcterms:modified xsi:type="dcterms:W3CDTF">2025-10-24T17:01:42Z</dcterms:modified>
</cp:coreProperties>
</file>